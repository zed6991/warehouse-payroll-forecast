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Inputs" sheetId="2" state="visible" r:id="rId2"/>
    <sheet name="Data_Actuals" sheetId="3" state="visible" r:id="rId3"/>
    <sheet name="Plan_Inputs" sheetId="4" state="visible" r:id="rId4"/>
    <sheet name="Cases_Forecast" sheetId="5" state="visible" r:id="rId5"/>
    <sheet name="CLR" sheetId="6" state="visible" r:id="rId6"/>
    <sheet name="Holidays" sheetId="7" state="visible" r:id="rId7"/>
    <sheet name="Calendar" sheetId="8" state="visible" r:id="rId8"/>
    <sheet name="Checks" sheetId="9" state="visible" r:id="rId9"/>
    <sheet name="National" sheetId="10" state="visible" r:id="rId10"/>
    <sheet name="NSW-1" sheetId="11" state="visible" r:id="rId11"/>
    <sheet name="VIC-1" sheetId="12" state="visible" r:id="rId12"/>
    <sheet name="QLD-1" sheetId="13" state="visible" r:id="rId13"/>
    <sheet name="NSW-2" sheetId="14" state="visible" r:id="rId14"/>
    <sheet name="VIC-2" sheetId="15" state="visible" r:id="rId15"/>
    <sheet name="QLD-2" sheetId="16" state="visible" r:id="rId16"/>
    <sheet name="SA-1" sheetId="17" state="visible" r:id="rId17"/>
    <sheet name="WA-1" sheetId="18" state="visible" r:id="rId18"/>
    <sheet name="IDC-NSW" sheetId="19" state="visible" r:id="rId19"/>
    <sheet name="IDC-VIC" sheetId="20" state="visible" r:id="rId20"/>
  </sheets>
  <definedNames>
    <definedName name="LastActual">Inputs!$B$3</definedName>
    <definedName name="CPLHTol">Inputs!$B$7</definedName>
    <definedName name="WageDates">Inputs!$A$21:$A$28</definedName>
    <definedName name="WageRates">Inputs!$B$21:$B$28</definedName>
    <definedName name="PH_Roster">Inputs!$B$31</definedName>
    <definedName name="PH_Loading">Inputs!$B$32</definedName>
    <definedName name="SiteCodes">Inputs!$A$36:$A$45</definedName>
  </definedNames>
  <calcPr calcId="124519" fullCalcOnLoad="1"/>
</workbook>
</file>

<file path=xl/styles.xml><?xml version="1.0" encoding="utf-8"?>
<styleSheet xmlns="http://schemas.openxmlformats.org/spreadsheetml/2006/main">
  <numFmts count="10">
    <numFmt numFmtId="164" formatCode="yyyy-mm-dd"/>
    <numFmt numFmtId="165" formatCode="0.0%"/>
    <numFmt numFmtId="166" formatCode="dd-mmm-yy"/>
    <numFmt numFmtId="167" formatCode="0.0000"/>
    <numFmt numFmtId="168" formatCode="#,##0.0,,"/>
    <numFmt numFmtId="169" formatCode="#,##0.00,,"/>
    <numFmt numFmtId="170" formatCode="0.0"/>
    <numFmt numFmtId="171" formatCode="$#,##0.00"/>
    <numFmt numFmtId="172" formatCode="$#,##0.000"/>
    <numFmt numFmtId="173" formatCode="0.00000"/>
  </numFmts>
  <fonts count="8">
    <font>
      <name val="Calibri"/>
      <family val="2"/>
      <color theme="1"/>
      <sz val="11"/>
      <scheme val="minor"/>
    </font>
    <font>
      <b val="1"/>
    </font>
    <font>
      <b val="1"/>
      <sz val="14"/>
    </font>
    <font>
      <color rgb="000000FF"/>
    </font>
    <font>
      <b val="1"/>
      <color rgb="00FFFFFF"/>
    </font>
    <font>
      <i val="1"/>
      <color rgb="00808080"/>
    </font>
    <font>
      <i val="1"/>
    </font>
    <font>
      <color rgb="00595959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bottom style="thin">
        <color rgb="001F3864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7" fontId="3" fillId="2" borderId="0" pivotButton="0" quotePrefix="0" xfId="0"/>
    <xf numFmtId="165" fontId="3" fillId="2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2" borderId="0" pivotButton="0" quotePrefix="0" xfId="0"/>
    <xf numFmtId="17" fontId="0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3" fontId="3" fillId="2" borderId="0" pivotButton="0" quotePrefix="0" xfId="0"/>
    <xf numFmtId="3" fontId="1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7" fontId="1" fillId="4" borderId="0" pivotButton="0" quotePrefix="0" xfId="0"/>
    <xf numFmtId="0" fontId="0" fillId="4" borderId="0" pivotButton="0" quotePrefix="0" xfId="0"/>
    <xf numFmtId="168" fontId="0" fillId="4" borderId="0" pivotButton="0" quotePrefix="0" xfId="0"/>
    <xf numFmtId="169" fontId="0" fillId="4" borderId="0" pivotButton="0" quotePrefix="0" xfId="0"/>
    <xf numFmtId="3" fontId="0" fillId="4" borderId="0" pivotButton="0" quotePrefix="0" xfId="0"/>
    <xf numFmtId="170" fontId="0" fillId="4" borderId="0" pivotButton="0" quotePrefix="0" xfId="0"/>
    <xf numFmtId="171" fontId="0" fillId="4" borderId="0" pivotButton="0" quotePrefix="0" xfId="0"/>
    <xf numFmtId="172" fontId="0" fillId="4" borderId="0" pivotButton="0" quotePrefix="0" xfId="0"/>
    <xf numFmtId="10" fontId="0" fillId="4" borderId="0" pivotButton="0" quotePrefix="0" xfId="0"/>
    <xf numFmtId="168" fontId="0" fillId="0" borderId="0" pivotButton="0" quotePrefix="0" xfId="0"/>
    <xf numFmtId="0" fontId="6" fillId="4" borderId="0" applyAlignment="1" pivotButton="0" quotePrefix="0" xfId="0">
      <alignment horizontal="center" vertical="center" wrapText="1"/>
    </xf>
    <xf numFmtId="1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17" fontId="0" fillId="0" borderId="1" pivotButton="0" quotePrefix="0" xfId="0"/>
    <xf numFmtId="1" fontId="0" fillId="0" borderId="1" pivotButton="0" quotePrefix="0" xfId="0"/>
    <xf numFmtId="0" fontId="0" fillId="0" borderId="1" pivotButton="0" quotePrefix="0" xfId="0"/>
    <xf numFmtId="168" fontId="0" fillId="0" borderId="1" pivotButton="0" quotePrefix="0" xfId="0"/>
    <xf numFmtId="169" fontId="0" fillId="0" borderId="1" pivotButton="0" quotePrefix="0" xfId="0"/>
    <xf numFmtId="3" fontId="0" fillId="0" borderId="1" pivotButton="0" quotePrefix="0" xfId="0"/>
    <xf numFmtId="170" fontId="0" fillId="0" borderId="1" pivotButton="0" quotePrefix="0" xfId="0"/>
    <xf numFmtId="171" fontId="0" fillId="0" borderId="1" pivotButton="0" quotePrefix="0" xfId="0"/>
    <xf numFmtId="172" fontId="0" fillId="0" borderId="1" pivotButton="0" quotePrefix="0" xfId="0"/>
    <xf numFmtId="10" fontId="0" fillId="0" borderId="1" pivotButton="0" quotePrefix="0" xfId="0"/>
    <xf numFmtId="0" fontId="4" fillId="5" borderId="0" applyAlignment="1" pivotButton="0" quotePrefix="0" xfId="0">
      <alignment horizontal="center" vertical="center" wrapText="1"/>
    </xf>
    <xf numFmtId="3" fontId="7" fillId="0" borderId="0" pivotButton="0" quotePrefix="0" xfId="0"/>
    <xf numFmtId="10" fontId="7" fillId="0" borderId="0" pivotButton="0" quotePrefix="0" xfId="0"/>
    <xf numFmtId="167" fontId="7" fillId="0" borderId="0" pivotButton="0" quotePrefix="0" xfId="0"/>
    <xf numFmtId="173" fontId="7" fillId="0" borderId="0" pivotButton="0" quotePrefix="0" xfId="0"/>
    <xf numFmtId="171" fontId="7" fillId="0" borderId="0" pivotButton="0" quotePrefix="0" xfId="0"/>
    <xf numFmtId="170" fontId="7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F2F2F2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DDEB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Warehouse payroll forecast model (simple version)</t>
        </is>
      </c>
    </row>
    <row r="2">
      <c r="A2" t="inlineStr">
        <is>
          <t>Synthetic data only. Monthly, Jan 2025 to Dec 2028.</t>
        </is>
      </c>
    </row>
    <row r="3">
      <c r="A3" t="inlineStr"/>
    </row>
    <row r="4">
      <c r="A4" s="1" t="inlineStr">
        <is>
          <t>THE MODEL (per site, per forecast month)</t>
        </is>
      </c>
    </row>
    <row r="5">
      <c r="A5" t="inlineStr">
        <is>
          <t>Sales and payroll % come from the plan (Plan_Inputs). They drive everything.</t>
        </is>
      </c>
    </row>
    <row r="6">
      <c r="A6" t="inlineStr">
        <is>
          <t>Total payroll = plan sales x plan payroll %.</t>
        </is>
      </c>
    </row>
    <row r="7">
      <c r="A7" t="inlineStr">
        <is>
          <t>Leadership = total payroll x leadership share of total payroll in the same month last year.</t>
        </is>
      </c>
    </row>
    <row r="8">
      <c r="A8" t="inlineStr">
        <is>
          <t>Staff payroll = total payroll - leadership.</t>
        </is>
      </c>
    </row>
    <row r="9">
      <c r="A9" t="inlineStr">
        <is>
          <t>Cost per hour = same month last year's cost per hour, with last year's public holidays and wage index taken out</t>
        </is>
      </c>
    </row>
    <row r="10">
      <c r="A10" t="inlineStr">
        <is>
          <t xml:space="preserve">   and this month's put back in.  Hours = staff payroll / cost per hour.</t>
        </is>
      </c>
    </row>
    <row r="11">
      <c r="A11" t="inlineStr">
        <is>
          <t>Cases come from the Cases_Forecast tab: volume driver sales x cases per $ in the same month last year,</t>
        </is>
      </c>
    </row>
    <row r="12">
      <c r="A12" t="inlineStr">
        <is>
          <t xml:space="preserve">   plus your adjustments, or your override.</t>
        </is>
      </c>
    </row>
    <row r="13">
      <c r="A13" t="inlineStr">
        <is>
          <t>CPLH = cases / hours.  Cost per case = total payroll / cases.</t>
        </is>
      </c>
    </row>
    <row r="14">
      <c r="A14" t="inlineStr"/>
    </row>
    <row r="15">
      <c r="A15" s="1" t="inlineStr">
        <is>
          <t>SAME MONTH LAST YEAR</t>
        </is>
      </c>
    </row>
    <row r="16">
      <c r="A16" t="inlineStr">
        <is>
          <t>Each rate looks 12 rows up. If that month is an actual, the rate comes from actuals; if it is a forecast, it uses</t>
        </is>
      </c>
    </row>
    <row r="17">
      <c r="A17" t="inlineStr">
        <is>
          <t>that forecast's rate. So Mar-28 uses Mar-27, which uses Mar-26 actuals. Roll forward by moving Last actual month.</t>
        </is>
      </c>
    </row>
    <row r="18">
      <c r="A18" t="inlineStr"/>
    </row>
    <row r="19">
      <c r="A19" s="1" t="inlineStr">
        <is>
          <t>HOW TO UPDATE</t>
        </is>
      </c>
    </row>
    <row r="20">
      <c r="A20" t="inlineStr">
        <is>
          <t>1. Paste new actuals into Data_Actuals and the plan into Plan_Inputs (same columns).</t>
        </is>
      </c>
    </row>
    <row r="21">
      <c r="A21" t="inlineStr">
        <is>
          <t>2. Move 'Last actual month' on Inputs forward.</t>
        </is>
      </c>
    </row>
    <row r="22">
      <c r="A22" t="inlineStr">
        <is>
          <t>3. Review Cases_Forecast; clear adjustments or overrides for months that are now actuals.</t>
        </is>
      </c>
    </row>
    <row r="23">
      <c r="A23" t="inlineStr">
        <is>
          <t>4. Check the Checks tab says ALL CHECKS OK.</t>
        </is>
      </c>
    </row>
    <row r="24">
      <c r="A24" t="inlineStr"/>
    </row>
    <row r="25">
      <c r="A25" s="1" t="inlineStr">
        <is>
          <t>SITE CODES</t>
        </is>
      </c>
    </row>
    <row r="26">
      <c r="A26" t="inlineStr">
        <is>
          <t>Type your own codes in the Code column of the Sites table on Inputs; every tab follows. Renaming tabs is optional.</t>
        </is>
      </c>
    </row>
    <row r="27">
      <c r="A27" t="inlineStr"/>
    </row>
    <row r="28">
      <c r="A28" s="1" t="inlineStr">
        <is>
          <t>COLOURS</t>
        </is>
      </c>
    </row>
    <row r="29">
      <c r="A29" t="inlineStr">
        <is>
          <t>Yellow cells with blue text are inputs. Blue-shaded rows are forecast months. Grey columns are helper calculations.</t>
        </is>
      </c>
    </row>
    <row r="30">
      <c r="A30" t="inlineStr">
        <is>
          <t>Public holidays are generated by rule; check against the official state lists (AFL Grand Final Friday in particular).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Inputs</t>
        </is>
      </c>
    </row>
    <row r="3">
      <c r="A3" t="inlineStr">
        <is>
          <t>Last actual month</t>
        </is>
      </c>
      <c r="B3" s="3" t="n">
        <v>46266</v>
      </c>
    </row>
    <row r="5">
      <c r="A5" t="inlineStr">
        <is>
          <t>Model status</t>
        </is>
      </c>
      <c r="B5" s="1">
        <f>Checks!B3</f>
        <v/>
      </c>
    </row>
    <row r="7">
      <c r="A7" t="inlineStr">
        <is>
          <t>Warn if forecast CPLH moves more than this vs LY</t>
        </is>
      </c>
      <c r="B7" s="4" t="n">
        <v>0.1</v>
      </c>
    </row>
    <row r="19">
      <c r="A19" s="1" t="inlineStr">
        <is>
          <t>Wage increases (staff cost per hour)</t>
        </is>
      </c>
    </row>
    <row r="20">
      <c r="A20" s="5" t="inlineStr">
        <is>
          <t>Effective month</t>
        </is>
      </c>
      <c r="B20" s="5" t="inlineStr">
        <is>
          <t>Increase</t>
        </is>
      </c>
    </row>
    <row r="21">
      <c r="A21" s="3" t="n">
        <v>46023</v>
      </c>
      <c r="B21" s="4" t="n">
        <v>0.04</v>
      </c>
      <c r="C21" s="6" t="inlineStr">
        <is>
          <t>Include past increases too: last year's cost per hour is divided by its wage index before this year's is applied.</t>
        </is>
      </c>
    </row>
    <row r="22">
      <c r="A22" s="3" t="n">
        <v>46388</v>
      </c>
      <c r="B22" s="4" t="n">
        <v>0.045</v>
      </c>
    </row>
    <row r="23">
      <c r="A23" s="3" t="n">
        <v>46753</v>
      </c>
      <c r="B23" s="4" t="n">
        <v>0.045</v>
      </c>
    </row>
    <row r="24">
      <c r="A24" s="3" t="n"/>
      <c r="B24" s="4" t="n"/>
    </row>
    <row r="25">
      <c r="A25" s="3" t="n"/>
      <c r="B25" s="4" t="n"/>
    </row>
    <row r="26">
      <c r="A26" s="3" t="n"/>
      <c r="B26" s="4" t="n"/>
    </row>
    <row r="27">
      <c r="A27" s="3" t="n"/>
      <c r="B27" s="4" t="n"/>
    </row>
    <row r="28">
      <c r="A28" s="3" t="n"/>
      <c r="B28" s="4" t="n"/>
    </row>
    <row r="30">
      <c r="A30" s="1" t="inlineStr">
        <is>
          <t>Public holidays</t>
        </is>
      </c>
    </row>
    <row r="31">
      <c r="A31" t="inlineStr">
        <is>
          <t>Share of normal hours worked on a PH</t>
        </is>
      </c>
      <c r="B31" s="7" t="n">
        <v>0.5</v>
      </c>
    </row>
    <row r="32">
      <c r="A32" t="inlineStr">
        <is>
          <t>PH pay loading (1.5 = paid 250%)</t>
        </is>
      </c>
      <c r="B32" s="7" t="n">
        <v>1.5</v>
      </c>
    </row>
    <row r="34">
      <c r="A34" s="1" t="inlineStr">
        <is>
          <t>Sites</t>
        </is>
      </c>
      <c r="B34" s="6" t="inlineStr">
        <is>
          <t>Type your own codes in the Code column; every tab follows. Renaming the tabs to match is optional.</t>
        </is>
      </c>
    </row>
    <row r="35">
      <c r="A35" s="5" t="inlineStr">
        <is>
          <t>Code</t>
        </is>
      </c>
      <c r="B35" s="5" t="inlineStr">
        <is>
          <t>Type</t>
        </is>
      </c>
      <c r="C35" s="5" t="inlineStr">
        <is>
          <t>State</t>
        </is>
      </c>
      <c r="D35" s="5" t="inlineStr">
        <is>
          <t>Payroll % basis</t>
        </is>
      </c>
      <c r="E35" s="5" t="inlineStr">
        <is>
          <t>In national sales?</t>
        </is>
      </c>
      <c r="F35" s="5" t="inlineStr">
        <is>
          <t>Volume driver</t>
        </is>
      </c>
    </row>
    <row r="36">
      <c r="A36" s="7" t="inlineStr">
        <is>
          <t>NSW-1</t>
        </is>
      </c>
      <c r="B36" t="inlineStr">
        <is>
          <t>Region</t>
        </is>
      </c>
      <c r="C36" t="inlineStr">
        <is>
          <t>NSW</t>
        </is>
      </c>
      <c r="D36">
        <f>A36</f>
        <v/>
      </c>
      <c r="E36" t="inlineStr">
        <is>
          <t>Yes</t>
        </is>
      </c>
      <c r="F36">
        <f>A36</f>
        <v/>
      </c>
    </row>
    <row r="37">
      <c r="A37" s="7" t="inlineStr">
        <is>
          <t>VIC-1</t>
        </is>
      </c>
      <c r="B37" t="inlineStr">
        <is>
          <t>Region</t>
        </is>
      </c>
      <c r="C37" t="inlineStr">
        <is>
          <t>VIC</t>
        </is>
      </c>
      <c r="D37">
        <f>A37</f>
        <v/>
      </c>
      <c r="E37" t="inlineStr">
        <is>
          <t>Yes</t>
        </is>
      </c>
      <c r="F37">
        <f>A37</f>
        <v/>
      </c>
    </row>
    <row r="38">
      <c r="A38" s="7" t="inlineStr">
        <is>
          <t>QLD-1</t>
        </is>
      </c>
      <c r="B38" t="inlineStr">
        <is>
          <t>Region</t>
        </is>
      </c>
      <c r="C38" t="inlineStr">
        <is>
          <t>QLD</t>
        </is>
      </c>
      <c r="D38">
        <f>A38</f>
        <v/>
      </c>
      <c r="E38" t="inlineStr">
        <is>
          <t>Yes</t>
        </is>
      </c>
      <c r="F38">
        <f>A38</f>
        <v/>
      </c>
    </row>
    <row r="39">
      <c r="A39" s="7" t="inlineStr">
        <is>
          <t>NSW-2</t>
        </is>
      </c>
      <c r="B39" t="inlineStr">
        <is>
          <t>Region</t>
        </is>
      </c>
      <c r="C39" t="inlineStr">
        <is>
          <t>NSW</t>
        </is>
      </c>
      <c r="D39">
        <f>A39</f>
        <v/>
      </c>
      <c r="E39" t="inlineStr">
        <is>
          <t>Yes</t>
        </is>
      </c>
      <c r="F39">
        <f>A39</f>
        <v/>
      </c>
    </row>
    <row r="40">
      <c r="A40" s="7" t="inlineStr">
        <is>
          <t>VIC-2</t>
        </is>
      </c>
      <c r="B40" t="inlineStr">
        <is>
          <t>Region</t>
        </is>
      </c>
      <c r="C40" t="inlineStr">
        <is>
          <t>VIC</t>
        </is>
      </c>
      <c r="D40">
        <f>A40</f>
        <v/>
      </c>
      <c r="E40" t="inlineStr">
        <is>
          <t>Yes</t>
        </is>
      </c>
      <c r="F40">
        <f>A40</f>
        <v/>
      </c>
    </row>
    <row r="41">
      <c r="A41" s="7" t="inlineStr">
        <is>
          <t>QLD-2</t>
        </is>
      </c>
      <c r="B41" t="inlineStr">
        <is>
          <t>Region</t>
        </is>
      </c>
      <c r="C41" t="inlineStr">
        <is>
          <t>QLD</t>
        </is>
      </c>
      <c r="D41">
        <f>A41</f>
        <v/>
      </c>
      <c r="E41" t="inlineStr">
        <is>
          <t>Yes</t>
        </is>
      </c>
      <c r="F41">
        <f>A41</f>
        <v/>
      </c>
    </row>
    <row r="42">
      <c r="A42" s="7" t="inlineStr">
        <is>
          <t>SA-1</t>
        </is>
      </c>
      <c r="B42" t="inlineStr">
        <is>
          <t>Region</t>
        </is>
      </c>
      <c r="C42" t="inlineStr">
        <is>
          <t>SA</t>
        </is>
      </c>
      <c r="D42">
        <f>A42</f>
        <v/>
      </c>
      <c r="E42" t="inlineStr">
        <is>
          <t>Yes</t>
        </is>
      </c>
      <c r="F42">
        <f>A42</f>
        <v/>
      </c>
    </row>
    <row r="43">
      <c r="A43" s="7" t="inlineStr">
        <is>
          <t>WA-1</t>
        </is>
      </c>
      <c r="B43" t="inlineStr">
        <is>
          <t>Region</t>
        </is>
      </c>
      <c r="C43" t="inlineStr">
        <is>
          <t>WA</t>
        </is>
      </c>
      <c r="D43">
        <f>A43</f>
        <v/>
      </c>
      <c r="E43" t="inlineStr">
        <is>
          <t>Yes</t>
        </is>
      </c>
      <c r="F43">
        <f>A43</f>
        <v/>
      </c>
    </row>
    <row r="44">
      <c r="A44" s="7" t="inlineStr">
        <is>
          <t>IDC-NSW</t>
        </is>
      </c>
      <c r="B44" t="inlineStr">
        <is>
          <t>IDC</t>
        </is>
      </c>
      <c r="C44" t="inlineStr">
        <is>
          <t>NSW</t>
        </is>
      </c>
      <c r="D44">
        <f>A36</f>
        <v/>
      </c>
      <c r="E44" t="inlineStr">
        <is>
          <t>No</t>
        </is>
      </c>
      <c r="F44">
        <f>A36&amp;"+"&amp;A39</f>
        <v/>
      </c>
    </row>
    <row r="45">
      <c r="A45" s="7" t="inlineStr">
        <is>
          <t>IDC-VIC</t>
        </is>
      </c>
      <c r="B45" t="inlineStr">
        <is>
          <t>IDC</t>
        </is>
      </c>
      <c r="C45" t="inlineStr">
        <is>
          <t>VIC</t>
        </is>
      </c>
      <c r="D45">
        <f>A37</f>
        <v/>
      </c>
      <c r="E45" t="inlineStr">
        <is>
          <t>No</t>
        </is>
      </c>
      <c r="F45">
        <f>A37&amp;"+"&amp;A40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C000"/>
    <outlinePr summaryBelow="1" summaryRight="1"/>
    <pageSetUpPr/>
  </sheetPr>
  <dimension ref="A1:G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5" t="inlineStr">
        <is>
          <t>Month</t>
        </is>
      </c>
      <c r="B1" s="5" t="inlineStr">
        <is>
          <t>Site</t>
        </is>
      </c>
      <c r="C1" s="5" t="inlineStr">
        <is>
          <t>Sales $</t>
        </is>
      </c>
      <c r="D1" s="5" t="inlineStr">
        <is>
          <t>Cases picked</t>
        </is>
      </c>
      <c r="E1" s="5" t="inlineStr">
        <is>
          <t>WH hours worked</t>
        </is>
      </c>
      <c r="F1" s="5" t="inlineStr">
        <is>
          <t>Staff payroll $</t>
        </is>
      </c>
      <c r="G1" s="5" t="inlineStr">
        <is>
          <t>Leadership payroll $</t>
        </is>
      </c>
    </row>
    <row r="2">
      <c r="A2" s="8" t="n">
        <v>45658</v>
      </c>
      <c r="B2" s="9">
        <f>Inputs!$A$36</f>
        <v/>
      </c>
      <c r="C2" s="9" t="n">
        <v>145185523</v>
      </c>
      <c r="D2" s="9" t="n">
        <v>3043624</v>
      </c>
      <c r="E2" s="9" t="n">
        <v>40295</v>
      </c>
      <c r="F2" s="9" t="n">
        <v>2808121</v>
      </c>
      <c r="G2" s="9" t="n">
        <v>319183</v>
      </c>
    </row>
    <row r="3">
      <c r="A3" s="8" t="n">
        <v>45658</v>
      </c>
      <c r="B3" s="9">
        <f>Inputs!$A$37</f>
        <v/>
      </c>
      <c r="C3" s="9" t="n">
        <v>133443243</v>
      </c>
      <c r="D3" s="9" t="n">
        <v>2887489</v>
      </c>
      <c r="E3" s="9" t="n">
        <v>38547</v>
      </c>
      <c r="F3" s="9" t="n">
        <v>2623810</v>
      </c>
      <c r="G3" s="9" t="n">
        <v>302699</v>
      </c>
    </row>
    <row r="4">
      <c r="A4" s="8" t="n">
        <v>45658</v>
      </c>
      <c r="B4" s="9">
        <f>Inputs!$A$38</f>
        <v/>
      </c>
      <c r="C4" s="9" t="n">
        <v>111417052</v>
      </c>
      <c r="D4" s="9" t="n">
        <v>2452995</v>
      </c>
      <c r="E4" s="9" t="n">
        <v>34693</v>
      </c>
      <c r="F4" s="9" t="n">
        <v>2319628</v>
      </c>
      <c r="G4" s="9" t="n">
        <v>267794</v>
      </c>
    </row>
    <row r="5">
      <c r="A5" s="8" t="n">
        <v>45658</v>
      </c>
      <c r="B5" s="9">
        <f>Inputs!$A$39</f>
        <v/>
      </c>
      <c r="C5" s="9" t="n">
        <v>125154901</v>
      </c>
      <c r="D5" s="9" t="n">
        <v>2690106</v>
      </c>
      <c r="E5" s="9" t="n">
        <v>36126</v>
      </c>
      <c r="F5" s="9" t="n">
        <v>2481070</v>
      </c>
      <c r="G5" s="9" t="n">
        <v>301012</v>
      </c>
    </row>
    <row r="6">
      <c r="A6" s="8" t="n">
        <v>45658</v>
      </c>
      <c r="B6" s="9">
        <f>Inputs!$A$40</f>
        <v/>
      </c>
      <c r="C6" s="9" t="n">
        <v>129729431</v>
      </c>
      <c r="D6" s="9" t="n">
        <v>2666780</v>
      </c>
      <c r="E6" s="9" t="n">
        <v>34264</v>
      </c>
      <c r="F6" s="9" t="n">
        <v>2298653</v>
      </c>
      <c r="G6" s="9" t="n">
        <v>303403</v>
      </c>
    </row>
    <row r="7">
      <c r="A7" s="8" t="n">
        <v>45658</v>
      </c>
      <c r="B7" s="9">
        <f>Inputs!$A$41</f>
        <v/>
      </c>
      <c r="C7" s="9" t="n">
        <v>117129351</v>
      </c>
      <c r="D7" s="9" t="n">
        <v>2537615</v>
      </c>
      <c r="E7" s="9" t="n">
        <v>35430</v>
      </c>
      <c r="F7" s="9" t="n">
        <v>2331622</v>
      </c>
      <c r="G7" s="9" t="n">
        <v>266309</v>
      </c>
    </row>
    <row r="8">
      <c r="A8" s="8" t="n">
        <v>45658</v>
      </c>
      <c r="B8" s="9">
        <f>Inputs!$A$42</f>
        <v/>
      </c>
      <c r="C8" s="9" t="n">
        <v>78517402</v>
      </c>
      <c r="D8" s="9" t="n">
        <v>1794006</v>
      </c>
      <c r="E8" s="9" t="n">
        <v>26280</v>
      </c>
      <c r="F8" s="9" t="n">
        <v>1687827</v>
      </c>
      <c r="G8" s="9" t="n">
        <v>204809</v>
      </c>
    </row>
    <row r="9">
      <c r="A9" s="8" t="n">
        <v>45658</v>
      </c>
      <c r="B9" s="9">
        <f>Inputs!$A$43</f>
        <v/>
      </c>
      <c r="C9" s="9" t="n">
        <v>99253181</v>
      </c>
      <c r="D9" s="9" t="n">
        <v>2212340</v>
      </c>
      <c r="E9" s="9" t="n">
        <v>31507</v>
      </c>
      <c r="F9" s="9" t="n">
        <v>2336629</v>
      </c>
      <c r="G9" s="9" t="n">
        <v>248935</v>
      </c>
    </row>
    <row r="10">
      <c r="A10" s="8" t="n">
        <v>45658</v>
      </c>
      <c r="B10" s="9">
        <f>Inputs!$A$44</f>
        <v/>
      </c>
      <c r="C10" s="9" t="n"/>
      <c r="D10" s="9" t="n">
        <v>814235</v>
      </c>
      <c r="E10" s="9" t="n">
        <v>7750</v>
      </c>
      <c r="F10" s="9" t="n">
        <v>564304</v>
      </c>
      <c r="G10" s="9" t="n">
        <v>149724</v>
      </c>
    </row>
    <row r="11">
      <c r="A11" s="8" t="n">
        <v>45658</v>
      </c>
      <c r="B11" s="9">
        <f>Inputs!$A$45</f>
        <v/>
      </c>
      <c r="C11" s="9" t="n"/>
      <c r="D11" s="9" t="n">
        <v>745617</v>
      </c>
      <c r="E11" s="9" t="n">
        <v>7313</v>
      </c>
      <c r="F11" s="9" t="n">
        <v>524974</v>
      </c>
      <c r="G11" s="9" t="n">
        <v>142777</v>
      </c>
    </row>
    <row r="12">
      <c r="A12" s="8" t="n">
        <v>45689</v>
      </c>
      <c r="B12" s="9">
        <f>Inputs!$A$36</f>
        <v/>
      </c>
      <c r="C12" s="9" t="n">
        <v>132346726</v>
      </c>
      <c r="D12" s="9" t="n">
        <v>2785007</v>
      </c>
      <c r="E12" s="9" t="n">
        <v>36181</v>
      </c>
      <c r="F12" s="9" t="n">
        <v>2383806</v>
      </c>
      <c r="G12" s="9" t="n">
        <v>320742</v>
      </c>
    </row>
    <row r="13">
      <c r="A13" s="8" t="n">
        <v>45689</v>
      </c>
      <c r="B13" s="9">
        <f>Inputs!$A$37</f>
        <v/>
      </c>
      <c r="C13" s="9" t="n">
        <v>129246596</v>
      </c>
      <c r="D13" s="9" t="n">
        <v>2777283</v>
      </c>
      <c r="E13" s="9" t="n">
        <v>34519</v>
      </c>
      <c r="F13" s="9" t="n">
        <v>2236585</v>
      </c>
      <c r="G13" s="9" t="n">
        <v>295534</v>
      </c>
    </row>
    <row r="14">
      <c r="A14" s="8" t="n">
        <v>45689</v>
      </c>
      <c r="B14" s="9">
        <f>Inputs!$A$38</f>
        <v/>
      </c>
      <c r="C14" s="9" t="n">
        <v>100727414</v>
      </c>
      <c r="D14" s="9" t="n">
        <v>2181145</v>
      </c>
      <c r="E14" s="9" t="n">
        <v>29392</v>
      </c>
      <c r="F14" s="9" t="n">
        <v>1832372</v>
      </c>
      <c r="G14" s="9" t="n">
        <v>257979</v>
      </c>
    </row>
    <row r="15">
      <c r="A15" s="8" t="n">
        <v>45689</v>
      </c>
      <c r="B15" s="9">
        <f>Inputs!$A$39</f>
        <v/>
      </c>
      <c r="C15" s="9" t="n">
        <v>110794435</v>
      </c>
      <c r="D15" s="9" t="n">
        <v>2337164</v>
      </c>
      <c r="E15" s="9" t="n">
        <v>31366</v>
      </c>
      <c r="F15" s="9" t="n">
        <v>2097121</v>
      </c>
      <c r="G15" s="9" t="n">
        <v>282353</v>
      </c>
    </row>
    <row r="16">
      <c r="A16" s="8" t="n">
        <v>45689</v>
      </c>
      <c r="B16" s="9">
        <f>Inputs!$A$40</f>
        <v/>
      </c>
      <c r="C16" s="9" t="n">
        <v>122688392</v>
      </c>
      <c r="D16" s="9" t="n">
        <v>2600981</v>
      </c>
      <c r="E16" s="9" t="n">
        <v>33068</v>
      </c>
      <c r="F16" s="9" t="n">
        <v>2113994</v>
      </c>
      <c r="G16" s="9" t="n">
        <v>294983</v>
      </c>
    </row>
    <row r="17">
      <c r="A17" s="8" t="n">
        <v>45689</v>
      </c>
      <c r="B17" s="9">
        <f>Inputs!$A$41</f>
        <v/>
      </c>
      <c r="C17" s="9" t="n">
        <v>109162992</v>
      </c>
      <c r="D17" s="9" t="n">
        <v>2365350</v>
      </c>
      <c r="E17" s="9" t="n">
        <v>31471</v>
      </c>
      <c r="F17" s="9" t="n">
        <v>1991983</v>
      </c>
      <c r="G17" s="9" t="n">
        <v>275619</v>
      </c>
    </row>
    <row r="18">
      <c r="A18" s="8" t="n">
        <v>45689</v>
      </c>
      <c r="B18" s="9">
        <f>Inputs!$A$42</f>
        <v/>
      </c>
      <c r="C18" s="9" t="n">
        <v>70749655</v>
      </c>
      <c r="D18" s="9" t="n">
        <v>1615239</v>
      </c>
      <c r="E18" s="9" t="n">
        <v>22417</v>
      </c>
      <c r="F18" s="9" t="n">
        <v>1358641</v>
      </c>
      <c r="G18" s="9" t="n">
        <v>210920</v>
      </c>
    </row>
    <row r="19">
      <c r="A19" s="8" t="n">
        <v>45689</v>
      </c>
      <c r="B19" s="9">
        <f>Inputs!$A$43</f>
        <v/>
      </c>
      <c r="C19" s="9" t="n">
        <v>94123598</v>
      </c>
      <c r="D19" s="9" t="n">
        <v>2117036</v>
      </c>
      <c r="E19" s="9" t="n">
        <v>29338</v>
      </c>
      <c r="F19" s="9" t="n">
        <v>2028412</v>
      </c>
      <c r="G19" s="9" t="n">
        <v>245629</v>
      </c>
    </row>
    <row r="20">
      <c r="A20" s="8" t="n">
        <v>45689</v>
      </c>
      <c r="B20" s="9">
        <f>Inputs!$A$44</f>
        <v/>
      </c>
      <c r="C20" s="9" t="n"/>
      <c r="D20" s="9" t="n">
        <v>736093</v>
      </c>
      <c r="E20" s="9" t="n">
        <v>6714</v>
      </c>
      <c r="F20" s="9" t="n">
        <v>471815</v>
      </c>
      <c r="G20" s="9" t="n">
        <v>145495</v>
      </c>
    </row>
    <row r="21">
      <c r="A21" s="8" t="n">
        <v>45689</v>
      </c>
      <c r="B21" s="9">
        <f>Inputs!$A$45</f>
        <v/>
      </c>
      <c r="C21" s="9" t="n"/>
      <c r="D21" s="9" t="n">
        <v>699658</v>
      </c>
      <c r="E21" s="9" t="n">
        <v>6848</v>
      </c>
      <c r="F21" s="9" t="n">
        <v>467508</v>
      </c>
      <c r="G21" s="9" t="n">
        <v>140341</v>
      </c>
    </row>
    <row r="22">
      <c r="A22" s="8" t="n">
        <v>45717</v>
      </c>
      <c r="B22" s="9">
        <f>Inputs!$A$36</f>
        <v/>
      </c>
      <c r="C22" s="9" t="n">
        <v>151388181</v>
      </c>
      <c r="D22" s="9" t="n">
        <v>3208052</v>
      </c>
      <c r="E22" s="9" t="n">
        <v>40660</v>
      </c>
      <c r="F22" s="9" t="n">
        <v>2685948</v>
      </c>
      <c r="G22" s="9" t="n">
        <v>315275</v>
      </c>
    </row>
    <row r="23">
      <c r="A23" s="8" t="n">
        <v>45717</v>
      </c>
      <c r="B23" s="9">
        <f>Inputs!$A$37</f>
        <v/>
      </c>
      <c r="C23" s="9" t="n">
        <v>139380637</v>
      </c>
      <c r="D23" s="9" t="n">
        <v>3034799</v>
      </c>
      <c r="E23" s="9" t="n">
        <v>37316</v>
      </c>
      <c r="F23" s="9" t="n">
        <v>2494850</v>
      </c>
      <c r="G23" s="9" t="n">
        <v>319982</v>
      </c>
    </row>
    <row r="24">
      <c r="A24" s="8" t="n">
        <v>45717</v>
      </c>
      <c r="B24" s="9">
        <f>Inputs!$A$38</f>
        <v/>
      </c>
      <c r="C24" s="9" t="n">
        <v>115886017</v>
      </c>
      <c r="D24" s="9" t="n">
        <v>2560673</v>
      </c>
      <c r="E24" s="9" t="n">
        <v>34662</v>
      </c>
      <c r="F24" s="9" t="n">
        <v>2185396</v>
      </c>
      <c r="G24" s="9" t="n">
        <v>255961</v>
      </c>
    </row>
    <row r="25">
      <c r="A25" s="8" t="n">
        <v>45717</v>
      </c>
      <c r="B25" s="9">
        <f>Inputs!$A$39</f>
        <v/>
      </c>
      <c r="C25" s="9" t="n">
        <v>123027509</v>
      </c>
      <c r="D25" s="9" t="n">
        <v>2608583</v>
      </c>
      <c r="E25" s="9" t="n">
        <v>33988</v>
      </c>
      <c r="F25" s="9" t="n">
        <v>2237477</v>
      </c>
      <c r="G25" s="9" t="n">
        <v>273167</v>
      </c>
    </row>
    <row r="26">
      <c r="A26" s="8" t="n">
        <v>45717</v>
      </c>
      <c r="B26" s="9">
        <f>Inputs!$A$40</f>
        <v/>
      </c>
      <c r="C26" s="9" t="n">
        <v>135907959</v>
      </c>
      <c r="D26" s="9" t="n">
        <v>2829800</v>
      </c>
      <c r="E26" s="9" t="n">
        <v>35242</v>
      </c>
      <c r="F26" s="9" t="n">
        <v>2310290</v>
      </c>
      <c r="G26" s="9" t="n">
        <v>298020</v>
      </c>
    </row>
    <row r="27">
      <c r="A27" s="8" t="n">
        <v>45717</v>
      </c>
      <c r="B27" s="9">
        <f>Inputs!$A$41</f>
        <v/>
      </c>
      <c r="C27" s="9" t="n">
        <v>122320621</v>
      </c>
      <c r="D27" s="9" t="n">
        <v>2680744</v>
      </c>
      <c r="E27" s="9" t="n">
        <v>35277</v>
      </c>
      <c r="F27" s="9" t="n">
        <v>2213243</v>
      </c>
      <c r="G27" s="9" t="n">
        <v>268586</v>
      </c>
    </row>
    <row r="28">
      <c r="A28" s="8" t="n">
        <v>45717</v>
      </c>
      <c r="B28" s="9">
        <f>Inputs!$A$42</f>
        <v/>
      </c>
      <c r="C28" s="9" t="n">
        <v>81234768</v>
      </c>
      <c r="D28" s="9" t="n">
        <v>1826489</v>
      </c>
      <c r="E28" s="9" t="n">
        <v>24500</v>
      </c>
      <c r="F28" s="9" t="n">
        <v>1538671</v>
      </c>
      <c r="G28" s="9" t="n">
        <v>197429</v>
      </c>
    </row>
    <row r="29">
      <c r="A29" s="8" t="n">
        <v>45717</v>
      </c>
      <c r="B29" s="9">
        <f>Inputs!$A$43</f>
        <v/>
      </c>
      <c r="C29" s="9" t="n">
        <v>108067323</v>
      </c>
      <c r="D29" s="9" t="n">
        <v>2388750</v>
      </c>
      <c r="E29" s="9" t="n">
        <v>32485</v>
      </c>
      <c r="F29" s="9" t="n">
        <v>2317422</v>
      </c>
      <c r="G29" s="9" t="n">
        <v>248477</v>
      </c>
    </row>
    <row r="30">
      <c r="A30" s="8" t="n">
        <v>45717</v>
      </c>
      <c r="B30" s="9">
        <f>Inputs!$A$44</f>
        <v/>
      </c>
      <c r="C30" s="9" t="n"/>
      <c r="D30" s="9" t="n">
        <v>809173</v>
      </c>
      <c r="E30" s="9" t="n">
        <v>7223</v>
      </c>
      <c r="F30" s="9" t="n">
        <v>505153</v>
      </c>
      <c r="G30" s="9" t="n">
        <v>146059</v>
      </c>
    </row>
    <row r="31">
      <c r="A31" s="8" t="n">
        <v>45717</v>
      </c>
      <c r="B31" s="9">
        <f>Inputs!$A$45</f>
        <v/>
      </c>
      <c r="C31" s="9" t="n"/>
      <c r="D31" s="9" t="n">
        <v>778599</v>
      </c>
      <c r="E31" s="9" t="n">
        <v>7397</v>
      </c>
      <c r="F31" s="9" t="n">
        <v>527308</v>
      </c>
      <c r="G31" s="9" t="n">
        <v>140256</v>
      </c>
    </row>
    <row r="32">
      <c r="A32" s="8" t="n">
        <v>45748</v>
      </c>
      <c r="B32" s="9">
        <f>Inputs!$A$36</f>
        <v/>
      </c>
      <c r="C32" s="9" t="n">
        <v>147502978</v>
      </c>
      <c r="D32" s="9" t="n">
        <v>3093483</v>
      </c>
      <c r="E32" s="9" t="n">
        <v>39190</v>
      </c>
      <c r="F32" s="9" t="n">
        <v>2940258</v>
      </c>
      <c r="G32" s="9" t="n">
        <v>319320</v>
      </c>
    </row>
    <row r="33">
      <c r="A33" s="8" t="n">
        <v>45748</v>
      </c>
      <c r="B33" s="9">
        <f>Inputs!$A$37</f>
        <v/>
      </c>
      <c r="C33" s="9" t="n">
        <v>139729332</v>
      </c>
      <c r="D33" s="9" t="n">
        <v>3011417</v>
      </c>
      <c r="E33" s="9" t="n">
        <v>37754</v>
      </c>
      <c r="F33" s="9" t="n">
        <v>2783718</v>
      </c>
      <c r="G33" s="9" t="n">
        <v>313897</v>
      </c>
    </row>
    <row r="34">
      <c r="A34" s="8" t="n">
        <v>45748</v>
      </c>
      <c r="B34" s="9">
        <f>Inputs!$A$38</f>
        <v/>
      </c>
      <c r="C34" s="9" t="n">
        <v>117059467</v>
      </c>
      <c r="D34" s="9" t="n">
        <v>2552888</v>
      </c>
      <c r="E34" s="9" t="n">
        <v>34584</v>
      </c>
      <c r="F34" s="9" t="n">
        <v>2465776</v>
      </c>
      <c r="G34" s="9" t="n">
        <v>260553</v>
      </c>
    </row>
    <row r="35">
      <c r="A35" s="8" t="n">
        <v>45748</v>
      </c>
      <c r="B35" s="9">
        <f>Inputs!$A$39</f>
        <v/>
      </c>
      <c r="C35" s="9" t="n">
        <v>123461416</v>
      </c>
      <c r="D35" s="9" t="n">
        <v>2596120</v>
      </c>
      <c r="E35" s="9" t="n">
        <v>34407</v>
      </c>
      <c r="F35" s="9" t="n">
        <v>2569797</v>
      </c>
      <c r="G35" s="9" t="n">
        <v>284117</v>
      </c>
    </row>
    <row r="36">
      <c r="A36" s="8" t="n">
        <v>45748</v>
      </c>
      <c r="B36" s="9">
        <f>Inputs!$A$40</f>
        <v/>
      </c>
      <c r="C36" s="9" t="n">
        <v>136765517</v>
      </c>
      <c r="D36" s="9" t="n">
        <v>2877751</v>
      </c>
      <c r="E36" s="9" t="n">
        <v>35707</v>
      </c>
      <c r="F36" s="9" t="n">
        <v>2629214</v>
      </c>
      <c r="G36" s="9" t="n">
        <v>306586</v>
      </c>
    </row>
    <row r="37">
      <c r="A37" s="8" t="n">
        <v>45748</v>
      </c>
      <c r="B37" s="9">
        <f>Inputs!$A$41</f>
        <v/>
      </c>
      <c r="C37" s="9" t="n">
        <v>116536673</v>
      </c>
      <c r="D37" s="9" t="n">
        <v>2538303</v>
      </c>
      <c r="E37" s="9" t="n">
        <v>34449</v>
      </c>
      <c r="F37" s="9" t="n">
        <v>2474166</v>
      </c>
      <c r="G37" s="9" t="n">
        <v>272848</v>
      </c>
    </row>
    <row r="38">
      <c r="A38" s="8" t="n">
        <v>45748</v>
      </c>
      <c r="B38" s="9">
        <f>Inputs!$A$42</f>
        <v/>
      </c>
      <c r="C38" s="9" t="n">
        <v>79536351</v>
      </c>
      <c r="D38" s="9" t="n">
        <v>1769687</v>
      </c>
      <c r="E38" s="9" t="n">
        <v>24842</v>
      </c>
      <c r="F38" s="9" t="n">
        <v>1722163</v>
      </c>
      <c r="G38" s="9" t="n">
        <v>207265</v>
      </c>
    </row>
    <row r="39">
      <c r="A39" s="8" t="n">
        <v>45748</v>
      </c>
      <c r="B39" s="9">
        <f>Inputs!$A$43</f>
        <v/>
      </c>
      <c r="C39" s="9" t="n">
        <v>104847628</v>
      </c>
      <c r="D39" s="9" t="n">
        <v>2342946</v>
      </c>
      <c r="E39" s="9" t="n">
        <v>32011</v>
      </c>
      <c r="F39" s="9" t="n">
        <v>2424086</v>
      </c>
      <c r="G39" s="9" t="n">
        <v>250907</v>
      </c>
    </row>
    <row r="40">
      <c r="A40" s="8" t="n">
        <v>45748</v>
      </c>
      <c r="B40" s="9">
        <f>Inputs!$A$44</f>
        <v/>
      </c>
      <c r="C40" s="9" t="n"/>
      <c r="D40" s="9" t="n">
        <v>816972</v>
      </c>
      <c r="E40" s="9" t="n">
        <v>7455</v>
      </c>
      <c r="F40" s="9" t="n">
        <v>606629</v>
      </c>
      <c r="G40" s="9" t="n">
        <v>153750</v>
      </c>
    </row>
    <row r="41">
      <c r="A41" s="8" t="n">
        <v>45748</v>
      </c>
      <c r="B41" s="9">
        <f>Inputs!$A$45</f>
        <v/>
      </c>
      <c r="C41" s="9" t="n"/>
      <c r="D41" s="9" t="n">
        <v>767977</v>
      </c>
      <c r="E41" s="9" t="n">
        <v>7081</v>
      </c>
      <c r="F41" s="9" t="n">
        <v>562453</v>
      </c>
      <c r="G41" s="9" t="n">
        <v>140551</v>
      </c>
    </row>
    <row r="42">
      <c r="A42" s="8" t="n">
        <v>45778</v>
      </c>
      <c r="B42" s="9">
        <f>Inputs!$A$36</f>
        <v/>
      </c>
      <c r="C42" s="9" t="n">
        <v>149881462</v>
      </c>
      <c r="D42" s="9" t="n">
        <v>3086173</v>
      </c>
      <c r="E42" s="9" t="n">
        <v>39621</v>
      </c>
      <c r="F42" s="9" t="n">
        <v>2625238</v>
      </c>
      <c r="G42" s="9" t="n">
        <v>325590</v>
      </c>
    </row>
    <row r="43">
      <c r="A43" s="8" t="n">
        <v>45778</v>
      </c>
      <c r="B43" s="9">
        <f>Inputs!$A$37</f>
        <v/>
      </c>
      <c r="C43" s="9" t="n">
        <v>141918699</v>
      </c>
      <c r="D43" s="9" t="n">
        <v>2993432</v>
      </c>
      <c r="E43" s="9" t="n">
        <v>37519</v>
      </c>
      <c r="F43" s="9" t="n">
        <v>2447093</v>
      </c>
      <c r="G43" s="9" t="n">
        <v>304699</v>
      </c>
    </row>
    <row r="44">
      <c r="A44" s="8" t="n">
        <v>45778</v>
      </c>
      <c r="B44" s="9">
        <f>Inputs!$A$38</f>
        <v/>
      </c>
      <c r="C44" s="9" t="n">
        <v>113712227</v>
      </c>
      <c r="D44" s="9" t="n">
        <v>2485054</v>
      </c>
      <c r="E44" s="9" t="n">
        <v>33987</v>
      </c>
      <c r="F44" s="9" t="n">
        <v>2207839</v>
      </c>
      <c r="G44" s="9" t="n">
        <v>267353</v>
      </c>
    </row>
    <row r="45">
      <c r="A45" s="8" t="n">
        <v>45778</v>
      </c>
      <c r="B45" s="9">
        <f>Inputs!$A$39</f>
        <v/>
      </c>
      <c r="C45" s="9" t="n">
        <v>122147150</v>
      </c>
      <c r="D45" s="9" t="n">
        <v>2531897</v>
      </c>
      <c r="E45" s="9" t="n">
        <v>33577</v>
      </c>
      <c r="F45" s="9" t="n">
        <v>2239964</v>
      </c>
      <c r="G45" s="9" t="n">
        <v>276790</v>
      </c>
    </row>
    <row r="46">
      <c r="A46" s="8" t="n">
        <v>45778</v>
      </c>
      <c r="B46" s="9">
        <f>Inputs!$A$40</f>
        <v/>
      </c>
      <c r="C46" s="9" t="n">
        <v>137261905</v>
      </c>
      <c r="D46" s="9" t="n">
        <v>2874734</v>
      </c>
      <c r="E46" s="9" t="n">
        <v>35879</v>
      </c>
      <c r="F46" s="9" t="n">
        <v>2347584</v>
      </c>
      <c r="G46" s="9" t="n">
        <v>295261</v>
      </c>
    </row>
    <row r="47">
      <c r="A47" s="8" t="n">
        <v>45778</v>
      </c>
      <c r="B47" s="9">
        <f>Inputs!$A$41</f>
        <v/>
      </c>
      <c r="C47" s="9" t="n">
        <v>116543697</v>
      </c>
      <c r="D47" s="9" t="n">
        <v>2502257</v>
      </c>
      <c r="E47" s="9" t="n">
        <v>33428</v>
      </c>
      <c r="F47" s="9" t="n">
        <v>2148823</v>
      </c>
      <c r="G47" s="9" t="n">
        <v>270902</v>
      </c>
    </row>
    <row r="48">
      <c r="A48" s="8" t="n">
        <v>45778</v>
      </c>
      <c r="B48" s="9">
        <f>Inputs!$A$42</f>
        <v/>
      </c>
      <c r="C48" s="9" t="n">
        <v>78013621</v>
      </c>
      <c r="D48" s="9" t="n">
        <v>1770297</v>
      </c>
      <c r="E48" s="9" t="n">
        <v>24288</v>
      </c>
      <c r="F48" s="9" t="n">
        <v>1473644</v>
      </c>
      <c r="G48" s="9" t="n">
        <v>212855</v>
      </c>
    </row>
    <row r="49">
      <c r="A49" s="8" t="n">
        <v>45778</v>
      </c>
      <c r="B49" s="9">
        <f>Inputs!$A$43</f>
        <v/>
      </c>
      <c r="C49" s="9" t="n">
        <v>102610754</v>
      </c>
      <c r="D49" s="9" t="n">
        <v>2259751</v>
      </c>
      <c r="E49" s="9" t="n">
        <v>31156</v>
      </c>
      <c r="F49" s="9" t="n">
        <v>2170677</v>
      </c>
      <c r="G49" s="9" t="n">
        <v>257983</v>
      </c>
    </row>
    <row r="50">
      <c r="A50" s="8" t="n">
        <v>45778</v>
      </c>
      <c r="B50" s="9">
        <f>Inputs!$A$44</f>
        <v/>
      </c>
      <c r="C50" s="9" t="n"/>
      <c r="D50" s="9" t="n">
        <v>814800</v>
      </c>
      <c r="E50" s="9" t="n">
        <v>7400</v>
      </c>
      <c r="F50" s="9" t="n">
        <v>518632</v>
      </c>
      <c r="G50" s="9" t="n">
        <v>149692</v>
      </c>
    </row>
    <row r="51">
      <c r="A51" s="8" t="n">
        <v>45778</v>
      </c>
      <c r="B51" s="9">
        <f>Inputs!$A$45</f>
        <v/>
      </c>
      <c r="C51" s="9" t="n"/>
      <c r="D51" s="9" t="n">
        <v>771305</v>
      </c>
      <c r="E51" s="9" t="n">
        <v>7503</v>
      </c>
      <c r="F51" s="9" t="n">
        <v>518583</v>
      </c>
      <c r="G51" s="9" t="n">
        <v>139285</v>
      </c>
    </row>
    <row r="52">
      <c r="A52" s="8" t="n">
        <v>45809</v>
      </c>
      <c r="B52" s="9">
        <f>Inputs!$A$36</f>
        <v/>
      </c>
      <c r="C52" s="9" t="n">
        <v>145551686</v>
      </c>
      <c r="D52" s="9" t="n">
        <v>3048836</v>
      </c>
      <c r="E52" s="9" t="n">
        <v>38782</v>
      </c>
      <c r="F52" s="9" t="n">
        <v>2641082</v>
      </c>
      <c r="G52" s="9" t="n">
        <v>312875</v>
      </c>
    </row>
    <row r="53">
      <c r="A53" s="8" t="n">
        <v>45809</v>
      </c>
      <c r="B53" s="9">
        <f>Inputs!$A$37</f>
        <v/>
      </c>
      <c r="C53" s="9" t="n">
        <v>133582637</v>
      </c>
      <c r="D53" s="9" t="n">
        <v>2789624</v>
      </c>
      <c r="E53" s="9" t="n">
        <v>35748</v>
      </c>
      <c r="F53" s="9" t="n">
        <v>2381357</v>
      </c>
      <c r="G53" s="9" t="n">
        <v>299381</v>
      </c>
    </row>
    <row r="54">
      <c r="A54" s="8" t="n">
        <v>45809</v>
      </c>
      <c r="B54" s="9">
        <f>Inputs!$A$38</f>
        <v/>
      </c>
      <c r="C54" s="9" t="n">
        <v>112402328</v>
      </c>
      <c r="D54" s="9" t="n">
        <v>2475324</v>
      </c>
      <c r="E54" s="9" t="n">
        <v>32898</v>
      </c>
      <c r="F54" s="9" t="n">
        <v>2087983</v>
      </c>
      <c r="G54" s="9" t="n">
        <v>261577</v>
      </c>
    </row>
    <row r="55">
      <c r="A55" s="8" t="n">
        <v>45809</v>
      </c>
      <c r="B55" s="9">
        <f>Inputs!$A$39</f>
        <v/>
      </c>
      <c r="C55" s="9" t="n">
        <v>126006744</v>
      </c>
      <c r="D55" s="9" t="n">
        <v>2667620</v>
      </c>
      <c r="E55" s="9" t="n">
        <v>35576</v>
      </c>
      <c r="F55" s="9" t="n">
        <v>2391671</v>
      </c>
      <c r="G55" s="9" t="n">
        <v>281363</v>
      </c>
    </row>
    <row r="56">
      <c r="A56" s="8" t="n">
        <v>45809</v>
      </c>
      <c r="B56" s="9">
        <f>Inputs!$A$40</f>
        <v/>
      </c>
      <c r="C56" s="9" t="n">
        <v>128616983</v>
      </c>
      <c r="D56" s="9" t="n">
        <v>2684568</v>
      </c>
      <c r="E56" s="9" t="n">
        <v>34018</v>
      </c>
      <c r="F56" s="9" t="n">
        <v>2266901</v>
      </c>
      <c r="G56" s="9" t="n">
        <v>296528</v>
      </c>
    </row>
    <row r="57">
      <c r="A57" s="8" t="n">
        <v>45809</v>
      </c>
      <c r="B57" s="9">
        <f>Inputs!$A$41</f>
        <v/>
      </c>
      <c r="C57" s="9" t="n">
        <v>114837763</v>
      </c>
      <c r="D57" s="9" t="n">
        <v>2488921</v>
      </c>
      <c r="E57" s="9" t="n">
        <v>33907</v>
      </c>
      <c r="F57" s="9" t="n">
        <v>2099318</v>
      </c>
      <c r="G57" s="9" t="n">
        <v>273870</v>
      </c>
    </row>
    <row r="58">
      <c r="A58" s="8" t="n">
        <v>45809</v>
      </c>
      <c r="B58" s="9">
        <f>Inputs!$A$42</f>
        <v/>
      </c>
      <c r="C58" s="9" t="n">
        <v>78697811</v>
      </c>
      <c r="D58" s="9" t="n">
        <v>1781884</v>
      </c>
      <c r="E58" s="9" t="n">
        <v>25042</v>
      </c>
      <c r="F58" s="9" t="n">
        <v>1576197</v>
      </c>
      <c r="G58" s="9" t="n">
        <v>207447</v>
      </c>
    </row>
    <row r="59">
      <c r="A59" s="8" t="n">
        <v>45809</v>
      </c>
      <c r="B59" s="9">
        <f>Inputs!$A$43</f>
        <v/>
      </c>
      <c r="C59" s="9" t="n">
        <v>106251584</v>
      </c>
      <c r="D59" s="9" t="n">
        <v>2353205</v>
      </c>
      <c r="E59" s="9" t="n">
        <v>32513</v>
      </c>
      <c r="F59" s="9" t="n">
        <v>2282566</v>
      </c>
      <c r="G59" s="9" t="n">
        <v>258037</v>
      </c>
    </row>
    <row r="60">
      <c r="A60" s="8" t="n">
        <v>45809</v>
      </c>
      <c r="B60" s="9">
        <f>Inputs!$A$44</f>
        <v/>
      </c>
      <c r="C60" s="9" t="n"/>
      <c r="D60" s="9" t="n">
        <v>797913</v>
      </c>
      <c r="E60" s="9" t="n">
        <v>7125</v>
      </c>
      <c r="F60" s="9" t="n">
        <v>512235</v>
      </c>
      <c r="G60" s="9" t="n">
        <v>141736</v>
      </c>
    </row>
    <row r="61">
      <c r="A61" s="8" t="n">
        <v>45809</v>
      </c>
      <c r="B61" s="9">
        <f>Inputs!$A$45</f>
        <v/>
      </c>
      <c r="C61" s="9" t="n"/>
      <c r="D61" s="9" t="n">
        <v>732957</v>
      </c>
      <c r="E61" s="9" t="n">
        <v>6918</v>
      </c>
      <c r="F61" s="9" t="n">
        <v>490484</v>
      </c>
      <c r="G61" s="9" t="n">
        <v>143198</v>
      </c>
    </row>
    <row r="62">
      <c r="A62" s="8" t="n">
        <v>45839</v>
      </c>
      <c r="B62" s="9">
        <f>Inputs!$A$36</f>
        <v/>
      </c>
      <c r="C62" s="9" t="n">
        <v>150825108</v>
      </c>
      <c r="D62" s="9" t="n">
        <v>3095874</v>
      </c>
      <c r="E62" s="9" t="n">
        <v>41109</v>
      </c>
      <c r="F62" s="9" t="n">
        <v>2700039</v>
      </c>
      <c r="G62" s="9" t="n">
        <v>314139</v>
      </c>
    </row>
    <row r="63">
      <c r="A63" s="8" t="n">
        <v>45839</v>
      </c>
      <c r="B63" s="9">
        <f>Inputs!$A$37</f>
        <v/>
      </c>
      <c r="C63" s="9" t="n">
        <v>140303139</v>
      </c>
      <c r="D63" s="9" t="n">
        <v>2970766</v>
      </c>
      <c r="E63" s="9" t="n">
        <v>37642</v>
      </c>
      <c r="F63" s="9" t="n">
        <v>2407100</v>
      </c>
      <c r="G63" s="9" t="n">
        <v>301975</v>
      </c>
    </row>
    <row r="64">
      <c r="A64" s="8" t="n">
        <v>45839</v>
      </c>
      <c r="B64" s="9">
        <f>Inputs!$A$38</f>
        <v/>
      </c>
      <c r="C64" s="9" t="n">
        <v>115020335</v>
      </c>
      <c r="D64" s="9" t="n">
        <v>2533096</v>
      </c>
      <c r="E64" s="9" t="n">
        <v>34026</v>
      </c>
      <c r="F64" s="9" t="n">
        <v>2126937</v>
      </c>
      <c r="G64" s="9" t="n">
        <v>260124</v>
      </c>
    </row>
    <row r="65">
      <c r="A65" s="8" t="n">
        <v>45839</v>
      </c>
      <c r="B65" s="9">
        <f>Inputs!$A$39</f>
        <v/>
      </c>
      <c r="C65" s="9" t="n">
        <v>122423850</v>
      </c>
      <c r="D65" s="9" t="n">
        <v>2637012</v>
      </c>
      <c r="E65" s="9" t="n">
        <v>35046</v>
      </c>
      <c r="F65" s="9" t="n">
        <v>2325652</v>
      </c>
      <c r="G65" s="9" t="n">
        <v>288177</v>
      </c>
    </row>
    <row r="66">
      <c r="A66" s="8" t="n">
        <v>45839</v>
      </c>
      <c r="B66" s="9">
        <f>Inputs!$A$40</f>
        <v/>
      </c>
      <c r="C66" s="9" t="n">
        <v>133802087</v>
      </c>
      <c r="D66" s="9" t="n">
        <v>2768560</v>
      </c>
      <c r="E66" s="9" t="n">
        <v>35414</v>
      </c>
      <c r="F66" s="9" t="n">
        <v>2303169</v>
      </c>
      <c r="G66" s="9" t="n">
        <v>301476</v>
      </c>
    </row>
    <row r="67">
      <c r="A67" s="8" t="n">
        <v>45839</v>
      </c>
      <c r="B67" s="9">
        <f>Inputs!$A$41</f>
        <v/>
      </c>
      <c r="C67" s="9" t="n">
        <v>117297779</v>
      </c>
      <c r="D67" s="9" t="n">
        <v>2523631</v>
      </c>
      <c r="E67" s="9" t="n">
        <v>34209</v>
      </c>
      <c r="F67" s="9" t="n">
        <v>2130859</v>
      </c>
      <c r="G67" s="9" t="n">
        <v>267846</v>
      </c>
    </row>
    <row r="68">
      <c r="A68" s="8" t="n">
        <v>45839</v>
      </c>
      <c r="B68" s="9">
        <f>Inputs!$A$42</f>
        <v/>
      </c>
      <c r="C68" s="9" t="n">
        <v>81142099</v>
      </c>
      <c r="D68" s="9" t="n">
        <v>1808466</v>
      </c>
      <c r="E68" s="9" t="n">
        <v>25875</v>
      </c>
      <c r="F68" s="9" t="n">
        <v>1578800</v>
      </c>
      <c r="G68" s="9" t="n">
        <v>202507</v>
      </c>
    </row>
    <row r="69">
      <c r="A69" s="8" t="n">
        <v>45839</v>
      </c>
      <c r="B69" s="9">
        <f>Inputs!$A$43</f>
        <v/>
      </c>
      <c r="C69" s="9" t="n">
        <v>102269580</v>
      </c>
      <c r="D69" s="9" t="n">
        <v>2256268</v>
      </c>
      <c r="E69" s="9" t="n">
        <v>31018</v>
      </c>
      <c r="F69" s="9" t="n">
        <v>2170189</v>
      </c>
      <c r="G69" s="9" t="n">
        <v>244933</v>
      </c>
    </row>
    <row r="70">
      <c r="A70" s="8" t="n">
        <v>45839</v>
      </c>
      <c r="B70" s="9">
        <f>Inputs!$A$44</f>
        <v/>
      </c>
      <c r="C70" s="9" t="n"/>
      <c r="D70" s="9" t="n">
        <v>808405</v>
      </c>
      <c r="E70" s="9" t="n">
        <v>7405</v>
      </c>
      <c r="F70" s="9" t="n">
        <v>522099</v>
      </c>
      <c r="G70" s="9" t="n">
        <v>149868</v>
      </c>
    </row>
    <row r="71">
      <c r="A71" s="8" t="n">
        <v>45839</v>
      </c>
      <c r="B71" s="9">
        <f>Inputs!$A$45</f>
        <v/>
      </c>
      <c r="C71" s="9" t="n"/>
      <c r="D71" s="9" t="n">
        <v>764110</v>
      </c>
      <c r="E71" s="9" t="n">
        <v>7321</v>
      </c>
      <c r="F71" s="9" t="n">
        <v>501278</v>
      </c>
      <c r="G71" s="9" t="n">
        <v>141633</v>
      </c>
    </row>
    <row r="72">
      <c r="A72" s="8" t="n">
        <v>45870</v>
      </c>
      <c r="B72" s="9">
        <f>Inputs!$A$36</f>
        <v/>
      </c>
      <c r="C72" s="9" t="n">
        <v>150399966</v>
      </c>
      <c r="D72" s="9" t="n">
        <v>3151472</v>
      </c>
      <c r="E72" s="9" t="n">
        <v>40918</v>
      </c>
      <c r="F72" s="9" t="n">
        <v>2718887</v>
      </c>
      <c r="G72" s="9" t="n">
        <v>313586</v>
      </c>
    </row>
    <row r="73">
      <c r="A73" s="8" t="n">
        <v>45870</v>
      </c>
      <c r="B73" s="9">
        <f>Inputs!$A$37</f>
        <v/>
      </c>
      <c r="C73" s="9" t="n">
        <v>139321773</v>
      </c>
      <c r="D73" s="9" t="n">
        <v>2998609</v>
      </c>
      <c r="E73" s="9" t="n">
        <v>36829</v>
      </c>
      <c r="F73" s="9" t="n">
        <v>2390221</v>
      </c>
      <c r="G73" s="9" t="n">
        <v>308096</v>
      </c>
    </row>
    <row r="74">
      <c r="A74" s="8" t="n">
        <v>45870</v>
      </c>
      <c r="B74" s="9">
        <f>Inputs!$A$38</f>
        <v/>
      </c>
      <c r="C74" s="9" t="n">
        <v>110587301</v>
      </c>
      <c r="D74" s="9" t="n">
        <v>2411423</v>
      </c>
      <c r="E74" s="9" t="n">
        <v>32199</v>
      </c>
      <c r="F74" s="9" t="n">
        <v>2048566</v>
      </c>
      <c r="G74" s="9" t="n">
        <v>260787</v>
      </c>
    </row>
    <row r="75">
      <c r="A75" s="8" t="n">
        <v>45870</v>
      </c>
      <c r="B75" s="9">
        <f>Inputs!$A$39</f>
        <v/>
      </c>
      <c r="C75" s="9" t="n">
        <v>123505128</v>
      </c>
      <c r="D75" s="9" t="n">
        <v>2569481</v>
      </c>
      <c r="E75" s="9" t="n">
        <v>33752</v>
      </c>
      <c r="F75" s="9" t="n">
        <v>2234056</v>
      </c>
      <c r="G75" s="9" t="n">
        <v>284904</v>
      </c>
    </row>
    <row r="76">
      <c r="A76" s="8" t="n">
        <v>45870</v>
      </c>
      <c r="B76" s="9">
        <f>Inputs!$A$40</f>
        <v/>
      </c>
      <c r="C76" s="9" t="n">
        <v>133449358</v>
      </c>
      <c r="D76" s="9" t="n">
        <v>2730922</v>
      </c>
      <c r="E76" s="9" t="n">
        <v>33968</v>
      </c>
      <c r="F76" s="9" t="n">
        <v>2240982</v>
      </c>
      <c r="G76" s="9" t="n">
        <v>296393</v>
      </c>
    </row>
    <row r="77">
      <c r="A77" s="8" t="n">
        <v>45870</v>
      </c>
      <c r="B77" s="9">
        <f>Inputs!$A$41</f>
        <v/>
      </c>
      <c r="C77" s="9" t="n">
        <v>118028853</v>
      </c>
      <c r="D77" s="9" t="n">
        <v>2575504</v>
      </c>
      <c r="E77" s="9" t="n">
        <v>33913</v>
      </c>
      <c r="F77" s="9" t="n">
        <v>2132034</v>
      </c>
      <c r="G77" s="9" t="n">
        <v>274091</v>
      </c>
    </row>
    <row r="78">
      <c r="A78" s="8" t="n">
        <v>45870</v>
      </c>
      <c r="B78" s="9">
        <f>Inputs!$A$42</f>
        <v/>
      </c>
      <c r="C78" s="9" t="n">
        <v>78915082</v>
      </c>
      <c r="D78" s="9" t="n">
        <v>1758980</v>
      </c>
      <c r="E78" s="9" t="n">
        <v>24436</v>
      </c>
      <c r="F78" s="9" t="n">
        <v>1472864</v>
      </c>
      <c r="G78" s="9" t="n">
        <v>205314</v>
      </c>
    </row>
    <row r="79">
      <c r="A79" s="8" t="n">
        <v>45870</v>
      </c>
      <c r="B79" s="9">
        <f>Inputs!$A$43</f>
        <v/>
      </c>
      <c r="C79" s="9" t="n">
        <v>105631703</v>
      </c>
      <c r="D79" s="9" t="n">
        <v>2365576</v>
      </c>
      <c r="E79" s="9" t="n">
        <v>32298</v>
      </c>
      <c r="F79" s="9" t="n">
        <v>2236889</v>
      </c>
      <c r="G79" s="9" t="n">
        <v>242306</v>
      </c>
    </row>
    <row r="80">
      <c r="A80" s="8" t="n">
        <v>45870</v>
      </c>
      <c r="B80" s="9">
        <f>Inputs!$A$44</f>
        <v/>
      </c>
      <c r="C80" s="9" t="n"/>
      <c r="D80" s="9" t="n">
        <v>826618</v>
      </c>
      <c r="E80" s="9" t="n">
        <v>7654</v>
      </c>
      <c r="F80" s="9" t="n">
        <v>530861</v>
      </c>
      <c r="G80" s="9" t="n">
        <v>153201</v>
      </c>
    </row>
    <row r="81">
      <c r="A81" s="8" t="n">
        <v>45870</v>
      </c>
      <c r="B81" s="9">
        <f>Inputs!$A$45</f>
        <v/>
      </c>
      <c r="C81" s="9" t="n"/>
      <c r="D81" s="9" t="n">
        <v>748941</v>
      </c>
      <c r="E81" s="9" t="n">
        <v>7016</v>
      </c>
      <c r="F81" s="9" t="n">
        <v>486157</v>
      </c>
      <c r="G81" s="9" t="n">
        <v>139877</v>
      </c>
    </row>
    <row r="82">
      <c r="A82" s="8" t="n">
        <v>45901</v>
      </c>
      <c r="B82" s="9">
        <f>Inputs!$A$36</f>
        <v/>
      </c>
      <c r="C82" s="9" t="n">
        <v>147150090</v>
      </c>
      <c r="D82" s="9" t="n">
        <v>3050182</v>
      </c>
      <c r="E82" s="9" t="n">
        <v>38780</v>
      </c>
      <c r="F82" s="9" t="n">
        <v>2576228</v>
      </c>
      <c r="G82" s="9" t="n">
        <v>324086</v>
      </c>
    </row>
    <row r="83">
      <c r="A83" s="8" t="n">
        <v>45901</v>
      </c>
      <c r="B83" s="9">
        <f>Inputs!$A$37</f>
        <v/>
      </c>
      <c r="C83" s="9" t="n">
        <v>137236692</v>
      </c>
      <c r="D83" s="9" t="n">
        <v>2901706</v>
      </c>
      <c r="E83" s="9" t="n">
        <v>36315</v>
      </c>
      <c r="F83" s="9" t="n">
        <v>2409168</v>
      </c>
      <c r="G83" s="9" t="n">
        <v>287006</v>
      </c>
    </row>
    <row r="84">
      <c r="A84" s="8" t="n">
        <v>45901</v>
      </c>
      <c r="B84" s="9">
        <f>Inputs!$A$38</f>
        <v/>
      </c>
      <c r="C84" s="9" t="n">
        <v>114533859</v>
      </c>
      <c r="D84" s="9" t="n">
        <v>2494471</v>
      </c>
      <c r="E84" s="9" t="n">
        <v>34008</v>
      </c>
      <c r="F84" s="9" t="n">
        <v>2118331</v>
      </c>
      <c r="G84" s="9" t="n">
        <v>254957</v>
      </c>
    </row>
    <row r="85">
      <c r="A85" s="8" t="n">
        <v>45901</v>
      </c>
      <c r="B85" s="9">
        <f>Inputs!$A$39</f>
        <v/>
      </c>
      <c r="C85" s="9" t="n">
        <v>122888375</v>
      </c>
      <c r="D85" s="9" t="n">
        <v>2543002</v>
      </c>
      <c r="E85" s="9" t="n">
        <v>33218</v>
      </c>
      <c r="F85" s="9" t="n">
        <v>2180594</v>
      </c>
      <c r="G85" s="9" t="n">
        <v>267774</v>
      </c>
    </row>
    <row r="86">
      <c r="A86" s="8" t="n">
        <v>45901</v>
      </c>
      <c r="B86" s="9">
        <f>Inputs!$A$40</f>
        <v/>
      </c>
      <c r="C86" s="9" t="n">
        <v>135062098</v>
      </c>
      <c r="D86" s="9" t="n">
        <v>2805860</v>
      </c>
      <c r="E86" s="9" t="n">
        <v>36745</v>
      </c>
      <c r="F86" s="9" t="n">
        <v>2434219</v>
      </c>
      <c r="G86" s="9" t="n">
        <v>296185</v>
      </c>
    </row>
    <row r="87">
      <c r="A87" s="8" t="n">
        <v>45901</v>
      </c>
      <c r="B87" s="9">
        <f>Inputs!$A$41</f>
        <v/>
      </c>
      <c r="C87" s="9" t="n">
        <v>119846726</v>
      </c>
      <c r="D87" s="9" t="n">
        <v>2597104</v>
      </c>
      <c r="E87" s="9" t="n">
        <v>34610</v>
      </c>
      <c r="F87" s="9" t="n">
        <v>2198201</v>
      </c>
      <c r="G87" s="9" t="n">
        <v>279550</v>
      </c>
    </row>
    <row r="88">
      <c r="A88" s="8" t="n">
        <v>45901</v>
      </c>
      <c r="B88" s="9">
        <f>Inputs!$A$42</f>
        <v/>
      </c>
      <c r="C88" s="9" t="n">
        <v>77586165</v>
      </c>
      <c r="D88" s="9" t="n">
        <v>1723900</v>
      </c>
      <c r="E88" s="9" t="n">
        <v>23334</v>
      </c>
      <c r="F88" s="9" t="n">
        <v>1431434</v>
      </c>
      <c r="G88" s="9" t="n">
        <v>208017</v>
      </c>
    </row>
    <row r="89">
      <c r="A89" s="8" t="n">
        <v>45901</v>
      </c>
      <c r="B89" s="9">
        <f>Inputs!$A$43</f>
        <v/>
      </c>
      <c r="C89" s="9" t="n">
        <v>103002025</v>
      </c>
      <c r="D89" s="9" t="n">
        <v>2269028</v>
      </c>
      <c r="E89" s="9" t="n">
        <v>32120</v>
      </c>
      <c r="F89" s="9" t="n">
        <v>2280172</v>
      </c>
      <c r="G89" s="9" t="n">
        <v>251776</v>
      </c>
    </row>
    <row r="90">
      <c r="A90" s="8" t="n">
        <v>45901</v>
      </c>
      <c r="B90" s="9">
        <f>Inputs!$A$44</f>
        <v/>
      </c>
      <c r="C90" s="9" t="n"/>
      <c r="D90" s="9" t="n">
        <v>796739</v>
      </c>
      <c r="E90" s="9" t="n">
        <v>7311</v>
      </c>
      <c r="F90" s="9" t="n">
        <v>509343</v>
      </c>
      <c r="G90" s="9" t="n">
        <v>147721</v>
      </c>
    </row>
    <row r="91">
      <c r="A91" s="8" t="n">
        <v>45901</v>
      </c>
      <c r="B91" s="9">
        <f>Inputs!$A$45</f>
        <v/>
      </c>
      <c r="C91" s="9" t="n"/>
      <c r="D91" s="9" t="n">
        <v>748895</v>
      </c>
      <c r="E91" s="9" t="n">
        <v>7279</v>
      </c>
      <c r="F91" s="9" t="n">
        <v>509659</v>
      </c>
      <c r="G91" s="9" t="n">
        <v>135447</v>
      </c>
    </row>
    <row r="92">
      <c r="A92" s="8" t="n">
        <v>45931</v>
      </c>
      <c r="B92" s="9">
        <f>Inputs!$A$36</f>
        <v/>
      </c>
      <c r="C92" s="9" t="n">
        <v>154728337</v>
      </c>
      <c r="D92" s="9" t="n">
        <v>3233552</v>
      </c>
      <c r="E92" s="9" t="n">
        <v>40450</v>
      </c>
      <c r="F92" s="9" t="n">
        <v>2721618</v>
      </c>
      <c r="G92" s="9" t="n">
        <v>315409</v>
      </c>
    </row>
    <row r="93">
      <c r="A93" s="8" t="n">
        <v>45931</v>
      </c>
      <c r="B93" s="9">
        <f>Inputs!$A$37</f>
        <v/>
      </c>
      <c r="C93" s="9" t="n">
        <v>143996017</v>
      </c>
      <c r="D93" s="9" t="n">
        <v>3068669</v>
      </c>
      <c r="E93" s="9" t="n">
        <v>37902</v>
      </c>
      <c r="F93" s="9" t="n">
        <v>2449571</v>
      </c>
      <c r="G93" s="9" t="n">
        <v>302231</v>
      </c>
    </row>
    <row r="94">
      <c r="A94" s="8" t="n">
        <v>45931</v>
      </c>
      <c r="B94" s="9">
        <f>Inputs!$A$38</f>
        <v/>
      </c>
      <c r="C94" s="9" t="n">
        <v>115587533</v>
      </c>
      <c r="D94" s="9" t="n">
        <v>2530197</v>
      </c>
      <c r="E94" s="9" t="n">
        <v>33707</v>
      </c>
      <c r="F94" s="9" t="n">
        <v>2185659</v>
      </c>
      <c r="G94" s="9" t="n">
        <v>260382</v>
      </c>
    </row>
    <row r="95">
      <c r="A95" s="8" t="n">
        <v>45931</v>
      </c>
      <c r="B95" s="9">
        <f>Inputs!$A$39</f>
        <v/>
      </c>
      <c r="C95" s="9" t="n">
        <v>126924990</v>
      </c>
      <c r="D95" s="9" t="n">
        <v>2622371</v>
      </c>
      <c r="E95" s="9" t="n">
        <v>33613</v>
      </c>
      <c r="F95" s="9" t="n">
        <v>2308387</v>
      </c>
      <c r="G95" s="9" t="n">
        <v>290409</v>
      </c>
    </row>
    <row r="96">
      <c r="A96" s="8" t="n">
        <v>45931</v>
      </c>
      <c r="B96" s="9">
        <f>Inputs!$A$40</f>
        <v/>
      </c>
      <c r="C96" s="9" t="n">
        <v>140152932</v>
      </c>
      <c r="D96" s="9" t="n">
        <v>2887756</v>
      </c>
      <c r="E96" s="9" t="n">
        <v>35669</v>
      </c>
      <c r="F96" s="9" t="n">
        <v>2330290</v>
      </c>
      <c r="G96" s="9" t="n">
        <v>294606</v>
      </c>
    </row>
    <row r="97">
      <c r="A97" s="8" t="n">
        <v>45931</v>
      </c>
      <c r="B97" s="9">
        <f>Inputs!$A$41</f>
        <v/>
      </c>
      <c r="C97" s="9" t="n">
        <v>124356453</v>
      </c>
      <c r="D97" s="9" t="n">
        <v>2727876</v>
      </c>
      <c r="E97" s="9" t="n">
        <v>35254</v>
      </c>
      <c r="F97" s="9" t="n">
        <v>2291059</v>
      </c>
      <c r="G97" s="9" t="n">
        <v>264113</v>
      </c>
    </row>
    <row r="98">
      <c r="A98" s="8" t="n">
        <v>45931</v>
      </c>
      <c r="B98" s="9">
        <f>Inputs!$A$42</f>
        <v/>
      </c>
      <c r="C98" s="9" t="n">
        <v>83659551</v>
      </c>
      <c r="D98" s="9" t="n">
        <v>1835662</v>
      </c>
      <c r="E98" s="9" t="n">
        <v>24800</v>
      </c>
      <c r="F98" s="9" t="n">
        <v>1547850</v>
      </c>
      <c r="G98" s="9" t="n">
        <v>210993</v>
      </c>
    </row>
    <row r="99">
      <c r="A99" s="8" t="n">
        <v>45931</v>
      </c>
      <c r="B99" s="9">
        <f>Inputs!$A$43</f>
        <v/>
      </c>
      <c r="C99" s="9" t="n">
        <v>105007588</v>
      </c>
      <c r="D99" s="9" t="n">
        <v>2282578</v>
      </c>
      <c r="E99" s="9" t="n">
        <v>31078</v>
      </c>
      <c r="F99" s="9" t="n">
        <v>2135284</v>
      </c>
      <c r="G99" s="9" t="n">
        <v>248468</v>
      </c>
    </row>
    <row r="100">
      <c r="A100" s="8" t="n">
        <v>45931</v>
      </c>
      <c r="B100" s="9">
        <f>Inputs!$A$44</f>
        <v/>
      </c>
      <c r="C100" s="9" t="n"/>
      <c r="D100" s="9" t="n">
        <v>839942</v>
      </c>
      <c r="E100" s="9" t="n">
        <v>7380</v>
      </c>
      <c r="F100" s="9" t="n">
        <v>522302</v>
      </c>
      <c r="G100" s="9" t="n">
        <v>149128</v>
      </c>
    </row>
    <row r="101">
      <c r="A101" s="8" t="n">
        <v>45931</v>
      </c>
      <c r="B101" s="9">
        <f>Inputs!$A$45</f>
        <v/>
      </c>
      <c r="C101" s="9" t="n"/>
      <c r="D101" s="9" t="n">
        <v>786859</v>
      </c>
      <c r="E101" s="9" t="n">
        <v>7414</v>
      </c>
      <c r="F101" s="9" t="n">
        <v>507043</v>
      </c>
      <c r="G101" s="9" t="n">
        <v>142443</v>
      </c>
    </row>
    <row r="102">
      <c r="A102" s="8" t="n">
        <v>45962</v>
      </c>
      <c r="B102" s="9">
        <f>Inputs!$A$36</f>
        <v/>
      </c>
      <c r="C102" s="9" t="n">
        <v>157872455</v>
      </c>
      <c r="D102" s="9" t="n">
        <v>3290175</v>
      </c>
      <c r="E102" s="9" t="n">
        <v>40768</v>
      </c>
      <c r="F102" s="9" t="n">
        <v>2740960</v>
      </c>
      <c r="G102" s="9" t="n">
        <v>330494</v>
      </c>
    </row>
    <row r="103">
      <c r="A103" s="8" t="n">
        <v>45962</v>
      </c>
      <c r="B103" s="9">
        <f>Inputs!$A$37</f>
        <v/>
      </c>
      <c r="C103" s="9" t="n">
        <v>152215323</v>
      </c>
      <c r="D103" s="9" t="n">
        <v>3232906</v>
      </c>
      <c r="E103" s="9" t="n">
        <v>39209</v>
      </c>
      <c r="F103" s="9" t="n">
        <v>2601006</v>
      </c>
      <c r="G103" s="9" t="n">
        <v>314561</v>
      </c>
    </row>
    <row r="104">
      <c r="A104" s="8" t="n">
        <v>45962</v>
      </c>
      <c r="B104" s="9">
        <f>Inputs!$A$38</f>
        <v/>
      </c>
      <c r="C104" s="9" t="n">
        <v>123803814</v>
      </c>
      <c r="D104" s="9" t="n">
        <v>2718110</v>
      </c>
      <c r="E104" s="9" t="n">
        <v>35713</v>
      </c>
      <c r="F104" s="9" t="n">
        <v>2244956</v>
      </c>
      <c r="G104" s="9" t="n">
        <v>270091</v>
      </c>
    </row>
    <row r="105">
      <c r="A105" s="8" t="n">
        <v>45962</v>
      </c>
      <c r="B105" s="9">
        <f>Inputs!$A$39</f>
        <v/>
      </c>
      <c r="C105" s="9" t="n">
        <v>131355198</v>
      </c>
      <c r="D105" s="9" t="n">
        <v>2737025</v>
      </c>
      <c r="E105" s="9" t="n">
        <v>34321</v>
      </c>
      <c r="F105" s="9" t="n">
        <v>2284433</v>
      </c>
      <c r="G105" s="9" t="n">
        <v>291538</v>
      </c>
    </row>
    <row r="106">
      <c r="A106" s="8" t="n">
        <v>45962</v>
      </c>
      <c r="B106" s="9">
        <f>Inputs!$A$40</f>
        <v/>
      </c>
      <c r="C106" s="9" t="n">
        <v>141491552</v>
      </c>
      <c r="D106" s="9" t="n">
        <v>2870651</v>
      </c>
      <c r="E106" s="9" t="n">
        <v>35077</v>
      </c>
      <c r="F106" s="9" t="n">
        <v>2335760</v>
      </c>
      <c r="G106" s="9" t="n">
        <v>316079</v>
      </c>
    </row>
    <row r="107">
      <c r="A107" s="8" t="n">
        <v>45962</v>
      </c>
      <c r="B107" s="9">
        <f>Inputs!$A$41</f>
        <v/>
      </c>
      <c r="C107" s="9" t="n">
        <v>125070063</v>
      </c>
      <c r="D107" s="9" t="n">
        <v>2691071</v>
      </c>
      <c r="E107" s="9" t="n">
        <v>35436</v>
      </c>
      <c r="F107" s="9" t="n">
        <v>2221851</v>
      </c>
      <c r="G107" s="9" t="n">
        <v>288418</v>
      </c>
    </row>
    <row r="108">
      <c r="A108" s="8" t="n">
        <v>45962</v>
      </c>
      <c r="B108" s="9">
        <f>Inputs!$A$42</f>
        <v/>
      </c>
      <c r="C108" s="9" t="n">
        <v>85608507</v>
      </c>
      <c r="D108" s="9" t="n">
        <v>1889158</v>
      </c>
      <c r="E108" s="9" t="n">
        <v>24964</v>
      </c>
      <c r="F108" s="9" t="n">
        <v>1522674</v>
      </c>
      <c r="G108" s="9" t="n">
        <v>231136</v>
      </c>
    </row>
    <row r="109">
      <c r="A109" s="8" t="n">
        <v>45962</v>
      </c>
      <c r="B109" s="9">
        <f>Inputs!$A$43</f>
        <v/>
      </c>
      <c r="C109" s="9" t="n">
        <v>109695777</v>
      </c>
      <c r="D109" s="9" t="n">
        <v>2391254</v>
      </c>
      <c r="E109" s="9" t="n">
        <v>31396</v>
      </c>
      <c r="F109" s="9" t="n">
        <v>2158078</v>
      </c>
      <c r="G109" s="9" t="n">
        <v>261939</v>
      </c>
    </row>
    <row r="110">
      <c r="A110" s="8" t="n">
        <v>45962</v>
      </c>
      <c r="B110" s="9">
        <f>Inputs!$A$44</f>
        <v/>
      </c>
      <c r="C110" s="9" t="n"/>
      <c r="D110" s="9" t="n">
        <v>856945</v>
      </c>
      <c r="E110" s="9" t="n">
        <v>7492</v>
      </c>
      <c r="F110" s="9" t="n">
        <v>527621</v>
      </c>
      <c r="G110" s="9" t="n">
        <v>157878</v>
      </c>
    </row>
    <row r="111">
      <c r="A111" s="8" t="n">
        <v>45962</v>
      </c>
      <c r="B111" s="9">
        <f>Inputs!$A$45</f>
        <v/>
      </c>
      <c r="C111" s="9" t="n"/>
      <c r="D111" s="9" t="n">
        <v>813137</v>
      </c>
      <c r="E111" s="9" t="n">
        <v>7451</v>
      </c>
      <c r="F111" s="9" t="n">
        <v>528790</v>
      </c>
      <c r="G111" s="9" t="n">
        <v>150047</v>
      </c>
    </row>
    <row r="112">
      <c r="A112" s="8" t="n">
        <v>45992</v>
      </c>
      <c r="B112" s="9">
        <f>Inputs!$A$36</f>
        <v/>
      </c>
      <c r="C112" s="9" t="n">
        <v>190317363</v>
      </c>
      <c r="D112" s="9" t="n">
        <v>3892527</v>
      </c>
      <c r="E112" s="9" t="n">
        <v>45678</v>
      </c>
      <c r="F112" s="9" t="n">
        <v>3178275</v>
      </c>
      <c r="G112" s="9" t="n">
        <v>374152</v>
      </c>
    </row>
    <row r="113">
      <c r="A113" s="8" t="n">
        <v>45992</v>
      </c>
      <c r="B113" s="9">
        <f>Inputs!$A$37</f>
        <v/>
      </c>
      <c r="C113" s="9" t="n">
        <v>177180124</v>
      </c>
      <c r="D113" s="9" t="n">
        <v>3677210</v>
      </c>
      <c r="E113" s="9" t="n">
        <v>42930</v>
      </c>
      <c r="F113" s="9" t="n">
        <v>2973225</v>
      </c>
      <c r="G113" s="9" t="n">
        <v>351510</v>
      </c>
    </row>
    <row r="114">
      <c r="A114" s="8" t="n">
        <v>45992</v>
      </c>
      <c r="B114" s="9">
        <f>Inputs!$A$38</f>
        <v/>
      </c>
      <c r="C114" s="9" t="n">
        <v>144747382</v>
      </c>
      <c r="D114" s="9" t="n">
        <v>3098598</v>
      </c>
      <c r="E114" s="9" t="n">
        <v>38458</v>
      </c>
      <c r="F114" s="9" t="n">
        <v>2543887</v>
      </c>
      <c r="G114" s="9" t="n">
        <v>296051</v>
      </c>
    </row>
    <row r="115">
      <c r="A115" s="8" t="n">
        <v>45992</v>
      </c>
      <c r="B115" s="9">
        <f>Inputs!$A$39</f>
        <v/>
      </c>
      <c r="C115" s="9" t="n">
        <v>160910788</v>
      </c>
      <c r="D115" s="9" t="n">
        <v>3369851</v>
      </c>
      <c r="E115" s="9" t="n">
        <v>41517</v>
      </c>
      <c r="F115" s="9" t="n">
        <v>2865987</v>
      </c>
      <c r="G115" s="9" t="n">
        <v>322772</v>
      </c>
    </row>
    <row r="116">
      <c r="A116" s="8" t="n">
        <v>45992</v>
      </c>
      <c r="B116" s="9">
        <f>Inputs!$A$40</f>
        <v/>
      </c>
      <c r="C116" s="9" t="n">
        <v>172256287</v>
      </c>
      <c r="D116" s="9" t="n">
        <v>3494354</v>
      </c>
      <c r="E116" s="9" t="n">
        <v>40789</v>
      </c>
      <c r="F116" s="9" t="n">
        <v>2818265</v>
      </c>
      <c r="G116" s="9" t="n">
        <v>349908</v>
      </c>
    </row>
    <row r="117">
      <c r="A117" s="8" t="n">
        <v>45992</v>
      </c>
      <c r="B117" s="9">
        <f>Inputs!$A$41</f>
        <v/>
      </c>
      <c r="C117" s="9" t="n">
        <v>153261022</v>
      </c>
      <c r="D117" s="9" t="n">
        <v>3246437</v>
      </c>
      <c r="E117" s="9" t="n">
        <v>41302</v>
      </c>
      <c r="F117" s="9" t="n">
        <v>2721341</v>
      </c>
      <c r="G117" s="9" t="n">
        <v>316856</v>
      </c>
    </row>
    <row r="118">
      <c r="A118" s="8" t="n">
        <v>45992</v>
      </c>
      <c r="B118" s="9">
        <f>Inputs!$A$42</f>
        <v/>
      </c>
      <c r="C118" s="9" t="n">
        <v>102732699</v>
      </c>
      <c r="D118" s="9" t="n">
        <v>2262444</v>
      </c>
      <c r="E118" s="9" t="n">
        <v>29093</v>
      </c>
      <c r="F118" s="9" t="n">
        <v>1845881</v>
      </c>
      <c r="G118" s="9" t="n">
        <v>248072</v>
      </c>
    </row>
    <row r="119">
      <c r="A119" s="8" t="n">
        <v>45992</v>
      </c>
      <c r="B119" s="9">
        <f>Inputs!$A$43</f>
        <v/>
      </c>
      <c r="C119" s="9" t="n">
        <v>134988204</v>
      </c>
      <c r="D119" s="9" t="n">
        <v>2922746</v>
      </c>
      <c r="E119" s="9" t="n">
        <v>37515</v>
      </c>
      <c r="F119" s="9" t="n">
        <v>2736709</v>
      </c>
      <c r="G119" s="9" t="n">
        <v>288092</v>
      </c>
    </row>
    <row r="120">
      <c r="A120" s="8" t="n">
        <v>45992</v>
      </c>
      <c r="B120" s="9">
        <f>Inputs!$A$44</f>
        <v/>
      </c>
      <c r="C120" s="9" t="n"/>
      <c r="D120" s="9" t="n">
        <v>1012499</v>
      </c>
      <c r="E120" s="9" t="n">
        <v>8751</v>
      </c>
      <c r="F120" s="9" t="n">
        <v>633420</v>
      </c>
      <c r="G120" s="9" t="n">
        <v>171220</v>
      </c>
    </row>
    <row r="121">
      <c r="A121" s="8" t="n">
        <v>45992</v>
      </c>
      <c r="B121" s="9">
        <f>Inputs!$A$45</f>
        <v/>
      </c>
      <c r="C121" s="9" t="n"/>
      <c r="D121" s="9" t="n">
        <v>930504</v>
      </c>
      <c r="E121" s="9" t="n">
        <v>8198</v>
      </c>
      <c r="F121" s="9" t="n">
        <v>584467</v>
      </c>
      <c r="G121" s="9" t="n">
        <v>158442</v>
      </c>
    </row>
    <row r="122">
      <c r="A122" s="8" t="n">
        <v>46023</v>
      </c>
      <c r="B122" s="9">
        <f>Inputs!$A$36</f>
        <v/>
      </c>
      <c r="C122" s="9" t="n">
        <v>153814453</v>
      </c>
      <c r="D122" s="9" t="n">
        <v>3178660</v>
      </c>
      <c r="E122" s="9" t="n">
        <v>42504</v>
      </c>
      <c r="F122" s="9" t="n">
        <v>3050286</v>
      </c>
      <c r="G122" s="9" t="n">
        <v>339142</v>
      </c>
    </row>
    <row r="123">
      <c r="A123" s="8" t="n">
        <v>46023</v>
      </c>
      <c r="B123" s="9">
        <f>Inputs!$A$37</f>
        <v/>
      </c>
      <c r="C123" s="9" t="n">
        <v>142733039</v>
      </c>
      <c r="D123" s="9" t="n">
        <v>3001178</v>
      </c>
      <c r="E123" s="9" t="n">
        <v>37911</v>
      </c>
      <c r="F123" s="9" t="n">
        <v>2666402</v>
      </c>
      <c r="G123" s="9" t="n">
        <v>313947</v>
      </c>
    </row>
    <row r="124">
      <c r="A124" s="8" t="n">
        <v>46023</v>
      </c>
      <c r="B124" s="9">
        <f>Inputs!$A$38</f>
        <v/>
      </c>
      <c r="C124" s="9" t="n">
        <v>117343494</v>
      </c>
      <c r="D124" s="9" t="n">
        <v>2483205</v>
      </c>
      <c r="E124" s="9" t="n">
        <v>34161</v>
      </c>
      <c r="F124" s="9" t="n">
        <v>2352848</v>
      </c>
      <c r="G124" s="9" t="n">
        <v>267313</v>
      </c>
    </row>
    <row r="125">
      <c r="A125" s="8" t="n">
        <v>46023</v>
      </c>
      <c r="B125" s="9">
        <f>Inputs!$A$39</f>
        <v/>
      </c>
      <c r="C125" s="9" t="n">
        <v>126584985</v>
      </c>
      <c r="D125" s="9" t="n">
        <v>2616342</v>
      </c>
      <c r="E125" s="9" t="n">
        <v>35270</v>
      </c>
      <c r="F125" s="9" t="n">
        <v>2518281</v>
      </c>
      <c r="G125" s="9" t="n">
        <v>289579</v>
      </c>
    </row>
    <row r="126">
      <c r="A126" s="8" t="n">
        <v>46023</v>
      </c>
      <c r="B126" s="9">
        <f>Inputs!$A$40</f>
        <v/>
      </c>
      <c r="C126" s="9" t="n">
        <v>135910394</v>
      </c>
      <c r="D126" s="9" t="n">
        <v>2803256</v>
      </c>
      <c r="E126" s="9" t="n">
        <v>35891</v>
      </c>
      <c r="F126" s="9" t="n">
        <v>2534276</v>
      </c>
      <c r="G126" s="9" t="n">
        <v>320046</v>
      </c>
    </row>
    <row r="127">
      <c r="A127" s="8" t="n">
        <v>46023</v>
      </c>
      <c r="B127" s="9">
        <f>Inputs!$A$41</f>
        <v/>
      </c>
      <c r="C127" s="9" t="n">
        <v>120850805</v>
      </c>
      <c r="D127" s="9" t="n">
        <v>2602562</v>
      </c>
      <c r="E127" s="9" t="n">
        <v>34537</v>
      </c>
      <c r="F127" s="9" t="n">
        <v>2400638</v>
      </c>
      <c r="G127" s="9" t="n">
        <v>275876</v>
      </c>
    </row>
    <row r="128">
      <c r="A128" s="8" t="n">
        <v>46023</v>
      </c>
      <c r="B128" s="9">
        <f>Inputs!$A$42</f>
        <v/>
      </c>
      <c r="C128" s="9" t="n">
        <v>79038481</v>
      </c>
      <c r="D128" s="9" t="n">
        <v>1712593</v>
      </c>
      <c r="E128" s="9" t="n">
        <v>23972</v>
      </c>
      <c r="F128" s="9" t="n">
        <v>1610481</v>
      </c>
      <c r="G128" s="9" t="n">
        <v>218627</v>
      </c>
    </row>
    <row r="129">
      <c r="A129" s="8" t="n">
        <v>46023</v>
      </c>
      <c r="B129" s="9">
        <f>Inputs!$A$43</f>
        <v/>
      </c>
      <c r="C129" s="9" t="n">
        <v>106820510</v>
      </c>
      <c r="D129" s="9" t="n">
        <v>2375627</v>
      </c>
      <c r="E129" s="9" t="n">
        <v>33961</v>
      </c>
      <c r="F129" s="9" t="n">
        <v>2577778</v>
      </c>
      <c r="G129" s="9" t="n">
        <v>269271</v>
      </c>
    </row>
    <row r="130">
      <c r="A130" s="8" t="n">
        <v>46023</v>
      </c>
      <c r="B130" s="9">
        <f>Inputs!$A$44</f>
        <v/>
      </c>
      <c r="C130" s="9" t="n"/>
      <c r="D130" s="9" t="n">
        <v>828700</v>
      </c>
      <c r="E130" s="9" t="n">
        <v>7585</v>
      </c>
      <c r="F130" s="9" t="n">
        <v>577705</v>
      </c>
      <c r="G130" s="9" t="n">
        <v>163250</v>
      </c>
    </row>
    <row r="131">
      <c r="A131" s="8" t="n">
        <v>46023</v>
      </c>
      <c r="B131" s="9">
        <f>Inputs!$A$45</f>
        <v/>
      </c>
      <c r="C131" s="9" t="n"/>
      <c r="D131" s="9" t="n">
        <v>776277</v>
      </c>
      <c r="E131" s="9" t="n">
        <v>7469</v>
      </c>
      <c r="F131" s="9" t="n">
        <v>564937</v>
      </c>
      <c r="G131" s="9" t="n">
        <v>146130</v>
      </c>
    </row>
    <row r="132">
      <c r="A132" s="8" t="n">
        <v>46054</v>
      </c>
      <c r="B132" s="9">
        <f>Inputs!$A$36</f>
        <v/>
      </c>
      <c r="C132" s="9" t="n">
        <v>137091680</v>
      </c>
      <c r="D132" s="9" t="n">
        <v>2833122</v>
      </c>
      <c r="E132" s="9" t="n">
        <v>36158</v>
      </c>
      <c r="F132" s="9" t="n">
        <v>2475636</v>
      </c>
      <c r="G132" s="9" t="n">
        <v>337616</v>
      </c>
    </row>
    <row r="133">
      <c r="A133" s="8" t="n">
        <v>46054</v>
      </c>
      <c r="B133" s="9">
        <f>Inputs!$A$37</f>
        <v/>
      </c>
      <c r="C133" s="9" t="n">
        <v>131605858</v>
      </c>
      <c r="D133" s="9" t="n">
        <v>2762241</v>
      </c>
      <c r="E133" s="9" t="n">
        <v>33498</v>
      </c>
      <c r="F133" s="9" t="n">
        <v>2274758</v>
      </c>
      <c r="G133" s="9" t="n">
        <v>300127</v>
      </c>
    </row>
    <row r="134">
      <c r="A134" s="8" t="n">
        <v>46054</v>
      </c>
      <c r="B134" s="9">
        <f>Inputs!$A$38</f>
        <v/>
      </c>
      <c r="C134" s="9" t="n">
        <v>109672491</v>
      </c>
      <c r="D134" s="9" t="n">
        <v>2396653</v>
      </c>
      <c r="E134" s="9" t="n">
        <v>32491</v>
      </c>
      <c r="F134" s="9" t="n">
        <v>2127326</v>
      </c>
      <c r="G134" s="9" t="n">
        <v>268302</v>
      </c>
    </row>
    <row r="135">
      <c r="A135" s="8" t="n">
        <v>46054</v>
      </c>
      <c r="B135" s="9">
        <f>Inputs!$A$39</f>
        <v/>
      </c>
      <c r="C135" s="9" t="n">
        <v>120059358</v>
      </c>
      <c r="D135" s="9" t="n">
        <v>2522496</v>
      </c>
      <c r="E135" s="9" t="n">
        <v>33213</v>
      </c>
      <c r="F135" s="9" t="n">
        <v>2262698</v>
      </c>
      <c r="G135" s="9" t="n">
        <v>289386</v>
      </c>
    </row>
    <row r="136">
      <c r="A136" s="8" t="n">
        <v>46054</v>
      </c>
      <c r="B136" s="9">
        <f>Inputs!$A$40</f>
        <v/>
      </c>
      <c r="C136" s="9" t="n">
        <v>129364448</v>
      </c>
      <c r="D136" s="9" t="n">
        <v>2699414</v>
      </c>
      <c r="E136" s="9" t="n">
        <v>34127</v>
      </c>
      <c r="F136" s="9" t="n">
        <v>2312961</v>
      </c>
      <c r="G136" s="9" t="n">
        <v>314598</v>
      </c>
    </row>
    <row r="137">
      <c r="A137" s="8" t="n">
        <v>46054</v>
      </c>
      <c r="B137" s="9">
        <f>Inputs!$A$41</f>
        <v/>
      </c>
      <c r="C137" s="9" t="n">
        <v>114316974</v>
      </c>
      <c r="D137" s="9" t="n">
        <v>2436555</v>
      </c>
      <c r="E137" s="9" t="n">
        <v>32472</v>
      </c>
      <c r="F137" s="9" t="n">
        <v>2127843</v>
      </c>
      <c r="G137" s="9" t="n">
        <v>286826</v>
      </c>
    </row>
    <row r="138">
      <c r="A138" s="8" t="n">
        <v>46054</v>
      </c>
      <c r="B138" s="9">
        <f>Inputs!$A$42</f>
        <v/>
      </c>
      <c r="C138" s="9" t="n">
        <v>74441334</v>
      </c>
      <c r="D138" s="9" t="n">
        <v>1673824</v>
      </c>
      <c r="E138" s="9" t="n">
        <v>22985</v>
      </c>
      <c r="F138" s="9" t="n">
        <v>1450529</v>
      </c>
      <c r="G138" s="9" t="n">
        <v>221595</v>
      </c>
    </row>
    <row r="139">
      <c r="A139" s="8" t="n">
        <v>46054</v>
      </c>
      <c r="B139" s="9">
        <f>Inputs!$A$43</f>
        <v/>
      </c>
      <c r="C139" s="9" t="n">
        <v>96657390</v>
      </c>
      <c r="D139" s="9" t="n">
        <v>2119780</v>
      </c>
      <c r="E139" s="9" t="n">
        <v>29173</v>
      </c>
      <c r="F139" s="9" t="n">
        <v>2100854</v>
      </c>
      <c r="G139" s="9" t="n">
        <v>262704</v>
      </c>
    </row>
    <row r="140">
      <c r="A140" s="8" t="n">
        <v>46054</v>
      </c>
      <c r="B140" s="9">
        <f>Inputs!$A$44</f>
        <v/>
      </c>
      <c r="C140" s="9" t="n"/>
      <c r="D140" s="9" t="n">
        <v>758344</v>
      </c>
      <c r="E140" s="9" t="n">
        <v>6939</v>
      </c>
      <c r="F140" s="9" t="n">
        <v>506432</v>
      </c>
      <c r="G140" s="9" t="n">
        <v>152972</v>
      </c>
    </row>
    <row r="141">
      <c r="A141" s="8" t="n">
        <v>46054</v>
      </c>
      <c r="B141" s="9">
        <f>Inputs!$A$45</f>
        <v/>
      </c>
      <c r="C141" s="9" t="n"/>
      <c r="D141" s="9" t="n">
        <v>729007</v>
      </c>
      <c r="E141" s="9" t="n">
        <v>7102</v>
      </c>
      <c r="F141" s="9" t="n">
        <v>507659</v>
      </c>
      <c r="G141" s="9" t="n">
        <v>145738</v>
      </c>
    </row>
    <row r="142">
      <c r="A142" s="8" t="n">
        <v>46082</v>
      </c>
      <c r="B142" s="9">
        <f>Inputs!$A$36</f>
        <v/>
      </c>
      <c r="C142" s="9" t="n">
        <v>157502961</v>
      </c>
      <c r="D142" s="9" t="n">
        <v>3325193</v>
      </c>
      <c r="E142" s="9" t="n">
        <v>41750</v>
      </c>
      <c r="F142" s="9" t="n">
        <v>2851776</v>
      </c>
      <c r="G142" s="9" t="n">
        <v>329061</v>
      </c>
    </row>
    <row r="143">
      <c r="A143" s="8" t="n">
        <v>46082</v>
      </c>
      <c r="B143" s="9">
        <f>Inputs!$A$37</f>
        <v/>
      </c>
      <c r="C143" s="9" t="n">
        <v>146941731</v>
      </c>
      <c r="D143" s="9" t="n">
        <v>3091384</v>
      </c>
      <c r="E143" s="9" t="n">
        <v>38196</v>
      </c>
      <c r="F143" s="9" t="n">
        <v>2655366</v>
      </c>
      <c r="G143" s="9" t="n">
        <v>314437</v>
      </c>
    </row>
    <row r="144">
      <c r="A144" s="8" t="n">
        <v>46082</v>
      </c>
      <c r="B144" s="9">
        <f>Inputs!$A$38</f>
        <v/>
      </c>
      <c r="C144" s="9" t="n">
        <v>118789815</v>
      </c>
      <c r="D144" s="9" t="n">
        <v>2534109</v>
      </c>
      <c r="E144" s="9" t="n">
        <v>33163</v>
      </c>
      <c r="F144" s="9" t="n">
        <v>2190711</v>
      </c>
      <c r="G144" s="9" t="n">
        <v>274716</v>
      </c>
    </row>
    <row r="145">
      <c r="A145" s="8" t="n">
        <v>46082</v>
      </c>
      <c r="B145" s="9">
        <f>Inputs!$A$39</f>
        <v/>
      </c>
      <c r="C145" s="9" t="n">
        <v>132169716</v>
      </c>
      <c r="D145" s="9" t="n">
        <v>2737561</v>
      </c>
      <c r="E145" s="9" t="n">
        <v>34847</v>
      </c>
      <c r="F145" s="9" t="n">
        <v>2365591</v>
      </c>
      <c r="G145" s="9" t="n">
        <v>289511</v>
      </c>
    </row>
    <row r="146">
      <c r="A146" s="8" t="n">
        <v>46082</v>
      </c>
      <c r="B146" s="9">
        <f>Inputs!$A$40</f>
        <v/>
      </c>
      <c r="C146" s="9" t="n">
        <v>140523058</v>
      </c>
      <c r="D146" s="9" t="n">
        <v>2889578</v>
      </c>
      <c r="E146" s="9" t="n">
        <v>36221</v>
      </c>
      <c r="F146" s="9" t="n">
        <v>2504834</v>
      </c>
      <c r="G146" s="9" t="n">
        <v>322976</v>
      </c>
    </row>
    <row r="147">
      <c r="A147" s="8" t="n">
        <v>46082</v>
      </c>
      <c r="B147" s="9">
        <f>Inputs!$A$41</f>
        <v/>
      </c>
      <c r="C147" s="9" t="n">
        <v>122798234</v>
      </c>
      <c r="D147" s="9" t="n">
        <v>2642098</v>
      </c>
      <c r="E147" s="9" t="n">
        <v>34550</v>
      </c>
      <c r="F147" s="9" t="n">
        <v>2278400</v>
      </c>
      <c r="G147" s="9" t="n">
        <v>279618</v>
      </c>
    </row>
    <row r="148">
      <c r="A148" s="8" t="n">
        <v>46082</v>
      </c>
      <c r="B148" s="9">
        <f>Inputs!$A$42</f>
        <v/>
      </c>
      <c r="C148" s="9" t="n">
        <v>81723056</v>
      </c>
      <c r="D148" s="9" t="n">
        <v>1796532</v>
      </c>
      <c r="E148" s="9" t="n">
        <v>25059</v>
      </c>
      <c r="F148" s="9" t="n">
        <v>1600164</v>
      </c>
      <c r="G148" s="9" t="n">
        <v>213258</v>
      </c>
    </row>
    <row r="149">
      <c r="A149" s="8" t="n">
        <v>46082</v>
      </c>
      <c r="B149" s="9">
        <f>Inputs!$A$43</f>
        <v/>
      </c>
      <c r="C149" s="9" t="n">
        <v>108202577</v>
      </c>
      <c r="D149" s="9" t="n">
        <v>2401862</v>
      </c>
      <c r="E149" s="9" t="n">
        <v>32946</v>
      </c>
      <c r="F149" s="9" t="n">
        <v>2419648</v>
      </c>
      <c r="G149" s="9" t="n">
        <v>265323</v>
      </c>
    </row>
    <row r="150">
      <c r="A150" s="8" t="n">
        <v>46082</v>
      </c>
      <c r="B150" s="9">
        <f>Inputs!$A$44</f>
        <v/>
      </c>
      <c r="C150" s="9" t="n"/>
      <c r="D150" s="9" t="n">
        <v>855613</v>
      </c>
      <c r="E150" s="9" t="n">
        <v>7934</v>
      </c>
      <c r="F150" s="9" t="n">
        <v>580401</v>
      </c>
      <c r="G150" s="9" t="n">
        <v>156208</v>
      </c>
    </row>
    <row r="151">
      <c r="A151" s="8" t="n">
        <v>46082</v>
      </c>
      <c r="B151" s="9">
        <f>Inputs!$A$45</f>
        <v/>
      </c>
      <c r="C151" s="9" t="n"/>
      <c r="D151" s="9" t="n">
        <v>806929</v>
      </c>
      <c r="E151" s="9" t="n">
        <v>7481</v>
      </c>
      <c r="F151" s="9" t="n">
        <v>553814</v>
      </c>
      <c r="G151" s="9" t="n">
        <v>143383</v>
      </c>
    </row>
    <row r="152">
      <c r="A152" s="8" t="n">
        <v>46113</v>
      </c>
      <c r="B152" s="9">
        <f>Inputs!$A$36</f>
        <v/>
      </c>
      <c r="C152" s="9" t="n">
        <v>153091315</v>
      </c>
      <c r="D152" s="9" t="n">
        <v>3184793</v>
      </c>
      <c r="E152" s="9" t="n">
        <v>41083</v>
      </c>
      <c r="F152" s="9" t="n">
        <v>3202643</v>
      </c>
      <c r="G152" s="9" t="n">
        <v>337787</v>
      </c>
    </row>
    <row r="153">
      <c r="A153" s="8" t="n">
        <v>46113</v>
      </c>
      <c r="B153" s="9">
        <f>Inputs!$A$37</f>
        <v/>
      </c>
      <c r="C153" s="9" t="n">
        <v>140264377</v>
      </c>
      <c r="D153" s="9" t="n">
        <v>2924969</v>
      </c>
      <c r="E153" s="9" t="n">
        <v>36057</v>
      </c>
      <c r="F153" s="9" t="n">
        <v>2798669</v>
      </c>
      <c r="G153" s="9" t="n">
        <v>323876</v>
      </c>
    </row>
    <row r="154">
      <c r="A154" s="8" t="n">
        <v>46113</v>
      </c>
      <c r="B154" s="9">
        <f>Inputs!$A$38</f>
        <v/>
      </c>
      <c r="C154" s="9" t="n">
        <v>116901572</v>
      </c>
      <c r="D154" s="9" t="n">
        <v>2576218</v>
      </c>
      <c r="E154" s="9" t="n">
        <v>33729</v>
      </c>
      <c r="F154" s="9" t="n">
        <v>2515048</v>
      </c>
      <c r="G154" s="9" t="n">
        <v>265510</v>
      </c>
    </row>
    <row r="155">
      <c r="A155" s="8" t="n">
        <v>46113</v>
      </c>
      <c r="B155" s="9">
        <f>Inputs!$A$39</f>
        <v/>
      </c>
      <c r="C155" s="9" t="n">
        <v>132564697</v>
      </c>
      <c r="D155" s="9" t="n">
        <v>2702405</v>
      </c>
      <c r="E155" s="9" t="n">
        <v>34852</v>
      </c>
      <c r="F155" s="9" t="n">
        <v>2678184</v>
      </c>
      <c r="G155" s="9" t="n">
        <v>290675</v>
      </c>
    </row>
    <row r="156">
      <c r="A156" s="8" t="n">
        <v>46113</v>
      </c>
      <c r="B156" s="9">
        <f>Inputs!$A$40</f>
        <v/>
      </c>
      <c r="C156" s="9" t="n">
        <v>139867271</v>
      </c>
      <c r="D156" s="9" t="n">
        <v>2856707</v>
      </c>
      <c r="E156" s="9" t="n">
        <v>35604</v>
      </c>
      <c r="F156" s="9" t="n">
        <v>2738290</v>
      </c>
      <c r="G156" s="9" t="n">
        <v>313820</v>
      </c>
    </row>
    <row r="157">
      <c r="A157" s="8" t="n">
        <v>46113</v>
      </c>
      <c r="B157" s="9">
        <f>Inputs!$A$41</f>
        <v/>
      </c>
      <c r="C157" s="9" t="n">
        <v>125886692</v>
      </c>
      <c r="D157" s="9" t="n">
        <v>2673809</v>
      </c>
      <c r="E157" s="9" t="n">
        <v>34964</v>
      </c>
      <c r="F157" s="9" t="n">
        <v>2610578</v>
      </c>
      <c r="G157" s="9" t="n">
        <v>272937</v>
      </c>
    </row>
    <row r="158">
      <c r="A158" s="8" t="n">
        <v>46113</v>
      </c>
      <c r="B158" s="9">
        <f>Inputs!$A$42</f>
        <v/>
      </c>
      <c r="C158" s="9" t="n">
        <v>84195960</v>
      </c>
      <c r="D158" s="9" t="n">
        <v>1838548</v>
      </c>
      <c r="E158" s="9" t="n">
        <v>25686</v>
      </c>
      <c r="F158" s="9" t="n">
        <v>1834558</v>
      </c>
      <c r="G158" s="9" t="n">
        <v>222181</v>
      </c>
    </row>
    <row r="159">
      <c r="A159" s="8" t="n">
        <v>46113</v>
      </c>
      <c r="B159" s="9">
        <f>Inputs!$A$43</f>
        <v/>
      </c>
      <c r="C159" s="9" t="n">
        <v>111697272</v>
      </c>
      <c r="D159" s="9" t="n">
        <v>2431703</v>
      </c>
      <c r="E159" s="9" t="n">
        <v>32846</v>
      </c>
      <c r="F159" s="9" t="n">
        <v>2683168</v>
      </c>
      <c r="G159" s="9" t="n">
        <v>251771</v>
      </c>
    </row>
    <row r="160">
      <c r="A160" s="8" t="n">
        <v>46113</v>
      </c>
      <c r="B160" s="9">
        <f>Inputs!$A$44</f>
        <v/>
      </c>
      <c r="C160" s="9" t="n"/>
      <c r="D160" s="9" t="n">
        <v>842701</v>
      </c>
      <c r="E160" s="9" t="n">
        <v>7625</v>
      </c>
      <c r="F160" s="9" t="n">
        <v>624006</v>
      </c>
      <c r="G160" s="9" t="n">
        <v>153196</v>
      </c>
    </row>
    <row r="161">
      <c r="A161" s="8" t="n">
        <v>46113</v>
      </c>
      <c r="B161" s="9">
        <f>Inputs!$A$45</f>
        <v/>
      </c>
      <c r="C161" s="9" t="n"/>
      <c r="D161" s="9" t="n">
        <v>787005</v>
      </c>
      <c r="E161" s="9" t="n">
        <v>7425</v>
      </c>
      <c r="F161" s="9" t="n">
        <v>599721</v>
      </c>
      <c r="G161" s="9" t="n">
        <v>152430</v>
      </c>
    </row>
    <row r="162">
      <c r="A162" s="8" t="n">
        <v>46143</v>
      </c>
      <c r="B162" s="9">
        <f>Inputs!$A$36</f>
        <v/>
      </c>
      <c r="C162" s="9" t="n">
        <v>152229599</v>
      </c>
      <c r="D162" s="9" t="n">
        <v>3123845</v>
      </c>
      <c r="E162" s="9" t="n">
        <v>40644</v>
      </c>
      <c r="F162" s="9" t="n">
        <v>2765647</v>
      </c>
      <c r="G162" s="9" t="n">
        <v>329021</v>
      </c>
    </row>
    <row r="163">
      <c r="A163" s="8" t="n">
        <v>46143</v>
      </c>
      <c r="B163" s="9">
        <f>Inputs!$A$37</f>
        <v/>
      </c>
      <c r="C163" s="9" t="n">
        <v>147524828</v>
      </c>
      <c r="D163" s="9" t="n">
        <v>3044611</v>
      </c>
      <c r="E163" s="9" t="n">
        <v>37128</v>
      </c>
      <c r="F163" s="9" t="n">
        <v>2471344</v>
      </c>
      <c r="G163" s="9" t="n">
        <v>322069</v>
      </c>
    </row>
    <row r="164">
      <c r="A164" s="8" t="n">
        <v>46143</v>
      </c>
      <c r="B164" s="9">
        <f>Inputs!$A$38</f>
        <v/>
      </c>
      <c r="C164" s="9" t="n">
        <v>116456329</v>
      </c>
      <c r="D164" s="9" t="n">
        <v>2521436</v>
      </c>
      <c r="E164" s="9" t="n">
        <v>34091</v>
      </c>
      <c r="F164" s="9" t="n">
        <v>2287961</v>
      </c>
      <c r="G164" s="9" t="n">
        <v>276287</v>
      </c>
    </row>
    <row r="165">
      <c r="A165" s="8" t="n">
        <v>46143</v>
      </c>
      <c r="B165" s="9">
        <f>Inputs!$A$39</f>
        <v/>
      </c>
      <c r="C165" s="9" t="n">
        <v>127917845</v>
      </c>
      <c r="D165" s="9" t="n">
        <v>2679665</v>
      </c>
      <c r="E165" s="9" t="n">
        <v>36522</v>
      </c>
      <c r="F165" s="9" t="n">
        <v>2468423</v>
      </c>
      <c r="G165" s="9" t="n">
        <v>287904</v>
      </c>
    </row>
    <row r="166">
      <c r="A166" s="8" t="n">
        <v>46143</v>
      </c>
      <c r="B166" s="9">
        <f>Inputs!$A$40</f>
        <v/>
      </c>
      <c r="C166" s="9" t="n">
        <v>138377675</v>
      </c>
      <c r="D166" s="9" t="n">
        <v>2786409</v>
      </c>
      <c r="E166" s="9" t="n">
        <v>34822</v>
      </c>
      <c r="F166" s="9" t="n">
        <v>2332579</v>
      </c>
      <c r="G166" s="9" t="n">
        <v>313311</v>
      </c>
    </row>
    <row r="167">
      <c r="A167" s="8" t="n">
        <v>46143</v>
      </c>
      <c r="B167" s="9">
        <f>Inputs!$A$41</f>
        <v/>
      </c>
      <c r="C167" s="9" t="n">
        <v>123873114</v>
      </c>
      <c r="D167" s="9" t="n">
        <v>2651306</v>
      </c>
      <c r="E167" s="9" t="n">
        <v>35072</v>
      </c>
      <c r="F167" s="9" t="n">
        <v>2340552</v>
      </c>
      <c r="G167" s="9" t="n">
        <v>279451</v>
      </c>
    </row>
    <row r="168">
      <c r="A168" s="8" t="n">
        <v>46143</v>
      </c>
      <c r="B168" s="9">
        <f>Inputs!$A$42</f>
        <v/>
      </c>
      <c r="C168" s="9" t="n">
        <v>82081320</v>
      </c>
      <c r="D168" s="9" t="n">
        <v>1818868</v>
      </c>
      <c r="E168" s="9" t="n">
        <v>24969</v>
      </c>
      <c r="F168" s="9" t="n">
        <v>1569175</v>
      </c>
      <c r="G168" s="9" t="n">
        <v>214146</v>
      </c>
    </row>
    <row r="169">
      <c r="A169" s="8" t="n">
        <v>46143</v>
      </c>
      <c r="B169" s="9">
        <f>Inputs!$A$43</f>
        <v/>
      </c>
      <c r="C169" s="9" t="n">
        <v>106186263</v>
      </c>
      <c r="D169" s="9" t="n">
        <v>2292754</v>
      </c>
      <c r="E169" s="9" t="n">
        <v>31229</v>
      </c>
      <c r="F169" s="9" t="n">
        <v>2233552</v>
      </c>
      <c r="G169" s="9" t="n">
        <v>260145</v>
      </c>
    </row>
    <row r="170">
      <c r="A170" s="8" t="n">
        <v>46143</v>
      </c>
      <c r="B170" s="9">
        <f>Inputs!$A$44</f>
        <v/>
      </c>
      <c r="C170" s="9" t="n"/>
      <c r="D170" s="9" t="n">
        <v>836578</v>
      </c>
      <c r="E170" s="9" t="n">
        <v>7450</v>
      </c>
      <c r="F170" s="9" t="n">
        <v>539442</v>
      </c>
      <c r="G170" s="9" t="n">
        <v>157314</v>
      </c>
    </row>
    <row r="171">
      <c r="A171" s="8" t="n">
        <v>46143</v>
      </c>
      <c r="B171" s="9">
        <f>Inputs!$A$45</f>
        <v/>
      </c>
      <c r="C171" s="9" t="n"/>
      <c r="D171" s="9" t="n">
        <v>773362</v>
      </c>
      <c r="E171" s="9" t="n">
        <v>7364</v>
      </c>
      <c r="F171" s="9" t="n">
        <v>526704</v>
      </c>
      <c r="G171" s="9" t="n">
        <v>142745</v>
      </c>
    </row>
    <row r="172">
      <c r="A172" s="8" t="n">
        <v>46174</v>
      </c>
      <c r="B172" s="9">
        <f>Inputs!$A$36</f>
        <v/>
      </c>
      <c r="C172" s="9" t="n">
        <v>152134607</v>
      </c>
      <c r="D172" s="9" t="n">
        <v>3164472</v>
      </c>
      <c r="E172" s="9" t="n">
        <v>40013</v>
      </c>
      <c r="F172" s="9" t="n">
        <v>2822232</v>
      </c>
      <c r="G172" s="9" t="n">
        <v>333918</v>
      </c>
    </row>
    <row r="173">
      <c r="A173" s="8" t="n">
        <v>46174</v>
      </c>
      <c r="B173" s="9">
        <f>Inputs!$A$37</f>
        <v/>
      </c>
      <c r="C173" s="9" t="n">
        <v>141648526</v>
      </c>
      <c r="D173" s="9" t="n">
        <v>2946913</v>
      </c>
      <c r="E173" s="9" t="n">
        <v>35258</v>
      </c>
      <c r="F173" s="9" t="n">
        <v>2456616</v>
      </c>
      <c r="G173" s="9" t="n">
        <v>300199</v>
      </c>
    </row>
    <row r="174">
      <c r="A174" s="8" t="n">
        <v>46174</v>
      </c>
      <c r="B174" s="9">
        <f>Inputs!$A$38</f>
        <v/>
      </c>
      <c r="C174" s="9" t="n">
        <v>113293725</v>
      </c>
      <c r="D174" s="9" t="n">
        <v>2488596</v>
      </c>
      <c r="E174" s="9" t="n">
        <v>32398</v>
      </c>
      <c r="F174" s="9" t="n">
        <v>2101682</v>
      </c>
      <c r="G174" s="9" t="n">
        <v>262755</v>
      </c>
    </row>
    <row r="175">
      <c r="A175" s="8" t="n">
        <v>46174</v>
      </c>
      <c r="B175" s="9">
        <f>Inputs!$A$39</f>
        <v/>
      </c>
      <c r="C175" s="9" t="n">
        <v>126062822</v>
      </c>
      <c r="D175" s="9" t="n">
        <v>2592553</v>
      </c>
      <c r="E175" s="9" t="n">
        <v>33747</v>
      </c>
      <c r="F175" s="9" t="n">
        <v>2352735</v>
      </c>
      <c r="G175" s="9" t="n">
        <v>288863</v>
      </c>
    </row>
    <row r="176">
      <c r="A176" s="8" t="n">
        <v>46174</v>
      </c>
      <c r="B176" s="9">
        <f>Inputs!$A$40</f>
        <v/>
      </c>
      <c r="C176" s="9" t="n">
        <v>133661122</v>
      </c>
      <c r="D176" s="9" t="n">
        <v>2746204</v>
      </c>
      <c r="E176" s="9" t="n">
        <v>33895</v>
      </c>
      <c r="F176" s="9" t="n">
        <v>2354797</v>
      </c>
      <c r="G176" s="9" t="n">
        <v>311375</v>
      </c>
    </row>
    <row r="177">
      <c r="A177" s="8" t="n">
        <v>46174</v>
      </c>
      <c r="B177" s="9">
        <f>Inputs!$A$41</f>
        <v/>
      </c>
      <c r="C177" s="9" t="n">
        <v>118336864</v>
      </c>
      <c r="D177" s="9" t="n">
        <v>2567788</v>
      </c>
      <c r="E177" s="9" t="n">
        <v>34339</v>
      </c>
      <c r="F177" s="9" t="n">
        <v>2237996</v>
      </c>
      <c r="G177" s="9" t="n">
        <v>287230</v>
      </c>
    </row>
    <row r="178">
      <c r="A178" s="8" t="n">
        <v>46174</v>
      </c>
      <c r="B178" s="9">
        <f>Inputs!$A$42</f>
        <v/>
      </c>
      <c r="C178" s="9" t="n">
        <v>81648282</v>
      </c>
      <c r="D178" s="9" t="n">
        <v>1797138</v>
      </c>
      <c r="E178" s="9" t="n">
        <v>24328</v>
      </c>
      <c r="F178" s="9" t="n">
        <v>1542583</v>
      </c>
      <c r="G178" s="9" t="n">
        <v>223249</v>
      </c>
    </row>
    <row r="179">
      <c r="A179" s="8" t="n">
        <v>46174</v>
      </c>
      <c r="B179" s="9">
        <f>Inputs!$A$43</f>
        <v/>
      </c>
      <c r="C179" s="9" t="n">
        <v>107862555</v>
      </c>
      <c r="D179" s="9" t="n">
        <v>2364329</v>
      </c>
      <c r="E179" s="9" t="n">
        <v>30712</v>
      </c>
      <c r="F179" s="9" t="n">
        <v>2255559</v>
      </c>
      <c r="G179" s="9" t="n">
        <v>264104</v>
      </c>
    </row>
    <row r="180">
      <c r="A180" s="8" t="n">
        <v>46174</v>
      </c>
      <c r="B180" s="9">
        <f>Inputs!$A$44</f>
        <v/>
      </c>
      <c r="C180" s="9" t="n"/>
      <c r="D180" s="9" t="n">
        <v>820243</v>
      </c>
      <c r="E180" s="9" t="n">
        <v>7143</v>
      </c>
      <c r="F180" s="9" t="n">
        <v>537658</v>
      </c>
      <c r="G180" s="9" t="n">
        <v>157283</v>
      </c>
    </row>
    <row r="181">
      <c r="A181" s="8" t="n">
        <v>46174</v>
      </c>
      <c r="B181" s="9">
        <f>Inputs!$A$45</f>
        <v/>
      </c>
      <c r="C181" s="9" t="n"/>
      <c r="D181" s="9" t="n">
        <v>758515</v>
      </c>
      <c r="E181" s="9" t="n">
        <v>7093</v>
      </c>
      <c r="F181" s="9" t="n">
        <v>521680</v>
      </c>
      <c r="G181" s="9" t="n">
        <v>151115</v>
      </c>
    </row>
    <row r="182">
      <c r="A182" s="8" t="n">
        <v>46204</v>
      </c>
      <c r="B182" s="9">
        <f>Inputs!$A$36</f>
        <v/>
      </c>
      <c r="C182" s="9" t="n">
        <v>157303158</v>
      </c>
      <c r="D182" s="9" t="n">
        <v>3258169</v>
      </c>
      <c r="E182" s="9" t="n">
        <v>40984</v>
      </c>
      <c r="F182" s="9" t="n">
        <v>2790412</v>
      </c>
      <c r="G182" s="9" t="n">
        <v>338813</v>
      </c>
    </row>
    <row r="183">
      <c r="A183" s="8" t="n">
        <v>46204</v>
      </c>
      <c r="B183" s="9">
        <f>Inputs!$A$37</f>
        <v/>
      </c>
      <c r="C183" s="9" t="n">
        <v>145101604</v>
      </c>
      <c r="D183" s="9" t="n">
        <v>3027457</v>
      </c>
      <c r="E183" s="9" t="n">
        <v>37220</v>
      </c>
      <c r="F183" s="9" t="n">
        <v>2506738</v>
      </c>
      <c r="G183" s="9" t="n">
        <v>320571</v>
      </c>
    </row>
    <row r="184">
      <c r="A184" s="8" t="n">
        <v>46204</v>
      </c>
      <c r="B184" s="9">
        <f>Inputs!$A$38</f>
        <v/>
      </c>
      <c r="C184" s="9" t="n">
        <v>118163726</v>
      </c>
      <c r="D184" s="9" t="n">
        <v>2515126</v>
      </c>
      <c r="E184" s="9" t="n">
        <v>33618</v>
      </c>
      <c r="F184" s="9" t="n">
        <v>2157145</v>
      </c>
      <c r="G184" s="9" t="n">
        <v>269163</v>
      </c>
    </row>
    <row r="185">
      <c r="A185" s="8" t="n">
        <v>46204</v>
      </c>
      <c r="B185" s="9">
        <f>Inputs!$A$39</f>
        <v/>
      </c>
      <c r="C185" s="9" t="n">
        <v>127348869</v>
      </c>
      <c r="D185" s="9" t="n">
        <v>2645719</v>
      </c>
      <c r="E185" s="9" t="n">
        <v>34000</v>
      </c>
      <c r="F185" s="9" t="n">
        <v>2360502</v>
      </c>
      <c r="G185" s="9" t="n">
        <v>287377</v>
      </c>
    </row>
    <row r="186">
      <c r="A186" s="8" t="n">
        <v>46204</v>
      </c>
      <c r="B186" s="9">
        <f>Inputs!$A$40</f>
        <v/>
      </c>
      <c r="C186" s="9" t="n">
        <v>140176075</v>
      </c>
      <c r="D186" s="9" t="n">
        <v>2794298</v>
      </c>
      <c r="E186" s="9" t="n">
        <v>35430</v>
      </c>
      <c r="F186" s="9" t="n">
        <v>2392202</v>
      </c>
      <c r="G186" s="9" t="n">
        <v>314154</v>
      </c>
    </row>
    <row r="187">
      <c r="A187" s="8" t="n">
        <v>46204</v>
      </c>
      <c r="B187" s="9">
        <f>Inputs!$A$41</f>
        <v/>
      </c>
      <c r="C187" s="9" t="n">
        <v>124914357</v>
      </c>
      <c r="D187" s="9" t="n">
        <v>2681266</v>
      </c>
      <c r="E187" s="9" t="n">
        <v>34437</v>
      </c>
      <c r="F187" s="9" t="n">
        <v>2250686</v>
      </c>
      <c r="G187" s="9" t="n">
        <v>274923</v>
      </c>
    </row>
    <row r="188">
      <c r="A188" s="8" t="n">
        <v>46204</v>
      </c>
      <c r="B188" s="9">
        <f>Inputs!$A$42</f>
        <v/>
      </c>
      <c r="C188" s="9" t="n">
        <v>81940139</v>
      </c>
      <c r="D188" s="9" t="n">
        <v>1841489</v>
      </c>
      <c r="E188" s="9" t="n">
        <v>25392</v>
      </c>
      <c r="F188" s="9" t="n">
        <v>1611224</v>
      </c>
      <c r="G188" s="9" t="n">
        <v>221285</v>
      </c>
    </row>
    <row r="189">
      <c r="A189" s="8" t="n">
        <v>46204</v>
      </c>
      <c r="B189" s="9">
        <f>Inputs!$A$43</f>
        <v/>
      </c>
      <c r="C189" s="9" t="n">
        <v>109022765</v>
      </c>
      <c r="D189" s="9" t="n">
        <v>2412518</v>
      </c>
      <c r="E189" s="9" t="n">
        <v>32745</v>
      </c>
      <c r="F189" s="9" t="n">
        <v>2365642</v>
      </c>
      <c r="G189" s="9" t="n">
        <v>268471</v>
      </c>
    </row>
    <row r="190">
      <c r="A190" s="8" t="n">
        <v>46204</v>
      </c>
      <c r="B190" s="9">
        <f>Inputs!$A$44</f>
        <v/>
      </c>
      <c r="C190" s="9" t="n"/>
      <c r="D190" s="9" t="n">
        <v>831064</v>
      </c>
      <c r="E190" s="9" t="n">
        <v>7249</v>
      </c>
      <c r="F190" s="9" t="n">
        <v>527015</v>
      </c>
      <c r="G190" s="9" t="n">
        <v>153284</v>
      </c>
    </row>
    <row r="191">
      <c r="A191" s="8" t="n">
        <v>46204</v>
      </c>
      <c r="B191" s="9">
        <f>Inputs!$A$45</f>
        <v/>
      </c>
      <c r="C191" s="9" t="n"/>
      <c r="D191" s="9" t="n">
        <v>768113</v>
      </c>
      <c r="E191" s="9" t="n">
        <v>7062</v>
      </c>
      <c r="F191" s="9" t="n">
        <v>502714</v>
      </c>
      <c r="G191" s="9" t="n">
        <v>149858</v>
      </c>
    </row>
    <row r="192">
      <c r="A192" s="8" t="n">
        <v>46235</v>
      </c>
      <c r="B192" s="9">
        <f>Inputs!$A$36</f>
        <v/>
      </c>
      <c r="C192" s="9" t="n">
        <v>154523231</v>
      </c>
      <c r="D192" s="9" t="n">
        <v>3207130</v>
      </c>
      <c r="E192" s="9" t="n">
        <v>40493</v>
      </c>
      <c r="F192" s="9" t="n">
        <v>2822833</v>
      </c>
      <c r="G192" s="9" t="n">
        <v>330411</v>
      </c>
    </row>
    <row r="193">
      <c r="A193" s="8" t="n">
        <v>46235</v>
      </c>
      <c r="B193" s="9">
        <f>Inputs!$A$37</f>
        <v/>
      </c>
      <c r="C193" s="9" t="n">
        <v>140340506</v>
      </c>
      <c r="D193" s="9" t="n">
        <v>2955324</v>
      </c>
      <c r="E193" s="9" t="n">
        <v>35401</v>
      </c>
      <c r="F193" s="9" t="n">
        <v>2377259</v>
      </c>
      <c r="G193" s="9" t="n">
        <v>313314</v>
      </c>
    </row>
    <row r="194">
      <c r="A194" s="8" t="n">
        <v>46235</v>
      </c>
      <c r="B194" s="9">
        <f>Inputs!$A$38</f>
        <v/>
      </c>
      <c r="C194" s="9" t="n">
        <v>120980031</v>
      </c>
      <c r="D194" s="9" t="n">
        <v>2569610</v>
      </c>
      <c r="E194" s="9" t="n">
        <v>34322</v>
      </c>
      <c r="F194" s="9" t="n">
        <v>2221995</v>
      </c>
      <c r="G194" s="9" t="n">
        <v>273852</v>
      </c>
    </row>
    <row r="195">
      <c r="A195" s="8" t="n">
        <v>46235</v>
      </c>
      <c r="B195" s="9">
        <f>Inputs!$A$39</f>
        <v/>
      </c>
      <c r="C195" s="9" t="n">
        <v>127426811</v>
      </c>
      <c r="D195" s="9" t="n">
        <v>2638830</v>
      </c>
      <c r="E195" s="9" t="n">
        <v>34331</v>
      </c>
      <c r="F195" s="9" t="n">
        <v>2355471</v>
      </c>
      <c r="G195" s="9" t="n">
        <v>282102</v>
      </c>
    </row>
    <row r="196">
      <c r="A196" s="8" t="n">
        <v>46235</v>
      </c>
      <c r="B196" s="9">
        <f>Inputs!$A$40</f>
        <v/>
      </c>
      <c r="C196" s="9" t="n">
        <v>138115853</v>
      </c>
      <c r="D196" s="9" t="n">
        <v>2776702</v>
      </c>
      <c r="E196" s="9" t="n">
        <v>34530</v>
      </c>
      <c r="F196" s="9" t="n">
        <v>2325728</v>
      </c>
      <c r="G196" s="9" t="n">
        <v>305332</v>
      </c>
    </row>
    <row r="197">
      <c r="A197" s="8" t="n">
        <v>46235</v>
      </c>
      <c r="B197" s="9">
        <f>Inputs!$A$41</f>
        <v/>
      </c>
      <c r="C197" s="9" t="n">
        <v>124472644</v>
      </c>
      <c r="D197" s="9" t="n">
        <v>2670437</v>
      </c>
      <c r="E197" s="9" t="n">
        <v>35222</v>
      </c>
      <c r="F197" s="9" t="n">
        <v>2284378</v>
      </c>
      <c r="G197" s="9" t="n">
        <v>287759</v>
      </c>
    </row>
    <row r="198">
      <c r="A198" s="8" t="n">
        <v>46235</v>
      </c>
      <c r="B198" s="9">
        <f>Inputs!$A$42</f>
        <v/>
      </c>
      <c r="C198" s="9" t="n">
        <v>80867529</v>
      </c>
      <c r="D198" s="9" t="n">
        <v>1791999</v>
      </c>
      <c r="E198" s="9" t="n">
        <v>24739</v>
      </c>
      <c r="F198" s="9" t="n">
        <v>1585645</v>
      </c>
      <c r="G198" s="9" t="n">
        <v>221865</v>
      </c>
    </row>
    <row r="199">
      <c r="A199" s="8" t="n">
        <v>46235</v>
      </c>
      <c r="B199" s="9">
        <f>Inputs!$A$43</f>
        <v/>
      </c>
      <c r="C199" s="9" t="n">
        <v>106388661</v>
      </c>
      <c r="D199" s="9" t="n">
        <v>2314634</v>
      </c>
      <c r="E199" s="9" t="n">
        <v>30977</v>
      </c>
      <c r="F199" s="9" t="n">
        <v>2215203</v>
      </c>
      <c r="G199" s="9" t="n">
        <v>255449</v>
      </c>
    </row>
    <row r="200">
      <c r="A200" s="8" t="n">
        <v>46235</v>
      </c>
      <c r="B200" s="9">
        <f>Inputs!$A$44</f>
        <v/>
      </c>
      <c r="C200" s="9" t="n"/>
      <c r="D200" s="9" t="n">
        <v>815772</v>
      </c>
      <c r="E200" s="9" t="n">
        <v>7396</v>
      </c>
      <c r="F200" s="9" t="n">
        <v>536543</v>
      </c>
      <c r="G200" s="9" t="n">
        <v>158388</v>
      </c>
    </row>
    <row r="201">
      <c r="A201" s="8" t="n">
        <v>46235</v>
      </c>
      <c r="B201" s="9">
        <f>Inputs!$A$45</f>
        <v/>
      </c>
      <c r="C201" s="9" t="n"/>
      <c r="D201" s="9" t="n">
        <v>775745</v>
      </c>
      <c r="E201" s="9" t="n">
        <v>7030</v>
      </c>
      <c r="F201" s="9" t="n">
        <v>502965</v>
      </c>
      <c r="G201" s="9" t="n">
        <v>142213</v>
      </c>
    </row>
    <row r="202">
      <c r="A202" s="8" t="n">
        <v>46266</v>
      </c>
      <c r="B202" s="9">
        <f>Inputs!$A$36</f>
        <v/>
      </c>
      <c r="C202" s="9" t="n">
        <v>156141692</v>
      </c>
      <c r="D202" s="9" t="n">
        <v>3201093</v>
      </c>
      <c r="E202" s="9" t="n">
        <v>40680</v>
      </c>
      <c r="F202" s="9" t="n">
        <v>2767047</v>
      </c>
      <c r="G202" s="9" t="n">
        <v>331795</v>
      </c>
    </row>
    <row r="203">
      <c r="A203" s="8" t="n">
        <v>46266</v>
      </c>
      <c r="B203" s="9">
        <f>Inputs!$A$37</f>
        <v/>
      </c>
      <c r="C203" s="9" t="n">
        <v>142762382</v>
      </c>
      <c r="D203" s="9" t="n">
        <v>2972398</v>
      </c>
      <c r="E203" s="9" t="n">
        <v>36192</v>
      </c>
      <c r="F203" s="9" t="n">
        <v>2510738</v>
      </c>
      <c r="G203" s="9" t="n">
        <v>306111</v>
      </c>
    </row>
    <row r="204">
      <c r="A204" s="8" t="n">
        <v>46266</v>
      </c>
      <c r="B204" s="9">
        <f>Inputs!$A$38</f>
        <v/>
      </c>
      <c r="C204" s="9" t="n">
        <v>116519697</v>
      </c>
      <c r="D204" s="9" t="n">
        <v>2548180</v>
      </c>
      <c r="E204" s="9" t="n">
        <v>33764</v>
      </c>
      <c r="F204" s="9" t="n">
        <v>2205615</v>
      </c>
      <c r="G204" s="9" t="n">
        <v>273376</v>
      </c>
    </row>
    <row r="205">
      <c r="A205" s="8" t="n">
        <v>46266</v>
      </c>
      <c r="B205" s="9">
        <f>Inputs!$A$39</f>
        <v/>
      </c>
      <c r="C205" s="9" t="n">
        <v>127789999</v>
      </c>
      <c r="D205" s="9" t="n">
        <v>2617581</v>
      </c>
      <c r="E205" s="9" t="n">
        <v>34369</v>
      </c>
      <c r="F205" s="9" t="n">
        <v>2329098</v>
      </c>
      <c r="G205" s="9" t="n">
        <v>297962</v>
      </c>
    </row>
    <row r="206">
      <c r="A206" s="8" t="n">
        <v>46266</v>
      </c>
      <c r="B206" s="9">
        <f>Inputs!$A$40</f>
        <v/>
      </c>
      <c r="C206" s="9" t="n">
        <v>137926213</v>
      </c>
      <c r="D206" s="9" t="n">
        <v>2791629</v>
      </c>
      <c r="E206" s="9" t="n">
        <v>34143</v>
      </c>
      <c r="F206" s="9" t="n">
        <v>2379355</v>
      </c>
      <c r="G206" s="9" t="n">
        <v>316584</v>
      </c>
    </row>
    <row r="207">
      <c r="A207" s="8" t="n">
        <v>46266</v>
      </c>
      <c r="B207" s="9">
        <f>Inputs!$A$41</f>
        <v/>
      </c>
      <c r="C207" s="9" t="n">
        <v>123051883</v>
      </c>
      <c r="D207" s="9" t="n">
        <v>2579876</v>
      </c>
      <c r="E207" s="9" t="n">
        <v>33441</v>
      </c>
      <c r="F207" s="9" t="n">
        <v>2165819</v>
      </c>
      <c r="G207" s="9" t="n">
        <v>278090</v>
      </c>
    </row>
    <row r="208">
      <c r="A208" s="8" t="n">
        <v>46266</v>
      </c>
      <c r="B208" s="9">
        <f>Inputs!$A$42</f>
        <v/>
      </c>
      <c r="C208" s="9" t="n">
        <v>81936733</v>
      </c>
      <c r="D208" s="9" t="n">
        <v>1784699</v>
      </c>
      <c r="E208" s="9" t="n">
        <v>24457</v>
      </c>
      <c r="F208" s="9" t="n">
        <v>1555278</v>
      </c>
      <c r="G208" s="9" t="n">
        <v>209518</v>
      </c>
    </row>
    <row r="209">
      <c r="A209" s="8" t="n">
        <v>46266</v>
      </c>
      <c r="B209" s="9">
        <f>Inputs!$A$43</f>
        <v/>
      </c>
      <c r="C209" s="9" t="n">
        <v>109682954</v>
      </c>
      <c r="D209" s="9" t="n">
        <v>2379611</v>
      </c>
      <c r="E209" s="9" t="n">
        <v>31248</v>
      </c>
      <c r="F209" s="9" t="n">
        <v>2290046</v>
      </c>
      <c r="G209" s="9" t="n">
        <v>258923</v>
      </c>
    </row>
    <row r="210">
      <c r="A210" s="8" t="n">
        <v>46266</v>
      </c>
      <c r="B210" s="9">
        <f>Inputs!$A$44</f>
        <v/>
      </c>
      <c r="C210" s="9" t="n"/>
      <c r="D210" s="9" t="n">
        <v>838192</v>
      </c>
      <c r="E210" s="9" t="n">
        <v>7367</v>
      </c>
      <c r="F210" s="9" t="n">
        <v>536696</v>
      </c>
      <c r="G210" s="9" t="n">
        <v>158594</v>
      </c>
    </row>
    <row r="211">
      <c r="A211" s="8" t="n">
        <v>46266</v>
      </c>
      <c r="B211" s="9">
        <f>Inputs!$A$45</f>
        <v/>
      </c>
      <c r="C211" s="9" t="n"/>
      <c r="D211" s="9" t="n">
        <v>768891</v>
      </c>
      <c r="E211" s="9" t="n">
        <v>7208</v>
      </c>
      <c r="F211" s="9" t="n">
        <v>522166</v>
      </c>
      <c r="G211" s="9" t="n">
        <v>147742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A1:F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5" t="inlineStr">
        <is>
          <t>Month</t>
        </is>
      </c>
      <c r="B1" s="5" t="inlineStr">
        <is>
          <t>Site</t>
        </is>
      </c>
      <c r="C1" s="5" t="inlineStr">
        <is>
          <t>Sales forecast $</t>
        </is>
      </c>
      <c r="D1" s="5" t="inlineStr">
        <is>
          <t>Payroll % of sales (total)</t>
        </is>
      </c>
      <c r="F1" s="6" t="inlineStr">
        <is>
          <t>From the long-range plan. IDC payroll % is a % of the host region's sales (see Sites on Inputs).</t>
        </is>
      </c>
    </row>
    <row r="2">
      <c r="A2" s="8" t="n">
        <v>46023</v>
      </c>
      <c r="B2">
        <f>Inputs!$A$36</f>
        <v/>
      </c>
      <c r="C2" s="9" t="n">
        <v>153814000</v>
      </c>
      <c r="D2" s="10" t="n">
        <v>0.022</v>
      </c>
    </row>
    <row r="3">
      <c r="A3" s="8" t="n">
        <v>46023</v>
      </c>
      <c r="B3">
        <f>Inputs!$A$37</f>
        <v/>
      </c>
      <c r="C3" s="9" t="n">
        <v>142733000</v>
      </c>
      <c r="D3" s="10" t="n">
        <v>0.0209</v>
      </c>
    </row>
    <row r="4">
      <c r="A4" s="8" t="n">
        <v>46023</v>
      </c>
      <c r="B4">
        <f>Inputs!$A$38</f>
        <v/>
      </c>
      <c r="C4" s="9" t="n">
        <v>117343000</v>
      </c>
      <c r="D4" s="10" t="n">
        <v>0.0223</v>
      </c>
    </row>
    <row r="5">
      <c r="A5" s="8" t="n">
        <v>46023</v>
      </c>
      <c r="B5">
        <f>Inputs!$A$39</f>
        <v/>
      </c>
      <c r="C5" s="9" t="n">
        <v>126585000</v>
      </c>
      <c r="D5" s="10" t="n">
        <v>0.0222</v>
      </c>
    </row>
    <row r="6">
      <c r="A6" s="8" t="n">
        <v>46023</v>
      </c>
      <c r="B6">
        <f>Inputs!$A$40</f>
        <v/>
      </c>
      <c r="C6" s="9" t="n">
        <v>135910000</v>
      </c>
      <c r="D6" s="10" t="n">
        <v>0.021</v>
      </c>
    </row>
    <row r="7">
      <c r="A7" s="8" t="n">
        <v>46023</v>
      </c>
      <c r="B7">
        <f>Inputs!$A$41</f>
        <v/>
      </c>
      <c r="C7" s="9" t="n">
        <v>120851000</v>
      </c>
      <c r="D7" s="10" t="n">
        <v>0.0221</v>
      </c>
    </row>
    <row r="8">
      <c r="A8" s="8" t="n">
        <v>46023</v>
      </c>
      <c r="B8">
        <f>Inputs!$A$42</f>
        <v/>
      </c>
      <c r="C8" s="9" t="n">
        <v>79038000</v>
      </c>
      <c r="D8" s="10" t="n">
        <v>0.0231</v>
      </c>
    </row>
    <row r="9">
      <c r="A9" s="8" t="n">
        <v>46023</v>
      </c>
      <c r="B9">
        <f>Inputs!$A$43</f>
        <v/>
      </c>
      <c r="C9" s="9" t="n">
        <v>106821000</v>
      </c>
      <c r="D9" s="10" t="n">
        <v>0.0267</v>
      </c>
    </row>
    <row r="10">
      <c r="A10" s="8" t="n">
        <v>46023</v>
      </c>
      <c r="B10">
        <f>Inputs!$A$44</f>
        <v/>
      </c>
      <c r="C10" s="9" t="n"/>
      <c r="D10" s="10" t="n">
        <v>0.0048</v>
      </c>
    </row>
    <row r="11">
      <c r="A11" s="8" t="n">
        <v>46023</v>
      </c>
      <c r="B11">
        <f>Inputs!$A$45</f>
        <v/>
      </c>
      <c r="C11" s="9" t="n"/>
      <c r="D11" s="10" t="n">
        <v>0.005</v>
      </c>
    </row>
    <row r="12">
      <c r="A12" s="8" t="n">
        <v>46054</v>
      </c>
      <c r="B12">
        <f>Inputs!$A$36</f>
        <v/>
      </c>
      <c r="C12" s="9" t="n">
        <v>137092000</v>
      </c>
      <c r="D12" s="10" t="n">
        <v>0.0205</v>
      </c>
    </row>
    <row r="13">
      <c r="A13" s="8" t="n">
        <v>46054</v>
      </c>
      <c r="B13">
        <f>Inputs!$A$37</f>
        <v/>
      </c>
      <c r="C13" s="9" t="n">
        <v>131606000</v>
      </c>
      <c r="D13" s="10" t="n">
        <v>0.0196</v>
      </c>
    </row>
    <row r="14">
      <c r="A14" s="8" t="n">
        <v>46054</v>
      </c>
      <c r="B14">
        <f>Inputs!$A$38</f>
        <v/>
      </c>
      <c r="C14" s="9" t="n">
        <v>109672000</v>
      </c>
      <c r="D14" s="10" t="n">
        <v>0.0218</v>
      </c>
    </row>
    <row r="15">
      <c r="A15" s="8" t="n">
        <v>46054</v>
      </c>
      <c r="B15">
        <f>Inputs!$A$39</f>
        <v/>
      </c>
      <c r="C15" s="9" t="n">
        <v>120059000</v>
      </c>
      <c r="D15" s="10" t="n">
        <v>0.0213</v>
      </c>
    </row>
    <row r="16">
      <c r="A16" s="8" t="n">
        <v>46054</v>
      </c>
      <c r="B16">
        <f>Inputs!$A$40</f>
        <v/>
      </c>
      <c r="C16" s="9" t="n">
        <v>129364000</v>
      </c>
      <c r="D16" s="10" t="n">
        <v>0.0203</v>
      </c>
    </row>
    <row r="17">
      <c r="A17" s="8" t="n">
        <v>46054</v>
      </c>
      <c r="B17">
        <f>Inputs!$A$41</f>
        <v/>
      </c>
      <c r="C17" s="9" t="n">
        <v>114317000</v>
      </c>
      <c r="D17" s="10" t="n">
        <v>0.0211</v>
      </c>
    </row>
    <row r="18">
      <c r="A18" s="8" t="n">
        <v>46054</v>
      </c>
      <c r="B18">
        <f>Inputs!$A$42</f>
        <v/>
      </c>
      <c r="C18" s="9" t="n">
        <v>74441000</v>
      </c>
      <c r="D18" s="10" t="n">
        <v>0.0225</v>
      </c>
    </row>
    <row r="19">
      <c r="A19" s="8" t="n">
        <v>46054</v>
      </c>
      <c r="B19">
        <f>Inputs!$A$43</f>
        <v/>
      </c>
      <c r="C19" s="9" t="n">
        <v>96657000</v>
      </c>
      <c r="D19" s="10" t="n">
        <v>0.0245</v>
      </c>
    </row>
    <row r="20">
      <c r="A20" s="8" t="n">
        <v>46054</v>
      </c>
      <c r="B20">
        <f>Inputs!$A$44</f>
        <v/>
      </c>
      <c r="C20" s="9" t="n"/>
      <c r="D20" s="10" t="n">
        <v>0.0048</v>
      </c>
    </row>
    <row r="21">
      <c r="A21" s="8" t="n">
        <v>46054</v>
      </c>
      <c r="B21">
        <f>Inputs!$A$45</f>
        <v/>
      </c>
      <c r="C21" s="9" t="n"/>
      <c r="D21" s="10" t="n">
        <v>0.005</v>
      </c>
    </row>
    <row r="22">
      <c r="A22" s="8" t="n">
        <v>46082</v>
      </c>
      <c r="B22">
        <f>Inputs!$A$36</f>
        <v/>
      </c>
      <c r="C22" s="9" t="n">
        <v>157503000</v>
      </c>
      <c r="D22" s="10" t="n">
        <v>0.0202</v>
      </c>
    </row>
    <row r="23">
      <c r="A23" s="8" t="n">
        <v>46082</v>
      </c>
      <c r="B23">
        <f>Inputs!$A$37</f>
        <v/>
      </c>
      <c r="C23" s="9" t="n">
        <v>146942000</v>
      </c>
      <c r="D23" s="10" t="n">
        <v>0.0202</v>
      </c>
    </row>
    <row r="24">
      <c r="A24" s="8" t="n">
        <v>46082</v>
      </c>
      <c r="B24">
        <f>Inputs!$A$38</f>
        <v/>
      </c>
      <c r="C24" s="9" t="n">
        <v>118790000</v>
      </c>
      <c r="D24" s="10" t="n">
        <v>0.0208</v>
      </c>
    </row>
    <row r="25">
      <c r="A25" s="8" t="n">
        <v>46082</v>
      </c>
      <c r="B25">
        <f>Inputs!$A$39</f>
        <v/>
      </c>
      <c r="C25" s="9" t="n">
        <v>132170000</v>
      </c>
      <c r="D25" s="10" t="n">
        <v>0.0201</v>
      </c>
    </row>
    <row r="26">
      <c r="A26" s="8" t="n">
        <v>46082</v>
      </c>
      <c r="B26">
        <f>Inputs!$A$40</f>
        <v/>
      </c>
      <c r="C26" s="9" t="n">
        <v>140523000</v>
      </c>
      <c r="D26" s="10" t="n">
        <v>0.0201</v>
      </c>
    </row>
    <row r="27">
      <c r="A27" s="8" t="n">
        <v>46082</v>
      </c>
      <c r="B27">
        <f>Inputs!$A$41</f>
        <v/>
      </c>
      <c r="C27" s="9" t="n">
        <v>122798000</v>
      </c>
      <c r="D27" s="10" t="n">
        <v>0.0208</v>
      </c>
    </row>
    <row r="28">
      <c r="A28" s="8" t="n">
        <v>46082</v>
      </c>
      <c r="B28">
        <f>Inputs!$A$42</f>
        <v/>
      </c>
      <c r="C28" s="9" t="n">
        <v>81723000</v>
      </c>
      <c r="D28" s="10" t="n">
        <v>0.0222</v>
      </c>
    </row>
    <row r="29">
      <c r="A29" s="8" t="n">
        <v>46082</v>
      </c>
      <c r="B29">
        <f>Inputs!$A$43</f>
        <v/>
      </c>
      <c r="C29" s="9" t="n">
        <v>108203000</v>
      </c>
      <c r="D29" s="10" t="n">
        <v>0.0248</v>
      </c>
    </row>
    <row r="30">
      <c r="A30" s="8" t="n">
        <v>46082</v>
      </c>
      <c r="B30">
        <f>Inputs!$A$44</f>
        <v/>
      </c>
      <c r="C30" s="9" t="n"/>
      <c r="D30" s="10" t="n">
        <v>0.0047</v>
      </c>
    </row>
    <row r="31">
      <c r="A31" s="8" t="n">
        <v>46082</v>
      </c>
      <c r="B31">
        <f>Inputs!$A$45</f>
        <v/>
      </c>
      <c r="C31" s="9" t="n"/>
      <c r="D31" s="10" t="n">
        <v>0.0047</v>
      </c>
    </row>
    <row r="32">
      <c r="A32" s="8" t="n">
        <v>46113</v>
      </c>
      <c r="B32">
        <f>Inputs!$A$36</f>
        <v/>
      </c>
      <c r="C32" s="9" t="n">
        <v>153091000</v>
      </c>
      <c r="D32" s="10" t="n">
        <v>0.0231</v>
      </c>
    </row>
    <row r="33">
      <c r="A33" s="8" t="n">
        <v>46113</v>
      </c>
      <c r="B33">
        <f>Inputs!$A$37</f>
        <v/>
      </c>
      <c r="C33" s="9" t="n">
        <v>140264000</v>
      </c>
      <c r="D33" s="10" t="n">
        <v>0.0223</v>
      </c>
    </row>
    <row r="34">
      <c r="A34" s="8" t="n">
        <v>46113</v>
      </c>
      <c r="B34">
        <f>Inputs!$A$38</f>
        <v/>
      </c>
      <c r="C34" s="9" t="n">
        <v>116902000</v>
      </c>
      <c r="D34" s="10" t="n">
        <v>0.0238</v>
      </c>
    </row>
    <row r="35">
      <c r="A35" s="8" t="n">
        <v>46113</v>
      </c>
      <c r="B35">
        <f>Inputs!$A$39</f>
        <v/>
      </c>
      <c r="C35" s="9" t="n">
        <v>132565000</v>
      </c>
      <c r="D35" s="10" t="n">
        <v>0.0224</v>
      </c>
    </row>
    <row r="36">
      <c r="A36" s="8" t="n">
        <v>46113</v>
      </c>
      <c r="B36">
        <f>Inputs!$A$40</f>
        <v/>
      </c>
      <c r="C36" s="9" t="n">
        <v>139867000</v>
      </c>
      <c r="D36" s="10" t="n">
        <v>0.0218</v>
      </c>
    </row>
    <row r="37">
      <c r="A37" s="8" t="n">
        <v>46113</v>
      </c>
      <c r="B37">
        <f>Inputs!$A$41</f>
        <v/>
      </c>
      <c r="C37" s="9" t="n">
        <v>125887000</v>
      </c>
      <c r="D37" s="10" t="n">
        <v>0.0229</v>
      </c>
    </row>
    <row r="38">
      <c r="A38" s="8" t="n">
        <v>46113</v>
      </c>
      <c r="B38">
        <f>Inputs!$A$42</f>
        <v/>
      </c>
      <c r="C38" s="9" t="n">
        <v>84196000</v>
      </c>
      <c r="D38" s="10" t="n">
        <v>0.0244</v>
      </c>
    </row>
    <row r="39">
      <c r="A39" s="8" t="n">
        <v>46113</v>
      </c>
      <c r="B39">
        <f>Inputs!$A$43</f>
        <v/>
      </c>
      <c r="C39" s="9" t="n">
        <v>111697000</v>
      </c>
      <c r="D39" s="10" t="n">
        <v>0.0263</v>
      </c>
    </row>
    <row r="40">
      <c r="A40" s="8" t="n">
        <v>46113</v>
      </c>
      <c r="B40">
        <f>Inputs!$A$44</f>
        <v/>
      </c>
      <c r="C40" s="9" t="n"/>
      <c r="D40" s="10" t="n">
        <v>0.0051</v>
      </c>
    </row>
    <row r="41">
      <c r="A41" s="8" t="n">
        <v>46113</v>
      </c>
      <c r="B41">
        <f>Inputs!$A$45</f>
        <v/>
      </c>
      <c r="C41" s="9" t="n"/>
      <c r="D41" s="10" t="n">
        <v>0.0054</v>
      </c>
    </row>
    <row r="42">
      <c r="A42" s="8" t="n">
        <v>46143</v>
      </c>
      <c r="B42">
        <f>Inputs!$A$36</f>
        <v/>
      </c>
      <c r="C42" s="9" t="n">
        <v>152230000</v>
      </c>
      <c r="D42" s="10" t="n">
        <v>0.0203</v>
      </c>
    </row>
    <row r="43">
      <c r="A43" s="8" t="n">
        <v>46143</v>
      </c>
      <c r="B43">
        <f>Inputs!$A$37</f>
        <v/>
      </c>
      <c r="C43" s="9" t="n">
        <v>147525000</v>
      </c>
      <c r="D43" s="10" t="n">
        <v>0.0189</v>
      </c>
    </row>
    <row r="44">
      <c r="A44" s="8" t="n">
        <v>46143</v>
      </c>
      <c r="B44">
        <f>Inputs!$A$38</f>
        <v/>
      </c>
      <c r="C44" s="9" t="n">
        <v>116456000</v>
      </c>
      <c r="D44" s="10" t="n">
        <v>0.022</v>
      </c>
    </row>
    <row r="45">
      <c r="A45" s="8" t="n">
        <v>46143</v>
      </c>
      <c r="B45">
        <f>Inputs!$A$39</f>
        <v/>
      </c>
      <c r="C45" s="9" t="n">
        <v>127918000</v>
      </c>
      <c r="D45" s="10" t="n">
        <v>0.0215</v>
      </c>
    </row>
    <row r="46">
      <c r="A46" s="8" t="n">
        <v>46143</v>
      </c>
      <c r="B46">
        <f>Inputs!$A$40</f>
        <v/>
      </c>
      <c r="C46" s="9" t="n">
        <v>138378000</v>
      </c>
      <c r="D46" s="10" t="n">
        <v>0.0191</v>
      </c>
    </row>
    <row r="47">
      <c r="A47" s="8" t="n">
        <v>46143</v>
      </c>
      <c r="B47">
        <f>Inputs!$A$41</f>
        <v/>
      </c>
      <c r="C47" s="9" t="n">
        <v>123873000</v>
      </c>
      <c r="D47" s="10" t="n">
        <v>0.0212</v>
      </c>
    </row>
    <row r="48">
      <c r="A48" s="8" t="n">
        <v>46143</v>
      </c>
      <c r="B48">
        <f>Inputs!$A$42</f>
        <v/>
      </c>
      <c r="C48" s="9" t="n">
        <v>82081000</v>
      </c>
      <c r="D48" s="10" t="n">
        <v>0.0217</v>
      </c>
    </row>
    <row r="49">
      <c r="A49" s="8" t="n">
        <v>46143</v>
      </c>
      <c r="B49">
        <f>Inputs!$A$43</f>
        <v/>
      </c>
      <c r="C49" s="9" t="n">
        <v>106186000</v>
      </c>
      <c r="D49" s="10" t="n">
        <v>0.0235</v>
      </c>
    </row>
    <row r="50">
      <c r="A50" s="8" t="n">
        <v>46143</v>
      </c>
      <c r="B50">
        <f>Inputs!$A$44</f>
        <v/>
      </c>
      <c r="C50" s="9" t="n"/>
      <c r="D50" s="10" t="n">
        <v>0.0046</v>
      </c>
    </row>
    <row r="51">
      <c r="A51" s="8" t="n">
        <v>46143</v>
      </c>
      <c r="B51">
        <f>Inputs!$A$45</f>
        <v/>
      </c>
      <c r="C51" s="9" t="n"/>
      <c r="D51" s="10" t="n">
        <v>0.0045</v>
      </c>
    </row>
    <row r="52">
      <c r="A52" s="8" t="n">
        <v>46174</v>
      </c>
      <c r="B52">
        <f>Inputs!$A$36</f>
        <v/>
      </c>
      <c r="C52" s="9" t="n">
        <v>152135000</v>
      </c>
      <c r="D52" s="10" t="n">
        <v>0.0207</v>
      </c>
    </row>
    <row r="53">
      <c r="A53" s="8" t="n">
        <v>46174</v>
      </c>
      <c r="B53">
        <f>Inputs!$A$37</f>
        <v/>
      </c>
      <c r="C53" s="9" t="n">
        <v>141649000</v>
      </c>
      <c r="D53" s="10" t="n">
        <v>0.0195</v>
      </c>
    </row>
    <row r="54">
      <c r="A54" s="8" t="n">
        <v>46174</v>
      </c>
      <c r="B54">
        <f>Inputs!$A$38</f>
        <v/>
      </c>
      <c r="C54" s="9" t="n">
        <v>113294000</v>
      </c>
      <c r="D54" s="10" t="n">
        <v>0.0209</v>
      </c>
    </row>
    <row r="55">
      <c r="A55" s="8" t="n">
        <v>46174</v>
      </c>
      <c r="B55">
        <f>Inputs!$A$39</f>
        <v/>
      </c>
      <c r="C55" s="9" t="n">
        <v>126063000</v>
      </c>
      <c r="D55" s="10" t="n">
        <v>0.021</v>
      </c>
    </row>
    <row r="56">
      <c r="A56" s="8" t="n">
        <v>46174</v>
      </c>
      <c r="B56">
        <f>Inputs!$A$40</f>
        <v/>
      </c>
      <c r="C56" s="9" t="n">
        <v>133661000</v>
      </c>
      <c r="D56" s="10" t="n">
        <v>0.0199</v>
      </c>
    </row>
    <row r="57">
      <c r="A57" s="8" t="n">
        <v>46174</v>
      </c>
      <c r="B57">
        <f>Inputs!$A$41</f>
        <v/>
      </c>
      <c r="C57" s="9" t="n">
        <v>118337000</v>
      </c>
      <c r="D57" s="10" t="n">
        <v>0.0213</v>
      </c>
    </row>
    <row r="58">
      <c r="A58" s="8" t="n">
        <v>46174</v>
      </c>
      <c r="B58">
        <f>Inputs!$A$42</f>
        <v/>
      </c>
      <c r="C58" s="9" t="n">
        <v>81648000</v>
      </c>
      <c r="D58" s="10" t="n">
        <v>0.0216</v>
      </c>
    </row>
    <row r="59">
      <c r="A59" s="8" t="n">
        <v>46174</v>
      </c>
      <c r="B59">
        <f>Inputs!$A$43</f>
        <v/>
      </c>
      <c r="C59" s="9" t="n">
        <v>107863000</v>
      </c>
      <c r="D59" s="10" t="n">
        <v>0.0234</v>
      </c>
    </row>
    <row r="60">
      <c r="A60" s="8" t="n">
        <v>46174</v>
      </c>
      <c r="B60">
        <f>Inputs!$A$44</f>
        <v/>
      </c>
      <c r="C60" s="9" t="n"/>
      <c r="D60" s="10" t="n">
        <v>0.0046</v>
      </c>
    </row>
    <row r="61">
      <c r="A61" s="8" t="n">
        <v>46174</v>
      </c>
      <c r="B61">
        <f>Inputs!$A$45</f>
        <v/>
      </c>
      <c r="C61" s="9" t="n"/>
      <c r="D61" s="10" t="n">
        <v>0.0047</v>
      </c>
    </row>
    <row r="62">
      <c r="A62" s="8" t="n">
        <v>46204</v>
      </c>
      <c r="B62">
        <f>Inputs!$A$36</f>
        <v/>
      </c>
      <c r="C62" s="9" t="n">
        <v>157303000</v>
      </c>
      <c r="D62" s="10" t="n">
        <v>0.0199</v>
      </c>
    </row>
    <row r="63">
      <c r="A63" s="8" t="n">
        <v>46204</v>
      </c>
      <c r="B63">
        <f>Inputs!$A$37</f>
        <v/>
      </c>
      <c r="C63" s="9" t="n">
        <v>145102000</v>
      </c>
      <c r="D63" s="10" t="n">
        <v>0.0195</v>
      </c>
    </row>
    <row r="64">
      <c r="A64" s="8" t="n">
        <v>46204</v>
      </c>
      <c r="B64">
        <f>Inputs!$A$38</f>
        <v/>
      </c>
      <c r="C64" s="9" t="n">
        <v>118164000</v>
      </c>
      <c r="D64" s="10" t="n">
        <v>0.0205</v>
      </c>
    </row>
    <row r="65">
      <c r="A65" s="8" t="n">
        <v>46204</v>
      </c>
      <c r="B65">
        <f>Inputs!$A$39</f>
        <v/>
      </c>
      <c r="C65" s="9" t="n">
        <v>127349000</v>
      </c>
      <c r="D65" s="10" t="n">
        <v>0.0208</v>
      </c>
    </row>
    <row r="66">
      <c r="A66" s="8" t="n">
        <v>46204</v>
      </c>
      <c r="B66">
        <f>Inputs!$A$40</f>
        <v/>
      </c>
      <c r="C66" s="9" t="n">
        <v>140176000</v>
      </c>
      <c r="D66" s="10" t="n">
        <v>0.0193</v>
      </c>
    </row>
    <row r="67">
      <c r="A67" s="8" t="n">
        <v>46204</v>
      </c>
      <c r="B67">
        <f>Inputs!$A$41</f>
        <v/>
      </c>
      <c r="C67" s="9" t="n">
        <v>124914000</v>
      </c>
      <c r="D67" s="10" t="n">
        <v>0.0202</v>
      </c>
    </row>
    <row r="68">
      <c r="A68" s="8" t="n">
        <v>46204</v>
      </c>
      <c r="B68">
        <f>Inputs!$A$42</f>
        <v/>
      </c>
      <c r="C68" s="9" t="n">
        <v>81940000</v>
      </c>
      <c r="D68" s="10" t="n">
        <v>0.0224</v>
      </c>
    </row>
    <row r="69">
      <c r="A69" s="8" t="n">
        <v>46204</v>
      </c>
      <c r="B69">
        <f>Inputs!$A$43</f>
        <v/>
      </c>
      <c r="C69" s="9" t="n">
        <v>109023000</v>
      </c>
      <c r="D69" s="10" t="n">
        <v>0.0242</v>
      </c>
    </row>
    <row r="70">
      <c r="A70" s="8" t="n">
        <v>46204</v>
      </c>
      <c r="B70">
        <f>Inputs!$A$44</f>
        <v/>
      </c>
      <c r="C70" s="9" t="n"/>
      <c r="D70" s="10" t="n">
        <v>0.0043</v>
      </c>
    </row>
    <row r="71">
      <c r="A71" s="8" t="n">
        <v>46204</v>
      </c>
      <c r="B71">
        <f>Inputs!$A$45</f>
        <v/>
      </c>
      <c r="C71" s="9" t="n"/>
      <c r="D71" s="10" t="n">
        <v>0.0045</v>
      </c>
    </row>
    <row r="72">
      <c r="A72" s="8" t="n">
        <v>46235</v>
      </c>
      <c r="B72">
        <f>Inputs!$A$36</f>
        <v/>
      </c>
      <c r="C72" s="9" t="n">
        <v>154523000</v>
      </c>
      <c r="D72" s="10" t="n">
        <v>0.0204</v>
      </c>
    </row>
    <row r="73">
      <c r="A73" s="8" t="n">
        <v>46235</v>
      </c>
      <c r="B73">
        <f>Inputs!$A$37</f>
        <v/>
      </c>
      <c r="C73" s="9" t="n">
        <v>140341000</v>
      </c>
      <c r="D73" s="10" t="n">
        <v>0.0192</v>
      </c>
    </row>
    <row r="74">
      <c r="A74" s="8" t="n">
        <v>46235</v>
      </c>
      <c r="B74">
        <f>Inputs!$A$38</f>
        <v/>
      </c>
      <c r="C74" s="9" t="n">
        <v>120980000</v>
      </c>
      <c r="D74" s="10" t="n">
        <v>0.0206</v>
      </c>
    </row>
    <row r="75">
      <c r="A75" s="8" t="n">
        <v>46235</v>
      </c>
      <c r="B75">
        <f>Inputs!$A$39</f>
        <v/>
      </c>
      <c r="C75" s="9" t="n">
        <v>127427000</v>
      </c>
      <c r="D75" s="10" t="n">
        <v>0.0207</v>
      </c>
    </row>
    <row r="76">
      <c r="A76" s="8" t="n">
        <v>46235</v>
      </c>
      <c r="B76">
        <f>Inputs!$A$40</f>
        <v/>
      </c>
      <c r="C76" s="9" t="n">
        <v>138116000</v>
      </c>
      <c r="D76" s="10" t="n">
        <v>0.019</v>
      </c>
    </row>
    <row r="77">
      <c r="A77" s="8" t="n">
        <v>46235</v>
      </c>
      <c r="B77">
        <f>Inputs!$A$41</f>
        <v/>
      </c>
      <c r="C77" s="9" t="n">
        <v>124473000</v>
      </c>
      <c r="D77" s="10" t="n">
        <v>0.0207</v>
      </c>
    </row>
    <row r="78">
      <c r="A78" s="8" t="n">
        <v>46235</v>
      </c>
      <c r="B78">
        <f>Inputs!$A$42</f>
        <v/>
      </c>
      <c r="C78" s="9" t="n">
        <v>80868000</v>
      </c>
      <c r="D78" s="10" t="n">
        <v>0.0224</v>
      </c>
    </row>
    <row r="79">
      <c r="A79" s="8" t="n">
        <v>46235</v>
      </c>
      <c r="B79">
        <f>Inputs!$A$43</f>
        <v/>
      </c>
      <c r="C79" s="9" t="n">
        <v>106389000</v>
      </c>
      <c r="D79" s="10" t="n">
        <v>0.0232</v>
      </c>
    </row>
    <row r="80">
      <c r="A80" s="8" t="n">
        <v>46235</v>
      </c>
      <c r="B80">
        <f>Inputs!$A$44</f>
        <v/>
      </c>
      <c r="C80" s="9" t="n"/>
      <c r="D80" s="10" t="n">
        <v>0.0045</v>
      </c>
    </row>
    <row r="81">
      <c r="A81" s="8" t="n">
        <v>46235</v>
      </c>
      <c r="B81">
        <f>Inputs!$A$45</f>
        <v/>
      </c>
      <c r="C81" s="9" t="n"/>
      <c r="D81" s="10" t="n">
        <v>0.0046</v>
      </c>
    </row>
    <row r="82">
      <c r="A82" s="8" t="n">
        <v>46266</v>
      </c>
      <c r="B82">
        <f>Inputs!$A$36</f>
        <v/>
      </c>
      <c r="C82" s="9" t="n">
        <v>156142000</v>
      </c>
      <c r="D82" s="10" t="n">
        <v>0.0198</v>
      </c>
    </row>
    <row r="83">
      <c r="A83" s="8" t="n">
        <v>46266</v>
      </c>
      <c r="B83">
        <f>Inputs!$A$37</f>
        <v/>
      </c>
      <c r="C83" s="9" t="n">
        <v>142762000</v>
      </c>
      <c r="D83" s="10" t="n">
        <v>0.0197</v>
      </c>
    </row>
    <row r="84">
      <c r="A84" s="8" t="n">
        <v>46266</v>
      </c>
      <c r="B84">
        <f>Inputs!$A$38</f>
        <v/>
      </c>
      <c r="C84" s="9" t="n">
        <v>116520000</v>
      </c>
      <c r="D84" s="10" t="n">
        <v>0.0213</v>
      </c>
    </row>
    <row r="85">
      <c r="A85" s="8" t="n">
        <v>46266</v>
      </c>
      <c r="B85">
        <f>Inputs!$A$39</f>
        <v/>
      </c>
      <c r="C85" s="9" t="n">
        <v>127790000</v>
      </c>
      <c r="D85" s="10" t="n">
        <v>0.0206</v>
      </c>
    </row>
    <row r="86">
      <c r="A86" s="8" t="n">
        <v>46266</v>
      </c>
      <c r="B86">
        <f>Inputs!$A$40</f>
        <v/>
      </c>
      <c r="C86" s="9" t="n">
        <v>137926000</v>
      </c>
      <c r="D86" s="10" t="n">
        <v>0.0195</v>
      </c>
    </row>
    <row r="87">
      <c r="A87" s="8" t="n">
        <v>46266</v>
      </c>
      <c r="B87">
        <f>Inputs!$A$41</f>
        <v/>
      </c>
      <c r="C87" s="9" t="n">
        <v>123052000</v>
      </c>
      <c r="D87" s="10" t="n">
        <v>0.0199</v>
      </c>
    </row>
    <row r="88">
      <c r="A88" s="8" t="n">
        <v>46266</v>
      </c>
      <c r="B88">
        <f>Inputs!$A$42</f>
        <v/>
      </c>
      <c r="C88" s="9" t="n">
        <v>81937000</v>
      </c>
      <c r="D88" s="10" t="n">
        <v>0.0215</v>
      </c>
    </row>
    <row r="89">
      <c r="A89" s="8" t="n">
        <v>46266</v>
      </c>
      <c r="B89">
        <f>Inputs!$A$43</f>
        <v/>
      </c>
      <c r="C89" s="9" t="n">
        <v>109683000</v>
      </c>
      <c r="D89" s="10" t="n">
        <v>0.0232</v>
      </c>
    </row>
    <row r="90">
      <c r="A90" s="8" t="n">
        <v>46266</v>
      </c>
      <c r="B90">
        <f>Inputs!$A$44</f>
        <v/>
      </c>
      <c r="C90" s="9" t="n"/>
      <c r="D90" s="10" t="n">
        <v>0.0045</v>
      </c>
    </row>
    <row r="91">
      <c r="A91" s="8" t="n">
        <v>46266</v>
      </c>
      <c r="B91">
        <f>Inputs!$A$45</f>
        <v/>
      </c>
      <c r="C91" s="9" t="n"/>
      <c r="D91" s="10" t="n">
        <v>0.0047</v>
      </c>
    </row>
    <row r="92">
      <c r="A92" s="8" t="n">
        <v>46296</v>
      </c>
      <c r="B92">
        <f>Inputs!$A$36</f>
        <v/>
      </c>
      <c r="C92" s="9" t="n">
        <v>162709000</v>
      </c>
      <c r="D92" s="10" t="n">
        <v>0.0196</v>
      </c>
    </row>
    <row r="93">
      <c r="A93" s="8" t="n">
        <v>46296</v>
      </c>
      <c r="B93">
        <f>Inputs!$A$37</f>
        <v/>
      </c>
      <c r="C93" s="9" t="n">
        <v>152617000</v>
      </c>
      <c r="D93" s="10" t="n">
        <v>0.0193</v>
      </c>
    </row>
    <row r="94">
      <c r="A94" s="8" t="n">
        <v>46296</v>
      </c>
      <c r="B94">
        <f>Inputs!$A$38</f>
        <v/>
      </c>
      <c r="C94" s="9" t="n">
        <v>121209000</v>
      </c>
      <c r="D94" s="10" t="n">
        <v>0.0208</v>
      </c>
    </row>
    <row r="95">
      <c r="A95" s="8" t="n">
        <v>46296</v>
      </c>
      <c r="B95">
        <f>Inputs!$A$39</f>
        <v/>
      </c>
      <c r="C95" s="9" t="n">
        <v>132476000</v>
      </c>
      <c r="D95" s="10" t="n">
        <v>0.0206</v>
      </c>
    </row>
    <row r="96">
      <c r="A96" s="8" t="n">
        <v>46296</v>
      </c>
      <c r="B96">
        <f>Inputs!$A$40</f>
        <v/>
      </c>
      <c r="C96" s="9" t="n">
        <v>144069000</v>
      </c>
      <c r="D96" s="10" t="n">
        <v>0.0191</v>
      </c>
    </row>
    <row r="97">
      <c r="A97" s="8" t="n">
        <v>46296</v>
      </c>
      <c r="B97">
        <f>Inputs!$A$41</f>
        <v/>
      </c>
      <c r="C97" s="9" t="n">
        <v>125299000</v>
      </c>
      <c r="D97" s="10" t="n">
        <v>0.0208</v>
      </c>
    </row>
    <row r="98">
      <c r="A98" s="8" t="n">
        <v>46296</v>
      </c>
      <c r="B98">
        <f>Inputs!$A$42</f>
        <v/>
      </c>
      <c r="C98" s="9" t="n">
        <v>84261000</v>
      </c>
      <c r="D98" s="10" t="n">
        <v>0.0226</v>
      </c>
    </row>
    <row r="99">
      <c r="A99" s="8" t="n">
        <v>46296</v>
      </c>
      <c r="B99">
        <f>Inputs!$A$43</f>
        <v/>
      </c>
      <c r="C99" s="9" t="n">
        <v>112849000</v>
      </c>
      <c r="D99" s="10" t="n">
        <v>0.0232</v>
      </c>
    </row>
    <row r="100">
      <c r="A100" s="8" t="n">
        <v>46296</v>
      </c>
      <c r="B100">
        <f>Inputs!$A$44</f>
        <v/>
      </c>
      <c r="C100" s="9" t="n"/>
      <c r="D100" s="10" t="n">
        <v>0.0045</v>
      </c>
    </row>
    <row r="101">
      <c r="A101" s="8" t="n">
        <v>46296</v>
      </c>
      <c r="B101">
        <f>Inputs!$A$45</f>
        <v/>
      </c>
      <c r="C101" s="9" t="n"/>
      <c r="D101" s="10" t="n">
        <v>0.0044</v>
      </c>
    </row>
    <row r="102">
      <c r="A102" s="8" t="n">
        <v>46327</v>
      </c>
      <c r="B102">
        <f>Inputs!$A$36</f>
        <v/>
      </c>
      <c r="C102" s="9" t="n">
        <v>165930000</v>
      </c>
      <c r="D102" s="10" t="n">
        <v>0.0194</v>
      </c>
    </row>
    <row r="103">
      <c r="A103" s="8" t="n">
        <v>46327</v>
      </c>
      <c r="B103">
        <f>Inputs!$A$37</f>
        <v/>
      </c>
      <c r="C103" s="9" t="n">
        <v>156423000</v>
      </c>
      <c r="D103" s="10" t="n">
        <v>0.0192</v>
      </c>
    </row>
    <row r="104">
      <c r="A104" s="8" t="n">
        <v>46327</v>
      </c>
      <c r="B104">
        <f>Inputs!$A$38</f>
        <v/>
      </c>
      <c r="C104" s="9" t="n">
        <v>126872000</v>
      </c>
      <c r="D104" s="10" t="n">
        <v>0.0203</v>
      </c>
    </row>
    <row r="105">
      <c r="A105" s="8" t="n">
        <v>46327</v>
      </c>
      <c r="B105">
        <f>Inputs!$A$39</f>
        <v/>
      </c>
      <c r="C105" s="9" t="n">
        <v>138691000</v>
      </c>
      <c r="D105" s="10" t="n">
        <v>0.0201</v>
      </c>
    </row>
    <row r="106">
      <c r="A106" s="8" t="n">
        <v>46327</v>
      </c>
      <c r="B106">
        <f>Inputs!$A$40</f>
        <v/>
      </c>
      <c r="C106" s="9" t="n">
        <v>145704000</v>
      </c>
      <c r="D106" s="10" t="n">
        <v>0.0192</v>
      </c>
    </row>
    <row r="107">
      <c r="A107" s="8" t="n">
        <v>46327</v>
      </c>
      <c r="B107">
        <f>Inputs!$A$41</f>
        <v/>
      </c>
      <c r="C107" s="9" t="n">
        <v>132228000</v>
      </c>
      <c r="D107" s="10" t="n">
        <v>0.0197</v>
      </c>
    </row>
    <row r="108">
      <c r="A108" s="8" t="n">
        <v>46327</v>
      </c>
      <c r="B108">
        <f>Inputs!$A$42</f>
        <v/>
      </c>
      <c r="C108" s="9" t="n">
        <v>88190000</v>
      </c>
      <c r="D108" s="10" t="n">
        <v>0.0208</v>
      </c>
    </row>
    <row r="109">
      <c r="A109" s="8" t="n">
        <v>46327</v>
      </c>
      <c r="B109">
        <f>Inputs!$A$43</f>
        <v/>
      </c>
      <c r="C109" s="9" t="n">
        <v>114040000</v>
      </c>
      <c r="D109" s="10" t="n">
        <v>0.0233</v>
      </c>
    </row>
    <row r="110">
      <c r="A110" s="8" t="n">
        <v>46327</v>
      </c>
      <c r="B110">
        <f>Inputs!$A$44</f>
        <v/>
      </c>
      <c r="C110" s="9" t="n"/>
      <c r="D110" s="10" t="n">
        <v>0.0043</v>
      </c>
    </row>
    <row r="111">
      <c r="A111" s="8" t="n">
        <v>46327</v>
      </c>
      <c r="B111">
        <f>Inputs!$A$45</f>
        <v/>
      </c>
      <c r="C111" s="9" t="n"/>
      <c r="D111" s="10" t="n">
        <v>0.0045</v>
      </c>
    </row>
    <row r="112">
      <c r="A112" s="8" t="n">
        <v>46357</v>
      </c>
      <c r="B112">
        <f>Inputs!$A$36</f>
        <v/>
      </c>
      <c r="C112" s="9" t="n">
        <v>197110000</v>
      </c>
      <c r="D112" s="10" t="n">
        <v>0.019</v>
      </c>
    </row>
    <row r="113">
      <c r="A113" s="8" t="n">
        <v>46357</v>
      </c>
      <c r="B113">
        <f>Inputs!$A$37</f>
        <v/>
      </c>
      <c r="C113" s="9" t="n">
        <v>186603000</v>
      </c>
      <c r="D113" s="10" t="n">
        <v>0.0195</v>
      </c>
    </row>
    <row r="114">
      <c r="A114" s="8" t="n">
        <v>46357</v>
      </c>
      <c r="B114">
        <f>Inputs!$A$38</f>
        <v/>
      </c>
      <c r="C114" s="9" t="n">
        <v>157549000</v>
      </c>
      <c r="D114" s="10" t="n">
        <v>0.021</v>
      </c>
    </row>
    <row r="115">
      <c r="A115" s="8" t="n">
        <v>46357</v>
      </c>
      <c r="B115">
        <f>Inputs!$A$39</f>
        <v/>
      </c>
      <c r="C115" s="9" t="n">
        <v>164367000</v>
      </c>
      <c r="D115" s="10" t="n">
        <v>0.0199</v>
      </c>
    </row>
    <row r="116">
      <c r="A116" s="8" t="n">
        <v>46357</v>
      </c>
      <c r="B116">
        <f>Inputs!$A$40</f>
        <v/>
      </c>
      <c r="C116" s="9" t="n">
        <v>175200000</v>
      </c>
      <c r="D116" s="10" t="n">
        <v>0.0191</v>
      </c>
    </row>
    <row r="117">
      <c r="A117" s="8" t="n">
        <v>46357</v>
      </c>
      <c r="B117">
        <f>Inputs!$A$41</f>
        <v/>
      </c>
      <c r="C117" s="9" t="n">
        <v>161517000</v>
      </c>
      <c r="D117" s="10" t="n">
        <v>0.0204</v>
      </c>
    </row>
    <row r="118">
      <c r="A118" s="8" t="n">
        <v>46357</v>
      </c>
      <c r="B118">
        <f>Inputs!$A$42</f>
        <v/>
      </c>
      <c r="C118" s="9" t="n">
        <v>108985000</v>
      </c>
      <c r="D118" s="10" t="n">
        <v>0.0212</v>
      </c>
    </row>
    <row r="119">
      <c r="A119" s="8" t="n">
        <v>46357</v>
      </c>
      <c r="B119">
        <f>Inputs!$A$43</f>
        <v/>
      </c>
      <c r="C119" s="9" t="n">
        <v>139118000</v>
      </c>
      <c r="D119" s="10" t="n">
        <v>0.0231</v>
      </c>
    </row>
    <row r="120">
      <c r="A120" s="8" t="n">
        <v>46357</v>
      </c>
      <c r="B120">
        <f>Inputs!$A$44</f>
        <v/>
      </c>
      <c r="C120" s="9" t="n"/>
      <c r="D120" s="10" t="n">
        <v>0.0044</v>
      </c>
    </row>
    <row r="121">
      <c r="A121" s="8" t="n">
        <v>46357</v>
      </c>
      <c r="B121">
        <f>Inputs!$A$45</f>
        <v/>
      </c>
      <c r="C121" s="9" t="n"/>
      <c r="D121" s="10" t="n">
        <v>0.0044</v>
      </c>
    </row>
    <row r="122">
      <c r="A122" s="8" t="n">
        <v>46388</v>
      </c>
      <c r="B122">
        <f>Inputs!$A$36</f>
        <v/>
      </c>
      <c r="C122" s="9" t="n">
        <v>156092000</v>
      </c>
      <c r="D122" s="10" t="n">
        <v>0.0216</v>
      </c>
    </row>
    <row r="123">
      <c r="A123" s="8" t="n">
        <v>46388</v>
      </c>
      <c r="B123">
        <f>Inputs!$A$37</f>
        <v/>
      </c>
      <c r="C123" s="9" t="n">
        <v>145218000</v>
      </c>
      <c r="D123" s="10" t="n">
        <v>0.0217</v>
      </c>
    </row>
    <row r="124">
      <c r="A124" s="8" t="n">
        <v>46388</v>
      </c>
      <c r="B124">
        <f>Inputs!$A$38</f>
        <v/>
      </c>
      <c r="C124" s="9" t="n">
        <v>121951000</v>
      </c>
      <c r="D124" s="10" t="n">
        <v>0.024</v>
      </c>
    </row>
    <row r="125">
      <c r="A125" s="8" t="n">
        <v>46388</v>
      </c>
      <c r="B125">
        <f>Inputs!$A$39</f>
        <v/>
      </c>
      <c r="C125" s="9" t="n">
        <v>128305000</v>
      </c>
      <c r="D125" s="10" t="n">
        <v>0.0234</v>
      </c>
    </row>
    <row r="126">
      <c r="A126" s="8" t="n">
        <v>46388</v>
      </c>
      <c r="B126">
        <f>Inputs!$A$40</f>
        <v/>
      </c>
      <c r="C126" s="9" t="n">
        <v>138831000</v>
      </c>
      <c r="D126" s="10" t="n">
        <v>0.0218</v>
      </c>
    </row>
    <row r="127">
      <c r="A127" s="8" t="n">
        <v>46388</v>
      </c>
      <c r="B127">
        <f>Inputs!$A$41</f>
        <v/>
      </c>
      <c r="C127" s="9" t="n">
        <v>126668000</v>
      </c>
      <c r="D127" s="10" t="n">
        <v>0.0222</v>
      </c>
    </row>
    <row r="128">
      <c r="A128" s="8" t="n">
        <v>46388</v>
      </c>
      <c r="B128">
        <f>Inputs!$A$42</f>
        <v/>
      </c>
      <c r="C128" s="9" t="n">
        <v>81501000</v>
      </c>
      <c r="D128" s="10" t="n">
        <v>0.024</v>
      </c>
    </row>
    <row r="129">
      <c r="A129" s="8" t="n">
        <v>46388</v>
      </c>
      <c r="B129">
        <f>Inputs!$A$43</f>
        <v/>
      </c>
      <c r="C129" s="9" t="n">
        <v>106816000</v>
      </c>
      <c r="D129" s="10" t="n">
        <v>0.0258</v>
      </c>
    </row>
    <row r="130">
      <c r="A130" s="8" t="n">
        <v>46388</v>
      </c>
      <c r="B130">
        <f>Inputs!$A$44</f>
        <v/>
      </c>
      <c r="C130" s="9" t="n"/>
      <c r="D130" s="10" t="n">
        <v>0.0049</v>
      </c>
    </row>
    <row r="131">
      <c r="A131" s="8" t="n">
        <v>46388</v>
      </c>
      <c r="B131">
        <f>Inputs!$A$45</f>
        <v/>
      </c>
      <c r="C131" s="9" t="n"/>
      <c r="D131" s="10" t="n">
        <v>0.0052</v>
      </c>
    </row>
    <row r="132">
      <c r="A132" s="8" t="n">
        <v>46419</v>
      </c>
      <c r="B132">
        <f>Inputs!$A$36</f>
        <v/>
      </c>
      <c r="C132" s="9" t="n">
        <v>145037000</v>
      </c>
      <c r="D132" s="10" t="n">
        <v>0.0214</v>
      </c>
    </row>
    <row r="133">
      <c r="A133" s="8" t="n">
        <v>46419</v>
      </c>
      <c r="B133">
        <f>Inputs!$A$37</f>
        <v/>
      </c>
      <c r="C133" s="9" t="n">
        <v>137120000</v>
      </c>
      <c r="D133" s="10" t="n">
        <v>0.0205</v>
      </c>
    </row>
    <row r="134">
      <c r="A134" s="8" t="n">
        <v>46419</v>
      </c>
      <c r="B134">
        <f>Inputs!$A$38</f>
        <v/>
      </c>
      <c r="C134" s="9" t="n">
        <v>108952000</v>
      </c>
      <c r="D134" s="10" t="n">
        <v>0.0218</v>
      </c>
    </row>
    <row r="135">
      <c r="A135" s="8" t="n">
        <v>46419</v>
      </c>
      <c r="B135">
        <f>Inputs!$A$39</f>
        <v/>
      </c>
      <c r="C135" s="9" t="n">
        <v>117985000</v>
      </c>
      <c r="D135" s="10" t="n">
        <v>0.0213</v>
      </c>
    </row>
    <row r="136">
      <c r="A136" s="8" t="n">
        <v>46419</v>
      </c>
      <c r="B136">
        <f>Inputs!$A$40</f>
        <v/>
      </c>
      <c r="C136" s="9" t="n">
        <v>130968000</v>
      </c>
      <c r="D136" s="10" t="n">
        <v>0.0199</v>
      </c>
    </row>
    <row r="137">
      <c r="A137" s="8" t="n">
        <v>46419</v>
      </c>
      <c r="B137">
        <f>Inputs!$A$41</f>
        <v/>
      </c>
      <c r="C137" s="9" t="n">
        <v>115107000</v>
      </c>
      <c r="D137" s="10" t="n">
        <v>0.0215</v>
      </c>
    </row>
    <row r="138">
      <c r="A138" s="8" t="n">
        <v>46419</v>
      </c>
      <c r="B138">
        <f>Inputs!$A$42</f>
        <v/>
      </c>
      <c r="C138" s="9" t="n">
        <v>77345000</v>
      </c>
      <c r="D138" s="10" t="n">
        <v>0.0226</v>
      </c>
    </row>
    <row r="139">
      <c r="A139" s="8" t="n">
        <v>46419</v>
      </c>
      <c r="B139">
        <f>Inputs!$A$43</f>
        <v/>
      </c>
      <c r="C139" s="9" t="n">
        <v>100835000</v>
      </c>
      <c r="D139" s="10" t="n">
        <v>0.0243</v>
      </c>
    </row>
    <row r="140">
      <c r="A140" s="8" t="n">
        <v>46419</v>
      </c>
      <c r="B140">
        <f>Inputs!$A$44</f>
        <v/>
      </c>
      <c r="C140" s="9" t="n"/>
      <c r="D140" s="10" t="n">
        <v>0.0047</v>
      </c>
    </row>
    <row r="141">
      <c r="A141" s="8" t="n">
        <v>46419</v>
      </c>
      <c r="B141">
        <f>Inputs!$A$45</f>
        <v/>
      </c>
      <c r="C141" s="9" t="n"/>
      <c r="D141" s="10" t="n">
        <v>0.005</v>
      </c>
    </row>
    <row r="142">
      <c r="A142" s="8" t="n">
        <v>46447</v>
      </c>
      <c r="B142">
        <f>Inputs!$A$36</f>
        <v/>
      </c>
      <c r="C142" s="9" t="n">
        <v>161312000</v>
      </c>
      <c r="D142" s="10" t="n">
        <v>0.0217</v>
      </c>
    </row>
    <row r="143">
      <c r="A143" s="8" t="n">
        <v>46447</v>
      </c>
      <c r="B143">
        <f>Inputs!$A$37</f>
        <v/>
      </c>
      <c r="C143" s="9" t="n">
        <v>147331000</v>
      </c>
      <c r="D143" s="10" t="n">
        <v>0.0223</v>
      </c>
    </row>
    <row r="144">
      <c r="A144" s="8" t="n">
        <v>46447</v>
      </c>
      <c r="B144">
        <f>Inputs!$A$38</f>
        <v/>
      </c>
      <c r="C144" s="9" t="n">
        <v>123331000</v>
      </c>
      <c r="D144" s="10" t="n">
        <v>0.0236</v>
      </c>
    </row>
    <row r="145">
      <c r="A145" s="8" t="n">
        <v>46447</v>
      </c>
      <c r="B145">
        <f>Inputs!$A$39</f>
        <v/>
      </c>
      <c r="C145" s="9" t="n">
        <v>135053000</v>
      </c>
      <c r="D145" s="10" t="n">
        <v>0.023</v>
      </c>
    </row>
    <row r="146">
      <c r="A146" s="8" t="n">
        <v>46447</v>
      </c>
      <c r="B146">
        <f>Inputs!$A$40</f>
        <v/>
      </c>
      <c r="C146" s="9" t="n">
        <v>146167000</v>
      </c>
      <c r="D146" s="10" t="n">
        <v>0.0221</v>
      </c>
    </row>
    <row r="147">
      <c r="A147" s="8" t="n">
        <v>46447</v>
      </c>
      <c r="B147">
        <f>Inputs!$A$41</f>
        <v/>
      </c>
      <c r="C147" s="9" t="n">
        <v>129709000</v>
      </c>
      <c r="D147" s="10" t="n">
        <v>0.0233</v>
      </c>
    </row>
    <row r="148">
      <c r="A148" s="8" t="n">
        <v>46447</v>
      </c>
      <c r="B148">
        <f>Inputs!$A$42</f>
        <v/>
      </c>
      <c r="C148" s="9" t="n">
        <v>88017000</v>
      </c>
      <c r="D148" s="10" t="n">
        <v>0.0253</v>
      </c>
    </row>
    <row r="149">
      <c r="A149" s="8" t="n">
        <v>46447</v>
      </c>
      <c r="B149">
        <f>Inputs!$A$43</f>
        <v/>
      </c>
      <c r="C149" s="9" t="n">
        <v>109817000</v>
      </c>
      <c r="D149" s="10" t="n">
        <v>0.0263</v>
      </c>
    </row>
    <row r="150">
      <c r="A150" s="8" t="n">
        <v>46447</v>
      </c>
      <c r="B150">
        <f>Inputs!$A$44</f>
        <v/>
      </c>
      <c r="C150" s="9" t="n"/>
      <c r="D150" s="10" t="n">
        <v>0.0051</v>
      </c>
    </row>
    <row r="151">
      <c r="A151" s="8" t="n">
        <v>46447</v>
      </c>
      <c r="B151">
        <f>Inputs!$A$45</f>
        <v/>
      </c>
      <c r="C151" s="9" t="n"/>
      <c r="D151" s="10" t="n">
        <v>0.0054</v>
      </c>
    </row>
    <row r="152">
      <c r="A152" s="8" t="n">
        <v>46478</v>
      </c>
      <c r="B152">
        <f>Inputs!$A$36</f>
        <v/>
      </c>
      <c r="C152" s="9" t="n">
        <v>161874000</v>
      </c>
      <c r="D152" s="10" t="n">
        <v>0.0211</v>
      </c>
    </row>
    <row r="153">
      <c r="A153" s="8" t="n">
        <v>46478</v>
      </c>
      <c r="B153">
        <f>Inputs!$A$37</f>
        <v/>
      </c>
      <c r="C153" s="9" t="n">
        <v>150399000</v>
      </c>
      <c r="D153" s="10" t="n">
        <v>0.0208</v>
      </c>
    </row>
    <row r="154">
      <c r="A154" s="8" t="n">
        <v>46478</v>
      </c>
      <c r="B154">
        <f>Inputs!$A$38</f>
        <v/>
      </c>
      <c r="C154" s="9" t="n">
        <v>122637000</v>
      </c>
      <c r="D154" s="10" t="n">
        <v>0.0224</v>
      </c>
    </row>
    <row r="155">
      <c r="A155" s="8" t="n">
        <v>46478</v>
      </c>
      <c r="B155">
        <f>Inputs!$A$39</f>
        <v/>
      </c>
      <c r="C155" s="9" t="n">
        <v>130408000</v>
      </c>
      <c r="D155" s="10" t="n">
        <v>0.0225</v>
      </c>
    </row>
    <row r="156">
      <c r="A156" s="8" t="n">
        <v>46478</v>
      </c>
      <c r="B156">
        <f>Inputs!$A$40</f>
        <v/>
      </c>
      <c r="C156" s="9" t="n">
        <v>146430000</v>
      </c>
      <c r="D156" s="10" t="n">
        <v>0.0207</v>
      </c>
    </row>
    <row r="157">
      <c r="A157" s="8" t="n">
        <v>46478</v>
      </c>
      <c r="B157">
        <f>Inputs!$A$41</f>
        <v/>
      </c>
      <c r="C157" s="9" t="n">
        <v>127092000</v>
      </c>
      <c r="D157" s="10" t="n">
        <v>0.0215</v>
      </c>
    </row>
    <row r="158">
      <c r="A158" s="8" t="n">
        <v>46478</v>
      </c>
      <c r="B158">
        <f>Inputs!$A$42</f>
        <v/>
      </c>
      <c r="C158" s="9" t="n">
        <v>87756000</v>
      </c>
      <c r="D158" s="10" t="n">
        <v>0.0242</v>
      </c>
    </row>
    <row r="159">
      <c r="A159" s="8" t="n">
        <v>46478</v>
      </c>
      <c r="B159">
        <f>Inputs!$A$43</f>
        <v/>
      </c>
      <c r="C159" s="9" t="n">
        <v>116441000</v>
      </c>
      <c r="D159" s="10" t="n">
        <v>0.0248</v>
      </c>
    </row>
    <row r="160">
      <c r="A160" s="8" t="n">
        <v>46478</v>
      </c>
      <c r="B160">
        <f>Inputs!$A$44</f>
        <v/>
      </c>
      <c r="C160" s="9" t="n"/>
      <c r="D160" s="10" t="n">
        <v>0.0047</v>
      </c>
    </row>
    <row r="161">
      <c r="A161" s="8" t="n">
        <v>46478</v>
      </c>
      <c r="B161">
        <f>Inputs!$A$45</f>
        <v/>
      </c>
      <c r="C161" s="9" t="n"/>
      <c r="D161" s="10" t="n">
        <v>0.0049</v>
      </c>
    </row>
    <row r="162">
      <c r="A162" s="8" t="n">
        <v>46508</v>
      </c>
      <c r="B162">
        <f>Inputs!$A$36</f>
        <v/>
      </c>
      <c r="C162" s="9" t="n">
        <v>156304000</v>
      </c>
      <c r="D162" s="10" t="n">
        <v>0.0208</v>
      </c>
    </row>
    <row r="163">
      <c r="A163" s="8" t="n">
        <v>46508</v>
      </c>
      <c r="B163">
        <f>Inputs!$A$37</f>
        <v/>
      </c>
      <c r="C163" s="9" t="n">
        <v>148311000</v>
      </c>
      <c r="D163" s="10" t="n">
        <v>0.0202</v>
      </c>
    </row>
    <row r="164">
      <c r="A164" s="8" t="n">
        <v>46508</v>
      </c>
      <c r="B164">
        <f>Inputs!$A$38</f>
        <v/>
      </c>
      <c r="C164" s="9" t="n">
        <v>122111000</v>
      </c>
      <c r="D164" s="10" t="n">
        <v>0.022</v>
      </c>
    </row>
    <row r="165">
      <c r="A165" s="8" t="n">
        <v>46508</v>
      </c>
      <c r="B165">
        <f>Inputs!$A$39</f>
        <v/>
      </c>
      <c r="C165" s="9" t="n">
        <v>134240000</v>
      </c>
      <c r="D165" s="10" t="n">
        <v>0.021</v>
      </c>
    </row>
    <row r="166">
      <c r="A166" s="8" t="n">
        <v>46508</v>
      </c>
      <c r="B166">
        <f>Inputs!$A$40</f>
        <v/>
      </c>
      <c r="C166" s="9" t="n">
        <v>142831000</v>
      </c>
      <c r="D166" s="10" t="n">
        <v>0.0203</v>
      </c>
    </row>
    <row r="167">
      <c r="A167" s="8" t="n">
        <v>46508</v>
      </c>
      <c r="B167">
        <f>Inputs!$A$41</f>
        <v/>
      </c>
      <c r="C167" s="9" t="n">
        <v>125821000</v>
      </c>
      <c r="D167" s="10" t="n">
        <v>0.0213</v>
      </c>
    </row>
    <row r="168">
      <c r="A168" s="8" t="n">
        <v>46508</v>
      </c>
      <c r="B168">
        <f>Inputs!$A$42</f>
        <v/>
      </c>
      <c r="C168" s="9" t="n">
        <v>82399000</v>
      </c>
      <c r="D168" s="10" t="n">
        <v>0.0224</v>
      </c>
    </row>
    <row r="169">
      <c r="A169" s="8" t="n">
        <v>46508</v>
      </c>
      <c r="B169">
        <f>Inputs!$A$43</f>
        <v/>
      </c>
      <c r="C169" s="9" t="n">
        <v>109651000</v>
      </c>
      <c r="D169" s="10" t="n">
        <v>0.0237</v>
      </c>
    </row>
    <row r="170">
      <c r="A170" s="8" t="n">
        <v>46508</v>
      </c>
      <c r="B170">
        <f>Inputs!$A$44</f>
        <v/>
      </c>
      <c r="C170" s="9" t="n"/>
      <c r="D170" s="10" t="n">
        <v>0.0047</v>
      </c>
    </row>
    <row r="171">
      <c r="A171" s="8" t="n">
        <v>46508</v>
      </c>
      <c r="B171">
        <f>Inputs!$A$45</f>
        <v/>
      </c>
      <c r="C171" s="9" t="n"/>
      <c r="D171" s="10" t="n">
        <v>0.0047</v>
      </c>
    </row>
    <row r="172">
      <c r="A172" s="8" t="n">
        <v>46539</v>
      </c>
      <c r="B172">
        <f>Inputs!$A$36</f>
        <v/>
      </c>
      <c r="C172" s="9" t="n">
        <v>157235000</v>
      </c>
      <c r="D172" s="10" t="n">
        <v>0.0207</v>
      </c>
    </row>
    <row r="173">
      <c r="A173" s="8" t="n">
        <v>46539</v>
      </c>
      <c r="B173">
        <f>Inputs!$A$37</f>
        <v/>
      </c>
      <c r="C173" s="9" t="n">
        <v>147107000</v>
      </c>
      <c r="D173" s="10" t="n">
        <v>0.0206</v>
      </c>
    </row>
    <row r="174">
      <c r="A174" s="8" t="n">
        <v>46539</v>
      </c>
      <c r="B174">
        <f>Inputs!$A$38</f>
        <v/>
      </c>
      <c r="C174" s="9" t="n">
        <v>119289000</v>
      </c>
      <c r="D174" s="10" t="n">
        <v>0.0212</v>
      </c>
    </row>
    <row r="175">
      <c r="A175" s="8" t="n">
        <v>46539</v>
      </c>
      <c r="B175">
        <f>Inputs!$A$39</f>
        <v/>
      </c>
      <c r="C175" s="9" t="n">
        <v>131397000</v>
      </c>
      <c r="D175" s="10" t="n">
        <v>0.0215</v>
      </c>
    </row>
    <row r="176">
      <c r="A176" s="8" t="n">
        <v>46539</v>
      </c>
      <c r="B176">
        <f>Inputs!$A$40</f>
        <v/>
      </c>
      <c r="C176" s="9" t="n">
        <v>136583000</v>
      </c>
      <c r="D176" s="10" t="n">
        <v>0.0208</v>
      </c>
    </row>
    <row r="177">
      <c r="A177" s="8" t="n">
        <v>46539</v>
      </c>
      <c r="B177">
        <f>Inputs!$A$41</f>
        <v/>
      </c>
      <c r="C177" s="9" t="n">
        <v>123639000</v>
      </c>
      <c r="D177" s="10" t="n">
        <v>0.0218</v>
      </c>
    </row>
    <row r="178">
      <c r="A178" s="8" t="n">
        <v>46539</v>
      </c>
      <c r="B178">
        <f>Inputs!$A$42</f>
        <v/>
      </c>
      <c r="C178" s="9" t="n">
        <v>84074000</v>
      </c>
      <c r="D178" s="10" t="n">
        <v>0.0221</v>
      </c>
    </row>
    <row r="179">
      <c r="A179" s="8" t="n">
        <v>46539</v>
      </c>
      <c r="B179">
        <f>Inputs!$A$43</f>
        <v/>
      </c>
      <c r="C179" s="9" t="n">
        <v>109010000</v>
      </c>
      <c r="D179" s="10" t="n">
        <v>0.0253</v>
      </c>
    </row>
    <row r="180">
      <c r="A180" s="8" t="n">
        <v>46539</v>
      </c>
      <c r="B180">
        <f>Inputs!$A$44</f>
        <v/>
      </c>
      <c r="C180" s="9" t="n"/>
      <c r="D180" s="10" t="n">
        <v>0.0048</v>
      </c>
    </row>
    <row r="181">
      <c r="A181" s="8" t="n">
        <v>46539</v>
      </c>
      <c r="B181">
        <f>Inputs!$A$45</f>
        <v/>
      </c>
      <c r="C181" s="9" t="n"/>
      <c r="D181" s="10" t="n">
        <v>0.0048</v>
      </c>
    </row>
    <row r="182">
      <c r="A182" s="8" t="n">
        <v>46569</v>
      </c>
      <c r="B182">
        <f>Inputs!$A$36</f>
        <v/>
      </c>
      <c r="C182" s="9" t="n">
        <v>163682000</v>
      </c>
      <c r="D182" s="10" t="n">
        <v>0.0207</v>
      </c>
    </row>
    <row r="183">
      <c r="A183" s="8" t="n">
        <v>46569</v>
      </c>
      <c r="B183">
        <f>Inputs!$A$37</f>
        <v/>
      </c>
      <c r="C183" s="9" t="n">
        <v>152062000</v>
      </c>
      <c r="D183" s="10" t="n">
        <v>0.0201</v>
      </c>
    </row>
    <row r="184">
      <c r="A184" s="8" t="n">
        <v>46569</v>
      </c>
      <c r="B184">
        <f>Inputs!$A$38</f>
        <v/>
      </c>
      <c r="C184" s="9" t="n">
        <v>125044000</v>
      </c>
      <c r="D184" s="10" t="n">
        <v>0.0215</v>
      </c>
    </row>
    <row r="185">
      <c r="A185" s="8" t="n">
        <v>46569</v>
      </c>
      <c r="B185">
        <f>Inputs!$A$39</f>
        <v/>
      </c>
      <c r="C185" s="9" t="n">
        <v>130251000</v>
      </c>
      <c r="D185" s="10" t="n">
        <v>0.021</v>
      </c>
    </row>
    <row r="186">
      <c r="A186" s="8" t="n">
        <v>46569</v>
      </c>
      <c r="B186">
        <f>Inputs!$A$40</f>
        <v/>
      </c>
      <c r="C186" s="9" t="n">
        <v>142862000</v>
      </c>
      <c r="D186" s="10" t="n">
        <v>0.0198</v>
      </c>
    </row>
    <row r="187">
      <c r="A187" s="8" t="n">
        <v>46569</v>
      </c>
      <c r="B187">
        <f>Inputs!$A$41</f>
        <v/>
      </c>
      <c r="C187" s="9" t="n">
        <v>126427000</v>
      </c>
      <c r="D187" s="10" t="n">
        <v>0.0206</v>
      </c>
    </row>
    <row r="188">
      <c r="A188" s="8" t="n">
        <v>46569</v>
      </c>
      <c r="B188">
        <f>Inputs!$A$42</f>
        <v/>
      </c>
      <c r="C188" s="9" t="n">
        <v>87399000</v>
      </c>
      <c r="D188" s="10" t="n">
        <v>0.022</v>
      </c>
    </row>
    <row r="189">
      <c r="A189" s="8" t="n">
        <v>46569</v>
      </c>
      <c r="B189">
        <f>Inputs!$A$43</f>
        <v/>
      </c>
      <c r="C189" s="9" t="n">
        <v>110572000</v>
      </c>
      <c r="D189" s="10" t="n">
        <v>0.0233</v>
      </c>
    </row>
    <row r="190">
      <c r="A190" s="8" t="n">
        <v>46569</v>
      </c>
      <c r="B190">
        <f>Inputs!$A$44</f>
        <v/>
      </c>
      <c r="C190" s="9" t="n"/>
      <c r="D190" s="10" t="n">
        <v>0.0046</v>
      </c>
    </row>
    <row r="191">
      <c r="A191" s="8" t="n">
        <v>46569</v>
      </c>
      <c r="B191">
        <f>Inputs!$A$45</f>
        <v/>
      </c>
      <c r="C191" s="9" t="n"/>
      <c r="D191" s="10" t="n">
        <v>0.0046</v>
      </c>
    </row>
    <row r="192">
      <c r="A192" s="8" t="n">
        <v>46600</v>
      </c>
      <c r="B192">
        <f>Inputs!$A$36</f>
        <v/>
      </c>
      <c r="C192" s="9" t="n">
        <v>160195000</v>
      </c>
      <c r="D192" s="10" t="n">
        <v>0.0199</v>
      </c>
    </row>
    <row r="193">
      <c r="A193" s="8" t="n">
        <v>46600</v>
      </c>
      <c r="B193">
        <f>Inputs!$A$37</f>
        <v/>
      </c>
      <c r="C193" s="9" t="n">
        <v>148426000</v>
      </c>
      <c r="D193" s="10" t="n">
        <v>0.0195</v>
      </c>
    </row>
    <row r="194">
      <c r="A194" s="8" t="n">
        <v>46600</v>
      </c>
      <c r="B194">
        <f>Inputs!$A$38</f>
        <v/>
      </c>
      <c r="C194" s="9" t="n">
        <v>123151000</v>
      </c>
      <c r="D194" s="10" t="n">
        <v>0.0212</v>
      </c>
    </row>
    <row r="195">
      <c r="A195" s="8" t="n">
        <v>46600</v>
      </c>
      <c r="B195">
        <f>Inputs!$A$39</f>
        <v/>
      </c>
      <c r="C195" s="9" t="n">
        <v>130514000</v>
      </c>
      <c r="D195" s="10" t="n">
        <v>0.0206</v>
      </c>
    </row>
    <row r="196">
      <c r="A196" s="8" t="n">
        <v>46600</v>
      </c>
      <c r="B196">
        <f>Inputs!$A$40</f>
        <v/>
      </c>
      <c r="C196" s="9" t="n">
        <v>145729000</v>
      </c>
      <c r="D196" s="10" t="n">
        <v>0.0189</v>
      </c>
    </row>
    <row r="197">
      <c r="A197" s="8" t="n">
        <v>46600</v>
      </c>
      <c r="B197">
        <f>Inputs!$A$41</f>
        <v/>
      </c>
      <c r="C197" s="9" t="n">
        <v>126230000</v>
      </c>
      <c r="D197" s="10" t="n">
        <v>0.0207</v>
      </c>
    </row>
    <row r="198">
      <c r="A198" s="8" t="n">
        <v>46600</v>
      </c>
      <c r="B198">
        <f>Inputs!$A$42</f>
        <v/>
      </c>
      <c r="C198" s="9" t="n">
        <v>84605000</v>
      </c>
      <c r="D198" s="10" t="n">
        <v>0.0216</v>
      </c>
    </row>
    <row r="199">
      <c r="A199" s="8" t="n">
        <v>46600</v>
      </c>
      <c r="B199">
        <f>Inputs!$A$43</f>
        <v/>
      </c>
      <c r="C199" s="9" t="n">
        <v>109785000</v>
      </c>
      <c r="D199" s="10" t="n">
        <v>0.0247</v>
      </c>
    </row>
    <row r="200">
      <c r="A200" s="8" t="n">
        <v>46600</v>
      </c>
      <c r="B200">
        <f>Inputs!$A$44</f>
        <v/>
      </c>
      <c r="C200" s="9" t="n"/>
      <c r="D200" s="10" t="n">
        <v>0.0046</v>
      </c>
    </row>
    <row r="201">
      <c r="A201" s="8" t="n">
        <v>46600</v>
      </c>
      <c r="B201">
        <f>Inputs!$A$45</f>
        <v/>
      </c>
      <c r="C201" s="9" t="n"/>
      <c r="D201" s="10" t="n">
        <v>0.0047</v>
      </c>
    </row>
    <row r="202">
      <c r="A202" s="8" t="n">
        <v>46631</v>
      </c>
      <c r="B202">
        <f>Inputs!$A$36</f>
        <v/>
      </c>
      <c r="C202" s="9" t="n">
        <v>160851000</v>
      </c>
      <c r="D202" s="10" t="n">
        <v>0.0206</v>
      </c>
    </row>
    <row r="203">
      <c r="A203" s="8" t="n">
        <v>46631</v>
      </c>
      <c r="B203">
        <f>Inputs!$A$37</f>
        <v/>
      </c>
      <c r="C203" s="9" t="n">
        <v>145881000</v>
      </c>
      <c r="D203" s="10" t="n">
        <v>0.0212</v>
      </c>
    </row>
    <row r="204">
      <c r="A204" s="8" t="n">
        <v>46631</v>
      </c>
      <c r="B204">
        <f>Inputs!$A$38</f>
        <v/>
      </c>
      <c r="C204" s="9" t="n">
        <v>123281000</v>
      </c>
      <c r="D204" s="10" t="n">
        <v>0.0213</v>
      </c>
    </row>
    <row r="205">
      <c r="A205" s="8" t="n">
        <v>46631</v>
      </c>
      <c r="B205">
        <f>Inputs!$A$39</f>
        <v/>
      </c>
      <c r="C205" s="9" t="n">
        <v>131491000</v>
      </c>
      <c r="D205" s="10" t="n">
        <v>0.0207</v>
      </c>
    </row>
    <row r="206">
      <c r="A206" s="8" t="n">
        <v>46631</v>
      </c>
      <c r="B206">
        <f>Inputs!$A$40</f>
        <v/>
      </c>
      <c r="C206" s="9" t="n">
        <v>145301000</v>
      </c>
      <c r="D206" s="10" t="n">
        <v>0.0194</v>
      </c>
    </row>
    <row r="207">
      <c r="A207" s="8" t="n">
        <v>46631</v>
      </c>
      <c r="B207">
        <f>Inputs!$A$41</f>
        <v/>
      </c>
      <c r="C207" s="9" t="n">
        <v>129196000</v>
      </c>
      <c r="D207" s="10" t="n">
        <v>0.0209</v>
      </c>
    </row>
    <row r="208">
      <c r="A208" s="8" t="n">
        <v>46631</v>
      </c>
      <c r="B208">
        <f>Inputs!$A$42</f>
        <v/>
      </c>
      <c r="C208" s="9" t="n">
        <v>84861000</v>
      </c>
      <c r="D208" s="10" t="n">
        <v>0.022</v>
      </c>
    </row>
    <row r="209">
      <c r="A209" s="8" t="n">
        <v>46631</v>
      </c>
      <c r="B209">
        <f>Inputs!$A$43</f>
        <v/>
      </c>
      <c r="C209" s="9" t="n">
        <v>109411000</v>
      </c>
      <c r="D209" s="10" t="n">
        <v>0.0255</v>
      </c>
    </row>
    <row r="210">
      <c r="A210" s="8" t="n">
        <v>46631</v>
      </c>
      <c r="B210">
        <f>Inputs!$A$44</f>
        <v/>
      </c>
      <c r="C210" s="9" t="n"/>
      <c r="D210" s="10" t="n">
        <v>0.0045</v>
      </c>
    </row>
    <row r="211">
      <c r="A211" s="8" t="n">
        <v>46631</v>
      </c>
      <c r="B211">
        <f>Inputs!$A$45</f>
        <v/>
      </c>
      <c r="C211" s="9" t="n"/>
      <c r="D211" s="10" t="n">
        <v>0.005</v>
      </c>
    </row>
    <row r="212">
      <c r="A212" s="8" t="n">
        <v>46661</v>
      </c>
      <c r="B212">
        <f>Inputs!$A$36</f>
        <v/>
      </c>
      <c r="C212" s="9" t="n">
        <v>164152000</v>
      </c>
      <c r="D212" s="10" t="n">
        <v>0.0201</v>
      </c>
    </row>
    <row r="213">
      <c r="A213" s="8" t="n">
        <v>46661</v>
      </c>
      <c r="B213">
        <f>Inputs!$A$37</f>
        <v/>
      </c>
      <c r="C213" s="9" t="n">
        <v>152542000</v>
      </c>
      <c r="D213" s="10" t="n">
        <v>0.0196</v>
      </c>
    </row>
    <row r="214">
      <c r="A214" s="8" t="n">
        <v>46661</v>
      </c>
      <c r="B214">
        <f>Inputs!$A$38</f>
        <v/>
      </c>
      <c r="C214" s="9" t="n">
        <v>124790000</v>
      </c>
      <c r="D214" s="10" t="n">
        <v>0.0218</v>
      </c>
    </row>
    <row r="215">
      <c r="A215" s="8" t="n">
        <v>46661</v>
      </c>
      <c r="B215">
        <f>Inputs!$A$39</f>
        <v/>
      </c>
      <c r="C215" s="9" t="n">
        <v>135599000</v>
      </c>
      <c r="D215" s="10" t="n">
        <v>0.021</v>
      </c>
    </row>
    <row r="216">
      <c r="A216" s="8" t="n">
        <v>46661</v>
      </c>
      <c r="B216">
        <f>Inputs!$A$40</f>
        <v/>
      </c>
      <c r="C216" s="9" t="n">
        <v>147994000</v>
      </c>
      <c r="D216" s="10" t="n">
        <v>0.0199</v>
      </c>
    </row>
    <row r="217">
      <c r="A217" s="8" t="n">
        <v>46661</v>
      </c>
      <c r="B217">
        <f>Inputs!$A$41</f>
        <v/>
      </c>
      <c r="C217" s="9" t="n">
        <v>130333000</v>
      </c>
      <c r="D217" s="10" t="n">
        <v>0.021</v>
      </c>
    </row>
    <row r="218">
      <c r="A218" s="8" t="n">
        <v>46661</v>
      </c>
      <c r="B218">
        <f>Inputs!$A$42</f>
        <v/>
      </c>
      <c r="C218" s="9" t="n">
        <v>86382000</v>
      </c>
      <c r="D218" s="10" t="n">
        <v>0.0222</v>
      </c>
    </row>
    <row r="219">
      <c r="A219" s="8" t="n">
        <v>46661</v>
      </c>
      <c r="B219">
        <f>Inputs!$A$43</f>
        <v/>
      </c>
      <c r="C219" s="9" t="n">
        <v>114146000</v>
      </c>
      <c r="D219" s="10" t="n">
        <v>0.0235</v>
      </c>
    </row>
    <row r="220">
      <c r="A220" s="8" t="n">
        <v>46661</v>
      </c>
      <c r="B220">
        <f>Inputs!$A$44</f>
        <v/>
      </c>
      <c r="C220" s="9" t="n"/>
      <c r="D220" s="10" t="n">
        <v>0.0046</v>
      </c>
    </row>
    <row r="221">
      <c r="A221" s="8" t="n">
        <v>46661</v>
      </c>
      <c r="B221">
        <f>Inputs!$A$45</f>
        <v/>
      </c>
      <c r="C221" s="9" t="n"/>
      <c r="D221" s="10" t="n">
        <v>0.0046</v>
      </c>
    </row>
    <row r="222">
      <c r="A222" s="8" t="n">
        <v>46692</v>
      </c>
      <c r="B222">
        <f>Inputs!$A$36</f>
        <v/>
      </c>
      <c r="C222" s="9" t="n">
        <v>173372000</v>
      </c>
      <c r="D222" s="10" t="n">
        <v>0.02</v>
      </c>
    </row>
    <row r="223">
      <c r="A223" s="8" t="n">
        <v>46692</v>
      </c>
      <c r="B223">
        <f>Inputs!$A$37</f>
        <v/>
      </c>
      <c r="C223" s="9" t="n">
        <v>160621000</v>
      </c>
      <c r="D223" s="10" t="n">
        <v>0.0195</v>
      </c>
    </row>
    <row r="224">
      <c r="A224" s="8" t="n">
        <v>46692</v>
      </c>
      <c r="B224">
        <f>Inputs!$A$38</f>
        <v/>
      </c>
      <c r="C224" s="9" t="n">
        <v>130832000</v>
      </c>
      <c r="D224" s="10" t="n">
        <v>0.0204</v>
      </c>
    </row>
    <row r="225">
      <c r="A225" s="8" t="n">
        <v>46692</v>
      </c>
      <c r="B225">
        <f>Inputs!$A$39</f>
        <v/>
      </c>
      <c r="C225" s="9" t="n">
        <v>140494000</v>
      </c>
      <c r="D225" s="10" t="n">
        <v>0.0205</v>
      </c>
    </row>
    <row r="226">
      <c r="A226" s="8" t="n">
        <v>46692</v>
      </c>
      <c r="B226">
        <f>Inputs!$A$40</f>
        <v/>
      </c>
      <c r="C226" s="9" t="n">
        <v>152707000</v>
      </c>
      <c r="D226" s="10" t="n">
        <v>0.0194</v>
      </c>
    </row>
    <row r="227">
      <c r="A227" s="8" t="n">
        <v>46692</v>
      </c>
      <c r="B227">
        <f>Inputs!$A$41</f>
        <v/>
      </c>
      <c r="C227" s="9" t="n">
        <v>136645000</v>
      </c>
      <c r="D227" s="10" t="n">
        <v>0.0206</v>
      </c>
    </row>
    <row r="228">
      <c r="A228" s="8" t="n">
        <v>46692</v>
      </c>
      <c r="B228">
        <f>Inputs!$A$42</f>
        <v/>
      </c>
      <c r="C228" s="9" t="n">
        <v>89710000</v>
      </c>
      <c r="D228" s="10" t="n">
        <v>0.0212</v>
      </c>
    </row>
    <row r="229">
      <c r="A229" s="8" t="n">
        <v>46692</v>
      </c>
      <c r="B229">
        <f>Inputs!$A$43</f>
        <v/>
      </c>
      <c r="C229" s="9" t="n">
        <v>117889000</v>
      </c>
      <c r="D229" s="10" t="n">
        <v>0.0232</v>
      </c>
    </row>
    <row r="230">
      <c r="A230" s="8" t="n">
        <v>46692</v>
      </c>
      <c r="B230">
        <f>Inputs!$A$44</f>
        <v/>
      </c>
      <c r="C230" s="9" t="n"/>
      <c r="D230" s="10" t="n">
        <v>0.0044</v>
      </c>
    </row>
    <row r="231">
      <c r="A231" s="8" t="n">
        <v>46692</v>
      </c>
      <c r="B231">
        <f>Inputs!$A$45</f>
        <v/>
      </c>
      <c r="C231" s="9" t="n"/>
      <c r="D231" s="10" t="n">
        <v>0.0046</v>
      </c>
    </row>
    <row r="232">
      <c r="A232" s="8" t="n">
        <v>46722</v>
      </c>
      <c r="B232">
        <f>Inputs!$A$36</f>
        <v/>
      </c>
      <c r="C232" s="9" t="n">
        <v>205399000</v>
      </c>
      <c r="D232" s="10" t="n">
        <v>0.0201</v>
      </c>
    </row>
    <row r="233">
      <c r="A233" s="8" t="n">
        <v>46722</v>
      </c>
      <c r="B233">
        <f>Inputs!$A$37</f>
        <v/>
      </c>
      <c r="C233" s="9" t="n">
        <v>194083000</v>
      </c>
      <c r="D233" s="10" t="n">
        <v>0.0197</v>
      </c>
    </row>
    <row r="234">
      <c r="A234" s="8" t="n">
        <v>46722</v>
      </c>
      <c r="B234">
        <f>Inputs!$A$38</f>
        <v/>
      </c>
      <c r="C234" s="9" t="n">
        <v>156753000</v>
      </c>
      <c r="D234" s="10" t="n">
        <v>0.0215</v>
      </c>
    </row>
    <row r="235">
      <c r="A235" s="8" t="n">
        <v>46722</v>
      </c>
      <c r="B235">
        <f>Inputs!$A$39</f>
        <v/>
      </c>
      <c r="C235" s="9" t="n">
        <v>175166000</v>
      </c>
      <c r="D235" s="10" t="n">
        <v>0.0206</v>
      </c>
    </row>
    <row r="236">
      <c r="A236" s="8" t="n">
        <v>46722</v>
      </c>
      <c r="B236">
        <f>Inputs!$A$40</f>
        <v/>
      </c>
      <c r="C236" s="9" t="n">
        <v>183921000</v>
      </c>
      <c r="D236" s="10" t="n">
        <v>0.0195</v>
      </c>
    </row>
    <row r="237">
      <c r="A237" s="8" t="n">
        <v>46722</v>
      </c>
      <c r="B237">
        <f>Inputs!$A$41</f>
        <v/>
      </c>
      <c r="C237" s="9" t="n">
        <v>166796000</v>
      </c>
      <c r="D237" s="10" t="n">
        <v>0.0201</v>
      </c>
    </row>
    <row r="238">
      <c r="A238" s="8" t="n">
        <v>46722</v>
      </c>
      <c r="B238">
        <f>Inputs!$A$42</f>
        <v/>
      </c>
      <c r="C238" s="9" t="n">
        <v>111739000</v>
      </c>
      <c r="D238" s="10" t="n">
        <v>0.0217</v>
      </c>
    </row>
    <row r="239">
      <c r="A239" s="8" t="n">
        <v>46722</v>
      </c>
      <c r="B239">
        <f>Inputs!$A$43</f>
        <v/>
      </c>
      <c r="C239" s="9" t="n">
        <v>142375000</v>
      </c>
      <c r="D239" s="10" t="n">
        <v>0.0243</v>
      </c>
    </row>
    <row r="240">
      <c r="A240" s="8" t="n">
        <v>46722</v>
      </c>
      <c r="B240">
        <f>Inputs!$A$44</f>
        <v/>
      </c>
      <c r="C240" s="9" t="n"/>
      <c r="D240" s="10" t="n">
        <v>0.0045</v>
      </c>
    </row>
    <row r="241">
      <c r="A241" s="8" t="n">
        <v>46722</v>
      </c>
      <c r="B241">
        <f>Inputs!$A$45</f>
        <v/>
      </c>
      <c r="C241" s="9" t="n"/>
      <c r="D241" s="10" t="n">
        <v>0.0046</v>
      </c>
    </row>
    <row r="242">
      <c r="A242" s="8" t="n">
        <v>46753</v>
      </c>
      <c r="B242">
        <f>Inputs!$A$36</f>
        <v/>
      </c>
      <c r="C242" s="9" t="n">
        <v>160844000</v>
      </c>
      <c r="D242" s="10" t="n">
        <v>0.0225</v>
      </c>
    </row>
    <row r="243">
      <c r="A243" s="8" t="n">
        <v>46753</v>
      </c>
      <c r="B243">
        <f>Inputs!$A$37</f>
        <v/>
      </c>
      <c r="C243" s="9" t="n">
        <v>147829000</v>
      </c>
      <c r="D243" s="10" t="n">
        <v>0.0229</v>
      </c>
    </row>
    <row r="244">
      <c r="A244" s="8" t="n">
        <v>46753</v>
      </c>
      <c r="B244">
        <f>Inputs!$A$38</f>
        <v/>
      </c>
      <c r="C244" s="9" t="n">
        <v>122220000</v>
      </c>
      <c r="D244" s="10" t="n">
        <v>0.0241</v>
      </c>
    </row>
    <row r="245">
      <c r="A245" s="8" t="n">
        <v>46753</v>
      </c>
      <c r="B245">
        <f>Inputs!$A$39</f>
        <v/>
      </c>
      <c r="C245" s="9" t="n">
        <v>136117000</v>
      </c>
      <c r="D245" s="10" t="n">
        <v>0.0233</v>
      </c>
    </row>
    <row r="246">
      <c r="A246" s="8" t="n">
        <v>46753</v>
      </c>
      <c r="B246">
        <f>Inputs!$A$40</f>
        <v/>
      </c>
      <c r="C246" s="9" t="n">
        <v>145150000</v>
      </c>
      <c r="D246" s="10" t="n">
        <v>0.0225</v>
      </c>
    </row>
    <row r="247">
      <c r="A247" s="8" t="n">
        <v>46753</v>
      </c>
      <c r="B247">
        <f>Inputs!$A$41</f>
        <v/>
      </c>
      <c r="C247" s="9" t="n">
        <v>132412000</v>
      </c>
      <c r="D247" s="10" t="n">
        <v>0.0237</v>
      </c>
    </row>
    <row r="248">
      <c r="A248" s="8" t="n">
        <v>46753</v>
      </c>
      <c r="B248">
        <f>Inputs!$A$42</f>
        <v/>
      </c>
      <c r="C248" s="9" t="n">
        <v>83717000</v>
      </c>
      <c r="D248" s="10" t="n">
        <v>0.0252</v>
      </c>
    </row>
    <row r="249">
      <c r="A249" s="8" t="n">
        <v>46753</v>
      </c>
      <c r="B249">
        <f>Inputs!$A$43</f>
        <v/>
      </c>
      <c r="C249" s="9" t="n">
        <v>113871000</v>
      </c>
      <c r="D249" s="10" t="n">
        <v>0.0266</v>
      </c>
    </row>
    <row r="250">
      <c r="A250" s="8" t="n">
        <v>46753</v>
      </c>
      <c r="B250">
        <f>Inputs!$A$44</f>
        <v/>
      </c>
      <c r="C250" s="9" t="n"/>
      <c r="D250" s="10" t="n">
        <v>0.0051</v>
      </c>
    </row>
    <row r="251">
      <c r="A251" s="8" t="n">
        <v>46753</v>
      </c>
      <c r="B251">
        <f>Inputs!$A$45</f>
        <v/>
      </c>
      <c r="C251" s="9" t="n"/>
      <c r="D251" s="10" t="n">
        <v>0.0054</v>
      </c>
    </row>
    <row r="252">
      <c r="A252" s="8" t="n">
        <v>46784</v>
      </c>
      <c r="B252">
        <f>Inputs!$A$36</f>
        <v/>
      </c>
      <c r="C252" s="9" t="n">
        <v>151284000</v>
      </c>
      <c r="D252" s="10" t="n">
        <v>0.0216</v>
      </c>
    </row>
    <row r="253">
      <c r="A253" s="8" t="n">
        <v>46784</v>
      </c>
      <c r="B253">
        <f>Inputs!$A$37</f>
        <v/>
      </c>
      <c r="C253" s="9" t="n">
        <v>140155000</v>
      </c>
      <c r="D253" s="10" t="n">
        <v>0.0209</v>
      </c>
    </row>
    <row r="254">
      <c r="A254" s="8" t="n">
        <v>46784</v>
      </c>
      <c r="B254">
        <f>Inputs!$A$38</f>
        <v/>
      </c>
      <c r="C254" s="9" t="n">
        <v>112734000</v>
      </c>
      <c r="D254" s="10" t="n">
        <v>0.0226</v>
      </c>
    </row>
    <row r="255">
      <c r="A255" s="8" t="n">
        <v>46784</v>
      </c>
      <c r="B255">
        <f>Inputs!$A$39</f>
        <v/>
      </c>
      <c r="C255" s="9" t="n">
        <v>127484000</v>
      </c>
      <c r="D255" s="10" t="n">
        <v>0.0226</v>
      </c>
    </row>
    <row r="256">
      <c r="A256" s="8" t="n">
        <v>46784</v>
      </c>
      <c r="B256">
        <f>Inputs!$A$40</f>
        <v/>
      </c>
      <c r="C256" s="9" t="n">
        <v>137458000</v>
      </c>
      <c r="D256" s="10" t="n">
        <v>0.0211</v>
      </c>
    </row>
    <row r="257">
      <c r="A257" s="8" t="n">
        <v>46784</v>
      </c>
      <c r="B257">
        <f>Inputs!$A$41</f>
        <v/>
      </c>
      <c r="C257" s="9" t="n">
        <v>121212000</v>
      </c>
      <c r="D257" s="10" t="n">
        <v>0.0227</v>
      </c>
    </row>
    <row r="258">
      <c r="A258" s="8" t="n">
        <v>46784</v>
      </c>
      <c r="B258">
        <f>Inputs!$A$42</f>
        <v/>
      </c>
      <c r="C258" s="9" t="n">
        <v>80244000</v>
      </c>
      <c r="D258" s="10" t="n">
        <v>0.023</v>
      </c>
    </row>
    <row r="259">
      <c r="A259" s="8" t="n">
        <v>46784</v>
      </c>
      <c r="B259">
        <f>Inputs!$A$43</f>
        <v/>
      </c>
      <c r="C259" s="9" t="n">
        <v>105870000</v>
      </c>
      <c r="D259" s="10" t="n">
        <v>0.0248</v>
      </c>
    </row>
    <row r="260">
      <c r="A260" s="8" t="n">
        <v>46784</v>
      </c>
      <c r="B260">
        <f>Inputs!$A$44</f>
        <v/>
      </c>
      <c r="C260" s="9" t="n"/>
      <c r="D260" s="10" t="n">
        <v>0.0048</v>
      </c>
    </row>
    <row r="261">
      <c r="A261" s="8" t="n">
        <v>46784</v>
      </c>
      <c r="B261">
        <f>Inputs!$A$45</f>
        <v/>
      </c>
      <c r="C261" s="9" t="n"/>
      <c r="D261" s="10" t="n">
        <v>0.005</v>
      </c>
    </row>
    <row r="262">
      <c r="A262" s="8" t="n">
        <v>46813</v>
      </c>
      <c r="B262">
        <f>Inputs!$A$36</f>
        <v/>
      </c>
      <c r="C262" s="9" t="n">
        <v>165476000</v>
      </c>
      <c r="D262" s="10" t="n">
        <v>0.0212</v>
      </c>
    </row>
    <row r="263">
      <c r="A263" s="8" t="n">
        <v>46813</v>
      </c>
      <c r="B263">
        <f>Inputs!$A$37</f>
        <v/>
      </c>
      <c r="C263" s="9" t="n">
        <v>158045000</v>
      </c>
      <c r="D263" s="10" t="n">
        <v>0.0211</v>
      </c>
    </row>
    <row r="264">
      <c r="A264" s="8" t="n">
        <v>46813</v>
      </c>
      <c r="B264">
        <f>Inputs!$A$38</f>
        <v/>
      </c>
      <c r="C264" s="9" t="n">
        <v>124665000</v>
      </c>
      <c r="D264" s="10" t="n">
        <v>0.0218</v>
      </c>
    </row>
    <row r="265">
      <c r="A265" s="8" t="n">
        <v>46813</v>
      </c>
      <c r="B265">
        <f>Inputs!$A$39</f>
        <v/>
      </c>
      <c r="C265" s="9" t="n">
        <v>134860000</v>
      </c>
      <c r="D265" s="10" t="n">
        <v>0.022</v>
      </c>
    </row>
    <row r="266">
      <c r="A266" s="8" t="n">
        <v>46813</v>
      </c>
      <c r="B266">
        <f>Inputs!$A$40</f>
        <v/>
      </c>
      <c r="C266" s="9" t="n">
        <v>152259000</v>
      </c>
      <c r="D266" s="10" t="n">
        <v>0.0208</v>
      </c>
    </row>
    <row r="267">
      <c r="A267" s="8" t="n">
        <v>46813</v>
      </c>
      <c r="B267">
        <f>Inputs!$A$41</f>
        <v/>
      </c>
      <c r="C267" s="9" t="n">
        <v>133616000</v>
      </c>
      <c r="D267" s="10" t="n">
        <v>0.0214</v>
      </c>
    </row>
    <row r="268">
      <c r="A268" s="8" t="n">
        <v>46813</v>
      </c>
      <c r="B268">
        <f>Inputs!$A$42</f>
        <v/>
      </c>
      <c r="C268" s="9" t="n">
        <v>88391000</v>
      </c>
      <c r="D268" s="10" t="n">
        <v>0.0232</v>
      </c>
    </row>
    <row r="269">
      <c r="A269" s="8" t="n">
        <v>46813</v>
      </c>
      <c r="B269">
        <f>Inputs!$A$43</f>
        <v/>
      </c>
      <c r="C269" s="9" t="n">
        <v>117188000</v>
      </c>
      <c r="D269" s="10" t="n">
        <v>0.025</v>
      </c>
    </row>
    <row r="270">
      <c r="A270" s="8" t="n">
        <v>46813</v>
      </c>
      <c r="B270">
        <f>Inputs!$A$44</f>
        <v/>
      </c>
      <c r="C270" s="9" t="n"/>
      <c r="D270" s="10" t="n">
        <v>0.0047</v>
      </c>
    </row>
    <row r="271">
      <c r="A271" s="8" t="n">
        <v>46813</v>
      </c>
      <c r="B271">
        <f>Inputs!$A$45</f>
        <v/>
      </c>
      <c r="C271" s="9" t="n"/>
      <c r="D271" s="10" t="n">
        <v>0.0048</v>
      </c>
    </row>
    <row r="272">
      <c r="A272" s="8" t="n">
        <v>46844</v>
      </c>
      <c r="B272">
        <f>Inputs!$A$36</f>
        <v/>
      </c>
      <c r="C272" s="9" t="n">
        <v>167799000</v>
      </c>
      <c r="D272" s="10" t="n">
        <v>0.0238</v>
      </c>
    </row>
    <row r="273">
      <c r="A273" s="8" t="n">
        <v>46844</v>
      </c>
      <c r="B273">
        <f>Inputs!$A$37</f>
        <v/>
      </c>
      <c r="C273" s="9" t="n">
        <v>154912000</v>
      </c>
      <c r="D273" s="10" t="n">
        <v>0.0223</v>
      </c>
    </row>
    <row r="274">
      <c r="A274" s="8" t="n">
        <v>46844</v>
      </c>
      <c r="B274">
        <f>Inputs!$A$38</f>
        <v/>
      </c>
      <c r="C274" s="9" t="n">
        <v>125512000</v>
      </c>
      <c r="D274" s="10" t="n">
        <v>0.0257</v>
      </c>
    </row>
    <row r="275">
      <c r="A275" s="8" t="n">
        <v>46844</v>
      </c>
      <c r="B275">
        <f>Inputs!$A$39</f>
        <v/>
      </c>
      <c r="C275" s="9" t="n">
        <v>137183000</v>
      </c>
      <c r="D275" s="10" t="n">
        <v>0.0244</v>
      </c>
    </row>
    <row r="276">
      <c r="A276" s="8" t="n">
        <v>46844</v>
      </c>
      <c r="B276">
        <f>Inputs!$A$40</f>
        <v/>
      </c>
      <c r="C276" s="9" t="n">
        <v>147261000</v>
      </c>
      <c r="D276" s="10" t="n">
        <v>0.0226</v>
      </c>
    </row>
    <row r="277">
      <c r="A277" s="8" t="n">
        <v>46844</v>
      </c>
      <c r="B277">
        <f>Inputs!$A$41</f>
        <v/>
      </c>
      <c r="C277" s="9" t="n">
        <v>130689000</v>
      </c>
      <c r="D277" s="10" t="n">
        <v>0.0249</v>
      </c>
    </row>
    <row r="278">
      <c r="A278" s="8" t="n">
        <v>46844</v>
      </c>
      <c r="B278">
        <f>Inputs!$A$42</f>
        <v/>
      </c>
      <c r="C278" s="9" t="n">
        <v>88461000</v>
      </c>
      <c r="D278" s="10" t="n">
        <v>0.0251</v>
      </c>
    </row>
    <row r="279">
      <c r="A279" s="8" t="n">
        <v>46844</v>
      </c>
      <c r="B279">
        <f>Inputs!$A$43</f>
        <v/>
      </c>
      <c r="C279" s="9" t="n">
        <v>116429000</v>
      </c>
      <c r="D279" s="10" t="n">
        <v>0.0274</v>
      </c>
    </row>
    <row r="280">
      <c r="A280" s="8" t="n">
        <v>46844</v>
      </c>
      <c r="B280">
        <f>Inputs!$A$44</f>
        <v/>
      </c>
      <c r="C280" s="9" t="n"/>
      <c r="D280" s="10" t="n">
        <v>0.0052</v>
      </c>
    </row>
    <row r="281">
      <c r="A281" s="8" t="n">
        <v>46844</v>
      </c>
      <c r="B281">
        <f>Inputs!$A$45</f>
        <v/>
      </c>
      <c r="C281" s="9" t="n"/>
      <c r="D281" s="10" t="n">
        <v>0.0054</v>
      </c>
    </row>
    <row r="282">
      <c r="A282" s="8" t="n">
        <v>46874</v>
      </c>
      <c r="B282">
        <f>Inputs!$A$36</f>
        <v/>
      </c>
      <c r="C282" s="9" t="n">
        <v>170403000</v>
      </c>
      <c r="D282" s="10" t="n">
        <v>0.0204</v>
      </c>
    </row>
    <row r="283">
      <c r="A283" s="8" t="n">
        <v>46874</v>
      </c>
      <c r="B283">
        <f>Inputs!$A$37</f>
        <v/>
      </c>
      <c r="C283" s="9" t="n">
        <v>150476000</v>
      </c>
      <c r="D283" s="10" t="n">
        <v>0.0204</v>
      </c>
    </row>
    <row r="284">
      <c r="A284" s="8" t="n">
        <v>46874</v>
      </c>
      <c r="B284">
        <f>Inputs!$A$38</f>
        <v/>
      </c>
      <c r="C284" s="9" t="n">
        <v>125802000</v>
      </c>
      <c r="D284" s="10" t="n">
        <v>0.0223</v>
      </c>
    </row>
    <row r="285">
      <c r="A285" s="8" t="n">
        <v>46874</v>
      </c>
      <c r="B285">
        <f>Inputs!$A$39</f>
        <v/>
      </c>
      <c r="C285" s="9" t="n">
        <v>135259000</v>
      </c>
      <c r="D285" s="10" t="n">
        <v>0.0214</v>
      </c>
    </row>
    <row r="286">
      <c r="A286" s="8" t="n">
        <v>46874</v>
      </c>
      <c r="B286">
        <f>Inputs!$A$40</f>
        <v/>
      </c>
      <c r="C286" s="9" t="n">
        <v>146732000</v>
      </c>
      <c r="D286" s="10" t="n">
        <v>0.0202</v>
      </c>
    </row>
    <row r="287">
      <c r="A287" s="8" t="n">
        <v>46874</v>
      </c>
      <c r="B287">
        <f>Inputs!$A$41</f>
        <v/>
      </c>
      <c r="C287" s="9" t="n">
        <v>131693000</v>
      </c>
      <c r="D287" s="10" t="n">
        <v>0.0226</v>
      </c>
    </row>
    <row r="288">
      <c r="A288" s="8" t="n">
        <v>46874</v>
      </c>
      <c r="B288">
        <f>Inputs!$A$42</f>
        <v/>
      </c>
      <c r="C288" s="9" t="n">
        <v>87817000</v>
      </c>
      <c r="D288" s="10" t="n">
        <v>0.0226</v>
      </c>
    </row>
    <row r="289">
      <c r="A289" s="8" t="n">
        <v>46874</v>
      </c>
      <c r="B289">
        <f>Inputs!$A$43</f>
        <v/>
      </c>
      <c r="C289" s="9" t="n">
        <v>113708000</v>
      </c>
      <c r="D289" s="10" t="n">
        <v>0.0241</v>
      </c>
    </row>
    <row r="290">
      <c r="A290" s="8" t="n">
        <v>46874</v>
      </c>
      <c r="B290">
        <f>Inputs!$A$44</f>
        <v/>
      </c>
      <c r="C290" s="9" t="n"/>
      <c r="D290" s="10" t="n">
        <v>0.0046</v>
      </c>
    </row>
    <row r="291">
      <c r="A291" s="8" t="n">
        <v>46874</v>
      </c>
      <c r="B291">
        <f>Inputs!$A$45</f>
        <v/>
      </c>
      <c r="C291" s="9" t="n"/>
      <c r="D291" s="10" t="n">
        <v>0.0049</v>
      </c>
    </row>
    <row r="292">
      <c r="A292" s="8" t="n">
        <v>46905</v>
      </c>
      <c r="B292">
        <f>Inputs!$A$36</f>
        <v/>
      </c>
      <c r="C292" s="9" t="n">
        <v>162112000</v>
      </c>
      <c r="D292" s="10" t="n">
        <v>0.0209</v>
      </c>
    </row>
    <row r="293">
      <c r="A293" s="8" t="n">
        <v>46905</v>
      </c>
      <c r="B293">
        <f>Inputs!$A$37</f>
        <v/>
      </c>
      <c r="C293" s="9" t="n">
        <v>149194000</v>
      </c>
      <c r="D293" s="10" t="n">
        <v>0.0213</v>
      </c>
    </row>
    <row r="294">
      <c r="A294" s="8" t="n">
        <v>46905</v>
      </c>
      <c r="B294">
        <f>Inputs!$A$38</f>
        <v/>
      </c>
      <c r="C294" s="9" t="n">
        <v>124204000</v>
      </c>
      <c r="D294" s="10" t="n">
        <v>0.022</v>
      </c>
    </row>
    <row r="295">
      <c r="A295" s="8" t="n">
        <v>46905</v>
      </c>
      <c r="B295">
        <f>Inputs!$A$39</f>
        <v/>
      </c>
      <c r="C295" s="9" t="n">
        <v>133583000</v>
      </c>
      <c r="D295" s="10" t="n">
        <v>0.0217</v>
      </c>
    </row>
    <row r="296">
      <c r="A296" s="8" t="n">
        <v>46905</v>
      </c>
      <c r="B296">
        <f>Inputs!$A$40</f>
        <v/>
      </c>
      <c r="C296" s="9" t="n">
        <v>145186000</v>
      </c>
      <c r="D296" s="10" t="n">
        <v>0.0203</v>
      </c>
    </row>
    <row r="297">
      <c r="A297" s="8" t="n">
        <v>46905</v>
      </c>
      <c r="B297">
        <f>Inputs!$A$41</f>
        <v/>
      </c>
      <c r="C297" s="9" t="n">
        <v>129819000</v>
      </c>
      <c r="D297" s="10" t="n">
        <v>0.0221</v>
      </c>
    </row>
    <row r="298">
      <c r="A298" s="8" t="n">
        <v>46905</v>
      </c>
      <c r="B298">
        <f>Inputs!$A$42</f>
        <v/>
      </c>
      <c r="C298" s="9" t="n">
        <v>87571000</v>
      </c>
      <c r="D298" s="10" t="n">
        <v>0.0226</v>
      </c>
    </row>
    <row r="299">
      <c r="A299" s="8" t="n">
        <v>46905</v>
      </c>
      <c r="B299">
        <f>Inputs!$A$43</f>
        <v/>
      </c>
      <c r="C299" s="9" t="n">
        <v>114161000</v>
      </c>
      <c r="D299" s="10" t="n">
        <v>0.0252</v>
      </c>
    </row>
    <row r="300">
      <c r="A300" s="8" t="n">
        <v>46905</v>
      </c>
      <c r="B300">
        <f>Inputs!$A$44</f>
        <v/>
      </c>
      <c r="C300" s="9" t="n"/>
      <c r="D300" s="10" t="n">
        <v>0.0046</v>
      </c>
    </row>
    <row r="301">
      <c r="A301" s="8" t="n">
        <v>46905</v>
      </c>
      <c r="B301">
        <f>Inputs!$A$45</f>
        <v/>
      </c>
      <c r="C301" s="9" t="n"/>
      <c r="D301" s="10" t="n">
        <v>0.0048</v>
      </c>
    </row>
    <row r="302">
      <c r="A302" s="8" t="n">
        <v>46935</v>
      </c>
      <c r="B302">
        <f>Inputs!$A$36</f>
        <v/>
      </c>
      <c r="C302" s="9" t="n">
        <v>165394000</v>
      </c>
      <c r="D302" s="10" t="n">
        <v>0.0215</v>
      </c>
    </row>
    <row r="303">
      <c r="A303" s="8" t="n">
        <v>46935</v>
      </c>
      <c r="B303">
        <f>Inputs!$A$37</f>
        <v/>
      </c>
      <c r="C303" s="9" t="n">
        <v>157814000</v>
      </c>
      <c r="D303" s="10" t="n">
        <v>0.0204</v>
      </c>
    </row>
    <row r="304">
      <c r="A304" s="8" t="n">
        <v>46935</v>
      </c>
      <c r="B304">
        <f>Inputs!$A$38</f>
        <v/>
      </c>
      <c r="C304" s="9" t="n">
        <v>126510000</v>
      </c>
      <c r="D304" s="10" t="n">
        <v>0.0216</v>
      </c>
    </row>
    <row r="305">
      <c r="A305" s="8" t="n">
        <v>46935</v>
      </c>
      <c r="B305">
        <f>Inputs!$A$39</f>
        <v/>
      </c>
      <c r="C305" s="9" t="n">
        <v>137213000</v>
      </c>
      <c r="D305" s="10" t="n">
        <v>0.0217</v>
      </c>
    </row>
    <row r="306">
      <c r="A306" s="8" t="n">
        <v>46935</v>
      </c>
      <c r="B306">
        <f>Inputs!$A$40</f>
        <v/>
      </c>
      <c r="C306" s="9" t="n">
        <v>149522000</v>
      </c>
      <c r="D306" s="10" t="n">
        <v>0.0204</v>
      </c>
    </row>
    <row r="307">
      <c r="A307" s="8" t="n">
        <v>46935</v>
      </c>
      <c r="B307">
        <f>Inputs!$A$41</f>
        <v/>
      </c>
      <c r="C307" s="9" t="n">
        <v>132703000</v>
      </c>
      <c r="D307" s="10" t="n">
        <v>0.0219</v>
      </c>
    </row>
    <row r="308">
      <c r="A308" s="8" t="n">
        <v>46935</v>
      </c>
      <c r="B308">
        <f>Inputs!$A$42</f>
        <v/>
      </c>
      <c r="C308" s="9" t="n">
        <v>87417000</v>
      </c>
      <c r="D308" s="10" t="n">
        <v>0.0222</v>
      </c>
    </row>
    <row r="309">
      <c r="A309" s="8" t="n">
        <v>46935</v>
      </c>
      <c r="B309">
        <f>Inputs!$A$43</f>
        <v/>
      </c>
      <c r="C309" s="9" t="n">
        <v>116737000</v>
      </c>
      <c r="D309" s="10" t="n">
        <v>0.0242</v>
      </c>
    </row>
    <row r="310">
      <c r="A310" s="8" t="n">
        <v>46935</v>
      </c>
      <c r="B310">
        <f>Inputs!$A$44</f>
        <v/>
      </c>
      <c r="C310" s="9" t="n"/>
      <c r="D310" s="10" t="n">
        <v>0.0047</v>
      </c>
    </row>
    <row r="311">
      <c r="A311" s="8" t="n">
        <v>46935</v>
      </c>
      <c r="B311">
        <f>Inputs!$A$45</f>
        <v/>
      </c>
      <c r="C311" s="9" t="n"/>
      <c r="D311" s="10" t="n">
        <v>0.0047</v>
      </c>
    </row>
    <row r="312">
      <c r="A312" s="8" t="n">
        <v>46966</v>
      </c>
      <c r="B312">
        <f>Inputs!$A$36</f>
        <v/>
      </c>
      <c r="C312" s="9" t="n">
        <v>162441000</v>
      </c>
      <c r="D312" s="10" t="n">
        <v>0.0207</v>
      </c>
    </row>
    <row r="313">
      <c r="A313" s="8" t="n">
        <v>46966</v>
      </c>
      <c r="B313">
        <f>Inputs!$A$37</f>
        <v/>
      </c>
      <c r="C313" s="9" t="n">
        <v>156899000</v>
      </c>
      <c r="D313" s="10" t="n">
        <v>0.0206</v>
      </c>
    </row>
    <row r="314">
      <c r="A314" s="8" t="n">
        <v>46966</v>
      </c>
      <c r="B314">
        <f>Inputs!$A$38</f>
        <v/>
      </c>
      <c r="C314" s="9" t="n">
        <v>123608000</v>
      </c>
      <c r="D314" s="10" t="n">
        <v>0.022</v>
      </c>
    </row>
    <row r="315">
      <c r="A315" s="8" t="n">
        <v>46966</v>
      </c>
      <c r="B315">
        <f>Inputs!$A$39</f>
        <v/>
      </c>
      <c r="C315" s="9" t="n">
        <v>135812000</v>
      </c>
      <c r="D315" s="10" t="n">
        <v>0.0212</v>
      </c>
    </row>
    <row r="316">
      <c r="A316" s="8" t="n">
        <v>46966</v>
      </c>
      <c r="B316">
        <f>Inputs!$A$40</f>
        <v/>
      </c>
      <c r="C316" s="9" t="n">
        <v>148308000</v>
      </c>
      <c r="D316" s="10" t="n">
        <v>0.0198</v>
      </c>
    </row>
    <row r="317">
      <c r="A317" s="8" t="n">
        <v>46966</v>
      </c>
      <c r="B317">
        <f>Inputs!$A$41</f>
        <v/>
      </c>
      <c r="C317" s="9" t="n">
        <v>133717000</v>
      </c>
      <c r="D317" s="10" t="n">
        <v>0.0214</v>
      </c>
    </row>
    <row r="318">
      <c r="A318" s="8" t="n">
        <v>46966</v>
      </c>
      <c r="B318">
        <f>Inputs!$A$42</f>
        <v/>
      </c>
      <c r="C318" s="9" t="n">
        <v>87638000</v>
      </c>
      <c r="D318" s="10" t="n">
        <v>0.0226</v>
      </c>
    </row>
    <row r="319">
      <c r="A319" s="8" t="n">
        <v>46966</v>
      </c>
      <c r="B319">
        <f>Inputs!$A$43</f>
        <v/>
      </c>
      <c r="C319" s="9" t="n">
        <v>116312000</v>
      </c>
      <c r="D319" s="10" t="n">
        <v>0.0239</v>
      </c>
    </row>
    <row r="320">
      <c r="A320" s="8" t="n">
        <v>46966</v>
      </c>
      <c r="B320">
        <f>Inputs!$A$44</f>
        <v/>
      </c>
      <c r="C320" s="9" t="n"/>
      <c r="D320" s="10" t="n">
        <v>0.0048</v>
      </c>
    </row>
    <row r="321">
      <c r="A321" s="8" t="n">
        <v>46966</v>
      </c>
      <c r="B321">
        <f>Inputs!$A$45</f>
        <v/>
      </c>
      <c r="C321" s="9" t="n"/>
      <c r="D321" s="10" t="n">
        <v>0.0047</v>
      </c>
    </row>
    <row r="322">
      <c r="A322" s="8" t="n">
        <v>46997</v>
      </c>
      <c r="B322">
        <f>Inputs!$A$36</f>
        <v/>
      </c>
      <c r="C322" s="9" t="n">
        <v>166521000</v>
      </c>
      <c r="D322" s="10" t="n">
        <v>0.021</v>
      </c>
    </row>
    <row r="323">
      <c r="A323" s="8" t="n">
        <v>46997</v>
      </c>
      <c r="B323">
        <f>Inputs!$A$37</f>
        <v/>
      </c>
      <c r="C323" s="9" t="n">
        <v>154127000</v>
      </c>
      <c r="D323" s="10" t="n">
        <v>0.021</v>
      </c>
    </row>
    <row r="324">
      <c r="A324" s="8" t="n">
        <v>46997</v>
      </c>
      <c r="B324">
        <f>Inputs!$A$38</f>
        <v/>
      </c>
      <c r="C324" s="9" t="n">
        <v>122779000</v>
      </c>
      <c r="D324" s="10" t="n">
        <v>0.0214</v>
      </c>
    </row>
    <row r="325">
      <c r="A325" s="8" t="n">
        <v>46997</v>
      </c>
      <c r="B325">
        <f>Inputs!$A$39</f>
        <v/>
      </c>
      <c r="C325" s="9" t="n">
        <v>137192000</v>
      </c>
      <c r="D325" s="10" t="n">
        <v>0.0208</v>
      </c>
    </row>
    <row r="326">
      <c r="A326" s="8" t="n">
        <v>46997</v>
      </c>
      <c r="B326">
        <f>Inputs!$A$40</f>
        <v/>
      </c>
      <c r="C326" s="9" t="n">
        <v>149021000</v>
      </c>
      <c r="D326" s="10" t="n">
        <v>0.0198</v>
      </c>
    </row>
    <row r="327">
      <c r="A327" s="8" t="n">
        <v>46997</v>
      </c>
      <c r="B327">
        <f>Inputs!$A$41</f>
        <v/>
      </c>
      <c r="C327" s="9" t="n">
        <v>128386000</v>
      </c>
      <c r="D327" s="10" t="n">
        <v>0.0209</v>
      </c>
    </row>
    <row r="328">
      <c r="A328" s="8" t="n">
        <v>46997</v>
      </c>
      <c r="B328">
        <f>Inputs!$A$42</f>
        <v/>
      </c>
      <c r="C328" s="9" t="n">
        <v>88015000</v>
      </c>
      <c r="D328" s="10" t="n">
        <v>0.0224</v>
      </c>
    </row>
    <row r="329">
      <c r="A329" s="8" t="n">
        <v>46997</v>
      </c>
      <c r="B329">
        <f>Inputs!$A$43</f>
        <v/>
      </c>
      <c r="C329" s="9" t="n">
        <v>114397000</v>
      </c>
      <c r="D329" s="10" t="n">
        <v>0.025</v>
      </c>
    </row>
    <row r="330">
      <c r="A330" s="8" t="n">
        <v>46997</v>
      </c>
      <c r="B330">
        <f>Inputs!$A$44</f>
        <v/>
      </c>
      <c r="C330" s="9" t="n"/>
      <c r="D330" s="10" t="n">
        <v>0.0045</v>
      </c>
    </row>
    <row r="331">
      <c r="A331" s="8" t="n">
        <v>46997</v>
      </c>
      <c r="B331">
        <f>Inputs!$A$45</f>
        <v/>
      </c>
      <c r="C331" s="9" t="n"/>
      <c r="D331" s="10" t="n">
        <v>0.0049</v>
      </c>
    </row>
    <row r="332">
      <c r="A332" s="8" t="n">
        <v>47027</v>
      </c>
      <c r="B332">
        <f>Inputs!$A$36</f>
        <v/>
      </c>
      <c r="C332" s="9" t="n">
        <v>171846000</v>
      </c>
      <c r="D332" s="10" t="n">
        <v>0.0207</v>
      </c>
    </row>
    <row r="333">
      <c r="A333" s="8" t="n">
        <v>47027</v>
      </c>
      <c r="B333">
        <f>Inputs!$A$37</f>
        <v/>
      </c>
      <c r="C333" s="9" t="n">
        <v>158952000</v>
      </c>
      <c r="D333" s="10" t="n">
        <v>0.0196</v>
      </c>
    </row>
    <row r="334">
      <c r="A334" s="8" t="n">
        <v>47027</v>
      </c>
      <c r="B334">
        <f>Inputs!$A$38</f>
        <v/>
      </c>
      <c r="C334" s="9" t="n">
        <v>132288000</v>
      </c>
      <c r="D334" s="10" t="n">
        <v>0.0223</v>
      </c>
    </row>
    <row r="335">
      <c r="A335" s="8" t="n">
        <v>47027</v>
      </c>
      <c r="B335">
        <f>Inputs!$A$39</f>
        <v/>
      </c>
      <c r="C335" s="9" t="n">
        <v>143108000</v>
      </c>
      <c r="D335" s="10" t="n">
        <v>0.022</v>
      </c>
    </row>
    <row r="336">
      <c r="A336" s="8" t="n">
        <v>47027</v>
      </c>
      <c r="B336">
        <f>Inputs!$A$40</f>
        <v/>
      </c>
      <c r="C336" s="9" t="n">
        <v>153707000</v>
      </c>
      <c r="D336" s="10" t="n">
        <v>0.0201</v>
      </c>
    </row>
    <row r="337">
      <c r="A337" s="8" t="n">
        <v>47027</v>
      </c>
      <c r="B337">
        <f>Inputs!$A$41</f>
        <v/>
      </c>
      <c r="C337" s="9" t="n">
        <v>137990000</v>
      </c>
      <c r="D337" s="10" t="n">
        <v>0.0217</v>
      </c>
    </row>
    <row r="338">
      <c r="A338" s="8" t="n">
        <v>47027</v>
      </c>
      <c r="B338">
        <f>Inputs!$A$42</f>
        <v/>
      </c>
      <c r="C338" s="9" t="n">
        <v>91106000</v>
      </c>
      <c r="D338" s="10" t="n">
        <v>0.0224</v>
      </c>
    </row>
    <row r="339">
      <c r="A339" s="8" t="n">
        <v>47027</v>
      </c>
      <c r="B339">
        <f>Inputs!$A$43</f>
        <v/>
      </c>
      <c r="C339" s="9" t="n">
        <v>120376000</v>
      </c>
      <c r="D339" s="10" t="n">
        <v>0.0242</v>
      </c>
    </row>
    <row r="340">
      <c r="A340" s="8" t="n">
        <v>47027</v>
      </c>
      <c r="B340">
        <f>Inputs!$A$44</f>
        <v/>
      </c>
      <c r="C340" s="9" t="n"/>
      <c r="D340" s="10" t="n">
        <v>0.0046</v>
      </c>
    </row>
    <row r="341">
      <c r="A341" s="8" t="n">
        <v>47027</v>
      </c>
      <c r="B341">
        <f>Inputs!$A$45</f>
        <v/>
      </c>
      <c r="C341" s="9" t="n"/>
      <c r="D341" s="10" t="n">
        <v>0.0048</v>
      </c>
    </row>
    <row r="342">
      <c r="A342" s="8" t="n">
        <v>47058</v>
      </c>
      <c r="B342">
        <f>Inputs!$A$36</f>
        <v/>
      </c>
      <c r="C342" s="9" t="n">
        <v>177764000</v>
      </c>
      <c r="D342" s="10" t="n">
        <v>0.0202</v>
      </c>
    </row>
    <row r="343">
      <c r="A343" s="8" t="n">
        <v>47058</v>
      </c>
      <c r="B343">
        <f>Inputs!$A$37</f>
        <v/>
      </c>
      <c r="C343" s="9" t="n">
        <v>161946000</v>
      </c>
      <c r="D343" s="10" t="n">
        <v>0.0204</v>
      </c>
    </row>
    <row r="344">
      <c r="A344" s="8" t="n">
        <v>47058</v>
      </c>
      <c r="B344">
        <f>Inputs!$A$38</f>
        <v/>
      </c>
      <c r="C344" s="9" t="n">
        <v>133965000</v>
      </c>
      <c r="D344" s="10" t="n">
        <v>0.0204</v>
      </c>
    </row>
    <row r="345">
      <c r="A345" s="8" t="n">
        <v>47058</v>
      </c>
      <c r="B345">
        <f>Inputs!$A$39</f>
        <v/>
      </c>
      <c r="C345" s="9" t="n">
        <v>145905000</v>
      </c>
      <c r="D345" s="10" t="n">
        <v>0.0197</v>
      </c>
    </row>
    <row r="346">
      <c r="A346" s="8" t="n">
        <v>47058</v>
      </c>
      <c r="B346">
        <f>Inputs!$A$40</f>
        <v/>
      </c>
      <c r="C346" s="9" t="n">
        <v>158028000</v>
      </c>
      <c r="D346" s="10" t="n">
        <v>0.0196</v>
      </c>
    </row>
    <row r="347">
      <c r="A347" s="8" t="n">
        <v>47058</v>
      </c>
      <c r="B347">
        <f>Inputs!$A$41</f>
        <v/>
      </c>
      <c r="C347" s="9" t="n">
        <v>141489000</v>
      </c>
      <c r="D347" s="10" t="n">
        <v>0.0203</v>
      </c>
    </row>
    <row r="348">
      <c r="A348" s="8" t="n">
        <v>47058</v>
      </c>
      <c r="B348">
        <f>Inputs!$A$42</f>
        <v/>
      </c>
      <c r="C348" s="9" t="n">
        <v>91368000</v>
      </c>
      <c r="D348" s="10" t="n">
        <v>0.0218</v>
      </c>
    </row>
    <row r="349">
      <c r="A349" s="8" t="n">
        <v>47058</v>
      </c>
      <c r="B349">
        <f>Inputs!$A$43</f>
        <v/>
      </c>
      <c r="C349" s="9" t="n">
        <v>120983000</v>
      </c>
      <c r="D349" s="10" t="n">
        <v>0.0235</v>
      </c>
    </row>
    <row r="350">
      <c r="A350" s="8" t="n">
        <v>47058</v>
      </c>
      <c r="B350">
        <f>Inputs!$A$44</f>
        <v/>
      </c>
      <c r="C350" s="9" t="n"/>
      <c r="D350" s="10" t="n">
        <v>0.0046</v>
      </c>
    </row>
    <row r="351">
      <c r="A351" s="8" t="n">
        <v>47058</v>
      </c>
      <c r="B351">
        <f>Inputs!$A$45</f>
        <v/>
      </c>
      <c r="C351" s="9" t="n"/>
      <c r="D351" s="10" t="n">
        <v>0.0049</v>
      </c>
    </row>
    <row r="352">
      <c r="A352" s="8" t="n">
        <v>47088</v>
      </c>
      <c r="B352">
        <f>Inputs!$A$36</f>
        <v/>
      </c>
      <c r="C352" s="9" t="n">
        <v>216164000</v>
      </c>
      <c r="D352" s="10" t="n">
        <v>0.0197</v>
      </c>
    </row>
    <row r="353">
      <c r="A353" s="8" t="n">
        <v>47088</v>
      </c>
      <c r="B353">
        <f>Inputs!$A$37</f>
        <v/>
      </c>
      <c r="C353" s="9" t="n">
        <v>203375000</v>
      </c>
      <c r="D353" s="10" t="n">
        <v>0.0195</v>
      </c>
    </row>
    <row r="354">
      <c r="A354" s="8" t="n">
        <v>47088</v>
      </c>
      <c r="B354">
        <f>Inputs!$A$38</f>
        <v/>
      </c>
      <c r="C354" s="9" t="n">
        <v>164524000</v>
      </c>
      <c r="D354" s="10" t="n">
        <v>0.0209</v>
      </c>
    </row>
    <row r="355">
      <c r="A355" s="8" t="n">
        <v>47088</v>
      </c>
      <c r="B355">
        <f>Inputs!$A$39</f>
        <v/>
      </c>
      <c r="C355" s="9" t="n">
        <v>182330000</v>
      </c>
      <c r="D355" s="10" t="n">
        <v>0.0204</v>
      </c>
    </row>
    <row r="356">
      <c r="A356" s="8" t="n">
        <v>47088</v>
      </c>
      <c r="B356">
        <f>Inputs!$A$40</f>
        <v/>
      </c>
      <c r="C356" s="9" t="n">
        <v>197733000</v>
      </c>
      <c r="D356" s="10" t="n">
        <v>0.0192</v>
      </c>
    </row>
    <row r="357">
      <c r="A357" s="8" t="n">
        <v>47088</v>
      </c>
      <c r="B357">
        <f>Inputs!$A$41</f>
        <v/>
      </c>
      <c r="C357" s="9" t="n">
        <v>167477000</v>
      </c>
      <c r="D357" s="10" t="n">
        <v>0.02</v>
      </c>
    </row>
    <row r="358">
      <c r="A358" s="8" t="n">
        <v>47088</v>
      </c>
      <c r="B358">
        <f>Inputs!$A$42</f>
        <v/>
      </c>
      <c r="C358" s="9" t="n">
        <v>115720000</v>
      </c>
      <c r="D358" s="10" t="n">
        <v>0.0213</v>
      </c>
    </row>
    <row r="359">
      <c r="A359" s="8" t="n">
        <v>47088</v>
      </c>
      <c r="B359">
        <f>Inputs!$A$43</f>
        <v/>
      </c>
      <c r="C359" s="9" t="n">
        <v>150038000</v>
      </c>
      <c r="D359" s="10" t="n">
        <v>0.0231</v>
      </c>
    </row>
    <row r="360">
      <c r="A360" s="8" t="n">
        <v>47088</v>
      </c>
      <c r="B360">
        <f>Inputs!$A$44</f>
        <v/>
      </c>
      <c r="C360" s="9" t="n"/>
      <c r="D360" s="10" t="n">
        <v>0.0043</v>
      </c>
    </row>
    <row r="361">
      <c r="A361" s="8" t="n">
        <v>47088</v>
      </c>
      <c r="B361">
        <f>Inputs!$A$45</f>
        <v/>
      </c>
      <c r="C361" s="9" t="n"/>
      <c r="D361" s="10" t="n">
        <v>0.0045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AS55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2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2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2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2" customWidth="1" min="46" max="46"/>
  </cols>
  <sheetData>
    <row r="1">
      <c r="A1" s="2" t="inlineStr">
        <is>
          <t>Cases forecast</t>
        </is>
      </c>
    </row>
    <row r="2">
      <c r="A2" s="6" t="inlineStr">
        <is>
          <t>1. Run rate: volume driver sales x cases per $ of sales in the same month last year. Actual months show actuals.</t>
        </is>
      </c>
    </row>
    <row r="3">
      <c r="A3" s="6" t="inlineStr">
        <is>
          <t>2. Adjustments: type extra cases (or negative) for a site and month, e.g. a new store or volume moving between sites.</t>
        </is>
      </c>
    </row>
    <row r="4">
      <c r="A4" s="6" t="inlineStr">
        <is>
          <t>3. Override: type the cases you want for a site and month. It replaces 1 + 2. Leave blank to use the model.</t>
        </is>
      </c>
    </row>
    <row r="5">
      <c r="A5" s="6" t="inlineStr">
        <is>
          <t>4. Cases used = override if there is one, otherwise run rate + adjustment. This feeds Cases picked on each site tab.</t>
        </is>
      </c>
    </row>
    <row r="6">
      <c r="C6" s="5" t="inlineStr">
        <is>
          <t>1. Run-rate forecast</t>
        </is>
      </c>
      <c r="N6" s="5" t="inlineStr">
        <is>
          <t>2. Adjustments (+/- cases)</t>
        </is>
      </c>
      <c r="Y6" s="5" t="inlineStr">
        <is>
          <t>3. Override (replaces 1 + 2)</t>
        </is>
      </c>
      <c r="AJ6" s="5" t="inlineStr">
        <is>
          <t>4. Cases forecast used</t>
        </is>
      </c>
    </row>
    <row r="7">
      <c r="A7" s="5" t="inlineStr">
        <is>
          <t>Month</t>
        </is>
      </c>
      <c r="B7" s="5" t="inlineStr">
        <is>
          <t>Status</t>
        </is>
      </c>
      <c r="C7" s="5">
        <f>Inputs!$A$36</f>
        <v/>
      </c>
      <c r="D7" s="5">
        <f>Inputs!$A$37</f>
        <v/>
      </c>
      <c r="E7" s="5">
        <f>Inputs!$A$38</f>
        <v/>
      </c>
      <c r="F7" s="5">
        <f>Inputs!$A$39</f>
        <v/>
      </c>
      <c r="G7" s="5">
        <f>Inputs!$A$40</f>
        <v/>
      </c>
      <c r="H7" s="5">
        <f>Inputs!$A$41</f>
        <v/>
      </c>
      <c r="I7" s="5">
        <f>Inputs!$A$42</f>
        <v/>
      </c>
      <c r="J7" s="5">
        <f>Inputs!$A$43</f>
        <v/>
      </c>
      <c r="K7" s="5">
        <f>Inputs!$A$44</f>
        <v/>
      </c>
      <c r="L7" s="5">
        <f>Inputs!$A$45</f>
        <v/>
      </c>
      <c r="N7" s="5">
        <f>Inputs!$A$36</f>
        <v/>
      </c>
      <c r="O7" s="5">
        <f>Inputs!$A$37</f>
        <v/>
      </c>
      <c r="P7" s="5">
        <f>Inputs!$A$38</f>
        <v/>
      </c>
      <c r="Q7" s="5">
        <f>Inputs!$A$39</f>
        <v/>
      </c>
      <c r="R7" s="5">
        <f>Inputs!$A$40</f>
        <v/>
      </c>
      <c r="S7" s="5">
        <f>Inputs!$A$41</f>
        <v/>
      </c>
      <c r="T7" s="5">
        <f>Inputs!$A$42</f>
        <v/>
      </c>
      <c r="U7" s="5">
        <f>Inputs!$A$43</f>
        <v/>
      </c>
      <c r="V7" s="5">
        <f>Inputs!$A$44</f>
        <v/>
      </c>
      <c r="W7" s="5">
        <f>Inputs!$A$45</f>
        <v/>
      </c>
      <c r="Y7" s="5">
        <f>Inputs!$A$36</f>
        <v/>
      </c>
      <c r="Z7" s="5">
        <f>Inputs!$A$37</f>
        <v/>
      </c>
      <c r="AA7" s="5">
        <f>Inputs!$A$38</f>
        <v/>
      </c>
      <c r="AB7" s="5">
        <f>Inputs!$A$39</f>
        <v/>
      </c>
      <c r="AC7" s="5">
        <f>Inputs!$A$40</f>
        <v/>
      </c>
      <c r="AD7" s="5">
        <f>Inputs!$A$41</f>
        <v/>
      </c>
      <c r="AE7" s="5">
        <f>Inputs!$A$42</f>
        <v/>
      </c>
      <c r="AF7" s="5">
        <f>Inputs!$A$43</f>
        <v/>
      </c>
      <c r="AG7" s="5">
        <f>Inputs!$A$44</f>
        <v/>
      </c>
      <c r="AH7" s="5">
        <f>Inputs!$A$45</f>
        <v/>
      </c>
      <c r="AJ7" s="5">
        <f>Inputs!$A$36</f>
        <v/>
      </c>
      <c r="AK7" s="5">
        <f>Inputs!$A$37</f>
        <v/>
      </c>
      <c r="AL7" s="5">
        <f>Inputs!$A$38</f>
        <v/>
      </c>
      <c r="AM7" s="5">
        <f>Inputs!$A$39</f>
        <v/>
      </c>
      <c r="AN7" s="5">
        <f>Inputs!$A$40</f>
        <v/>
      </c>
      <c r="AO7" s="5">
        <f>Inputs!$A$41</f>
        <v/>
      </c>
      <c r="AP7" s="5">
        <f>Inputs!$A$42</f>
        <v/>
      </c>
      <c r="AQ7" s="5">
        <f>Inputs!$A$43</f>
        <v/>
      </c>
      <c r="AR7" s="5">
        <f>Inputs!$A$44</f>
        <v/>
      </c>
      <c r="AS7" s="5">
        <f>Inputs!$A$45</f>
        <v/>
      </c>
    </row>
    <row r="8">
      <c r="A8" s="8" t="n">
        <v>45658</v>
      </c>
      <c r="B8">
        <f>IF(A8&lt;=LastActual,"Actual","Forecast")</f>
        <v/>
      </c>
      <c r="C8" s="9">
        <f>IF($B8="Actual",'NSW-1'!S15,IFERROR('NSW-1'!Y15*'NSW-1'!AB15,0))</f>
        <v/>
      </c>
      <c r="D8" s="9">
        <f>IF($B8="Actual",'VIC-1'!S15,IFERROR('VIC-1'!Y15*'VIC-1'!AB15,0))</f>
        <v/>
      </c>
      <c r="E8" s="9">
        <f>IF($B8="Actual",'QLD-1'!S15,IFERROR('QLD-1'!Y15*'QLD-1'!AB15,0))</f>
        <v/>
      </c>
      <c r="F8" s="9">
        <f>IF($B8="Actual",'NSW-2'!S15,IFERROR('NSW-2'!Y15*'NSW-2'!AB15,0))</f>
        <v/>
      </c>
      <c r="G8" s="9">
        <f>IF($B8="Actual",'VIC-2'!S15,IFERROR('VIC-2'!Y15*'VIC-2'!AB15,0))</f>
        <v/>
      </c>
      <c r="H8" s="9">
        <f>IF($B8="Actual",'QLD-2'!S15,IFERROR('QLD-2'!Y15*'QLD-2'!AB15,0))</f>
        <v/>
      </c>
      <c r="I8" s="9">
        <f>IF($B8="Actual",'SA-1'!S15,IFERROR('SA-1'!Y15*'SA-1'!AB15,0))</f>
        <v/>
      </c>
      <c r="J8" s="9">
        <f>IF($B8="Actual",'WA-1'!S15,IFERROR('WA-1'!Y15*'WA-1'!AB15,0))</f>
        <v/>
      </c>
      <c r="K8" s="9">
        <f>IF($B8="Actual",'IDC-NSW'!S15,IFERROR('IDC-NSW'!Y15*'IDC-NSW'!AB15,0))</f>
        <v/>
      </c>
      <c r="L8" s="9">
        <f>IF($B8="Actual",'IDC-VIC'!S15,IFERROR('IDC-VIC'!Y15*'IDC-VIC'!AB15,0))</f>
        <v/>
      </c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J8" s="12">
        <f>IF($B8="Actual",C8,IF(Y8&lt;&gt;"",Y8,C8+N(N8)))</f>
        <v/>
      </c>
      <c r="AK8" s="12">
        <f>IF($B8="Actual",D8,IF(Z8&lt;&gt;"",Z8,D8+N(O8)))</f>
        <v/>
      </c>
      <c r="AL8" s="12">
        <f>IF($B8="Actual",E8,IF(AA8&lt;&gt;"",AA8,E8+N(P8)))</f>
        <v/>
      </c>
      <c r="AM8" s="12">
        <f>IF($B8="Actual",F8,IF(AB8&lt;&gt;"",AB8,F8+N(Q8)))</f>
        <v/>
      </c>
      <c r="AN8" s="12">
        <f>IF($B8="Actual",G8,IF(AC8&lt;&gt;"",AC8,G8+N(R8)))</f>
        <v/>
      </c>
      <c r="AO8" s="12">
        <f>IF($B8="Actual",H8,IF(AD8&lt;&gt;"",AD8,H8+N(S8)))</f>
        <v/>
      </c>
      <c r="AP8" s="12">
        <f>IF($B8="Actual",I8,IF(AE8&lt;&gt;"",AE8,I8+N(T8)))</f>
        <v/>
      </c>
      <c r="AQ8" s="12">
        <f>IF($B8="Actual",J8,IF(AF8&lt;&gt;"",AF8,J8+N(U8)))</f>
        <v/>
      </c>
      <c r="AR8" s="12">
        <f>IF($B8="Actual",K8,IF(AG8&lt;&gt;"",AG8,K8+N(V8)))</f>
        <v/>
      </c>
      <c r="AS8" s="12">
        <f>IF($B8="Actual",L8,IF(AH8&lt;&gt;"",AH8,L8+N(W8)))</f>
        <v/>
      </c>
    </row>
    <row r="9">
      <c r="A9" s="8" t="n">
        <v>45689</v>
      </c>
      <c r="B9">
        <f>IF(A9&lt;=LastActual,"Actual","Forecast")</f>
        <v/>
      </c>
      <c r="C9" s="9">
        <f>IF($B9="Actual",'NSW-1'!S16,IFERROR('NSW-1'!Y16*'NSW-1'!AB16,0))</f>
        <v/>
      </c>
      <c r="D9" s="9">
        <f>IF($B9="Actual",'VIC-1'!S16,IFERROR('VIC-1'!Y16*'VIC-1'!AB16,0))</f>
        <v/>
      </c>
      <c r="E9" s="9">
        <f>IF($B9="Actual",'QLD-1'!S16,IFERROR('QLD-1'!Y16*'QLD-1'!AB16,0))</f>
        <v/>
      </c>
      <c r="F9" s="9">
        <f>IF($B9="Actual",'NSW-2'!S16,IFERROR('NSW-2'!Y16*'NSW-2'!AB16,0))</f>
        <v/>
      </c>
      <c r="G9" s="9">
        <f>IF($B9="Actual",'VIC-2'!S16,IFERROR('VIC-2'!Y16*'VIC-2'!AB16,0))</f>
        <v/>
      </c>
      <c r="H9" s="9">
        <f>IF($B9="Actual",'QLD-2'!S16,IFERROR('QLD-2'!Y16*'QLD-2'!AB16,0))</f>
        <v/>
      </c>
      <c r="I9" s="9">
        <f>IF($B9="Actual",'SA-1'!S16,IFERROR('SA-1'!Y16*'SA-1'!AB16,0))</f>
        <v/>
      </c>
      <c r="J9" s="9">
        <f>IF($B9="Actual",'WA-1'!S16,IFERROR('WA-1'!Y16*'WA-1'!AB16,0))</f>
        <v/>
      </c>
      <c r="K9" s="9">
        <f>IF($B9="Actual",'IDC-NSW'!S16,IFERROR('IDC-NSW'!Y16*'IDC-NSW'!AB16,0))</f>
        <v/>
      </c>
      <c r="L9" s="9">
        <f>IF($B9="Actual",'IDC-VIC'!S16,IFERROR('IDC-VIC'!Y16*'IDC-VIC'!AB16,0))</f>
        <v/>
      </c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J9" s="12">
        <f>IF($B9="Actual",C9,IF(Y9&lt;&gt;"",Y9,C9+N(N9)))</f>
        <v/>
      </c>
      <c r="AK9" s="12">
        <f>IF($B9="Actual",D9,IF(Z9&lt;&gt;"",Z9,D9+N(O9)))</f>
        <v/>
      </c>
      <c r="AL9" s="12">
        <f>IF($B9="Actual",E9,IF(AA9&lt;&gt;"",AA9,E9+N(P9)))</f>
        <v/>
      </c>
      <c r="AM9" s="12">
        <f>IF($B9="Actual",F9,IF(AB9&lt;&gt;"",AB9,F9+N(Q9)))</f>
        <v/>
      </c>
      <c r="AN9" s="12">
        <f>IF($B9="Actual",G9,IF(AC9&lt;&gt;"",AC9,G9+N(R9)))</f>
        <v/>
      </c>
      <c r="AO9" s="12">
        <f>IF($B9="Actual",H9,IF(AD9&lt;&gt;"",AD9,H9+N(S9)))</f>
        <v/>
      </c>
      <c r="AP9" s="12">
        <f>IF($B9="Actual",I9,IF(AE9&lt;&gt;"",AE9,I9+N(T9)))</f>
        <v/>
      </c>
      <c r="AQ9" s="12">
        <f>IF($B9="Actual",J9,IF(AF9&lt;&gt;"",AF9,J9+N(U9)))</f>
        <v/>
      </c>
      <c r="AR9" s="12">
        <f>IF($B9="Actual",K9,IF(AG9&lt;&gt;"",AG9,K9+N(V9)))</f>
        <v/>
      </c>
      <c r="AS9" s="12">
        <f>IF($B9="Actual",L9,IF(AH9&lt;&gt;"",AH9,L9+N(W9)))</f>
        <v/>
      </c>
    </row>
    <row r="10">
      <c r="A10" s="8" t="n">
        <v>45717</v>
      </c>
      <c r="B10">
        <f>IF(A10&lt;=LastActual,"Actual","Forecast")</f>
        <v/>
      </c>
      <c r="C10" s="9">
        <f>IF($B10="Actual",'NSW-1'!S17,IFERROR('NSW-1'!Y17*'NSW-1'!AB17,0))</f>
        <v/>
      </c>
      <c r="D10" s="9">
        <f>IF($B10="Actual",'VIC-1'!S17,IFERROR('VIC-1'!Y17*'VIC-1'!AB17,0))</f>
        <v/>
      </c>
      <c r="E10" s="9">
        <f>IF($B10="Actual",'QLD-1'!S17,IFERROR('QLD-1'!Y17*'QLD-1'!AB17,0))</f>
        <v/>
      </c>
      <c r="F10" s="9">
        <f>IF($B10="Actual",'NSW-2'!S17,IFERROR('NSW-2'!Y17*'NSW-2'!AB17,0))</f>
        <v/>
      </c>
      <c r="G10" s="9">
        <f>IF($B10="Actual",'VIC-2'!S17,IFERROR('VIC-2'!Y17*'VIC-2'!AB17,0))</f>
        <v/>
      </c>
      <c r="H10" s="9">
        <f>IF($B10="Actual",'QLD-2'!S17,IFERROR('QLD-2'!Y17*'QLD-2'!AB17,0))</f>
        <v/>
      </c>
      <c r="I10" s="9">
        <f>IF($B10="Actual",'SA-1'!S17,IFERROR('SA-1'!Y17*'SA-1'!AB17,0))</f>
        <v/>
      </c>
      <c r="J10" s="9">
        <f>IF($B10="Actual",'WA-1'!S17,IFERROR('WA-1'!Y17*'WA-1'!AB17,0))</f>
        <v/>
      </c>
      <c r="K10" s="9">
        <f>IF($B10="Actual",'IDC-NSW'!S17,IFERROR('IDC-NSW'!Y17*'IDC-NSW'!AB17,0))</f>
        <v/>
      </c>
      <c r="L10" s="9">
        <f>IF($B10="Actual",'IDC-VIC'!S17,IFERROR('IDC-VIC'!Y17*'IDC-VIC'!AB17,0))</f>
        <v/>
      </c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J10" s="12">
        <f>IF($B10="Actual",C10,IF(Y10&lt;&gt;"",Y10,C10+N(N10)))</f>
        <v/>
      </c>
      <c r="AK10" s="12">
        <f>IF($B10="Actual",D10,IF(Z10&lt;&gt;"",Z10,D10+N(O10)))</f>
        <v/>
      </c>
      <c r="AL10" s="12">
        <f>IF($B10="Actual",E10,IF(AA10&lt;&gt;"",AA10,E10+N(P10)))</f>
        <v/>
      </c>
      <c r="AM10" s="12">
        <f>IF($B10="Actual",F10,IF(AB10&lt;&gt;"",AB10,F10+N(Q10)))</f>
        <v/>
      </c>
      <c r="AN10" s="12">
        <f>IF($B10="Actual",G10,IF(AC10&lt;&gt;"",AC10,G10+N(R10)))</f>
        <v/>
      </c>
      <c r="AO10" s="12">
        <f>IF($B10="Actual",H10,IF(AD10&lt;&gt;"",AD10,H10+N(S10)))</f>
        <v/>
      </c>
      <c r="AP10" s="12">
        <f>IF($B10="Actual",I10,IF(AE10&lt;&gt;"",AE10,I10+N(T10)))</f>
        <v/>
      </c>
      <c r="AQ10" s="12">
        <f>IF($B10="Actual",J10,IF(AF10&lt;&gt;"",AF10,J10+N(U10)))</f>
        <v/>
      </c>
      <c r="AR10" s="12">
        <f>IF($B10="Actual",K10,IF(AG10&lt;&gt;"",AG10,K10+N(V10)))</f>
        <v/>
      </c>
      <c r="AS10" s="12">
        <f>IF($B10="Actual",L10,IF(AH10&lt;&gt;"",AH10,L10+N(W10)))</f>
        <v/>
      </c>
    </row>
    <row r="11">
      <c r="A11" s="8" t="n">
        <v>45748</v>
      </c>
      <c r="B11">
        <f>IF(A11&lt;=LastActual,"Actual","Forecast")</f>
        <v/>
      </c>
      <c r="C11" s="9">
        <f>IF($B11="Actual",'NSW-1'!S18,IFERROR('NSW-1'!Y18*'NSW-1'!AB18,0))</f>
        <v/>
      </c>
      <c r="D11" s="9">
        <f>IF($B11="Actual",'VIC-1'!S18,IFERROR('VIC-1'!Y18*'VIC-1'!AB18,0))</f>
        <v/>
      </c>
      <c r="E11" s="9">
        <f>IF($B11="Actual",'QLD-1'!S18,IFERROR('QLD-1'!Y18*'QLD-1'!AB18,0))</f>
        <v/>
      </c>
      <c r="F11" s="9">
        <f>IF($B11="Actual",'NSW-2'!S18,IFERROR('NSW-2'!Y18*'NSW-2'!AB18,0))</f>
        <v/>
      </c>
      <c r="G11" s="9">
        <f>IF($B11="Actual",'VIC-2'!S18,IFERROR('VIC-2'!Y18*'VIC-2'!AB18,0))</f>
        <v/>
      </c>
      <c r="H11" s="9">
        <f>IF($B11="Actual",'QLD-2'!S18,IFERROR('QLD-2'!Y18*'QLD-2'!AB18,0))</f>
        <v/>
      </c>
      <c r="I11" s="9">
        <f>IF($B11="Actual",'SA-1'!S18,IFERROR('SA-1'!Y18*'SA-1'!AB18,0))</f>
        <v/>
      </c>
      <c r="J11" s="9">
        <f>IF($B11="Actual",'WA-1'!S18,IFERROR('WA-1'!Y18*'WA-1'!AB18,0))</f>
        <v/>
      </c>
      <c r="K11" s="9">
        <f>IF($B11="Actual",'IDC-NSW'!S18,IFERROR('IDC-NSW'!Y18*'IDC-NSW'!AB18,0))</f>
        <v/>
      </c>
      <c r="L11" s="9">
        <f>IF($B11="Actual",'IDC-VIC'!S18,IFERROR('IDC-VIC'!Y18*'IDC-VIC'!AB18,0))</f>
        <v/>
      </c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1" t="n"/>
      <c r="AH11" s="11" t="n"/>
      <c r="AJ11" s="12">
        <f>IF($B11="Actual",C11,IF(Y11&lt;&gt;"",Y11,C11+N(N11)))</f>
        <v/>
      </c>
      <c r="AK11" s="12">
        <f>IF($B11="Actual",D11,IF(Z11&lt;&gt;"",Z11,D11+N(O11)))</f>
        <v/>
      </c>
      <c r="AL11" s="12">
        <f>IF($B11="Actual",E11,IF(AA11&lt;&gt;"",AA11,E11+N(P11)))</f>
        <v/>
      </c>
      <c r="AM11" s="12">
        <f>IF($B11="Actual",F11,IF(AB11&lt;&gt;"",AB11,F11+N(Q11)))</f>
        <v/>
      </c>
      <c r="AN11" s="12">
        <f>IF($B11="Actual",G11,IF(AC11&lt;&gt;"",AC11,G11+N(R11)))</f>
        <v/>
      </c>
      <c r="AO11" s="12">
        <f>IF($B11="Actual",H11,IF(AD11&lt;&gt;"",AD11,H11+N(S11)))</f>
        <v/>
      </c>
      <c r="AP11" s="12">
        <f>IF($B11="Actual",I11,IF(AE11&lt;&gt;"",AE11,I11+N(T11)))</f>
        <v/>
      </c>
      <c r="AQ11" s="12">
        <f>IF($B11="Actual",J11,IF(AF11&lt;&gt;"",AF11,J11+N(U11)))</f>
        <v/>
      </c>
      <c r="AR11" s="12">
        <f>IF($B11="Actual",K11,IF(AG11&lt;&gt;"",AG11,K11+N(V11)))</f>
        <v/>
      </c>
      <c r="AS11" s="12">
        <f>IF($B11="Actual",L11,IF(AH11&lt;&gt;"",AH11,L11+N(W11)))</f>
        <v/>
      </c>
    </row>
    <row r="12">
      <c r="A12" s="8" t="n">
        <v>45778</v>
      </c>
      <c r="B12">
        <f>IF(A12&lt;=LastActual,"Actual","Forecast")</f>
        <v/>
      </c>
      <c r="C12" s="9">
        <f>IF($B12="Actual",'NSW-1'!S19,IFERROR('NSW-1'!Y19*'NSW-1'!AB19,0))</f>
        <v/>
      </c>
      <c r="D12" s="9">
        <f>IF($B12="Actual",'VIC-1'!S19,IFERROR('VIC-1'!Y19*'VIC-1'!AB19,0))</f>
        <v/>
      </c>
      <c r="E12" s="9">
        <f>IF($B12="Actual",'QLD-1'!S19,IFERROR('QLD-1'!Y19*'QLD-1'!AB19,0))</f>
        <v/>
      </c>
      <c r="F12" s="9">
        <f>IF($B12="Actual",'NSW-2'!S19,IFERROR('NSW-2'!Y19*'NSW-2'!AB19,0))</f>
        <v/>
      </c>
      <c r="G12" s="9">
        <f>IF($B12="Actual",'VIC-2'!S19,IFERROR('VIC-2'!Y19*'VIC-2'!AB19,0))</f>
        <v/>
      </c>
      <c r="H12" s="9">
        <f>IF($B12="Actual",'QLD-2'!S19,IFERROR('QLD-2'!Y19*'QLD-2'!AB19,0))</f>
        <v/>
      </c>
      <c r="I12" s="9">
        <f>IF($B12="Actual",'SA-1'!S19,IFERROR('SA-1'!Y19*'SA-1'!AB19,0))</f>
        <v/>
      </c>
      <c r="J12" s="9">
        <f>IF($B12="Actual",'WA-1'!S19,IFERROR('WA-1'!Y19*'WA-1'!AB19,0))</f>
        <v/>
      </c>
      <c r="K12" s="9">
        <f>IF($B12="Actual",'IDC-NSW'!S19,IFERROR('IDC-NSW'!Y19*'IDC-NSW'!AB19,0))</f>
        <v/>
      </c>
      <c r="L12" s="9">
        <f>IF($B12="Actual",'IDC-VIC'!S19,IFERROR('IDC-VIC'!Y19*'IDC-VIC'!AB19,0))</f>
        <v/>
      </c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J12" s="12">
        <f>IF($B12="Actual",C12,IF(Y12&lt;&gt;"",Y12,C12+N(N12)))</f>
        <v/>
      </c>
      <c r="AK12" s="12">
        <f>IF($B12="Actual",D12,IF(Z12&lt;&gt;"",Z12,D12+N(O12)))</f>
        <v/>
      </c>
      <c r="AL12" s="12">
        <f>IF($B12="Actual",E12,IF(AA12&lt;&gt;"",AA12,E12+N(P12)))</f>
        <v/>
      </c>
      <c r="AM12" s="12">
        <f>IF($B12="Actual",F12,IF(AB12&lt;&gt;"",AB12,F12+N(Q12)))</f>
        <v/>
      </c>
      <c r="AN12" s="12">
        <f>IF($B12="Actual",G12,IF(AC12&lt;&gt;"",AC12,G12+N(R12)))</f>
        <v/>
      </c>
      <c r="AO12" s="12">
        <f>IF($B12="Actual",H12,IF(AD12&lt;&gt;"",AD12,H12+N(S12)))</f>
        <v/>
      </c>
      <c r="AP12" s="12">
        <f>IF($B12="Actual",I12,IF(AE12&lt;&gt;"",AE12,I12+N(T12)))</f>
        <v/>
      </c>
      <c r="AQ12" s="12">
        <f>IF($B12="Actual",J12,IF(AF12&lt;&gt;"",AF12,J12+N(U12)))</f>
        <v/>
      </c>
      <c r="AR12" s="12">
        <f>IF($B12="Actual",K12,IF(AG12&lt;&gt;"",AG12,K12+N(V12)))</f>
        <v/>
      </c>
      <c r="AS12" s="12">
        <f>IF($B12="Actual",L12,IF(AH12&lt;&gt;"",AH12,L12+N(W12)))</f>
        <v/>
      </c>
    </row>
    <row r="13">
      <c r="A13" s="8" t="n">
        <v>45809</v>
      </c>
      <c r="B13">
        <f>IF(A13&lt;=LastActual,"Actual","Forecast")</f>
        <v/>
      </c>
      <c r="C13" s="9">
        <f>IF($B13="Actual",'NSW-1'!S20,IFERROR('NSW-1'!Y20*'NSW-1'!AB20,0))</f>
        <v/>
      </c>
      <c r="D13" s="9">
        <f>IF($B13="Actual",'VIC-1'!S20,IFERROR('VIC-1'!Y20*'VIC-1'!AB20,0))</f>
        <v/>
      </c>
      <c r="E13" s="9">
        <f>IF($B13="Actual",'QLD-1'!S20,IFERROR('QLD-1'!Y20*'QLD-1'!AB20,0))</f>
        <v/>
      </c>
      <c r="F13" s="9">
        <f>IF($B13="Actual",'NSW-2'!S20,IFERROR('NSW-2'!Y20*'NSW-2'!AB20,0))</f>
        <v/>
      </c>
      <c r="G13" s="9">
        <f>IF($B13="Actual",'VIC-2'!S20,IFERROR('VIC-2'!Y20*'VIC-2'!AB20,0))</f>
        <v/>
      </c>
      <c r="H13" s="9">
        <f>IF($B13="Actual",'QLD-2'!S20,IFERROR('QLD-2'!Y20*'QLD-2'!AB20,0))</f>
        <v/>
      </c>
      <c r="I13" s="9">
        <f>IF($B13="Actual",'SA-1'!S20,IFERROR('SA-1'!Y20*'SA-1'!AB20,0))</f>
        <v/>
      </c>
      <c r="J13" s="9">
        <f>IF($B13="Actual",'WA-1'!S20,IFERROR('WA-1'!Y20*'WA-1'!AB20,0))</f>
        <v/>
      </c>
      <c r="K13" s="9">
        <f>IF($B13="Actual",'IDC-NSW'!S20,IFERROR('IDC-NSW'!Y20*'IDC-NSW'!AB20,0))</f>
        <v/>
      </c>
      <c r="L13" s="9">
        <f>IF($B13="Actual",'IDC-VIC'!S20,IFERROR('IDC-VIC'!Y20*'IDC-VIC'!AB20,0))</f>
        <v/>
      </c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J13" s="12">
        <f>IF($B13="Actual",C13,IF(Y13&lt;&gt;"",Y13,C13+N(N13)))</f>
        <v/>
      </c>
      <c r="AK13" s="12">
        <f>IF($B13="Actual",D13,IF(Z13&lt;&gt;"",Z13,D13+N(O13)))</f>
        <v/>
      </c>
      <c r="AL13" s="12">
        <f>IF($B13="Actual",E13,IF(AA13&lt;&gt;"",AA13,E13+N(P13)))</f>
        <v/>
      </c>
      <c r="AM13" s="12">
        <f>IF($B13="Actual",F13,IF(AB13&lt;&gt;"",AB13,F13+N(Q13)))</f>
        <v/>
      </c>
      <c r="AN13" s="12">
        <f>IF($B13="Actual",G13,IF(AC13&lt;&gt;"",AC13,G13+N(R13)))</f>
        <v/>
      </c>
      <c r="AO13" s="12">
        <f>IF($B13="Actual",H13,IF(AD13&lt;&gt;"",AD13,H13+N(S13)))</f>
        <v/>
      </c>
      <c r="AP13" s="12">
        <f>IF($B13="Actual",I13,IF(AE13&lt;&gt;"",AE13,I13+N(T13)))</f>
        <v/>
      </c>
      <c r="AQ13" s="12">
        <f>IF($B13="Actual",J13,IF(AF13&lt;&gt;"",AF13,J13+N(U13)))</f>
        <v/>
      </c>
      <c r="AR13" s="12">
        <f>IF($B13="Actual",K13,IF(AG13&lt;&gt;"",AG13,K13+N(V13)))</f>
        <v/>
      </c>
      <c r="AS13" s="12">
        <f>IF($B13="Actual",L13,IF(AH13&lt;&gt;"",AH13,L13+N(W13)))</f>
        <v/>
      </c>
    </row>
    <row r="14">
      <c r="A14" s="8" t="n">
        <v>45839</v>
      </c>
      <c r="B14">
        <f>IF(A14&lt;=LastActual,"Actual","Forecast")</f>
        <v/>
      </c>
      <c r="C14" s="9">
        <f>IF($B14="Actual",'NSW-1'!S21,IFERROR('NSW-1'!Y21*'NSW-1'!AB21,0))</f>
        <v/>
      </c>
      <c r="D14" s="9">
        <f>IF($B14="Actual",'VIC-1'!S21,IFERROR('VIC-1'!Y21*'VIC-1'!AB21,0))</f>
        <v/>
      </c>
      <c r="E14" s="9">
        <f>IF($B14="Actual",'QLD-1'!S21,IFERROR('QLD-1'!Y21*'QLD-1'!AB21,0))</f>
        <v/>
      </c>
      <c r="F14" s="9">
        <f>IF($B14="Actual",'NSW-2'!S21,IFERROR('NSW-2'!Y21*'NSW-2'!AB21,0))</f>
        <v/>
      </c>
      <c r="G14" s="9">
        <f>IF($B14="Actual",'VIC-2'!S21,IFERROR('VIC-2'!Y21*'VIC-2'!AB21,0))</f>
        <v/>
      </c>
      <c r="H14" s="9">
        <f>IF($B14="Actual",'QLD-2'!S21,IFERROR('QLD-2'!Y21*'QLD-2'!AB21,0))</f>
        <v/>
      </c>
      <c r="I14" s="9">
        <f>IF($B14="Actual",'SA-1'!S21,IFERROR('SA-1'!Y21*'SA-1'!AB21,0))</f>
        <v/>
      </c>
      <c r="J14" s="9">
        <f>IF($B14="Actual",'WA-1'!S21,IFERROR('WA-1'!Y21*'WA-1'!AB21,0))</f>
        <v/>
      </c>
      <c r="K14" s="9">
        <f>IF($B14="Actual",'IDC-NSW'!S21,IFERROR('IDC-NSW'!Y21*'IDC-NSW'!AB21,0))</f>
        <v/>
      </c>
      <c r="L14" s="9">
        <f>IF($B14="Actual",'IDC-VIC'!S21,IFERROR('IDC-VIC'!Y21*'IDC-VIC'!AB21,0))</f>
        <v/>
      </c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J14" s="12">
        <f>IF($B14="Actual",C14,IF(Y14&lt;&gt;"",Y14,C14+N(N14)))</f>
        <v/>
      </c>
      <c r="AK14" s="12">
        <f>IF($B14="Actual",D14,IF(Z14&lt;&gt;"",Z14,D14+N(O14)))</f>
        <v/>
      </c>
      <c r="AL14" s="12">
        <f>IF($B14="Actual",E14,IF(AA14&lt;&gt;"",AA14,E14+N(P14)))</f>
        <v/>
      </c>
      <c r="AM14" s="12">
        <f>IF($B14="Actual",F14,IF(AB14&lt;&gt;"",AB14,F14+N(Q14)))</f>
        <v/>
      </c>
      <c r="AN14" s="12">
        <f>IF($B14="Actual",G14,IF(AC14&lt;&gt;"",AC14,G14+N(R14)))</f>
        <v/>
      </c>
      <c r="AO14" s="12">
        <f>IF($B14="Actual",H14,IF(AD14&lt;&gt;"",AD14,H14+N(S14)))</f>
        <v/>
      </c>
      <c r="AP14" s="12">
        <f>IF($B14="Actual",I14,IF(AE14&lt;&gt;"",AE14,I14+N(T14)))</f>
        <v/>
      </c>
      <c r="AQ14" s="12">
        <f>IF($B14="Actual",J14,IF(AF14&lt;&gt;"",AF14,J14+N(U14)))</f>
        <v/>
      </c>
      <c r="AR14" s="12">
        <f>IF($B14="Actual",K14,IF(AG14&lt;&gt;"",AG14,K14+N(V14)))</f>
        <v/>
      </c>
      <c r="AS14" s="12">
        <f>IF($B14="Actual",L14,IF(AH14&lt;&gt;"",AH14,L14+N(W14)))</f>
        <v/>
      </c>
    </row>
    <row r="15">
      <c r="A15" s="8" t="n">
        <v>45870</v>
      </c>
      <c r="B15">
        <f>IF(A15&lt;=LastActual,"Actual","Forecast")</f>
        <v/>
      </c>
      <c r="C15" s="9">
        <f>IF($B15="Actual",'NSW-1'!S22,IFERROR('NSW-1'!Y22*'NSW-1'!AB22,0))</f>
        <v/>
      </c>
      <c r="D15" s="9">
        <f>IF($B15="Actual",'VIC-1'!S22,IFERROR('VIC-1'!Y22*'VIC-1'!AB22,0))</f>
        <v/>
      </c>
      <c r="E15" s="9">
        <f>IF($B15="Actual",'QLD-1'!S22,IFERROR('QLD-1'!Y22*'QLD-1'!AB22,0))</f>
        <v/>
      </c>
      <c r="F15" s="9">
        <f>IF($B15="Actual",'NSW-2'!S22,IFERROR('NSW-2'!Y22*'NSW-2'!AB22,0))</f>
        <v/>
      </c>
      <c r="G15" s="9">
        <f>IF($B15="Actual",'VIC-2'!S22,IFERROR('VIC-2'!Y22*'VIC-2'!AB22,0))</f>
        <v/>
      </c>
      <c r="H15" s="9">
        <f>IF($B15="Actual",'QLD-2'!S22,IFERROR('QLD-2'!Y22*'QLD-2'!AB22,0))</f>
        <v/>
      </c>
      <c r="I15" s="9">
        <f>IF($B15="Actual",'SA-1'!S22,IFERROR('SA-1'!Y22*'SA-1'!AB22,0))</f>
        <v/>
      </c>
      <c r="J15" s="9">
        <f>IF($B15="Actual",'WA-1'!S22,IFERROR('WA-1'!Y22*'WA-1'!AB22,0))</f>
        <v/>
      </c>
      <c r="K15" s="9">
        <f>IF($B15="Actual",'IDC-NSW'!S22,IFERROR('IDC-NSW'!Y22*'IDC-NSW'!AB22,0))</f>
        <v/>
      </c>
      <c r="L15" s="9">
        <f>IF($B15="Actual",'IDC-VIC'!S22,IFERROR('IDC-VIC'!Y22*'IDC-VIC'!AB22,0))</f>
        <v/>
      </c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Y15" s="11" t="n"/>
      <c r="Z15" s="11" t="n"/>
      <c r="AA15" s="11" t="n"/>
      <c r="AB15" s="11" t="n"/>
      <c r="AC15" s="11" t="n"/>
      <c r="AD15" s="11" t="n"/>
      <c r="AE15" s="11" t="n"/>
      <c r="AF15" s="11" t="n"/>
      <c r="AG15" s="11" t="n"/>
      <c r="AH15" s="11" t="n"/>
      <c r="AJ15" s="12">
        <f>IF($B15="Actual",C15,IF(Y15&lt;&gt;"",Y15,C15+N(N15)))</f>
        <v/>
      </c>
      <c r="AK15" s="12">
        <f>IF($B15="Actual",D15,IF(Z15&lt;&gt;"",Z15,D15+N(O15)))</f>
        <v/>
      </c>
      <c r="AL15" s="12">
        <f>IF($B15="Actual",E15,IF(AA15&lt;&gt;"",AA15,E15+N(P15)))</f>
        <v/>
      </c>
      <c r="AM15" s="12">
        <f>IF($B15="Actual",F15,IF(AB15&lt;&gt;"",AB15,F15+N(Q15)))</f>
        <v/>
      </c>
      <c r="AN15" s="12">
        <f>IF($B15="Actual",G15,IF(AC15&lt;&gt;"",AC15,G15+N(R15)))</f>
        <v/>
      </c>
      <c r="AO15" s="12">
        <f>IF($B15="Actual",H15,IF(AD15&lt;&gt;"",AD15,H15+N(S15)))</f>
        <v/>
      </c>
      <c r="AP15" s="12">
        <f>IF($B15="Actual",I15,IF(AE15&lt;&gt;"",AE15,I15+N(T15)))</f>
        <v/>
      </c>
      <c r="AQ15" s="12">
        <f>IF($B15="Actual",J15,IF(AF15&lt;&gt;"",AF15,J15+N(U15)))</f>
        <v/>
      </c>
      <c r="AR15" s="12">
        <f>IF($B15="Actual",K15,IF(AG15&lt;&gt;"",AG15,K15+N(V15)))</f>
        <v/>
      </c>
      <c r="AS15" s="12">
        <f>IF($B15="Actual",L15,IF(AH15&lt;&gt;"",AH15,L15+N(W15)))</f>
        <v/>
      </c>
    </row>
    <row r="16">
      <c r="A16" s="8" t="n">
        <v>45901</v>
      </c>
      <c r="B16">
        <f>IF(A16&lt;=LastActual,"Actual","Forecast")</f>
        <v/>
      </c>
      <c r="C16" s="9">
        <f>IF($B16="Actual",'NSW-1'!S23,IFERROR('NSW-1'!Y23*'NSW-1'!AB23,0))</f>
        <v/>
      </c>
      <c r="D16" s="9">
        <f>IF($B16="Actual",'VIC-1'!S23,IFERROR('VIC-1'!Y23*'VIC-1'!AB23,0))</f>
        <v/>
      </c>
      <c r="E16" s="9">
        <f>IF($B16="Actual",'QLD-1'!S23,IFERROR('QLD-1'!Y23*'QLD-1'!AB23,0))</f>
        <v/>
      </c>
      <c r="F16" s="9">
        <f>IF($B16="Actual",'NSW-2'!S23,IFERROR('NSW-2'!Y23*'NSW-2'!AB23,0))</f>
        <v/>
      </c>
      <c r="G16" s="9">
        <f>IF($B16="Actual",'VIC-2'!S23,IFERROR('VIC-2'!Y23*'VIC-2'!AB23,0))</f>
        <v/>
      </c>
      <c r="H16" s="9">
        <f>IF($B16="Actual",'QLD-2'!S23,IFERROR('QLD-2'!Y23*'QLD-2'!AB23,0))</f>
        <v/>
      </c>
      <c r="I16" s="9">
        <f>IF($B16="Actual",'SA-1'!S23,IFERROR('SA-1'!Y23*'SA-1'!AB23,0))</f>
        <v/>
      </c>
      <c r="J16" s="9">
        <f>IF($B16="Actual",'WA-1'!S23,IFERROR('WA-1'!Y23*'WA-1'!AB23,0))</f>
        <v/>
      </c>
      <c r="K16" s="9">
        <f>IF($B16="Actual",'IDC-NSW'!S23,IFERROR('IDC-NSW'!Y23*'IDC-NSW'!AB23,0))</f>
        <v/>
      </c>
      <c r="L16" s="9">
        <f>IF($B16="Actual",'IDC-VIC'!S23,IFERROR('IDC-VIC'!Y23*'IDC-VIC'!AB23,0))</f>
        <v/>
      </c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J16" s="12">
        <f>IF($B16="Actual",C16,IF(Y16&lt;&gt;"",Y16,C16+N(N16)))</f>
        <v/>
      </c>
      <c r="AK16" s="12">
        <f>IF($B16="Actual",D16,IF(Z16&lt;&gt;"",Z16,D16+N(O16)))</f>
        <v/>
      </c>
      <c r="AL16" s="12">
        <f>IF($B16="Actual",E16,IF(AA16&lt;&gt;"",AA16,E16+N(P16)))</f>
        <v/>
      </c>
      <c r="AM16" s="12">
        <f>IF($B16="Actual",F16,IF(AB16&lt;&gt;"",AB16,F16+N(Q16)))</f>
        <v/>
      </c>
      <c r="AN16" s="12">
        <f>IF($B16="Actual",G16,IF(AC16&lt;&gt;"",AC16,G16+N(R16)))</f>
        <v/>
      </c>
      <c r="AO16" s="12">
        <f>IF($B16="Actual",H16,IF(AD16&lt;&gt;"",AD16,H16+N(S16)))</f>
        <v/>
      </c>
      <c r="AP16" s="12">
        <f>IF($B16="Actual",I16,IF(AE16&lt;&gt;"",AE16,I16+N(T16)))</f>
        <v/>
      </c>
      <c r="AQ16" s="12">
        <f>IF($B16="Actual",J16,IF(AF16&lt;&gt;"",AF16,J16+N(U16)))</f>
        <v/>
      </c>
      <c r="AR16" s="12">
        <f>IF($B16="Actual",K16,IF(AG16&lt;&gt;"",AG16,K16+N(V16)))</f>
        <v/>
      </c>
      <c r="AS16" s="12">
        <f>IF($B16="Actual",L16,IF(AH16&lt;&gt;"",AH16,L16+N(W16)))</f>
        <v/>
      </c>
    </row>
    <row r="17">
      <c r="A17" s="8" t="n">
        <v>45931</v>
      </c>
      <c r="B17">
        <f>IF(A17&lt;=LastActual,"Actual","Forecast")</f>
        <v/>
      </c>
      <c r="C17" s="9">
        <f>IF($B17="Actual",'NSW-1'!S24,IFERROR('NSW-1'!Y24*'NSW-1'!AB24,0))</f>
        <v/>
      </c>
      <c r="D17" s="9">
        <f>IF($B17="Actual",'VIC-1'!S24,IFERROR('VIC-1'!Y24*'VIC-1'!AB24,0))</f>
        <v/>
      </c>
      <c r="E17" s="9">
        <f>IF($B17="Actual",'QLD-1'!S24,IFERROR('QLD-1'!Y24*'QLD-1'!AB24,0))</f>
        <v/>
      </c>
      <c r="F17" s="9">
        <f>IF($B17="Actual",'NSW-2'!S24,IFERROR('NSW-2'!Y24*'NSW-2'!AB24,0))</f>
        <v/>
      </c>
      <c r="G17" s="9">
        <f>IF($B17="Actual",'VIC-2'!S24,IFERROR('VIC-2'!Y24*'VIC-2'!AB24,0))</f>
        <v/>
      </c>
      <c r="H17" s="9">
        <f>IF($B17="Actual",'QLD-2'!S24,IFERROR('QLD-2'!Y24*'QLD-2'!AB24,0))</f>
        <v/>
      </c>
      <c r="I17" s="9">
        <f>IF($B17="Actual",'SA-1'!S24,IFERROR('SA-1'!Y24*'SA-1'!AB24,0))</f>
        <v/>
      </c>
      <c r="J17" s="9">
        <f>IF($B17="Actual",'WA-1'!S24,IFERROR('WA-1'!Y24*'WA-1'!AB24,0))</f>
        <v/>
      </c>
      <c r="K17" s="9">
        <f>IF($B17="Actual",'IDC-NSW'!S24,IFERROR('IDC-NSW'!Y24*'IDC-NSW'!AB24,0))</f>
        <v/>
      </c>
      <c r="L17" s="9">
        <f>IF($B17="Actual",'IDC-VIC'!S24,IFERROR('IDC-VIC'!Y24*'IDC-VIC'!AB24,0))</f>
        <v/>
      </c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J17" s="12">
        <f>IF($B17="Actual",C17,IF(Y17&lt;&gt;"",Y17,C17+N(N17)))</f>
        <v/>
      </c>
      <c r="AK17" s="12">
        <f>IF($B17="Actual",D17,IF(Z17&lt;&gt;"",Z17,D17+N(O17)))</f>
        <v/>
      </c>
      <c r="AL17" s="12">
        <f>IF($B17="Actual",E17,IF(AA17&lt;&gt;"",AA17,E17+N(P17)))</f>
        <v/>
      </c>
      <c r="AM17" s="12">
        <f>IF($B17="Actual",F17,IF(AB17&lt;&gt;"",AB17,F17+N(Q17)))</f>
        <v/>
      </c>
      <c r="AN17" s="12">
        <f>IF($B17="Actual",G17,IF(AC17&lt;&gt;"",AC17,G17+N(R17)))</f>
        <v/>
      </c>
      <c r="AO17" s="12">
        <f>IF($B17="Actual",H17,IF(AD17&lt;&gt;"",AD17,H17+N(S17)))</f>
        <v/>
      </c>
      <c r="AP17" s="12">
        <f>IF($B17="Actual",I17,IF(AE17&lt;&gt;"",AE17,I17+N(T17)))</f>
        <v/>
      </c>
      <c r="AQ17" s="12">
        <f>IF($B17="Actual",J17,IF(AF17&lt;&gt;"",AF17,J17+N(U17)))</f>
        <v/>
      </c>
      <c r="AR17" s="12">
        <f>IF($B17="Actual",K17,IF(AG17&lt;&gt;"",AG17,K17+N(V17)))</f>
        <v/>
      </c>
      <c r="AS17" s="12">
        <f>IF($B17="Actual",L17,IF(AH17&lt;&gt;"",AH17,L17+N(W17)))</f>
        <v/>
      </c>
    </row>
    <row r="18">
      <c r="A18" s="8" t="n">
        <v>45962</v>
      </c>
      <c r="B18">
        <f>IF(A18&lt;=LastActual,"Actual","Forecast")</f>
        <v/>
      </c>
      <c r="C18" s="9">
        <f>IF($B18="Actual",'NSW-1'!S25,IFERROR('NSW-1'!Y25*'NSW-1'!AB25,0))</f>
        <v/>
      </c>
      <c r="D18" s="9">
        <f>IF($B18="Actual",'VIC-1'!S25,IFERROR('VIC-1'!Y25*'VIC-1'!AB25,0))</f>
        <v/>
      </c>
      <c r="E18" s="9">
        <f>IF($B18="Actual",'QLD-1'!S25,IFERROR('QLD-1'!Y25*'QLD-1'!AB25,0))</f>
        <v/>
      </c>
      <c r="F18" s="9">
        <f>IF($B18="Actual",'NSW-2'!S25,IFERROR('NSW-2'!Y25*'NSW-2'!AB25,0))</f>
        <v/>
      </c>
      <c r="G18" s="9">
        <f>IF($B18="Actual",'VIC-2'!S25,IFERROR('VIC-2'!Y25*'VIC-2'!AB25,0))</f>
        <v/>
      </c>
      <c r="H18" s="9">
        <f>IF($B18="Actual",'QLD-2'!S25,IFERROR('QLD-2'!Y25*'QLD-2'!AB25,0))</f>
        <v/>
      </c>
      <c r="I18" s="9">
        <f>IF($B18="Actual",'SA-1'!S25,IFERROR('SA-1'!Y25*'SA-1'!AB25,0))</f>
        <v/>
      </c>
      <c r="J18" s="9">
        <f>IF($B18="Actual",'WA-1'!S25,IFERROR('WA-1'!Y25*'WA-1'!AB25,0))</f>
        <v/>
      </c>
      <c r="K18" s="9">
        <f>IF($B18="Actual",'IDC-NSW'!S25,IFERROR('IDC-NSW'!Y25*'IDC-NSW'!AB25,0))</f>
        <v/>
      </c>
      <c r="L18" s="9">
        <f>IF($B18="Actual",'IDC-VIC'!S25,IFERROR('IDC-VIC'!Y25*'IDC-VIC'!AB25,0))</f>
        <v/>
      </c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J18" s="12">
        <f>IF($B18="Actual",C18,IF(Y18&lt;&gt;"",Y18,C18+N(N18)))</f>
        <v/>
      </c>
      <c r="AK18" s="12">
        <f>IF($B18="Actual",D18,IF(Z18&lt;&gt;"",Z18,D18+N(O18)))</f>
        <v/>
      </c>
      <c r="AL18" s="12">
        <f>IF($B18="Actual",E18,IF(AA18&lt;&gt;"",AA18,E18+N(P18)))</f>
        <v/>
      </c>
      <c r="AM18" s="12">
        <f>IF($B18="Actual",F18,IF(AB18&lt;&gt;"",AB18,F18+N(Q18)))</f>
        <v/>
      </c>
      <c r="AN18" s="12">
        <f>IF($B18="Actual",G18,IF(AC18&lt;&gt;"",AC18,G18+N(R18)))</f>
        <v/>
      </c>
      <c r="AO18" s="12">
        <f>IF($B18="Actual",H18,IF(AD18&lt;&gt;"",AD18,H18+N(S18)))</f>
        <v/>
      </c>
      <c r="AP18" s="12">
        <f>IF($B18="Actual",I18,IF(AE18&lt;&gt;"",AE18,I18+N(T18)))</f>
        <v/>
      </c>
      <c r="AQ18" s="12">
        <f>IF($B18="Actual",J18,IF(AF18&lt;&gt;"",AF18,J18+N(U18)))</f>
        <v/>
      </c>
      <c r="AR18" s="12">
        <f>IF($B18="Actual",K18,IF(AG18&lt;&gt;"",AG18,K18+N(V18)))</f>
        <v/>
      </c>
      <c r="AS18" s="12">
        <f>IF($B18="Actual",L18,IF(AH18&lt;&gt;"",AH18,L18+N(W18)))</f>
        <v/>
      </c>
    </row>
    <row r="19">
      <c r="A19" s="8" t="n">
        <v>45992</v>
      </c>
      <c r="B19">
        <f>IF(A19&lt;=LastActual,"Actual","Forecast")</f>
        <v/>
      </c>
      <c r="C19" s="9">
        <f>IF($B19="Actual",'NSW-1'!S26,IFERROR('NSW-1'!Y26*'NSW-1'!AB26,0))</f>
        <v/>
      </c>
      <c r="D19" s="9">
        <f>IF($B19="Actual",'VIC-1'!S26,IFERROR('VIC-1'!Y26*'VIC-1'!AB26,0))</f>
        <v/>
      </c>
      <c r="E19" s="9">
        <f>IF($B19="Actual",'QLD-1'!S26,IFERROR('QLD-1'!Y26*'QLD-1'!AB26,0))</f>
        <v/>
      </c>
      <c r="F19" s="9">
        <f>IF($B19="Actual",'NSW-2'!S26,IFERROR('NSW-2'!Y26*'NSW-2'!AB26,0))</f>
        <v/>
      </c>
      <c r="G19" s="9">
        <f>IF($B19="Actual",'VIC-2'!S26,IFERROR('VIC-2'!Y26*'VIC-2'!AB26,0))</f>
        <v/>
      </c>
      <c r="H19" s="9">
        <f>IF($B19="Actual",'QLD-2'!S26,IFERROR('QLD-2'!Y26*'QLD-2'!AB26,0))</f>
        <v/>
      </c>
      <c r="I19" s="9">
        <f>IF($B19="Actual",'SA-1'!S26,IFERROR('SA-1'!Y26*'SA-1'!AB26,0))</f>
        <v/>
      </c>
      <c r="J19" s="9">
        <f>IF($B19="Actual",'WA-1'!S26,IFERROR('WA-1'!Y26*'WA-1'!AB26,0))</f>
        <v/>
      </c>
      <c r="K19" s="9">
        <f>IF($B19="Actual",'IDC-NSW'!S26,IFERROR('IDC-NSW'!Y26*'IDC-NSW'!AB26,0))</f>
        <v/>
      </c>
      <c r="L19" s="9">
        <f>IF($B19="Actual",'IDC-VIC'!S26,IFERROR('IDC-VIC'!Y26*'IDC-VIC'!AB26,0))</f>
        <v/>
      </c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Y19" s="11" t="n"/>
      <c r="Z19" s="11" t="n"/>
      <c r="AA19" s="11" t="n"/>
      <c r="AB19" s="11" t="n"/>
      <c r="AC19" s="11" t="n"/>
      <c r="AD19" s="11" t="n"/>
      <c r="AE19" s="11" t="n"/>
      <c r="AF19" s="11" t="n"/>
      <c r="AG19" s="11" t="n"/>
      <c r="AH19" s="11" t="n"/>
      <c r="AJ19" s="12">
        <f>IF($B19="Actual",C19,IF(Y19&lt;&gt;"",Y19,C19+N(N19)))</f>
        <v/>
      </c>
      <c r="AK19" s="12">
        <f>IF($B19="Actual",D19,IF(Z19&lt;&gt;"",Z19,D19+N(O19)))</f>
        <v/>
      </c>
      <c r="AL19" s="12">
        <f>IF($B19="Actual",E19,IF(AA19&lt;&gt;"",AA19,E19+N(P19)))</f>
        <v/>
      </c>
      <c r="AM19" s="12">
        <f>IF($B19="Actual",F19,IF(AB19&lt;&gt;"",AB19,F19+N(Q19)))</f>
        <v/>
      </c>
      <c r="AN19" s="12">
        <f>IF($B19="Actual",G19,IF(AC19&lt;&gt;"",AC19,G19+N(R19)))</f>
        <v/>
      </c>
      <c r="AO19" s="12">
        <f>IF($B19="Actual",H19,IF(AD19&lt;&gt;"",AD19,H19+N(S19)))</f>
        <v/>
      </c>
      <c r="AP19" s="12">
        <f>IF($B19="Actual",I19,IF(AE19&lt;&gt;"",AE19,I19+N(T19)))</f>
        <v/>
      </c>
      <c r="AQ19" s="12">
        <f>IF($B19="Actual",J19,IF(AF19&lt;&gt;"",AF19,J19+N(U19)))</f>
        <v/>
      </c>
      <c r="AR19" s="12">
        <f>IF($B19="Actual",K19,IF(AG19&lt;&gt;"",AG19,K19+N(V19)))</f>
        <v/>
      </c>
      <c r="AS19" s="12">
        <f>IF($B19="Actual",L19,IF(AH19&lt;&gt;"",AH19,L19+N(W19)))</f>
        <v/>
      </c>
    </row>
    <row r="20">
      <c r="A20" s="8" t="n">
        <v>46023</v>
      </c>
      <c r="B20">
        <f>IF(A20&lt;=LastActual,"Actual","Forecast")</f>
        <v/>
      </c>
      <c r="C20" s="9">
        <f>IF($B20="Actual",'NSW-1'!S27,IFERROR('NSW-1'!Y27*'NSW-1'!AB27,0))</f>
        <v/>
      </c>
      <c r="D20" s="9">
        <f>IF($B20="Actual",'VIC-1'!S27,IFERROR('VIC-1'!Y27*'VIC-1'!AB27,0))</f>
        <v/>
      </c>
      <c r="E20" s="9">
        <f>IF($B20="Actual",'QLD-1'!S27,IFERROR('QLD-1'!Y27*'QLD-1'!AB27,0))</f>
        <v/>
      </c>
      <c r="F20" s="9">
        <f>IF($B20="Actual",'NSW-2'!S27,IFERROR('NSW-2'!Y27*'NSW-2'!AB27,0))</f>
        <v/>
      </c>
      <c r="G20" s="9">
        <f>IF($B20="Actual",'VIC-2'!S27,IFERROR('VIC-2'!Y27*'VIC-2'!AB27,0))</f>
        <v/>
      </c>
      <c r="H20" s="9">
        <f>IF($B20="Actual",'QLD-2'!S27,IFERROR('QLD-2'!Y27*'QLD-2'!AB27,0))</f>
        <v/>
      </c>
      <c r="I20" s="9">
        <f>IF($B20="Actual",'SA-1'!S27,IFERROR('SA-1'!Y27*'SA-1'!AB27,0))</f>
        <v/>
      </c>
      <c r="J20" s="9">
        <f>IF($B20="Actual",'WA-1'!S27,IFERROR('WA-1'!Y27*'WA-1'!AB27,0))</f>
        <v/>
      </c>
      <c r="K20" s="9">
        <f>IF($B20="Actual",'IDC-NSW'!S27,IFERROR('IDC-NSW'!Y27*'IDC-NSW'!AB27,0))</f>
        <v/>
      </c>
      <c r="L20" s="9">
        <f>IF($B20="Actual",'IDC-VIC'!S27,IFERROR('IDC-VIC'!Y27*'IDC-VIC'!AB27,0))</f>
        <v/>
      </c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J20" s="12">
        <f>IF($B20="Actual",C20,IF(Y20&lt;&gt;"",Y20,C20+N(N20)))</f>
        <v/>
      </c>
      <c r="AK20" s="12">
        <f>IF($B20="Actual",D20,IF(Z20&lt;&gt;"",Z20,D20+N(O20)))</f>
        <v/>
      </c>
      <c r="AL20" s="12">
        <f>IF($B20="Actual",E20,IF(AA20&lt;&gt;"",AA20,E20+N(P20)))</f>
        <v/>
      </c>
      <c r="AM20" s="12">
        <f>IF($B20="Actual",F20,IF(AB20&lt;&gt;"",AB20,F20+N(Q20)))</f>
        <v/>
      </c>
      <c r="AN20" s="12">
        <f>IF($B20="Actual",G20,IF(AC20&lt;&gt;"",AC20,G20+N(R20)))</f>
        <v/>
      </c>
      <c r="AO20" s="12">
        <f>IF($B20="Actual",H20,IF(AD20&lt;&gt;"",AD20,H20+N(S20)))</f>
        <v/>
      </c>
      <c r="AP20" s="12">
        <f>IF($B20="Actual",I20,IF(AE20&lt;&gt;"",AE20,I20+N(T20)))</f>
        <v/>
      </c>
      <c r="AQ20" s="12">
        <f>IF($B20="Actual",J20,IF(AF20&lt;&gt;"",AF20,J20+N(U20)))</f>
        <v/>
      </c>
      <c r="AR20" s="12">
        <f>IF($B20="Actual",K20,IF(AG20&lt;&gt;"",AG20,K20+N(V20)))</f>
        <v/>
      </c>
      <c r="AS20" s="12">
        <f>IF($B20="Actual",L20,IF(AH20&lt;&gt;"",AH20,L20+N(W20)))</f>
        <v/>
      </c>
    </row>
    <row r="21">
      <c r="A21" s="8" t="n">
        <v>46054</v>
      </c>
      <c r="B21">
        <f>IF(A21&lt;=LastActual,"Actual","Forecast")</f>
        <v/>
      </c>
      <c r="C21" s="9">
        <f>IF($B21="Actual",'NSW-1'!S28,IFERROR('NSW-1'!Y28*'NSW-1'!AB28,0))</f>
        <v/>
      </c>
      <c r="D21" s="9">
        <f>IF($B21="Actual",'VIC-1'!S28,IFERROR('VIC-1'!Y28*'VIC-1'!AB28,0))</f>
        <v/>
      </c>
      <c r="E21" s="9">
        <f>IF($B21="Actual",'QLD-1'!S28,IFERROR('QLD-1'!Y28*'QLD-1'!AB28,0))</f>
        <v/>
      </c>
      <c r="F21" s="9">
        <f>IF($B21="Actual",'NSW-2'!S28,IFERROR('NSW-2'!Y28*'NSW-2'!AB28,0))</f>
        <v/>
      </c>
      <c r="G21" s="9">
        <f>IF($B21="Actual",'VIC-2'!S28,IFERROR('VIC-2'!Y28*'VIC-2'!AB28,0))</f>
        <v/>
      </c>
      <c r="H21" s="9">
        <f>IF($B21="Actual",'QLD-2'!S28,IFERROR('QLD-2'!Y28*'QLD-2'!AB28,0))</f>
        <v/>
      </c>
      <c r="I21" s="9">
        <f>IF($B21="Actual",'SA-1'!S28,IFERROR('SA-1'!Y28*'SA-1'!AB28,0))</f>
        <v/>
      </c>
      <c r="J21" s="9">
        <f>IF($B21="Actual",'WA-1'!S28,IFERROR('WA-1'!Y28*'WA-1'!AB28,0))</f>
        <v/>
      </c>
      <c r="K21" s="9">
        <f>IF($B21="Actual",'IDC-NSW'!S28,IFERROR('IDC-NSW'!Y28*'IDC-NSW'!AB28,0))</f>
        <v/>
      </c>
      <c r="L21" s="9">
        <f>IF($B21="Actual",'IDC-VIC'!S28,IFERROR('IDC-VIC'!Y28*'IDC-VIC'!AB28,0))</f>
        <v/>
      </c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J21" s="12">
        <f>IF($B21="Actual",C21,IF(Y21&lt;&gt;"",Y21,C21+N(N21)))</f>
        <v/>
      </c>
      <c r="AK21" s="12">
        <f>IF($B21="Actual",D21,IF(Z21&lt;&gt;"",Z21,D21+N(O21)))</f>
        <v/>
      </c>
      <c r="AL21" s="12">
        <f>IF($B21="Actual",E21,IF(AA21&lt;&gt;"",AA21,E21+N(P21)))</f>
        <v/>
      </c>
      <c r="AM21" s="12">
        <f>IF($B21="Actual",F21,IF(AB21&lt;&gt;"",AB21,F21+N(Q21)))</f>
        <v/>
      </c>
      <c r="AN21" s="12">
        <f>IF($B21="Actual",G21,IF(AC21&lt;&gt;"",AC21,G21+N(R21)))</f>
        <v/>
      </c>
      <c r="AO21" s="12">
        <f>IF($B21="Actual",H21,IF(AD21&lt;&gt;"",AD21,H21+N(S21)))</f>
        <v/>
      </c>
      <c r="AP21" s="12">
        <f>IF($B21="Actual",I21,IF(AE21&lt;&gt;"",AE21,I21+N(T21)))</f>
        <v/>
      </c>
      <c r="AQ21" s="12">
        <f>IF($B21="Actual",J21,IF(AF21&lt;&gt;"",AF21,J21+N(U21)))</f>
        <v/>
      </c>
      <c r="AR21" s="12">
        <f>IF($B21="Actual",K21,IF(AG21&lt;&gt;"",AG21,K21+N(V21)))</f>
        <v/>
      </c>
      <c r="AS21" s="12">
        <f>IF($B21="Actual",L21,IF(AH21&lt;&gt;"",AH21,L21+N(W21)))</f>
        <v/>
      </c>
    </row>
    <row r="22">
      <c r="A22" s="8" t="n">
        <v>46082</v>
      </c>
      <c r="B22">
        <f>IF(A22&lt;=LastActual,"Actual","Forecast")</f>
        <v/>
      </c>
      <c r="C22" s="9">
        <f>IF($B22="Actual",'NSW-1'!S29,IFERROR('NSW-1'!Y29*'NSW-1'!AB29,0))</f>
        <v/>
      </c>
      <c r="D22" s="9">
        <f>IF($B22="Actual",'VIC-1'!S29,IFERROR('VIC-1'!Y29*'VIC-1'!AB29,0))</f>
        <v/>
      </c>
      <c r="E22" s="9">
        <f>IF($B22="Actual",'QLD-1'!S29,IFERROR('QLD-1'!Y29*'QLD-1'!AB29,0))</f>
        <v/>
      </c>
      <c r="F22" s="9">
        <f>IF($B22="Actual",'NSW-2'!S29,IFERROR('NSW-2'!Y29*'NSW-2'!AB29,0))</f>
        <v/>
      </c>
      <c r="G22" s="9">
        <f>IF($B22="Actual",'VIC-2'!S29,IFERROR('VIC-2'!Y29*'VIC-2'!AB29,0))</f>
        <v/>
      </c>
      <c r="H22" s="9">
        <f>IF($B22="Actual",'QLD-2'!S29,IFERROR('QLD-2'!Y29*'QLD-2'!AB29,0))</f>
        <v/>
      </c>
      <c r="I22" s="9">
        <f>IF($B22="Actual",'SA-1'!S29,IFERROR('SA-1'!Y29*'SA-1'!AB29,0))</f>
        <v/>
      </c>
      <c r="J22" s="9">
        <f>IF($B22="Actual",'WA-1'!S29,IFERROR('WA-1'!Y29*'WA-1'!AB29,0))</f>
        <v/>
      </c>
      <c r="K22" s="9">
        <f>IF($B22="Actual",'IDC-NSW'!S29,IFERROR('IDC-NSW'!Y29*'IDC-NSW'!AB29,0))</f>
        <v/>
      </c>
      <c r="L22" s="9">
        <f>IF($B22="Actual",'IDC-VIC'!S29,IFERROR('IDC-VIC'!Y29*'IDC-VIC'!AB29,0))</f>
        <v/>
      </c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J22" s="12">
        <f>IF($B22="Actual",C22,IF(Y22&lt;&gt;"",Y22,C22+N(N22)))</f>
        <v/>
      </c>
      <c r="AK22" s="12">
        <f>IF($B22="Actual",D22,IF(Z22&lt;&gt;"",Z22,D22+N(O22)))</f>
        <v/>
      </c>
      <c r="AL22" s="12">
        <f>IF($B22="Actual",E22,IF(AA22&lt;&gt;"",AA22,E22+N(P22)))</f>
        <v/>
      </c>
      <c r="AM22" s="12">
        <f>IF($B22="Actual",F22,IF(AB22&lt;&gt;"",AB22,F22+N(Q22)))</f>
        <v/>
      </c>
      <c r="AN22" s="12">
        <f>IF($B22="Actual",G22,IF(AC22&lt;&gt;"",AC22,G22+N(R22)))</f>
        <v/>
      </c>
      <c r="AO22" s="12">
        <f>IF($B22="Actual",H22,IF(AD22&lt;&gt;"",AD22,H22+N(S22)))</f>
        <v/>
      </c>
      <c r="AP22" s="12">
        <f>IF($B22="Actual",I22,IF(AE22&lt;&gt;"",AE22,I22+N(T22)))</f>
        <v/>
      </c>
      <c r="AQ22" s="12">
        <f>IF($B22="Actual",J22,IF(AF22&lt;&gt;"",AF22,J22+N(U22)))</f>
        <v/>
      </c>
      <c r="AR22" s="12">
        <f>IF($B22="Actual",K22,IF(AG22&lt;&gt;"",AG22,K22+N(V22)))</f>
        <v/>
      </c>
      <c r="AS22" s="12">
        <f>IF($B22="Actual",L22,IF(AH22&lt;&gt;"",AH22,L22+N(W22)))</f>
        <v/>
      </c>
    </row>
    <row r="23">
      <c r="A23" s="8" t="n">
        <v>46113</v>
      </c>
      <c r="B23">
        <f>IF(A23&lt;=LastActual,"Actual","Forecast")</f>
        <v/>
      </c>
      <c r="C23" s="9">
        <f>IF($B23="Actual",'NSW-1'!S30,IFERROR('NSW-1'!Y30*'NSW-1'!AB30,0))</f>
        <v/>
      </c>
      <c r="D23" s="9">
        <f>IF($B23="Actual",'VIC-1'!S30,IFERROR('VIC-1'!Y30*'VIC-1'!AB30,0))</f>
        <v/>
      </c>
      <c r="E23" s="9">
        <f>IF($B23="Actual",'QLD-1'!S30,IFERROR('QLD-1'!Y30*'QLD-1'!AB30,0))</f>
        <v/>
      </c>
      <c r="F23" s="9">
        <f>IF($B23="Actual",'NSW-2'!S30,IFERROR('NSW-2'!Y30*'NSW-2'!AB30,0))</f>
        <v/>
      </c>
      <c r="G23" s="9">
        <f>IF($B23="Actual",'VIC-2'!S30,IFERROR('VIC-2'!Y30*'VIC-2'!AB30,0))</f>
        <v/>
      </c>
      <c r="H23" s="9">
        <f>IF($B23="Actual",'QLD-2'!S30,IFERROR('QLD-2'!Y30*'QLD-2'!AB30,0))</f>
        <v/>
      </c>
      <c r="I23" s="9">
        <f>IF($B23="Actual",'SA-1'!S30,IFERROR('SA-1'!Y30*'SA-1'!AB30,0))</f>
        <v/>
      </c>
      <c r="J23" s="9">
        <f>IF($B23="Actual",'WA-1'!S30,IFERROR('WA-1'!Y30*'WA-1'!AB30,0))</f>
        <v/>
      </c>
      <c r="K23" s="9">
        <f>IF($B23="Actual",'IDC-NSW'!S30,IFERROR('IDC-NSW'!Y30*'IDC-NSW'!AB30,0))</f>
        <v/>
      </c>
      <c r="L23" s="9">
        <f>IF($B23="Actual",'IDC-VIC'!S30,IFERROR('IDC-VIC'!Y30*'IDC-VIC'!AB30,0))</f>
        <v/>
      </c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  <c r="AH23" s="11" t="n"/>
      <c r="AJ23" s="12">
        <f>IF($B23="Actual",C23,IF(Y23&lt;&gt;"",Y23,C23+N(N23)))</f>
        <v/>
      </c>
      <c r="AK23" s="12">
        <f>IF($B23="Actual",D23,IF(Z23&lt;&gt;"",Z23,D23+N(O23)))</f>
        <v/>
      </c>
      <c r="AL23" s="12">
        <f>IF($B23="Actual",E23,IF(AA23&lt;&gt;"",AA23,E23+N(P23)))</f>
        <v/>
      </c>
      <c r="AM23" s="12">
        <f>IF($B23="Actual",F23,IF(AB23&lt;&gt;"",AB23,F23+N(Q23)))</f>
        <v/>
      </c>
      <c r="AN23" s="12">
        <f>IF($B23="Actual",G23,IF(AC23&lt;&gt;"",AC23,G23+N(R23)))</f>
        <v/>
      </c>
      <c r="AO23" s="12">
        <f>IF($B23="Actual",H23,IF(AD23&lt;&gt;"",AD23,H23+N(S23)))</f>
        <v/>
      </c>
      <c r="AP23" s="12">
        <f>IF($B23="Actual",I23,IF(AE23&lt;&gt;"",AE23,I23+N(T23)))</f>
        <v/>
      </c>
      <c r="AQ23" s="12">
        <f>IF($B23="Actual",J23,IF(AF23&lt;&gt;"",AF23,J23+N(U23)))</f>
        <v/>
      </c>
      <c r="AR23" s="12">
        <f>IF($B23="Actual",K23,IF(AG23&lt;&gt;"",AG23,K23+N(V23)))</f>
        <v/>
      </c>
      <c r="AS23" s="12">
        <f>IF($B23="Actual",L23,IF(AH23&lt;&gt;"",AH23,L23+N(W23)))</f>
        <v/>
      </c>
    </row>
    <row r="24">
      <c r="A24" s="8" t="n">
        <v>46143</v>
      </c>
      <c r="B24">
        <f>IF(A24&lt;=LastActual,"Actual","Forecast")</f>
        <v/>
      </c>
      <c r="C24" s="9">
        <f>IF($B24="Actual",'NSW-1'!S31,IFERROR('NSW-1'!Y31*'NSW-1'!AB31,0))</f>
        <v/>
      </c>
      <c r="D24" s="9">
        <f>IF($B24="Actual",'VIC-1'!S31,IFERROR('VIC-1'!Y31*'VIC-1'!AB31,0))</f>
        <v/>
      </c>
      <c r="E24" s="9">
        <f>IF($B24="Actual",'QLD-1'!S31,IFERROR('QLD-1'!Y31*'QLD-1'!AB31,0))</f>
        <v/>
      </c>
      <c r="F24" s="9">
        <f>IF($B24="Actual",'NSW-2'!S31,IFERROR('NSW-2'!Y31*'NSW-2'!AB31,0))</f>
        <v/>
      </c>
      <c r="G24" s="9">
        <f>IF($B24="Actual",'VIC-2'!S31,IFERROR('VIC-2'!Y31*'VIC-2'!AB31,0))</f>
        <v/>
      </c>
      <c r="H24" s="9">
        <f>IF($B24="Actual",'QLD-2'!S31,IFERROR('QLD-2'!Y31*'QLD-2'!AB31,0))</f>
        <v/>
      </c>
      <c r="I24" s="9">
        <f>IF($B24="Actual",'SA-1'!S31,IFERROR('SA-1'!Y31*'SA-1'!AB31,0))</f>
        <v/>
      </c>
      <c r="J24" s="9">
        <f>IF($B24="Actual",'WA-1'!S31,IFERROR('WA-1'!Y31*'WA-1'!AB31,0))</f>
        <v/>
      </c>
      <c r="K24" s="9">
        <f>IF($B24="Actual",'IDC-NSW'!S31,IFERROR('IDC-NSW'!Y31*'IDC-NSW'!AB31,0))</f>
        <v/>
      </c>
      <c r="L24" s="9">
        <f>IF($B24="Actual",'IDC-VIC'!S31,IFERROR('IDC-VIC'!Y31*'IDC-VIC'!AB31,0))</f>
        <v/>
      </c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J24" s="12">
        <f>IF($B24="Actual",C24,IF(Y24&lt;&gt;"",Y24,C24+N(N24)))</f>
        <v/>
      </c>
      <c r="AK24" s="12">
        <f>IF($B24="Actual",D24,IF(Z24&lt;&gt;"",Z24,D24+N(O24)))</f>
        <v/>
      </c>
      <c r="AL24" s="12">
        <f>IF($B24="Actual",E24,IF(AA24&lt;&gt;"",AA24,E24+N(P24)))</f>
        <v/>
      </c>
      <c r="AM24" s="12">
        <f>IF($B24="Actual",F24,IF(AB24&lt;&gt;"",AB24,F24+N(Q24)))</f>
        <v/>
      </c>
      <c r="AN24" s="12">
        <f>IF($B24="Actual",G24,IF(AC24&lt;&gt;"",AC24,G24+N(R24)))</f>
        <v/>
      </c>
      <c r="AO24" s="12">
        <f>IF($B24="Actual",H24,IF(AD24&lt;&gt;"",AD24,H24+N(S24)))</f>
        <v/>
      </c>
      <c r="AP24" s="12">
        <f>IF($B24="Actual",I24,IF(AE24&lt;&gt;"",AE24,I24+N(T24)))</f>
        <v/>
      </c>
      <c r="AQ24" s="12">
        <f>IF($B24="Actual",J24,IF(AF24&lt;&gt;"",AF24,J24+N(U24)))</f>
        <v/>
      </c>
      <c r="AR24" s="12">
        <f>IF($B24="Actual",K24,IF(AG24&lt;&gt;"",AG24,K24+N(V24)))</f>
        <v/>
      </c>
      <c r="AS24" s="12">
        <f>IF($B24="Actual",L24,IF(AH24&lt;&gt;"",AH24,L24+N(W24)))</f>
        <v/>
      </c>
    </row>
    <row r="25">
      <c r="A25" s="8" t="n">
        <v>46174</v>
      </c>
      <c r="B25">
        <f>IF(A25&lt;=LastActual,"Actual","Forecast")</f>
        <v/>
      </c>
      <c r="C25" s="9">
        <f>IF($B25="Actual",'NSW-1'!S32,IFERROR('NSW-1'!Y32*'NSW-1'!AB32,0))</f>
        <v/>
      </c>
      <c r="D25" s="9">
        <f>IF($B25="Actual",'VIC-1'!S32,IFERROR('VIC-1'!Y32*'VIC-1'!AB32,0))</f>
        <v/>
      </c>
      <c r="E25" s="9">
        <f>IF($B25="Actual",'QLD-1'!S32,IFERROR('QLD-1'!Y32*'QLD-1'!AB32,0))</f>
        <v/>
      </c>
      <c r="F25" s="9">
        <f>IF($B25="Actual",'NSW-2'!S32,IFERROR('NSW-2'!Y32*'NSW-2'!AB32,0))</f>
        <v/>
      </c>
      <c r="G25" s="9">
        <f>IF($B25="Actual",'VIC-2'!S32,IFERROR('VIC-2'!Y32*'VIC-2'!AB32,0))</f>
        <v/>
      </c>
      <c r="H25" s="9">
        <f>IF($B25="Actual",'QLD-2'!S32,IFERROR('QLD-2'!Y32*'QLD-2'!AB32,0))</f>
        <v/>
      </c>
      <c r="I25" s="9">
        <f>IF($B25="Actual",'SA-1'!S32,IFERROR('SA-1'!Y32*'SA-1'!AB32,0))</f>
        <v/>
      </c>
      <c r="J25" s="9">
        <f>IF($B25="Actual",'WA-1'!S32,IFERROR('WA-1'!Y32*'WA-1'!AB32,0))</f>
        <v/>
      </c>
      <c r="K25" s="9">
        <f>IF($B25="Actual",'IDC-NSW'!S32,IFERROR('IDC-NSW'!Y32*'IDC-NSW'!AB32,0))</f>
        <v/>
      </c>
      <c r="L25" s="9">
        <f>IF($B25="Actual",'IDC-VIC'!S32,IFERROR('IDC-VIC'!Y32*'IDC-VIC'!AB32,0))</f>
        <v/>
      </c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11" t="n"/>
      <c r="AJ25" s="12">
        <f>IF($B25="Actual",C25,IF(Y25&lt;&gt;"",Y25,C25+N(N25)))</f>
        <v/>
      </c>
      <c r="AK25" s="12">
        <f>IF($B25="Actual",D25,IF(Z25&lt;&gt;"",Z25,D25+N(O25)))</f>
        <v/>
      </c>
      <c r="AL25" s="12">
        <f>IF($B25="Actual",E25,IF(AA25&lt;&gt;"",AA25,E25+N(P25)))</f>
        <v/>
      </c>
      <c r="AM25" s="12">
        <f>IF($B25="Actual",F25,IF(AB25&lt;&gt;"",AB25,F25+N(Q25)))</f>
        <v/>
      </c>
      <c r="AN25" s="12">
        <f>IF($B25="Actual",G25,IF(AC25&lt;&gt;"",AC25,G25+N(R25)))</f>
        <v/>
      </c>
      <c r="AO25" s="12">
        <f>IF($B25="Actual",H25,IF(AD25&lt;&gt;"",AD25,H25+N(S25)))</f>
        <v/>
      </c>
      <c r="AP25" s="12">
        <f>IF($B25="Actual",I25,IF(AE25&lt;&gt;"",AE25,I25+N(T25)))</f>
        <v/>
      </c>
      <c r="AQ25" s="12">
        <f>IF($B25="Actual",J25,IF(AF25&lt;&gt;"",AF25,J25+N(U25)))</f>
        <v/>
      </c>
      <c r="AR25" s="12">
        <f>IF($B25="Actual",K25,IF(AG25&lt;&gt;"",AG25,K25+N(V25)))</f>
        <v/>
      </c>
      <c r="AS25" s="12">
        <f>IF($B25="Actual",L25,IF(AH25&lt;&gt;"",AH25,L25+N(W25)))</f>
        <v/>
      </c>
    </row>
    <row r="26">
      <c r="A26" s="8" t="n">
        <v>46204</v>
      </c>
      <c r="B26">
        <f>IF(A26&lt;=LastActual,"Actual","Forecast")</f>
        <v/>
      </c>
      <c r="C26" s="9">
        <f>IF($B26="Actual",'NSW-1'!S33,IFERROR('NSW-1'!Y33*'NSW-1'!AB33,0))</f>
        <v/>
      </c>
      <c r="D26" s="9">
        <f>IF($B26="Actual",'VIC-1'!S33,IFERROR('VIC-1'!Y33*'VIC-1'!AB33,0))</f>
        <v/>
      </c>
      <c r="E26" s="9">
        <f>IF($B26="Actual",'QLD-1'!S33,IFERROR('QLD-1'!Y33*'QLD-1'!AB33,0))</f>
        <v/>
      </c>
      <c r="F26" s="9">
        <f>IF($B26="Actual",'NSW-2'!S33,IFERROR('NSW-2'!Y33*'NSW-2'!AB33,0))</f>
        <v/>
      </c>
      <c r="G26" s="9">
        <f>IF($B26="Actual",'VIC-2'!S33,IFERROR('VIC-2'!Y33*'VIC-2'!AB33,0))</f>
        <v/>
      </c>
      <c r="H26" s="9">
        <f>IF($B26="Actual",'QLD-2'!S33,IFERROR('QLD-2'!Y33*'QLD-2'!AB33,0))</f>
        <v/>
      </c>
      <c r="I26" s="9">
        <f>IF($B26="Actual",'SA-1'!S33,IFERROR('SA-1'!Y33*'SA-1'!AB33,0))</f>
        <v/>
      </c>
      <c r="J26" s="9">
        <f>IF($B26="Actual",'WA-1'!S33,IFERROR('WA-1'!Y33*'WA-1'!AB33,0))</f>
        <v/>
      </c>
      <c r="K26" s="9">
        <f>IF($B26="Actual",'IDC-NSW'!S33,IFERROR('IDC-NSW'!Y33*'IDC-NSW'!AB33,0))</f>
        <v/>
      </c>
      <c r="L26" s="9">
        <f>IF($B26="Actual",'IDC-VIC'!S33,IFERROR('IDC-VIC'!Y33*'IDC-VIC'!AB33,0))</f>
        <v/>
      </c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J26" s="12">
        <f>IF($B26="Actual",C26,IF(Y26&lt;&gt;"",Y26,C26+N(N26)))</f>
        <v/>
      </c>
      <c r="AK26" s="12">
        <f>IF($B26="Actual",D26,IF(Z26&lt;&gt;"",Z26,D26+N(O26)))</f>
        <v/>
      </c>
      <c r="AL26" s="12">
        <f>IF($B26="Actual",E26,IF(AA26&lt;&gt;"",AA26,E26+N(P26)))</f>
        <v/>
      </c>
      <c r="AM26" s="12">
        <f>IF($B26="Actual",F26,IF(AB26&lt;&gt;"",AB26,F26+N(Q26)))</f>
        <v/>
      </c>
      <c r="AN26" s="12">
        <f>IF($B26="Actual",G26,IF(AC26&lt;&gt;"",AC26,G26+N(R26)))</f>
        <v/>
      </c>
      <c r="AO26" s="12">
        <f>IF($B26="Actual",H26,IF(AD26&lt;&gt;"",AD26,H26+N(S26)))</f>
        <v/>
      </c>
      <c r="AP26" s="12">
        <f>IF($B26="Actual",I26,IF(AE26&lt;&gt;"",AE26,I26+N(T26)))</f>
        <v/>
      </c>
      <c r="AQ26" s="12">
        <f>IF($B26="Actual",J26,IF(AF26&lt;&gt;"",AF26,J26+N(U26)))</f>
        <v/>
      </c>
      <c r="AR26" s="12">
        <f>IF($B26="Actual",K26,IF(AG26&lt;&gt;"",AG26,K26+N(V26)))</f>
        <v/>
      </c>
      <c r="AS26" s="12">
        <f>IF($B26="Actual",L26,IF(AH26&lt;&gt;"",AH26,L26+N(W26)))</f>
        <v/>
      </c>
    </row>
    <row r="27">
      <c r="A27" s="8" t="n">
        <v>46235</v>
      </c>
      <c r="B27">
        <f>IF(A27&lt;=LastActual,"Actual","Forecast")</f>
        <v/>
      </c>
      <c r="C27" s="9">
        <f>IF($B27="Actual",'NSW-1'!S34,IFERROR('NSW-1'!Y34*'NSW-1'!AB34,0))</f>
        <v/>
      </c>
      <c r="D27" s="9">
        <f>IF($B27="Actual",'VIC-1'!S34,IFERROR('VIC-1'!Y34*'VIC-1'!AB34,0))</f>
        <v/>
      </c>
      <c r="E27" s="9">
        <f>IF($B27="Actual",'QLD-1'!S34,IFERROR('QLD-1'!Y34*'QLD-1'!AB34,0))</f>
        <v/>
      </c>
      <c r="F27" s="9">
        <f>IF($B27="Actual",'NSW-2'!S34,IFERROR('NSW-2'!Y34*'NSW-2'!AB34,0))</f>
        <v/>
      </c>
      <c r="G27" s="9">
        <f>IF($B27="Actual",'VIC-2'!S34,IFERROR('VIC-2'!Y34*'VIC-2'!AB34,0))</f>
        <v/>
      </c>
      <c r="H27" s="9">
        <f>IF($B27="Actual",'QLD-2'!S34,IFERROR('QLD-2'!Y34*'QLD-2'!AB34,0))</f>
        <v/>
      </c>
      <c r="I27" s="9">
        <f>IF($B27="Actual",'SA-1'!S34,IFERROR('SA-1'!Y34*'SA-1'!AB34,0))</f>
        <v/>
      </c>
      <c r="J27" s="9">
        <f>IF($B27="Actual",'WA-1'!S34,IFERROR('WA-1'!Y34*'WA-1'!AB34,0))</f>
        <v/>
      </c>
      <c r="K27" s="9">
        <f>IF($B27="Actual",'IDC-NSW'!S34,IFERROR('IDC-NSW'!Y34*'IDC-NSW'!AB34,0))</f>
        <v/>
      </c>
      <c r="L27" s="9">
        <f>IF($B27="Actual",'IDC-VIC'!S34,IFERROR('IDC-VIC'!Y34*'IDC-VIC'!AB34,0))</f>
        <v/>
      </c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J27" s="12">
        <f>IF($B27="Actual",C27,IF(Y27&lt;&gt;"",Y27,C27+N(N27)))</f>
        <v/>
      </c>
      <c r="AK27" s="12">
        <f>IF($B27="Actual",D27,IF(Z27&lt;&gt;"",Z27,D27+N(O27)))</f>
        <v/>
      </c>
      <c r="AL27" s="12">
        <f>IF($B27="Actual",E27,IF(AA27&lt;&gt;"",AA27,E27+N(P27)))</f>
        <v/>
      </c>
      <c r="AM27" s="12">
        <f>IF($B27="Actual",F27,IF(AB27&lt;&gt;"",AB27,F27+N(Q27)))</f>
        <v/>
      </c>
      <c r="AN27" s="12">
        <f>IF($B27="Actual",G27,IF(AC27&lt;&gt;"",AC27,G27+N(R27)))</f>
        <v/>
      </c>
      <c r="AO27" s="12">
        <f>IF($B27="Actual",H27,IF(AD27&lt;&gt;"",AD27,H27+N(S27)))</f>
        <v/>
      </c>
      <c r="AP27" s="12">
        <f>IF($B27="Actual",I27,IF(AE27&lt;&gt;"",AE27,I27+N(T27)))</f>
        <v/>
      </c>
      <c r="AQ27" s="12">
        <f>IF($B27="Actual",J27,IF(AF27&lt;&gt;"",AF27,J27+N(U27)))</f>
        <v/>
      </c>
      <c r="AR27" s="12">
        <f>IF($B27="Actual",K27,IF(AG27&lt;&gt;"",AG27,K27+N(V27)))</f>
        <v/>
      </c>
      <c r="AS27" s="12">
        <f>IF($B27="Actual",L27,IF(AH27&lt;&gt;"",AH27,L27+N(W27)))</f>
        <v/>
      </c>
    </row>
    <row r="28">
      <c r="A28" s="8" t="n">
        <v>46266</v>
      </c>
      <c r="B28">
        <f>IF(A28&lt;=LastActual,"Actual","Forecast")</f>
        <v/>
      </c>
      <c r="C28" s="9">
        <f>IF($B28="Actual",'NSW-1'!S35,IFERROR('NSW-1'!Y35*'NSW-1'!AB35,0))</f>
        <v/>
      </c>
      <c r="D28" s="9">
        <f>IF($B28="Actual",'VIC-1'!S35,IFERROR('VIC-1'!Y35*'VIC-1'!AB35,0))</f>
        <v/>
      </c>
      <c r="E28" s="9">
        <f>IF($B28="Actual",'QLD-1'!S35,IFERROR('QLD-1'!Y35*'QLD-1'!AB35,0))</f>
        <v/>
      </c>
      <c r="F28" s="9">
        <f>IF($B28="Actual",'NSW-2'!S35,IFERROR('NSW-2'!Y35*'NSW-2'!AB35,0))</f>
        <v/>
      </c>
      <c r="G28" s="9">
        <f>IF($B28="Actual",'VIC-2'!S35,IFERROR('VIC-2'!Y35*'VIC-2'!AB35,0))</f>
        <v/>
      </c>
      <c r="H28" s="9">
        <f>IF($B28="Actual",'QLD-2'!S35,IFERROR('QLD-2'!Y35*'QLD-2'!AB35,0))</f>
        <v/>
      </c>
      <c r="I28" s="9">
        <f>IF($B28="Actual",'SA-1'!S35,IFERROR('SA-1'!Y35*'SA-1'!AB35,0))</f>
        <v/>
      </c>
      <c r="J28" s="9">
        <f>IF($B28="Actual",'WA-1'!S35,IFERROR('WA-1'!Y35*'WA-1'!AB35,0))</f>
        <v/>
      </c>
      <c r="K28" s="9">
        <f>IF($B28="Actual",'IDC-NSW'!S35,IFERROR('IDC-NSW'!Y35*'IDC-NSW'!AB35,0))</f>
        <v/>
      </c>
      <c r="L28" s="9">
        <f>IF($B28="Actual",'IDC-VIC'!S35,IFERROR('IDC-VIC'!Y35*'IDC-VIC'!AB35,0))</f>
        <v/>
      </c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J28" s="12">
        <f>IF($B28="Actual",C28,IF(Y28&lt;&gt;"",Y28,C28+N(N28)))</f>
        <v/>
      </c>
      <c r="AK28" s="12">
        <f>IF($B28="Actual",D28,IF(Z28&lt;&gt;"",Z28,D28+N(O28)))</f>
        <v/>
      </c>
      <c r="AL28" s="12">
        <f>IF($B28="Actual",E28,IF(AA28&lt;&gt;"",AA28,E28+N(P28)))</f>
        <v/>
      </c>
      <c r="AM28" s="12">
        <f>IF($B28="Actual",F28,IF(AB28&lt;&gt;"",AB28,F28+N(Q28)))</f>
        <v/>
      </c>
      <c r="AN28" s="12">
        <f>IF($B28="Actual",G28,IF(AC28&lt;&gt;"",AC28,G28+N(R28)))</f>
        <v/>
      </c>
      <c r="AO28" s="12">
        <f>IF($B28="Actual",H28,IF(AD28&lt;&gt;"",AD28,H28+N(S28)))</f>
        <v/>
      </c>
      <c r="AP28" s="12">
        <f>IF($B28="Actual",I28,IF(AE28&lt;&gt;"",AE28,I28+N(T28)))</f>
        <v/>
      </c>
      <c r="AQ28" s="12">
        <f>IF($B28="Actual",J28,IF(AF28&lt;&gt;"",AF28,J28+N(U28)))</f>
        <v/>
      </c>
      <c r="AR28" s="12">
        <f>IF($B28="Actual",K28,IF(AG28&lt;&gt;"",AG28,K28+N(V28)))</f>
        <v/>
      </c>
      <c r="AS28" s="12">
        <f>IF($B28="Actual",L28,IF(AH28&lt;&gt;"",AH28,L28+N(W28)))</f>
        <v/>
      </c>
    </row>
    <row r="29">
      <c r="A29" s="8" t="n">
        <v>46296</v>
      </c>
      <c r="B29">
        <f>IF(A29&lt;=LastActual,"Actual","Forecast")</f>
        <v/>
      </c>
      <c r="C29" s="9">
        <f>IF($B29="Actual",'NSW-1'!S36,IFERROR('NSW-1'!Y36*'NSW-1'!AB36,0))</f>
        <v/>
      </c>
      <c r="D29" s="9">
        <f>IF($B29="Actual",'VIC-1'!S36,IFERROR('VIC-1'!Y36*'VIC-1'!AB36,0))</f>
        <v/>
      </c>
      <c r="E29" s="9">
        <f>IF($B29="Actual",'QLD-1'!S36,IFERROR('QLD-1'!Y36*'QLD-1'!AB36,0))</f>
        <v/>
      </c>
      <c r="F29" s="9">
        <f>IF($B29="Actual",'NSW-2'!S36,IFERROR('NSW-2'!Y36*'NSW-2'!AB36,0))</f>
        <v/>
      </c>
      <c r="G29" s="9">
        <f>IF($B29="Actual",'VIC-2'!S36,IFERROR('VIC-2'!Y36*'VIC-2'!AB36,0))</f>
        <v/>
      </c>
      <c r="H29" s="9">
        <f>IF($B29="Actual",'QLD-2'!S36,IFERROR('QLD-2'!Y36*'QLD-2'!AB36,0))</f>
        <v/>
      </c>
      <c r="I29" s="9">
        <f>IF($B29="Actual",'SA-1'!S36,IFERROR('SA-1'!Y36*'SA-1'!AB36,0))</f>
        <v/>
      </c>
      <c r="J29" s="9">
        <f>IF($B29="Actual",'WA-1'!S36,IFERROR('WA-1'!Y36*'WA-1'!AB36,0))</f>
        <v/>
      </c>
      <c r="K29" s="9">
        <f>IF($B29="Actual",'IDC-NSW'!S36,IFERROR('IDC-NSW'!Y36*'IDC-NSW'!AB36,0))</f>
        <v/>
      </c>
      <c r="L29" s="9">
        <f>IF($B29="Actual",'IDC-VIC'!S36,IFERROR('IDC-VIC'!Y36*'IDC-VIC'!AB36,0))</f>
        <v/>
      </c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J29" s="12">
        <f>IF($B29="Actual",C29,IF(Y29&lt;&gt;"",Y29,C29+N(N29)))</f>
        <v/>
      </c>
      <c r="AK29" s="12">
        <f>IF($B29="Actual",D29,IF(Z29&lt;&gt;"",Z29,D29+N(O29)))</f>
        <v/>
      </c>
      <c r="AL29" s="12">
        <f>IF($B29="Actual",E29,IF(AA29&lt;&gt;"",AA29,E29+N(P29)))</f>
        <v/>
      </c>
      <c r="AM29" s="12">
        <f>IF($B29="Actual",F29,IF(AB29&lt;&gt;"",AB29,F29+N(Q29)))</f>
        <v/>
      </c>
      <c r="AN29" s="12">
        <f>IF($B29="Actual",G29,IF(AC29&lt;&gt;"",AC29,G29+N(R29)))</f>
        <v/>
      </c>
      <c r="AO29" s="12">
        <f>IF($B29="Actual",H29,IF(AD29&lt;&gt;"",AD29,H29+N(S29)))</f>
        <v/>
      </c>
      <c r="AP29" s="12">
        <f>IF($B29="Actual",I29,IF(AE29&lt;&gt;"",AE29,I29+N(T29)))</f>
        <v/>
      </c>
      <c r="AQ29" s="12">
        <f>IF($B29="Actual",J29,IF(AF29&lt;&gt;"",AF29,J29+N(U29)))</f>
        <v/>
      </c>
      <c r="AR29" s="12">
        <f>IF($B29="Actual",K29,IF(AG29&lt;&gt;"",AG29,K29+N(V29)))</f>
        <v/>
      </c>
      <c r="AS29" s="12">
        <f>IF($B29="Actual",L29,IF(AH29&lt;&gt;"",AH29,L29+N(W29)))</f>
        <v/>
      </c>
    </row>
    <row r="30">
      <c r="A30" s="8" t="n">
        <v>46327</v>
      </c>
      <c r="B30">
        <f>IF(A30&lt;=LastActual,"Actual","Forecast")</f>
        <v/>
      </c>
      <c r="C30" s="9">
        <f>IF($B30="Actual",'NSW-1'!S37,IFERROR('NSW-1'!Y37*'NSW-1'!AB37,0))</f>
        <v/>
      </c>
      <c r="D30" s="9">
        <f>IF($B30="Actual",'VIC-1'!S37,IFERROR('VIC-1'!Y37*'VIC-1'!AB37,0))</f>
        <v/>
      </c>
      <c r="E30" s="9">
        <f>IF($B30="Actual",'QLD-1'!S37,IFERROR('QLD-1'!Y37*'QLD-1'!AB37,0))</f>
        <v/>
      </c>
      <c r="F30" s="9">
        <f>IF($B30="Actual",'NSW-2'!S37,IFERROR('NSW-2'!Y37*'NSW-2'!AB37,0))</f>
        <v/>
      </c>
      <c r="G30" s="9">
        <f>IF($B30="Actual",'VIC-2'!S37,IFERROR('VIC-2'!Y37*'VIC-2'!AB37,0))</f>
        <v/>
      </c>
      <c r="H30" s="9">
        <f>IF($B30="Actual",'QLD-2'!S37,IFERROR('QLD-2'!Y37*'QLD-2'!AB37,0))</f>
        <v/>
      </c>
      <c r="I30" s="9">
        <f>IF($B30="Actual",'SA-1'!S37,IFERROR('SA-1'!Y37*'SA-1'!AB37,0))</f>
        <v/>
      </c>
      <c r="J30" s="9">
        <f>IF($B30="Actual",'WA-1'!S37,IFERROR('WA-1'!Y37*'WA-1'!AB37,0))</f>
        <v/>
      </c>
      <c r="K30" s="9">
        <f>IF($B30="Actual",'IDC-NSW'!S37,IFERROR('IDC-NSW'!Y37*'IDC-NSW'!AB37,0))</f>
        <v/>
      </c>
      <c r="L30" s="9">
        <f>IF($B30="Actual",'IDC-VIC'!S37,IFERROR('IDC-VIC'!Y37*'IDC-VIC'!AB37,0))</f>
        <v/>
      </c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11" t="n"/>
      <c r="AJ30" s="12">
        <f>IF($B30="Actual",C30,IF(Y30&lt;&gt;"",Y30,C30+N(N30)))</f>
        <v/>
      </c>
      <c r="AK30" s="12">
        <f>IF($B30="Actual",D30,IF(Z30&lt;&gt;"",Z30,D30+N(O30)))</f>
        <v/>
      </c>
      <c r="AL30" s="12">
        <f>IF($B30="Actual",E30,IF(AA30&lt;&gt;"",AA30,E30+N(P30)))</f>
        <v/>
      </c>
      <c r="AM30" s="12">
        <f>IF($B30="Actual",F30,IF(AB30&lt;&gt;"",AB30,F30+N(Q30)))</f>
        <v/>
      </c>
      <c r="AN30" s="12">
        <f>IF($B30="Actual",G30,IF(AC30&lt;&gt;"",AC30,G30+N(R30)))</f>
        <v/>
      </c>
      <c r="AO30" s="12">
        <f>IF($B30="Actual",H30,IF(AD30&lt;&gt;"",AD30,H30+N(S30)))</f>
        <v/>
      </c>
      <c r="AP30" s="12">
        <f>IF($B30="Actual",I30,IF(AE30&lt;&gt;"",AE30,I30+N(T30)))</f>
        <v/>
      </c>
      <c r="AQ30" s="12">
        <f>IF($B30="Actual",J30,IF(AF30&lt;&gt;"",AF30,J30+N(U30)))</f>
        <v/>
      </c>
      <c r="AR30" s="12">
        <f>IF($B30="Actual",K30,IF(AG30&lt;&gt;"",AG30,K30+N(V30)))</f>
        <v/>
      </c>
      <c r="AS30" s="12">
        <f>IF($B30="Actual",L30,IF(AH30&lt;&gt;"",AH30,L30+N(W30)))</f>
        <v/>
      </c>
    </row>
    <row r="31">
      <c r="A31" s="8" t="n">
        <v>46357</v>
      </c>
      <c r="B31">
        <f>IF(A31&lt;=LastActual,"Actual","Forecast")</f>
        <v/>
      </c>
      <c r="C31" s="9">
        <f>IF($B31="Actual",'NSW-1'!S38,IFERROR('NSW-1'!Y38*'NSW-1'!AB38,0))</f>
        <v/>
      </c>
      <c r="D31" s="9">
        <f>IF($B31="Actual",'VIC-1'!S38,IFERROR('VIC-1'!Y38*'VIC-1'!AB38,0))</f>
        <v/>
      </c>
      <c r="E31" s="9">
        <f>IF($B31="Actual",'QLD-1'!S38,IFERROR('QLD-1'!Y38*'QLD-1'!AB38,0))</f>
        <v/>
      </c>
      <c r="F31" s="9">
        <f>IF($B31="Actual",'NSW-2'!S38,IFERROR('NSW-2'!Y38*'NSW-2'!AB38,0))</f>
        <v/>
      </c>
      <c r="G31" s="9">
        <f>IF($B31="Actual",'VIC-2'!S38,IFERROR('VIC-2'!Y38*'VIC-2'!AB38,0))</f>
        <v/>
      </c>
      <c r="H31" s="9">
        <f>IF($B31="Actual",'QLD-2'!S38,IFERROR('QLD-2'!Y38*'QLD-2'!AB38,0))</f>
        <v/>
      </c>
      <c r="I31" s="9">
        <f>IF($B31="Actual",'SA-1'!S38,IFERROR('SA-1'!Y38*'SA-1'!AB38,0))</f>
        <v/>
      </c>
      <c r="J31" s="9">
        <f>IF($B31="Actual",'WA-1'!S38,IFERROR('WA-1'!Y38*'WA-1'!AB38,0))</f>
        <v/>
      </c>
      <c r="K31" s="9">
        <f>IF($B31="Actual",'IDC-NSW'!S38,IFERROR('IDC-NSW'!Y38*'IDC-NSW'!AB38,0))</f>
        <v/>
      </c>
      <c r="L31" s="9">
        <f>IF($B31="Actual",'IDC-VIC'!S38,IFERROR('IDC-VIC'!Y38*'IDC-VIC'!AB38,0))</f>
        <v/>
      </c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Y31" s="11" t="n"/>
      <c r="Z31" s="11" t="n"/>
      <c r="AA31" s="11" t="n"/>
      <c r="AB31" s="11" t="n"/>
      <c r="AC31" s="11" t="n"/>
      <c r="AD31" s="11" t="n"/>
      <c r="AE31" s="11" t="n"/>
      <c r="AF31" s="11" t="n"/>
      <c r="AG31" s="11" t="n"/>
      <c r="AH31" s="11" t="n"/>
      <c r="AJ31" s="12">
        <f>IF($B31="Actual",C31,IF(Y31&lt;&gt;"",Y31,C31+N(N31)))</f>
        <v/>
      </c>
      <c r="AK31" s="12">
        <f>IF($B31="Actual",D31,IF(Z31&lt;&gt;"",Z31,D31+N(O31)))</f>
        <v/>
      </c>
      <c r="AL31" s="12">
        <f>IF($B31="Actual",E31,IF(AA31&lt;&gt;"",AA31,E31+N(P31)))</f>
        <v/>
      </c>
      <c r="AM31" s="12">
        <f>IF($B31="Actual",F31,IF(AB31&lt;&gt;"",AB31,F31+N(Q31)))</f>
        <v/>
      </c>
      <c r="AN31" s="12">
        <f>IF($B31="Actual",G31,IF(AC31&lt;&gt;"",AC31,G31+N(R31)))</f>
        <v/>
      </c>
      <c r="AO31" s="12">
        <f>IF($B31="Actual",H31,IF(AD31&lt;&gt;"",AD31,H31+N(S31)))</f>
        <v/>
      </c>
      <c r="AP31" s="12">
        <f>IF($B31="Actual",I31,IF(AE31&lt;&gt;"",AE31,I31+N(T31)))</f>
        <v/>
      </c>
      <c r="AQ31" s="12">
        <f>IF($B31="Actual",J31,IF(AF31&lt;&gt;"",AF31,J31+N(U31)))</f>
        <v/>
      </c>
      <c r="AR31" s="12">
        <f>IF($B31="Actual",K31,IF(AG31&lt;&gt;"",AG31,K31+N(V31)))</f>
        <v/>
      </c>
      <c r="AS31" s="12">
        <f>IF($B31="Actual",L31,IF(AH31&lt;&gt;"",AH31,L31+N(W31)))</f>
        <v/>
      </c>
    </row>
    <row r="32">
      <c r="A32" s="8" t="n">
        <v>46388</v>
      </c>
      <c r="B32">
        <f>IF(A32&lt;=LastActual,"Actual","Forecast")</f>
        <v/>
      </c>
      <c r="C32" s="9">
        <f>IF($B32="Actual",'NSW-1'!S39,IFERROR('NSW-1'!Y39*'NSW-1'!AB39,0))</f>
        <v/>
      </c>
      <c r="D32" s="9">
        <f>IF($B32="Actual",'VIC-1'!S39,IFERROR('VIC-1'!Y39*'VIC-1'!AB39,0))</f>
        <v/>
      </c>
      <c r="E32" s="9">
        <f>IF($B32="Actual",'QLD-1'!S39,IFERROR('QLD-1'!Y39*'QLD-1'!AB39,0))</f>
        <v/>
      </c>
      <c r="F32" s="9">
        <f>IF($B32="Actual",'NSW-2'!S39,IFERROR('NSW-2'!Y39*'NSW-2'!AB39,0))</f>
        <v/>
      </c>
      <c r="G32" s="9">
        <f>IF($B32="Actual",'VIC-2'!S39,IFERROR('VIC-2'!Y39*'VIC-2'!AB39,0))</f>
        <v/>
      </c>
      <c r="H32" s="9">
        <f>IF($B32="Actual",'QLD-2'!S39,IFERROR('QLD-2'!Y39*'QLD-2'!AB39,0))</f>
        <v/>
      </c>
      <c r="I32" s="9">
        <f>IF($B32="Actual",'SA-1'!S39,IFERROR('SA-1'!Y39*'SA-1'!AB39,0))</f>
        <v/>
      </c>
      <c r="J32" s="9">
        <f>IF($B32="Actual",'WA-1'!S39,IFERROR('WA-1'!Y39*'WA-1'!AB39,0))</f>
        <v/>
      </c>
      <c r="K32" s="9">
        <f>IF($B32="Actual",'IDC-NSW'!S39,IFERROR('IDC-NSW'!Y39*'IDC-NSW'!AB39,0))</f>
        <v/>
      </c>
      <c r="L32" s="9">
        <f>IF($B32="Actual",'IDC-VIC'!S39,IFERROR('IDC-VIC'!Y39*'IDC-VIC'!AB39,0))</f>
        <v/>
      </c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Y32" s="11" t="n"/>
      <c r="Z32" s="11" t="n"/>
      <c r="AA32" s="11" t="n"/>
      <c r="AB32" s="11" t="n"/>
      <c r="AC32" s="11" t="n"/>
      <c r="AD32" s="11" t="n"/>
      <c r="AE32" s="11" t="n"/>
      <c r="AF32" s="11" t="n"/>
      <c r="AG32" s="11" t="n"/>
      <c r="AH32" s="11" t="n"/>
      <c r="AJ32" s="12">
        <f>IF($B32="Actual",C32,IF(Y32&lt;&gt;"",Y32,C32+N(N32)))</f>
        <v/>
      </c>
      <c r="AK32" s="12">
        <f>IF($B32="Actual",D32,IF(Z32&lt;&gt;"",Z32,D32+N(O32)))</f>
        <v/>
      </c>
      <c r="AL32" s="12">
        <f>IF($B32="Actual",E32,IF(AA32&lt;&gt;"",AA32,E32+N(P32)))</f>
        <v/>
      </c>
      <c r="AM32" s="12">
        <f>IF($B32="Actual",F32,IF(AB32&lt;&gt;"",AB32,F32+N(Q32)))</f>
        <v/>
      </c>
      <c r="AN32" s="12">
        <f>IF($B32="Actual",G32,IF(AC32&lt;&gt;"",AC32,G32+N(R32)))</f>
        <v/>
      </c>
      <c r="AO32" s="12">
        <f>IF($B32="Actual",H32,IF(AD32&lt;&gt;"",AD32,H32+N(S32)))</f>
        <v/>
      </c>
      <c r="AP32" s="12">
        <f>IF($B32="Actual",I32,IF(AE32&lt;&gt;"",AE32,I32+N(T32)))</f>
        <v/>
      </c>
      <c r="AQ32" s="12">
        <f>IF($B32="Actual",J32,IF(AF32&lt;&gt;"",AF32,J32+N(U32)))</f>
        <v/>
      </c>
      <c r="AR32" s="12">
        <f>IF($B32="Actual",K32,IF(AG32&lt;&gt;"",AG32,K32+N(V32)))</f>
        <v/>
      </c>
      <c r="AS32" s="12">
        <f>IF($B32="Actual",L32,IF(AH32&lt;&gt;"",AH32,L32+N(W32)))</f>
        <v/>
      </c>
    </row>
    <row r="33">
      <c r="A33" s="8" t="n">
        <v>46419</v>
      </c>
      <c r="B33">
        <f>IF(A33&lt;=LastActual,"Actual","Forecast")</f>
        <v/>
      </c>
      <c r="C33" s="9">
        <f>IF($B33="Actual",'NSW-1'!S40,IFERROR('NSW-1'!Y40*'NSW-1'!AB40,0))</f>
        <v/>
      </c>
      <c r="D33" s="9">
        <f>IF($B33="Actual",'VIC-1'!S40,IFERROR('VIC-1'!Y40*'VIC-1'!AB40,0))</f>
        <v/>
      </c>
      <c r="E33" s="9">
        <f>IF($B33="Actual",'QLD-1'!S40,IFERROR('QLD-1'!Y40*'QLD-1'!AB40,0))</f>
        <v/>
      </c>
      <c r="F33" s="9">
        <f>IF($B33="Actual",'NSW-2'!S40,IFERROR('NSW-2'!Y40*'NSW-2'!AB40,0))</f>
        <v/>
      </c>
      <c r="G33" s="9">
        <f>IF($B33="Actual",'VIC-2'!S40,IFERROR('VIC-2'!Y40*'VIC-2'!AB40,0))</f>
        <v/>
      </c>
      <c r="H33" s="9">
        <f>IF($B33="Actual",'QLD-2'!S40,IFERROR('QLD-2'!Y40*'QLD-2'!AB40,0))</f>
        <v/>
      </c>
      <c r="I33" s="9">
        <f>IF($B33="Actual",'SA-1'!S40,IFERROR('SA-1'!Y40*'SA-1'!AB40,0))</f>
        <v/>
      </c>
      <c r="J33" s="9">
        <f>IF($B33="Actual",'WA-1'!S40,IFERROR('WA-1'!Y40*'WA-1'!AB40,0))</f>
        <v/>
      </c>
      <c r="K33" s="9">
        <f>IF($B33="Actual",'IDC-NSW'!S40,IFERROR('IDC-NSW'!Y40*'IDC-NSW'!AB40,0))</f>
        <v/>
      </c>
      <c r="L33" s="9">
        <f>IF($B33="Actual",'IDC-VIC'!S40,IFERROR('IDC-VIC'!Y40*'IDC-VIC'!AB40,0))</f>
        <v/>
      </c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Y33" s="11" t="n"/>
      <c r="Z33" s="11" t="n"/>
      <c r="AA33" s="11" t="n"/>
      <c r="AB33" s="11" t="n"/>
      <c r="AC33" s="11" t="n"/>
      <c r="AD33" s="11" t="n"/>
      <c r="AE33" s="11" t="n"/>
      <c r="AF33" s="11" t="n"/>
      <c r="AG33" s="11" t="n"/>
      <c r="AH33" s="11" t="n"/>
      <c r="AJ33" s="12">
        <f>IF($B33="Actual",C33,IF(Y33&lt;&gt;"",Y33,C33+N(N33)))</f>
        <v/>
      </c>
      <c r="AK33" s="12">
        <f>IF($B33="Actual",D33,IF(Z33&lt;&gt;"",Z33,D33+N(O33)))</f>
        <v/>
      </c>
      <c r="AL33" s="12">
        <f>IF($B33="Actual",E33,IF(AA33&lt;&gt;"",AA33,E33+N(P33)))</f>
        <v/>
      </c>
      <c r="AM33" s="12">
        <f>IF($B33="Actual",F33,IF(AB33&lt;&gt;"",AB33,F33+N(Q33)))</f>
        <v/>
      </c>
      <c r="AN33" s="12">
        <f>IF($B33="Actual",G33,IF(AC33&lt;&gt;"",AC33,G33+N(R33)))</f>
        <v/>
      </c>
      <c r="AO33" s="12">
        <f>IF($B33="Actual",H33,IF(AD33&lt;&gt;"",AD33,H33+N(S33)))</f>
        <v/>
      </c>
      <c r="AP33" s="12">
        <f>IF($B33="Actual",I33,IF(AE33&lt;&gt;"",AE33,I33+N(T33)))</f>
        <v/>
      </c>
      <c r="AQ33" s="12">
        <f>IF($B33="Actual",J33,IF(AF33&lt;&gt;"",AF33,J33+N(U33)))</f>
        <v/>
      </c>
      <c r="AR33" s="12">
        <f>IF($B33="Actual",K33,IF(AG33&lt;&gt;"",AG33,K33+N(V33)))</f>
        <v/>
      </c>
      <c r="AS33" s="12">
        <f>IF($B33="Actual",L33,IF(AH33&lt;&gt;"",AH33,L33+N(W33)))</f>
        <v/>
      </c>
    </row>
    <row r="34">
      <c r="A34" s="8" t="n">
        <v>46447</v>
      </c>
      <c r="B34">
        <f>IF(A34&lt;=LastActual,"Actual","Forecast")</f>
        <v/>
      </c>
      <c r="C34" s="9">
        <f>IF($B34="Actual",'NSW-1'!S41,IFERROR('NSW-1'!Y41*'NSW-1'!AB41,0))</f>
        <v/>
      </c>
      <c r="D34" s="9">
        <f>IF($B34="Actual",'VIC-1'!S41,IFERROR('VIC-1'!Y41*'VIC-1'!AB41,0))</f>
        <v/>
      </c>
      <c r="E34" s="9">
        <f>IF($B34="Actual",'QLD-1'!S41,IFERROR('QLD-1'!Y41*'QLD-1'!AB41,0))</f>
        <v/>
      </c>
      <c r="F34" s="9">
        <f>IF($B34="Actual",'NSW-2'!S41,IFERROR('NSW-2'!Y41*'NSW-2'!AB41,0))</f>
        <v/>
      </c>
      <c r="G34" s="9">
        <f>IF($B34="Actual",'VIC-2'!S41,IFERROR('VIC-2'!Y41*'VIC-2'!AB41,0))</f>
        <v/>
      </c>
      <c r="H34" s="9">
        <f>IF($B34="Actual",'QLD-2'!S41,IFERROR('QLD-2'!Y41*'QLD-2'!AB41,0))</f>
        <v/>
      </c>
      <c r="I34" s="9">
        <f>IF($B34="Actual",'SA-1'!S41,IFERROR('SA-1'!Y41*'SA-1'!AB41,0))</f>
        <v/>
      </c>
      <c r="J34" s="9">
        <f>IF($B34="Actual",'WA-1'!S41,IFERROR('WA-1'!Y41*'WA-1'!AB41,0))</f>
        <v/>
      </c>
      <c r="K34" s="9">
        <f>IF($B34="Actual",'IDC-NSW'!S41,IFERROR('IDC-NSW'!Y41*'IDC-NSW'!AB41,0))</f>
        <v/>
      </c>
      <c r="L34" s="9">
        <f>IF($B34="Actual",'IDC-VIC'!S41,IFERROR('IDC-VIC'!Y41*'IDC-VIC'!AB41,0))</f>
        <v/>
      </c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  <c r="AH34" s="11" t="n"/>
      <c r="AJ34" s="12">
        <f>IF($B34="Actual",C34,IF(Y34&lt;&gt;"",Y34,C34+N(N34)))</f>
        <v/>
      </c>
      <c r="AK34" s="12">
        <f>IF($B34="Actual",D34,IF(Z34&lt;&gt;"",Z34,D34+N(O34)))</f>
        <v/>
      </c>
      <c r="AL34" s="12">
        <f>IF($B34="Actual",E34,IF(AA34&lt;&gt;"",AA34,E34+N(P34)))</f>
        <v/>
      </c>
      <c r="AM34" s="12">
        <f>IF($B34="Actual",F34,IF(AB34&lt;&gt;"",AB34,F34+N(Q34)))</f>
        <v/>
      </c>
      <c r="AN34" s="12">
        <f>IF($B34="Actual",G34,IF(AC34&lt;&gt;"",AC34,G34+N(R34)))</f>
        <v/>
      </c>
      <c r="AO34" s="12">
        <f>IF($B34="Actual",H34,IF(AD34&lt;&gt;"",AD34,H34+N(S34)))</f>
        <v/>
      </c>
      <c r="AP34" s="12">
        <f>IF($B34="Actual",I34,IF(AE34&lt;&gt;"",AE34,I34+N(T34)))</f>
        <v/>
      </c>
      <c r="AQ34" s="12">
        <f>IF($B34="Actual",J34,IF(AF34&lt;&gt;"",AF34,J34+N(U34)))</f>
        <v/>
      </c>
      <c r="AR34" s="12">
        <f>IF($B34="Actual",K34,IF(AG34&lt;&gt;"",AG34,K34+N(V34)))</f>
        <v/>
      </c>
      <c r="AS34" s="12">
        <f>IF($B34="Actual",L34,IF(AH34&lt;&gt;"",AH34,L34+N(W34)))</f>
        <v/>
      </c>
    </row>
    <row r="35">
      <c r="A35" s="8" t="n">
        <v>46478</v>
      </c>
      <c r="B35">
        <f>IF(A35&lt;=LastActual,"Actual","Forecast")</f>
        <v/>
      </c>
      <c r="C35" s="9">
        <f>IF($B35="Actual",'NSW-1'!S42,IFERROR('NSW-1'!Y42*'NSW-1'!AB42,0))</f>
        <v/>
      </c>
      <c r="D35" s="9">
        <f>IF($B35="Actual",'VIC-1'!S42,IFERROR('VIC-1'!Y42*'VIC-1'!AB42,0))</f>
        <v/>
      </c>
      <c r="E35" s="9">
        <f>IF($B35="Actual",'QLD-1'!S42,IFERROR('QLD-1'!Y42*'QLD-1'!AB42,0))</f>
        <v/>
      </c>
      <c r="F35" s="9">
        <f>IF($B35="Actual",'NSW-2'!S42,IFERROR('NSW-2'!Y42*'NSW-2'!AB42,0))</f>
        <v/>
      </c>
      <c r="G35" s="9">
        <f>IF($B35="Actual",'VIC-2'!S42,IFERROR('VIC-2'!Y42*'VIC-2'!AB42,0))</f>
        <v/>
      </c>
      <c r="H35" s="9">
        <f>IF($B35="Actual",'QLD-2'!S42,IFERROR('QLD-2'!Y42*'QLD-2'!AB42,0))</f>
        <v/>
      </c>
      <c r="I35" s="9">
        <f>IF($B35="Actual",'SA-1'!S42,IFERROR('SA-1'!Y42*'SA-1'!AB42,0))</f>
        <v/>
      </c>
      <c r="J35" s="9">
        <f>IF($B35="Actual",'WA-1'!S42,IFERROR('WA-1'!Y42*'WA-1'!AB42,0))</f>
        <v/>
      </c>
      <c r="K35" s="9">
        <f>IF($B35="Actual",'IDC-NSW'!S42,IFERROR('IDC-NSW'!Y42*'IDC-NSW'!AB42,0))</f>
        <v/>
      </c>
      <c r="L35" s="9">
        <f>IF($B35="Actual",'IDC-VIC'!S42,IFERROR('IDC-VIC'!Y42*'IDC-VIC'!AB42,0))</f>
        <v/>
      </c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  <c r="AH35" s="11" t="n"/>
      <c r="AJ35" s="12">
        <f>IF($B35="Actual",C35,IF(Y35&lt;&gt;"",Y35,C35+N(N35)))</f>
        <v/>
      </c>
      <c r="AK35" s="12">
        <f>IF($B35="Actual",D35,IF(Z35&lt;&gt;"",Z35,D35+N(O35)))</f>
        <v/>
      </c>
      <c r="AL35" s="12">
        <f>IF($B35="Actual",E35,IF(AA35&lt;&gt;"",AA35,E35+N(P35)))</f>
        <v/>
      </c>
      <c r="AM35" s="12">
        <f>IF($B35="Actual",F35,IF(AB35&lt;&gt;"",AB35,F35+N(Q35)))</f>
        <v/>
      </c>
      <c r="AN35" s="12">
        <f>IF($B35="Actual",G35,IF(AC35&lt;&gt;"",AC35,G35+N(R35)))</f>
        <v/>
      </c>
      <c r="AO35" s="12">
        <f>IF($B35="Actual",H35,IF(AD35&lt;&gt;"",AD35,H35+N(S35)))</f>
        <v/>
      </c>
      <c r="AP35" s="12">
        <f>IF($B35="Actual",I35,IF(AE35&lt;&gt;"",AE35,I35+N(T35)))</f>
        <v/>
      </c>
      <c r="AQ35" s="12">
        <f>IF($B35="Actual",J35,IF(AF35&lt;&gt;"",AF35,J35+N(U35)))</f>
        <v/>
      </c>
      <c r="AR35" s="12">
        <f>IF($B35="Actual",K35,IF(AG35&lt;&gt;"",AG35,K35+N(V35)))</f>
        <v/>
      </c>
      <c r="AS35" s="12">
        <f>IF($B35="Actual",L35,IF(AH35&lt;&gt;"",AH35,L35+N(W35)))</f>
        <v/>
      </c>
    </row>
    <row r="36">
      <c r="A36" s="8" t="n">
        <v>46508</v>
      </c>
      <c r="B36">
        <f>IF(A36&lt;=LastActual,"Actual","Forecast")</f>
        <v/>
      </c>
      <c r="C36" s="9">
        <f>IF($B36="Actual",'NSW-1'!S43,IFERROR('NSW-1'!Y43*'NSW-1'!AB43,0))</f>
        <v/>
      </c>
      <c r="D36" s="9">
        <f>IF($B36="Actual",'VIC-1'!S43,IFERROR('VIC-1'!Y43*'VIC-1'!AB43,0))</f>
        <v/>
      </c>
      <c r="E36" s="9">
        <f>IF($B36="Actual",'QLD-1'!S43,IFERROR('QLD-1'!Y43*'QLD-1'!AB43,0))</f>
        <v/>
      </c>
      <c r="F36" s="9">
        <f>IF($B36="Actual",'NSW-2'!S43,IFERROR('NSW-2'!Y43*'NSW-2'!AB43,0))</f>
        <v/>
      </c>
      <c r="G36" s="9">
        <f>IF($B36="Actual",'VIC-2'!S43,IFERROR('VIC-2'!Y43*'VIC-2'!AB43,0))</f>
        <v/>
      </c>
      <c r="H36" s="9">
        <f>IF($B36="Actual",'QLD-2'!S43,IFERROR('QLD-2'!Y43*'QLD-2'!AB43,0))</f>
        <v/>
      </c>
      <c r="I36" s="9">
        <f>IF($B36="Actual",'SA-1'!S43,IFERROR('SA-1'!Y43*'SA-1'!AB43,0))</f>
        <v/>
      </c>
      <c r="J36" s="9">
        <f>IF($B36="Actual",'WA-1'!S43,IFERROR('WA-1'!Y43*'WA-1'!AB43,0))</f>
        <v/>
      </c>
      <c r="K36" s="9">
        <f>IF($B36="Actual",'IDC-NSW'!S43,IFERROR('IDC-NSW'!Y43*'IDC-NSW'!AB43,0))</f>
        <v/>
      </c>
      <c r="L36" s="9">
        <f>IF($B36="Actual",'IDC-VIC'!S43,IFERROR('IDC-VIC'!Y43*'IDC-VIC'!AB43,0))</f>
        <v/>
      </c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Y36" s="11" t="n"/>
      <c r="Z36" s="11" t="n"/>
      <c r="AA36" s="11" t="n"/>
      <c r="AB36" s="11" t="n"/>
      <c r="AC36" s="11" t="n"/>
      <c r="AD36" s="11" t="n"/>
      <c r="AE36" s="11" t="n"/>
      <c r="AF36" s="11" t="n"/>
      <c r="AG36" s="11" t="n"/>
      <c r="AH36" s="11" t="n"/>
      <c r="AJ36" s="12">
        <f>IF($B36="Actual",C36,IF(Y36&lt;&gt;"",Y36,C36+N(N36)))</f>
        <v/>
      </c>
      <c r="AK36" s="12">
        <f>IF($B36="Actual",D36,IF(Z36&lt;&gt;"",Z36,D36+N(O36)))</f>
        <v/>
      </c>
      <c r="AL36" s="12">
        <f>IF($B36="Actual",E36,IF(AA36&lt;&gt;"",AA36,E36+N(P36)))</f>
        <v/>
      </c>
      <c r="AM36" s="12">
        <f>IF($B36="Actual",F36,IF(AB36&lt;&gt;"",AB36,F36+N(Q36)))</f>
        <v/>
      </c>
      <c r="AN36" s="12">
        <f>IF($B36="Actual",G36,IF(AC36&lt;&gt;"",AC36,G36+N(R36)))</f>
        <v/>
      </c>
      <c r="AO36" s="12">
        <f>IF($B36="Actual",H36,IF(AD36&lt;&gt;"",AD36,H36+N(S36)))</f>
        <v/>
      </c>
      <c r="AP36" s="12">
        <f>IF($B36="Actual",I36,IF(AE36&lt;&gt;"",AE36,I36+N(T36)))</f>
        <v/>
      </c>
      <c r="AQ36" s="12">
        <f>IF($B36="Actual",J36,IF(AF36&lt;&gt;"",AF36,J36+N(U36)))</f>
        <v/>
      </c>
      <c r="AR36" s="12">
        <f>IF($B36="Actual",K36,IF(AG36&lt;&gt;"",AG36,K36+N(V36)))</f>
        <v/>
      </c>
      <c r="AS36" s="12">
        <f>IF($B36="Actual",L36,IF(AH36&lt;&gt;"",AH36,L36+N(W36)))</f>
        <v/>
      </c>
    </row>
    <row r="37">
      <c r="A37" s="8" t="n">
        <v>46539</v>
      </c>
      <c r="B37">
        <f>IF(A37&lt;=LastActual,"Actual","Forecast")</f>
        <v/>
      </c>
      <c r="C37" s="9">
        <f>IF($B37="Actual",'NSW-1'!S44,IFERROR('NSW-1'!Y44*'NSW-1'!AB44,0))</f>
        <v/>
      </c>
      <c r="D37" s="9">
        <f>IF($B37="Actual",'VIC-1'!S44,IFERROR('VIC-1'!Y44*'VIC-1'!AB44,0))</f>
        <v/>
      </c>
      <c r="E37" s="9">
        <f>IF($B37="Actual",'QLD-1'!S44,IFERROR('QLD-1'!Y44*'QLD-1'!AB44,0))</f>
        <v/>
      </c>
      <c r="F37" s="9">
        <f>IF($B37="Actual",'NSW-2'!S44,IFERROR('NSW-2'!Y44*'NSW-2'!AB44,0))</f>
        <v/>
      </c>
      <c r="G37" s="9">
        <f>IF($B37="Actual",'VIC-2'!S44,IFERROR('VIC-2'!Y44*'VIC-2'!AB44,0))</f>
        <v/>
      </c>
      <c r="H37" s="9">
        <f>IF($B37="Actual",'QLD-2'!S44,IFERROR('QLD-2'!Y44*'QLD-2'!AB44,0))</f>
        <v/>
      </c>
      <c r="I37" s="9">
        <f>IF($B37="Actual",'SA-1'!S44,IFERROR('SA-1'!Y44*'SA-1'!AB44,0))</f>
        <v/>
      </c>
      <c r="J37" s="9">
        <f>IF($B37="Actual",'WA-1'!S44,IFERROR('WA-1'!Y44*'WA-1'!AB44,0))</f>
        <v/>
      </c>
      <c r="K37" s="9">
        <f>IF($B37="Actual",'IDC-NSW'!S44,IFERROR('IDC-NSW'!Y44*'IDC-NSW'!AB44,0))</f>
        <v/>
      </c>
      <c r="L37" s="9">
        <f>IF($B37="Actual",'IDC-VIC'!S44,IFERROR('IDC-VIC'!Y44*'IDC-VIC'!AB44,0))</f>
        <v/>
      </c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Y37" s="11" t="n"/>
      <c r="Z37" s="11" t="n"/>
      <c r="AA37" s="11" t="n"/>
      <c r="AB37" s="11" t="n"/>
      <c r="AC37" s="11" t="n"/>
      <c r="AD37" s="11" t="n"/>
      <c r="AE37" s="11" t="n"/>
      <c r="AF37" s="11" t="n"/>
      <c r="AG37" s="11" t="n"/>
      <c r="AH37" s="11" t="n"/>
      <c r="AJ37" s="12">
        <f>IF($B37="Actual",C37,IF(Y37&lt;&gt;"",Y37,C37+N(N37)))</f>
        <v/>
      </c>
      <c r="AK37" s="12">
        <f>IF($B37="Actual",D37,IF(Z37&lt;&gt;"",Z37,D37+N(O37)))</f>
        <v/>
      </c>
      <c r="AL37" s="12">
        <f>IF($B37="Actual",E37,IF(AA37&lt;&gt;"",AA37,E37+N(P37)))</f>
        <v/>
      </c>
      <c r="AM37" s="12">
        <f>IF($B37="Actual",F37,IF(AB37&lt;&gt;"",AB37,F37+N(Q37)))</f>
        <v/>
      </c>
      <c r="AN37" s="12">
        <f>IF($B37="Actual",G37,IF(AC37&lt;&gt;"",AC37,G37+N(R37)))</f>
        <v/>
      </c>
      <c r="AO37" s="12">
        <f>IF($B37="Actual",H37,IF(AD37&lt;&gt;"",AD37,H37+N(S37)))</f>
        <v/>
      </c>
      <c r="AP37" s="12">
        <f>IF($B37="Actual",I37,IF(AE37&lt;&gt;"",AE37,I37+N(T37)))</f>
        <v/>
      </c>
      <c r="AQ37" s="12">
        <f>IF($B37="Actual",J37,IF(AF37&lt;&gt;"",AF37,J37+N(U37)))</f>
        <v/>
      </c>
      <c r="AR37" s="12">
        <f>IF($B37="Actual",K37,IF(AG37&lt;&gt;"",AG37,K37+N(V37)))</f>
        <v/>
      </c>
      <c r="AS37" s="12">
        <f>IF($B37="Actual",L37,IF(AH37&lt;&gt;"",AH37,L37+N(W37)))</f>
        <v/>
      </c>
    </row>
    <row r="38">
      <c r="A38" s="8" t="n">
        <v>46569</v>
      </c>
      <c r="B38">
        <f>IF(A38&lt;=LastActual,"Actual","Forecast")</f>
        <v/>
      </c>
      <c r="C38" s="9">
        <f>IF($B38="Actual",'NSW-1'!S45,IFERROR('NSW-1'!Y45*'NSW-1'!AB45,0))</f>
        <v/>
      </c>
      <c r="D38" s="9">
        <f>IF($B38="Actual",'VIC-1'!S45,IFERROR('VIC-1'!Y45*'VIC-1'!AB45,0))</f>
        <v/>
      </c>
      <c r="E38" s="9">
        <f>IF($B38="Actual",'QLD-1'!S45,IFERROR('QLD-1'!Y45*'QLD-1'!AB45,0))</f>
        <v/>
      </c>
      <c r="F38" s="9">
        <f>IF($B38="Actual",'NSW-2'!S45,IFERROR('NSW-2'!Y45*'NSW-2'!AB45,0))</f>
        <v/>
      </c>
      <c r="G38" s="9">
        <f>IF($B38="Actual",'VIC-2'!S45,IFERROR('VIC-2'!Y45*'VIC-2'!AB45,0))</f>
        <v/>
      </c>
      <c r="H38" s="9">
        <f>IF($B38="Actual",'QLD-2'!S45,IFERROR('QLD-2'!Y45*'QLD-2'!AB45,0))</f>
        <v/>
      </c>
      <c r="I38" s="9">
        <f>IF($B38="Actual",'SA-1'!S45,IFERROR('SA-1'!Y45*'SA-1'!AB45,0))</f>
        <v/>
      </c>
      <c r="J38" s="9">
        <f>IF($B38="Actual",'WA-1'!S45,IFERROR('WA-1'!Y45*'WA-1'!AB45,0))</f>
        <v/>
      </c>
      <c r="K38" s="9">
        <f>IF($B38="Actual",'IDC-NSW'!S45,IFERROR('IDC-NSW'!Y45*'IDC-NSW'!AB45,0))</f>
        <v/>
      </c>
      <c r="L38" s="9">
        <f>IF($B38="Actual",'IDC-VIC'!S45,IFERROR('IDC-VIC'!Y45*'IDC-VIC'!AB45,0))</f>
        <v/>
      </c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  <c r="AH38" s="11" t="n"/>
      <c r="AJ38" s="12">
        <f>IF($B38="Actual",C38,IF(Y38&lt;&gt;"",Y38,C38+N(N38)))</f>
        <v/>
      </c>
      <c r="AK38" s="12">
        <f>IF($B38="Actual",D38,IF(Z38&lt;&gt;"",Z38,D38+N(O38)))</f>
        <v/>
      </c>
      <c r="AL38" s="12">
        <f>IF($B38="Actual",E38,IF(AA38&lt;&gt;"",AA38,E38+N(P38)))</f>
        <v/>
      </c>
      <c r="AM38" s="12">
        <f>IF($B38="Actual",F38,IF(AB38&lt;&gt;"",AB38,F38+N(Q38)))</f>
        <v/>
      </c>
      <c r="AN38" s="12">
        <f>IF($B38="Actual",G38,IF(AC38&lt;&gt;"",AC38,G38+N(R38)))</f>
        <v/>
      </c>
      <c r="AO38" s="12">
        <f>IF($B38="Actual",H38,IF(AD38&lt;&gt;"",AD38,H38+N(S38)))</f>
        <v/>
      </c>
      <c r="AP38" s="12">
        <f>IF($B38="Actual",I38,IF(AE38&lt;&gt;"",AE38,I38+N(T38)))</f>
        <v/>
      </c>
      <c r="AQ38" s="12">
        <f>IF($B38="Actual",J38,IF(AF38&lt;&gt;"",AF38,J38+N(U38)))</f>
        <v/>
      </c>
      <c r="AR38" s="12">
        <f>IF($B38="Actual",K38,IF(AG38&lt;&gt;"",AG38,K38+N(V38)))</f>
        <v/>
      </c>
      <c r="AS38" s="12">
        <f>IF($B38="Actual",L38,IF(AH38&lt;&gt;"",AH38,L38+N(W38)))</f>
        <v/>
      </c>
    </row>
    <row r="39">
      <c r="A39" s="8" t="n">
        <v>46600</v>
      </c>
      <c r="B39">
        <f>IF(A39&lt;=LastActual,"Actual","Forecast")</f>
        <v/>
      </c>
      <c r="C39" s="9">
        <f>IF($B39="Actual",'NSW-1'!S46,IFERROR('NSW-1'!Y46*'NSW-1'!AB46,0))</f>
        <v/>
      </c>
      <c r="D39" s="9">
        <f>IF($B39="Actual",'VIC-1'!S46,IFERROR('VIC-1'!Y46*'VIC-1'!AB46,0))</f>
        <v/>
      </c>
      <c r="E39" s="9">
        <f>IF($B39="Actual",'QLD-1'!S46,IFERROR('QLD-1'!Y46*'QLD-1'!AB46,0))</f>
        <v/>
      </c>
      <c r="F39" s="9">
        <f>IF($B39="Actual",'NSW-2'!S46,IFERROR('NSW-2'!Y46*'NSW-2'!AB46,0))</f>
        <v/>
      </c>
      <c r="G39" s="9">
        <f>IF($B39="Actual",'VIC-2'!S46,IFERROR('VIC-2'!Y46*'VIC-2'!AB46,0))</f>
        <v/>
      </c>
      <c r="H39" s="9">
        <f>IF($B39="Actual",'QLD-2'!S46,IFERROR('QLD-2'!Y46*'QLD-2'!AB46,0))</f>
        <v/>
      </c>
      <c r="I39" s="9">
        <f>IF($B39="Actual",'SA-1'!S46,IFERROR('SA-1'!Y46*'SA-1'!AB46,0))</f>
        <v/>
      </c>
      <c r="J39" s="9">
        <f>IF($B39="Actual",'WA-1'!S46,IFERROR('WA-1'!Y46*'WA-1'!AB46,0))</f>
        <v/>
      </c>
      <c r="K39" s="9">
        <f>IF($B39="Actual",'IDC-NSW'!S46,IFERROR('IDC-NSW'!Y46*'IDC-NSW'!AB46,0))</f>
        <v/>
      </c>
      <c r="L39" s="9">
        <f>IF($B39="Actual",'IDC-VIC'!S46,IFERROR('IDC-VIC'!Y46*'IDC-VIC'!AB46,0))</f>
        <v/>
      </c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  <c r="AH39" s="11" t="n"/>
      <c r="AJ39" s="12">
        <f>IF($B39="Actual",C39,IF(Y39&lt;&gt;"",Y39,C39+N(N39)))</f>
        <v/>
      </c>
      <c r="AK39" s="12">
        <f>IF($B39="Actual",D39,IF(Z39&lt;&gt;"",Z39,D39+N(O39)))</f>
        <v/>
      </c>
      <c r="AL39" s="12">
        <f>IF($B39="Actual",E39,IF(AA39&lt;&gt;"",AA39,E39+N(P39)))</f>
        <v/>
      </c>
      <c r="AM39" s="12">
        <f>IF($B39="Actual",F39,IF(AB39&lt;&gt;"",AB39,F39+N(Q39)))</f>
        <v/>
      </c>
      <c r="AN39" s="12">
        <f>IF($B39="Actual",G39,IF(AC39&lt;&gt;"",AC39,G39+N(R39)))</f>
        <v/>
      </c>
      <c r="AO39" s="12">
        <f>IF($B39="Actual",H39,IF(AD39&lt;&gt;"",AD39,H39+N(S39)))</f>
        <v/>
      </c>
      <c r="AP39" s="12">
        <f>IF($B39="Actual",I39,IF(AE39&lt;&gt;"",AE39,I39+N(T39)))</f>
        <v/>
      </c>
      <c r="AQ39" s="12">
        <f>IF($B39="Actual",J39,IF(AF39&lt;&gt;"",AF39,J39+N(U39)))</f>
        <v/>
      </c>
      <c r="AR39" s="12">
        <f>IF($B39="Actual",K39,IF(AG39&lt;&gt;"",AG39,K39+N(V39)))</f>
        <v/>
      </c>
      <c r="AS39" s="12">
        <f>IF($B39="Actual",L39,IF(AH39&lt;&gt;"",AH39,L39+N(W39)))</f>
        <v/>
      </c>
    </row>
    <row r="40">
      <c r="A40" s="8" t="n">
        <v>46631</v>
      </c>
      <c r="B40">
        <f>IF(A40&lt;=LastActual,"Actual","Forecast")</f>
        <v/>
      </c>
      <c r="C40" s="9">
        <f>IF($B40="Actual",'NSW-1'!S47,IFERROR('NSW-1'!Y47*'NSW-1'!AB47,0))</f>
        <v/>
      </c>
      <c r="D40" s="9">
        <f>IF($B40="Actual",'VIC-1'!S47,IFERROR('VIC-1'!Y47*'VIC-1'!AB47,0))</f>
        <v/>
      </c>
      <c r="E40" s="9">
        <f>IF($B40="Actual",'QLD-1'!S47,IFERROR('QLD-1'!Y47*'QLD-1'!AB47,0))</f>
        <v/>
      </c>
      <c r="F40" s="9">
        <f>IF($B40="Actual",'NSW-2'!S47,IFERROR('NSW-2'!Y47*'NSW-2'!AB47,0))</f>
        <v/>
      </c>
      <c r="G40" s="9">
        <f>IF($B40="Actual",'VIC-2'!S47,IFERROR('VIC-2'!Y47*'VIC-2'!AB47,0))</f>
        <v/>
      </c>
      <c r="H40" s="9">
        <f>IF($B40="Actual",'QLD-2'!S47,IFERROR('QLD-2'!Y47*'QLD-2'!AB47,0))</f>
        <v/>
      </c>
      <c r="I40" s="9">
        <f>IF($B40="Actual",'SA-1'!S47,IFERROR('SA-1'!Y47*'SA-1'!AB47,0))</f>
        <v/>
      </c>
      <c r="J40" s="9">
        <f>IF($B40="Actual",'WA-1'!S47,IFERROR('WA-1'!Y47*'WA-1'!AB47,0))</f>
        <v/>
      </c>
      <c r="K40" s="9">
        <f>IF($B40="Actual",'IDC-NSW'!S47,IFERROR('IDC-NSW'!Y47*'IDC-NSW'!AB47,0))</f>
        <v/>
      </c>
      <c r="L40" s="9">
        <f>IF($B40="Actual",'IDC-VIC'!S47,IFERROR('IDC-VIC'!Y47*'IDC-VIC'!AB47,0))</f>
        <v/>
      </c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Y40" s="11" t="n"/>
      <c r="Z40" s="11" t="n"/>
      <c r="AA40" s="11" t="n"/>
      <c r="AB40" s="11" t="n"/>
      <c r="AC40" s="11" t="n"/>
      <c r="AD40" s="11" t="n"/>
      <c r="AE40" s="11" t="n"/>
      <c r="AF40" s="11" t="n"/>
      <c r="AG40" s="11" t="n"/>
      <c r="AH40" s="11" t="n"/>
      <c r="AJ40" s="12">
        <f>IF($B40="Actual",C40,IF(Y40&lt;&gt;"",Y40,C40+N(N40)))</f>
        <v/>
      </c>
      <c r="AK40" s="12">
        <f>IF($B40="Actual",D40,IF(Z40&lt;&gt;"",Z40,D40+N(O40)))</f>
        <v/>
      </c>
      <c r="AL40" s="12">
        <f>IF($B40="Actual",E40,IF(AA40&lt;&gt;"",AA40,E40+N(P40)))</f>
        <v/>
      </c>
      <c r="AM40" s="12">
        <f>IF($B40="Actual",F40,IF(AB40&lt;&gt;"",AB40,F40+N(Q40)))</f>
        <v/>
      </c>
      <c r="AN40" s="12">
        <f>IF($B40="Actual",G40,IF(AC40&lt;&gt;"",AC40,G40+N(R40)))</f>
        <v/>
      </c>
      <c r="AO40" s="12">
        <f>IF($B40="Actual",H40,IF(AD40&lt;&gt;"",AD40,H40+N(S40)))</f>
        <v/>
      </c>
      <c r="AP40" s="12">
        <f>IF($B40="Actual",I40,IF(AE40&lt;&gt;"",AE40,I40+N(T40)))</f>
        <v/>
      </c>
      <c r="AQ40" s="12">
        <f>IF($B40="Actual",J40,IF(AF40&lt;&gt;"",AF40,J40+N(U40)))</f>
        <v/>
      </c>
      <c r="AR40" s="12">
        <f>IF($B40="Actual",K40,IF(AG40&lt;&gt;"",AG40,K40+N(V40)))</f>
        <v/>
      </c>
      <c r="AS40" s="12">
        <f>IF($B40="Actual",L40,IF(AH40&lt;&gt;"",AH40,L40+N(W40)))</f>
        <v/>
      </c>
    </row>
    <row r="41">
      <c r="A41" s="8" t="n">
        <v>46661</v>
      </c>
      <c r="B41">
        <f>IF(A41&lt;=LastActual,"Actual","Forecast")</f>
        <v/>
      </c>
      <c r="C41" s="9">
        <f>IF($B41="Actual",'NSW-1'!S48,IFERROR('NSW-1'!Y48*'NSW-1'!AB48,0))</f>
        <v/>
      </c>
      <c r="D41" s="9">
        <f>IF($B41="Actual",'VIC-1'!S48,IFERROR('VIC-1'!Y48*'VIC-1'!AB48,0))</f>
        <v/>
      </c>
      <c r="E41" s="9">
        <f>IF($B41="Actual",'QLD-1'!S48,IFERROR('QLD-1'!Y48*'QLD-1'!AB48,0))</f>
        <v/>
      </c>
      <c r="F41" s="9">
        <f>IF($B41="Actual",'NSW-2'!S48,IFERROR('NSW-2'!Y48*'NSW-2'!AB48,0))</f>
        <v/>
      </c>
      <c r="G41" s="9">
        <f>IF($B41="Actual",'VIC-2'!S48,IFERROR('VIC-2'!Y48*'VIC-2'!AB48,0))</f>
        <v/>
      </c>
      <c r="H41" s="9">
        <f>IF($B41="Actual",'QLD-2'!S48,IFERROR('QLD-2'!Y48*'QLD-2'!AB48,0))</f>
        <v/>
      </c>
      <c r="I41" s="9">
        <f>IF($B41="Actual",'SA-1'!S48,IFERROR('SA-1'!Y48*'SA-1'!AB48,0))</f>
        <v/>
      </c>
      <c r="J41" s="9">
        <f>IF($B41="Actual",'WA-1'!S48,IFERROR('WA-1'!Y48*'WA-1'!AB48,0))</f>
        <v/>
      </c>
      <c r="K41" s="9">
        <f>IF($B41="Actual",'IDC-NSW'!S48,IFERROR('IDC-NSW'!Y48*'IDC-NSW'!AB48,0))</f>
        <v/>
      </c>
      <c r="L41" s="9">
        <f>IF($B41="Actual",'IDC-VIC'!S48,IFERROR('IDC-VIC'!Y48*'IDC-VIC'!AB48,0))</f>
        <v/>
      </c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Y41" s="11" t="n"/>
      <c r="Z41" s="11" t="n"/>
      <c r="AA41" s="11" t="n"/>
      <c r="AB41" s="11" t="n"/>
      <c r="AC41" s="11" t="n"/>
      <c r="AD41" s="11" t="n"/>
      <c r="AE41" s="11" t="n"/>
      <c r="AF41" s="11" t="n"/>
      <c r="AG41" s="11" t="n"/>
      <c r="AH41" s="11" t="n"/>
      <c r="AJ41" s="12">
        <f>IF($B41="Actual",C41,IF(Y41&lt;&gt;"",Y41,C41+N(N41)))</f>
        <v/>
      </c>
      <c r="AK41" s="12">
        <f>IF($B41="Actual",D41,IF(Z41&lt;&gt;"",Z41,D41+N(O41)))</f>
        <v/>
      </c>
      <c r="AL41" s="12">
        <f>IF($B41="Actual",E41,IF(AA41&lt;&gt;"",AA41,E41+N(P41)))</f>
        <v/>
      </c>
      <c r="AM41" s="12">
        <f>IF($B41="Actual",F41,IF(AB41&lt;&gt;"",AB41,F41+N(Q41)))</f>
        <v/>
      </c>
      <c r="AN41" s="12">
        <f>IF($B41="Actual",G41,IF(AC41&lt;&gt;"",AC41,G41+N(R41)))</f>
        <v/>
      </c>
      <c r="AO41" s="12">
        <f>IF($B41="Actual",H41,IF(AD41&lt;&gt;"",AD41,H41+N(S41)))</f>
        <v/>
      </c>
      <c r="AP41" s="12">
        <f>IF($B41="Actual",I41,IF(AE41&lt;&gt;"",AE41,I41+N(T41)))</f>
        <v/>
      </c>
      <c r="AQ41" s="12">
        <f>IF($B41="Actual",J41,IF(AF41&lt;&gt;"",AF41,J41+N(U41)))</f>
        <v/>
      </c>
      <c r="AR41" s="12">
        <f>IF($B41="Actual",K41,IF(AG41&lt;&gt;"",AG41,K41+N(V41)))</f>
        <v/>
      </c>
      <c r="AS41" s="12">
        <f>IF($B41="Actual",L41,IF(AH41&lt;&gt;"",AH41,L41+N(W41)))</f>
        <v/>
      </c>
    </row>
    <row r="42">
      <c r="A42" s="8" t="n">
        <v>46692</v>
      </c>
      <c r="B42">
        <f>IF(A42&lt;=LastActual,"Actual","Forecast")</f>
        <v/>
      </c>
      <c r="C42" s="9">
        <f>IF($B42="Actual",'NSW-1'!S49,IFERROR('NSW-1'!Y49*'NSW-1'!AB49,0))</f>
        <v/>
      </c>
      <c r="D42" s="9">
        <f>IF($B42="Actual",'VIC-1'!S49,IFERROR('VIC-1'!Y49*'VIC-1'!AB49,0))</f>
        <v/>
      </c>
      <c r="E42" s="9">
        <f>IF($B42="Actual",'QLD-1'!S49,IFERROR('QLD-1'!Y49*'QLD-1'!AB49,0))</f>
        <v/>
      </c>
      <c r="F42" s="9">
        <f>IF($B42="Actual",'NSW-2'!S49,IFERROR('NSW-2'!Y49*'NSW-2'!AB49,0))</f>
        <v/>
      </c>
      <c r="G42" s="9">
        <f>IF($B42="Actual",'VIC-2'!S49,IFERROR('VIC-2'!Y49*'VIC-2'!AB49,0))</f>
        <v/>
      </c>
      <c r="H42" s="9">
        <f>IF($B42="Actual",'QLD-2'!S49,IFERROR('QLD-2'!Y49*'QLD-2'!AB49,0))</f>
        <v/>
      </c>
      <c r="I42" s="9">
        <f>IF($B42="Actual",'SA-1'!S49,IFERROR('SA-1'!Y49*'SA-1'!AB49,0))</f>
        <v/>
      </c>
      <c r="J42" s="9">
        <f>IF($B42="Actual",'WA-1'!S49,IFERROR('WA-1'!Y49*'WA-1'!AB49,0))</f>
        <v/>
      </c>
      <c r="K42" s="9">
        <f>IF($B42="Actual",'IDC-NSW'!S49,IFERROR('IDC-NSW'!Y49*'IDC-NSW'!AB49,0))</f>
        <v/>
      </c>
      <c r="L42" s="9">
        <f>IF($B42="Actual",'IDC-VIC'!S49,IFERROR('IDC-VIC'!Y49*'IDC-VIC'!AB49,0))</f>
        <v/>
      </c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1" t="n"/>
      <c r="AJ42" s="12">
        <f>IF($B42="Actual",C42,IF(Y42&lt;&gt;"",Y42,C42+N(N42)))</f>
        <v/>
      </c>
      <c r="AK42" s="12">
        <f>IF($B42="Actual",D42,IF(Z42&lt;&gt;"",Z42,D42+N(O42)))</f>
        <v/>
      </c>
      <c r="AL42" s="12">
        <f>IF($B42="Actual",E42,IF(AA42&lt;&gt;"",AA42,E42+N(P42)))</f>
        <v/>
      </c>
      <c r="AM42" s="12">
        <f>IF($B42="Actual",F42,IF(AB42&lt;&gt;"",AB42,F42+N(Q42)))</f>
        <v/>
      </c>
      <c r="AN42" s="12">
        <f>IF($B42="Actual",G42,IF(AC42&lt;&gt;"",AC42,G42+N(R42)))</f>
        <v/>
      </c>
      <c r="AO42" s="12">
        <f>IF($B42="Actual",H42,IF(AD42&lt;&gt;"",AD42,H42+N(S42)))</f>
        <v/>
      </c>
      <c r="AP42" s="12">
        <f>IF($B42="Actual",I42,IF(AE42&lt;&gt;"",AE42,I42+N(T42)))</f>
        <v/>
      </c>
      <c r="AQ42" s="12">
        <f>IF($B42="Actual",J42,IF(AF42&lt;&gt;"",AF42,J42+N(U42)))</f>
        <v/>
      </c>
      <c r="AR42" s="12">
        <f>IF($B42="Actual",K42,IF(AG42&lt;&gt;"",AG42,K42+N(V42)))</f>
        <v/>
      </c>
      <c r="AS42" s="12">
        <f>IF($B42="Actual",L42,IF(AH42&lt;&gt;"",AH42,L42+N(W42)))</f>
        <v/>
      </c>
    </row>
    <row r="43">
      <c r="A43" s="8" t="n">
        <v>46722</v>
      </c>
      <c r="B43">
        <f>IF(A43&lt;=LastActual,"Actual","Forecast")</f>
        <v/>
      </c>
      <c r="C43" s="9">
        <f>IF($B43="Actual",'NSW-1'!S50,IFERROR('NSW-1'!Y50*'NSW-1'!AB50,0))</f>
        <v/>
      </c>
      <c r="D43" s="9">
        <f>IF($B43="Actual",'VIC-1'!S50,IFERROR('VIC-1'!Y50*'VIC-1'!AB50,0))</f>
        <v/>
      </c>
      <c r="E43" s="9">
        <f>IF($B43="Actual",'QLD-1'!S50,IFERROR('QLD-1'!Y50*'QLD-1'!AB50,0))</f>
        <v/>
      </c>
      <c r="F43" s="9">
        <f>IF($B43="Actual",'NSW-2'!S50,IFERROR('NSW-2'!Y50*'NSW-2'!AB50,0))</f>
        <v/>
      </c>
      <c r="G43" s="9">
        <f>IF($B43="Actual",'VIC-2'!S50,IFERROR('VIC-2'!Y50*'VIC-2'!AB50,0))</f>
        <v/>
      </c>
      <c r="H43" s="9">
        <f>IF($B43="Actual",'QLD-2'!S50,IFERROR('QLD-2'!Y50*'QLD-2'!AB50,0))</f>
        <v/>
      </c>
      <c r="I43" s="9">
        <f>IF($B43="Actual",'SA-1'!S50,IFERROR('SA-1'!Y50*'SA-1'!AB50,0))</f>
        <v/>
      </c>
      <c r="J43" s="9">
        <f>IF($B43="Actual",'WA-1'!S50,IFERROR('WA-1'!Y50*'WA-1'!AB50,0))</f>
        <v/>
      </c>
      <c r="K43" s="9">
        <f>IF($B43="Actual",'IDC-NSW'!S50,IFERROR('IDC-NSW'!Y50*'IDC-NSW'!AB50,0))</f>
        <v/>
      </c>
      <c r="L43" s="9">
        <f>IF($B43="Actual",'IDC-VIC'!S50,IFERROR('IDC-VIC'!Y50*'IDC-VIC'!AB50,0))</f>
        <v/>
      </c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  <c r="AH43" s="11" t="n"/>
      <c r="AJ43" s="12">
        <f>IF($B43="Actual",C43,IF(Y43&lt;&gt;"",Y43,C43+N(N43)))</f>
        <v/>
      </c>
      <c r="AK43" s="12">
        <f>IF($B43="Actual",D43,IF(Z43&lt;&gt;"",Z43,D43+N(O43)))</f>
        <v/>
      </c>
      <c r="AL43" s="12">
        <f>IF($B43="Actual",E43,IF(AA43&lt;&gt;"",AA43,E43+N(P43)))</f>
        <v/>
      </c>
      <c r="AM43" s="12">
        <f>IF($B43="Actual",F43,IF(AB43&lt;&gt;"",AB43,F43+N(Q43)))</f>
        <v/>
      </c>
      <c r="AN43" s="12">
        <f>IF($B43="Actual",G43,IF(AC43&lt;&gt;"",AC43,G43+N(R43)))</f>
        <v/>
      </c>
      <c r="AO43" s="12">
        <f>IF($B43="Actual",H43,IF(AD43&lt;&gt;"",AD43,H43+N(S43)))</f>
        <v/>
      </c>
      <c r="AP43" s="12">
        <f>IF($B43="Actual",I43,IF(AE43&lt;&gt;"",AE43,I43+N(T43)))</f>
        <v/>
      </c>
      <c r="AQ43" s="12">
        <f>IF($B43="Actual",J43,IF(AF43&lt;&gt;"",AF43,J43+N(U43)))</f>
        <v/>
      </c>
      <c r="AR43" s="12">
        <f>IF($B43="Actual",K43,IF(AG43&lt;&gt;"",AG43,K43+N(V43)))</f>
        <v/>
      </c>
      <c r="AS43" s="12">
        <f>IF($B43="Actual",L43,IF(AH43&lt;&gt;"",AH43,L43+N(W43)))</f>
        <v/>
      </c>
    </row>
    <row r="44">
      <c r="A44" s="8" t="n">
        <v>46753</v>
      </c>
      <c r="B44">
        <f>IF(A44&lt;=LastActual,"Actual","Forecast")</f>
        <v/>
      </c>
      <c r="C44" s="9">
        <f>IF($B44="Actual",'NSW-1'!S51,IFERROR('NSW-1'!Y51*'NSW-1'!AB51,0))</f>
        <v/>
      </c>
      <c r="D44" s="9">
        <f>IF($B44="Actual",'VIC-1'!S51,IFERROR('VIC-1'!Y51*'VIC-1'!AB51,0))</f>
        <v/>
      </c>
      <c r="E44" s="9">
        <f>IF($B44="Actual",'QLD-1'!S51,IFERROR('QLD-1'!Y51*'QLD-1'!AB51,0))</f>
        <v/>
      </c>
      <c r="F44" s="9">
        <f>IF($B44="Actual",'NSW-2'!S51,IFERROR('NSW-2'!Y51*'NSW-2'!AB51,0))</f>
        <v/>
      </c>
      <c r="G44" s="9">
        <f>IF($B44="Actual",'VIC-2'!S51,IFERROR('VIC-2'!Y51*'VIC-2'!AB51,0))</f>
        <v/>
      </c>
      <c r="H44" s="9">
        <f>IF($B44="Actual",'QLD-2'!S51,IFERROR('QLD-2'!Y51*'QLD-2'!AB51,0))</f>
        <v/>
      </c>
      <c r="I44" s="9">
        <f>IF($B44="Actual",'SA-1'!S51,IFERROR('SA-1'!Y51*'SA-1'!AB51,0))</f>
        <v/>
      </c>
      <c r="J44" s="9">
        <f>IF($B44="Actual",'WA-1'!S51,IFERROR('WA-1'!Y51*'WA-1'!AB51,0))</f>
        <v/>
      </c>
      <c r="K44" s="9">
        <f>IF($B44="Actual",'IDC-NSW'!S51,IFERROR('IDC-NSW'!Y51*'IDC-NSW'!AB51,0))</f>
        <v/>
      </c>
      <c r="L44" s="9">
        <f>IF($B44="Actual",'IDC-VIC'!S51,IFERROR('IDC-VIC'!Y51*'IDC-VIC'!AB51,0))</f>
        <v/>
      </c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Y44" s="11" t="n"/>
      <c r="Z44" s="11" t="n"/>
      <c r="AA44" s="11" t="n"/>
      <c r="AB44" s="11" t="n"/>
      <c r="AC44" s="11" t="n"/>
      <c r="AD44" s="11" t="n"/>
      <c r="AE44" s="11" t="n"/>
      <c r="AF44" s="11" t="n"/>
      <c r="AG44" s="11" t="n"/>
      <c r="AH44" s="11" t="n"/>
      <c r="AJ44" s="12">
        <f>IF($B44="Actual",C44,IF(Y44&lt;&gt;"",Y44,C44+N(N44)))</f>
        <v/>
      </c>
      <c r="AK44" s="12">
        <f>IF($B44="Actual",D44,IF(Z44&lt;&gt;"",Z44,D44+N(O44)))</f>
        <v/>
      </c>
      <c r="AL44" s="12">
        <f>IF($B44="Actual",E44,IF(AA44&lt;&gt;"",AA44,E44+N(P44)))</f>
        <v/>
      </c>
      <c r="AM44" s="12">
        <f>IF($B44="Actual",F44,IF(AB44&lt;&gt;"",AB44,F44+N(Q44)))</f>
        <v/>
      </c>
      <c r="AN44" s="12">
        <f>IF($B44="Actual",G44,IF(AC44&lt;&gt;"",AC44,G44+N(R44)))</f>
        <v/>
      </c>
      <c r="AO44" s="12">
        <f>IF($B44="Actual",H44,IF(AD44&lt;&gt;"",AD44,H44+N(S44)))</f>
        <v/>
      </c>
      <c r="AP44" s="12">
        <f>IF($B44="Actual",I44,IF(AE44&lt;&gt;"",AE44,I44+N(T44)))</f>
        <v/>
      </c>
      <c r="AQ44" s="12">
        <f>IF($B44="Actual",J44,IF(AF44&lt;&gt;"",AF44,J44+N(U44)))</f>
        <v/>
      </c>
      <c r="AR44" s="12">
        <f>IF($B44="Actual",K44,IF(AG44&lt;&gt;"",AG44,K44+N(V44)))</f>
        <v/>
      </c>
      <c r="AS44" s="12">
        <f>IF($B44="Actual",L44,IF(AH44&lt;&gt;"",AH44,L44+N(W44)))</f>
        <v/>
      </c>
    </row>
    <row r="45">
      <c r="A45" s="8" t="n">
        <v>46784</v>
      </c>
      <c r="B45">
        <f>IF(A45&lt;=LastActual,"Actual","Forecast")</f>
        <v/>
      </c>
      <c r="C45" s="9">
        <f>IF($B45="Actual",'NSW-1'!S52,IFERROR('NSW-1'!Y52*'NSW-1'!AB52,0))</f>
        <v/>
      </c>
      <c r="D45" s="9">
        <f>IF($B45="Actual",'VIC-1'!S52,IFERROR('VIC-1'!Y52*'VIC-1'!AB52,0))</f>
        <v/>
      </c>
      <c r="E45" s="9">
        <f>IF($B45="Actual",'QLD-1'!S52,IFERROR('QLD-1'!Y52*'QLD-1'!AB52,0))</f>
        <v/>
      </c>
      <c r="F45" s="9">
        <f>IF($B45="Actual",'NSW-2'!S52,IFERROR('NSW-2'!Y52*'NSW-2'!AB52,0))</f>
        <v/>
      </c>
      <c r="G45" s="9">
        <f>IF($B45="Actual",'VIC-2'!S52,IFERROR('VIC-2'!Y52*'VIC-2'!AB52,0))</f>
        <v/>
      </c>
      <c r="H45" s="9">
        <f>IF($B45="Actual",'QLD-2'!S52,IFERROR('QLD-2'!Y52*'QLD-2'!AB52,0))</f>
        <v/>
      </c>
      <c r="I45" s="9">
        <f>IF($B45="Actual",'SA-1'!S52,IFERROR('SA-1'!Y52*'SA-1'!AB52,0))</f>
        <v/>
      </c>
      <c r="J45" s="9">
        <f>IF($B45="Actual",'WA-1'!S52,IFERROR('WA-1'!Y52*'WA-1'!AB52,0))</f>
        <v/>
      </c>
      <c r="K45" s="9">
        <f>IF($B45="Actual",'IDC-NSW'!S52,IFERROR('IDC-NSW'!Y52*'IDC-NSW'!AB52,0))</f>
        <v/>
      </c>
      <c r="L45" s="9">
        <f>IF($B45="Actual",'IDC-VIC'!S52,IFERROR('IDC-VIC'!Y52*'IDC-VIC'!AB52,0))</f>
        <v/>
      </c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Y45" s="11" t="n"/>
      <c r="Z45" s="11" t="n"/>
      <c r="AA45" s="11" t="n"/>
      <c r="AB45" s="11" t="n"/>
      <c r="AC45" s="11" t="n"/>
      <c r="AD45" s="11" t="n"/>
      <c r="AE45" s="11" t="n"/>
      <c r="AF45" s="11" t="n"/>
      <c r="AG45" s="11" t="n"/>
      <c r="AH45" s="11" t="n"/>
      <c r="AJ45" s="12">
        <f>IF($B45="Actual",C45,IF(Y45&lt;&gt;"",Y45,C45+N(N45)))</f>
        <v/>
      </c>
      <c r="AK45" s="12">
        <f>IF($B45="Actual",D45,IF(Z45&lt;&gt;"",Z45,D45+N(O45)))</f>
        <v/>
      </c>
      <c r="AL45" s="12">
        <f>IF($B45="Actual",E45,IF(AA45&lt;&gt;"",AA45,E45+N(P45)))</f>
        <v/>
      </c>
      <c r="AM45" s="12">
        <f>IF($B45="Actual",F45,IF(AB45&lt;&gt;"",AB45,F45+N(Q45)))</f>
        <v/>
      </c>
      <c r="AN45" s="12">
        <f>IF($B45="Actual",G45,IF(AC45&lt;&gt;"",AC45,G45+N(R45)))</f>
        <v/>
      </c>
      <c r="AO45" s="12">
        <f>IF($B45="Actual",H45,IF(AD45&lt;&gt;"",AD45,H45+N(S45)))</f>
        <v/>
      </c>
      <c r="AP45" s="12">
        <f>IF($B45="Actual",I45,IF(AE45&lt;&gt;"",AE45,I45+N(T45)))</f>
        <v/>
      </c>
      <c r="AQ45" s="12">
        <f>IF($B45="Actual",J45,IF(AF45&lt;&gt;"",AF45,J45+N(U45)))</f>
        <v/>
      </c>
      <c r="AR45" s="12">
        <f>IF($B45="Actual",K45,IF(AG45&lt;&gt;"",AG45,K45+N(V45)))</f>
        <v/>
      </c>
      <c r="AS45" s="12">
        <f>IF($B45="Actual",L45,IF(AH45&lt;&gt;"",AH45,L45+N(W45)))</f>
        <v/>
      </c>
    </row>
    <row r="46">
      <c r="A46" s="8" t="n">
        <v>46813</v>
      </c>
      <c r="B46">
        <f>IF(A46&lt;=LastActual,"Actual","Forecast")</f>
        <v/>
      </c>
      <c r="C46" s="9">
        <f>IF($B46="Actual",'NSW-1'!S53,IFERROR('NSW-1'!Y53*'NSW-1'!AB53,0))</f>
        <v/>
      </c>
      <c r="D46" s="9">
        <f>IF($B46="Actual",'VIC-1'!S53,IFERROR('VIC-1'!Y53*'VIC-1'!AB53,0))</f>
        <v/>
      </c>
      <c r="E46" s="9">
        <f>IF($B46="Actual",'QLD-1'!S53,IFERROR('QLD-1'!Y53*'QLD-1'!AB53,0))</f>
        <v/>
      </c>
      <c r="F46" s="9">
        <f>IF($B46="Actual",'NSW-2'!S53,IFERROR('NSW-2'!Y53*'NSW-2'!AB53,0))</f>
        <v/>
      </c>
      <c r="G46" s="9">
        <f>IF($B46="Actual",'VIC-2'!S53,IFERROR('VIC-2'!Y53*'VIC-2'!AB53,0))</f>
        <v/>
      </c>
      <c r="H46" s="9">
        <f>IF($B46="Actual",'QLD-2'!S53,IFERROR('QLD-2'!Y53*'QLD-2'!AB53,0))</f>
        <v/>
      </c>
      <c r="I46" s="9">
        <f>IF($B46="Actual",'SA-1'!S53,IFERROR('SA-1'!Y53*'SA-1'!AB53,0))</f>
        <v/>
      </c>
      <c r="J46" s="9">
        <f>IF($B46="Actual",'WA-1'!S53,IFERROR('WA-1'!Y53*'WA-1'!AB53,0))</f>
        <v/>
      </c>
      <c r="K46" s="9">
        <f>IF($B46="Actual",'IDC-NSW'!S53,IFERROR('IDC-NSW'!Y53*'IDC-NSW'!AB53,0))</f>
        <v/>
      </c>
      <c r="L46" s="9">
        <f>IF($B46="Actual",'IDC-VIC'!S53,IFERROR('IDC-VIC'!Y53*'IDC-VIC'!AB53,0))</f>
        <v/>
      </c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J46" s="12">
        <f>IF($B46="Actual",C46,IF(Y46&lt;&gt;"",Y46,C46+N(N46)))</f>
        <v/>
      </c>
      <c r="AK46" s="12">
        <f>IF($B46="Actual",D46,IF(Z46&lt;&gt;"",Z46,D46+N(O46)))</f>
        <v/>
      </c>
      <c r="AL46" s="12">
        <f>IF($B46="Actual",E46,IF(AA46&lt;&gt;"",AA46,E46+N(P46)))</f>
        <v/>
      </c>
      <c r="AM46" s="12">
        <f>IF($B46="Actual",F46,IF(AB46&lt;&gt;"",AB46,F46+N(Q46)))</f>
        <v/>
      </c>
      <c r="AN46" s="12">
        <f>IF($B46="Actual",G46,IF(AC46&lt;&gt;"",AC46,G46+N(R46)))</f>
        <v/>
      </c>
      <c r="AO46" s="12">
        <f>IF($B46="Actual",H46,IF(AD46&lt;&gt;"",AD46,H46+N(S46)))</f>
        <v/>
      </c>
      <c r="AP46" s="12">
        <f>IF($B46="Actual",I46,IF(AE46&lt;&gt;"",AE46,I46+N(T46)))</f>
        <v/>
      </c>
      <c r="AQ46" s="12">
        <f>IF($B46="Actual",J46,IF(AF46&lt;&gt;"",AF46,J46+N(U46)))</f>
        <v/>
      </c>
      <c r="AR46" s="12">
        <f>IF($B46="Actual",K46,IF(AG46&lt;&gt;"",AG46,K46+N(V46)))</f>
        <v/>
      </c>
      <c r="AS46" s="12">
        <f>IF($B46="Actual",L46,IF(AH46&lt;&gt;"",AH46,L46+N(W46)))</f>
        <v/>
      </c>
    </row>
    <row r="47">
      <c r="A47" s="8" t="n">
        <v>46844</v>
      </c>
      <c r="B47">
        <f>IF(A47&lt;=LastActual,"Actual","Forecast")</f>
        <v/>
      </c>
      <c r="C47" s="9">
        <f>IF($B47="Actual",'NSW-1'!S54,IFERROR('NSW-1'!Y54*'NSW-1'!AB54,0))</f>
        <v/>
      </c>
      <c r="D47" s="9">
        <f>IF($B47="Actual",'VIC-1'!S54,IFERROR('VIC-1'!Y54*'VIC-1'!AB54,0))</f>
        <v/>
      </c>
      <c r="E47" s="9">
        <f>IF($B47="Actual",'QLD-1'!S54,IFERROR('QLD-1'!Y54*'QLD-1'!AB54,0))</f>
        <v/>
      </c>
      <c r="F47" s="9">
        <f>IF($B47="Actual",'NSW-2'!S54,IFERROR('NSW-2'!Y54*'NSW-2'!AB54,0))</f>
        <v/>
      </c>
      <c r="G47" s="9">
        <f>IF($B47="Actual",'VIC-2'!S54,IFERROR('VIC-2'!Y54*'VIC-2'!AB54,0))</f>
        <v/>
      </c>
      <c r="H47" s="9">
        <f>IF($B47="Actual",'QLD-2'!S54,IFERROR('QLD-2'!Y54*'QLD-2'!AB54,0))</f>
        <v/>
      </c>
      <c r="I47" s="9">
        <f>IF($B47="Actual",'SA-1'!S54,IFERROR('SA-1'!Y54*'SA-1'!AB54,0))</f>
        <v/>
      </c>
      <c r="J47" s="9">
        <f>IF($B47="Actual",'WA-1'!S54,IFERROR('WA-1'!Y54*'WA-1'!AB54,0))</f>
        <v/>
      </c>
      <c r="K47" s="9">
        <f>IF($B47="Actual",'IDC-NSW'!S54,IFERROR('IDC-NSW'!Y54*'IDC-NSW'!AB54,0))</f>
        <v/>
      </c>
      <c r="L47" s="9">
        <f>IF($B47="Actual",'IDC-VIC'!S54,IFERROR('IDC-VIC'!Y54*'IDC-VIC'!AB54,0))</f>
        <v/>
      </c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  <c r="AH47" s="11" t="n"/>
      <c r="AJ47" s="12">
        <f>IF($B47="Actual",C47,IF(Y47&lt;&gt;"",Y47,C47+N(N47)))</f>
        <v/>
      </c>
      <c r="AK47" s="12">
        <f>IF($B47="Actual",D47,IF(Z47&lt;&gt;"",Z47,D47+N(O47)))</f>
        <v/>
      </c>
      <c r="AL47" s="12">
        <f>IF($B47="Actual",E47,IF(AA47&lt;&gt;"",AA47,E47+N(P47)))</f>
        <v/>
      </c>
      <c r="AM47" s="12">
        <f>IF($B47="Actual",F47,IF(AB47&lt;&gt;"",AB47,F47+N(Q47)))</f>
        <v/>
      </c>
      <c r="AN47" s="12">
        <f>IF($B47="Actual",G47,IF(AC47&lt;&gt;"",AC47,G47+N(R47)))</f>
        <v/>
      </c>
      <c r="AO47" s="12">
        <f>IF($B47="Actual",H47,IF(AD47&lt;&gt;"",AD47,H47+N(S47)))</f>
        <v/>
      </c>
      <c r="AP47" s="12">
        <f>IF($B47="Actual",I47,IF(AE47&lt;&gt;"",AE47,I47+N(T47)))</f>
        <v/>
      </c>
      <c r="AQ47" s="12">
        <f>IF($B47="Actual",J47,IF(AF47&lt;&gt;"",AF47,J47+N(U47)))</f>
        <v/>
      </c>
      <c r="AR47" s="12">
        <f>IF($B47="Actual",K47,IF(AG47&lt;&gt;"",AG47,K47+N(V47)))</f>
        <v/>
      </c>
      <c r="AS47" s="12">
        <f>IF($B47="Actual",L47,IF(AH47&lt;&gt;"",AH47,L47+N(W47)))</f>
        <v/>
      </c>
    </row>
    <row r="48">
      <c r="A48" s="8" t="n">
        <v>46874</v>
      </c>
      <c r="B48">
        <f>IF(A48&lt;=LastActual,"Actual","Forecast")</f>
        <v/>
      </c>
      <c r="C48" s="9">
        <f>IF($B48="Actual",'NSW-1'!S55,IFERROR('NSW-1'!Y55*'NSW-1'!AB55,0))</f>
        <v/>
      </c>
      <c r="D48" s="9">
        <f>IF($B48="Actual",'VIC-1'!S55,IFERROR('VIC-1'!Y55*'VIC-1'!AB55,0))</f>
        <v/>
      </c>
      <c r="E48" s="9">
        <f>IF($B48="Actual",'QLD-1'!S55,IFERROR('QLD-1'!Y55*'QLD-1'!AB55,0))</f>
        <v/>
      </c>
      <c r="F48" s="9">
        <f>IF($B48="Actual",'NSW-2'!S55,IFERROR('NSW-2'!Y55*'NSW-2'!AB55,0))</f>
        <v/>
      </c>
      <c r="G48" s="9">
        <f>IF($B48="Actual",'VIC-2'!S55,IFERROR('VIC-2'!Y55*'VIC-2'!AB55,0))</f>
        <v/>
      </c>
      <c r="H48" s="9">
        <f>IF($B48="Actual",'QLD-2'!S55,IFERROR('QLD-2'!Y55*'QLD-2'!AB55,0))</f>
        <v/>
      </c>
      <c r="I48" s="9">
        <f>IF($B48="Actual",'SA-1'!S55,IFERROR('SA-1'!Y55*'SA-1'!AB55,0))</f>
        <v/>
      </c>
      <c r="J48" s="9">
        <f>IF($B48="Actual",'WA-1'!S55,IFERROR('WA-1'!Y55*'WA-1'!AB55,0))</f>
        <v/>
      </c>
      <c r="K48" s="9">
        <f>IF($B48="Actual",'IDC-NSW'!S55,IFERROR('IDC-NSW'!Y55*'IDC-NSW'!AB55,0))</f>
        <v/>
      </c>
      <c r="L48" s="9">
        <f>IF($B48="Actual",'IDC-VIC'!S55,IFERROR('IDC-VIC'!Y55*'IDC-VIC'!AB55,0))</f>
        <v/>
      </c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Y48" s="11" t="n"/>
      <c r="Z48" s="11" t="n"/>
      <c r="AA48" s="11" t="n"/>
      <c r="AB48" s="11" t="n"/>
      <c r="AC48" s="11" t="n"/>
      <c r="AD48" s="11" t="n"/>
      <c r="AE48" s="11" t="n"/>
      <c r="AF48" s="11" t="n"/>
      <c r="AG48" s="11" t="n"/>
      <c r="AH48" s="11" t="n"/>
      <c r="AJ48" s="12">
        <f>IF($B48="Actual",C48,IF(Y48&lt;&gt;"",Y48,C48+N(N48)))</f>
        <v/>
      </c>
      <c r="AK48" s="12">
        <f>IF($B48="Actual",D48,IF(Z48&lt;&gt;"",Z48,D48+N(O48)))</f>
        <v/>
      </c>
      <c r="AL48" s="12">
        <f>IF($B48="Actual",E48,IF(AA48&lt;&gt;"",AA48,E48+N(P48)))</f>
        <v/>
      </c>
      <c r="AM48" s="12">
        <f>IF($B48="Actual",F48,IF(AB48&lt;&gt;"",AB48,F48+N(Q48)))</f>
        <v/>
      </c>
      <c r="AN48" s="12">
        <f>IF($B48="Actual",G48,IF(AC48&lt;&gt;"",AC48,G48+N(R48)))</f>
        <v/>
      </c>
      <c r="AO48" s="12">
        <f>IF($B48="Actual",H48,IF(AD48&lt;&gt;"",AD48,H48+N(S48)))</f>
        <v/>
      </c>
      <c r="AP48" s="12">
        <f>IF($B48="Actual",I48,IF(AE48&lt;&gt;"",AE48,I48+N(T48)))</f>
        <v/>
      </c>
      <c r="AQ48" s="12">
        <f>IF($B48="Actual",J48,IF(AF48&lt;&gt;"",AF48,J48+N(U48)))</f>
        <v/>
      </c>
      <c r="AR48" s="12">
        <f>IF($B48="Actual",K48,IF(AG48&lt;&gt;"",AG48,K48+N(V48)))</f>
        <v/>
      </c>
      <c r="AS48" s="12">
        <f>IF($B48="Actual",L48,IF(AH48&lt;&gt;"",AH48,L48+N(W48)))</f>
        <v/>
      </c>
    </row>
    <row r="49">
      <c r="A49" s="8" t="n">
        <v>46905</v>
      </c>
      <c r="B49">
        <f>IF(A49&lt;=LastActual,"Actual","Forecast")</f>
        <v/>
      </c>
      <c r="C49" s="9">
        <f>IF($B49="Actual",'NSW-1'!S56,IFERROR('NSW-1'!Y56*'NSW-1'!AB56,0))</f>
        <v/>
      </c>
      <c r="D49" s="9">
        <f>IF($B49="Actual",'VIC-1'!S56,IFERROR('VIC-1'!Y56*'VIC-1'!AB56,0))</f>
        <v/>
      </c>
      <c r="E49" s="9">
        <f>IF($B49="Actual",'QLD-1'!S56,IFERROR('QLD-1'!Y56*'QLD-1'!AB56,0))</f>
        <v/>
      </c>
      <c r="F49" s="9">
        <f>IF($B49="Actual",'NSW-2'!S56,IFERROR('NSW-2'!Y56*'NSW-2'!AB56,0))</f>
        <v/>
      </c>
      <c r="G49" s="9">
        <f>IF($B49="Actual",'VIC-2'!S56,IFERROR('VIC-2'!Y56*'VIC-2'!AB56,0))</f>
        <v/>
      </c>
      <c r="H49" s="9">
        <f>IF($B49="Actual",'QLD-2'!S56,IFERROR('QLD-2'!Y56*'QLD-2'!AB56,0))</f>
        <v/>
      </c>
      <c r="I49" s="9">
        <f>IF($B49="Actual",'SA-1'!S56,IFERROR('SA-1'!Y56*'SA-1'!AB56,0))</f>
        <v/>
      </c>
      <c r="J49" s="9">
        <f>IF($B49="Actual",'WA-1'!S56,IFERROR('WA-1'!Y56*'WA-1'!AB56,0))</f>
        <v/>
      </c>
      <c r="K49" s="9">
        <f>IF($B49="Actual",'IDC-NSW'!S56,IFERROR('IDC-NSW'!Y56*'IDC-NSW'!AB56,0))</f>
        <v/>
      </c>
      <c r="L49" s="9">
        <f>IF($B49="Actual",'IDC-VIC'!S56,IFERROR('IDC-VIC'!Y56*'IDC-VIC'!AB56,0))</f>
        <v/>
      </c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Y49" s="11" t="n"/>
      <c r="Z49" s="11" t="n"/>
      <c r="AA49" s="11" t="n"/>
      <c r="AB49" s="11" t="n"/>
      <c r="AC49" s="11" t="n"/>
      <c r="AD49" s="11" t="n"/>
      <c r="AE49" s="11" t="n"/>
      <c r="AF49" s="11" t="n"/>
      <c r="AG49" s="11" t="n"/>
      <c r="AH49" s="11" t="n"/>
      <c r="AJ49" s="12">
        <f>IF($B49="Actual",C49,IF(Y49&lt;&gt;"",Y49,C49+N(N49)))</f>
        <v/>
      </c>
      <c r="AK49" s="12">
        <f>IF($B49="Actual",D49,IF(Z49&lt;&gt;"",Z49,D49+N(O49)))</f>
        <v/>
      </c>
      <c r="AL49" s="12">
        <f>IF($B49="Actual",E49,IF(AA49&lt;&gt;"",AA49,E49+N(P49)))</f>
        <v/>
      </c>
      <c r="AM49" s="12">
        <f>IF($B49="Actual",F49,IF(AB49&lt;&gt;"",AB49,F49+N(Q49)))</f>
        <v/>
      </c>
      <c r="AN49" s="12">
        <f>IF($B49="Actual",G49,IF(AC49&lt;&gt;"",AC49,G49+N(R49)))</f>
        <v/>
      </c>
      <c r="AO49" s="12">
        <f>IF($B49="Actual",H49,IF(AD49&lt;&gt;"",AD49,H49+N(S49)))</f>
        <v/>
      </c>
      <c r="AP49" s="12">
        <f>IF($B49="Actual",I49,IF(AE49&lt;&gt;"",AE49,I49+N(T49)))</f>
        <v/>
      </c>
      <c r="AQ49" s="12">
        <f>IF($B49="Actual",J49,IF(AF49&lt;&gt;"",AF49,J49+N(U49)))</f>
        <v/>
      </c>
      <c r="AR49" s="12">
        <f>IF($B49="Actual",K49,IF(AG49&lt;&gt;"",AG49,K49+N(V49)))</f>
        <v/>
      </c>
      <c r="AS49" s="12">
        <f>IF($B49="Actual",L49,IF(AH49&lt;&gt;"",AH49,L49+N(W49)))</f>
        <v/>
      </c>
    </row>
    <row r="50">
      <c r="A50" s="8" t="n">
        <v>46935</v>
      </c>
      <c r="B50">
        <f>IF(A50&lt;=LastActual,"Actual","Forecast")</f>
        <v/>
      </c>
      <c r="C50" s="9">
        <f>IF($B50="Actual",'NSW-1'!S57,IFERROR('NSW-1'!Y57*'NSW-1'!AB57,0))</f>
        <v/>
      </c>
      <c r="D50" s="9">
        <f>IF($B50="Actual",'VIC-1'!S57,IFERROR('VIC-1'!Y57*'VIC-1'!AB57,0))</f>
        <v/>
      </c>
      <c r="E50" s="9">
        <f>IF($B50="Actual",'QLD-1'!S57,IFERROR('QLD-1'!Y57*'QLD-1'!AB57,0))</f>
        <v/>
      </c>
      <c r="F50" s="9">
        <f>IF($B50="Actual",'NSW-2'!S57,IFERROR('NSW-2'!Y57*'NSW-2'!AB57,0))</f>
        <v/>
      </c>
      <c r="G50" s="9">
        <f>IF($B50="Actual",'VIC-2'!S57,IFERROR('VIC-2'!Y57*'VIC-2'!AB57,0))</f>
        <v/>
      </c>
      <c r="H50" s="9">
        <f>IF($B50="Actual",'QLD-2'!S57,IFERROR('QLD-2'!Y57*'QLD-2'!AB57,0))</f>
        <v/>
      </c>
      <c r="I50" s="9">
        <f>IF($B50="Actual",'SA-1'!S57,IFERROR('SA-1'!Y57*'SA-1'!AB57,0))</f>
        <v/>
      </c>
      <c r="J50" s="9">
        <f>IF($B50="Actual",'WA-1'!S57,IFERROR('WA-1'!Y57*'WA-1'!AB57,0))</f>
        <v/>
      </c>
      <c r="K50" s="9">
        <f>IF($B50="Actual",'IDC-NSW'!S57,IFERROR('IDC-NSW'!Y57*'IDC-NSW'!AB57,0))</f>
        <v/>
      </c>
      <c r="L50" s="9">
        <f>IF($B50="Actual",'IDC-VIC'!S57,IFERROR('IDC-VIC'!Y57*'IDC-VIC'!AB57,0))</f>
        <v/>
      </c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/>
      <c r="AJ50" s="12">
        <f>IF($B50="Actual",C50,IF(Y50&lt;&gt;"",Y50,C50+N(N50)))</f>
        <v/>
      </c>
      <c r="AK50" s="12">
        <f>IF($B50="Actual",D50,IF(Z50&lt;&gt;"",Z50,D50+N(O50)))</f>
        <v/>
      </c>
      <c r="AL50" s="12">
        <f>IF($B50="Actual",E50,IF(AA50&lt;&gt;"",AA50,E50+N(P50)))</f>
        <v/>
      </c>
      <c r="AM50" s="12">
        <f>IF($B50="Actual",F50,IF(AB50&lt;&gt;"",AB50,F50+N(Q50)))</f>
        <v/>
      </c>
      <c r="AN50" s="12">
        <f>IF($B50="Actual",G50,IF(AC50&lt;&gt;"",AC50,G50+N(R50)))</f>
        <v/>
      </c>
      <c r="AO50" s="12">
        <f>IF($B50="Actual",H50,IF(AD50&lt;&gt;"",AD50,H50+N(S50)))</f>
        <v/>
      </c>
      <c r="AP50" s="12">
        <f>IF($B50="Actual",I50,IF(AE50&lt;&gt;"",AE50,I50+N(T50)))</f>
        <v/>
      </c>
      <c r="AQ50" s="12">
        <f>IF($B50="Actual",J50,IF(AF50&lt;&gt;"",AF50,J50+N(U50)))</f>
        <v/>
      </c>
      <c r="AR50" s="12">
        <f>IF($B50="Actual",K50,IF(AG50&lt;&gt;"",AG50,K50+N(V50)))</f>
        <v/>
      </c>
      <c r="AS50" s="12">
        <f>IF($B50="Actual",L50,IF(AH50&lt;&gt;"",AH50,L50+N(W50)))</f>
        <v/>
      </c>
    </row>
    <row r="51">
      <c r="A51" s="8" t="n">
        <v>46966</v>
      </c>
      <c r="B51">
        <f>IF(A51&lt;=LastActual,"Actual","Forecast")</f>
        <v/>
      </c>
      <c r="C51" s="9">
        <f>IF($B51="Actual",'NSW-1'!S58,IFERROR('NSW-1'!Y58*'NSW-1'!AB58,0))</f>
        <v/>
      </c>
      <c r="D51" s="9">
        <f>IF($B51="Actual",'VIC-1'!S58,IFERROR('VIC-1'!Y58*'VIC-1'!AB58,0))</f>
        <v/>
      </c>
      <c r="E51" s="9">
        <f>IF($B51="Actual",'QLD-1'!S58,IFERROR('QLD-1'!Y58*'QLD-1'!AB58,0))</f>
        <v/>
      </c>
      <c r="F51" s="9">
        <f>IF($B51="Actual",'NSW-2'!S58,IFERROR('NSW-2'!Y58*'NSW-2'!AB58,0))</f>
        <v/>
      </c>
      <c r="G51" s="9">
        <f>IF($B51="Actual",'VIC-2'!S58,IFERROR('VIC-2'!Y58*'VIC-2'!AB58,0))</f>
        <v/>
      </c>
      <c r="H51" s="9">
        <f>IF($B51="Actual",'QLD-2'!S58,IFERROR('QLD-2'!Y58*'QLD-2'!AB58,0))</f>
        <v/>
      </c>
      <c r="I51" s="9">
        <f>IF($B51="Actual",'SA-1'!S58,IFERROR('SA-1'!Y58*'SA-1'!AB58,0))</f>
        <v/>
      </c>
      <c r="J51" s="9">
        <f>IF($B51="Actual",'WA-1'!S58,IFERROR('WA-1'!Y58*'WA-1'!AB58,0))</f>
        <v/>
      </c>
      <c r="K51" s="9">
        <f>IF($B51="Actual",'IDC-NSW'!S58,IFERROR('IDC-NSW'!Y58*'IDC-NSW'!AB58,0))</f>
        <v/>
      </c>
      <c r="L51" s="9">
        <f>IF($B51="Actual",'IDC-VIC'!S58,IFERROR('IDC-VIC'!Y58*'IDC-VIC'!AB58,0))</f>
        <v/>
      </c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  <c r="AH51" s="11" t="n"/>
      <c r="AJ51" s="12">
        <f>IF($B51="Actual",C51,IF(Y51&lt;&gt;"",Y51,C51+N(N51)))</f>
        <v/>
      </c>
      <c r="AK51" s="12">
        <f>IF($B51="Actual",D51,IF(Z51&lt;&gt;"",Z51,D51+N(O51)))</f>
        <v/>
      </c>
      <c r="AL51" s="12">
        <f>IF($B51="Actual",E51,IF(AA51&lt;&gt;"",AA51,E51+N(P51)))</f>
        <v/>
      </c>
      <c r="AM51" s="12">
        <f>IF($B51="Actual",F51,IF(AB51&lt;&gt;"",AB51,F51+N(Q51)))</f>
        <v/>
      </c>
      <c r="AN51" s="12">
        <f>IF($B51="Actual",G51,IF(AC51&lt;&gt;"",AC51,G51+N(R51)))</f>
        <v/>
      </c>
      <c r="AO51" s="12">
        <f>IF($B51="Actual",H51,IF(AD51&lt;&gt;"",AD51,H51+N(S51)))</f>
        <v/>
      </c>
      <c r="AP51" s="12">
        <f>IF($B51="Actual",I51,IF(AE51&lt;&gt;"",AE51,I51+N(T51)))</f>
        <v/>
      </c>
      <c r="AQ51" s="12">
        <f>IF($B51="Actual",J51,IF(AF51&lt;&gt;"",AF51,J51+N(U51)))</f>
        <v/>
      </c>
      <c r="AR51" s="12">
        <f>IF($B51="Actual",K51,IF(AG51&lt;&gt;"",AG51,K51+N(V51)))</f>
        <v/>
      </c>
      <c r="AS51" s="12">
        <f>IF($B51="Actual",L51,IF(AH51&lt;&gt;"",AH51,L51+N(W51)))</f>
        <v/>
      </c>
    </row>
    <row r="52">
      <c r="A52" s="8" t="n">
        <v>46997</v>
      </c>
      <c r="B52">
        <f>IF(A52&lt;=LastActual,"Actual","Forecast")</f>
        <v/>
      </c>
      <c r="C52" s="9">
        <f>IF($B52="Actual",'NSW-1'!S59,IFERROR('NSW-1'!Y59*'NSW-1'!AB59,0))</f>
        <v/>
      </c>
      <c r="D52" s="9">
        <f>IF($B52="Actual",'VIC-1'!S59,IFERROR('VIC-1'!Y59*'VIC-1'!AB59,0))</f>
        <v/>
      </c>
      <c r="E52" s="9">
        <f>IF($B52="Actual",'QLD-1'!S59,IFERROR('QLD-1'!Y59*'QLD-1'!AB59,0))</f>
        <v/>
      </c>
      <c r="F52" s="9">
        <f>IF($B52="Actual",'NSW-2'!S59,IFERROR('NSW-2'!Y59*'NSW-2'!AB59,0))</f>
        <v/>
      </c>
      <c r="G52" s="9">
        <f>IF($B52="Actual",'VIC-2'!S59,IFERROR('VIC-2'!Y59*'VIC-2'!AB59,0))</f>
        <v/>
      </c>
      <c r="H52" s="9">
        <f>IF($B52="Actual",'QLD-2'!S59,IFERROR('QLD-2'!Y59*'QLD-2'!AB59,0))</f>
        <v/>
      </c>
      <c r="I52" s="9">
        <f>IF($B52="Actual",'SA-1'!S59,IFERROR('SA-1'!Y59*'SA-1'!AB59,0))</f>
        <v/>
      </c>
      <c r="J52" s="9">
        <f>IF($B52="Actual",'WA-1'!S59,IFERROR('WA-1'!Y59*'WA-1'!AB59,0))</f>
        <v/>
      </c>
      <c r="K52" s="9">
        <f>IF($B52="Actual",'IDC-NSW'!S59,IFERROR('IDC-NSW'!Y59*'IDC-NSW'!AB59,0))</f>
        <v/>
      </c>
      <c r="L52" s="9">
        <f>IF($B52="Actual",'IDC-VIC'!S59,IFERROR('IDC-VIC'!Y59*'IDC-VIC'!AB59,0))</f>
        <v/>
      </c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  <c r="AG52" s="11" t="n"/>
      <c r="AH52" s="11" t="n"/>
      <c r="AJ52" s="12">
        <f>IF($B52="Actual",C52,IF(Y52&lt;&gt;"",Y52,C52+N(N52)))</f>
        <v/>
      </c>
      <c r="AK52" s="12">
        <f>IF($B52="Actual",D52,IF(Z52&lt;&gt;"",Z52,D52+N(O52)))</f>
        <v/>
      </c>
      <c r="AL52" s="12">
        <f>IF($B52="Actual",E52,IF(AA52&lt;&gt;"",AA52,E52+N(P52)))</f>
        <v/>
      </c>
      <c r="AM52" s="12">
        <f>IF($B52="Actual",F52,IF(AB52&lt;&gt;"",AB52,F52+N(Q52)))</f>
        <v/>
      </c>
      <c r="AN52" s="12">
        <f>IF($B52="Actual",G52,IF(AC52&lt;&gt;"",AC52,G52+N(R52)))</f>
        <v/>
      </c>
      <c r="AO52" s="12">
        <f>IF($B52="Actual",H52,IF(AD52&lt;&gt;"",AD52,H52+N(S52)))</f>
        <v/>
      </c>
      <c r="AP52" s="12">
        <f>IF($B52="Actual",I52,IF(AE52&lt;&gt;"",AE52,I52+N(T52)))</f>
        <v/>
      </c>
      <c r="AQ52" s="12">
        <f>IF($B52="Actual",J52,IF(AF52&lt;&gt;"",AF52,J52+N(U52)))</f>
        <v/>
      </c>
      <c r="AR52" s="12">
        <f>IF($B52="Actual",K52,IF(AG52&lt;&gt;"",AG52,K52+N(V52)))</f>
        <v/>
      </c>
      <c r="AS52" s="12">
        <f>IF($B52="Actual",L52,IF(AH52&lt;&gt;"",AH52,L52+N(W52)))</f>
        <v/>
      </c>
    </row>
    <row r="53">
      <c r="A53" s="8" t="n">
        <v>47027</v>
      </c>
      <c r="B53">
        <f>IF(A53&lt;=LastActual,"Actual","Forecast")</f>
        <v/>
      </c>
      <c r="C53" s="9">
        <f>IF($B53="Actual",'NSW-1'!S60,IFERROR('NSW-1'!Y60*'NSW-1'!AB60,0))</f>
        <v/>
      </c>
      <c r="D53" s="9">
        <f>IF($B53="Actual",'VIC-1'!S60,IFERROR('VIC-1'!Y60*'VIC-1'!AB60,0))</f>
        <v/>
      </c>
      <c r="E53" s="9">
        <f>IF($B53="Actual",'QLD-1'!S60,IFERROR('QLD-1'!Y60*'QLD-1'!AB60,0))</f>
        <v/>
      </c>
      <c r="F53" s="9">
        <f>IF($B53="Actual",'NSW-2'!S60,IFERROR('NSW-2'!Y60*'NSW-2'!AB60,0))</f>
        <v/>
      </c>
      <c r="G53" s="9">
        <f>IF($B53="Actual",'VIC-2'!S60,IFERROR('VIC-2'!Y60*'VIC-2'!AB60,0))</f>
        <v/>
      </c>
      <c r="H53" s="9">
        <f>IF($B53="Actual",'QLD-2'!S60,IFERROR('QLD-2'!Y60*'QLD-2'!AB60,0))</f>
        <v/>
      </c>
      <c r="I53" s="9">
        <f>IF($B53="Actual",'SA-1'!S60,IFERROR('SA-1'!Y60*'SA-1'!AB60,0))</f>
        <v/>
      </c>
      <c r="J53" s="9">
        <f>IF($B53="Actual",'WA-1'!S60,IFERROR('WA-1'!Y60*'WA-1'!AB60,0))</f>
        <v/>
      </c>
      <c r="K53" s="9">
        <f>IF($B53="Actual",'IDC-NSW'!S60,IFERROR('IDC-NSW'!Y60*'IDC-NSW'!AB60,0))</f>
        <v/>
      </c>
      <c r="L53" s="9">
        <f>IF($B53="Actual",'IDC-VIC'!S60,IFERROR('IDC-VIC'!Y60*'IDC-VIC'!AB60,0))</f>
        <v/>
      </c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Y53" s="11" t="n"/>
      <c r="Z53" s="11" t="n"/>
      <c r="AA53" s="11" t="n"/>
      <c r="AB53" s="11" t="n"/>
      <c r="AC53" s="11" t="n"/>
      <c r="AD53" s="11" t="n"/>
      <c r="AE53" s="11" t="n"/>
      <c r="AF53" s="11" t="n"/>
      <c r="AG53" s="11" t="n"/>
      <c r="AH53" s="11" t="n"/>
      <c r="AJ53" s="12">
        <f>IF($B53="Actual",C53,IF(Y53&lt;&gt;"",Y53,C53+N(N53)))</f>
        <v/>
      </c>
      <c r="AK53" s="12">
        <f>IF($B53="Actual",D53,IF(Z53&lt;&gt;"",Z53,D53+N(O53)))</f>
        <v/>
      </c>
      <c r="AL53" s="12">
        <f>IF($B53="Actual",E53,IF(AA53&lt;&gt;"",AA53,E53+N(P53)))</f>
        <v/>
      </c>
      <c r="AM53" s="12">
        <f>IF($B53="Actual",F53,IF(AB53&lt;&gt;"",AB53,F53+N(Q53)))</f>
        <v/>
      </c>
      <c r="AN53" s="12">
        <f>IF($B53="Actual",G53,IF(AC53&lt;&gt;"",AC53,G53+N(R53)))</f>
        <v/>
      </c>
      <c r="AO53" s="12">
        <f>IF($B53="Actual",H53,IF(AD53&lt;&gt;"",AD53,H53+N(S53)))</f>
        <v/>
      </c>
      <c r="AP53" s="12">
        <f>IF($B53="Actual",I53,IF(AE53&lt;&gt;"",AE53,I53+N(T53)))</f>
        <v/>
      </c>
      <c r="AQ53" s="12">
        <f>IF($B53="Actual",J53,IF(AF53&lt;&gt;"",AF53,J53+N(U53)))</f>
        <v/>
      </c>
      <c r="AR53" s="12">
        <f>IF($B53="Actual",K53,IF(AG53&lt;&gt;"",AG53,K53+N(V53)))</f>
        <v/>
      </c>
      <c r="AS53" s="12">
        <f>IF($B53="Actual",L53,IF(AH53&lt;&gt;"",AH53,L53+N(W53)))</f>
        <v/>
      </c>
    </row>
    <row r="54">
      <c r="A54" s="8" t="n">
        <v>47058</v>
      </c>
      <c r="B54">
        <f>IF(A54&lt;=LastActual,"Actual","Forecast")</f>
        <v/>
      </c>
      <c r="C54" s="9">
        <f>IF($B54="Actual",'NSW-1'!S61,IFERROR('NSW-1'!Y61*'NSW-1'!AB61,0))</f>
        <v/>
      </c>
      <c r="D54" s="9">
        <f>IF($B54="Actual",'VIC-1'!S61,IFERROR('VIC-1'!Y61*'VIC-1'!AB61,0))</f>
        <v/>
      </c>
      <c r="E54" s="9">
        <f>IF($B54="Actual",'QLD-1'!S61,IFERROR('QLD-1'!Y61*'QLD-1'!AB61,0))</f>
        <v/>
      </c>
      <c r="F54" s="9">
        <f>IF($B54="Actual",'NSW-2'!S61,IFERROR('NSW-2'!Y61*'NSW-2'!AB61,0))</f>
        <v/>
      </c>
      <c r="G54" s="9">
        <f>IF($B54="Actual",'VIC-2'!S61,IFERROR('VIC-2'!Y61*'VIC-2'!AB61,0))</f>
        <v/>
      </c>
      <c r="H54" s="9">
        <f>IF($B54="Actual",'QLD-2'!S61,IFERROR('QLD-2'!Y61*'QLD-2'!AB61,0))</f>
        <v/>
      </c>
      <c r="I54" s="9">
        <f>IF($B54="Actual",'SA-1'!S61,IFERROR('SA-1'!Y61*'SA-1'!AB61,0))</f>
        <v/>
      </c>
      <c r="J54" s="9">
        <f>IF($B54="Actual",'WA-1'!S61,IFERROR('WA-1'!Y61*'WA-1'!AB61,0))</f>
        <v/>
      </c>
      <c r="K54" s="9">
        <f>IF($B54="Actual",'IDC-NSW'!S61,IFERROR('IDC-NSW'!Y61*'IDC-NSW'!AB61,0))</f>
        <v/>
      </c>
      <c r="L54" s="9">
        <f>IF($B54="Actual",'IDC-VIC'!S61,IFERROR('IDC-VIC'!Y61*'IDC-VIC'!AB61,0))</f>
        <v/>
      </c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J54" s="12">
        <f>IF($B54="Actual",C54,IF(Y54&lt;&gt;"",Y54,C54+N(N54)))</f>
        <v/>
      </c>
      <c r="AK54" s="12">
        <f>IF($B54="Actual",D54,IF(Z54&lt;&gt;"",Z54,D54+N(O54)))</f>
        <v/>
      </c>
      <c r="AL54" s="12">
        <f>IF($B54="Actual",E54,IF(AA54&lt;&gt;"",AA54,E54+N(P54)))</f>
        <v/>
      </c>
      <c r="AM54" s="12">
        <f>IF($B54="Actual",F54,IF(AB54&lt;&gt;"",AB54,F54+N(Q54)))</f>
        <v/>
      </c>
      <c r="AN54" s="12">
        <f>IF($B54="Actual",G54,IF(AC54&lt;&gt;"",AC54,G54+N(R54)))</f>
        <v/>
      </c>
      <c r="AO54" s="12">
        <f>IF($B54="Actual",H54,IF(AD54&lt;&gt;"",AD54,H54+N(S54)))</f>
        <v/>
      </c>
      <c r="AP54" s="12">
        <f>IF($B54="Actual",I54,IF(AE54&lt;&gt;"",AE54,I54+N(T54)))</f>
        <v/>
      </c>
      <c r="AQ54" s="12">
        <f>IF($B54="Actual",J54,IF(AF54&lt;&gt;"",AF54,J54+N(U54)))</f>
        <v/>
      </c>
      <c r="AR54" s="12">
        <f>IF($B54="Actual",K54,IF(AG54&lt;&gt;"",AG54,K54+N(V54)))</f>
        <v/>
      </c>
      <c r="AS54" s="12">
        <f>IF($B54="Actual",L54,IF(AH54&lt;&gt;"",AH54,L54+N(W54)))</f>
        <v/>
      </c>
    </row>
    <row r="55">
      <c r="A55" s="8" t="n">
        <v>47088</v>
      </c>
      <c r="B55">
        <f>IF(A55&lt;=LastActual,"Actual","Forecast")</f>
        <v/>
      </c>
      <c r="C55" s="9">
        <f>IF($B55="Actual",'NSW-1'!S62,IFERROR('NSW-1'!Y62*'NSW-1'!AB62,0))</f>
        <v/>
      </c>
      <c r="D55" s="9">
        <f>IF($B55="Actual",'VIC-1'!S62,IFERROR('VIC-1'!Y62*'VIC-1'!AB62,0))</f>
        <v/>
      </c>
      <c r="E55" s="9">
        <f>IF($B55="Actual",'QLD-1'!S62,IFERROR('QLD-1'!Y62*'QLD-1'!AB62,0))</f>
        <v/>
      </c>
      <c r="F55" s="9">
        <f>IF($B55="Actual",'NSW-2'!S62,IFERROR('NSW-2'!Y62*'NSW-2'!AB62,0))</f>
        <v/>
      </c>
      <c r="G55" s="9">
        <f>IF($B55="Actual",'VIC-2'!S62,IFERROR('VIC-2'!Y62*'VIC-2'!AB62,0))</f>
        <v/>
      </c>
      <c r="H55" s="9">
        <f>IF($B55="Actual",'QLD-2'!S62,IFERROR('QLD-2'!Y62*'QLD-2'!AB62,0))</f>
        <v/>
      </c>
      <c r="I55" s="9">
        <f>IF($B55="Actual",'SA-1'!S62,IFERROR('SA-1'!Y62*'SA-1'!AB62,0))</f>
        <v/>
      </c>
      <c r="J55" s="9">
        <f>IF($B55="Actual",'WA-1'!S62,IFERROR('WA-1'!Y62*'WA-1'!AB62,0))</f>
        <v/>
      </c>
      <c r="K55" s="9">
        <f>IF($B55="Actual",'IDC-NSW'!S62,IFERROR('IDC-NSW'!Y62*'IDC-NSW'!AB62,0))</f>
        <v/>
      </c>
      <c r="L55" s="9">
        <f>IF($B55="Actual",'IDC-VIC'!S62,IFERROR('IDC-VIC'!Y62*'IDC-VIC'!AB62,0))</f>
        <v/>
      </c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  <c r="AH55" s="11" t="n"/>
      <c r="AJ55" s="12">
        <f>IF($B55="Actual",C55,IF(Y55&lt;&gt;"",Y55,C55+N(N55)))</f>
        <v/>
      </c>
      <c r="AK55" s="12">
        <f>IF($B55="Actual",D55,IF(Z55&lt;&gt;"",Z55,D55+N(O55)))</f>
        <v/>
      </c>
      <c r="AL55" s="12">
        <f>IF($B55="Actual",E55,IF(AA55&lt;&gt;"",AA55,E55+N(P55)))</f>
        <v/>
      </c>
      <c r="AM55" s="12">
        <f>IF($B55="Actual",F55,IF(AB55&lt;&gt;"",AB55,F55+N(Q55)))</f>
        <v/>
      </c>
      <c r="AN55" s="12">
        <f>IF($B55="Actual",G55,IF(AC55&lt;&gt;"",AC55,G55+N(R55)))</f>
        <v/>
      </c>
      <c r="AO55" s="12">
        <f>IF($B55="Actual",H55,IF(AD55&lt;&gt;"",AD55,H55+N(S55)))</f>
        <v/>
      </c>
      <c r="AP55" s="12">
        <f>IF($B55="Actual",I55,IF(AE55&lt;&gt;"",AE55,I55+N(T55)))</f>
        <v/>
      </c>
      <c r="AQ55" s="12">
        <f>IF($B55="Actual",J55,IF(AF55&lt;&gt;"",AF55,J55+N(U55)))</f>
        <v/>
      </c>
      <c r="AR55" s="12">
        <f>IF($B55="Actual",K55,IF(AG55&lt;&gt;"",AG55,K55+N(V55)))</f>
        <v/>
      </c>
      <c r="AS55" s="12">
        <f>IF($B55="Actual",L55,IF(AH55&lt;&gt;"",AH55,L55+N(W55)))</f>
        <v/>
      </c>
    </row>
  </sheetData>
  <mergeCells count="4">
    <mergeCell ref="C6:L6"/>
    <mergeCell ref="AJ6:AS6"/>
    <mergeCell ref="Y6:AH6"/>
    <mergeCell ref="N6:W6"/>
  </mergeCells>
  <conditionalFormatting sqref="A8:AS55">
    <cfRule type="expression" priority="1" dxfId="0">
      <formula>$B8="Actual"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C000"/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8" customWidth="1" min="3" max="3"/>
    <col width="11" customWidth="1" min="4" max="4"/>
    <col width="11" customWidth="1" min="5" max="5"/>
    <col width="11" customWidth="1" min="6" max="6"/>
    <col width="11" customWidth="1" min="7" max="7"/>
    <col width="8" customWidth="1" min="8" max="8"/>
    <col width="30" customWidth="1" min="9" max="9"/>
  </cols>
  <sheetData>
    <row r="1">
      <c r="A1" s="2" t="inlineStr">
        <is>
          <t>CLR: cost-saving initiatives (placeholder)</t>
        </is>
      </c>
    </row>
    <row r="2">
      <c r="A2" s="6" t="inlineStr">
        <is>
          <t>Placeholder only. Nothing on this tab feeds the forecast yet.</t>
        </is>
      </c>
    </row>
    <row r="4">
      <c r="A4" s="5" t="inlineStr">
        <is>
          <t>Initiative</t>
        </is>
      </c>
      <c r="B4" s="5" t="inlineStr">
        <is>
          <t>Site</t>
        </is>
      </c>
      <c r="C4" s="5" t="inlineStr">
        <is>
          <t>Type</t>
        </is>
      </c>
      <c r="D4" s="5" t="inlineStr">
        <is>
          <t>Value</t>
        </is>
      </c>
      <c r="E4" s="5" t="inlineStr">
        <is>
          <t>Start month</t>
        </is>
      </c>
      <c r="F4" s="5" t="inlineStr">
        <is>
          <t>Ramp-up months</t>
        </is>
      </c>
      <c r="G4" s="5" t="inlineStr">
        <is>
          <t>End month</t>
        </is>
      </c>
      <c r="H4" s="5" t="inlineStr">
        <is>
          <t>Active</t>
        </is>
      </c>
      <c r="I4" s="5" t="inlineStr">
        <is>
          <t>Owner / notes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C000"/>
    <outlinePr summaryBelow="1" summaryRight="1"/>
    <pageSetUpPr/>
  </sheetPr>
  <dimension ref="A1:E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8" customWidth="1" min="3" max="3"/>
  </cols>
  <sheetData>
    <row r="1">
      <c r="A1" s="5" t="inlineStr">
        <is>
          <t>Date</t>
        </is>
      </c>
      <c r="B1" s="5" t="inlineStr">
        <is>
          <t>Holiday</t>
        </is>
      </c>
      <c r="C1" s="5" t="inlineStr">
        <is>
          <t>State</t>
        </is>
      </c>
      <c r="E1" s="6" t="inlineStr">
        <is>
          <t>Generated by rule. Add, remove or move rows freely; the Calendar tab counts them by state and month.</t>
        </is>
      </c>
    </row>
    <row r="2">
      <c r="A2" s="13" t="n">
        <v>45658</v>
      </c>
      <c r="B2" t="inlineStr">
        <is>
          <t>New Year's Day</t>
        </is>
      </c>
      <c r="C2" t="inlineStr">
        <is>
          <t>NSW</t>
        </is>
      </c>
    </row>
    <row r="3">
      <c r="A3" s="13" t="n">
        <v>45684</v>
      </c>
      <c r="B3" t="inlineStr">
        <is>
          <t>Australia Day</t>
        </is>
      </c>
      <c r="C3" t="inlineStr">
        <is>
          <t>NSW</t>
        </is>
      </c>
    </row>
    <row r="4">
      <c r="A4" s="13" t="n">
        <v>45765</v>
      </c>
      <c r="B4" t="inlineStr">
        <is>
          <t>Good Friday</t>
        </is>
      </c>
      <c r="C4" t="inlineStr">
        <is>
          <t>NSW</t>
        </is>
      </c>
    </row>
    <row r="5">
      <c r="A5" s="13" t="n">
        <v>45766</v>
      </c>
      <c r="B5" t="inlineStr">
        <is>
          <t>Easter Saturday</t>
        </is>
      </c>
      <c r="C5" t="inlineStr">
        <is>
          <t>NSW</t>
        </is>
      </c>
    </row>
    <row r="6">
      <c r="A6" s="13" t="n">
        <v>45767</v>
      </c>
      <c r="B6" t="inlineStr">
        <is>
          <t>Easter Sunday</t>
        </is>
      </c>
      <c r="C6" t="inlineStr">
        <is>
          <t>NSW</t>
        </is>
      </c>
    </row>
    <row r="7">
      <c r="A7" s="13" t="n">
        <v>45768</v>
      </c>
      <c r="B7" t="inlineStr">
        <is>
          <t>Easter Monday</t>
        </is>
      </c>
      <c r="C7" t="inlineStr">
        <is>
          <t>NSW</t>
        </is>
      </c>
    </row>
    <row r="8">
      <c r="A8" s="13" t="n">
        <v>45772</v>
      </c>
      <c r="B8" t="inlineStr">
        <is>
          <t>Anzac Day</t>
        </is>
      </c>
      <c r="C8" t="inlineStr">
        <is>
          <t>NSW</t>
        </is>
      </c>
    </row>
    <row r="9">
      <c r="A9" s="13" t="n">
        <v>45817</v>
      </c>
      <c r="B9" t="inlineStr">
        <is>
          <t>King's Birthday</t>
        </is>
      </c>
      <c r="C9" t="inlineStr">
        <is>
          <t>NSW</t>
        </is>
      </c>
    </row>
    <row r="10">
      <c r="A10" s="13" t="n">
        <v>45936</v>
      </c>
      <c r="B10" t="inlineStr">
        <is>
          <t>Labour Day</t>
        </is>
      </c>
      <c r="C10" t="inlineStr">
        <is>
          <t>NSW</t>
        </is>
      </c>
    </row>
    <row r="11">
      <c r="A11" s="13" t="n">
        <v>46016</v>
      </c>
      <c r="B11" t="inlineStr">
        <is>
          <t>Christmas Day</t>
        </is>
      </c>
      <c r="C11" t="inlineStr">
        <is>
          <t>NSW</t>
        </is>
      </c>
    </row>
    <row r="12">
      <c r="A12" s="13" t="n">
        <v>46017</v>
      </c>
      <c r="B12" t="inlineStr">
        <is>
          <t>Boxing Day</t>
        </is>
      </c>
      <c r="C12" t="inlineStr">
        <is>
          <t>NSW</t>
        </is>
      </c>
    </row>
    <row r="13">
      <c r="A13" s="13" t="n">
        <v>46023</v>
      </c>
      <c r="B13" t="inlineStr">
        <is>
          <t>New Year's Day</t>
        </is>
      </c>
      <c r="C13" t="inlineStr">
        <is>
          <t>NSW</t>
        </is>
      </c>
    </row>
    <row r="14">
      <c r="A14" s="13" t="n">
        <v>46048</v>
      </c>
      <c r="B14" t="inlineStr">
        <is>
          <t>Australia Day</t>
        </is>
      </c>
      <c r="C14" t="inlineStr">
        <is>
          <t>NSW</t>
        </is>
      </c>
    </row>
    <row r="15">
      <c r="A15" s="13" t="n">
        <v>46115</v>
      </c>
      <c r="B15" t="inlineStr">
        <is>
          <t>Good Friday</t>
        </is>
      </c>
      <c r="C15" t="inlineStr">
        <is>
          <t>NSW</t>
        </is>
      </c>
    </row>
    <row r="16">
      <c r="A16" s="13" t="n">
        <v>46116</v>
      </c>
      <c r="B16" t="inlineStr">
        <is>
          <t>Easter Saturday</t>
        </is>
      </c>
      <c r="C16" t="inlineStr">
        <is>
          <t>NSW</t>
        </is>
      </c>
    </row>
    <row r="17">
      <c r="A17" s="13" t="n">
        <v>46117</v>
      </c>
      <c r="B17" t="inlineStr">
        <is>
          <t>Easter Sunday</t>
        </is>
      </c>
      <c r="C17" t="inlineStr">
        <is>
          <t>NSW</t>
        </is>
      </c>
    </row>
    <row r="18">
      <c r="A18" s="13" t="n">
        <v>46118</v>
      </c>
      <c r="B18" t="inlineStr">
        <is>
          <t>Easter Monday</t>
        </is>
      </c>
      <c r="C18" t="inlineStr">
        <is>
          <t>NSW</t>
        </is>
      </c>
    </row>
    <row r="19">
      <c r="A19" s="13" t="n">
        <v>46137</v>
      </c>
      <c r="B19" t="inlineStr">
        <is>
          <t>Anzac Day</t>
        </is>
      </c>
      <c r="C19" t="inlineStr">
        <is>
          <t>NSW</t>
        </is>
      </c>
    </row>
    <row r="20">
      <c r="A20" s="13" t="n">
        <v>46181</v>
      </c>
      <c r="B20" t="inlineStr">
        <is>
          <t>King's Birthday</t>
        </is>
      </c>
      <c r="C20" t="inlineStr">
        <is>
          <t>NSW</t>
        </is>
      </c>
    </row>
    <row r="21">
      <c r="A21" s="13" t="n">
        <v>46300</v>
      </c>
      <c r="B21" t="inlineStr">
        <is>
          <t>Labour Day</t>
        </is>
      </c>
      <c r="C21" t="inlineStr">
        <is>
          <t>NSW</t>
        </is>
      </c>
    </row>
    <row r="22">
      <c r="A22" s="13" t="n">
        <v>46381</v>
      </c>
      <c r="B22" t="inlineStr">
        <is>
          <t>Christmas Day</t>
        </is>
      </c>
      <c r="C22" t="inlineStr">
        <is>
          <t>NSW</t>
        </is>
      </c>
    </row>
    <row r="23">
      <c r="A23" s="13" t="n">
        <v>46382</v>
      </c>
      <c r="B23" t="inlineStr">
        <is>
          <t>Boxing Day</t>
        </is>
      </c>
      <c r="C23" t="inlineStr">
        <is>
          <t>NSW</t>
        </is>
      </c>
    </row>
    <row r="24">
      <c r="A24" s="13" t="n">
        <v>46384</v>
      </c>
      <c r="B24" t="inlineStr">
        <is>
          <t>Boxing Day (additional)</t>
        </is>
      </c>
      <c r="C24" t="inlineStr">
        <is>
          <t>NSW</t>
        </is>
      </c>
    </row>
    <row r="25">
      <c r="A25" s="13" t="n">
        <v>46388</v>
      </c>
      <c r="B25" t="inlineStr">
        <is>
          <t>New Year's Day</t>
        </is>
      </c>
      <c r="C25" t="inlineStr">
        <is>
          <t>NSW</t>
        </is>
      </c>
    </row>
    <row r="26">
      <c r="A26" s="13" t="n">
        <v>46413</v>
      </c>
      <c r="B26" t="inlineStr">
        <is>
          <t>Australia Day</t>
        </is>
      </c>
      <c r="C26" t="inlineStr">
        <is>
          <t>NSW</t>
        </is>
      </c>
    </row>
    <row r="27">
      <c r="A27" s="13" t="n">
        <v>46472</v>
      </c>
      <c r="B27" t="inlineStr">
        <is>
          <t>Good Friday</t>
        </is>
      </c>
      <c r="C27" t="inlineStr">
        <is>
          <t>NSW</t>
        </is>
      </c>
    </row>
    <row r="28">
      <c r="A28" s="13" t="n">
        <v>46473</v>
      </c>
      <c r="B28" t="inlineStr">
        <is>
          <t>Easter Saturday</t>
        </is>
      </c>
      <c r="C28" t="inlineStr">
        <is>
          <t>NSW</t>
        </is>
      </c>
    </row>
    <row r="29">
      <c r="A29" s="13" t="n">
        <v>46474</v>
      </c>
      <c r="B29" t="inlineStr">
        <is>
          <t>Easter Sunday</t>
        </is>
      </c>
      <c r="C29" t="inlineStr">
        <is>
          <t>NSW</t>
        </is>
      </c>
    </row>
    <row r="30">
      <c r="A30" s="13" t="n">
        <v>46475</v>
      </c>
      <c r="B30" t="inlineStr">
        <is>
          <t>Easter Monday</t>
        </is>
      </c>
      <c r="C30" t="inlineStr">
        <is>
          <t>NSW</t>
        </is>
      </c>
    </row>
    <row r="31">
      <c r="A31" s="13" t="n">
        <v>46502</v>
      </c>
      <c r="B31" t="inlineStr">
        <is>
          <t>Anzac Day</t>
        </is>
      </c>
      <c r="C31" t="inlineStr">
        <is>
          <t>NSW</t>
        </is>
      </c>
    </row>
    <row r="32">
      <c r="A32" s="13" t="n">
        <v>46552</v>
      </c>
      <c r="B32" t="inlineStr">
        <is>
          <t>King's Birthday</t>
        </is>
      </c>
      <c r="C32" t="inlineStr">
        <is>
          <t>NSW</t>
        </is>
      </c>
    </row>
    <row r="33">
      <c r="A33" s="13" t="n">
        <v>46664</v>
      </c>
      <c r="B33" t="inlineStr">
        <is>
          <t>Labour Day</t>
        </is>
      </c>
      <c r="C33" t="inlineStr">
        <is>
          <t>NSW</t>
        </is>
      </c>
    </row>
    <row r="34">
      <c r="A34" s="13" t="n">
        <v>46746</v>
      </c>
      <c r="B34" t="inlineStr">
        <is>
          <t>Christmas Day</t>
        </is>
      </c>
      <c r="C34" t="inlineStr">
        <is>
          <t>NSW</t>
        </is>
      </c>
    </row>
    <row r="35">
      <c r="A35" s="13" t="n">
        <v>46747</v>
      </c>
      <c r="B35" t="inlineStr">
        <is>
          <t>Boxing Day</t>
        </is>
      </c>
      <c r="C35" t="inlineStr">
        <is>
          <t>NSW</t>
        </is>
      </c>
    </row>
    <row r="36">
      <c r="A36" s="13" t="n">
        <v>46748</v>
      </c>
      <c r="B36" t="inlineStr">
        <is>
          <t>Christmas (additional)</t>
        </is>
      </c>
      <c r="C36" t="inlineStr">
        <is>
          <t>NSW</t>
        </is>
      </c>
    </row>
    <row r="37">
      <c r="A37" s="13" t="n">
        <v>46749</v>
      </c>
      <c r="B37" t="inlineStr">
        <is>
          <t>Boxing Day (additional)</t>
        </is>
      </c>
      <c r="C37" t="inlineStr">
        <is>
          <t>NSW</t>
        </is>
      </c>
    </row>
    <row r="38">
      <c r="A38" s="13" t="n">
        <v>46753</v>
      </c>
      <c r="B38" t="inlineStr">
        <is>
          <t>New Year's Day</t>
        </is>
      </c>
      <c r="C38" t="inlineStr">
        <is>
          <t>NSW</t>
        </is>
      </c>
    </row>
    <row r="39">
      <c r="A39" s="13" t="n">
        <v>46755</v>
      </c>
      <c r="B39" t="inlineStr">
        <is>
          <t>New Year's Day (additional)</t>
        </is>
      </c>
      <c r="C39" t="inlineStr">
        <is>
          <t>NSW</t>
        </is>
      </c>
    </row>
    <row r="40">
      <c r="A40" s="13" t="n">
        <v>46778</v>
      </c>
      <c r="B40" t="inlineStr">
        <is>
          <t>Australia Day</t>
        </is>
      </c>
      <c r="C40" t="inlineStr">
        <is>
          <t>NSW</t>
        </is>
      </c>
    </row>
    <row r="41">
      <c r="A41" s="13" t="n">
        <v>46857</v>
      </c>
      <c r="B41" t="inlineStr">
        <is>
          <t>Good Friday</t>
        </is>
      </c>
      <c r="C41" t="inlineStr">
        <is>
          <t>NSW</t>
        </is>
      </c>
    </row>
    <row r="42">
      <c r="A42" s="13" t="n">
        <v>46858</v>
      </c>
      <c r="B42" t="inlineStr">
        <is>
          <t>Easter Saturday</t>
        </is>
      </c>
      <c r="C42" t="inlineStr">
        <is>
          <t>NSW</t>
        </is>
      </c>
    </row>
    <row r="43">
      <c r="A43" s="13" t="n">
        <v>46859</v>
      </c>
      <c r="B43" t="inlineStr">
        <is>
          <t>Easter Sunday</t>
        </is>
      </c>
      <c r="C43" t="inlineStr">
        <is>
          <t>NSW</t>
        </is>
      </c>
    </row>
    <row r="44">
      <c r="A44" s="13" t="n">
        <v>46860</v>
      </c>
      <c r="B44" t="inlineStr">
        <is>
          <t>Easter Monday</t>
        </is>
      </c>
      <c r="C44" t="inlineStr">
        <is>
          <t>NSW</t>
        </is>
      </c>
    </row>
    <row r="45">
      <c r="A45" s="13" t="n">
        <v>46868</v>
      </c>
      <c r="B45" t="inlineStr">
        <is>
          <t>Anzac Day</t>
        </is>
      </c>
      <c r="C45" t="inlineStr">
        <is>
          <t>NSW</t>
        </is>
      </c>
    </row>
    <row r="46">
      <c r="A46" s="13" t="n">
        <v>46916</v>
      </c>
      <c r="B46" t="inlineStr">
        <is>
          <t>King's Birthday</t>
        </is>
      </c>
      <c r="C46" t="inlineStr">
        <is>
          <t>NSW</t>
        </is>
      </c>
    </row>
    <row r="47">
      <c r="A47" s="13" t="n">
        <v>47028</v>
      </c>
      <c r="B47" t="inlineStr">
        <is>
          <t>Labour Day</t>
        </is>
      </c>
      <c r="C47" t="inlineStr">
        <is>
          <t>NSW</t>
        </is>
      </c>
    </row>
    <row r="48">
      <c r="A48" s="13" t="n">
        <v>47112</v>
      </c>
      <c r="B48" t="inlineStr">
        <is>
          <t>Christmas Day</t>
        </is>
      </c>
      <c r="C48" t="inlineStr">
        <is>
          <t>NSW</t>
        </is>
      </c>
    </row>
    <row r="49">
      <c r="A49" s="13" t="n">
        <v>47113</v>
      </c>
      <c r="B49" t="inlineStr">
        <is>
          <t>Boxing Day</t>
        </is>
      </c>
      <c r="C49" t="inlineStr">
        <is>
          <t>NSW</t>
        </is>
      </c>
    </row>
    <row r="50">
      <c r="A50" s="13" t="n">
        <v>45658</v>
      </c>
      <c r="B50" t="inlineStr">
        <is>
          <t>New Year's Day</t>
        </is>
      </c>
      <c r="C50" t="inlineStr">
        <is>
          <t>QLD</t>
        </is>
      </c>
    </row>
    <row r="51">
      <c r="A51" s="13" t="n">
        <v>45684</v>
      </c>
      <c r="B51" t="inlineStr">
        <is>
          <t>Australia Day</t>
        </is>
      </c>
      <c r="C51" t="inlineStr">
        <is>
          <t>QLD</t>
        </is>
      </c>
    </row>
    <row r="52">
      <c r="A52" s="13" t="n">
        <v>45765</v>
      </c>
      <c r="B52" t="inlineStr">
        <is>
          <t>Good Friday</t>
        </is>
      </c>
      <c r="C52" t="inlineStr">
        <is>
          <t>QLD</t>
        </is>
      </c>
    </row>
    <row r="53">
      <c r="A53" s="13" t="n">
        <v>45766</v>
      </c>
      <c r="B53" t="inlineStr">
        <is>
          <t>Easter Saturday</t>
        </is>
      </c>
      <c r="C53" t="inlineStr">
        <is>
          <t>QLD</t>
        </is>
      </c>
    </row>
    <row r="54">
      <c r="A54" s="13" t="n">
        <v>45767</v>
      </c>
      <c r="B54" t="inlineStr">
        <is>
          <t>Easter Sunday</t>
        </is>
      </c>
      <c r="C54" t="inlineStr">
        <is>
          <t>QLD</t>
        </is>
      </c>
    </row>
    <row r="55">
      <c r="A55" s="13" t="n">
        <v>45768</v>
      </c>
      <c r="B55" t="inlineStr">
        <is>
          <t>Easter Monday</t>
        </is>
      </c>
      <c r="C55" t="inlineStr">
        <is>
          <t>QLD</t>
        </is>
      </c>
    </row>
    <row r="56">
      <c r="A56" s="13" t="n">
        <v>45772</v>
      </c>
      <c r="B56" t="inlineStr">
        <is>
          <t>Anzac Day</t>
        </is>
      </c>
      <c r="C56" t="inlineStr">
        <is>
          <t>QLD</t>
        </is>
      </c>
    </row>
    <row r="57">
      <c r="A57" s="13" t="n">
        <v>45782</v>
      </c>
      <c r="B57" t="inlineStr">
        <is>
          <t>Labour Day</t>
        </is>
      </c>
      <c r="C57" t="inlineStr">
        <is>
          <t>QLD</t>
        </is>
      </c>
    </row>
    <row r="58">
      <c r="A58" s="13" t="n">
        <v>45936</v>
      </c>
      <c r="B58" t="inlineStr">
        <is>
          <t>King's Birthday</t>
        </is>
      </c>
      <c r="C58" t="inlineStr">
        <is>
          <t>QLD</t>
        </is>
      </c>
    </row>
    <row r="59">
      <c r="A59" s="13" t="n">
        <v>46016</v>
      </c>
      <c r="B59" t="inlineStr">
        <is>
          <t>Christmas Day</t>
        </is>
      </c>
      <c r="C59" t="inlineStr">
        <is>
          <t>QLD</t>
        </is>
      </c>
    </row>
    <row r="60">
      <c r="A60" s="13" t="n">
        <v>46017</v>
      </c>
      <c r="B60" t="inlineStr">
        <is>
          <t>Boxing Day</t>
        </is>
      </c>
      <c r="C60" t="inlineStr">
        <is>
          <t>QLD</t>
        </is>
      </c>
    </row>
    <row r="61">
      <c r="A61" s="13" t="n">
        <v>46023</v>
      </c>
      <c r="B61" t="inlineStr">
        <is>
          <t>New Year's Day</t>
        </is>
      </c>
      <c r="C61" t="inlineStr">
        <is>
          <t>QLD</t>
        </is>
      </c>
    </row>
    <row r="62">
      <c r="A62" s="13" t="n">
        <v>46048</v>
      </c>
      <c r="B62" t="inlineStr">
        <is>
          <t>Australia Day</t>
        </is>
      </c>
      <c r="C62" t="inlineStr">
        <is>
          <t>QLD</t>
        </is>
      </c>
    </row>
    <row r="63">
      <c r="A63" s="13" t="n">
        <v>46115</v>
      </c>
      <c r="B63" t="inlineStr">
        <is>
          <t>Good Friday</t>
        </is>
      </c>
      <c r="C63" t="inlineStr">
        <is>
          <t>QLD</t>
        </is>
      </c>
    </row>
    <row r="64">
      <c r="A64" s="13" t="n">
        <v>46116</v>
      </c>
      <c r="B64" t="inlineStr">
        <is>
          <t>Easter Saturday</t>
        </is>
      </c>
      <c r="C64" t="inlineStr">
        <is>
          <t>QLD</t>
        </is>
      </c>
    </row>
    <row r="65">
      <c r="A65" s="13" t="n">
        <v>46117</v>
      </c>
      <c r="B65" t="inlineStr">
        <is>
          <t>Easter Sunday</t>
        </is>
      </c>
      <c r="C65" t="inlineStr">
        <is>
          <t>QLD</t>
        </is>
      </c>
    </row>
    <row r="66">
      <c r="A66" s="13" t="n">
        <v>46118</v>
      </c>
      <c r="B66" t="inlineStr">
        <is>
          <t>Easter Monday</t>
        </is>
      </c>
      <c r="C66" t="inlineStr">
        <is>
          <t>QLD</t>
        </is>
      </c>
    </row>
    <row r="67">
      <c r="A67" s="13" t="n">
        <v>46137</v>
      </c>
      <c r="B67" t="inlineStr">
        <is>
          <t>Anzac Day</t>
        </is>
      </c>
      <c r="C67" t="inlineStr">
        <is>
          <t>QLD</t>
        </is>
      </c>
    </row>
    <row r="68">
      <c r="A68" s="13" t="n">
        <v>46146</v>
      </c>
      <c r="B68" t="inlineStr">
        <is>
          <t>Labour Day</t>
        </is>
      </c>
      <c r="C68" t="inlineStr">
        <is>
          <t>QLD</t>
        </is>
      </c>
    </row>
    <row r="69">
      <c r="A69" s="13" t="n">
        <v>46300</v>
      </c>
      <c r="B69" t="inlineStr">
        <is>
          <t>King's Birthday</t>
        </is>
      </c>
      <c r="C69" t="inlineStr">
        <is>
          <t>QLD</t>
        </is>
      </c>
    </row>
    <row r="70">
      <c r="A70" s="13" t="n">
        <v>46381</v>
      </c>
      <c r="B70" t="inlineStr">
        <is>
          <t>Christmas Day</t>
        </is>
      </c>
      <c r="C70" t="inlineStr">
        <is>
          <t>QLD</t>
        </is>
      </c>
    </row>
    <row r="71">
      <c r="A71" s="13" t="n">
        <v>46382</v>
      </c>
      <c r="B71" t="inlineStr">
        <is>
          <t>Boxing Day</t>
        </is>
      </c>
      <c r="C71" t="inlineStr">
        <is>
          <t>QLD</t>
        </is>
      </c>
    </row>
    <row r="72">
      <c r="A72" s="13" t="n">
        <v>46384</v>
      </c>
      <c r="B72" t="inlineStr">
        <is>
          <t>Boxing Day (additional)</t>
        </is>
      </c>
      <c r="C72" t="inlineStr">
        <is>
          <t>QLD</t>
        </is>
      </c>
    </row>
    <row r="73">
      <c r="A73" s="13" t="n">
        <v>46388</v>
      </c>
      <c r="B73" t="inlineStr">
        <is>
          <t>New Year's Day</t>
        </is>
      </c>
      <c r="C73" t="inlineStr">
        <is>
          <t>QLD</t>
        </is>
      </c>
    </row>
    <row r="74">
      <c r="A74" s="13" t="n">
        <v>46413</v>
      </c>
      <c r="B74" t="inlineStr">
        <is>
          <t>Australia Day</t>
        </is>
      </c>
      <c r="C74" t="inlineStr">
        <is>
          <t>QLD</t>
        </is>
      </c>
    </row>
    <row r="75">
      <c r="A75" s="13" t="n">
        <v>46472</v>
      </c>
      <c r="B75" t="inlineStr">
        <is>
          <t>Good Friday</t>
        </is>
      </c>
      <c r="C75" t="inlineStr">
        <is>
          <t>QLD</t>
        </is>
      </c>
    </row>
    <row r="76">
      <c r="A76" s="13" t="n">
        <v>46473</v>
      </c>
      <c r="B76" t="inlineStr">
        <is>
          <t>Easter Saturday</t>
        </is>
      </c>
      <c r="C76" t="inlineStr">
        <is>
          <t>QLD</t>
        </is>
      </c>
    </row>
    <row r="77">
      <c r="A77" s="13" t="n">
        <v>46474</v>
      </c>
      <c r="B77" t="inlineStr">
        <is>
          <t>Easter Sunday</t>
        </is>
      </c>
      <c r="C77" t="inlineStr">
        <is>
          <t>QLD</t>
        </is>
      </c>
    </row>
    <row r="78">
      <c r="A78" s="13" t="n">
        <v>46475</v>
      </c>
      <c r="B78" t="inlineStr">
        <is>
          <t>Easter Monday</t>
        </is>
      </c>
      <c r="C78" t="inlineStr">
        <is>
          <t>QLD</t>
        </is>
      </c>
    </row>
    <row r="79">
      <c r="A79" s="13" t="n">
        <v>46502</v>
      </c>
      <c r="B79" t="inlineStr">
        <is>
          <t>Anzac Day</t>
        </is>
      </c>
      <c r="C79" t="inlineStr">
        <is>
          <t>QLD</t>
        </is>
      </c>
    </row>
    <row r="80">
      <c r="A80" s="13" t="n">
        <v>46510</v>
      </c>
      <c r="B80" t="inlineStr">
        <is>
          <t>Labour Day</t>
        </is>
      </c>
      <c r="C80" t="inlineStr">
        <is>
          <t>QLD</t>
        </is>
      </c>
    </row>
    <row r="81">
      <c r="A81" s="13" t="n">
        <v>46664</v>
      </c>
      <c r="B81" t="inlineStr">
        <is>
          <t>King's Birthday</t>
        </is>
      </c>
      <c r="C81" t="inlineStr">
        <is>
          <t>QLD</t>
        </is>
      </c>
    </row>
    <row r="82">
      <c r="A82" s="13" t="n">
        <v>46746</v>
      </c>
      <c r="B82" t="inlineStr">
        <is>
          <t>Christmas Day</t>
        </is>
      </c>
      <c r="C82" t="inlineStr">
        <is>
          <t>QLD</t>
        </is>
      </c>
    </row>
    <row r="83">
      <c r="A83" s="13" t="n">
        <v>46747</v>
      </c>
      <c r="B83" t="inlineStr">
        <is>
          <t>Boxing Day</t>
        </is>
      </c>
      <c r="C83" t="inlineStr">
        <is>
          <t>QLD</t>
        </is>
      </c>
    </row>
    <row r="84">
      <c r="A84" s="13" t="n">
        <v>46748</v>
      </c>
      <c r="B84" t="inlineStr">
        <is>
          <t>Christmas (additional)</t>
        </is>
      </c>
      <c r="C84" t="inlineStr">
        <is>
          <t>QLD</t>
        </is>
      </c>
    </row>
    <row r="85">
      <c r="A85" s="13" t="n">
        <v>46749</v>
      </c>
      <c r="B85" t="inlineStr">
        <is>
          <t>Boxing Day (additional)</t>
        </is>
      </c>
      <c r="C85" t="inlineStr">
        <is>
          <t>QLD</t>
        </is>
      </c>
    </row>
    <row r="86">
      <c r="A86" s="13" t="n">
        <v>46753</v>
      </c>
      <c r="B86" t="inlineStr">
        <is>
          <t>New Year's Day</t>
        </is>
      </c>
      <c r="C86" t="inlineStr">
        <is>
          <t>QLD</t>
        </is>
      </c>
    </row>
    <row r="87">
      <c r="A87" s="13" t="n">
        <v>46755</v>
      </c>
      <c r="B87" t="inlineStr">
        <is>
          <t>New Year's Day (additional)</t>
        </is>
      </c>
      <c r="C87" t="inlineStr">
        <is>
          <t>QLD</t>
        </is>
      </c>
    </row>
    <row r="88">
      <c r="A88" s="13" t="n">
        <v>46778</v>
      </c>
      <c r="B88" t="inlineStr">
        <is>
          <t>Australia Day</t>
        </is>
      </c>
      <c r="C88" t="inlineStr">
        <is>
          <t>QLD</t>
        </is>
      </c>
    </row>
    <row r="89">
      <c r="A89" s="13" t="n">
        <v>46857</v>
      </c>
      <c r="B89" t="inlineStr">
        <is>
          <t>Good Friday</t>
        </is>
      </c>
      <c r="C89" t="inlineStr">
        <is>
          <t>QLD</t>
        </is>
      </c>
    </row>
    <row r="90">
      <c r="A90" s="13" t="n">
        <v>46858</v>
      </c>
      <c r="B90" t="inlineStr">
        <is>
          <t>Easter Saturday</t>
        </is>
      </c>
      <c r="C90" t="inlineStr">
        <is>
          <t>QLD</t>
        </is>
      </c>
    </row>
    <row r="91">
      <c r="A91" s="13" t="n">
        <v>46859</v>
      </c>
      <c r="B91" t="inlineStr">
        <is>
          <t>Easter Sunday</t>
        </is>
      </c>
      <c r="C91" t="inlineStr">
        <is>
          <t>QLD</t>
        </is>
      </c>
    </row>
    <row r="92">
      <c r="A92" s="13" t="n">
        <v>46860</v>
      </c>
      <c r="B92" t="inlineStr">
        <is>
          <t>Easter Monday</t>
        </is>
      </c>
      <c r="C92" t="inlineStr">
        <is>
          <t>QLD</t>
        </is>
      </c>
    </row>
    <row r="93">
      <c r="A93" s="13" t="n">
        <v>46868</v>
      </c>
      <c r="B93" t="inlineStr">
        <is>
          <t>Anzac Day</t>
        </is>
      </c>
      <c r="C93" t="inlineStr">
        <is>
          <t>QLD</t>
        </is>
      </c>
    </row>
    <row r="94">
      <c r="A94" s="13" t="n">
        <v>46874</v>
      </c>
      <c r="B94" t="inlineStr">
        <is>
          <t>Labour Day</t>
        </is>
      </c>
      <c r="C94" t="inlineStr">
        <is>
          <t>QLD</t>
        </is>
      </c>
    </row>
    <row r="95">
      <c r="A95" s="13" t="n">
        <v>47028</v>
      </c>
      <c r="B95" t="inlineStr">
        <is>
          <t>King's Birthday</t>
        </is>
      </c>
      <c r="C95" t="inlineStr">
        <is>
          <t>QLD</t>
        </is>
      </c>
    </row>
    <row r="96">
      <c r="A96" s="13" t="n">
        <v>47112</v>
      </c>
      <c r="B96" t="inlineStr">
        <is>
          <t>Christmas Day</t>
        </is>
      </c>
      <c r="C96" t="inlineStr">
        <is>
          <t>QLD</t>
        </is>
      </c>
    </row>
    <row r="97">
      <c r="A97" s="13" t="n">
        <v>47113</v>
      </c>
      <c r="B97" t="inlineStr">
        <is>
          <t>Boxing Day</t>
        </is>
      </c>
      <c r="C97" t="inlineStr">
        <is>
          <t>QLD</t>
        </is>
      </c>
    </row>
    <row r="98">
      <c r="A98" s="13" t="n">
        <v>45658</v>
      </c>
      <c r="B98" t="inlineStr">
        <is>
          <t>New Year's Day</t>
        </is>
      </c>
      <c r="C98" t="inlineStr">
        <is>
          <t>SA</t>
        </is>
      </c>
    </row>
    <row r="99">
      <c r="A99" s="13" t="n">
        <v>45684</v>
      </c>
      <c r="B99" t="inlineStr">
        <is>
          <t>Australia Day</t>
        </is>
      </c>
      <c r="C99" t="inlineStr">
        <is>
          <t>SA</t>
        </is>
      </c>
    </row>
    <row r="100">
      <c r="A100" s="13" t="n">
        <v>45726</v>
      </c>
      <c r="B100" t="inlineStr">
        <is>
          <t>Adelaide Cup</t>
        </is>
      </c>
      <c r="C100" t="inlineStr">
        <is>
          <t>SA</t>
        </is>
      </c>
    </row>
    <row r="101">
      <c r="A101" s="13" t="n">
        <v>45765</v>
      </c>
      <c r="B101" t="inlineStr">
        <is>
          <t>Good Friday</t>
        </is>
      </c>
      <c r="C101" t="inlineStr">
        <is>
          <t>SA</t>
        </is>
      </c>
    </row>
    <row r="102">
      <c r="A102" s="13" t="n">
        <v>45766</v>
      </c>
      <c r="B102" t="inlineStr">
        <is>
          <t>Easter Saturday</t>
        </is>
      </c>
      <c r="C102" t="inlineStr">
        <is>
          <t>SA</t>
        </is>
      </c>
    </row>
    <row r="103">
      <c r="A103" s="13" t="n">
        <v>45767</v>
      </c>
      <c r="B103" t="inlineStr">
        <is>
          <t>Easter Sunday</t>
        </is>
      </c>
      <c r="C103" t="inlineStr">
        <is>
          <t>SA</t>
        </is>
      </c>
    </row>
    <row r="104">
      <c r="A104" s="13" t="n">
        <v>45768</v>
      </c>
      <c r="B104" t="inlineStr">
        <is>
          <t>Easter Monday</t>
        </is>
      </c>
      <c r="C104" t="inlineStr">
        <is>
          <t>SA</t>
        </is>
      </c>
    </row>
    <row r="105">
      <c r="A105" s="13" t="n">
        <v>45772</v>
      </c>
      <c r="B105" t="inlineStr">
        <is>
          <t>Anzac Day</t>
        </is>
      </c>
      <c r="C105" t="inlineStr">
        <is>
          <t>SA</t>
        </is>
      </c>
    </row>
    <row r="106">
      <c r="A106" s="13" t="n">
        <v>45817</v>
      </c>
      <c r="B106" t="inlineStr">
        <is>
          <t>King's Birthday</t>
        </is>
      </c>
      <c r="C106" t="inlineStr">
        <is>
          <t>SA</t>
        </is>
      </c>
    </row>
    <row r="107">
      <c r="A107" s="13" t="n">
        <v>45936</v>
      </c>
      <c r="B107" t="inlineStr">
        <is>
          <t>Labour Day</t>
        </is>
      </c>
      <c r="C107" t="inlineStr">
        <is>
          <t>SA</t>
        </is>
      </c>
    </row>
    <row r="108">
      <c r="A108" s="13" t="n">
        <v>46016</v>
      </c>
      <c r="B108" t="inlineStr">
        <is>
          <t>Christmas Day</t>
        </is>
      </c>
      <c r="C108" t="inlineStr">
        <is>
          <t>SA</t>
        </is>
      </c>
    </row>
    <row r="109">
      <c r="A109" s="13" t="n">
        <v>46017</v>
      </c>
      <c r="B109" t="inlineStr">
        <is>
          <t>Proclamation Day</t>
        </is>
      </c>
      <c r="C109" t="inlineStr">
        <is>
          <t>SA</t>
        </is>
      </c>
    </row>
    <row r="110">
      <c r="A110" s="13" t="n">
        <v>46023</v>
      </c>
      <c r="B110" t="inlineStr">
        <is>
          <t>New Year's Day</t>
        </is>
      </c>
      <c r="C110" t="inlineStr">
        <is>
          <t>SA</t>
        </is>
      </c>
    </row>
    <row r="111">
      <c r="A111" s="13" t="n">
        <v>46048</v>
      </c>
      <c r="B111" t="inlineStr">
        <is>
          <t>Australia Day</t>
        </is>
      </c>
      <c r="C111" t="inlineStr">
        <is>
          <t>SA</t>
        </is>
      </c>
    </row>
    <row r="112">
      <c r="A112" s="13" t="n">
        <v>46090</v>
      </c>
      <c r="B112" t="inlineStr">
        <is>
          <t>Adelaide Cup</t>
        </is>
      </c>
      <c r="C112" t="inlineStr">
        <is>
          <t>SA</t>
        </is>
      </c>
    </row>
    <row r="113">
      <c r="A113" s="13" t="n">
        <v>46115</v>
      </c>
      <c r="B113" t="inlineStr">
        <is>
          <t>Good Friday</t>
        </is>
      </c>
      <c r="C113" t="inlineStr">
        <is>
          <t>SA</t>
        </is>
      </c>
    </row>
    <row r="114">
      <c r="A114" s="13" t="n">
        <v>46116</v>
      </c>
      <c r="B114" t="inlineStr">
        <is>
          <t>Easter Saturday</t>
        </is>
      </c>
      <c r="C114" t="inlineStr">
        <is>
          <t>SA</t>
        </is>
      </c>
    </row>
    <row r="115">
      <c r="A115" s="13" t="n">
        <v>46117</v>
      </c>
      <c r="B115" t="inlineStr">
        <is>
          <t>Easter Sunday</t>
        </is>
      </c>
      <c r="C115" t="inlineStr">
        <is>
          <t>SA</t>
        </is>
      </c>
    </row>
    <row r="116">
      <c r="A116" s="13" t="n">
        <v>46118</v>
      </c>
      <c r="B116" t="inlineStr">
        <is>
          <t>Easter Monday</t>
        </is>
      </c>
      <c r="C116" t="inlineStr">
        <is>
          <t>SA</t>
        </is>
      </c>
    </row>
    <row r="117">
      <c r="A117" s="13" t="n">
        <v>46137</v>
      </c>
      <c r="B117" t="inlineStr">
        <is>
          <t>Anzac Day</t>
        </is>
      </c>
      <c r="C117" t="inlineStr">
        <is>
          <t>SA</t>
        </is>
      </c>
    </row>
    <row r="118">
      <c r="A118" s="13" t="n">
        <v>46181</v>
      </c>
      <c r="B118" t="inlineStr">
        <is>
          <t>King's Birthday</t>
        </is>
      </c>
      <c r="C118" t="inlineStr">
        <is>
          <t>SA</t>
        </is>
      </c>
    </row>
    <row r="119">
      <c r="A119" s="13" t="n">
        <v>46300</v>
      </c>
      <c r="B119" t="inlineStr">
        <is>
          <t>Labour Day</t>
        </is>
      </c>
      <c r="C119" t="inlineStr">
        <is>
          <t>SA</t>
        </is>
      </c>
    </row>
    <row r="120">
      <c r="A120" s="13" t="n">
        <v>46381</v>
      </c>
      <c r="B120" t="inlineStr">
        <is>
          <t>Christmas Day</t>
        </is>
      </c>
      <c r="C120" t="inlineStr">
        <is>
          <t>SA</t>
        </is>
      </c>
    </row>
    <row r="121">
      <c r="A121" s="13" t="n">
        <v>46382</v>
      </c>
      <c r="B121" t="inlineStr">
        <is>
          <t>Proclamation Day</t>
        </is>
      </c>
      <c r="C121" t="inlineStr">
        <is>
          <t>SA</t>
        </is>
      </c>
    </row>
    <row r="122">
      <c r="A122" s="13" t="n">
        <v>46384</v>
      </c>
      <c r="B122" t="inlineStr">
        <is>
          <t>Boxing Day (additional)</t>
        </is>
      </c>
      <c r="C122" t="inlineStr">
        <is>
          <t>SA</t>
        </is>
      </c>
    </row>
    <row r="123">
      <c r="A123" s="13" t="n">
        <v>46388</v>
      </c>
      <c r="B123" t="inlineStr">
        <is>
          <t>New Year's Day</t>
        </is>
      </c>
      <c r="C123" t="inlineStr">
        <is>
          <t>SA</t>
        </is>
      </c>
    </row>
    <row r="124">
      <c r="A124" s="13" t="n">
        <v>46413</v>
      </c>
      <c r="B124" t="inlineStr">
        <is>
          <t>Australia Day</t>
        </is>
      </c>
      <c r="C124" t="inlineStr">
        <is>
          <t>SA</t>
        </is>
      </c>
    </row>
    <row r="125">
      <c r="A125" s="13" t="n">
        <v>46454</v>
      </c>
      <c r="B125" t="inlineStr">
        <is>
          <t>Adelaide Cup</t>
        </is>
      </c>
      <c r="C125" t="inlineStr">
        <is>
          <t>SA</t>
        </is>
      </c>
    </row>
    <row r="126">
      <c r="A126" s="13" t="n">
        <v>46472</v>
      </c>
      <c r="B126" t="inlineStr">
        <is>
          <t>Good Friday</t>
        </is>
      </c>
      <c r="C126" t="inlineStr">
        <is>
          <t>SA</t>
        </is>
      </c>
    </row>
    <row r="127">
      <c r="A127" s="13" t="n">
        <v>46473</v>
      </c>
      <c r="B127" t="inlineStr">
        <is>
          <t>Easter Saturday</t>
        </is>
      </c>
      <c r="C127" t="inlineStr">
        <is>
          <t>SA</t>
        </is>
      </c>
    </row>
    <row r="128">
      <c r="A128" s="13" t="n">
        <v>46474</v>
      </c>
      <c r="B128" t="inlineStr">
        <is>
          <t>Easter Sunday</t>
        </is>
      </c>
      <c r="C128" t="inlineStr">
        <is>
          <t>SA</t>
        </is>
      </c>
    </row>
    <row r="129">
      <c r="A129" s="13" t="n">
        <v>46475</v>
      </c>
      <c r="B129" t="inlineStr">
        <is>
          <t>Easter Monday</t>
        </is>
      </c>
      <c r="C129" t="inlineStr">
        <is>
          <t>SA</t>
        </is>
      </c>
    </row>
    <row r="130">
      <c r="A130" s="13" t="n">
        <v>46502</v>
      </c>
      <c r="B130" t="inlineStr">
        <is>
          <t>Anzac Day</t>
        </is>
      </c>
      <c r="C130" t="inlineStr">
        <is>
          <t>SA</t>
        </is>
      </c>
    </row>
    <row r="131">
      <c r="A131" s="13" t="n">
        <v>46503</v>
      </c>
      <c r="B131" t="inlineStr">
        <is>
          <t>Anzac Day (additional)</t>
        </is>
      </c>
      <c r="C131" t="inlineStr">
        <is>
          <t>SA</t>
        </is>
      </c>
    </row>
    <row r="132">
      <c r="A132" s="13" t="n">
        <v>46552</v>
      </c>
      <c r="B132" t="inlineStr">
        <is>
          <t>King's Birthday</t>
        </is>
      </c>
      <c r="C132" t="inlineStr">
        <is>
          <t>SA</t>
        </is>
      </c>
    </row>
    <row r="133">
      <c r="A133" s="13" t="n">
        <v>46664</v>
      </c>
      <c r="B133" t="inlineStr">
        <is>
          <t>Labour Day</t>
        </is>
      </c>
      <c r="C133" t="inlineStr">
        <is>
          <t>SA</t>
        </is>
      </c>
    </row>
    <row r="134">
      <c r="A134" s="13" t="n">
        <v>46746</v>
      </c>
      <c r="B134" t="inlineStr">
        <is>
          <t>Christmas Day</t>
        </is>
      </c>
      <c r="C134" t="inlineStr">
        <is>
          <t>SA</t>
        </is>
      </c>
    </row>
    <row r="135">
      <c r="A135" s="13" t="n">
        <v>46747</v>
      </c>
      <c r="B135" t="inlineStr">
        <is>
          <t>Proclamation Day</t>
        </is>
      </c>
      <c r="C135" t="inlineStr">
        <is>
          <t>SA</t>
        </is>
      </c>
    </row>
    <row r="136">
      <c r="A136" s="13" t="n">
        <v>46748</v>
      </c>
      <c r="B136" t="inlineStr">
        <is>
          <t>Christmas (additional)</t>
        </is>
      </c>
      <c r="C136" t="inlineStr">
        <is>
          <t>SA</t>
        </is>
      </c>
    </row>
    <row r="137">
      <c r="A137" s="13" t="n">
        <v>46749</v>
      </c>
      <c r="B137" t="inlineStr">
        <is>
          <t>Boxing Day (additional)</t>
        </is>
      </c>
      <c r="C137" t="inlineStr">
        <is>
          <t>SA</t>
        </is>
      </c>
    </row>
    <row r="138">
      <c r="A138" s="13" t="n">
        <v>46753</v>
      </c>
      <c r="B138" t="inlineStr">
        <is>
          <t>New Year's Day</t>
        </is>
      </c>
      <c r="C138" t="inlineStr">
        <is>
          <t>SA</t>
        </is>
      </c>
    </row>
    <row r="139">
      <c r="A139" s="13" t="n">
        <v>46755</v>
      </c>
      <c r="B139" t="inlineStr">
        <is>
          <t>New Year's Day (additional)</t>
        </is>
      </c>
      <c r="C139" t="inlineStr">
        <is>
          <t>SA</t>
        </is>
      </c>
    </row>
    <row r="140">
      <c r="A140" s="13" t="n">
        <v>46778</v>
      </c>
      <c r="B140" t="inlineStr">
        <is>
          <t>Australia Day</t>
        </is>
      </c>
      <c r="C140" t="inlineStr">
        <is>
          <t>SA</t>
        </is>
      </c>
    </row>
    <row r="141">
      <c r="A141" s="13" t="n">
        <v>46825</v>
      </c>
      <c r="B141" t="inlineStr">
        <is>
          <t>Adelaide Cup</t>
        </is>
      </c>
      <c r="C141" t="inlineStr">
        <is>
          <t>SA</t>
        </is>
      </c>
    </row>
    <row r="142">
      <c r="A142" s="13" t="n">
        <v>46857</v>
      </c>
      <c r="B142" t="inlineStr">
        <is>
          <t>Good Friday</t>
        </is>
      </c>
      <c r="C142" t="inlineStr">
        <is>
          <t>SA</t>
        </is>
      </c>
    </row>
    <row r="143">
      <c r="A143" s="13" t="n">
        <v>46858</v>
      </c>
      <c r="B143" t="inlineStr">
        <is>
          <t>Easter Saturday</t>
        </is>
      </c>
      <c r="C143" t="inlineStr">
        <is>
          <t>SA</t>
        </is>
      </c>
    </row>
    <row r="144">
      <c r="A144" s="13" t="n">
        <v>46859</v>
      </c>
      <c r="B144" t="inlineStr">
        <is>
          <t>Easter Sunday</t>
        </is>
      </c>
      <c r="C144" t="inlineStr">
        <is>
          <t>SA</t>
        </is>
      </c>
    </row>
    <row r="145">
      <c r="A145" s="13" t="n">
        <v>46860</v>
      </c>
      <c r="B145" t="inlineStr">
        <is>
          <t>Easter Monday</t>
        </is>
      </c>
      <c r="C145" t="inlineStr">
        <is>
          <t>SA</t>
        </is>
      </c>
    </row>
    <row r="146">
      <c r="A146" s="13" t="n">
        <v>46868</v>
      </c>
      <c r="B146" t="inlineStr">
        <is>
          <t>Anzac Day</t>
        </is>
      </c>
      <c r="C146" t="inlineStr">
        <is>
          <t>SA</t>
        </is>
      </c>
    </row>
    <row r="147">
      <c r="A147" s="13" t="n">
        <v>46916</v>
      </c>
      <c r="B147" t="inlineStr">
        <is>
          <t>King's Birthday</t>
        </is>
      </c>
      <c r="C147" t="inlineStr">
        <is>
          <t>SA</t>
        </is>
      </c>
    </row>
    <row r="148">
      <c r="A148" s="13" t="n">
        <v>47028</v>
      </c>
      <c r="B148" t="inlineStr">
        <is>
          <t>Labour Day</t>
        </is>
      </c>
      <c r="C148" t="inlineStr">
        <is>
          <t>SA</t>
        </is>
      </c>
    </row>
    <row r="149">
      <c r="A149" s="13" t="n">
        <v>47112</v>
      </c>
      <c r="B149" t="inlineStr">
        <is>
          <t>Christmas Day</t>
        </is>
      </c>
      <c r="C149" t="inlineStr">
        <is>
          <t>SA</t>
        </is>
      </c>
    </row>
    <row r="150">
      <c r="A150" s="13" t="n">
        <v>47113</v>
      </c>
      <c r="B150" t="inlineStr">
        <is>
          <t>Proclamation Day</t>
        </is>
      </c>
      <c r="C150" t="inlineStr">
        <is>
          <t>SA</t>
        </is>
      </c>
    </row>
    <row r="151">
      <c r="A151" s="13" t="n">
        <v>45658</v>
      </c>
      <c r="B151" t="inlineStr">
        <is>
          <t>New Year's Day</t>
        </is>
      </c>
      <c r="C151" t="inlineStr">
        <is>
          <t>VIC</t>
        </is>
      </c>
    </row>
    <row r="152">
      <c r="A152" s="13" t="n">
        <v>45684</v>
      </c>
      <c r="B152" t="inlineStr">
        <is>
          <t>Australia Day</t>
        </is>
      </c>
      <c r="C152" t="inlineStr">
        <is>
          <t>VIC</t>
        </is>
      </c>
    </row>
    <row r="153">
      <c r="A153" s="13" t="n">
        <v>45726</v>
      </c>
      <c r="B153" t="inlineStr">
        <is>
          <t>Labour Day</t>
        </is>
      </c>
      <c r="C153" t="inlineStr">
        <is>
          <t>VIC</t>
        </is>
      </c>
    </row>
    <row r="154">
      <c r="A154" s="13" t="n">
        <v>45765</v>
      </c>
      <c r="B154" t="inlineStr">
        <is>
          <t>Good Friday</t>
        </is>
      </c>
      <c r="C154" t="inlineStr">
        <is>
          <t>VIC</t>
        </is>
      </c>
    </row>
    <row r="155">
      <c r="A155" s="13" t="n">
        <v>45766</v>
      </c>
      <c r="B155" t="inlineStr">
        <is>
          <t>Easter Saturday</t>
        </is>
      </c>
      <c r="C155" t="inlineStr">
        <is>
          <t>VIC</t>
        </is>
      </c>
    </row>
    <row r="156">
      <c r="A156" s="13" t="n">
        <v>45767</v>
      </c>
      <c r="B156" t="inlineStr">
        <is>
          <t>Easter Sunday</t>
        </is>
      </c>
      <c r="C156" t="inlineStr">
        <is>
          <t>VIC</t>
        </is>
      </c>
    </row>
    <row r="157">
      <c r="A157" s="13" t="n">
        <v>45768</v>
      </c>
      <c r="B157" t="inlineStr">
        <is>
          <t>Easter Monday</t>
        </is>
      </c>
      <c r="C157" t="inlineStr">
        <is>
          <t>VIC</t>
        </is>
      </c>
    </row>
    <row r="158">
      <c r="A158" s="13" t="n">
        <v>45772</v>
      </c>
      <c r="B158" t="inlineStr">
        <is>
          <t>Anzac Day</t>
        </is>
      </c>
      <c r="C158" t="inlineStr">
        <is>
          <t>VIC</t>
        </is>
      </c>
    </row>
    <row r="159">
      <c r="A159" s="13" t="n">
        <v>45817</v>
      </c>
      <c r="B159" t="inlineStr">
        <is>
          <t>King's Birthday</t>
        </is>
      </c>
      <c r="C159" t="inlineStr">
        <is>
          <t>VIC</t>
        </is>
      </c>
    </row>
    <row r="160">
      <c r="A160" s="13" t="n">
        <v>45926</v>
      </c>
      <c r="B160" t="inlineStr">
        <is>
          <t>AFL Grand Final Friday (check date)</t>
        </is>
      </c>
      <c r="C160" t="inlineStr">
        <is>
          <t>VIC</t>
        </is>
      </c>
    </row>
    <row r="161">
      <c r="A161" s="13" t="n">
        <v>45965</v>
      </c>
      <c r="B161" t="inlineStr">
        <is>
          <t>Melbourne Cup</t>
        </is>
      </c>
      <c r="C161" t="inlineStr">
        <is>
          <t>VIC</t>
        </is>
      </c>
    </row>
    <row r="162">
      <c r="A162" s="13" t="n">
        <v>46016</v>
      </c>
      <c r="B162" t="inlineStr">
        <is>
          <t>Christmas Day</t>
        </is>
      </c>
      <c r="C162" t="inlineStr">
        <is>
          <t>VIC</t>
        </is>
      </c>
    </row>
    <row r="163">
      <c r="A163" s="13" t="n">
        <v>46017</v>
      </c>
      <c r="B163" t="inlineStr">
        <is>
          <t>Boxing Day</t>
        </is>
      </c>
      <c r="C163" t="inlineStr">
        <is>
          <t>VIC</t>
        </is>
      </c>
    </row>
    <row r="164">
      <c r="A164" s="13" t="n">
        <v>46023</v>
      </c>
      <c r="B164" t="inlineStr">
        <is>
          <t>New Year's Day</t>
        </is>
      </c>
      <c r="C164" t="inlineStr">
        <is>
          <t>VIC</t>
        </is>
      </c>
    </row>
    <row r="165">
      <c r="A165" s="13" t="n">
        <v>46048</v>
      </c>
      <c r="B165" t="inlineStr">
        <is>
          <t>Australia Day</t>
        </is>
      </c>
      <c r="C165" t="inlineStr">
        <is>
          <t>VIC</t>
        </is>
      </c>
    </row>
    <row r="166">
      <c r="A166" s="13" t="n">
        <v>46090</v>
      </c>
      <c r="B166" t="inlineStr">
        <is>
          <t>Labour Day</t>
        </is>
      </c>
      <c r="C166" t="inlineStr">
        <is>
          <t>VIC</t>
        </is>
      </c>
    </row>
    <row r="167">
      <c r="A167" s="13" t="n">
        <v>46115</v>
      </c>
      <c r="B167" t="inlineStr">
        <is>
          <t>Good Friday</t>
        </is>
      </c>
      <c r="C167" t="inlineStr">
        <is>
          <t>VIC</t>
        </is>
      </c>
    </row>
    <row r="168">
      <c r="A168" s="13" t="n">
        <v>46116</v>
      </c>
      <c r="B168" t="inlineStr">
        <is>
          <t>Easter Saturday</t>
        </is>
      </c>
      <c r="C168" t="inlineStr">
        <is>
          <t>VIC</t>
        </is>
      </c>
    </row>
    <row r="169">
      <c r="A169" s="13" t="n">
        <v>46117</v>
      </c>
      <c r="B169" t="inlineStr">
        <is>
          <t>Easter Sunday</t>
        </is>
      </c>
      <c r="C169" t="inlineStr">
        <is>
          <t>VIC</t>
        </is>
      </c>
    </row>
    <row r="170">
      <c r="A170" s="13" t="n">
        <v>46118</v>
      </c>
      <c r="B170" t="inlineStr">
        <is>
          <t>Easter Monday</t>
        </is>
      </c>
      <c r="C170" t="inlineStr">
        <is>
          <t>VIC</t>
        </is>
      </c>
    </row>
    <row r="171">
      <c r="A171" s="13" t="n">
        <v>46137</v>
      </c>
      <c r="B171" t="inlineStr">
        <is>
          <t>Anzac Day</t>
        </is>
      </c>
      <c r="C171" t="inlineStr">
        <is>
          <t>VIC</t>
        </is>
      </c>
    </row>
    <row r="172">
      <c r="A172" s="13" t="n">
        <v>46181</v>
      </c>
      <c r="B172" t="inlineStr">
        <is>
          <t>King's Birthday</t>
        </is>
      </c>
      <c r="C172" t="inlineStr">
        <is>
          <t>VIC</t>
        </is>
      </c>
    </row>
    <row r="173">
      <c r="A173" s="13" t="n">
        <v>46290</v>
      </c>
      <c r="B173" t="inlineStr">
        <is>
          <t>AFL Grand Final Friday (check date)</t>
        </is>
      </c>
      <c r="C173" t="inlineStr">
        <is>
          <t>VIC</t>
        </is>
      </c>
    </row>
    <row r="174">
      <c r="A174" s="13" t="n">
        <v>46329</v>
      </c>
      <c r="B174" t="inlineStr">
        <is>
          <t>Melbourne Cup</t>
        </is>
      </c>
      <c r="C174" t="inlineStr">
        <is>
          <t>VIC</t>
        </is>
      </c>
    </row>
    <row r="175">
      <c r="A175" s="13" t="n">
        <v>46381</v>
      </c>
      <c r="B175" t="inlineStr">
        <is>
          <t>Christmas Day</t>
        </is>
      </c>
      <c r="C175" t="inlineStr">
        <is>
          <t>VIC</t>
        </is>
      </c>
    </row>
    <row r="176">
      <c r="A176" s="13" t="n">
        <v>46382</v>
      </c>
      <c r="B176" t="inlineStr">
        <is>
          <t>Boxing Day</t>
        </is>
      </c>
      <c r="C176" t="inlineStr">
        <is>
          <t>VIC</t>
        </is>
      </c>
    </row>
    <row r="177">
      <c r="A177" s="13" t="n">
        <v>46384</v>
      </c>
      <c r="B177" t="inlineStr">
        <is>
          <t>Boxing Day (additional)</t>
        </is>
      </c>
      <c r="C177" t="inlineStr">
        <is>
          <t>VIC</t>
        </is>
      </c>
    </row>
    <row r="178">
      <c r="A178" s="13" t="n">
        <v>46388</v>
      </c>
      <c r="B178" t="inlineStr">
        <is>
          <t>New Year's Day</t>
        </is>
      </c>
      <c r="C178" t="inlineStr">
        <is>
          <t>VIC</t>
        </is>
      </c>
    </row>
    <row r="179">
      <c r="A179" s="13" t="n">
        <v>46413</v>
      </c>
      <c r="B179" t="inlineStr">
        <is>
          <t>Australia Day</t>
        </is>
      </c>
      <c r="C179" t="inlineStr">
        <is>
          <t>VIC</t>
        </is>
      </c>
    </row>
    <row r="180">
      <c r="A180" s="13" t="n">
        <v>46454</v>
      </c>
      <c r="B180" t="inlineStr">
        <is>
          <t>Labour Day</t>
        </is>
      </c>
      <c r="C180" t="inlineStr">
        <is>
          <t>VIC</t>
        </is>
      </c>
    </row>
    <row r="181">
      <c r="A181" s="13" t="n">
        <v>46472</v>
      </c>
      <c r="B181" t="inlineStr">
        <is>
          <t>Good Friday</t>
        </is>
      </c>
      <c r="C181" t="inlineStr">
        <is>
          <t>VIC</t>
        </is>
      </c>
    </row>
    <row r="182">
      <c r="A182" s="13" t="n">
        <v>46473</v>
      </c>
      <c r="B182" t="inlineStr">
        <is>
          <t>Easter Saturday</t>
        </is>
      </c>
      <c r="C182" t="inlineStr">
        <is>
          <t>VIC</t>
        </is>
      </c>
    </row>
    <row r="183">
      <c r="A183" s="13" t="n">
        <v>46474</v>
      </c>
      <c r="B183" t="inlineStr">
        <is>
          <t>Easter Sunday</t>
        </is>
      </c>
      <c r="C183" t="inlineStr">
        <is>
          <t>VIC</t>
        </is>
      </c>
    </row>
    <row r="184">
      <c r="A184" s="13" t="n">
        <v>46475</v>
      </c>
      <c r="B184" t="inlineStr">
        <is>
          <t>Easter Monday</t>
        </is>
      </c>
      <c r="C184" t="inlineStr">
        <is>
          <t>VIC</t>
        </is>
      </c>
    </row>
    <row r="185">
      <c r="A185" s="13" t="n">
        <v>46502</v>
      </c>
      <c r="B185" t="inlineStr">
        <is>
          <t>Anzac Day</t>
        </is>
      </c>
      <c r="C185" t="inlineStr">
        <is>
          <t>VIC</t>
        </is>
      </c>
    </row>
    <row r="186">
      <c r="A186" s="13" t="n">
        <v>46552</v>
      </c>
      <c r="B186" t="inlineStr">
        <is>
          <t>King's Birthday</t>
        </is>
      </c>
      <c r="C186" t="inlineStr">
        <is>
          <t>VIC</t>
        </is>
      </c>
    </row>
    <row r="187">
      <c r="A187" s="13" t="n">
        <v>46654</v>
      </c>
      <c r="B187" t="inlineStr">
        <is>
          <t>AFL Grand Final Friday (check date)</t>
        </is>
      </c>
      <c r="C187" t="inlineStr">
        <is>
          <t>VIC</t>
        </is>
      </c>
    </row>
    <row r="188">
      <c r="A188" s="13" t="n">
        <v>46693</v>
      </c>
      <c r="B188" t="inlineStr">
        <is>
          <t>Melbourne Cup</t>
        </is>
      </c>
      <c r="C188" t="inlineStr">
        <is>
          <t>VIC</t>
        </is>
      </c>
    </row>
    <row r="189">
      <c r="A189" s="13" t="n">
        <v>46746</v>
      </c>
      <c r="B189" t="inlineStr">
        <is>
          <t>Christmas Day</t>
        </is>
      </c>
      <c r="C189" t="inlineStr">
        <is>
          <t>VIC</t>
        </is>
      </c>
    </row>
    <row r="190">
      <c r="A190" s="13" t="n">
        <v>46747</v>
      </c>
      <c r="B190" t="inlineStr">
        <is>
          <t>Boxing Day</t>
        </is>
      </c>
      <c r="C190" t="inlineStr">
        <is>
          <t>VIC</t>
        </is>
      </c>
    </row>
    <row r="191">
      <c r="A191" s="13" t="n">
        <v>46748</v>
      </c>
      <c r="B191" t="inlineStr">
        <is>
          <t>Christmas (additional)</t>
        </is>
      </c>
      <c r="C191" t="inlineStr">
        <is>
          <t>VIC</t>
        </is>
      </c>
    </row>
    <row r="192">
      <c r="A192" s="13" t="n">
        <v>46749</v>
      </c>
      <c r="B192" t="inlineStr">
        <is>
          <t>Boxing Day (additional)</t>
        </is>
      </c>
      <c r="C192" t="inlineStr">
        <is>
          <t>VIC</t>
        </is>
      </c>
    </row>
    <row r="193">
      <c r="A193" s="13" t="n">
        <v>46753</v>
      </c>
      <c r="B193" t="inlineStr">
        <is>
          <t>New Year's Day</t>
        </is>
      </c>
      <c r="C193" t="inlineStr">
        <is>
          <t>VIC</t>
        </is>
      </c>
    </row>
    <row r="194">
      <c r="A194" s="13" t="n">
        <v>46755</v>
      </c>
      <c r="B194" t="inlineStr">
        <is>
          <t>New Year's Day (additional)</t>
        </is>
      </c>
      <c r="C194" t="inlineStr">
        <is>
          <t>VIC</t>
        </is>
      </c>
    </row>
    <row r="195">
      <c r="A195" s="13" t="n">
        <v>46778</v>
      </c>
      <c r="B195" t="inlineStr">
        <is>
          <t>Australia Day</t>
        </is>
      </c>
      <c r="C195" t="inlineStr">
        <is>
          <t>VIC</t>
        </is>
      </c>
    </row>
    <row r="196">
      <c r="A196" s="13" t="n">
        <v>46825</v>
      </c>
      <c r="B196" t="inlineStr">
        <is>
          <t>Labour Day</t>
        </is>
      </c>
      <c r="C196" t="inlineStr">
        <is>
          <t>VIC</t>
        </is>
      </c>
    </row>
    <row r="197">
      <c r="A197" s="13" t="n">
        <v>46857</v>
      </c>
      <c r="B197" t="inlineStr">
        <is>
          <t>Good Friday</t>
        </is>
      </c>
      <c r="C197" t="inlineStr">
        <is>
          <t>VIC</t>
        </is>
      </c>
    </row>
    <row r="198">
      <c r="A198" s="13" t="n">
        <v>46858</v>
      </c>
      <c r="B198" t="inlineStr">
        <is>
          <t>Easter Saturday</t>
        </is>
      </c>
      <c r="C198" t="inlineStr">
        <is>
          <t>VIC</t>
        </is>
      </c>
    </row>
    <row r="199">
      <c r="A199" s="13" t="n">
        <v>46859</v>
      </c>
      <c r="B199" t="inlineStr">
        <is>
          <t>Easter Sunday</t>
        </is>
      </c>
      <c r="C199" t="inlineStr">
        <is>
          <t>VIC</t>
        </is>
      </c>
    </row>
    <row r="200">
      <c r="A200" s="13" t="n">
        <v>46860</v>
      </c>
      <c r="B200" t="inlineStr">
        <is>
          <t>Easter Monday</t>
        </is>
      </c>
      <c r="C200" t="inlineStr">
        <is>
          <t>VIC</t>
        </is>
      </c>
    </row>
    <row r="201">
      <c r="A201" s="13" t="n">
        <v>46868</v>
      </c>
      <c r="B201" t="inlineStr">
        <is>
          <t>Anzac Day</t>
        </is>
      </c>
      <c r="C201" t="inlineStr">
        <is>
          <t>VIC</t>
        </is>
      </c>
    </row>
    <row r="202">
      <c r="A202" s="13" t="n">
        <v>46916</v>
      </c>
      <c r="B202" t="inlineStr">
        <is>
          <t>King's Birthday</t>
        </is>
      </c>
      <c r="C202" t="inlineStr">
        <is>
          <t>VIC</t>
        </is>
      </c>
    </row>
    <row r="203">
      <c r="A203" s="13" t="n">
        <v>47025</v>
      </c>
      <c r="B203" t="inlineStr">
        <is>
          <t>AFL Grand Final Friday (check date)</t>
        </is>
      </c>
      <c r="C203" t="inlineStr">
        <is>
          <t>VIC</t>
        </is>
      </c>
    </row>
    <row r="204">
      <c r="A204" s="13" t="n">
        <v>47064</v>
      </c>
      <c r="B204" t="inlineStr">
        <is>
          <t>Melbourne Cup</t>
        </is>
      </c>
      <c r="C204" t="inlineStr">
        <is>
          <t>VIC</t>
        </is>
      </c>
    </row>
    <row r="205">
      <c r="A205" s="13" t="n">
        <v>47112</v>
      </c>
      <c r="B205" t="inlineStr">
        <is>
          <t>Christmas Day</t>
        </is>
      </c>
      <c r="C205" t="inlineStr">
        <is>
          <t>VIC</t>
        </is>
      </c>
    </row>
    <row r="206">
      <c r="A206" s="13" t="n">
        <v>47113</v>
      </c>
      <c r="B206" t="inlineStr">
        <is>
          <t>Boxing Day</t>
        </is>
      </c>
      <c r="C206" t="inlineStr">
        <is>
          <t>VIC</t>
        </is>
      </c>
    </row>
    <row r="207">
      <c r="A207" s="13" t="n">
        <v>45658</v>
      </c>
      <c r="B207" t="inlineStr">
        <is>
          <t>New Year's Day</t>
        </is>
      </c>
      <c r="C207" t="inlineStr">
        <is>
          <t>WA</t>
        </is>
      </c>
    </row>
    <row r="208">
      <c r="A208" s="13" t="n">
        <v>45684</v>
      </c>
      <c r="B208" t="inlineStr">
        <is>
          <t>Australia Day</t>
        </is>
      </c>
      <c r="C208" t="inlineStr">
        <is>
          <t>WA</t>
        </is>
      </c>
    </row>
    <row r="209">
      <c r="A209" s="13" t="n">
        <v>45719</v>
      </c>
      <c r="B209" t="inlineStr">
        <is>
          <t>Labour Day</t>
        </is>
      </c>
      <c r="C209" t="inlineStr">
        <is>
          <t>WA</t>
        </is>
      </c>
    </row>
    <row r="210">
      <c r="A210" s="13" t="n">
        <v>45765</v>
      </c>
      <c r="B210" t="inlineStr">
        <is>
          <t>Good Friday</t>
        </is>
      </c>
      <c r="C210" t="inlineStr">
        <is>
          <t>WA</t>
        </is>
      </c>
    </row>
    <row r="211">
      <c r="A211" s="13" t="n">
        <v>45767</v>
      </c>
      <c r="B211" t="inlineStr">
        <is>
          <t>Easter Sunday</t>
        </is>
      </c>
      <c r="C211" t="inlineStr">
        <is>
          <t>WA</t>
        </is>
      </c>
    </row>
    <row r="212">
      <c r="A212" s="13" t="n">
        <v>45768</v>
      </c>
      <c r="B212" t="inlineStr">
        <is>
          <t>Easter Monday</t>
        </is>
      </c>
      <c r="C212" t="inlineStr">
        <is>
          <t>WA</t>
        </is>
      </c>
    </row>
    <row r="213">
      <c r="A213" s="13" t="n">
        <v>45772</v>
      </c>
      <c r="B213" t="inlineStr">
        <is>
          <t>Anzac Day</t>
        </is>
      </c>
      <c r="C213" t="inlineStr">
        <is>
          <t>WA</t>
        </is>
      </c>
    </row>
    <row r="214">
      <c r="A214" s="13" t="n">
        <v>45810</v>
      </c>
      <c r="B214" t="inlineStr">
        <is>
          <t>WA Day</t>
        </is>
      </c>
      <c r="C214" t="inlineStr">
        <is>
          <t>WA</t>
        </is>
      </c>
    </row>
    <row r="215">
      <c r="A215" s="13" t="n">
        <v>45929</v>
      </c>
      <c r="B215" t="inlineStr">
        <is>
          <t>King's Birthday</t>
        </is>
      </c>
      <c r="C215" t="inlineStr">
        <is>
          <t>WA</t>
        </is>
      </c>
    </row>
    <row r="216">
      <c r="A216" s="13" t="n">
        <v>46016</v>
      </c>
      <c r="B216" t="inlineStr">
        <is>
          <t>Christmas Day</t>
        </is>
      </c>
      <c r="C216" t="inlineStr">
        <is>
          <t>WA</t>
        </is>
      </c>
    </row>
    <row r="217">
      <c r="A217" s="13" t="n">
        <v>46017</v>
      </c>
      <c r="B217" t="inlineStr">
        <is>
          <t>Boxing Day</t>
        </is>
      </c>
      <c r="C217" t="inlineStr">
        <is>
          <t>WA</t>
        </is>
      </c>
    </row>
    <row r="218">
      <c r="A218" s="13" t="n">
        <v>46023</v>
      </c>
      <c r="B218" t="inlineStr">
        <is>
          <t>New Year's Day</t>
        </is>
      </c>
      <c r="C218" t="inlineStr">
        <is>
          <t>WA</t>
        </is>
      </c>
    </row>
    <row r="219">
      <c r="A219" s="13" t="n">
        <v>46048</v>
      </c>
      <c r="B219" t="inlineStr">
        <is>
          <t>Australia Day</t>
        </is>
      </c>
      <c r="C219" t="inlineStr">
        <is>
          <t>WA</t>
        </is>
      </c>
    </row>
    <row r="220">
      <c r="A220" s="13" t="n">
        <v>46083</v>
      </c>
      <c r="B220" t="inlineStr">
        <is>
          <t>Labour Day</t>
        </is>
      </c>
      <c r="C220" t="inlineStr">
        <is>
          <t>WA</t>
        </is>
      </c>
    </row>
    <row r="221">
      <c r="A221" s="13" t="n">
        <v>46115</v>
      </c>
      <c r="B221" t="inlineStr">
        <is>
          <t>Good Friday</t>
        </is>
      </c>
      <c r="C221" t="inlineStr">
        <is>
          <t>WA</t>
        </is>
      </c>
    </row>
    <row r="222">
      <c r="A222" s="13" t="n">
        <v>46117</v>
      </c>
      <c r="B222" t="inlineStr">
        <is>
          <t>Easter Sunday</t>
        </is>
      </c>
      <c r="C222" t="inlineStr">
        <is>
          <t>WA</t>
        </is>
      </c>
    </row>
    <row r="223">
      <c r="A223" s="13" t="n">
        <v>46118</v>
      </c>
      <c r="B223" t="inlineStr">
        <is>
          <t>Easter Monday</t>
        </is>
      </c>
      <c r="C223" t="inlineStr">
        <is>
          <t>WA</t>
        </is>
      </c>
    </row>
    <row r="224">
      <c r="A224" s="13" t="n">
        <v>46137</v>
      </c>
      <c r="B224" t="inlineStr">
        <is>
          <t>Anzac Day</t>
        </is>
      </c>
      <c r="C224" t="inlineStr">
        <is>
          <t>WA</t>
        </is>
      </c>
    </row>
    <row r="225">
      <c r="A225" s="13" t="n">
        <v>46139</v>
      </c>
      <c r="B225" t="inlineStr">
        <is>
          <t>Anzac Day (additional)</t>
        </is>
      </c>
      <c r="C225" t="inlineStr">
        <is>
          <t>WA</t>
        </is>
      </c>
    </row>
    <row r="226">
      <c r="A226" s="13" t="n">
        <v>46174</v>
      </c>
      <c r="B226" t="inlineStr">
        <is>
          <t>WA Day</t>
        </is>
      </c>
      <c r="C226" t="inlineStr">
        <is>
          <t>WA</t>
        </is>
      </c>
    </row>
    <row r="227">
      <c r="A227" s="13" t="n">
        <v>46293</v>
      </c>
      <c r="B227" t="inlineStr">
        <is>
          <t>King's Birthday</t>
        </is>
      </c>
      <c r="C227" t="inlineStr">
        <is>
          <t>WA</t>
        </is>
      </c>
    </row>
    <row r="228">
      <c r="A228" s="13" t="n">
        <v>46381</v>
      </c>
      <c r="B228" t="inlineStr">
        <is>
          <t>Christmas Day</t>
        </is>
      </c>
      <c r="C228" t="inlineStr">
        <is>
          <t>WA</t>
        </is>
      </c>
    </row>
    <row r="229">
      <c r="A229" s="13" t="n">
        <v>46382</v>
      </c>
      <c r="B229" t="inlineStr">
        <is>
          <t>Boxing Day</t>
        </is>
      </c>
      <c r="C229" t="inlineStr">
        <is>
          <t>WA</t>
        </is>
      </c>
    </row>
    <row r="230">
      <c r="A230" s="13" t="n">
        <v>46384</v>
      </c>
      <c r="B230" t="inlineStr">
        <is>
          <t>Boxing Day (additional)</t>
        </is>
      </c>
      <c r="C230" t="inlineStr">
        <is>
          <t>WA</t>
        </is>
      </c>
    </row>
    <row r="231">
      <c r="A231" s="13" t="n">
        <v>46388</v>
      </c>
      <c r="B231" t="inlineStr">
        <is>
          <t>New Year's Day</t>
        </is>
      </c>
      <c r="C231" t="inlineStr">
        <is>
          <t>WA</t>
        </is>
      </c>
    </row>
    <row r="232">
      <c r="A232" s="13" t="n">
        <v>46413</v>
      </c>
      <c r="B232" t="inlineStr">
        <is>
          <t>Australia Day</t>
        </is>
      </c>
      <c r="C232" t="inlineStr">
        <is>
          <t>WA</t>
        </is>
      </c>
    </row>
    <row r="233">
      <c r="A233" s="13" t="n">
        <v>46447</v>
      </c>
      <c r="B233" t="inlineStr">
        <is>
          <t>Labour Day</t>
        </is>
      </c>
      <c r="C233" t="inlineStr">
        <is>
          <t>WA</t>
        </is>
      </c>
    </row>
    <row r="234">
      <c r="A234" s="13" t="n">
        <v>46472</v>
      </c>
      <c r="B234" t="inlineStr">
        <is>
          <t>Good Friday</t>
        </is>
      </c>
      <c r="C234" t="inlineStr">
        <is>
          <t>WA</t>
        </is>
      </c>
    </row>
    <row r="235">
      <c r="A235" s="13" t="n">
        <v>46474</v>
      </c>
      <c r="B235" t="inlineStr">
        <is>
          <t>Easter Sunday</t>
        </is>
      </c>
      <c r="C235" t="inlineStr">
        <is>
          <t>WA</t>
        </is>
      </c>
    </row>
    <row r="236">
      <c r="A236" s="13" t="n">
        <v>46475</v>
      </c>
      <c r="B236" t="inlineStr">
        <is>
          <t>Easter Monday</t>
        </is>
      </c>
      <c r="C236" t="inlineStr">
        <is>
          <t>WA</t>
        </is>
      </c>
    </row>
    <row r="237">
      <c r="A237" s="13" t="n">
        <v>46502</v>
      </c>
      <c r="B237" t="inlineStr">
        <is>
          <t>Anzac Day</t>
        </is>
      </c>
      <c r="C237" t="inlineStr">
        <is>
          <t>WA</t>
        </is>
      </c>
    </row>
    <row r="238">
      <c r="A238" s="13" t="n">
        <v>46503</v>
      </c>
      <c r="B238" t="inlineStr">
        <is>
          <t>Anzac Day (additional)</t>
        </is>
      </c>
      <c r="C238" t="inlineStr">
        <is>
          <t>WA</t>
        </is>
      </c>
    </row>
    <row r="239">
      <c r="A239" s="13" t="n">
        <v>46545</v>
      </c>
      <c r="B239" t="inlineStr">
        <is>
          <t>WA Day</t>
        </is>
      </c>
      <c r="C239" t="inlineStr">
        <is>
          <t>WA</t>
        </is>
      </c>
    </row>
    <row r="240">
      <c r="A240" s="13" t="n">
        <v>46657</v>
      </c>
      <c r="B240" t="inlineStr">
        <is>
          <t>King's Birthday</t>
        </is>
      </c>
      <c r="C240" t="inlineStr">
        <is>
          <t>WA</t>
        </is>
      </c>
    </row>
    <row r="241">
      <c r="A241" s="13" t="n">
        <v>46746</v>
      </c>
      <c r="B241" t="inlineStr">
        <is>
          <t>Christmas Day</t>
        </is>
      </c>
      <c r="C241" t="inlineStr">
        <is>
          <t>WA</t>
        </is>
      </c>
    </row>
    <row r="242">
      <c r="A242" s="13" t="n">
        <v>46747</v>
      </c>
      <c r="B242" t="inlineStr">
        <is>
          <t>Boxing Day</t>
        </is>
      </c>
      <c r="C242" t="inlineStr">
        <is>
          <t>WA</t>
        </is>
      </c>
    </row>
    <row r="243">
      <c r="A243" s="13" t="n">
        <v>46748</v>
      </c>
      <c r="B243" t="inlineStr">
        <is>
          <t>Christmas (additional)</t>
        </is>
      </c>
      <c r="C243" t="inlineStr">
        <is>
          <t>WA</t>
        </is>
      </c>
    </row>
    <row r="244">
      <c r="A244" s="13" t="n">
        <v>46749</v>
      </c>
      <c r="B244" t="inlineStr">
        <is>
          <t>Boxing Day (additional)</t>
        </is>
      </c>
      <c r="C244" t="inlineStr">
        <is>
          <t>WA</t>
        </is>
      </c>
    </row>
    <row r="245">
      <c r="A245" s="13" t="n">
        <v>46753</v>
      </c>
      <c r="B245" t="inlineStr">
        <is>
          <t>New Year's Day</t>
        </is>
      </c>
      <c r="C245" t="inlineStr">
        <is>
          <t>WA</t>
        </is>
      </c>
    </row>
    <row r="246">
      <c r="A246" s="13" t="n">
        <v>46755</v>
      </c>
      <c r="B246" t="inlineStr">
        <is>
          <t>New Year's Day (additional)</t>
        </is>
      </c>
      <c r="C246" t="inlineStr">
        <is>
          <t>WA</t>
        </is>
      </c>
    </row>
    <row r="247">
      <c r="A247" s="13" t="n">
        <v>46778</v>
      </c>
      <c r="B247" t="inlineStr">
        <is>
          <t>Australia Day</t>
        </is>
      </c>
      <c r="C247" t="inlineStr">
        <is>
          <t>WA</t>
        </is>
      </c>
    </row>
    <row r="248">
      <c r="A248" s="13" t="n">
        <v>46818</v>
      </c>
      <c r="B248" t="inlineStr">
        <is>
          <t>Labour Day</t>
        </is>
      </c>
      <c r="C248" t="inlineStr">
        <is>
          <t>WA</t>
        </is>
      </c>
    </row>
    <row r="249">
      <c r="A249" s="13" t="n">
        <v>46857</v>
      </c>
      <c r="B249" t="inlineStr">
        <is>
          <t>Good Friday</t>
        </is>
      </c>
      <c r="C249" t="inlineStr">
        <is>
          <t>WA</t>
        </is>
      </c>
    </row>
    <row r="250">
      <c r="A250" s="13" t="n">
        <v>46859</v>
      </c>
      <c r="B250" t="inlineStr">
        <is>
          <t>Easter Sunday</t>
        </is>
      </c>
      <c r="C250" t="inlineStr">
        <is>
          <t>WA</t>
        </is>
      </c>
    </row>
    <row r="251">
      <c r="A251" s="13" t="n">
        <v>46860</v>
      </c>
      <c r="B251" t="inlineStr">
        <is>
          <t>Easter Monday</t>
        </is>
      </c>
      <c r="C251" t="inlineStr">
        <is>
          <t>WA</t>
        </is>
      </c>
    </row>
    <row r="252">
      <c r="A252" s="13" t="n">
        <v>46868</v>
      </c>
      <c r="B252" t="inlineStr">
        <is>
          <t>Anzac Day</t>
        </is>
      </c>
      <c r="C252" t="inlineStr">
        <is>
          <t>WA</t>
        </is>
      </c>
    </row>
    <row r="253">
      <c r="A253" s="13" t="n">
        <v>46909</v>
      </c>
      <c r="B253" t="inlineStr">
        <is>
          <t>WA Day</t>
        </is>
      </c>
      <c r="C253" t="inlineStr">
        <is>
          <t>WA</t>
        </is>
      </c>
    </row>
    <row r="254">
      <c r="A254" s="13" t="n">
        <v>47021</v>
      </c>
      <c r="B254" t="inlineStr">
        <is>
          <t>King's Birthday</t>
        </is>
      </c>
      <c r="C254" t="inlineStr">
        <is>
          <t>WA</t>
        </is>
      </c>
    </row>
    <row r="255">
      <c r="A255" s="13" t="n">
        <v>47112</v>
      </c>
      <c r="B255" t="inlineStr">
        <is>
          <t>Christmas Day</t>
        </is>
      </c>
      <c r="C255" t="inlineStr">
        <is>
          <t>WA</t>
        </is>
      </c>
    </row>
    <row r="256">
      <c r="A256" s="13" t="n">
        <v>47113</v>
      </c>
      <c r="B256" t="inlineStr">
        <is>
          <t>Boxing Day</t>
        </is>
      </c>
      <c r="C256" t="inlineStr">
        <is>
          <t>WA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Calendar: public holidays, PH cost factor, wage index</t>
        </is>
      </c>
    </row>
    <row r="2">
      <c r="A2" s="6" t="inlineStr">
        <is>
          <t>PH factor = average cost per hour in the month vs a month with no public holidays.</t>
        </is>
      </c>
    </row>
    <row r="3">
      <c r="C3" s="1" t="inlineStr">
        <is>
          <t>Public holidays (count)</t>
        </is>
      </c>
      <c r="H3" s="1" t="inlineStr">
        <is>
          <t>PH cost factor</t>
        </is>
      </c>
    </row>
    <row r="4">
      <c r="A4" s="5" t="inlineStr">
        <is>
          <t>Month</t>
        </is>
      </c>
      <c r="B4" s="5" t="inlineStr">
        <is>
          <t>Days</t>
        </is>
      </c>
      <c r="C4" s="5" t="inlineStr">
        <is>
          <t>PH NSW</t>
        </is>
      </c>
      <c r="D4" s="5" t="inlineStr">
        <is>
          <t>PH VIC</t>
        </is>
      </c>
      <c r="E4" s="5" t="inlineStr">
        <is>
          <t>PH QLD</t>
        </is>
      </c>
      <c r="F4" s="5" t="inlineStr">
        <is>
          <t>PH SA</t>
        </is>
      </c>
      <c r="G4" s="5" t="inlineStr">
        <is>
          <t>PH WA</t>
        </is>
      </c>
      <c r="H4" s="5" t="inlineStr">
        <is>
          <t>NSW</t>
        </is>
      </c>
      <c r="I4" s="5" t="inlineStr">
        <is>
          <t>VIC</t>
        </is>
      </c>
      <c r="J4" s="5" t="inlineStr">
        <is>
          <t>QLD</t>
        </is>
      </c>
      <c r="K4" s="5" t="inlineStr">
        <is>
          <t>SA</t>
        </is>
      </c>
      <c r="L4" s="5" t="inlineStr">
        <is>
          <t>WA</t>
        </is>
      </c>
      <c r="M4" s="5" t="inlineStr">
        <is>
          <t>Wage index</t>
        </is>
      </c>
    </row>
    <row r="5">
      <c r="A5" s="8" t="n">
        <v>45658</v>
      </c>
      <c r="B5">
        <f>DAY(EOMONTH(A5,0))</f>
        <v/>
      </c>
      <c r="C5">
        <f>COUNTIFS(Holidays!$A$2:$A$1000,"&gt;="&amp;$A5,Holidays!$A$2:$A$1000,"&lt;="&amp;EOMONTH($A5,0),Holidays!$C$2:$C$1000,"NSW")</f>
        <v/>
      </c>
      <c r="D5">
        <f>COUNTIFS(Holidays!$A$2:$A$1000,"&gt;="&amp;$A5,Holidays!$A$2:$A$1000,"&lt;="&amp;EOMONTH($A5,0),Holidays!$C$2:$C$1000,"VIC")</f>
        <v/>
      </c>
      <c r="E5">
        <f>COUNTIFS(Holidays!$A$2:$A$1000,"&gt;="&amp;$A5,Holidays!$A$2:$A$1000,"&lt;="&amp;EOMONTH($A5,0),Holidays!$C$2:$C$1000,"QLD")</f>
        <v/>
      </c>
      <c r="F5">
        <f>COUNTIFS(Holidays!$A$2:$A$1000,"&gt;="&amp;$A5,Holidays!$A$2:$A$1000,"&lt;="&amp;EOMONTH($A5,0),Holidays!$C$2:$C$1000,"SA")</f>
        <v/>
      </c>
      <c r="G5">
        <f>COUNTIFS(Holidays!$A$2:$A$1000,"&gt;="&amp;$A5,Holidays!$A$2:$A$1000,"&lt;="&amp;EOMONTH($A5,0),Holidays!$C$2:$C$1000,"WA")</f>
        <v/>
      </c>
      <c r="H5" s="14">
        <f>($B5-C5+C5*PH_Roster*(1+PH_Loading))/($B5-C5+C5*PH_Roster)</f>
        <v/>
      </c>
      <c r="I5" s="14">
        <f>($B5-D5+D5*PH_Roster*(1+PH_Loading))/($B5-D5+D5*PH_Roster)</f>
        <v/>
      </c>
      <c r="J5" s="14">
        <f>($B5-E5+E5*PH_Roster*(1+PH_Loading))/($B5-E5+E5*PH_Roster)</f>
        <v/>
      </c>
      <c r="K5" s="14">
        <f>($B5-F5+F5*PH_Roster*(1+PH_Loading))/($B5-F5+F5*PH_Roster)</f>
        <v/>
      </c>
      <c r="L5" s="14">
        <f>($B5-G5+G5*PH_Roster*(1+PH_Loading))/($B5-G5+G5*PH_Roster)</f>
        <v/>
      </c>
      <c r="M5" s="14">
        <f>EXP(SUMPRODUCT((WageDates&lt;=$A5)*(WageDates&lt;&gt;"")*LN(1+WageRates)))</f>
        <v/>
      </c>
    </row>
    <row r="6">
      <c r="A6" s="8" t="n">
        <v>45689</v>
      </c>
      <c r="B6">
        <f>DAY(EOMONTH(A6,0))</f>
        <v/>
      </c>
      <c r="C6">
        <f>COUNTIFS(Holidays!$A$2:$A$1000,"&gt;="&amp;$A6,Holidays!$A$2:$A$1000,"&lt;="&amp;EOMONTH($A6,0),Holidays!$C$2:$C$1000,"NSW")</f>
        <v/>
      </c>
      <c r="D6">
        <f>COUNTIFS(Holidays!$A$2:$A$1000,"&gt;="&amp;$A6,Holidays!$A$2:$A$1000,"&lt;="&amp;EOMONTH($A6,0),Holidays!$C$2:$C$1000,"VIC")</f>
        <v/>
      </c>
      <c r="E6">
        <f>COUNTIFS(Holidays!$A$2:$A$1000,"&gt;="&amp;$A6,Holidays!$A$2:$A$1000,"&lt;="&amp;EOMONTH($A6,0),Holidays!$C$2:$C$1000,"QLD")</f>
        <v/>
      </c>
      <c r="F6">
        <f>COUNTIFS(Holidays!$A$2:$A$1000,"&gt;="&amp;$A6,Holidays!$A$2:$A$1000,"&lt;="&amp;EOMONTH($A6,0),Holidays!$C$2:$C$1000,"SA")</f>
        <v/>
      </c>
      <c r="G6">
        <f>COUNTIFS(Holidays!$A$2:$A$1000,"&gt;="&amp;$A6,Holidays!$A$2:$A$1000,"&lt;="&amp;EOMONTH($A6,0),Holidays!$C$2:$C$1000,"WA")</f>
        <v/>
      </c>
      <c r="H6" s="14">
        <f>($B6-C6+C6*PH_Roster*(1+PH_Loading))/($B6-C6+C6*PH_Roster)</f>
        <v/>
      </c>
      <c r="I6" s="14">
        <f>($B6-D6+D6*PH_Roster*(1+PH_Loading))/($B6-D6+D6*PH_Roster)</f>
        <v/>
      </c>
      <c r="J6" s="14">
        <f>($B6-E6+E6*PH_Roster*(1+PH_Loading))/($B6-E6+E6*PH_Roster)</f>
        <v/>
      </c>
      <c r="K6" s="14">
        <f>($B6-F6+F6*PH_Roster*(1+PH_Loading))/($B6-F6+F6*PH_Roster)</f>
        <v/>
      </c>
      <c r="L6" s="14">
        <f>($B6-G6+G6*PH_Roster*(1+PH_Loading))/($B6-G6+G6*PH_Roster)</f>
        <v/>
      </c>
      <c r="M6" s="14">
        <f>EXP(SUMPRODUCT((WageDates&lt;=$A6)*(WageDates&lt;&gt;"")*LN(1+WageRates)))</f>
        <v/>
      </c>
    </row>
    <row r="7">
      <c r="A7" s="8" t="n">
        <v>45717</v>
      </c>
      <c r="B7">
        <f>DAY(EOMONTH(A7,0))</f>
        <v/>
      </c>
      <c r="C7">
        <f>COUNTIFS(Holidays!$A$2:$A$1000,"&gt;="&amp;$A7,Holidays!$A$2:$A$1000,"&lt;="&amp;EOMONTH($A7,0),Holidays!$C$2:$C$1000,"NSW")</f>
        <v/>
      </c>
      <c r="D7">
        <f>COUNTIFS(Holidays!$A$2:$A$1000,"&gt;="&amp;$A7,Holidays!$A$2:$A$1000,"&lt;="&amp;EOMONTH($A7,0),Holidays!$C$2:$C$1000,"VIC")</f>
        <v/>
      </c>
      <c r="E7">
        <f>COUNTIFS(Holidays!$A$2:$A$1000,"&gt;="&amp;$A7,Holidays!$A$2:$A$1000,"&lt;="&amp;EOMONTH($A7,0),Holidays!$C$2:$C$1000,"QLD")</f>
        <v/>
      </c>
      <c r="F7">
        <f>COUNTIFS(Holidays!$A$2:$A$1000,"&gt;="&amp;$A7,Holidays!$A$2:$A$1000,"&lt;="&amp;EOMONTH($A7,0),Holidays!$C$2:$C$1000,"SA")</f>
        <v/>
      </c>
      <c r="G7">
        <f>COUNTIFS(Holidays!$A$2:$A$1000,"&gt;="&amp;$A7,Holidays!$A$2:$A$1000,"&lt;="&amp;EOMONTH($A7,0),Holidays!$C$2:$C$1000,"WA")</f>
        <v/>
      </c>
      <c r="H7" s="14">
        <f>($B7-C7+C7*PH_Roster*(1+PH_Loading))/($B7-C7+C7*PH_Roster)</f>
        <v/>
      </c>
      <c r="I7" s="14">
        <f>($B7-D7+D7*PH_Roster*(1+PH_Loading))/($B7-D7+D7*PH_Roster)</f>
        <v/>
      </c>
      <c r="J7" s="14">
        <f>($B7-E7+E7*PH_Roster*(1+PH_Loading))/($B7-E7+E7*PH_Roster)</f>
        <v/>
      </c>
      <c r="K7" s="14">
        <f>($B7-F7+F7*PH_Roster*(1+PH_Loading))/($B7-F7+F7*PH_Roster)</f>
        <v/>
      </c>
      <c r="L7" s="14">
        <f>($B7-G7+G7*PH_Roster*(1+PH_Loading))/($B7-G7+G7*PH_Roster)</f>
        <v/>
      </c>
      <c r="M7" s="14">
        <f>EXP(SUMPRODUCT((WageDates&lt;=$A7)*(WageDates&lt;&gt;"")*LN(1+WageRates)))</f>
        <v/>
      </c>
    </row>
    <row r="8">
      <c r="A8" s="8" t="n">
        <v>45748</v>
      </c>
      <c r="B8">
        <f>DAY(EOMONTH(A8,0))</f>
        <v/>
      </c>
      <c r="C8">
        <f>COUNTIFS(Holidays!$A$2:$A$1000,"&gt;="&amp;$A8,Holidays!$A$2:$A$1000,"&lt;="&amp;EOMONTH($A8,0),Holidays!$C$2:$C$1000,"NSW")</f>
        <v/>
      </c>
      <c r="D8">
        <f>COUNTIFS(Holidays!$A$2:$A$1000,"&gt;="&amp;$A8,Holidays!$A$2:$A$1000,"&lt;="&amp;EOMONTH($A8,0),Holidays!$C$2:$C$1000,"VIC")</f>
        <v/>
      </c>
      <c r="E8">
        <f>COUNTIFS(Holidays!$A$2:$A$1000,"&gt;="&amp;$A8,Holidays!$A$2:$A$1000,"&lt;="&amp;EOMONTH($A8,0),Holidays!$C$2:$C$1000,"QLD")</f>
        <v/>
      </c>
      <c r="F8">
        <f>COUNTIFS(Holidays!$A$2:$A$1000,"&gt;="&amp;$A8,Holidays!$A$2:$A$1000,"&lt;="&amp;EOMONTH($A8,0),Holidays!$C$2:$C$1000,"SA")</f>
        <v/>
      </c>
      <c r="G8">
        <f>COUNTIFS(Holidays!$A$2:$A$1000,"&gt;="&amp;$A8,Holidays!$A$2:$A$1000,"&lt;="&amp;EOMONTH($A8,0),Holidays!$C$2:$C$1000,"WA")</f>
        <v/>
      </c>
      <c r="H8" s="14">
        <f>($B8-C8+C8*PH_Roster*(1+PH_Loading))/($B8-C8+C8*PH_Roster)</f>
        <v/>
      </c>
      <c r="I8" s="14">
        <f>($B8-D8+D8*PH_Roster*(1+PH_Loading))/($B8-D8+D8*PH_Roster)</f>
        <v/>
      </c>
      <c r="J8" s="14">
        <f>($B8-E8+E8*PH_Roster*(1+PH_Loading))/($B8-E8+E8*PH_Roster)</f>
        <v/>
      </c>
      <c r="K8" s="14">
        <f>($B8-F8+F8*PH_Roster*(1+PH_Loading))/($B8-F8+F8*PH_Roster)</f>
        <v/>
      </c>
      <c r="L8" s="14">
        <f>($B8-G8+G8*PH_Roster*(1+PH_Loading))/($B8-G8+G8*PH_Roster)</f>
        <v/>
      </c>
      <c r="M8" s="14">
        <f>EXP(SUMPRODUCT((WageDates&lt;=$A8)*(WageDates&lt;&gt;"")*LN(1+WageRates)))</f>
        <v/>
      </c>
    </row>
    <row r="9">
      <c r="A9" s="8" t="n">
        <v>45778</v>
      </c>
      <c r="B9">
        <f>DAY(EOMONTH(A9,0))</f>
        <v/>
      </c>
      <c r="C9">
        <f>COUNTIFS(Holidays!$A$2:$A$1000,"&gt;="&amp;$A9,Holidays!$A$2:$A$1000,"&lt;="&amp;EOMONTH($A9,0),Holidays!$C$2:$C$1000,"NSW")</f>
        <v/>
      </c>
      <c r="D9">
        <f>COUNTIFS(Holidays!$A$2:$A$1000,"&gt;="&amp;$A9,Holidays!$A$2:$A$1000,"&lt;="&amp;EOMONTH($A9,0),Holidays!$C$2:$C$1000,"VIC")</f>
        <v/>
      </c>
      <c r="E9">
        <f>COUNTIFS(Holidays!$A$2:$A$1000,"&gt;="&amp;$A9,Holidays!$A$2:$A$1000,"&lt;="&amp;EOMONTH($A9,0),Holidays!$C$2:$C$1000,"QLD")</f>
        <v/>
      </c>
      <c r="F9">
        <f>COUNTIFS(Holidays!$A$2:$A$1000,"&gt;="&amp;$A9,Holidays!$A$2:$A$1000,"&lt;="&amp;EOMONTH($A9,0),Holidays!$C$2:$C$1000,"SA")</f>
        <v/>
      </c>
      <c r="G9">
        <f>COUNTIFS(Holidays!$A$2:$A$1000,"&gt;="&amp;$A9,Holidays!$A$2:$A$1000,"&lt;="&amp;EOMONTH($A9,0),Holidays!$C$2:$C$1000,"WA")</f>
        <v/>
      </c>
      <c r="H9" s="14">
        <f>($B9-C9+C9*PH_Roster*(1+PH_Loading))/($B9-C9+C9*PH_Roster)</f>
        <v/>
      </c>
      <c r="I9" s="14">
        <f>($B9-D9+D9*PH_Roster*(1+PH_Loading))/($B9-D9+D9*PH_Roster)</f>
        <v/>
      </c>
      <c r="J9" s="14">
        <f>($B9-E9+E9*PH_Roster*(1+PH_Loading))/($B9-E9+E9*PH_Roster)</f>
        <v/>
      </c>
      <c r="K9" s="14">
        <f>($B9-F9+F9*PH_Roster*(1+PH_Loading))/($B9-F9+F9*PH_Roster)</f>
        <v/>
      </c>
      <c r="L9" s="14">
        <f>($B9-G9+G9*PH_Roster*(1+PH_Loading))/($B9-G9+G9*PH_Roster)</f>
        <v/>
      </c>
      <c r="M9" s="14">
        <f>EXP(SUMPRODUCT((WageDates&lt;=$A9)*(WageDates&lt;&gt;"")*LN(1+WageRates)))</f>
        <v/>
      </c>
    </row>
    <row r="10">
      <c r="A10" s="8" t="n">
        <v>45809</v>
      </c>
      <c r="B10">
        <f>DAY(EOMONTH(A10,0))</f>
        <v/>
      </c>
      <c r="C10">
        <f>COUNTIFS(Holidays!$A$2:$A$1000,"&gt;="&amp;$A10,Holidays!$A$2:$A$1000,"&lt;="&amp;EOMONTH($A10,0),Holidays!$C$2:$C$1000,"NSW")</f>
        <v/>
      </c>
      <c r="D10">
        <f>COUNTIFS(Holidays!$A$2:$A$1000,"&gt;="&amp;$A10,Holidays!$A$2:$A$1000,"&lt;="&amp;EOMONTH($A10,0),Holidays!$C$2:$C$1000,"VIC")</f>
        <v/>
      </c>
      <c r="E10">
        <f>COUNTIFS(Holidays!$A$2:$A$1000,"&gt;="&amp;$A10,Holidays!$A$2:$A$1000,"&lt;="&amp;EOMONTH($A10,0),Holidays!$C$2:$C$1000,"QLD")</f>
        <v/>
      </c>
      <c r="F10">
        <f>COUNTIFS(Holidays!$A$2:$A$1000,"&gt;="&amp;$A10,Holidays!$A$2:$A$1000,"&lt;="&amp;EOMONTH($A10,0),Holidays!$C$2:$C$1000,"SA")</f>
        <v/>
      </c>
      <c r="G10">
        <f>COUNTIFS(Holidays!$A$2:$A$1000,"&gt;="&amp;$A10,Holidays!$A$2:$A$1000,"&lt;="&amp;EOMONTH($A10,0),Holidays!$C$2:$C$1000,"WA")</f>
        <v/>
      </c>
      <c r="H10" s="14">
        <f>($B10-C10+C10*PH_Roster*(1+PH_Loading))/($B10-C10+C10*PH_Roster)</f>
        <v/>
      </c>
      <c r="I10" s="14">
        <f>($B10-D10+D10*PH_Roster*(1+PH_Loading))/($B10-D10+D10*PH_Roster)</f>
        <v/>
      </c>
      <c r="J10" s="14">
        <f>($B10-E10+E10*PH_Roster*(1+PH_Loading))/($B10-E10+E10*PH_Roster)</f>
        <v/>
      </c>
      <c r="K10" s="14">
        <f>($B10-F10+F10*PH_Roster*(1+PH_Loading))/($B10-F10+F10*PH_Roster)</f>
        <v/>
      </c>
      <c r="L10" s="14">
        <f>($B10-G10+G10*PH_Roster*(1+PH_Loading))/($B10-G10+G10*PH_Roster)</f>
        <v/>
      </c>
      <c r="M10" s="14">
        <f>EXP(SUMPRODUCT((WageDates&lt;=$A10)*(WageDates&lt;&gt;"")*LN(1+WageRates)))</f>
        <v/>
      </c>
    </row>
    <row r="11">
      <c r="A11" s="8" t="n">
        <v>45839</v>
      </c>
      <c r="B11">
        <f>DAY(EOMONTH(A11,0))</f>
        <v/>
      </c>
      <c r="C11">
        <f>COUNTIFS(Holidays!$A$2:$A$1000,"&gt;="&amp;$A11,Holidays!$A$2:$A$1000,"&lt;="&amp;EOMONTH($A11,0),Holidays!$C$2:$C$1000,"NSW")</f>
        <v/>
      </c>
      <c r="D11">
        <f>COUNTIFS(Holidays!$A$2:$A$1000,"&gt;="&amp;$A11,Holidays!$A$2:$A$1000,"&lt;="&amp;EOMONTH($A11,0),Holidays!$C$2:$C$1000,"VIC")</f>
        <v/>
      </c>
      <c r="E11">
        <f>COUNTIFS(Holidays!$A$2:$A$1000,"&gt;="&amp;$A11,Holidays!$A$2:$A$1000,"&lt;="&amp;EOMONTH($A11,0),Holidays!$C$2:$C$1000,"QLD")</f>
        <v/>
      </c>
      <c r="F11">
        <f>COUNTIFS(Holidays!$A$2:$A$1000,"&gt;="&amp;$A11,Holidays!$A$2:$A$1000,"&lt;="&amp;EOMONTH($A11,0),Holidays!$C$2:$C$1000,"SA")</f>
        <v/>
      </c>
      <c r="G11">
        <f>COUNTIFS(Holidays!$A$2:$A$1000,"&gt;="&amp;$A11,Holidays!$A$2:$A$1000,"&lt;="&amp;EOMONTH($A11,0),Holidays!$C$2:$C$1000,"WA")</f>
        <v/>
      </c>
      <c r="H11" s="14">
        <f>($B11-C11+C11*PH_Roster*(1+PH_Loading))/($B11-C11+C11*PH_Roster)</f>
        <v/>
      </c>
      <c r="I11" s="14">
        <f>($B11-D11+D11*PH_Roster*(1+PH_Loading))/($B11-D11+D11*PH_Roster)</f>
        <v/>
      </c>
      <c r="J11" s="14">
        <f>($B11-E11+E11*PH_Roster*(1+PH_Loading))/($B11-E11+E11*PH_Roster)</f>
        <v/>
      </c>
      <c r="K11" s="14">
        <f>($B11-F11+F11*PH_Roster*(1+PH_Loading))/($B11-F11+F11*PH_Roster)</f>
        <v/>
      </c>
      <c r="L11" s="14">
        <f>($B11-G11+G11*PH_Roster*(1+PH_Loading))/($B11-G11+G11*PH_Roster)</f>
        <v/>
      </c>
      <c r="M11" s="14">
        <f>EXP(SUMPRODUCT((WageDates&lt;=$A11)*(WageDates&lt;&gt;"")*LN(1+WageRates)))</f>
        <v/>
      </c>
    </row>
    <row r="12">
      <c r="A12" s="8" t="n">
        <v>45870</v>
      </c>
      <c r="B12">
        <f>DAY(EOMONTH(A12,0))</f>
        <v/>
      </c>
      <c r="C12">
        <f>COUNTIFS(Holidays!$A$2:$A$1000,"&gt;="&amp;$A12,Holidays!$A$2:$A$1000,"&lt;="&amp;EOMONTH($A12,0),Holidays!$C$2:$C$1000,"NSW")</f>
        <v/>
      </c>
      <c r="D12">
        <f>COUNTIFS(Holidays!$A$2:$A$1000,"&gt;="&amp;$A12,Holidays!$A$2:$A$1000,"&lt;="&amp;EOMONTH($A12,0),Holidays!$C$2:$C$1000,"VIC")</f>
        <v/>
      </c>
      <c r="E12">
        <f>COUNTIFS(Holidays!$A$2:$A$1000,"&gt;="&amp;$A12,Holidays!$A$2:$A$1000,"&lt;="&amp;EOMONTH($A12,0),Holidays!$C$2:$C$1000,"QLD")</f>
        <v/>
      </c>
      <c r="F12">
        <f>COUNTIFS(Holidays!$A$2:$A$1000,"&gt;="&amp;$A12,Holidays!$A$2:$A$1000,"&lt;="&amp;EOMONTH($A12,0),Holidays!$C$2:$C$1000,"SA")</f>
        <v/>
      </c>
      <c r="G12">
        <f>COUNTIFS(Holidays!$A$2:$A$1000,"&gt;="&amp;$A12,Holidays!$A$2:$A$1000,"&lt;="&amp;EOMONTH($A12,0),Holidays!$C$2:$C$1000,"WA")</f>
        <v/>
      </c>
      <c r="H12" s="14">
        <f>($B12-C12+C12*PH_Roster*(1+PH_Loading))/($B12-C12+C12*PH_Roster)</f>
        <v/>
      </c>
      <c r="I12" s="14">
        <f>($B12-D12+D12*PH_Roster*(1+PH_Loading))/($B12-D12+D12*PH_Roster)</f>
        <v/>
      </c>
      <c r="J12" s="14">
        <f>($B12-E12+E12*PH_Roster*(1+PH_Loading))/($B12-E12+E12*PH_Roster)</f>
        <v/>
      </c>
      <c r="K12" s="14">
        <f>($B12-F12+F12*PH_Roster*(1+PH_Loading))/($B12-F12+F12*PH_Roster)</f>
        <v/>
      </c>
      <c r="L12" s="14">
        <f>($B12-G12+G12*PH_Roster*(1+PH_Loading))/($B12-G12+G12*PH_Roster)</f>
        <v/>
      </c>
      <c r="M12" s="14">
        <f>EXP(SUMPRODUCT((WageDates&lt;=$A12)*(WageDates&lt;&gt;"")*LN(1+WageRates)))</f>
        <v/>
      </c>
    </row>
    <row r="13">
      <c r="A13" s="8" t="n">
        <v>45901</v>
      </c>
      <c r="B13">
        <f>DAY(EOMONTH(A13,0))</f>
        <v/>
      </c>
      <c r="C13">
        <f>COUNTIFS(Holidays!$A$2:$A$1000,"&gt;="&amp;$A13,Holidays!$A$2:$A$1000,"&lt;="&amp;EOMONTH($A13,0),Holidays!$C$2:$C$1000,"NSW")</f>
        <v/>
      </c>
      <c r="D13">
        <f>COUNTIFS(Holidays!$A$2:$A$1000,"&gt;="&amp;$A13,Holidays!$A$2:$A$1000,"&lt;="&amp;EOMONTH($A13,0),Holidays!$C$2:$C$1000,"VIC")</f>
        <v/>
      </c>
      <c r="E13">
        <f>COUNTIFS(Holidays!$A$2:$A$1000,"&gt;="&amp;$A13,Holidays!$A$2:$A$1000,"&lt;="&amp;EOMONTH($A13,0),Holidays!$C$2:$C$1000,"QLD")</f>
        <v/>
      </c>
      <c r="F13">
        <f>COUNTIFS(Holidays!$A$2:$A$1000,"&gt;="&amp;$A13,Holidays!$A$2:$A$1000,"&lt;="&amp;EOMONTH($A13,0),Holidays!$C$2:$C$1000,"SA")</f>
        <v/>
      </c>
      <c r="G13">
        <f>COUNTIFS(Holidays!$A$2:$A$1000,"&gt;="&amp;$A13,Holidays!$A$2:$A$1000,"&lt;="&amp;EOMONTH($A13,0),Holidays!$C$2:$C$1000,"WA")</f>
        <v/>
      </c>
      <c r="H13" s="14">
        <f>($B13-C13+C13*PH_Roster*(1+PH_Loading))/($B13-C13+C13*PH_Roster)</f>
        <v/>
      </c>
      <c r="I13" s="14">
        <f>($B13-D13+D13*PH_Roster*(1+PH_Loading))/($B13-D13+D13*PH_Roster)</f>
        <v/>
      </c>
      <c r="J13" s="14">
        <f>($B13-E13+E13*PH_Roster*(1+PH_Loading))/($B13-E13+E13*PH_Roster)</f>
        <v/>
      </c>
      <c r="K13" s="14">
        <f>($B13-F13+F13*PH_Roster*(1+PH_Loading))/($B13-F13+F13*PH_Roster)</f>
        <v/>
      </c>
      <c r="L13" s="14">
        <f>($B13-G13+G13*PH_Roster*(1+PH_Loading))/($B13-G13+G13*PH_Roster)</f>
        <v/>
      </c>
      <c r="M13" s="14">
        <f>EXP(SUMPRODUCT((WageDates&lt;=$A13)*(WageDates&lt;&gt;"")*LN(1+WageRates)))</f>
        <v/>
      </c>
    </row>
    <row r="14">
      <c r="A14" s="8" t="n">
        <v>45931</v>
      </c>
      <c r="B14">
        <f>DAY(EOMONTH(A14,0))</f>
        <v/>
      </c>
      <c r="C14">
        <f>COUNTIFS(Holidays!$A$2:$A$1000,"&gt;="&amp;$A14,Holidays!$A$2:$A$1000,"&lt;="&amp;EOMONTH($A14,0),Holidays!$C$2:$C$1000,"NSW")</f>
        <v/>
      </c>
      <c r="D14">
        <f>COUNTIFS(Holidays!$A$2:$A$1000,"&gt;="&amp;$A14,Holidays!$A$2:$A$1000,"&lt;="&amp;EOMONTH($A14,0),Holidays!$C$2:$C$1000,"VIC")</f>
        <v/>
      </c>
      <c r="E14">
        <f>COUNTIFS(Holidays!$A$2:$A$1000,"&gt;="&amp;$A14,Holidays!$A$2:$A$1000,"&lt;="&amp;EOMONTH($A14,0),Holidays!$C$2:$C$1000,"QLD")</f>
        <v/>
      </c>
      <c r="F14">
        <f>COUNTIFS(Holidays!$A$2:$A$1000,"&gt;="&amp;$A14,Holidays!$A$2:$A$1000,"&lt;="&amp;EOMONTH($A14,0),Holidays!$C$2:$C$1000,"SA")</f>
        <v/>
      </c>
      <c r="G14">
        <f>COUNTIFS(Holidays!$A$2:$A$1000,"&gt;="&amp;$A14,Holidays!$A$2:$A$1000,"&lt;="&amp;EOMONTH($A14,0),Holidays!$C$2:$C$1000,"WA")</f>
        <v/>
      </c>
      <c r="H14" s="14">
        <f>($B14-C14+C14*PH_Roster*(1+PH_Loading))/($B14-C14+C14*PH_Roster)</f>
        <v/>
      </c>
      <c r="I14" s="14">
        <f>($B14-D14+D14*PH_Roster*(1+PH_Loading))/($B14-D14+D14*PH_Roster)</f>
        <v/>
      </c>
      <c r="J14" s="14">
        <f>($B14-E14+E14*PH_Roster*(1+PH_Loading))/($B14-E14+E14*PH_Roster)</f>
        <v/>
      </c>
      <c r="K14" s="14">
        <f>($B14-F14+F14*PH_Roster*(1+PH_Loading))/($B14-F14+F14*PH_Roster)</f>
        <v/>
      </c>
      <c r="L14" s="14">
        <f>($B14-G14+G14*PH_Roster*(1+PH_Loading))/($B14-G14+G14*PH_Roster)</f>
        <v/>
      </c>
      <c r="M14" s="14">
        <f>EXP(SUMPRODUCT((WageDates&lt;=$A14)*(WageDates&lt;&gt;"")*LN(1+WageRates)))</f>
        <v/>
      </c>
    </row>
    <row r="15">
      <c r="A15" s="8" t="n">
        <v>45962</v>
      </c>
      <c r="B15">
        <f>DAY(EOMONTH(A15,0))</f>
        <v/>
      </c>
      <c r="C15">
        <f>COUNTIFS(Holidays!$A$2:$A$1000,"&gt;="&amp;$A15,Holidays!$A$2:$A$1000,"&lt;="&amp;EOMONTH($A15,0),Holidays!$C$2:$C$1000,"NSW")</f>
        <v/>
      </c>
      <c r="D15">
        <f>COUNTIFS(Holidays!$A$2:$A$1000,"&gt;="&amp;$A15,Holidays!$A$2:$A$1000,"&lt;="&amp;EOMONTH($A15,0),Holidays!$C$2:$C$1000,"VIC")</f>
        <v/>
      </c>
      <c r="E15">
        <f>COUNTIFS(Holidays!$A$2:$A$1000,"&gt;="&amp;$A15,Holidays!$A$2:$A$1000,"&lt;="&amp;EOMONTH($A15,0),Holidays!$C$2:$C$1000,"QLD")</f>
        <v/>
      </c>
      <c r="F15">
        <f>COUNTIFS(Holidays!$A$2:$A$1000,"&gt;="&amp;$A15,Holidays!$A$2:$A$1000,"&lt;="&amp;EOMONTH($A15,0),Holidays!$C$2:$C$1000,"SA")</f>
        <v/>
      </c>
      <c r="G15">
        <f>COUNTIFS(Holidays!$A$2:$A$1000,"&gt;="&amp;$A15,Holidays!$A$2:$A$1000,"&lt;="&amp;EOMONTH($A15,0),Holidays!$C$2:$C$1000,"WA")</f>
        <v/>
      </c>
      <c r="H15" s="14">
        <f>($B15-C15+C15*PH_Roster*(1+PH_Loading))/($B15-C15+C15*PH_Roster)</f>
        <v/>
      </c>
      <c r="I15" s="14">
        <f>($B15-D15+D15*PH_Roster*(1+PH_Loading))/($B15-D15+D15*PH_Roster)</f>
        <v/>
      </c>
      <c r="J15" s="14">
        <f>($B15-E15+E15*PH_Roster*(1+PH_Loading))/($B15-E15+E15*PH_Roster)</f>
        <v/>
      </c>
      <c r="K15" s="14">
        <f>($B15-F15+F15*PH_Roster*(1+PH_Loading))/($B15-F15+F15*PH_Roster)</f>
        <v/>
      </c>
      <c r="L15" s="14">
        <f>($B15-G15+G15*PH_Roster*(1+PH_Loading))/($B15-G15+G15*PH_Roster)</f>
        <v/>
      </c>
      <c r="M15" s="14">
        <f>EXP(SUMPRODUCT((WageDates&lt;=$A15)*(WageDates&lt;&gt;"")*LN(1+WageRates)))</f>
        <v/>
      </c>
    </row>
    <row r="16">
      <c r="A16" s="8" t="n">
        <v>45992</v>
      </c>
      <c r="B16">
        <f>DAY(EOMONTH(A16,0))</f>
        <v/>
      </c>
      <c r="C16">
        <f>COUNTIFS(Holidays!$A$2:$A$1000,"&gt;="&amp;$A16,Holidays!$A$2:$A$1000,"&lt;="&amp;EOMONTH($A16,0),Holidays!$C$2:$C$1000,"NSW")</f>
        <v/>
      </c>
      <c r="D16">
        <f>COUNTIFS(Holidays!$A$2:$A$1000,"&gt;="&amp;$A16,Holidays!$A$2:$A$1000,"&lt;="&amp;EOMONTH($A16,0),Holidays!$C$2:$C$1000,"VIC")</f>
        <v/>
      </c>
      <c r="E16">
        <f>COUNTIFS(Holidays!$A$2:$A$1000,"&gt;="&amp;$A16,Holidays!$A$2:$A$1000,"&lt;="&amp;EOMONTH($A16,0),Holidays!$C$2:$C$1000,"QLD")</f>
        <v/>
      </c>
      <c r="F16">
        <f>COUNTIFS(Holidays!$A$2:$A$1000,"&gt;="&amp;$A16,Holidays!$A$2:$A$1000,"&lt;="&amp;EOMONTH($A16,0),Holidays!$C$2:$C$1000,"SA")</f>
        <v/>
      </c>
      <c r="G16">
        <f>COUNTIFS(Holidays!$A$2:$A$1000,"&gt;="&amp;$A16,Holidays!$A$2:$A$1000,"&lt;="&amp;EOMONTH($A16,0),Holidays!$C$2:$C$1000,"WA")</f>
        <v/>
      </c>
      <c r="H16" s="14">
        <f>($B16-C16+C16*PH_Roster*(1+PH_Loading))/($B16-C16+C16*PH_Roster)</f>
        <v/>
      </c>
      <c r="I16" s="14">
        <f>($B16-D16+D16*PH_Roster*(1+PH_Loading))/($B16-D16+D16*PH_Roster)</f>
        <v/>
      </c>
      <c r="J16" s="14">
        <f>($B16-E16+E16*PH_Roster*(1+PH_Loading))/($B16-E16+E16*PH_Roster)</f>
        <v/>
      </c>
      <c r="K16" s="14">
        <f>($B16-F16+F16*PH_Roster*(1+PH_Loading))/($B16-F16+F16*PH_Roster)</f>
        <v/>
      </c>
      <c r="L16" s="14">
        <f>($B16-G16+G16*PH_Roster*(1+PH_Loading))/($B16-G16+G16*PH_Roster)</f>
        <v/>
      </c>
      <c r="M16" s="14">
        <f>EXP(SUMPRODUCT((WageDates&lt;=$A16)*(WageDates&lt;&gt;"")*LN(1+WageRates)))</f>
        <v/>
      </c>
    </row>
    <row r="17">
      <c r="A17" s="8" t="n">
        <v>46023</v>
      </c>
      <c r="B17">
        <f>DAY(EOMONTH(A17,0))</f>
        <v/>
      </c>
      <c r="C17">
        <f>COUNTIFS(Holidays!$A$2:$A$1000,"&gt;="&amp;$A17,Holidays!$A$2:$A$1000,"&lt;="&amp;EOMONTH($A17,0),Holidays!$C$2:$C$1000,"NSW")</f>
        <v/>
      </c>
      <c r="D17">
        <f>COUNTIFS(Holidays!$A$2:$A$1000,"&gt;="&amp;$A17,Holidays!$A$2:$A$1000,"&lt;="&amp;EOMONTH($A17,0),Holidays!$C$2:$C$1000,"VIC")</f>
        <v/>
      </c>
      <c r="E17">
        <f>COUNTIFS(Holidays!$A$2:$A$1000,"&gt;="&amp;$A17,Holidays!$A$2:$A$1000,"&lt;="&amp;EOMONTH($A17,0),Holidays!$C$2:$C$1000,"QLD")</f>
        <v/>
      </c>
      <c r="F17">
        <f>COUNTIFS(Holidays!$A$2:$A$1000,"&gt;="&amp;$A17,Holidays!$A$2:$A$1000,"&lt;="&amp;EOMONTH($A17,0),Holidays!$C$2:$C$1000,"SA")</f>
        <v/>
      </c>
      <c r="G17">
        <f>COUNTIFS(Holidays!$A$2:$A$1000,"&gt;="&amp;$A17,Holidays!$A$2:$A$1000,"&lt;="&amp;EOMONTH($A17,0),Holidays!$C$2:$C$1000,"WA")</f>
        <v/>
      </c>
      <c r="H17" s="14">
        <f>($B17-C17+C17*PH_Roster*(1+PH_Loading))/($B17-C17+C17*PH_Roster)</f>
        <v/>
      </c>
      <c r="I17" s="14">
        <f>($B17-D17+D17*PH_Roster*(1+PH_Loading))/($B17-D17+D17*PH_Roster)</f>
        <v/>
      </c>
      <c r="J17" s="14">
        <f>($B17-E17+E17*PH_Roster*(1+PH_Loading))/($B17-E17+E17*PH_Roster)</f>
        <v/>
      </c>
      <c r="K17" s="14">
        <f>($B17-F17+F17*PH_Roster*(1+PH_Loading))/($B17-F17+F17*PH_Roster)</f>
        <v/>
      </c>
      <c r="L17" s="14">
        <f>($B17-G17+G17*PH_Roster*(1+PH_Loading))/($B17-G17+G17*PH_Roster)</f>
        <v/>
      </c>
      <c r="M17" s="14">
        <f>EXP(SUMPRODUCT((WageDates&lt;=$A17)*(WageDates&lt;&gt;"")*LN(1+WageRates)))</f>
        <v/>
      </c>
    </row>
    <row r="18">
      <c r="A18" s="8" t="n">
        <v>46054</v>
      </c>
      <c r="B18">
        <f>DAY(EOMONTH(A18,0))</f>
        <v/>
      </c>
      <c r="C18">
        <f>COUNTIFS(Holidays!$A$2:$A$1000,"&gt;="&amp;$A18,Holidays!$A$2:$A$1000,"&lt;="&amp;EOMONTH($A18,0),Holidays!$C$2:$C$1000,"NSW")</f>
        <v/>
      </c>
      <c r="D18">
        <f>COUNTIFS(Holidays!$A$2:$A$1000,"&gt;="&amp;$A18,Holidays!$A$2:$A$1000,"&lt;="&amp;EOMONTH($A18,0),Holidays!$C$2:$C$1000,"VIC")</f>
        <v/>
      </c>
      <c r="E18">
        <f>COUNTIFS(Holidays!$A$2:$A$1000,"&gt;="&amp;$A18,Holidays!$A$2:$A$1000,"&lt;="&amp;EOMONTH($A18,0),Holidays!$C$2:$C$1000,"QLD")</f>
        <v/>
      </c>
      <c r="F18">
        <f>COUNTIFS(Holidays!$A$2:$A$1000,"&gt;="&amp;$A18,Holidays!$A$2:$A$1000,"&lt;="&amp;EOMONTH($A18,0),Holidays!$C$2:$C$1000,"SA")</f>
        <v/>
      </c>
      <c r="G18">
        <f>COUNTIFS(Holidays!$A$2:$A$1000,"&gt;="&amp;$A18,Holidays!$A$2:$A$1000,"&lt;="&amp;EOMONTH($A18,0),Holidays!$C$2:$C$1000,"WA")</f>
        <v/>
      </c>
      <c r="H18" s="14">
        <f>($B18-C18+C18*PH_Roster*(1+PH_Loading))/($B18-C18+C18*PH_Roster)</f>
        <v/>
      </c>
      <c r="I18" s="14">
        <f>($B18-D18+D18*PH_Roster*(1+PH_Loading))/($B18-D18+D18*PH_Roster)</f>
        <v/>
      </c>
      <c r="J18" s="14">
        <f>($B18-E18+E18*PH_Roster*(1+PH_Loading))/($B18-E18+E18*PH_Roster)</f>
        <v/>
      </c>
      <c r="K18" s="14">
        <f>($B18-F18+F18*PH_Roster*(1+PH_Loading))/($B18-F18+F18*PH_Roster)</f>
        <v/>
      </c>
      <c r="L18" s="14">
        <f>($B18-G18+G18*PH_Roster*(1+PH_Loading))/($B18-G18+G18*PH_Roster)</f>
        <v/>
      </c>
      <c r="M18" s="14">
        <f>EXP(SUMPRODUCT((WageDates&lt;=$A18)*(WageDates&lt;&gt;"")*LN(1+WageRates)))</f>
        <v/>
      </c>
    </row>
    <row r="19">
      <c r="A19" s="8" t="n">
        <v>46082</v>
      </c>
      <c r="B19">
        <f>DAY(EOMONTH(A19,0))</f>
        <v/>
      </c>
      <c r="C19">
        <f>COUNTIFS(Holidays!$A$2:$A$1000,"&gt;="&amp;$A19,Holidays!$A$2:$A$1000,"&lt;="&amp;EOMONTH($A19,0),Holidays!$C$2:$C$1000,"NSW")</f>
        <v/>
      </c>
      <c r="D19">
        <f>COUNTIFS(Holidays!$A$2:$A$1000,"&gt;="&amp;$A19,Holidays!$A$2:$A$1000,"&lt;="&amp;EOMONTH($A19,0),Holidays!$C$2:$C$1000,"VIC")</f>
        <v/>
      </c>
      <c r="E19">
        <f>COUNTIFS(Holidays!$A$2:$A$1000,"&gt;="&amp;$A19,Holidays!$A$2:$A$1000,"&lt;="&amp;EOMONTH($A19,0),Holidays!$C$2:$C$1000,"QLD")</f>
        <v/>
      </c>
      <c r="F19">
        <f>COUNTIFS(Holidays!$A$2:$A$1000,"&gt;="&amp;$A19,Holidays!$A$2:$A$1000,"&lt;="&amp;EOMONTH($A19,0),Holidays!$C$2:$C$1000,"SA")</f>
        <v/>
      </c>
      <c r="G19">
        <f>COUNTIFS(Holidays!$A$2:$A$1000,"&gt;="&amp;$A19,Holidays!$A$2:$A$1000,"&lt;="&amp;EOMONTH($A19,0),Holidays!$C$2:$C$1000,"WA")</f>
        <v/>
      </c>
      <c r="H19" s="14">
        <f>($B19-C19+C19*PH_Roster*(1+PH_Loading))/($B19-C19+C19*PH_Roster)</f>
        <v/>
      </c>
      <c r="I19" s="14">
        <f>($B19-D19+D19*PH_Roster*(1+PH_Loading))/($B19-D19+D19*PH_Roster)</f>
        <v/>
      </c>
      <c r="J19" s="14">
        <f>($B19-E19+E19*PH_Roster*(1+PH_Loading))/($B19-E19+E19*PH_Roster)</f>
        <v/>
      </c>
      <c r="K19" s="14">
        <f>($B19-F19+F19*PH_Roster*(1+PH_Loading))/($B19-F19+F19*PH_Roster)</f>
        <v/>
      </c>
      <c r="L19" s="14">
        <f>($B19-G19+G19*PH_Roster*(1+PH_Loading))/($B19-G19+G19*PH_Roster)</f>
        <v/>
      </c>
      <c r="M19" s="14">
        <f>EXP(SUMPRODUCT((WageDates&lt;=$A19)*(WageDates&lt;&gt;"")*LN(1+WageRates)))</f>
        <v/>
      </c>
    </row>
    <row r="20">
      <c r="A20" s="8" t="n">
        <v>46113</v>
      </c>
      <c r="B20">
        <f>DAY(EOMONTH(A20,0))</f>
        <v/>
      </c>
      <c r="C20">
        <f>COUNTIFS(Holidays!$A$2:$A$1000,"&gt;="&amp;$A20,Holidays!$A$2:$A$1000,"&lt;="&amp;EOMONTH($A20,0),Holidays!$C$2:$C$1000,"NSW")</f>
        <v/>
      </c>
      <c r="D20">
        <f>COUNTIFS(Holidays!$A$2:$A$1000,"&gt;="&amp;$A20,Holidays!$A$2:$A$1000,"&lt;="&amp;EOMONTH($A20,0),Holidays!$C$2:$C$1000,"VIC")</f>
        <v/>
      </c>
      <c r="E20">
        <f>COUNTIFS(Holidays!$A$2:$A$1000,"&gt;="&amp;$A20,Holidays!$A$2:$A$1000,"&lt;="&amp;EOMONTH($A20,0),Holidays!$C$2:$C$1000,"QLD")</f>
        <v/>
      </c>
      <c r="F20">
        <f>COUNTIFS(Holidays!$A$2:$A$1000,"&gt;="&amp;$A20,Holidays!$A$2:$A$1000,"&lt;="&amp;EOMONTH($A20,0),Holidays!$C$2:$C$1000,"SA")</f>
        <v/>
      </c>
      <c r="G20">
        <f>COUNTIFS(Holidays!$A$2:$A$1000,"&gt;="&amp;$A20,Holidays!$A$2:$A$1000,"&lt;="&amp;EOMONTH($A20,0),Holidays!$C$2:$C$1000,"WA")</f>
        <v/>
      </c>
      <c r="H20" s="14">
        <f>($B20-C20+C20*PH_Roster*(1+PH_Loading))/($B20-C20+C20*PH_Roster)</f>
        <v/>
      </c>
      <c r="I20" s="14">
        <f>($B20-D20+D20*PH_Roster*(1+PH_Loading))/($B20-D20+D20*PH_Roster)</f>
        <v/>
      </c>
      <c r="J20" s="14">
        <f>($B20-E20+E20*PH_Roster*(1+PH_Loading))/($B20-E20+E20*PH_Roster)</f>
        <v/>
      </c>
      <c r="K20" s="14">
        <f>($B20-F20+F20*PH_Roster*(1+PH_Loading))/($B20-F20+F20*PH_Roster)</f>
        <v/>
      </c>
      <c r="L20" s="14">
        <f>($B20-G20+G20*PH_Roster*(1+PH_Loading))/($B20-G20+G20*PH_Roster)</f>
        <v/>
      </c>
      <c r="M20" s="14">
        <f>EXP(SUMPRODUCT((WageDates&lt;=$A20)*(WageDates&lt;&gt;"")*LN(1+WageRates)))</f>
        <v/>
      </c>
    </row>
    <row r="21">
      <c r="A21" s="8" t="n">
        <v>46143</v>
      </c>
      <c r="B21">
        <f>DAY(EOMONTH(A21,0))</f>
        <v/>
      </c>
      <c r="C21">
        <f>COUNTIFS(Holidays!$A$2:$A$1000,"&gt;="&amp;$A21,Holidays!$A$2:$A$1000,"&lt;="&amp;EOMONTH($A21,0),Holidays!$C$2:$C$1000,"NSW")</f>
        <v/>
      </c>
      <c r="D21">
        <f>COUNTIFS(Holidays!$A$2:$A$1000,"&gt;="&amp;$A21,Holidays!$A$2:$A$1000,"&lt;="&amp;EOMONTH($A21,0),Holidays!$C$2:$C$1000,"VIC")</f>
        <v/>
      </c>
      <c r="E21">
        <f>COUNTIFS(Holidays!$A$2:$A$1000,"&gt;="&amp;$A21,Holidays!$A$2:$A$1000,"&lt;="&amp;EOMONTH($A21,0),Holidays!$C$2:$C$1000,"QLD")</f>
        <v/>
      </c>
      <c r="F21">
        <f>COUNTIFS(Holidays!$A$2:$A$1000,"&gt;="&amp;$A21,Holidays!$A$2:$A$1000,"&lt;="&amp;EOMONTH($A21,0),Holidays!$C$2:$C$1000,"SA")</f>
        <v/>
      </c>
      <c r="G21">
        <f>COUNTIFS(Holidays!$A$2:$A$1000,"&gt;="&amp;$A21,Holidays!$A$2:$A$1000,"&lt;="&amp;EOMONTH($A21,0),Holidays!$C$2:$C$1000,"WA")</f>
        <v/>
      </c>
      <c r="H21" s="14">
        <f>($B21-C21+C21*PH_Roster*(1+PH_Loading))/($B21-C21+C21*PH_Roster)</f>
        <v/>
      </c>
      <c r="I21" s="14">
        <f>($B21-D21+D21*PH_Roster*(1+PH_Loading))/($B21-D21+D21*PH_Roster)</f>
        <v/>
      </c>
      <c r="J21" s="14">
        <f>($B21-E21+E21*PH_Roster*(1+PH_Loading))/($B21-E21+E21*PH_Roster)</f>
        <v/>
      </c>
      <c r="K21" s="14">
        <f>($B21-F21+F21*PH_Roster*(1+PH_Loading))/($B21-F21+F21*PH_Roster)</f>
        <v/>
      </c>
      <c r="L21" s="14">
        <f>($B21-G21+G21*PH_Roster*(1+PH_Loading))/($B21-G21+G21*PH_Roster)</f>
        <v/>
      </c>
      <c r="M21" s="14">
        <f>EXP(SUMPRODUCT((WageDates&lt;=$A21)*(WageDates&lt;&gt;"")*LN(1+WageRates)))</f>
        <v/>
      </c>
    </row>
    <row r="22">
      <c r="A22" s="8" t="n">
        <v>46174</v>
      </c>
      <c r="B22">
        <f>DAY(EOMONTH(A22,0))</f>
        <v/>
      </c>
      <c r="C22">
        <f>COUNTIFS(Holidays!$A$2:$A$1000,"&gt;="&amp;$A22,Holidays!$A$2:$A$1000,"&lt;="&amp;EOMONTH($A22,0),Holidays!$C$2:$C$1000,"NSW")</f>
        <v/>
      </c>
      <c r="D22">
        <f>COUNTIFS(Holidays!$A$2:$A$1000,"&gt;="&amp;$A22,Holidays!$A$2:$A$1000,"&lt;="&amp;EOMONTH($A22,0),Holidays!$C$2:$C$1000,"VIC")</f>
        <v/>
      </c>
      <c r="E22">
        <f>COUNTIFS(Holidays!$A$2:$A$1000,"&gt;="&amp;$A22,Holidays!$A$2:$A$1000,"&lt;="&amp;EOMONTH($A22,0),Holidays!$C$2:$C$1000,"QLD")</f>
        <v/>
      </c>
      <c r="F22">
        <f>COUNTIFS(Holidays!$A$2:$A$1000,"&gt;="&amp;$A22,Holidays!$A$2:$A$1000,"&lt;="&amp;EOMONTH($A22,0),Holidays!$C$2:$C$1000,"SA")</f>
        <v/>
      </c>
      <c r="G22">
        <f>COUNTIFS(Holidays!$A$2:$A$1000,"&gt;="&amp;$A22,Holidays!$A$2:$A$1000,"&lt;="&amp;EOMONTH($A22,0),Holidays!$C$2:$C$1000,"WA")</f>
        <v/>
      </c>
      <c r="H22" s="14">
        <f>($B22-C22+C22*PH_Roster*(1+PH_Loading))/($B22-C22+C22*PH_Roster)</f>
        <v/>
      </c>
      <c r="I22" s="14">
        <f>($B22-D22+D22*PH_Roster*(1+PH_Loading))/($B22-D22+D22*PH_Roster)</f>
        <v/>
      </c>
      <c r="J22" s="14">
        <f>($B22-E22+E22*PH_Roster*(1+PH_Loading))/($B22-E22+E22*PH_Roster)</f>
        <v/>
      </c>
      <c r="K22" s="14">
        <f>($B22-F22+F22*PH_Roster*(1+PH_Loading))/($B22-F22+F22*PH_Roster)</f>
        <v/>
      </c>
      <c r="L22" s="14">
        <f>($B22-G22+G22*PH_Roster*(1+PH_Loading))/($B22-G22+G22*PH_Roster)</f>
        <v/>
      </c>
      <c r="M22" s="14">
        <f>EXP(SUMPRODUCT((WageDates&lt;=$A22)*(WageDates&lt;&gt;"")*LN(1+WageRates)))</f>
        <v/>
      </c>
    </row>
    <row r="23">
      <c r="A23" s="8" t="n">
        <v>46204</v>
      </c>
      <c r="B23">
        <f>DAY(EOMONTH(A23,0))</f>
        <v/>
      </c>
      <c r="C23">
        <f>COUNTIFS(Holidays!$A$2:$A$1000,"&gt;="&amp;$A23,Holidays!$A$2:$A$1000,"&lt;="&amp;EOMONTH($A23,0),Holidays!$C$2:$C$1000,"NSW")</f>
        <v/>
      </c>
      <c r="D23">
        <f>COUNTIFS(Holidays!$A$2:$A$1000,"&gt;="&amp;$A23,Holidays!$A$2:$A$1000,"&lt;="&amp;EOMONTH($A23,0),Holidays!$C$2:$C$1000,"VIC")</f>
        <v/>
      </c>
      <c r="E23">
        <f>COUNTIFS(Holidays!$A$2:$A$1000,"&gt;="&amp;$A23,Holidays!$A$2:$A$1000,"&lt;="&amp;EOMONTH($A23,0),Holidays!$C$2:$C$1000,"QLD")</f>
        <v/>
      </c>
      <c r="F23">
        <f>COUNTIFS(Holidays!$A$2:$A$1000,"&gt;="&amp;$A23,Holidays!$A$2:$A$1000,"&lt;="&amp;EOMONTH($A23,0),Holidays!$C$2:$C$1000,"SA")</f>
        <v/>
      </c>
      <c r="G23">
        <f>COUNTIFS(Holidays!$A$2:$A$1000,"&gt;="&amp;$A23,Holidays!$A$2:$A$1000,"&lt;="&amp;EOMONTH($A23,0),Holidays!$C$2:$C$1000,"WA")</f>
        <v/>
      </c>
      <c r="H23" s="14">
        <f>($B23-C23+C23*PH_Roster*(1+PH_Loading))/($B23-C23+C23*PH_Roster)</f>
        <v/>
      </c>
      <c r="I23" s="14">
        <f>($B23-D23+D23*PH_Roster*(1+PH_Loading))/($B23-D23+D23*PH_Roster)</f>
        <v/>
      </c>
      <c r="J23" s="14">
        <f>($B23-E23+E23*PH_Roster*(1+PH_Loading))/($B23-E23+E23*PH_Roster)</f>
        <v/>
      </c>
      <c r="K23" s="14">
        <f>($B23-F23+F23*PH_Roster*(1+PH_Loading))/($B23-F23+F23*PH_Roster)</f>
        <v/>
      </c>
      <c r="L23" s="14">
        <f>($B23-G23+G23*PH_Roster*(1+PH_Loading))/($B23-G23+G23*PH_Roster)</f>
        <v/>
      </c>
      <c r="M23" s="14">
        <f>EXP(SUMPRODUCT((WageDates&lt;=$A23)*(WageDates&lt;&gt;"")*LN(1+WageRates)))</f>
        <v/>
      </c>
    </row>
    <row r="24">
      <c r="A24" s="8" t="n">
        <v>46235</v>
      </c>
      <c r="B24">
        <f>DAY(EOMONTH(A24,0))</f>
        <v/>
      </c>
      <c r="C24">
        <f>COUNTIFS(Holidays!$A$2:$A$1000,"&gt;="&amp;$A24,Holidays!$A$2:$A$1000,"&lt;="&amp;EOMONTH($A24,0),Holidays!$C$2:$C$1000,"NSW")</f>
        <v/>
      </c>
      <c r="D24">
        <f>COUNTIFS(Holidays!$A$2:$A$1000,"&gt;="&amp;$A24,Holidays!$A$2:$A$1000,"&lt;="&amp;EOMONTH($A24,0),Holidays!$C$2:$C$1000,"VIC")</f>
        <v/>
      </c>
      <c r="E24">
        <f>COUNTIFS(Holidays!$A$2:$A$1000,"&gt;="&amp;$A24,Holidays!$A$2:$A$1000,"&lt;="&amp;EOMONTH($A24,0),Holidays!$C$2:$C$1000,"QLD")</f>
        <v/>
      </c>
      <c r="F24">
        <f>COUNTIFS(Holidays!$A$2:$A$1000,"&gt;="&amp;$A24,Holidays!$A$2:$A$1000,"&lt;="&amp;EOMONTH($A24,0),Holidays!$C$2:$C$1000,"SA")</f>
        <v/>
      </c>
      <c r="G24">
        <f>COUNTIFS(Holidays!$A$2:$A$1000,"&gt;="&amp;$A24,Holidays!$A$2:$A$1000,"&lt;="&amp;EOMONTH($A24,0),Holidays!$C$2:$C$1000,"WA")</f>
        <v/>
      </c>
      <c r="H24" s="14">
        <f>($B24-C24+C24*PH_Roster*(1+PH_Loading))/($B24-C24+C24*PH_Roster)</f>
        <v/>
      </c>
      <c r="I24" s="14">
        <f>($B24-D24+D24*PH_Roster*(1+PH_Loading))/($B24-D24+D24*PH_Roster)</f>
        <v/>
      </c>
      <c r="J24" s="14">
        <f>($B24-E24+E24*PH_Roster*(1+PH_Loading))/($B24-E24+E24*PH_Roster)</f>
        <v/>
      </c>
      <c r="K24" s="14">
        <f>($B24-F24+F24*PH_Roster*(1+PH_Loading))/($B24-F24+F24*PH_Roster)</f>
        <v/>
      </c>
      <c r="L24" s="14">
        <f>($B24-G24+G24*PH_Roster*(1+PH_Loading))/($B24-G24+G24*PH_Roster)</f>
        <v/>
      </c>
      <c r="M24" s="14">
        <f>EXP(SUMPRODUCT((WageDates&lt;=$A24)*(WageDates&lt;&gt;"")*LN(1+WageRates)))</f>
        <v/>
      </c>
    </row>
    <row r="25">
      <c r="A25" s="8" t="n">
        <v>46266</v>
      </c>
      <c r="B25">
        <f>DAY(EOMONTH(A25,0))</f>
        <v/>
      </c>
      <c r="C25">
        <f>COUNTIFS(Holidays!$A$2:$A$1000,"&gt;="&amp;$A25,Holidays!$A$2:$A$1000,"&lt;="&amp;EOMONTH($A25,0),Holidays!$C$2:$C$1000,"NSW")</f>
        <v/>
      </c>
      <c r="D25">
        <f>COUNTIFS(Holidays!$A$2:$A$1000,"&gt;="&amp;$A25,Holidays!$A$2:$A$1000,"&lt;="&amp;EOMONTH($A25,0),Holidays!$C$2:$C$1000,"VIC")</f>
        <v/>
      </c>
      <c r="E25">
        <f>COUNTIFS(Holidays!$A$2:$A$1000,"&gt;="&amp;$A25,Holidays!$A$2:$A$1000,"&lt;="&amp;EOMONTH($A25,0),Holidays!$C$2:$C$1000,"QLD")</f>
        <v/>
      </c>
      <c r="F25">
        <f>COUNTIFS(Holidays!$A$2:$A$1000,"&gt;="&amp;$A25,Holidays!$A$2:$A$1000,"&lt;="&amp;EOMONTH($A25,0),Holidays!$C$2:$C$1000,"SA")</f>
        <v/>
      </c>
      <c r="G25">
        <f>COUNTIFS(Holidays!$A$2:$A$1000,"&gt;="&amp;$A25,Holidays!$A$2:$A$1000,"&lt;="&amp;EOMONTH($A25,0),Holidays!$C$2:$C$1000,"WA")</f>
        <v/>
      </c>
      <c r="H25" s="14">
        <f>($B25-C25+C25*PH_Roster*(1+PH_Loading))/($B25-C25+C25*PH_Roster)</f>
        <v/>
      </c>
      <c r="I25" s="14">
        <f>($B25-D25+D25*PH_Roster*(1+PH_Loading))/($B25-D25+D25*PH_Roster)</f>
        <v/>
      </c>
      <c r="J25" s="14">
        <f>($B25-E25+E25*PH_Roster*(1+PH_Loading))/($B25-E25+E25*PH_Roster)</f>
        <v/>
      </c>
      <c r="K25" s="14">
        <f>($B25-F25+F25*PH_Roster*(1+PH_Loading))/($B25-F25+F25*PH_Roster)</f>
        <v/>
      </c>
      <c r="L25" s="14">
        <f>($B25-G25+G25*PH_Roster*(1+PH_Loading))/($B25-G25+G25*PH_Roster)</f>
        <v/>
      </c>
      <c r="M25" s="14">
        <f>EXP(SUMPRODUCT((WageDates&lt;=$A25)*(WageDates&lt;&gt;"")*LN(1+WageRates)))</f>
        <v/>
      </c>
    </row>
    <row r="26">
      <c r="A26" s="8" t="n">
        <v>46296</v>
      </c>
      <c r="B26">
        <f>DAY(EOMONTH(A26,0))</f>
        <v/>
      </c>
      <c r="C26">
        <f>COUNTIFS(Holidays!$A$2:$A$1000,"&gt;="&amp;$A26,Holidays!$A$2:$A$1000,"&lt;="&amp;EOMONTH($A26,0),Holidays!$C$2:$C$1000,"NSW")</f>
        <v/>
      </c>
      <c r="D26">
        <f>COUNTIFS(Holidays!$A$2:$A$1000,"&gt;="&amp;$A26,Holidays!$A$2:$A$1000,"&lt;="&amp;EOMONTH($A26,0),Holidays!$C$2:$C$1000,"VIC")</f>
        <v/>
      </c>
      <c r="E26">
        <f>COUNTIFS(Holidays!$A$2:$A$1000,"&gt;="&amp;$A26,Holidays!$A$2:$A$1000,"&lt;="&amp;EOMONTH($A26,0),Holidays!$C$2:$C$1000,"QLD")</f>
        <v/>
      </c>
      <c r="F26">
        <f>COUNTIFS(Holidays!$A$2:$A$1000,"&gt;="&amp;$A26,Holidays!$A$2:$A$1000,"&lt;="&amp;EOMONTH($A26,0),Holidays!$C$2:$C$1000,"SA")</f>
        <v/>
      </c>
      <c r="G26">
        <f>COUNTIFS(Holidays!$A$2:$A$1000,"&gt;="&amp;$A26,Holidays!$A$2:$A$1000,"&lt;="&amp;EOMONTH($A26,0),Holidays!$C$2:$C$1000,"WA")</f>
        <v/>
      </c>
      <c r="H26" s="14">
        <f>($B26-C26+C26*PH_Roster*(1+PH_Loading))/($B26-C26+C26*PH_Roster)</f>
        <v/>
      </c>
      <c r="I26" s="14">
        <f>($B26-D26+D26*PH_Roster*(1+PH_Loading))/($B26-D26+D26*PH_Roster)</f>
        <v/>
      </c>
      <c r="J26" s="14">
        <f>($B26-E26+E26*PH_Roster*(1+PH_Loading))/($B26-E26+E26*PH_Roster)</f>
        <v/>
      </c>
      <c r="K26" s="14">
        <f>($B26-F26+F26*PH_Roster*(1+PH_Loading))/($B26-F26+F26*PH_Roster)</f>
        <v/>
      </c>
      <c r="L26" s="14">
        <f>($B26-G26+G26*PH_Roster*(1+PH_Loading))/($B26-G26+G26*PH_Roster)</f>
        <v/>
      </c>
      <c r="M26" s="14">
        <f>EXP(SUMPRODUCT((WageDates&lt;=$A26)*(WageDates&lt;&gt;"")*LN(1+WageRates)))</f>
        <v/>
      </c>
    </row>
    <row r="27">
      <c r="A27" s="8" t="n">
        <v>46327</v>
      </c>
      <c r="B27">
        <f>DAY(EOMONTH(A27,0))</f>
        <v/>
      </c>
      <c r="C27">
        <f>COUNTIFS(Holidays!$A$2:$A$1000,"&gt;="&amp;$A27,Holidays!$A$2:$A$1000,"&lt;="&amp;EOMONTH($A27,0),Holidays!$C$2:$C$1000,"NSW")</f>
        <v/>
      </c>
      <c r="D27">
        <f>COUNTIFS(Holidays!$A$2:$A$1000,"&gt;="&amp;$A27,Holidays!$A$2:$A$1000,"&lt;="&amp;EOMONTH($A27,0),Holidays!$C$2:$C$1000,"VIC")</f>
        <v/>
      </c>
      <c r="E27">
        <f>COUNTIFS(Holidays!$A$2:$A$1000,"&gt;="&amp;$A27,Holidays!$A$2:$A$1000,"&lt;="&amp;EOMONTH($A27,0),Holidays!$C$2:$C$1000,"QLD")</f>
        <v/>
      </c>
      <c r="F27">
        <f>COUNTIFS(Holidays!$A$2:$A$1000,"&gt;="&amp;$A27,Holidays!$A$2:$A$1000,"&lt;="&amp;EOMONTH($A27,0),Holidays!$C$2:$C$1000,"SA")</f>
        <v/>
      </c>
      <c r="G27">
        <f>COUNTIFS(Holidays!$A$2:$A$1000,"&gt;="&amp;$A27,Holidays!$A$2:$A$1000,"&lt;="&amp;EOMONTH($A27,0),Holidays!$C$2:$C$1000,"WA")</f>
        <v/>
      </c>
      <c r="H27" s="14">
        <f>($B27-C27+C27*PH_Roster*(1+PH_Loading))/($B27-C27+C27*PH_Roster)</f>
        <v/>
      </c>
      <c r="I27" s="14">
        <f>($B27-D27+D27*PH_Roster*(1+PH_Loading))/($B27-D27+D27*PH_Roster)</f>
        <v/>
      </c>
      <c r="J27" s="14">
        <f>($B27-E27+E27*PH_Roster*(1+PH_Loading))/($B27-E27+E27*PH_Roster)</f>
        <v/>
      </c>
      <c r="K27" s="14">
        <f>($B27-F27+F27*PH_Roster*(1+PH_Loading))/($B27-F27+F27*PH_Roster)</f>
        <v/>
      </c>
      <c r="L27" s="14">
        <f>($B27-G27+G27*PH_Roster*(1+PH_Loading))/($B27-G27+G27*PH_Roster)</f>
        <v/>
      </c>
      <c r="M27" s="14">
        <f>EXP(SUMPRODUCT((WageDates&lt;=$A27)*(WageDates&lt;&gt;"")*LN(1+WageRates)))</f>
        <v/>
      </c>
    </row>
    <row r="28">
      <c r="A28" s="8" t="n">
        <v>46357</v>
      </c>
      <c r="B28">
        <f>DAY(EOMONTH(A28,0))</f>
        <v/>
      </c>
      <c r="C28">
        <f>COUNTIFS(Holidays!$A$2:$A$1000,"&gt;="&amp;$A28,Holidays!$A$2:$A$1000,"&lt;="&amp;EOMONTH($A28,0),Holidays!$C$2:$C$1000,"NSW")</f>
        <v/>
      </c>
      <c r="D28">
        <f>COUNTIFS(Holidays!$A$2:$A$1000,"&gt;="&amp;$A28,Holidays!$A$2:$A$1000,"&lt;="&amp;EOMONTH($A28,0),Holidays!$C$2:$C$1000,"VIC")</f>
        <v/>
      </c>
      <c r="E28">
        <f>COUNTIFS(Holidays!$A$2:$A$1000,"&gt;="&amp;$A28,Holidays!$A$2:$A$1000,"&lt;="&amp;EOMONTH($A28,0),Holidays!$C$2:$C$1000,"QLD")</f>
        <v/>
      </c>
      <c r="F28">
        <f>COUNTIFS(Holidays!$A$2:$A$1000,"&gt;="&amp;$A28,Holidays!$A$2:$A$1000,"&lt;="&amp;EOMONTH($A28,0),Holidays!$C$2:$C$1000,"SA")</f>
        <v/>
      </c>
      <c r="G28">
        <f>COUNTIFS(Holidays!$A$2:$A$1000,"&gt;="&amp;$A28,Holidays!$A$2:$A$1000,"&lt;="&amp;EOMONTH($A28,0),Holidays!$C$2:$C$1000,"WA")</f>
        <v/>
      </c>
      <c r="H28" s="14">
        <f>($B28-C28+C28*PH_Roster*(1+PH_Loading))/($B28-C28+C28*PH_Roster)</f>
        <v/>
      </c>
      <c r="I28" s="14">
        <f>($B28-D28+D28*PH_Roster*(1+PH_Loading))/($B28-D28+D28*PH_Roster)</f>
        <v/>
      </c>
      <c r="J28" s="14">
        <f>($B28-E28+E28*PH_Roster*(1+PH_Loading))/($B28-E28+E28*PH_Roster)</f>
        <v/>
      </c>
      <c r="K28" s="14">
        <f>($B28-F28+F28*PH_Roster*(1+PH_Loading))/($B28-F28+F28*PH_Roster)</f>
        <v/>
      </c>
      <c r="L28" s="14">
        <f>($B28-G28+G28*PH_Roster*(1+PH_Loading))/($B28-G28+G28*PH_Roster)</f>
        <v/>
      </c>
      <c r="M28" s="14">
        <f>EXP(SUMPRODUCT((WageDates&lt;=$A28)*(WageDates&lt;&gt;"")*LN(1+WageRates)))</f>
        <v/>
      </c>
    </row>
    <row r="29">
      <c r="A29" s="8" t="n">
        <v>46388</v>
      </c>
      <c r="B29">
        <f>DAY(EOMONTH(A29,0))</f>
        <v/>
      </c>
      <c r="C29">
        <f>COUNTIFS(Holidays!$A$2:$A$1000,"&gt;="&amp;$A29,Holidays!$A$2:$A$1000,"&lt;="&amp;EOMONTH($A29,0),Holidays!$C$2:$C$1000,"NSW")</f>
        <v/>
      </c>
      <c r="D29">
        <f>COUNTIFS(Holidays!$A$2:$A$1000,"&gt;="&amp;$A29,Holidays!$A$2:$A$1000,"&lt;="&amp;EOMONTH($A29,0),Holidays!$C$2:$C$1000,"VIC")</f>
        <v/>
      </c>
      <c r="E29">
        <f>COUNTIFS(Holidays!$A$2:$A$1000,"&gt;="&amp;$A29,Holidays!$A$2:$A$1000,"&lt;="&amp;EOMONTH($A29,0),Holidays!$C$2:$C$1000,"QLD")</f>
        <v/>
      </c>
      <c r="F29">
        <f>COUNTIFS(Holidays!$A$2:$A$1000,"&gt;="&amp;$A29,Holidays!$A$2:$A$1000,"&lt;="&amp;EOMONTH($A29,0),Holidays!$C$2:$C$1000,"SA")</f>
        <v/>
      </c>
      <c r="G29">
        <f>COUNTIFS(Holidays!$A$2:$A$1000,"&gt;="&amp;$A29,Holidays!$A$2:$A$1000,"&lt;="&amp;EOMONTH($A29,0),Holidays!$C$2:$C$1000,"WA")</f>
        <v/>
      </c>
      <c r="H29" s="14">
        <f>($B29-C29+C29*PH_Roster*(1+PH_Loading))/($B29-C29+C29*PH_Roster)</f>
        <v/>
      </c>
      <c r="I29" s="14">
        <f>($B29-D29+D29*PH_Roster*(1+PH_Loading))/($B29-D29+D29*PH_Roster)</f>
        <v/>
      </c>
      <c r="J29" s="14">
        <f>($B29-E29+E29*PH_Roster*(1+PH_Loading))/($B29-E29+E29*PH_Roster)</f>
        <v/>
      </c>
      <c r="K29" s="14">
        <f>($B29-F29+F29*PH_Roster*(1+PH_Loading))/($B29-F29+F29*PH_Roster)</f>
        <v/>
      </c>
      <c r="L29" s="14">
        <f>($B29-G29+G29*PH_Roster*(1+PH_Loading))/($B29-G29+G29*PH_Roster)</f>
        <v/>
      </c>
      <c r="M29" s="14">
        <f>EXP(SUMPRODUCT((WageDates&lt;=$A29)*(WageDates&lt;&gt;"")*LN(1+WageRates)))</f>
        <v/>
      </c>
    </row>
    <row r="30">
      <c r="A30" s="8" t="n">
        <v>46419</v>
      </c>
      <c r="B30">
        <f>DAY(EOMONTH(A30,0))</f>
        <v/>
      </c>
      <c r="C30">
        <f>COUNTIFS(Holidays!$A$2:$A$1000,"&gt;="&amp;$A30,Holidays!$A$2:$A$1000,"&lt;="&amp;EOMONTH($A30,0),Holidays!$C$2:$C$1000,"NSW")</f>
        <v/>
      </c>
      <c r="D30">
        <f>COUNTIFS(Holidays!$A$2:$A$1000,"&gt;="&amp;$A30,Holidays!$A$2:$A$1000,"&lt;="&amp;EOMONTH($A30,0),Holidays!$C$2:$C$1000,"VIC")</f>
        <v/>
      </c>
      <c r="E30">
        <f>COUNTIFS(Holidays!$A$2:$A$1000,"&gt;="&amp;$A30,Holidays!$A$2:$A$1000,"&lt;="&amp;EOMONTH($A30,0),Holidays!$C$2:$C$1000,"QLD")</f>
        <v/>
      </c>
      <c r="F30">
        <f>COUNTIFS(Holidays!$A$2:$A$1000,"&gt;="&amp;$A30,Holidays!$A$2:$A$1000,"&lt;="&amp;EOMONTH($A30,0),Holidays!$C$2:$C$1000,"SA")</f>
        <v/>
      </c>
      <c r="G30">
        <f>COUNTIFS(Holidays!$A$2:$A$1000,"&gt;="&amp;$A30,Holidays!$A$2:$A$1000,"&lt;="&amp;EOMONTH($A30,0),Holidays!$C$2:$C$1000,"WA")</f>
        <v/>
      </c>
      <c r="H30" s="14">
        <f>($B30-C30+C30*PH_Roster*(1+PH_Loading))/($B30-C30+C30*PH_Roster)</f>
        <v/>
      </c>
      <c r="I30" s="14">
        <f>($B30-D30+D30*PH_Roster*(1+PH_Loading))/($B30-D30+D30*PH_Roster)</f>
        <v/>
      </c>
      <c r="J30" s="14">
        <f>($B30-E30+E30*PH_Roster*(1+PH_Loading))/($B30-E30+E30*PH_Roster)</f>
        <v/>
      </c>
      <c r="K30" s="14">
        <f>($B30-F30+F30*PH_Roster*(1+PH_Loading))/($B30-F30+F30*PH_Roster)</f>
        <v/>
      </c>
      <c r="L30" s="14">
        <f>($B30-G30+G30*PH_Roster*(1+PH_Loading))/($B30-G30+G30*PH_Roster)</f>
        <v/>
      </c>
      <c r="M30" s="14">
        <f>EXP(SUMPRODUCT((WageDates&lt;=$A30)*(WageDates&lt;&gt;"")*LN(1+WageRates)))</f>
        <v/>
      </c>
    </row>
    <row r="31">
      <c r="A31" s="8" t="n">
        <v>46447</v>
      </c>
      <c r="B31">
        <f>DAY(EOMONTH(A31,0))</f>
        <v/>
      </c>
      <c r="C31">
        <f>COUNTIFS(Holidays!$A$2:$A$1000,"&gt;="&amp;$A31,Holidays!$A$2:$A$1000,"&lt;="&amp;EOMONTH($A31,0),Holidays!$C$2:$C$1000,"NSW")</f>
        <v/>
      </c>
      <c r="D31">
        <f>COUNTIFS(Holidays!$A$2:$A$1000,"&gt;="&amp;$A31,Holidays!$A$2:$A$1000,"&lt;="&amp;EOMONTH($A31,0),Holidays!$C$2:$C$1000,"VIC")</f>
        <v/>
      </c>
      <c r="E31">
        <f>COUNTIFS(Holidays!$A$2:$A$1000,"&gt;="&amp;$A31,Holidays!$A$2:$A$1000,"&lt;="&amp;EOMONTH($A31,0),Holidays!$C$2:$C$1000,"QLD")</f>
        <v/>
      </c>
      <c r="F31">
        <f>COUNTIFS(Holidays!$A$2:$A$1000,"&gt;="&amp;$A31,Holidays!$A$2:$A$1000,"&lt;="&amp;EOMONTH($A31,0),Holidays!$C$2:$C$1000,"SA")</f>
        <v/>
      </c>
      <c r="G31">
        <f>COUNTIFS(Holidays!$A$2:$A$1000,"&gt;="&amp;$A31,Holidays!$A$2:$A$1000,"&lt;="&amp;EOMONTH($A31,0),Holidays!$C$2:$C$1000,"WA")</f>
        <v/>
      </c>
      <c r="H31" s="14">
        <f>($B31-C31+C31*PH_Roster*(1+PH_Loading))/($B31-C31+C31*PH_Roster)</f>
        <v/>
      </c>
      <c r="I31" s="14">
        <f>($B31-D31+D31*PH_Roster*(1+PH_Loading))/($B31-D31+D31*PH_Roster)</f>
        <v/>
      </c>
      <c r="J31" s="14">
        <f>($B31-E31+E31*PH_Roster*(1+PH_Loading))/($B31-E31+E31*PH_Roster)</f>
        <v/>
      </c>
      <c r="K31" s="14">
        <f>($B31-F31+F31*PH_Roster*(1+PH_Loading))/($B31-F31+F31*PH_Roster)</f>
        <v/>
      </c>
      <c r="L31" s="14">
        <f>($B31-G31+G31*PH_Roster*(1+PH_Loading))/($B31-G31+G31*PH_Roster)</f>
        <v/>
      </c>
      <c r="M31" s="14">
        <f>EXP(SUMPRODUCT((WageDates&lt;=$A31)*(WageDates&lt;&gt;"")*LN(1+WageRates)))</f>
        <v/>
      </c>
    </row>
    <row r="32">
      <c r="A32" s="8" t="n">
        <v>46478</v>
      </c>
      <c r="B32">
        <f>DAY(EOMONTH(A32,0))</f>
        <v/>
      </c>
      <c r="C32">
        <f>COUNTIFS(Holidays!$A$2:$A$1000,"&gt;="&amp;$A32,Holidays!$A$2:$A$1000,"&lt;="&amp;EOMONTH($A32,0),Holidays!$C$2:$C$1000,"NSW")</f>
        <v/>
      </c>
      <c r="D32">
        <f>COUNTIFS(Holidays!$A$2:$A$1000,"&gt;="&amp;$A32,Holidays!$A$2:$A$1000,"&lt;="&amp;EOMONTH($A32,0),Holidays!$C$2:$C$1000,"VIC")</f>
        <v/>
      </c>
      <c r="E32">
        <f>COUNTIFS(Holidays!$A$2:$A$1000,"&gt;="&amp;$A32,Holidays!$A$2:$A$1000,"&lt;="&amp;EOMONTH($A32,0),Holidays!$C$2:$C$1000,"QLD")</f>
        <v/>
      </c>
      <c r="F32">
        <f>COUNTIFS(Holidays!$A$2:$A$1000,"&gt;="&amp;$A32,Holidays!$A$2:$A$1000,"&lt;="&amp;EOMONTH($A32,0),Holidays!$C$2:$C$1000,"SA")</f>
        <v/>
      </c>
      <c r="G32">
        <f>COUNTIFS(Holidays!$A$2:$A$1000,"&gt;="&amp;$A32,Holidays!$A$2:$A$1000,"&lt;="&amp;EOMONTH($A32,0),Holidays!$C$2:$C$1000,"WA")</f>
        <v/>
      </c>
      <c r="H32" s="14">
        <f>($B32-C32+C32*PH_Roster*(1+PH_Loading))/($B32-C32+C32*PH_Roster)</f>
        <v/>
      </c>
      <c r="I32" s="14">
        <f>($B32-D32+D32*PH_Roster*(1+PH_Loading))/($B32-D32+D32*PH_Roster)</f>
        <v/>
      </c>
      <c r="J32" s="14">
        <f>($B32-E32+E32*PH_Roster*(1+PH_Loading))/($B32-E32+E32*PH_Roster)</f>
        <v/>
      </c>
      <c r="K32" s="14">
        <f>($B32-F32+F32*PH_Roster*(1+PH_Loading))/($B32-F32+F32*PH_Roster)</f>
        <v/>
      </c>
      <c r="L32" s="14">
        <f>($B32-G32+G32*PH_Roster*(1+PH_Loading))/($B32-G32+G32*PH_Roster)</f>
        <v/>
      </c>
      <c r="M32" s="14">
        <f>EXP(SUMPRODUCT((WageDates&lt;=$A32)*(WageDates&lt;&gt;"")*LN(1+WageRates)))</f>
        <v/>
      </c>
    </row>
    <row r="33">
      <c r="A33" s="8" t="n">
        <v>46508</v>
      </c>
      <c r="B33">
        <f>DAY(EOMONTH(A33,0))</f>
        <v/>
      </c>
      <c r="C33">
        <f>COUNTIFS(Holidays!$A$2:$A$1000,"&gt;="&amp;$A33,Holidays!$A$2:$A$1000,"&lt;="&amp;EOMONTH($A33,0),Holidays!$C$2:$C$1000,"NSW")</f>
        <v/>
      </c>
      <c r="D33">
        <f>COUNTIFS(Holidays!$A$2:$A$1000,"&gt;="&amp;$A33,Holidays!$A$2:$A$1000,"&lt;="&amp;EOMONTH($A33,0),Holidays!$C$2:$C$1000,"VIC")</f>
        <v/>
      </c>
      <c r="E33">
        <f>COUNTIFS(Holidays!$A$2:$A$1000,"&gt;="&amp;$A33,Holidays!$A$2:$A$1000,"&lt;="&amp;EOMONTH($A33,0),Holidays!$C$2:$C$1000,"QLD")</f>
        <v/>
      </c>
      <c r="F33">
        <f>COUNTIFS(Holidays!$A$2:$A$1000,"&gt;="&amp;$A33,Holidays!$A$2:$A$1000,"&lt;="&amp;EOMONTH($A33,0),Holidays!$C$2:$C$1000,"SA")</f>
        <v/>
      </c>
      <c r="G33">
        <f>COUNTIFS(Holidays!$A$2:$A$1000,"&gt;="&amp;$A33,Holidays!$A$2:$A$1000,"&lt;="&amp;EOMONTH($A33,0),Holidays!$C$2:$C$1000,"WA")</f>
        <v/>
      </c>
      <c r="H33" s="14">
        <f>($B33-C33+C33*PH_Roster*(1+PH_Loading))/($B33-C33+C33*PH_Roster)</f>
        <v/>
      </c>
      <c r="I33" s="14">
        <f>($B33-D33+D33*PH_Roster*(1+PH_Loading))/($B33-D33+D33*PH_Roster)</f>
        <v/>
      </c>
      <c r="J33" s="14">
        <f>($B33-E33+E33*PH_Roster*(1+PH_Loading))/($B33-E33+E33*PH_Roster)</f>
        <v/>
      </c>
      <c r="K33" s="14">
        <f>($B33-F33+F33*PH_Roster*(1+PH_Loading))/($B33-F33+F33*PH_Roster)</f>
        <v/>
      </c>
      <c r="L33" s="14">
        <f>($B33-G33+G33*PH_Roster*(1+PH_Loading))/($B33-G33+G33*PH_Roster)</f>
        <v/>
      </c>
      <c r="M33" s="14">
        <f>EXP(SUMPRODUCT((WageDates&lt;=$A33)*(WageDates&lt;&gt;"")*LN(1+WageRates)))</f>
        <v/>
      </c>
    </row>
    <row r="34">
      <c r="A34" s="8" t="n">
        <v>46539</v>
      </c>
      <c r="B34">
        <f>DAY(EOMONTH(A34,0))</f>
        <v/>
      </c>
      <c r="C34">
        <f>COUNTIFS(Holidays!$A$2:$A$1000,"&gt;="&amp;$A34,Holidays!$A$2:$A$1000,"&lt;="&amp;EOMONTH($A34,0),Holidays!$C$2:$C$1000,"NSW")</f>
        <v/>
      </c>
      <c r="D34">
        <f>COUNTIFS(Holidays!$A$2:$A$1000,"&gt;="&amp;$A34,Holidays!$A$2:$A$1000,"&lt;="&amp;EOMONTH($A34,0),Holidays!$C$2:$C$1000,"VIC")</f>
        <v/>
      </c>
      <c r="E34">
        <f>COUNTIFS(Holidays!$A$2:$A$1000,"&gt;="&amp;$A34,Holidays!$A$2:$A$1000,"&lt;="&amp;EOMONTH($A34,0),Holidays!$C$2:$C$1000,"QLD")</f>
        <v/>
      </c>
      <c r="F34">
        <f>COUNTIFS(Holidays!$A$2:$A$1000,"&gt;="&amp;$A34,Holidays!$A$2:$A$1000,"&lt;="&amp;EOMONTH($A34,0),Holidays!$C$2:$C$1000,"SA")</f>
        <v/>
      </c>
      <c r="G34">
        <f>COUNTIFS(Holidays!$A$2:$A$1000,"&gt;="&amp;$A34,Holidays!$A$2:$A$1000,"&lt;="&amp;EOMONTH($A34,0),Holidays!$C$2:$C$1000,"WA")</f>
        <v/>
      </c>
      <c r="H34" s="14">
        <f>($B34-C34+C34*PH_Roster*(1+PH_Loading))/($B34-C34+C34*PH_Roster)</f>
        <v/>
      </c>
      <c r="I34" s="14">
        <f>($B34-D34+D34*PH_Roster*(1+PH_Loading))/($B34-D34+D34*PH_Roster)</f>
        <v/>
      </c>
      <c r="J34" s="14">
        <f>($B34-E34+E34*PH_Roster*(1+PH_Loading))/($B34-E34+E34*PH_Roster)</f>
        <v/>
      </c>
      <c r="K34" s="14">
        <f>($B34-F34+F34*PH_Roster*(1+PH_Loading))/($B34-F34+F34*PH_Roster)</f>
        <v/>
      </c>
      <c r="L34" s="14">
        <f>($B34-G34+G34*PH_Roster*(1+PH_Loading))/($B34-G34+G34*PH_Roster)</f>
        <v/>
      </c>
      <c r="M34" s="14">
        <f>EXP(SUMPRODUCT((WageDates&lt;=$A34)*(WageDates&lt;&gt;"")*LN(1+WageRates)))</f>
        <v/>
      </c>
    </row>
    <row r="35">
      <c r="A35" s="8" t="n">
        <v>46569</v>
      </c>
      <c r="B35">
        <f>DAY(EOMONTH(A35,0))</f>
        <v/>
      </c>
      <c r="C35">
        <f>COUNTIFS(Holidays!$A$2:$A$1000,"&gt;="&amp;$A35,Holidays!$A$2:$A$1000,"&lt;="&amp;EOMONTH($A35,0),Holidays!$C$2:$C$1000,"NSW")</f>
        <v/>
      </c>
      <c r="D35">
        <f>COUNTIFS(Holidays!$A$2:$A$1000,"&gt;="&amp;$A35,Holidays!$A$2:$A$1000,"&lt;="&amp;EOMONTH($A35,0),Holidays!$C$2:$C$1000,"VIC")</f>
        <v/>
      </c>
      <c r="E35">
        <f>COUNTIFS(Holidays!$A$2:$A$1000,"&gt;="&amp;$A35,Holidays!$A$2:$A$1000,"&lt;="&amp;EOMONTH($A35,0),Holidays!$C$2:$C$1000,"QLD")</f>
        <v/>
      </c>
      <c r="F35">
        <f>COUNTIFS(Holidays!$A$2:$A$1000,"&gt;="&amp;$A35,Holidays!$A$2:$A$1000,"&lt;="&amp;EOMONTH($A35,0),Holidays!$C$2:$C$1000,"SA")</f>
        <v/>
      </c>
      <c r="G35">
        <f>COUNTIFS(Holidays!$A$2:$A$1000,"&gt;="&amp;$A35,Holidays!$A$2:$A$1000,"&lt;="&amp;EOMONTH($A35,0),Holidays!$C$2:$C$1000,"WA")</f>
        <v/>
      </c>
      <c r="H35" s="14">
        <f>($B35-C35+C35*PH_Roster*(1+PH_Loading))/($B35-C35+C35*PH_Roster)</f>
        <v/>
      </c>
      <c r="I35" s="14">
        <f>($B35-D35+D35*PH_Roster*(1+PH_Loading))/($B35-D35+D35*PH_Roster)</f>
        <v/>
      </c>
      <c r="J35" s="14">
        <f>($B35-E35+E35*PH_Roster*(1+PH_Loading))/($B35-E35+E35*PH_Roster)</f>
        <v/>
      </c>
      <c r="K35" s="14">
        <f>($B35-F35+F35*PH_Roster*(1+PH_Loading))/($B35-F35+F35*PH_Roster)</f>
        <v/>
      </c>
      <c r="L35" s="14">
        <f>($B35-G35+G35*PH_Roster*(1+PH_Loading))/($B35-G35+G35*PH_Roster)</f>
        <v/>
      </c>
      <c r="M35" s="14">
        <f>EXP(SUMPRODUCT((WageDates&lt;=$A35)*(WageDates&lt;&gt;"")*LN(1+WageRates)))</f>
        <v/>
      </c>
    </row>
    <row r="36">
      <c r="A36" s="8" t="n">
        <v>46600</v>
      </c>
      <c r="B36">
        <f>DAY(EOMONTH(A36,0))</f>
        <v/>
      </c>
      <c r="C36">
        <f>COUNTIFS(Holidays!$A$2:$A$1000,"&gt;="&amp;$A36,Holidays!$A$2:$A$1000,"&lt;="&amp;EOMONTH($A36,0),Holidays!$C$2:$C$1000,"NSW")</f>
        <v/>
      </c>
      <c r="D36">
        <f>COUNTIFS(Holidays!$A$2:$A$1000,"&gt;="&amp;$A36,Holidays!$A$2:$A$1000,"&lt;="&amp;EOMONTH($A36,0),Holidays!$C$2:$C$1000,"VIC")</f>
        <v/>
      </c>
      <c r="E36">
        <f>COUNTIFS(Holidays!$A$2:$A$1000,"&gt;="&amp;$A36,Holidays!$A$2:$A$1000,"&lt;="&amp;EOMONTH($A36,0),Holidays!$C$2:$C$1000,"QLD")</f>
        <v/>
      </c>
      <c r="F36">
        <f>COUNTIFS(Holidays!$A$2:$A$1000,"&gt;="&amp;$A36,Holidays!$A$2:$A$1000,"&lt;="&amp;EOMONTH($A36,0),Holidays!$C$2:$C$1000,"SA")</f>
        <v/>
      </c>
      <c r="G36">
        <f>COUNTIFS(Holidays!$A$2:$A$1000,"&gt;="&amp;$A36,Holidays!$A$2:$A$1000,"&lt;="&amp;EOMONTH($A36,0),Holidays!$C$2:$C$1000,"WA")</f>
        <v/>
      </c>
      <c r="H36" s="14">
        <f>($B36-C36+C36*PH_Roster*(1+PH_Loading))/($B36-C36+C36*PH_Roster)</f>
        <v/>
      </c>
      <c r="I36" s="14">
        <f>($B36-D36+D36*PH_Roster*(1+PH_Loading))/($B36-D36+D36*PH_Roster)</f>
        <v/>
      </c>
      <c r="J36" s="14">
        <f>($B36-E36+E36*PH_Roster*(1+PH_Loading))/($B36-E36+E36*PH_Roster)</f>
        <v/>
      </c>
      <c r="K36" s="14">
        <f>($B36-F36+F36*PH_Roster*(1+PH_Loading))/($B36-F36+F36*PH_Roster)</f>
        <v/>
      </c>
      <c r="L36" s="14">
        <f>($B36-G36+G36*PH_Roster*(1+PH_Loading))/($B36-G36+G36*PH_Roster)</f>
        <v/>
      </c>
      <c r="M36" s="14">
        <f>EXP(SUMPRODUCT((WageDates&lt;=$A36)*(WageDates&lt;&gt;"")*LN(1+WageRates)))</f>
        <v/>
      </c>
    </row>
    <row r="37">
      <c r="A37" s="8" t="n">
        <v>46631</v>
      </c>
      <c r="B37">
        <f>DAY(EOMONTH(A37,0))</f>
        <v/>
      </c>
      <c r="C37">
        <f>COUNTIFS(Holidays!$A$2:$A$1000,"&gt;="&amp;$A37,Holidays!$A$2:$A$1000,"&lt;="&amp;EOMONTH($A37,0),Holidays!$C$2:$C$1000,"NSW")</f>
        <v/>
      </c>
      <c r="D37">
        <f>COUNTIFS(Holidays!$A$2:$A$1000,"&gt;="&amp;$A37,Holidays!$A$2:$A$1000,"&lt;="&amp;EOMONTH($A37,0),Holidays!$C$2:$C$1000,"VIC")</f>
        <v/>
      </c>
      <c r="E37">
        <f>COUNTIFS(Holidays!$A$2:$A$1000,"&gt;="&amp;$A37,Holidays!$A$2:$A$1000,"&lt;="&amp;EOMONTH($A37,0),Holidays!$C$2:$C$1000,"QLD")</f>
        <v/>
      </c>
      <c r="F37">
        <f>COUNTIFS(Holidays!$A$2:$A$1000,"&gt;="&amp;$A37,Holidays!$A$2:$A$1000,"&lt;="&amp;EOMONTH($A37,0),Holidays!$C$2:$C$1000,"SA")</f>
        <v/>
      </c>
      <c r="G37">
        <f>COUNTIFS(Holidays!$A$2:$A$1000,"&gt;="&amp;$A37,Holidays!$A$2:$A$1000,"&lt;="&amp;EOMONTH($A37,0),Holidays!$C$2:$C$1000,"WA")</f>
        <v/>
      </c>
      <c r="H37" s="14">
        <f>($B37-C37+C37*PH_Roster*(1+PH_Loading))/($B37-C37+C37*PH_Roster)</f>
        <v/>
      </c>
      <c r="I37" s="14">
        <f>($B37-D37+D37*PH_Roster*(1+PH_Loading))/($B37-D37+D37*PH_Roster)</f>
        <v/>
      </c>
      <c r="J37" s="14">
        <f>($B37-E37+E37*PH_Roster*(1+PH_Loading))/($B37-E37+E37*PH_Roster)</f>
        <v/>
      </c>
      <c r="K37" s="14">
        <f>($B37-F37+F37*PH_Roster*(1+PH_Loading))/($B37-F37+F37*PH_Roster)</f>
        <v/>
      </c>
      <c r="L37" s="14">
        <f>($B37-G37+G37*PH_Roster*(1+PH_Loading))/($B37-G37+G37*PH_Roster)</f>
        <v/>
      </c>
      <c r="M37" s="14">
        <f>EXP(SUMPRODUCT((WageDates&lt;=$A37)*(WageDates&lt;&gt;"")*LN(1+WageRates)))</f>
        <v/>
      </c>
    </row>
    <row r="38">
      <c r="A38" s="8" t="n">
        <v>46661</v>
      </c>
      <c r="B38">
        <f>DAY(EOMONTH(A38,0))</f>
        <v/>
      </c>
      <c r="C38">
        <f>COUNTIFS(Holidays!$A$2:$A$1000,"&gt;="&amp;$A38,Holidays!$A$2:$A$1000,"&lt;="&amp;EOMONTH($A38,0),Holidays!$C$2:$C$1000,"NSW")</f>
        <v/>
      </c>
      <c r="D38">
        <f>COUNTIFS(Holidays!$A$2:$A$1000,"&gt;="&amp;$A38,Holidays!$A$2:$A$1000,"&lt;="&amp;EOMONTH($A38,0),Holidays!$C$2:$C$1000,"VIC")</f>
        <v/>
      </c>
      <c r="E38">
        <f>COUNTIFS(Holidays!$A$2:$A$1000,"&gt;="&amp;$A38,Holidays!$A$2:$A$1000,"&lt;="&amp;EOMONTH($A38,0),Holidays!$C$2:$C$1000,"QLD")</f>
        <v/>
      </c>
      <c r="F38">
        <f>COUNTIFS(Holidays!$A$2:$A$1000,"&gt;="&amp;$A38,Holidays!$A$2:$A$1000,"&lt;="&amp;EOMONTH($A38,0),Holidays!$C$2:$C$1000,"SA")</f>
        <v/>
      </c>
      <c r="G38">
        <f>COUNTIFS(Holidays!$A$2:$A$1000,"&gt;="&amp;$A38,Holidays!$A$2:$A$1000,"&lt;="&amp;EOMONTH($A38,0),Holidays!$C$2:$C$1000,"WA")</f>
        <v/>
      </c>
      <c r="H38" s="14">
        <f>($B38-C38+C38*PH_Roster*(1+PH_Loading))/($B38-C38+C38*PH_Roster)</f>
        <v/>
      </c>
      <c r="I38" s="14">
        <f>($B38-D38+D38*PH_Roster*(1+PH_Loading))/($B38-D38+D38*PH_Roster)</f>
        <v/>
      </c>
      <c r="J38" s="14">
        <f>($B38-E38+E38*PH_Roster*(1+PH_Loading))/($B38-E38+E38*PH_Roster)</f>
        <v/>
      </c>
      <c r="K38" s="14">
        <f>($B38-F38+F38*PH_Roster*(1+PH_Loading))/($B38-F38+F38*PH_Roster)</f>
        <v/>
      </c>
      <c r="L38" s="14">
        <f>($B38-G38+G38*PH_Roster*(1+PH_Loading))/($B38-G38+G38*PH_Roster)</f>
        <v/>
      </c>
      <c r="M38" s="14">
        <f>EXP(SUMPRODUCT((WageDates&lt;=$A38)*(WageDates&lt;&gt;"")*LN(1+WageRates)))</f>
        <v/>
      </c>
    </row>
    <row r="39">
      <c r="A39" s="8" t="n">
        <v>46692</v>
      </c>
      <c r="B39">
        <f>DAY(EOMONTH(A39,0))</f>
        <v/>
      </c>
      <c r="C39">
        <f>COUNTIFS(Holidays!$A$2:$A$1000,"&gt;="&amp;$A39,Holidays!$A$2:$A$1000,"&lt;="&amp;EOMONTH($A39,0),Holidays!$C$2:$C$1000,"NSW")</f>
        <v/>
      </c>
      <c r="D39">
        <f>COUNTIFS(Holidays!$A$2:$A$1000,"&gt;="&amp;$A39,Holidays!$A$2:$A$1000,"&lt;="&amp;EOMONTH($A39,0),Holidays!$C$2:$C$1000,"VIC")</f>
        <v/>
      </c>
      <c r="E39">
        <f>COUNTIFS(Holidays!$A$2:$A$1000,"&gt;="&amp;$A39,Holidays!$A$2:$A$1000,"&lt;="&amp;EOMONTH($A39,0),Holidays!$C$2:$C$1000,"QLD")</f>
        <v/>
      </c>
      <c r="F39">
        <f>COUNTIFS(Holidays!$A$2:$A$1000,"&gt;="&amp;$A39,Holidays!$A$2:$A$1000,"&lt;="&amp;EOMONTH($A39,0),Holidays!$C$2:$C$1000,"SA")</f>
        <v/>
      </c>
      <c r="G39">
        <f>COUNTIFS(Holidays!$A$2:$A$1000,"&gt;="&amp;$A39,Holidays!$A$2:$A$1000,"&lt;="&amp;EOMONTH($A39,0),Holidays!$C$2:$C$1000,"WA")</f>
        <v/>
      </c>
      <c r="H39" s="14">
        <f>($B39-C39+C39*PH_Roster*(1+PH_Loading))/($B39-C39+C39*PH_Roster)</f>
        <v/>
      </c>
      <c r="I39" s="14">
        <f>($B39-D39+D39*PH_Roster*(1+PH_Loading))/($B39-D39+D39*PH_Roster)</f>
        <v/>
      </c>
      <c r="J39" s="14">
        <f>($B39-E39+E39*PH_Roster*(1+PH_Loading))/($B39-E39+E39*PH_Roster)</f>
        <v/>
      </c>
      <c r="K39" s="14">
        <f>($B39-F39+F39*PH_Roster*(1+PH_Loading))/($B39-F39+F39*PH_Roster)</f>
        <v/>
      </c>
      <c r="L39" s="14">
        <f>($B39-G39+G39*PH_Roster*(1+PH_Loading))/($B39-G39+G39*PH_Roster)</f>
        <v/>
      </c>
      <c r="M39" s="14">
        <f>EXP(SUMPRODUCT((WageDates&lt;=$A39)*(WageDates&lt;&gt;"")*LN(1+WageRates)))</f>
        <v/>
      </c>
    </row>
    <row r="40">
      <c r="A40" s="8" t="n">
        <v>46722</v>
      </c>
      <c r="B40">
        <f>DAY(EOMONTH(A40,0))</f>
        <v/>
      </c>
      <c r="C40">
        <f>COUNTIFS(Holidays!$A$2:$A$1000,"&gt;="&amp;$A40,Holidays!$A$2:$A$1000,"&lt;="&amp;EOMONTH($A40,0),Holidays!$C$2:$C$1000,"NSW")</f>
        <v/>
      </c>
      <c r="D40">
        <f>COUNTIFS(Holidays!$A$2:$A$1000,"&gt;="&amp;$A40,Holidays!$A$2:$A$1000,"&lt;="&amp;EOMONTH($A40,0),Holidays!$C$2:$C$1000,"VIC")</f>
        <v/>
      </c>
      <c r="E40">
        <f>COUNTIFS(Holidays!$A$2:$A$1000,"&gt;="&amp;$A40,Holidays!$A$2:$A$1000,"&lt;="&amp;EOMONTH($A40,0),Holidays!$C$2:$C$1000,"QLD")</f>
        <v/>
      </c>
      <c r="F40">
        <f>COUNTIFS(Holidays!$A$2:$A$1000,"&gt;="&amp;$A40,Holidays!$A$2:$A$1000,"&lt;="&amp;EOMONTH($A40,0),Holidays!$C$2:$C$1000,"SA")</f>
        <v/>
      </c>
      <c r="G40">
        <f>COUNTIFS(Holidays!$A$2:$A$1000,"&gt;="&amp;$A40,Holidays!$A$2:$A$1000,"&lt;="&amp;EOMONTH($A40,0),Holidays!$C$2:$C$1000,"WA")</f>
        <v/>
      </c>
      <c r="H40" s="14">
        <f>($B40-C40+C40*PH_Roster*(1+PH_Loading))/($B40-C40+C40*PH_Roster)</f>
        <v/>
      </c>
      <c r="I40" s="14">
        <f>($B40-D40+D40*PH_Roster*(1+PH_Loading))/($B40-D40+D40*PH_Roster)</f>
        <v/>
      </c>
      <c r="J40" s="14">
        <f>($B40-E40+E40*PH_Roster*(1+PH_Loading))/($B40-E40+E40*PH_Roster)</f>
        <v/>
      </c>
      <c r="K40" s="14">
        <f>($B40-F40+F40*PH_Roster*(1+PH_Loading))/($B40-F40+F40*PH_Roster)</f>
        <v/>
      </c>
      <c r="L40" s="14">
        <f>($B40-G40+G40*PH_Roster*(1+PH_Loading))/($B40-G40+G40*PH_Roster)</f>
        <v/>
      </c>
      <c r="M40" s="14">
        <f>EXP(SUMPRODUCT((WageDates&lt;=$A40)*(WageDates&lt;&gt;"")*LN(1+WageRates)))</f>
        <v/>
      </c>
    </row>
    <row r="41">
      <c r="A41" s="8" t="n">
        <v>46753</v>
      </c>
      <c r="B41">
        <f>DAY(EOMONTH(A41,0))</f>
        <v/>
      </c>
      <c r="C41">
        <f>COUNTIFS(Holidays!$A$2:$A$1000,"&gt;="&amp;$A41,Holidays!$A$2:$A$1000,"&lt;="&amp;EOMONTH($A41,0),Holidays!$C$2:$C$1000,"NSW")</f>
        <v/>
      </c>
      <c r="D41">
        <f>COUNTIFS(Holidays!$A$2:$A$1000,"&gt;="&amp;$A41,Holidays!$A$2:$A$1000,"&lt;="&amp;EOMONTH($A41,0),Holidays!$C$2:$C$1000,"VIC")</f>
        <v/>
      </c>
      <c r="E41">
        <f>COUNTIFS(Holidays!$A$2:$A$1000,"&gt;="&amp;$A41,Holidays!$A$2:$A$1000,"&lt;="&amp;EOMONTH($A41,0),Holidays!$C$2:$C$1000,"QLD")</f>
        <v/>
      </c>
      <c r="F41">
        <f>COUNTIFS(Holidays!$A$2:$A$1000,"&gt;="&amp;$A41,Holidays!$A$2:$A$1000,"&lt;="&amp;EOMONTH($A41,0),Holidays!$C$2:$C$1000,"SA")</f>
        <v/>
      </c>
      <c r="G41">
        <f>COUNTIFS(Holidays!$A$2:$A$1000,"&gt;="&amp;$A41,Holidays!$A$2:$A$1000,"&lt;="&amp;EOMONTH($A41,0),Holidays!$C$2:$C$1000,"WA")</f>
        <v/>
      </c>
      <c r="H41" s="14">
        <f>($B41-C41+C41*PH_Roster*(1+PH_Loading))/($B41-C41+C41*PH_Roster)</f>
        <v/>
      </c>
      <c r="I41" s="14">
        <f>($B41-D41+D41*PH_Roster*(1+PH_Loading))/($B41-D41+D41*PH_Roster)</f>
        <v/>
      </c>
      <c r="J41" s="14">
        <f>($B41-E41+E41*PH_Roster*(1+PH_Loading))/($B41-E41+E41*PH_Roster)</f>
        <v/>
      </c>
      <c r="K41" s="14">
        <f>($B41-F41+F41*PH_Roster*(1+PH_Loading))/($B41-F41+F41*PH_Roster)</f>
        <v/>
      </c>
      <c r="L41" s="14">
        <f>($B41-G41+G41*PH_Roster*(1+PH_Loading))/($B41-G41+G41*PH_Roster)</f>
        <v/>
      </c>
      <c r="M41" s="14">
        <f>EXP(SUMPRODUCT((WageDates&lt;=$A41)*(WageDates&lt;&gt;"")*LN(1+WageRates)))</f>
        <v/>
      </c>
    </row>
    <row r="42">
      <c r="A42" s="8" t="n">
        <v>46784</v>
      </c>
      <c r="B42">
        <f>DAY(EOMONTH(A42,0))</f>
        <v/>
      </c>
      <c r="C42">
        <f>COUNTIFS(Holidays!$A$2:$A$1000,"&gt;="&amp;$A42,Holidays!$A$2:$A$1000,"&lt;="&amp;EOMONTH($A42,0),Holidays!$C$2:$C$1000,"NSW")</f>
        <v/>
      </c>
      <c r="D42">
        <f>COUNTIFS(Holidays!$A$2:$A$1000,"&gt;="&amp;$A42,Holidays!$A$2:$A$1000,"&lt;="&amp;EOMONTH($A42,0),Holidays!$C$2:$C$1000,"VIC")</f>
        <v/>
      </c>
      <c r="E42">
        <f>COUNTIFS(Holidays!$A$2:$A$1000,"&gt;="&amp;$A42,Holidays!$A$2:$A$1000,"&lt;="&amp;EOMONTH($A42,0),Holidays!$C$2:$C$1000,"QLD")</f>
        <v/>
      </c>
      <c r="F42">
        <f>COUNTIFS(Holidays!$A$2:$A$1000,"&gt;="&amp;$A42,Holidays!$A$2:$A$1000,"&lt;="&amp;EOMONTH($A42,0),Holidays!$C$2:$C$1000,"SA")</f>
        <v/>
      </c>
      <c r="G42">
        <f>COUNTIFS(Holidays!$A$2:$A$1000,"&gt;="&amp;$A42,Holidays!$A$2:$A$1000,"&lt;="&amp;EOMONTH($A42,0),Holidays!$C$2:$C$1000,"WA")</f>
        <v/>
      </c>
      <c r="H42" s="14">
        <f>($B42-C42+C42*PH_Roster*(1+PH_Loading))/($B42-C42+C42*PH_Roster)</f>
        <v/>
      </c>
      <c r="I42" s="14">
        <f>($B42-D42+D42*PH_Roster*(1+PH_Loading))/($B42-D42+D42*PH_Roster)</f>
        <v/>
      </c>
      <c r="J42" s="14">
        <f>($B42-E42+E42*PH_Roster*(1+PH_Loading))/($B42-E42+E42*PH_Roster)</f>
        <v/>
      </c>
      <c r="K42" s="14">
        <f>($B42-F42+F42*PH_Roster*(1+PH_Loading))/($B42-F42+F42*PH_Roster)</f>
        <v/>
      </c>
      <c r="L42" s="14">
        <f>($B42-G42+G42*PH_Roster*(1+PH_Loading))/($B42-G42+G42*PH_Roster)</f>
        <v/>
      </c>
      <c r="M42" s="14">
        <f>EXP(SUMPRODUCT((WageDates&lt;=$A42)*(WageDates&lt;&gt;"")*LN(1+WageRates)))</f>
        <v/>
      </c>
    </row>
    <row r="43">
      <c r="A43" s="8" t="n">
        <v>46813</v>
      </c>
      <c r="B43">
        <f>DAY(EOMONTH(A43,0))</f>
        <v/>
      </c>
      <c r="C43">
        <f>COUNTIFS(Holidays!$A$2:$A$1000,"&gt;="&amp;$A43,Holidays!$A$2:$A$1000,"&lt;="&amp;EOMONTH($A43,0),Holidays!$C$2:$C$1000,"NSW")</f>
        <v/>
      </c>
      <c r="D43">
        <f>COUNTIFS(Holidays!$A$2:$A$1000,"&gt;="&amp;$A43,Holidays!$A$2:$A$1000,"&lt;="&amp;EOMONTH($A43,0),Holidays!$C$2:$C$1000,"VIC")</f>
        <v/>
      </c>
      <c r="E43">
        <f>COUNTIFS(Holidays!$A$2:$A$1000,"&gt;="&amp;$A43,Holidays!$A$2:$A$1000,"&lt;="&amp;EOMONTH($A43,0),Holidays!$C$2:$C$1000,"QLD")</f>
        <v/>
      </c>
      <c r="F43">
        <f>COUNTIFS(Holidays!$A$2:$A$1000,"&gt;="&amp;$A43,Holidays!$A$2:$A$1000,"&lt;="&amp;EOMONTH($A43,0),Holidays!$C$2:$C$1000,"SA")</f>
        <v/>
      </c>
      <c r="G43">
        <f>COUNTIFS(Holidays!$A$2:$A$1000,"&gt;="&amp;$A43,Holidays!$A$2:$A$1000,"&lt;="&amp;EOMONTH($A43,0),Holidays!$C$2:$C$1000,"WA")</f>
        <v/>
      </c>
      <c r="H43" s="14">
        <f>($B43-C43+C43*PH_Roster*(1+PH_Loading))/($B43-C43+C43*PH_Roster)</f>
        <v/>
      </c>
      <c r="I43" s="14">
        <f>($B43-D43+D43*PH_Roster*(1+PH_Loading))/($B43-D43+D43*PH_Roster)</f>
        <v/>
      </c>
      <c r="J43" s="14">
        <f>($B43-E43+E43*PH_Roster*(1+PH_Loading))/($B43-E43+E43*PH_Roster)</f>
        <v/>
      </c>
      <c r="K43" s="14">
        <f>($B43-F43+F43*PH_Roster*(1+PH_Loading))/($B43-F43+F43*PH_Roster)</f>
        <v/>
      </c>
      <c r="L43" s="14">
        <f>($B43-G43+G43*PH_Roster*(1+PH_Loading))/($B43-G43+G43*PH_Roster)</f>
        <v/>
      </c>
      <c r="M43" s="14">
        <f>EXP(SUMPRODUCT((WageDates&lt;=$A43)*(WageDates&lt;&gt;"")*LN(1+WageRates)))</f>
        <v/>
      </c>
    </row>
    <row r="44">
      <c r="A44" s="8" t="n">
        <v>46844</v>
      </c>
      <c r="B44">
        <f>DAY(EOMONTH(A44,0))</f>
        <v/>
      </c>
      <c r="C44">
        <f>COUNTIFS(Holidays!$A$2:$A$1000,"&gt;="&amp;$A44,Holidays!$A$2:$A$1000,"&lt;="&amp;EOMONTH($A44,0),Holidays!$C$2:$C$1000,"NSW")</f>
        <v/>
      </c>
      <c r="D44">
        <f>COUNTIFS(Holidays!$A$2:$A$1000,"&gt;="&amp;$A44,Holidays!$A$2:$A$1000,"&lt;="&amp;EOMONTH($A44,0),Holidays!$C$2:$C$1000,"VIC")</f>
        <v/>
      </c>
      <c r="E44">
        <f>COUNTIFS(Holidays!$A$2:$A$1000,"&gt;="&amp;$A44,Holidays!$A$2:$A$1000,"&lt;="&amp;EOMONTH($A44,0),Holidays!$C$2:$C$1000,"QLD")</f>
        <v/>
      </c>
      <c r="F44">
        <f>COUNTIFS(Holidays!$A$2:$A$1000,"&gt;="&amp;$A44,Holidays!$A$2:$A$1000,"&lt;="&amp;EOMONTH($A44,0),Holidays!$C$2:$C$1000,"SA")</f>
        <v/>
      </c>
      <c r="G44">
        <f>COUNTIFS(Holidays!$A$2:$A$1000,"&gt;="&amp;$A44,Holidays!$A$2:$A$1000,"&lt;="&amp;EOMONTH($A44,0),Holidays!$C$2:$C$1000,"WA")</f>
        <v/>
      </c>
      <c r="H44" s="14">
        <f>($B44-C44+C44*PH_Roster*(1+PH_Loading))/($B44-C44+C44*PH_Roster)</f>
        <v/>
      </c>
      <c r="I44" s="14">
        <f>($B44-D44+D44*PH_Roster*(1+PH_Loading))/($B44-D44+D44*PH_Roster)</f>
        <v/>
      </c>
      <c r="J44" s="14">
        <f>($B44-E44+E44*PH_Roster*(1+PH_Loading))/($B44-E44+E44*PH_Roster)</f>
        <v/>
      </c>
      <c r="K44" s="14">
        <f>($B44-F44+F44*PH_Roster*(1+PH_Loading))/($B44-F44+F44*PH_Roster)</f>
        <v/>
      </c>
      <c r="L44" s="14">
        <f>($B44-G44+G44*PH_Roster*(1+PH_Loading))/($B44-G44+G44*PH_Roster)</f>
        <v/>
      </c>
      <c r="M44" s="14">
        <f>EXP(SUMPRODUCT((WageDates&lt;=$A44)*(WageDates&lt;&gt;"")*LN(1+WageRates)))</f>
        <v/>
      </c>
    </row>
    <row r="45">
      <c r="A45" s="8" t="n">
        <v>46874</v>
      </c>
      <c r="B45">
        <f>DAY(EOMONTH(A45,0))</f>
        <v/>
      </c>
      <c r="C45">
        <f>COUNTIFS(Holidays!$A$2:$A$1000,"&gt;="&amp;$A45,Holidays!$A$2:$A$1000,"&lt;="&amp;EOMONTH($A45,0),Holidays!$C$2:$C$1000,"NSW")</f>
        <v/>
      </c>
      <c r="D45">
        <f>COUNTIFS(Holidays!$A$2:$A$1000,"&gt;="&amp;$A45,Holidays!$A$2:$A$1000,"&lt;="&amp;EOMONTH($A45,0),Holidays!$C$2:$C$1000,"VIC")</f>
        <v/>
      </c>
      <c r="E45">
        <f>COUNTIFS(Holidays!$A$2:$A$1000,"&gt;="&amp;$A45,Holidays!$A$2:$A$1000,"&lt;="&amp;EOMONTH($A45,0),Holidays!$C$2:$C$1000,"QLD")</f>
        <v/>
      </c>
      <c r="F45">
        <f>COUNTIFS(Holidays!$A$2:$A$1000,"&gt;="&amp;$A45,Holidays!$A$2:$A$1000,"&lt;="&amp;EOMONTH($A45,0),Holidays!$C$2:$C$1000,"SA")</f>
        <v/>
      </c>
      <c r="G45">
        <f>COUNTIFS(Holidays!$A$2:$A$1000,"&gt;="&amp;$A45,Holidays!$A$2:$A$1000,"&lt;="&amp;EOMONTH($A45,0),Holidays!$C$2:$C$1000,"WA")</f>
        <v/>
      </c>
      <c r="H45" s="14">
        <f>($B45-C45+C45*PH_Roster*(1+PH_Loading))/($B45-C45+C45*PH_Roster)</f>
        <v/>
      </c>
      <c r="I45" s="14">
        <f>($B45-D45+D45*PH_Roster*(1+PH_Loading))/($B45-D45+D45*PH_Roster)</f>
        <v/>
      </c>
      <c r="J45" s="14">
        <f>($B45-E45+E45*PH_Roster*(1+PH_Loading))/($B45-E45+E45*PH_Roster)</f>
        <v/>
      </c>
      <c r="K45" s="14">
        <f>($B45-F45+F45*PH_Roster*(1+PH_Loading))/($B45-F45+F45*PH_Roster)</f>
        <v/>
      </c>
      <c r="L45" s="14">
        <f>($B45-G45+G45*PH_Roster*(1+PH_Loading))/($B45-G45+G45*PH_Roster)</f>
        <v/>
      </c>
      <c r="M45" s="14">
        <f>EXP(SUMPRODUCT((WageDates&lt;=$A45)*(WageDates&lt;&gt;"")*LN(1+WageRates)))</f>
        <v/>
      </c>
    </row>
    <row r="46">
      <c r="A46" s="8" t="n">
        <v>46905</v>
      </c>
      <c r="B46">
        <f>DAY(EOMONTH(A46,0))</f>
        <v/>
      </c>
      <c r="C46">
        <f>COUNTIFS(Holidays!$A$2:$A$1000,"&gt;="&amp;$A46,Holidays!$A$2:$A$1000,"&lt;="&amp;EOMONTH($A46,0),Holidays!$C$2:$C$1000,"NSW")</f>
        <v/>
      </c>
      <c r="D46">
        <f>COUNTIFS(Holidays!$A$2:$A$1000,"&gt;="&amp;$A46,Holidays!$A$2:$A$1000,"&lt;="&amp;EOMONTH($A46,0),Holidays!$C$2:$C$1000,"VIC")</f>
        <v/>
      </c>
      <c r="E46">
        <f>COUNTIFS(Holidays!$A$2:$A$1000,"&gt;="&amp;$A46,Holidays!$A$2:$A$1000,"&lt;="&amp;EOMONTH($A46,0),Holidays!$C$2:$C$1000,"QLD")</f>
        <v/>
      </c>
      <c r="F46">
        <f>COUNTIFS(Holidays!$A$2:$A$1000,"&gt;="&amp;$A46,Holidays!$A$2:$A$1000,"&lt;="&amp;EOMONTH($A46,0),Holidays!$C$2:$C$1000,"SA")</f>
        <v/>
      </c>
      <c r="G46">
        <f>COUNTIFS(Holidays!$A$2:$A$1000,"&gt;="&amp;$A46,Holidays!$A$2:$A$1000,"&lt;="&amp;EOMONTH($A46,0),Holidays!$C$2:$C$1000,"WA")</f>
        <v/>
      </c>
      <c r="H46" s="14">
        <f>($B46-C46+C46*PH_Roster*(1+PH_Loading))/($B46-C46+C46*PH_Roster)</f>
        <v/>
      </c>
      <c r="I46" s="14">
        <f>($B46-D46+D46*PH_Roster*(1+PH_Loading))/($B46-D46+D46*PH_Roster)</f>
        <v/>
      </c>
      <c r="J46" s="14">
        <f>($B46-E46+E46*PH_Roster*(1+PH_Loading))/($B46-E46+E46*PH_Roster)</f>
        <v/>
      </c>
      <c r="K46" s="14">
        <f>($B46-F46+F46*PH_Roster*(1+PH_Loading))/($B46-F46+F46*PH_Roster)</f>
        <v/>
      </c>
      <c r="L46" s="14">
        <f>($B46-G46+G46*PH_Roster*(1+PH_Loading))/($B46-G46+G46*PH_Roster)</f>
        <v/>
      </c>
      <c r="M46" s="14">
        <f>EXP(SUMPRODUCT((WageDates&lt;=$A46)*(WageDates&lt;&gt;"")*LN(1+WageRates)))</f>
        <v/>
      </c>
    </row>
    <row r="47">
      <c r="A47" s="8" t="n">
        <v>46935</v>
      </c>
      <c r="B47">
        <f>DAY(EOMONTH(A47,0))</f>
        <v/>
      </c>
      <c r="C47">
        <f>COUNTIFS(Holidays!$A$2:$A$1000,"&gt;="&amp;$A47,Holidays!$A$2:$A$1000,"&lt;="&amp;EOMONTH($A47,0),Holidays!$C$2:$C$1000,"NSW")</f>
        <v/>
      </c>
      <c r="D47">
        <f>COUNTIFS(Holidays!$A$2:$A$1000,"&gt;="&amp;$A47,Holidays!$A$2:$A$1000,"&lt;="&amp;EOMONTH($A47,0),Holidays!$C$2:$C$1000,"VIC")</f>
        <v/>
      </c>
      <c r="E47">
        <f>COUNTIFS(Holidays!$A$2:$A$1000,"&gt;="&amp;$A47,Holidays!$A$2:$A$1000,"&lt;="&amp;EOMONTH($A47,0),Holidays!$C$2:$C$1000,"QLD")</f>
        <v/>
      </c>
      <c r="F47">
        <f>COUNTIFS(Holidays!$A$2:$A$1000,"&gt;="&amp;$A47,Holidays!$A$2:$A$1000,"&lt;="&amp;EOMONTH($A47,0),Holidays!$C$2:$C$1000,"SA")</f>
        <v/>
      </c>
      <c r="G47">
        <f>COUNTIFS(Holidays!$A$2:$A$1000,"&gt;="&amp;$A47,Holidays!$A$2:$A$1000,"&lt;="&amp;EOMONTH($A47,0),Holidays!$C$2:$C$1000,"WA")</f>
        <v/>
      </c>
      <c r="H47" s="14">
        <f>($B47-C47+C47*PH_Roster*(1+PH_Loading))/($B47-C47+C47*PH_Roster)</f>
        <v/>
      </c>
      <c r="I47" s="14">
        <f>($B47-D47+D47*PH_Roster*(1+PH_Loading))/($B47-D47+D47*PH_Roster)</f>
        <v/>
      </c>
      <c r="J47" s="14">
        <f>($B47-E47+E47*PH_Roster*(1+PH_Loading))/($B47-E47+E47*PH_Roster)</f>
        <v/>
      </c>
      <c r="K47" s="14">
        <f>($B47-F47+F47*PH_Roster*(1+PH_Loading))/($B47-F47+F47*PH_Roster)</f>
        <v/>
      </c>
      <c r="L47" s="14">
        <f>($B47-G47+G47*PH_Roster*(1+PH_Loading))/($B47-G47+G47*PH_Roster)</f>
        <v/>
      </c>
      <c r="M47" s="14">
        <f>EXP(SUMPRODUCT((WageDates&lt;=$A47)*(WageDates&lt;&gt;"")*LN(1+WageRates)))</f>
        <v/>
      </c>
    </row>
    <row r="48">
      <c r="A48" s="8" t="n">
        <v>46966</v>
      </c>
      <c r="B48">
        <f>DAY(EOMONTH(A48,0))</f>
        <v/>
      </c>
      <c r="C48">
        <f>COUNTIFS(Holidays!$A$2:$A$1000,"&gt;="&amp;$A48,Holidays!$A$2:$A$1000,"&lt;="&amp;EOMONTH($A48,0),Holidays!$C$2:$C$1000,"NSW")</f>
        <v/>
      </c>
      <c r="D48">
        <f>COUNTIFS(Holidays!$A$2:$A$1000,"&gt;="&amp;$A48,Holidays!$A$2:$A$1000,"&lt;="&amp;EOMONTH($A48,0),Holidays!$C$2:$C$1000,"VIC")</f>
        <v/>
      </c>
      <c r="E48">
        <f>COUNTIFS(Holidays!$A$2:$A$1000,"&gt;="&amp;$A48,Holidays!$A$2:$A$1000,"&lt;="&amp;EOMONTH($A48,0),Holidays!$C$2:$C$1000,"QLD")</f>
        <v/>
      </c>
      <c r="F48">
        <f>COUNTIFS(Holidays!$A$2:$A$1000,"&gt;="&amp;$A48,Holidays!$A$2:$A$1000,"&lt;="&amp;EOMONTH($A48,0),Holidays!$C$2:$C$1000,"SA")</f>
        <v/>
      </c>
      <c r="G48">
        <f>COUNTIFS(Holidays!$A$2:$A$1000,"&gt;="&amp;$A48,Holidays!$A$2:$A$1000,"&lt;="&amp;EOMONTH($A48,0),Holidays!$C$2:$C$1000,"WA")</f>
        <v/>
      </c>
      <c r="H48" s="14">
        <f>($B48-C48+C48*PH_Roster*(1+PH_Loading))/($B48-C48+C48*PH_Roster)</f>
        <v/>
      </c>
      <c r="I48" s="14">
        <f>($B48-D48+D48*PH_Roster*(1+PH_Loading))/($B48-D48+D48*PH_Roster)</f>
        <v/>
      </c>
      <c r="J48" s="14">
        <f>($B48-E48+E48*PH_Roster*(1+PH_Loading))/($B48-E48+E48*PH_Roster)</f>
        <v/>
      </c>
      <c r="K48" s="14">
        <f>($B48-F48+F48*PH_Roster*(1+PH_Loading))/($B48-F48+F48*PH_Roster)</f>
        <v/>
      </c>
      <c r="L48" s="14">
        <f>($B48-G48+G48*PH_Roster*(1+PH_Loading))/($B48-G48+G48*PH_Roster)</f>
        <v/>
      </c>
      <c r="M48" s="14">
        <f>EXP(SUMPRODUCT((WageDates&lt;=$A48)*(WageDates&lt;&gt;"")*LN(1+WageRates)))</f>
        <v/>
      </c>
    </row>
    <row r="49">
      <c r="A49" s="8" t="n">
        <v>46997</v>
      </c>
      <c r="B49">
        <f>DAY(EOMONTH(A49,0))</f>
        <v/>
      </c>
      <c r="C49">
        <f>COUNTIFS(Holidays!$A$2:$A$1000,"&gt;="&amp;$A49,Holidays!$A$2:$A$1000,"&lt;="&amp;EOMONTH($A49,0),Holidays!$C$2:$C$1000,"NSW")</f>
        <v/>
      </c>
      <c r="D49">
        <f>COUNTIFS(Holidays!$A$2:$A$1000,"&gt;="&amp;$A49,Holidays!$A$2:$A$1000,"&lt;="&amp;EOMONTH($A49,0),Holidays!$C$2:$C$1000,"VIC")</f>
        <v/>
      </c>
      <c r="E49">
        <f>COUNTIFS(Holidays!$A$2:$A$1000,"&gt;="&amp;$A49,Holidays!$A$2:$A$1000,"&lt;="&amp;EOMONTH($A49,0),Holidays!$C$2:$C$1000,"QLD")</f>
        <v/>
      </c>
      <c r="F49">
        <f>COUNTIFS(Holidays!$A$2:$A$1000,"&gt;="&amp;$A49,Holidays!$A$2:$A$1000,"&lt;="&amp;EOMONTH($A49,0),Holidays!$C$2:$C$1000,"SA")</f>
        <v/>
      </c>
      <c r="G49">
        <f>COUNTIFS(Holidays!$A$2:$A$1000,"&gt;="&amp;$A49,Holidays!$A$2:$A$1000,"&lt;="&amp;EOMONTH($A49,0),Holidays!$C$2:$C$1000,"WA")</f>
        <v/>
      </c>
      <c r="H49" s="14">
        <f>($B49-C49+C49*PH_Roster*(1+PH_Loading))/($B49-C49+C49*PH_Roster)</f>
        <v/>
      </c>
      <c r="I49" s="14">
        <f>($B49-D49+D49*PH_Roster*(1+PH_Loading))/($B49-D49+D49*PH_Roster)</f>
        <v/>
      </c>
      <c r="J49" s="14">
        <f>($B49-E49+E49*PH_Roster*(1+PH_Loading))/($B49-E49+E49*PH_Roster)</f>
        <v/>
      </c>
      <c r="K49" s="14">
        <f>($B49-F49+F49*PH_Roster*(1+PH_Loading))/($B49-F49+F49*PH_Roster)</f>
        <v/>
      </c>
      <c r="L49" s="14">
        <f>($B49-G49+G49*PH_Roster*(1+PH_Loading))/($B49-G49+G49*PH_Roster)</f>
        <v/>
      </c>
      <c r="M49" s="14">
        <f>EXP(SUMPRODUCT((WageDates&lt;=$A49)*(WageDates&lt;&gt;"")*LN(1+WageRates)))</f>
        <v/>
      </c>
    </row>
    <row r="50">
      <c r="A50" s="8" t="n">
        <v>47027</v>
      </c>
      <c r="B50">
        <f>DAY(EOMONTH(A50,0))</f>
        <v/>
      </c>
      <c r="C50">
        <f>COUNTIFS(Holidays!$A$2:$A$1000,"&gt;="&amp;$A50,Holidays!$A$2:$A$1000,"&lt;="&amp;EOMONTH($A50,0),Holidays!$C$2:$C$1000,"NSW")</f>
        <v/>
      </c>
      <c r="D50">
        <f>COUNTIFS(Holidays!$A$2:$A$1000,"&gt;="&amp;$A50,Holidays!$A$2:$A$1000,"&lt;="&amp;EOMONTH($A50,0),Holidays!$C$2:$C$1000,"VIC")</f>
        <v/>
      </c>
      <c r="E50">
        <f>COUNTIFS(Holidays!$A$2:$A$1000,"&gt;="&amp;$A50,Holidays!$A$2:$A$1000,"&lt;="&amp;EOMONTH($A50,0),Holidays!$C$2:$C$1000,"QLD")</f>
        <v/>
      </c>
      <c r="F50">
        <f>COUNTIFS(Holidays!$A$2:$A$1000,"&gt;="&amp;$A50,Holidays!$A$2:$A$1000,"&lt;="&amp;EOMONTH($A50,0),Holidays!$C$2:$C$1000,"SA")</f>
        <v/>
      </c>
      <c r="G50">
        <f>COUNTIFS(Holidays!$A$2:$A$1000,"&gt;="&amp;$A50,Holidays!$A$2:$A$1000,"&lt;="&amp;EOMONTH($A50,0),Holidays!$C$2:$C$1000,"WA")</f>
        <v/>
      </c>
      <c r="H50" s="14">
        <f>($B50-C50+C50*PH_Roster*(1+PH_Loading))/($B50-C50+C50*PH_Roster)</f>
        <v/>
      </c>
      <c r="I50" s="14">
        <f>($B50-D50+D50*PH_Roster*(1+PH_Loading))/($B50-D50+D50*PH_Roster)</f>
        <v/>
      </c>
      <c r="J50" s="14">
        <f>($B50-E50+E50*PH_Roster*(1+PH_Loading))/($B50-E50+E50*PH_Roster)</f>
        <v/>
      </c>
      <c r="K50" s="14">
        <f>($B50-F50+F50*PH_Roster*(1+PH_Loading))/($B50-F50+F50*PH_Roster)</f>
        <v/>
      </c>
      <c r="L50" s="14">
        <f>($B50-G50+G50*PH_Roster*(1+PH_Loading))/($B50-G50+G50*PH_Roster)</f>
        <v/>
      </c>
      <c r="M50" s="14">
        <f>EXP(SUMPRODUCT((WageDates&lt;=$A50)*(WageDates&lt;&gt;"")*LN(1+WageRates)))</f>
        <v/>
      </c>
    </row>
    <row r="51">
      <c r="A51" s="8" t="n">
        <v>47058</v>
      </c>
      <c r="B51">
        <f>DAY(EOMONTH(A51,0))</f>
        <v/>
      </c>
      <c r="C51">
        <f>COUNTIFS(Holidays!$A$2:$A$1000,"&gt;="&amp;$A51,Holidays!$A$2:$A$1000,"&lt;="&amp;EOMONTH($A51,0),Holidays!$C$2:$C$1000,"NSW")</f>
        <v/>
      </c>
      <c r="D51">
        <f>COUNTIFS(Holidays!$A$2:$A$1000,"&gt;="&amp;$A51,Holidays!$A$2:$A$1000,"&lt;="&amp;EOMONTH($A51,0),Holidays!$C$2:$C$1000,"VIC")</f>
        <v/>
      </c>
      <c r="E51">
        <f>COUNTIFS(Holidays!$A$2:$A$1000,"&gt;="&amp;$A51,Holidays!$A$2:$A$1000,"&lt;="&amp;EOMONTH($A51,0),Holidays!$C$2:$C$1000,"QLD")</f>
        <v/>
      </c>
      <c r="F51">
        <f>COUNTIFS(Holidays!$A$2:$A$1000,"&gt;="&amp;$A51,Holidays!$A$2:$A$1000,"&lt;="&amp;EOMONTH($A51,0),Holidays!$C$2:$C$1000,"SA")</f>
        <v/>
      </c>
      <c r="G51">
        <f>COUNTIFS(Holidays!$A$2:$A$1000,"&gt;="&amp;$A51,Holidays!$A$2:$A$1000,"&lt;="&amp;EOMONTH($A51,0),Holidays!$C$2:$C$1000,"WA")</f>
        <v/>
      </c>
      <c r="H51" s="14">
        <f>($B51-C51+C51*PH_Roster*(1+PH_Loading))/($B51-C51+C51*PH_Roster)</f>
        <v/>
      </c>
      <c r="I51" s="14">
        <f>($B51-D51+D51*PH_Roster*(1+PH_Loading))/($B51-D51+D51*PH_Roster)</f>
        <v/>
      </c>
      <c r="J51" s="14">
        <f>($B51-E51+E51*PH_Roster*(1+PH_Loading))/($B51-E51+E51*PH_Roster)</f>
        <v/>
      </c>
      <c r="K51" s="14">
        <f>($B51-F51+F51*PH_Roster*(1+PH_Loading))/($B51-F51+F51*PH_Roster)</f>
        <v/>
      </c>
      <c r="L51" s="14">
        <f>($B51-G51+G51*PH_Roster*(1+PH_Loading))/($B51-G51+G51*PH_Roster)</f>
        <v/>
      </c>
      <c r="M51" s="14">
        <f>EXP(SUMPRODUCT((WageDates&lt;=$A51)*(WageDates&lt;&gt;"")*LN(1+WageRates)))</f>
        <v/>
      </c>
    </row>
    <row r="52">
      <c r="A52" s="8" t="n">
        <v>47088</v>
      </c>
      <c r="B52">
        <f>DAY(EOMONTH(A52,0))</f>
        <v/>
      </c>
      <c r="C52">
        <f>COUNTIFS(Holidays!$A$2:$A$1000,"&gt;="&amp;$A52,Holidays!$A$2:$A$1000,"&lt;="&amp;EOMONTH($A52,0),Holidays!$C$2:$C$1000,"NSW")</f>
        <v/>
      </c>
      <c r="D52">
        <f>COUNTIFS(Holidays!$A$2:$A$1000,"&gt;="&amp;$A52,Holidays!$A$2:$A$1000,"&lt;="&amp;EOMONTH($A52,0),Holidays!$C$2:$C$1000,"VIC")</f>
        <v/>
      </c>
      <c r="E52">
        <f>COUNTIFS(Holidays!$A$2:$A$1000,"&gt;="&amp;$A52,Holidays!$A$2:$A$1000,"&lt;="&amp;EOMONTH($A52,0),Holidays!$C$2:$C$1000,"QLD")</f>
        <v/>
      </c>
      <c r="F52">
        <f>COUNTIFS(Holidays!$A$2:$A$1000,"&gt;="&amp;$A52,Holidays!$A$2:$A$1000,"&lt;="&amp;EOMONTH($A52,0),Holidays!$C$2:$C$1000,"SA")</f>
        <v/>
      </c>
      <c r="G52">
        <f>COUNTIFS(Holidays!$A$2:$A$1000,"&gt;="&amp;$A52,Holidays!$A$2:$A$1000,"&lt;="&amp;EOMONTH($A52,0),Holidays!$C$2:$C$1000,"WA")</f>
        <v/>
      </c>
      <c r="H52" s="14">
        <f>($B52-C52+C52*PH_Roster*(1+PH_Loading))/($B52-C52+C52*PH_Roster)</f>
        <v/>
      </c>
      <c r="I52" s="14">
        <f>($B52-D52+D52*PH_Roster*(1+PH_Loading))/($B52-D52+D52*PH_Roster)</f>
        <v/>
      </c>
      <c r="J52" s="14">
        <f>($B52-E52+E52*PH_Roster*(1+PH_Loading))/($B52-E52+E52*PH_Roster)</f>
        <v/>
      </c>
      <c r="K52" s="14">
        <f>($B52-F52+F52*PH_Roster*(1+PH_Loading))/($B52-F52+F52*PH_Roster)</f>
        <v/>
      </c>
      <c r="L52" s="14">
        <f>($B52-G52+G52*PH_Roster*(1+PH_Loading))/($B52-G52+G52*PH_Roster)</f>
        <v/>
      </c>
      <c r="M52" s="14">
        <f>EXP(SUMPRODUCT((WageDates&lt;=$A52)*(WageDates&lt;&gt;"")*LN(1+WageRates)))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62" customWidth="1" min="1" max="1"/>
    <col width="16" customWidth="1" min="2" max="2"/>
    <col width="16" customWidth="1" min="3" max="3"/>
    <col width="16" customWidth="1" min="4" max="4"/>
  </cols>
  <sheetData>
    <row r="1">
      <c r="A1" s="2" t="inlineStr">
        <is>
          <t>Checks</t>
        </is>
      </c>
    </row>
    <row r="3">
      <c r="A3" t="inlineStr">
        <is>
          <t>Overall</t>
        </is>
      </c>
      <c r="B3" s="1">
        <f>IF(COUNTIF(D6:D80,"ERROR")=0,"ALL CHECKS OK","CHECK ERRORS")</f>
        <v/>
      </c>
      <c r="C3">
        <f>COUNTIF(D6:D80,"WARN")&amp;" warning(s)"</f>
        <v/>
      </c>
    </row>
    <row r="5">
      <c r="A5" s="5" t="inlineStr">
        <is>
          <t>Check</t>
        </is>
      </c>
      <c r="B5" s="5" t="inlineStr">
        <is>
          <t>Value</t>
        </is>
      </c>
      <c r="C5" s="5" t="inlineStr">
        <is>
          <t>Expected</t>
        </is>
      </c>
      <c r="D5" s="5" t="inlineStr">
        <is>
          <t>Result</t>
        </is>
      </c>
    </row>
    <row r="6">
      <c r="A6">
        <f>Inputs!$A$36&amp;": actual rows in Data_Actuals (one per month)"</f>
        <v/>
      </c>
      <c r="B6" s="9">
        <f>COUNTIFS(Data_Actuals!$B$2:$B$5000,Inputs!$A$36,Data_Actuals!$A$2:$A$5000,"&lt;="&amp;LastActual)</f>
        <v/>
      </c>
      <c r="C6" s="9">
        <f>(YEAR(LastActual)-2025)*12+MONTH(LastActual)</f>
        <v/>
      </c>
      <c r="D6">
        <f>IF(ABS(B6-C6)&lt;=MAX(1,ABS(C6)*0.000001),"OK","ERROR")</f>
        <v/>
      </c>
    </row>
    <row r="7">
      <c r="A7">
        <f>Inputs!$A$37&amp;": actual rows in Data_Actuals (one per month)"</f>
        <v/>
      </c>
      <c r="B7" s="9">
        <f>COUNTIFS(Data_Actuals!$B$2:$B$5000,Inputs!$A$37,Data_Actuals!$A$2:$A$5000,"&lt;="&amp;LastActual)</f>
        <v/>
      </c>
      <c r="C7" s="9">
        <f>(YEAR(LastActual)-2025)*12+MONTH(LastActual)</f>
        <v/>
      </c>
      <c r="D7">
        <f>IF(ABS(B7-C7)&lt;=MAX(1,ABS(C7)*0.000001),"OK","ERROR")</f>
        <v/>
      </c>
    </row>
    <row r="8">
      <c r="A8">
        <f>Inputs!$A$38&amp;": actual rows in Data_Actuals (one per month)"</f>
        <v/>
      </c>
      <c r="B8" s="9">
        <f>COUNTIFS(Data_Actuals!$B$2:$B$5000,Inputs!$A$38,Data_Actuals!$A$2:$A$5000,"&lt;="&amp;LastActual)</f>
        <v/>
      </c>
      <c r="C8" s="9">
        <f>(YEAR(LastActual)-2025)*12+MONTH(LastActual)</f>
        <v/>
      </c>
      <c r="D8">
        <f>IF(ABS(B8-C8)&lt;=MAX(1,ABS(C8)*0.000001),"OK","ERROR")</f>
        <v/>
      </c>
    </row>
    <row r="9">
      <c r="A9">
        <f>Inputs!$A$39&amp;": actual rows in Data_Actuals (one per month)"</f>
        <v/>
      </c>
      <c r="B9" s="9">
        <f>COUNTIFS(Data_Actuals!$B$2:$B$5000,Inputs!$A$39,Data_Actuals!$A$2:$A$5000,"&lt;="&amp;LastActual)</f>
        <v/>
      </c>
      <c r="C9" s="9">
        <f>(YEAR(LastActual)-2025)*12+MONTH(LastActual)</f>
        <v/>
      </c>
      <c r="D9">
        <f>IF(ABS(B9-C9)&lt;=MAX(1,ABS(C9)*0.000001),"OK","ERROR")</f>
        <v/>
      </c>
    </row>
    <row r="10">
      <c r="A10">
        <f>Inputs!$A$40&amp;": actual rows in Data_Actuals (one per month)"</f>
        <v/>
      </c>
      <c r="B10" s="9">
        <f>COUNTIFS(Data_Actuals!$B$2:$B$5000,Inputs!$A$40,Data_Actuals!$A$2:$A$5000,"&lt;="&amp;LastActual)</f>
        <v/>
      </c>
      <c r="C10" s="9">
        <f>(YEAR(LastActual)-2025)*12+MONTH(LastActual)</f>
        <v/>
      </c>
      <c r="D10">
        <f>IF(ABS(B10-C10)&lt;=MAX(1,ABS(C10)*0.000001),"OK","ERROR")</f>
        <v/>
      </c>
    </row>
    <row r="11">
      <c r="A11">
        <f>Inputs!$A$41&amp;": actual rows in Data_Actuals (one per month)"</f>
        <v/>
      </c>
      <c r="B11" s="9">
        <f>COUNTIFS(Data_Actuals!$B$2:$B$5000,Inputs!$A$41,Data_Actuals!$A$2:$A$5000,"&lt;="&amp;LastActual)</f>
        <v/>
      </c>
      <c r="C11" s="9">
        <f>(YEAR(LastActual)-2025)*12+MONTH(LastActual)</f>
        <v/>
      </c>
      <c r="D11">
        <f>IF(ABS(B11-C11)&lt;=MAX(1,ABS(C11)*0.000001),"OK","ERROR")</f>
        <v/>
      </c>
    </row>
    <row r="12">
      <c r="A12">
        <f>Inputs!$A$42&amp;": actual rows in Data_Actuals (one per month)"</f>
        <v/>
      </c>
      <c r="B12" s="9">
        <f>COUNTIFS(Data_Actuals!$B$2:$B$5000,Inputs!$A$42,Data_Actuals!$A$2:$A$5000,"&lt;="&amp;LastActual)</f>
        <v/>
      </c>
      <c r="C12" s="9">
        <f>(YEAR(LastActual)-2025)*12+MONTH(LastActual)</f>
        <v/>
      </c>
      <c r="D12">
        <f>IF(ABS(B12-C12)&lt;=MAX(1,ABS(C12)*0.000001),"OK","ERROR")</f>
        <v/>
      </c>
    </row>
    <row r="13">
      <c r="A13">
        <f>Inputs!$A$43&amp;": actual rows in Data_Actuals (one per month)"</f>
        <v/>
      </c>
      <c r="B13" s="9">
        <f>COUNTIFS(Data_Actuals!$B$2:$B$5000,Inputs!$A$43,Data_Actuals!$A$2:$A$5000,"&lt;="&amp;LastActual)</f>
        <v/>
      </c>
      <c r="C13" s="9">
        <f>(YEAR(LastActual)-2025)*12+MONTH(LastActual)</f>
        <v/>
      </c>
      <c r="D13">
        <f>IF(ABS(B13-C13)&lt;=MAX(1,ABS(C13)*0.000001),"OK","ERROR")</f>
        <v/>
      </c>
    </row>
    <row r="14">
      <c r="A14">
        <f>Inputs!$A$44&amp;": actual rows in Data_Actuals (one per month)"</f>
        <v/>
      </c>
      <c r="B14" s="9">
        <f>COUNTIFS(Data_Actuals!$B$2:$B$5000,Inputs!$A$44,Data_Actuals!$A$2:$A$5000,"&lt;="&amp;LastActual)</f>
        <v/>
      </c>
      <c r="C14" s="9">
        <f>(YEAR(LastActual)-2025)*12+MONTH(LastActual)</f>
        <v/>
      </c>
      <c r="D14">
        <f>IF(ABS(B14-C14)&lt;=MAX(1,ABS(C14)*0.000001),"OK","ERROR")</f>
        <v/>
      </c>
    </row>
    <row r="15">
      <c r="A15">
        <f>Inputs!$A$45&amp;": actual rows in Data_Actuals (one per month)"</f>
        <v/>
      </c>
      <c r="B15" s="9">
        <f>COUNTIFS(Data_Actuals!$B$2:$B$5000,Inputs!$A$45,Data_Actuals!$A$2:$A$5000,"&lt;="&amp;LastActual)</f>
        <v/>
      </c>
      <c r="C15" s="9">
        <f>(YEAR(LastActual)-2025)*12+MONTH(LastActual)</f>
        <v/>
      </c>
      <c r="D15">
        <f>IF(ABS(B15-C15)&lt;=MAX(1,ABS(C15)*0.000001),"OK","ERROR")</f>
        <v/>
      </c>
    </row>
    <row r="16">
      <c r="A16">
        <f>Inputs!$A$36&amp;": plan payroll % present for every forecast month"</f>
        <v/>
      </c>
      <c r="B16" s="9">
        <f>COUNTIFS(Plan_Inputs!$B$2:$B$5000,Inputs!$A$36,Plan_Inputs!$A$2:$A$5000,"&gt;"&amp;LastActual,Plan_Inputs!$D$2:$D$5000,"&gt;0")</f>
        <v/>
      </c>
      <c r="C16" s="9">
        <f>(2028-YEAR(LastActual))*12+12-MONTH(LastActual)</f>
        <v/>
      </c>
      <c r="D16">
        <f>IF(ABS(B16-C16)&lt;=MAX(1,ABS(C16)*0.000001),"OK","ERROR")</f>
        <v/>
      </c>
    </row>
    <row r="17">
      <c r="A17">
        <f>Inputs!$A$37&amp;": plan payroll % present for every forecast month"</f>
        <v/>
      </c>
      <c r="B17" s="9">
        <f>COUNTIFS(Plan_Inputs!$B$2:$B$5000,Inputs!$A$37,Plan_Inputs!$A$2:$A$5000,"&gt;"&amp;LastActual,Plan_Inputs!$D$2:$D$5000,"&gt;0")</f>
        <v/>
      </c>
      <c r="C17" s="9">
        <f>(2028-YEAR(LastActual))*12+12-MONTH(LastActual)</f>
        <v/>
      </c>
      <c r="D17">
        <f>IF(ABS(B17-C17)&lt;=MAX(1,ABS(C17)*0.000001),"OK","ERROR")</f>
        <v/>
      </c>
    </row>
    <row r="18">
      <c r="A18">
        <f>Inputs!$A$38&amp;": plan payroll % present for every forecast month"</f>
        <v/>
      </c>
      <c r="B18" s="9">
        <f>COUNTIFS(Plan_Inputs!$B$2:$B$5000,Inputs!$A$38,Plan_Inputs!$A$2:$A$5000,"&gt;"&amp;LastActual,Plan_Inputs!$D$2:$D$5000,"&gt;0")</f>
        <v/>
      </c>
      <c r="C18" s="9">
        <f>(2028-YEAR(LastActual))*12+12-MONTH(LastActual)</f>
        <v/>
      </c>
      <c r="D18">
        <f>IF(ABS(B18-C18)&lt;=MAX(1,ABS(C18)*0.000001),"OK","ERROR")</f>
        <v/>
      </c>
    </row>
    <row r="19">
      <c r="A19">
        <f>Inputs!$A$39&amp;": plan payroll % present for every forecast month"</f>
        <v/>
      </c>
      <c r="B19" s="9">
        <f>COUNTIFS(Plan_Inputs!$B$2:$B$5000,Inputs!$A$39,Plan_Inputs!$A$2:$A$5000,"&gt;"&amp;LastActual,Plan_Inputs!$D$2:$D$5000,"&gt;0")</f>
        <v/>
      </c>
      <c r="C19" s="9">
        <f>(2028-YEAR(LastActual))*12+12-MONTH(LastActual)</f>
        <v/>
      </c>
      <c r="D19">
        <f>IF(ABS(B19-C19)&lt;=MAX(1,ABS(C19)*0.000001),"OK","ERROR")</f>
        <v/>
      </c>
    </row>
    <row r="20">
      <c r="A20">
        <f>Inputs!$A$40&amp;": plan payroll % present for every forecast month"</f>
        <v/>
      </c>
      <c r="B20" s="9">
        <f>COUNTIFS(Plan_Inputs!$B$2:$B$5000,Inputs!$A$40,Plan_Inputs!$A$2:$A$5000,"&gt;"&amp;LastActual,Plan_Inputs!$D$2:$D$5000,"&gt;0")</f>
        <v/>
      </c>
      <c r="C20" s="9">
        <f>(2028-YEAR(LastActual))*12+12-MONTH(LastActual)</f>
        <v/>
      </c>
      <c r="D20">
        <f>IF(ABS(B20-C20)&lt;=MAX(1,ABS(C20)*0.000001),"OK","ERROR")</f>
        <v/>
      </c>
    </row>
    <row r="21">
      <c r="A21">
        <f>Inputs!$A$41&amp;": plan payroll % present for every forecast month"</f>
        <v/>
      </c>
      <c r="B21" s="9">
        <f>COUNTIFS(Plan_Inputs!$B$2:$B$5000,Inputs!$A$41,Plan_Inputs!$A$2:$A$5000,"&gt;"&amp;LastActual,Plan_Inputs!$D$2:$D$5000,"&gt;0")</f>
        <v/>
      </c>
      <c r="C21" s="9">
        <f>(2028-YEAR(LastActual))*12+12-MONTH(LastActual)</f>
        <v/>
      </c>
      <c r="D21">
        <f>IF(ABS(B21-C21)&lt;=MAX(1,ABS(C21)*0.000001),"OK","ERROR")</f>
        <v/>
      </c>
    </row>
    <row r="22">
      <c r="A22">
        <f>Inputs!$A$42&amp;": plan payroll % present for every forecast month"</f>
        <v/>
      </c>
      <c r="B22" s="9">
        <f>COUNTIFS(Plan_Inputs!$B$2:$B$5000,Inputs!$A$42,Plan_Inputs!$A$2:$A$5000,"&gt;"&amp;LastActual,Plan_Inputs!$D$2:$D$5000,"&gt;0")</f>
        <v/>
      </c>
      <c r="C22" s="9">
        <f>(2028-YEAR(LastActual))*12+12-MONTH(LastActual)</f>
        <v/>
      </c>
      <c r="D22">
        <f>IF(ABS(B22-C22)&lt;=MAX(1,ABS(C22)*0.000001),"OK","ERROR")</f>
        <v/>
      </c>
    </row>
    <row r="23">
      <c r="A23">
        <f>Inputs!$A$43&amp;": plan payroll % present for every forecast month"</f>
        <v/>
      </c>
      <c r="B23" s="9">
        <f>COUNTIFS(Plan_Inputs!$B$2:$B$5000,Inputs!$A$43,Plan_Inputs!$A$2:$A$5000,"&gt;"&amp;LastActual,Plan_Inputs!$D$2:$D$5000,"&gt;0")</f>
        <v/>
      </c>
      <c r="C23" s="9">
        <f>(2028-YEAR(LastActual))*12+12-MONTH(LastActual)</f>
        <v/>
      </c>
      <c r="D23">
        <f>IF(ABS(B23-C23)&lt;=MAX(1,ABS(C23)*0.000001),"OK","ERROR")</f>
        <v/>
      </c>
    </row>
    <row r="24">
      <c r="A24">
        <f>Inputs!$A$44&amp;": plan payroll % present for every forecast month"</f>
        <v/>
      </c>
      <c r="B24" s="9">
        <f>COUNTIFS(Plan_Inputs!$B$2:$B$5000,Inputs!$A$44,Plan_Inputs!$A$2:$A$5000,"&gt;"&amp;LastActual,Plan_Inputs!$D$2:$D$5000,"&gt;0")</f>
        <v/>
      </c>
      <c r="C24" s="9">
        <f>(2028-YEAR(LastActual))*12+12-MONTH(LastActual)</f>
        <v/>
      </c>
      <c r="D24">
        <f>IF(ABS(B24-C24)&lt;=MAX(1,ABS(C24)*0.000001),"OK","ERROR")</f>
        <v/>
      </c>
    </row>
    <row r="25">
      <c r="A25">
        <f>Inputs!$A$45&amp;": plan payroll % present for every forecast month"</f>
        <v/>
      </c>
      <c r="B25" s="9">
        <f>COUNTIFS(Plan_Inputs!$B$2:$B$5000,Inputs!$A$45,Plan_Inputs!$A$2:$A$5000,"&gt;"&amp;LastActual,Plan_Inputs!$D$2:$D$5000,"&gt;0")</f>
        <v/>
      </c>
      <c r="C25" s="9">
        <f>(2028-YEAR(LastActual))*12+12-MONTH(LastActual)</f>
        <v/>
      </c>
      <c r="D25">
        <f>IF(ABS(B25-C25)&lt;=MAX(1,ABS(C25)*0.000001),"OK","ERROR")</f>
        <v/>
      </c>
    </row>
    <row r="26">
      <c r="A26" t="inlineStr">
        <is>
          <t>Unknown site codes in Data_Actuals</t>
        </is>
      </c>
      <c r="B26" s="9">
        <f>SUMPRODUCT((Data_Actuals!$B$2:$B$5000&lt;&gt;"")*(COUNTIF(SiteCodes,Data_Actuals!$B$2:$B$5000)=0))</f>
        <v/>
      </c>
      <c r="C26" s="9">
        <f>0</f>
        <v/>
      </c>
      <c r="D26">
        <f>IF(ABS(B26-C26)&lt;=MAX(1,ABS(C26)*0.000001),"OK","ERROR")</f>
        <v/>
      </c>
    </row>
    <row r="27">
      <c r="A27" t="inlineStr">
        <is>
          <t>At least 12 actual months (same month last year needs them)</t>
        </is>
      </c>
      <c r="B27" s="9">
        <f>(YEAR(LastActual)-2025)*12+MONTH(LastActual)</f>
        <v/>
      </c>
      <c r="C27" s="9">
        <f>12</f>
        <v/>
      </c>
      <c r="D27">
        <f>IF(B27&gt;=C27,"OK","ERROR")</f>
        <v/>
      </c>
    </row>
    <row r="28">
      <c r="A28" t="inlineStr">
        <is>
          <t>National sales = sum of 8 regions (IDCs excluded)</t>
        </is>
      </c>
      <c r="B28" s="9">
        <f>SUM(National!E15:E62)</f>
        <v/>
      </c>
      <c r="C28" s="9">
        <f>SUM('NSW-1'!E15:E62)+SUM('VIC-1'!E15:E62)+SUM('QLD-1'!E15:E62)+SUM('NSW-2'!E15:E62)+SUM('VIC-2'!E15:E62)+SUM('QLD-2'!E15:E62)+SUM('SA-1'!E15:E62)+SUM('WA-1'!E15:E62)</f>
        <v/>
      </c>
      <c r="D28">
        <f>IF(ABS(B28-C28)&lt;=MAX(1,ABS(C28)*0.000001),"OK","ERROR")</f>
        <v/>
      </c>
    </row>
    <row r="29">
      <c r="A29" t="inlineStr">
        <is>
          <t>National total payroll = sum of all 10 sites</t>
        </is>
      </c>
      <c r="B29" s="9">
        <f>SUM(National!J15:J62)</f>
        <v/>
      </c>
      <c r="C29" s="9">
        <f>SUM('NSW-1'!J15:J62)+SUM('VIC-1'!J15:J62)+SUM('QLD-1'!J15:J62)+SUM('NSW-2'!J15:J62)+SUM('VIC-2'!J15:J62)+SUM('QLD-2'!J15:J62)+SUM('SA-1'!J15:J62)+SUM('WA-1'!J15:J62)+SUM('IDC-NSW'!J15:J62)+SUM('IDC-VIC'!J15:J62)</f>
        <v/>
      </c>
      <c r="D29">
        <f>IF(ABS(B29-C29)&lt;=MAX(1,ABS(C29)*0.000001),"OK","ERROR")</f>
        <v/>
      </c>
    </row>
    <row r="30">
      <c r="A30" t="inlineStr">
        <is>
          <t>Staff + leadership = total payroll (national, all months)</t>
        </is>
      </c>
      <c r="B30" s="9">
        <f>SUM(National!H15:I62)</f>
        <v/>
      </c>
      <c r="C30" s="9">
        <f>SUM(National!J15:J62)</f>
        <v/>
      </c>
      <c r="D30">
        <f>IF(ABS(B30-C30)&lt;=MAX(1,ABS(C30)*0.000001),"OK","ERROR")</f>
        <v/>
      </c>
    </row>
    <row r="31">
      <c r="A31" t="inlineStr">
        <is>
          <t>Cases_Forecast: adjustments typed in actual months (ignored)</t>
        </is>
      </c>
      <c r="B31" s="9">
        <f>SUMPRODUCT((Cases_Forecast!$B$8:$B$55="Actual")*(Cases_Forecast!$N$8:$W$55&lt;&gt;""))</f>
        <v/>
      </c>
      <c r="C31" s="9">
        <f>0</f>
        <v/>
      </c>
      <c r="D31">
        <f>IF(B31=C31,"OK","WARN")</f>
        <v/>
      </c>
    </row>
    <row r="32">
      <c r="A32" t="inlineStr">
        <is>
          <t>Cases_Forecast: overrides typed in actual months (ignored)</t>
        </is>
      </c>
      <c r="B32" s="9">
        <f>SUMPRODUCT((Cases_Forecast!$B$8:$B$55="Actual")*(Cases_Forecast!$Y$8:$AH$55&lt;&gt;""))</f>
        <v/>
      </c>
      <c r="C32" s="9">
        <f>0</f>
        <v/>
      </c>
      <c r="D32">
        <f>IF(B32=C32,"OK","WARN")</f>
        <v/>
      </c>
    </row>
    <row r="33">
      <c r="A33">
        <f>Inputs!$A$36&amp;": forecast months where CPLH moves more than the tolerance vs LY"</f>
        <v/>
      </c>
      <c r="B33" s="9">
        <f>COUNTIF('NSW-1'!AG15:AG62,"&gt;"&amp;CPLHTol)+COUNTIF('NSW-1'!AG15:AG62,"&lt;"&amp;-CPLHTol)</f>
        <v/>
      </c>
      <c r="C33" s="9">
        <f>0</f>
        <v/>
      </c>
      <c r="D33">
        <f>IF(B33=C33,"OK","WARN")</f>
        <v/>
      </c>
    </row>
    <row r="34">
      <c r="A34">
        <f>Inputs!$A$37&amp;": forecast months where CPLH moves more than the tolerance vs LY"</f>
        <v/>
      </c>
      <c r="B34" s="9">
        <f>COUNTIF('VIC-1'!AG15:AG62,"&gt;"&amp;CPLHTol)+COUNTIF('VIC-1'!AG15:AG62,"&lt;"&amp;-CPLHTol)</f>
        <v/>
      </c>
      <c r="C34" s="9">
        <f>0</f>
        <v/>
      </c>
      <c r="D34">
        <f>IF(B34=C34,"OK","WARN")</f>
        <v/>
      </c>
    </row>
    <row r="35">
      <c r="A35">
        <f>Inputs!$A$38&amp;": forecast months where CPLH moves more than the tolerance vs LY"</f>
        <v/>
      </c>
      <c r="B35" s="9">
        <f>COUNTIF('QLD-1'!AG15:AG62,"&gt;"&amp;CPLHTol)+COUNTIF('QLD-1'!AG15:AG62,"&lt;"&amp;-CPLHTol)</f>
        <v/>
      </c>
      <c r="C35" s="9">
        <f>0</f>
        <v/>
      </c>
      <c r="D35">
        <f>IF(B35=C35,"OK","WARN")</f>
        <v/>
      </c>
    </row>
    <row r="36">
      <c r="A36">
        <f>Inputs!$A$39&amp;": forecast months where CPLH moves more than the tolerance vs LY"</f>
        <v/>
      </c>
      <c r="B36" s="9">
        <f>COUNTIF('NSW-2'!AG15:AG62,"&gt;"&amp;CPLHTol)+COUNTIF('NSW-2'!AG15:AG62,"&lt;"&amp;-CPLHTol)</f>
        <v/>
      </c>
      <c r="C36" s="9">
        <f>0</f>
        <v/>
      </c>
      <c r="D36">
        <f>IF(B36=C36,"OK","WARN")</f>
        <v/>
      </c>
    </row>
    <row r="37">
      <c r="A37">
        <f>Inputs!$A$40&amp;": forecast months where CPLH moves more than the tolerance vs LY"</f>
        <v/>
      </c>
      <c r="B37" s="9">
        <f>COUNTIF('VIC-2'!AG15:AG62,"&gt;"&amp;CPLHTol)+COUNTIF('VIC-2'!AG15:AG62,"&lt;"&amp;-CPLHTol)</f>
        <v/>
      </c>
      <c r="C37" s="9">
        <f>0</f>
        <v/>
      </c>
      <c r="D37">
        <f>IF(B37=C37,"OK","WARN")</f>
        <v/>
      </c>
    </row>
    <row r="38">
      <c r="A38">
        <f>Inputs!$A$41&amp;": forecast months where CPLH moves more than the tolerance vs LY"</f>
        <v/>
      </c>
      <c r="B38" s="9">
        <f>COUNTIF('QLD-2'!AG15:AG62,"&gt;"&amp;CPLHTol)+COUNTIF('QLD-2'!AG15:AG62,"&lt;"&amp;-CPLHTol)</f>
        <v/>
      </c>
      <c r="C38" s="9">
        <f>0</f>
        <v/>
      </c>
      <c r="D38">
        <f>IF(B38=C38,"OK","WARN")</f>
        <v/>
      </c>
    </row>
    <row r="39">
      <c r="A39">
        <f>Inputs!$A$42&amp;": forecast months where CPLH moves more than the tolerance vs LY"</f>
        <v/>
      </c>
      <c r="B39" s="9">
        <f>COUNTIF('SA-1'!AG15:AG62,"&gt;"&amp;CPLHTol)+COUNTIF('SA-1'!AG15:AG62,"&lt;"&amp;-CPLHTol)</f>
        <v/>
      </c>
      <c r="C39" s="9">
        <f>0</f>
        <v/>
      </c>
      <c r="D39">
        <f>IF(B39=C39,"OK","WARN")</f>
        <v/>
      </c>
    </row>
    <row r="40">
      <c r="A40">
        <f>Inputs!$A$43&amp;": forecast months where CPLH moves more than the tolerance vs LY"</f>
        <v/>
      </c>
      <c r="B40" s="9">
        <f>COUNTIF('WA-1'!AG15:AG62,"&gt;"&amp;CPLHTol)+COUNTIF('WA-1'!AG15:AG62,"&lt;"&amp;-CPLHTol)</f>
        <v/>
      </c>
      <c r="C40" s="9">
        <f>0</f>
        <v/>
      </c>
      <c r="D40">
        <f>IF(B40=C40,"OK","WARN")</f>
        <v/>
      </c>
    </row>
    <row r="41">
      <c r="A41">
        <f>Inputs!$A$44&amp;": forecast months where CPLH moves more than the tolerance vs LY"</f>
        <v/>
      </c>
      <c r="B41" s="9">
        <f>COUNTIF('IDC-NSW'!AG15:AG62,"&gt;"&amp;CPLHTol)+COUNTIF('IDC-NSW'!AG15:AG62,"&lt;"&amp;-CPLHTol)</f>
        <v/>
      </c>
      <c r="C41" s="9">
        <f>0</f>
        <v/>
      </c>
      <c r="D41">
        <f>IF(B41=C41,"OK","WARN")</f>
        <v/>
      </c>
    </row>
    <row r="42">
      <c r="A42">
        <f>Inputs!$A$45&amp;": forecast months where CPLH moves more than the tolerance vs LY"</f>
        <v/>
      </c>
      <c r="B42" s="9">
        <f>COUNTIF('IDC-VIC'!AG15:AG62,"&gt;"&amp;CPLHTol)+COUNTIF('IDC-VIC'!AG15:AG62,"&lt;"&amp;-CPLHTol)</f>
        <v/>
      </c>
      <c r="C42" s="9">
        <f>0</f>
        <v/>
      </c>
      <c r="D42">
        <f>IF(B42=C42,"OK","WARN")</f>
        <v/>
      </c>
    </row>
  </sheetData>
  <conditionalFormatting sqref="D6:D80">
    <cfRule type="expression" priority="1" dxfId="1">
      <formula>D6="ERROR"</formula>
    </cfRule>
    <cfRule type="expression" priority="2" dxfId="2">
      <formula>D6="OK"</formula>
    </cfRule>
    <cfRule type="expression" priority="3" dxfId="3">
      <formula>D6="WARN"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0B050"/>
    <outlinePr summaryBelow="1" summaryRight="1"/>
    <pageSetUpPr/>
  </sheetPr>
  <dimension ref="A1:V71"/>
  <sheetViews>
    <sheetView workbookViewId="0">
      <pane xSplit="4" ySplit="14" topLeftCell="E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" customWidth="1" min="2" max="2"/>
    <col width="5" customWidth="1" min="3" max="3"/>
    <col width="9" customWidth="1" min="4" max="4"/>
    <col width="10" customWidth="1" min="5" max="5"/>
    <col width="10" customWidth="1" min="6" max="6"/>
    <col width="11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1" customWidth="1" min="15" max="15"/>
    <col width="3" customWidth="1" min="17" max="17"/>
    <col width="10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>
      <c r="A1" s="2" t="inlineStr">
        <is>
          <t>National  |  8 regions + 2 IDCs  |  sales exclude IDCs</t>
        </is>
      </c>
    </row>
    <row r="2">
      <c r="A2" t="inlineStr">
        <is>
          <t>Model status</t>
        </is>
      </c>
      <c r="B2" s="1">
        <f>Checks!B3</f>
        <v/>
      </c>
    </row>
    <row r="4">
      <c r="R4" s="1" t="inlineStr">
        <is>
          <t>Total payroll ($m)</t>
        </is>
      </c>
    </row>
    <row r="5" ht="45" customHeight="1">
      <c r="A5" s="5" t="inlineStr">
        <is>
          <t>FY</t>
        </is>
      </c>
      <c r="D5" s="5" t="inlineStr">
        <is>
          <t>Status</t>
        </is>
      </c>
      <c r="E5" s="5" t="inlineStr">
        <is>
          <t>Sales</t>
        </is>
      </c>
      <c r="F5" s="5" t="inlineStr">
        <is>
          <t>Cases picked</t>
        </is>
      </c>
      <c r="G5" s="5" t="inlineStr">
        <is>
          <t>WH hours worked</t>
        </is>
      </c>
      <c r="H5" s="5" t="inlineStr">
        <is>
          <t>Staff payroll</t>
        </is>
      </c>
      <c r="I5" s="5" t="inlineStr">
        <is>
          <t>Leadership payroll</t>
        </is>
      </c>
      <c r="J5" s="5" t="inlineStr">
        <is>
          <t>Total payroll</t>
        </is>
      </c>
      <c r="K5" s="5" t="inlineStr">
        <is>
          <t>CPLH (cases / hr)</t>
        </is>
      </c>
      <c r="L5" s="5" t="inlineStr">
        <is>
          <t>Cost per hour (staff)</t>
        </is>
      </c>
      <c r="M5" s="5" t="inlineStr">
        <is>
          <t>Cost per case (total payroll)</t>
        </is>
      </c>
      <c r="N5" s="5" t="inlineStr">
        <is>
          <t>Total payroll % sales</t>
        </is>
      </c>
      <c r="O5" s="5" t="inlineStr">
        <is>
          <t>Leadership % of total payroll</t>
        </is>
      </c>
      <c r="R5" s="5" t="inlineStr">
        <is>
          <t>Site</t>
        </is>
      </c>
      <c r="S5" s="5" t="inlineStr">
        <is>
          <t>FY2025</t>
        </is>
      </c>
      <c r="T5" s="5" t="inlineStr">
        <is>
          <t>FY2026</t>
        </is>
      </c>
      <c r="U5" s="5" t="inlineStr">
        <is>
          <t>FY2027</t>
        </is>
      </c>
      <c r="V5" s="5" t="inlineStr">
        <is>
          <t>FY2028</t>
        </is>
      </c>
    </row>
    <row r="6">
      <c r="A6" s="15" t="n">
        <v>2025</v>
      </c>
      <c r="D6" s="16">
        <f>IF(DATE(A6,12,1)&lt;=LastActual,"Actual",IF(DATE(A6,1,1)&gt;LastActual,"Forecast","Blended"))</f>
        <v/>
      </c>
      <c r="E6" s="17">
        <f>SUMIFS($E$15:$E$62,$B$15:$B$62,$A6)</f>
        <v/>
      </c>
      <c r="F6" s="18">
        <f>SUMIFS($F$15:$F$62,$B$15:$B$62,$A6)</f>
        <v/>
      </c>
      <c r="G6" s="19">
        <f>SUMIFS($G$15:$G$62,$B$15:$B$62,$A6)</f>
        <v/>
      </c>
      <c r="H6" s="17">
        <f>SUMIFS($H$15:$H$62,$B$15:$B$62,$A6)</f>
        <v/>
      </c>
      <c r="I6" s="17">
        <f>SUMIFS($I$15:$I$62,$B$15:$B$62,$A6)</f>
        <v/>
      </c>
      <c r="J6" s="17">
        <f>SUMIFS($J$15:$J$62,$B$15:$B$62,$A6)</f>
        <v/>
      </c>
      <c r="K6" s="20">
        <f>IFERROR(F6/G6,0)</f>
        <v/>
      </c>
      <c r="L6" s="21">
        <f>IFERROR(H6/G6,0)</f>
        <v/>
      </c>
      <c r="M6" s="22">
        <f>IFERROR(J6/F6,0)</f>
        <v/>
      </c>
      <c r="N6" s="23">
        <f>IFERROR(J6/E6,0)</f>
        <v/>
      </c>
      <c r="O6" s="23">
        <f>IFERROR(I6/J6,0)</f>
        <v/>
      </c>
      <c r="R6">
        <f>Inputs!$A$36</f>
        <v/>
      </c>
      <c r="S6" s="24">
        <f>SUMIFS('NSW-1'!$J$15:$J$62,'NSW-1'!$B$15:$B$62,2025)</f>
        <v/>
      </c>
      <c r="T6" s="24">
        <f>SUMIFS('NSW-1'!$J$15:$J$62,'NSW-1'!$B$15:$B$62,2026)</f>
        <v/>
      </c>
      <c r="U6" s="24">
        <f>SUMIFS('NSW-1'!$J$15:$J$62,'NSW-1'!$B$15:$B$62,2027)</f>
        <v/>
      </c>
      <c r="V6" s="24">
        <f>SUMIFS('NSW-1'!$J$15:$J$62,'NSW-1'!$B$15:$B$62,2028)</f>
        <v/>
      </c>
    </row>
    <row r="7">
      <c r="A7" s="15" t="n">
        <v>2026</v>
      </c>
      <c r="D7" s="16">
        <f>IF(DATE(A7,12,1)&lt;=LastActual,"Actual",IF(DATE(A7,1,1)&gt;LastActual,"Forecast","Blended"))</f>
        <v/>
      </c>
      <c r="E7" s="17">
        <f>SUMIFS($E$15:$E$62,$B$15:$B$62,$A7)</f>
        <v/>
      </c>
      <c r="F7" s="18">
        <f>SUMIFS($F$15:$F$62,$B$15:$B$62,$A7)</f>
        <v/>
      </c>
      <c r="G7" s="19">
        <f>SUMIFS($G$15:$G$62,$B$15:$B$62,$A7)</f>
        <v/>
      </c>
      <c r="H7" s="17">
        <f>SUMIFS($H$15:$H$62,$B$15:$B$62,$A7)</f>
        <v/>
      </c>
      <c r="I7" s="17">
        <f>SUMIFS($I$15:$I$62,$B$15:$B$62,$A7)</f>
        <v/>
      </c>
      <c r="J7" s="17">
        <f>SUMIFS($J$15:$J$62,$B$15:$B$62,$A7)</f>
        <v/>
      </c>
      <c r="K7" s="20">
        <f>IFERROR(F7/G7,0)</f>
        <v/>
      </c>
      <c r="L7" s="21">
        <f>IFERROR(H7/G7,0)</f>
        <v/>
      </c>
      <c r="M7" s="22">
        <f>IFERROR(J7/F7,0)</f>
        <v/>
      </c>
      <c r="N7" s="23">
        <f>IFERROR(J7/E7,0)</f>
        <v/>
      </c>
      <c r="O7" s="23">
        <f>IFERROR(I7/J7,0)</f>
        <v/>
      </c>
      <c r="R7">
        <f>Inputs!$A$37</f>
        <v/>
      </c>
      <c r="S7" s="24">
        <f>SUMIFS('VIC-1'!$J$15:$J$62,'VIC-1'!$B$15:$B$62,2025)</f>
        <v/>
      </c>
      <c r="T7" s="24">
        <f>SUMIFS('VIC-1'!$J$15:$J$62,'VIC-1'!$B$15:$B$62,2026)</f>
        <v/>
      </c>
      <c r="U7" s="24">
        <f>SUMIFS('VIC-1'!$J$15:$J$62,'VIC-1'!$B$15:$B$62,2027)</f>
        <v/>
      </c>
      <c r="V7" s="24">
        <f>SUMIFS('VIC-1'!$J$15:$J$62,'VIC-1'!$B$15:$B$62,2028)</f>
        <v/>
      </c>
    </row>
    <row r="8">
      <c r="A8" s="15" t="n">
        <v>2027</v>
      </c>
      <c r="D8" s="16">
        <f>IF(DATE(A8,12,1)&lt;=LastActual,"Actual",IF(DATE(A8,1,1)&gt;LastActual,"Forecast","Blended"))</f>
        <v/>
      </c>
      <c r="E8" s="17">
        <f>SUMIFS($E$15:$E$62,$B$15:$B$62,$A8)</f>
        <v/>
      </c>
      <c r="F8" s="18">
        <f>SUMIFS($F$15:$F$62,$B$15:$B$62,$A8)</f>
        <v/>
      </c>
      <c r="G8" s="19">
        <f>SUMIFS($G$15:$G$62,$B$15:$B$62,$A8)</f>
        <v/>
      </c>
      <c r="H8" s="17">
        <f>SUMIFS($H$15:$H$62,$B$15:$B$62,$A8)</f>
        <v/>
      </c>
      <c r="I8" s="17">
        <f>SUMIFS($I$15:$I$62,$B$15:$B$62,$A8)</f>
        <v/>
      </c>
      <c r="J8" s="17">
        <f>SUMIFS($J$15:$J$62,$B$15:$B$62,$A8)</f>
        <v/>
      </c>
      <c r="K8" s="20">
        <f>IFERROR(F8/G8,0)</f>
        <v/>
      </c>
      <c r="L8" s="21">
        <f>IFERROR(H8/G8,0)</f>
        <v/>
      </c>
      <c r="M8" s="22">
        <f>IFERROR(J8/F8,0)</f>
        <v/>
      </c>
      <c r="N8" s="23">
        <f>IFERROR(J8/E8,0)</f>
        <v/>
      </c>
      <c r="O8" s="23">
        <f>IFERROR(I8/J8,0)</f>
        <v/>
      </c>
      <c r="R8">
        <f>Inputs!$A$38</f>
        <v/>
      </c>
      <c r="S8" s="24">
        <f>SUMIFS('QLD-1'!$J$15:$J$62,'QLD-1'!$B$15:$B$62,2025)</f>
        <v/>
      </c>
      <c r="T8" s="24">
        <f>SUMIFS('QLD-1'!$J$15:$J$62,'QLD-1'!$B$15:$B$62,2026)</f>
        <v/>
      </c>
      <c r="U8" s="24">
        <f>SUMIFS('QLD-1'!$J$15:$J$62,'QLD-1'!$B$15:$B$62,2027)</f>
        <v/>
      </c>
      <c r="V8" s="24">
        <f>SUMIFS('QLD-1'!$J$15:$J$62,'QLD-1'!$B$15:$B$62,2028)</f>
        <v/>
      </c>
    </row>
    <row r="9">
      <c r="A9" s="15" t="n">
        <v>2028</v>
      </c>
      <c r="D9" s="16">
        <f>IF(DATE(A9,12,1)&lt;=LastActual,"Actual",IF(DATE(A9,1,1)&gt;LastActual,"Forecast","Blended"))</f>
        <v/>
      </c>
      <c r="E9" s="17">
        <f>SUMIFS($E$15:$E$62,$B$15:$B$62,$A9)</f>
        <v/>
      </c>
      <c r="F9" s="18">
        <f>SUMIFS($F$15:$F$62,$B$15:$B$62,$A9)</f>
        <v/>
      </c>
      <c r="G9" s="19">
        <f>SUMIFS($G$15:$G$62,$B$15:$B$62,$A9)</f>
        <v/>
      </c>
      <c r="H9" s="17">
        <f>SUMIFS($H$15:$H$62,$B$15:$B$62,$A9)</f>
        <v/>
      </c>
      <c r="I9" s="17">
        <f>SUMIFS($I$15:$I$62,$B$15:$B$62,$A9)</f>
        <v/>
      </c>
      <c r="J9" s="17">
        <f>SUMIFS($J$15:$J$62,$B$15:$B$62,$A9)</f>
        <v/>
      </c>
      <c r="K9" s="20">
        <f>IFERROR(F9/G9,0)</f>
        <v/>
      </c>
      <c r="L9" s="21">
        <f>IFERROR(H9/G9,0)</f>
        <v/>
      </c>
      <c r="M9" s="22">
        <f>IFERROR(J9/F9,0)</f>
        <v/>
      </c>
      <c r="N9" s="23">
        <f>IFERROR(J9/E9,0)</f>
        <v/>
      </c>
      <c r="O9" s="23">
        <f>IFERROR(I9/J9,0)</f>
        <v/>
      </c>
      <c r="R9">
        <f>Inputs!$A$39</f>
        <v/>
      </c>
      <c r="S9" s="24">
        <f>SUMIFS('NSW-2'!$J$15:$J$62,'NSW-2'!$B$15:$B$62,2025)</f>
        <v/>
      </c>
      <c r="T9" s="24">
        <f>SUMIFS('NSW-2'!$J$15:$J$62,'NSW-2'!$B$15:$B$62,2026)</f>
        <v/>
      </c>
      <c r="U9" s="24">
        <f>SUMIFS('NSW-2'!$J$15:$J$62,'NSW-2'!$B$15:$B$62,2027)</f>
        <v/>
      </c>
      <c r="V9" s="24">
        <f>SUMIFS('NSW-2'!$J$15:$J$62,'NSW-2'!$B$15:$B$62,2028)</f>
        <v/>
      </c>
    </row>
    <row r="10">
      <c r="R10">
        <f>Inputs!$A$40</f>
        <v/>
      </c>
      <c r="S10" s="24">
        <f>SUMIFS('VIC-2'!$J$15:$J$62,'VIC-2'!$B$15:$B$62,2025)</f>
        <v/>
      </c>
      <c r="T10" s="24">
        <f>SUMIFS('VIC-2'!$J$15:$J$62,'VIC-2'!$B$15:$B$62,2026)</f>
        <v/>
      </c>
      <c r="U10" s="24">
        <f>SUMIFS('VIC-2'!$J$15:$J$62,'VIC-2'!$B$15:$B$62,2027)</f>
        <v/>
      </c>
      <c r="V10" s="24">
        <f>SUMIFS('VIC-2'!$J$15:$J$62,'VIC-2'!$B$15:$B$62,2028)</f>
        <v/>
      </c>
    </row>
    <row r="11">
      <c r="R11">
        <f>Inputs!$A$41</f>
        <v/>
      </c>
      <c r="S11" s="24">
        <f>SUMIFS('QLD-2'!$J$15:$J$62,'QLD-2'!$B$15:$B$62,2025)</f>
        <v/>
      </c>
      <c r="T11" s="24">
        <f>SUMIFS('QLD-2'!$J$15:$J$62,'QLD-2'!$B$15:$B$62,2026)</f>
        <v/>
      </c>
      <c r="U11" s="24">
        <f>SUMIFS('QLD-2'!$J$15:$J$62,'QLD-2'!$B$15:$B$62,2027)</f>
        <v/>
      </c>
      <c r="V11" s="24">
        <f>SUMIFS('QLD-2'!$J$15:$J$62,'QLD-2'!$B$15:$B$62,2028)</f>
        <v/>
      </c>
    </row>
    <row r="12">
      <c r="E12" s="5" t="inlineStr">
        <is>
          <t>Drivers</t>
        </is>
      </c>
      <c r="K12" s="5" t="inlineStr">
        <is>
          <t>Metrics</t>
        </is>
      </c>
      <c r="R12">
        <f>Inputs!$A$42</f>
        <v/>
      </c>
      <c r="S12" s="24">
        <f>SUMIFS('SA-1'!$J$15:$J$62,'SA-1'!$B$15:$B$62,2025)</f>
        <v/>
      </c>
      <c r="T12" s="24">
        <f>SUMIFS('SA-1'!$J$15:$J$62,'SA-1'!$B$15:$B$62,2026)</f>
        <v/>
      </c>
      <c r="U12" s="24">
        <f>SUMIFS('SA-1'!$J$15:$J$62,'SA-1'!$B$15:$B$62,2027)</f>
        <v/>
      </c>
      <c r="V12" s="24">
        <f>SUMIFS('SA-1'!$J$15:$J$62,'SA-1'!$B$15:$B$62,2028)</f>
        <v/>
      </c>
    </row>
    <row r="13" ht="60" customHeight="1">
      <c r="A13" s="5" t="inlineStr">
        <is>
          <t>Month</t>
        </is>
      </c>
      <c r="B13" s="5" t="inlineStr">
        <is>
          <t>Year</t>
        </is>
      </c>
      <c r="C13" s="5" t="inlineStr">
        <is>
          <t>Mth</t>
        </is>
      </c>
      <c r="D13" s="5" t="inlineStr">
        <is>
          <t>Status</t>
        </is>
      </c>
      <c r="E13" s="5" t="inlineStr">
        <is>
          <t>Sales</t>
        </is>
      </c>
      <c r="F13" s="5" t="inlineStr">
        <is>
          <t>Cases picked</t>
        </is>
      </c>
      <c r="G13" s="5" t="inlineStr">
        <is>
          <t>WH hours worked</t>
        </is>
      </c>
      <c r="H13" s="5" t="inlineStr">
        <is>
          <t>Staff payroll</t>
        </is>
      </c>
      <c r="I13" s="5" t="inlineStr">
        <is>
          <t>Leadership payroll</t>
        </is>
      </c>
      <c r="J13" s="5" t="inlineStr">
        <is>
          <t>Total payroll</t>
        </is>
      </c>
      <c r="K13" s="5" t="inlineStr">
        <is>
          <t>CPLH (cases / hr)</t>
        </is>
      </c>
      <c r="L13" s="5" t="inlineStr">
        <is>
          <t>Cost per hour (staff)</t>
        </is>
      </c>
      <c r="M13" s="5" t="inlineStr">
        <is>
          <t>Cost per case (total payroll)</t>
        </is>
      </c>
      <c r="N13" s="5" t="inlineStr">
        <is>
          <t>Total payroll % sales</t>
        </is>
      </c>
      <c r="O13" s="5" t="inlineStr">
        <is>
          <t>Leadership % of total payroll</t>
        </is>
      </c>
      <c r="R13">
        <f>Inputs!$A$43</f>
        <v/>
      </c>
      <c r="S13" s="24">
        <f>SUMIFS('WA-1'!$J$15:$J$62,'WA-1'!$B$15:$B$62,2025)</f>
        <v/>
      </c>
      <c r="T13" s="24">
        <f>SUMIFS('WA-1'!$J$15:$J$62,'WA-1'!$B$15:$B$62,2026)</f>
        <v/>
      </c>
      <c r="U13" s="24">
        <f>SUMIFS('WA-1'!$J$15:$J$62,'WA-1'!$B$15:$B$62,2027)</f>
        <v/>
      </c>
      <c r="V13" s="24">
        <f>SUMIFS('WA-1'!$J$15:$J$62,'WA-1'!$B$15:$B$62,2028)</f>
        <v/>
      </c>
    </row>
    <row r="14">
      <c r="E14" s="25" t="inlineStr">
        <is>
          <t>$m</t>
        </is>
      </c>
      <c r="F14" s="25" t="inlineStr">
        <is>
          <t>m</t>
        </is>
      </c>
      <c r="G14" s="25" t="inlineStr">
        <is>
          <t>#</t>
        </is>
      </c>
      <c r="H14" s="25" t="inlineStr">
        <is>
          <t>$m</t>
        </is>
      </c>
      <c r="I14" s="25" t="inlineStr">
        <is>
          <t>$m</t>
        </is>
      </c>
      <c r="J14" s="25" t="inlineStr">
        <is>
          <t>$m</t>
        </is>
      </c>
      <c r="K14" s="25" t="inlineStr">
        <is>
          <t>#</t>
        </is>
      </c>
      <c r="L14" s="25" t="inlineStr">
        <is>
          <t>$</t>
        </is>
      </c>
      <c r="M14" s="25" t="inlineStr">
        <is>
          <t>$</t>
        </is>
      </c>
      <c r="N14" s="25" t="inlineStr">
        <is>
          <t>%</t>
        </is>
      </c>
      <c r="O14" s="25" t="inlineStr">
        <is>
          <t>%</t>
        </is>
      </c>
      <c r="R14">
        <f>Inputs!$A$44</f>
        <v/>
      </c>
      <c r="S14" s="24">
        <f>SUMIFS('IDC-NSW'!$J$15:$J$62,'IDC-NSW'!$B$15:$B$62,2025)</f>
        <v/>
      </c>
      <c r="T14" s="24">
        <f>SUMIFS('IDC-NSW'!$J$15:$J$62,'IDC-NSW'!$B$15:$B$62,2026)</f>
        <v/>
      </c>
      <c r="U14" s="24">
        <f>SUMIFS('IDC-NSW'!$J$15:$J$62,'IDC-NSW'!$B$15:$B$62,2027)</f>
        <v/>
      </c>
      <c r="V14" s="24">
        <f>SUMIFS('IDC-NSW'!$J$15:$J$62,'IDC-NSW'!$B$15:$B$62,2028)</f>
        <v/>
      </c>
    </row>
    <row r="15">
      <c r="A15" s="8" t="n">
        <v>45658</v>
      </c>
      <c r="B15" s="26">
        <f>YEAR(A15)</f>
        <v/>
      </c>
      <c r="C15" s="26">
        <f>MONTH(A15)</f>
        <v/>
      </c>
      <c r="D15">
        <f>IF(A15&lt;=LastActual,"Actual","Forecast")</f>
        <v/>
      </c>
      <c r="E15" s="24">
        <f>'NSW-1'!E15+'VIC-1'!E15+'QLD-1'!E15+'NSW-2'!E15+'VIC-2'!E15+'QLD-2'!E15+'SA-1'!E15+'WA-1'!E15</f>
        <v/>
      </c>
      <c r="F15" s="27">
        <f>'NSW-1'!F15+'VIC-1'!F15+'QLD-1'!F15+'NSW-2'!F15+'VIC-2'!F15+'QLD-2'!F15+'SA-1'!F15+'WA-1'!F15+'IDC-NSW'!F15+'IDC-VIC'!F15</f>
        <v/>
      </c>
      <c r="G15" s="9">
        <f>'NSW-1'!G15+'VIC-1'!G15+'QLD-1'!G15+'NSW-2'!G15+'VIC-2'!G15+'QLD-2'!G15+'SA-1'!G15+'WA-1'!G15+'IDC-NSW'!G15+'IDC-VIC'!G15</f>
        <v/>
      </c>
      <c r="H15" s="24">
        <f>'NSW-1'!H15+'VIC-1'!H15+'QLD-1'!H15+'NSW-2'!H15+'VIC-2'!H15+'QLD-2'!H15+'SA-1'!H15+'WA-1'!H15+'IDC-NSW'!H15+'IDC-VIC'!H15</f>
        <v/>
      </c>
      <c r="I15" s="24">
        <f>'NSW-1'!I15+'VIC-1'!I15+'QLD-1'!I15+'NSW-2'!I15+'VIC-2'!I15+'QLD-2'!I15+'SA-1'!I15+'WA-1'!I15+'IDC-NSW'!I15+'IDC-VIC'!I15</f>
        <v/>
      </c>
      <c r="J15" s="24">
        <f>'NSW-1'!J15+'VIC-1'!J15+'QLD-1'!J15+'NSW-2'!J15+'VIC-2'!J15+'QLD-2'!J15+'SA-1'!J15+'WA-1'!J15+'IDC-NSW'!J15+'IDC-VIC'!J15</f>
        <v/>
      </c>
      <c r="K15" s="28">
        <f>IFERROR(F15/G15,0)</f>
        <v/>
      </c>
      <c r="L15" s="29">
        <f>IFERROR(H15/G15,0)</f>
        <v/>
      </c>
      <c r="M15" s="30">
        <f>IFERROR(J15/F15,0)</f>
        <v/>
      </c>
      <c r="N15" s="10">
        <f>IFERROR(J15/E15,0)</f>
        <v/>
      </c>
      <c r="O15" s="10">
        <f>IFERROR(I15/J15,0)</f>
        <v/>
      </c>
      <c r="R15">
        <f>Inputs!$A$45</f>
        <v/>
      </c>
      <c r="S15" s="24">
        <f>SUMIFS('IDC-VIC'!$J$15:$J$62,'IDC-VIC'!$B$15:$B$62,2025)</f>
        <v/>
      </c>
      <c r="T15" s="24">
        <f>SUMIFS('IDC-VIC'!$J$15:$J$62,'IDC-VIC'!$B$15:$B$62,2026)</f>
        <v/>
      </c>
      <c r="U15" s="24">
        <f>SUMIFS('IDC-VIC'!$J$15:$J$62,'IDC-VIC'!$B$15:$B$62,2027)</f>
        <v/>
      </c>
      <c r="V15" s="24">
        <f>SUMIFS('IDC-VIC'!$J$15:$J$62,'IDC-VIC'!$B$15:$B$62,2028)</f>
        <v/>
      </c>
    </row>
    <row r="16">
      <c r="A16" s="8" t="n">
        <v>45689</v>
      </c>
      <c r="B16" s="26">
        <f>YEAR(A16)</f>
        <v/>
      </c>
      <c r="C16" s="26">
        <f>MONTH(A16)</f>
        <v/>
      </c>
      <c r="D16">
        <f>IF(A16&lt;=LastActual,"Actual","Forecast")</f>
        <v/>
      </c>
      <c r="E16" s="24">
        <f>'NSW-1'!E16+'VIC-1'!E16+'QLD-1'!E16+'NSW-2'!E16+'VIC-2'!E16+'QLD-2'!E16+'SA-1'!E16+'WA-1'!E16</f>
        <v/>
      </c>
      <c r="F16" s="27">
        <f>'NSW-1'!F16+'VIC-1'!F16+'QLD-1'!F16+'NSW-2'!F16+'VIC-2'!F16+'QLD-2'!F16+'SA-1'!F16+'WA-1'!F16+'IDC-NSW'!F16+'IDC-VIC'!F16</f>
        <v/>
      </c>
      <c r="G16" s="9">
        <f>'NSW-1'!G16+'VIC-1'!G16+'QLD-1'!G16+'NSW-2'!G16+'VIC-2'!G16+'QLD-2'!G16+'SA-1'!G16+'WA-1'!G16+'IDC-NSW'!G16+'IDC-VIC'!G16</f>
        <v/>
      </c>
      <c r="H16" s="24">
        <f>'NSW-1'!H16+'VIC-1'!H16+'QLD-1'!H16+'NSW-2'!H16+'VIC-2'!H16+'QLD-2'!H16+'SA-1'!H16+'WA-1'!H16+'IDC-NSW'!H16+'IDC-VIC'!H16</f>
        <v/>
      </c>
      <c r="I16" s="24">
        <f>'NSW-1'!I16+'VIC-1'!I16+'QLD-1'!I16+'NSW-2'!I16+'VIC-2'!I16+'QLD-2'!I16+'SA-1'!I16+'WA-1'!I16+'IDC-NSW'!I16+'IDC-VIC'!I16</f>
        <v/>
      </c>
      <c r="J16" s="24">
        <f>'NSW-1'!J16+'VIC-1'!J16+'QLD-1'!J16+'NSW-2'!J16+'VIC-2'!J16+'QLD-2'!J16+'SA-1'!J16+'WA-1'!J16+'IDC-NSW'!J16+'IDC-VIC'!J16</f>
        <v/>
      </c>
      <c r="K16" s="28">
        <f>IFERROR(F16/G16,0)</f>
        <v/>
      </c>
      <c r="L16" s="29">
        <f>IFERROR(H16/G16,0)</f>
        <v/>
      </c>
      <c r="M16" s="30">
        <f>IFERROR(J16/F16,0)</f>
        <v/>
      </c>
      <c r="N16" s="10">
        <f>IFERROR(J16/E16,0)</f>
        <v/>
      </c>
      <c r="O16" s="10">
        <f>IFERROR(I16/J16,0)</f>
        <v/>
      </c>
    </row>
    <row r="17">
      <c r="A17" s="8" t="n">
        <v>45717</v>
      </c>
      <c r="B17" s="26">
        <f>YEAR(A17)</f>
        <v/>
      </c>
      <c r="C17" s="26">
        <f>MONTH(A17)</f>
        <v/>
      </c>
      <c r="D17">
        <f>IF(A17&lt;=LastActual,"Actual","Forecast")</f>
        <v/>
      </c>
      <c r="E17" s="24">
        <f>'NSW-1'!E17+'VIC-1'!E17+'QLD-1'!E17+'NSW-2'!E17+'VIC-2'!E17+'QLD-2'!E17+'SA-1'!E17+'WA-1'!E17</f>
        <v/>
      </c>
      <c r="F17" s="27">
        <f>'NSW-1'!F17+'VIC-1'!F17+'QLD-1'!F17+'NSW-2'!F17+'VIC-2'!F17+'QLD-2'!F17+'SA-1'!F17+'WA-1'!F17+'IDC-NSW'!F17+'IDC-VIC'!F17</f>
        <v/>
      </c>
      <c r="G17" s="9">
        <f>'NSW-1'!G17+'VIC-1'!G17+'QLD-1'!G17+'NSW-2'!G17+'VIC-2'!G17+'QLD-2'!G17+'SA-1'!G17+'WA-1'!G17+'IDC-NSW'!G17+'IDC-VIC'!G17</f>
        <v/>
      </c>
      <c r="H17" s="24">
        <f>'NSW-1'!H17+'VIC-1'!H17+'QLD-1'!H17+'NSW-2'!H17+'VIC-2'!H17+'QLD-2'!H17+'SA-1'!H17+'WA-1'!H17+'IDC-NSW'!H17+'IDC-VIC'!H17</f>
        <v/>
      </c>
      <c r="I17" s="24">
        <f>'NSW-1'!I17+'VIC-1'!I17+'QLD-1'!I17+'NSW-2'!I17+'VIC-2'!I17+'QLD-2'!I17+'SA-1'!I17+'WA-1'!I17+'IDC-NSW'!I17+'IDC-VIC'!I17</f>
        <v/>
      </c>
      <c r="J17" s="24">
        <f>'NSW-1'!J17+'VIC-1'!J17+'QLD-1'!J17+'NSW-2'!J17+'VIC-2'!J17+'QLD-2'!J17+'SA-1'!J17+'WA-1'!J17+'IDC-NSW'!J17+'IDC-VIC'!J17</f>
        <v/>
      </c>
      <c r="K17" s="28">
        <f>IFERROR(F17/G17,0)</f>
        <v/>
      </c>
      <c r="L17" s="29">
        <f>IFERROR(H17/G17,0)</f>
        <v/>
      </c>
      <c r="M17" s="30">
        <f>IFERROR(J17/F17,0)</f>
        <v/>
      </c>
      <c r="N17" s="10">
        <f>IFERROR(J17/E17,0)</f>
        <v/>
      </c>
      <c r="O17" s="10">
        <f>IFERROR(I17/J17,0)</f>
        <v/>
      </c>
    </row>
    <row r="18">
      <c r="A18" s="8" t="n">
        <v>45748</v>
      </c>
      <c r="B18" s="26">
        <f>YEAR(A18)</f>
        <v/>
      </c>
      <c r="C18" s="26">
        <f>MONTH(A18)</f>
        <v/>
      </c>
      <c r="D18">
        <f>IF(A18&lt;=LastActual,"Actual","Forecast")</f>
        <v/>
      </c>
      <c r="E18" s="24">
        <f>'NSW-1'!E18+'VIC-1'!E18+'QLD-1'!E18+'NSW-2'!E18+'VIC-2'!E18+'QLD-2'!E18+'SA-1'!E18+'WA-1'!E18</f>
        <v/>
      </c>
      <c r="F18" s="27">
        <f>'NSW-1'!F18+'VIC-1'!F18+'QLD-1'!F18+'NSW-2'!F18+'VIC-2'!F18+'QLD-2'!F18+'SA-1'!F18+'WA-1'!F18+'IDC-NSW'!F18+'IDC-VIC'!F18</f>
        <v/>
      </c>
      <c r="G18" s="9">
        <f>'NSW-1'!G18+'VIC-1'!G18+'QLD-1'!G18+'NSW-2'!G18+'VIC-2'!G18+'QLD-2'!G18+'SA-1'!G18+'WA-1'!G18+'IDC-NSW'!G18+'IDC-VIC'!G18</f>
        <v/>
      </c>
      <c r="H18" s="24">
        <f>'NSW-1'!H18+'VIC-1'!H18+'QLD-1'!H18+'NSW-2'!H18+'VIC-2'!H18+'QLD-2'!H18+'SA-1'!H18+'WA-1'!H18+'IDC-NSW'!H18+'IDC-VIC'!H18</f>
        <v/>
      </c>
      <c r="I18" s="24">
        <f>'NSW-1'!I18+'VIC-1'!I18+'QLD-1'!I18+'NSW-2'!I18+'VIC-2'!I18+'QLD-2'!I18+'SA-1'!I18+'WA-1'!I18+'IDC-NSW'!I18+'IDC-VIC'!I18</f>
        <v/>
      </c>
      <c r="J18" s="24">
        <f>'NSW-1'!J18+'VIC-1'!J18+'QLD-1'!J18+'NSW-2'!J18+'VIC-2'!J18+'QLD-2'!J18+'SA-1'!J18+'WA-1'!J18+'IDC-NSW'!J18+'IDC-VIC'!J18</f>
        <v/>
      </c>
      <c r="K18" s="28">
        <f>IFERROR(F18/G18,0)</f>
        <v/>
      </c>
      <c r="L18" s="29">
        <f>IFERROR(H18/G18,0)</f>
        <v/>
      </c>
      <c r="M18" s="30">
        <f>IFERROR(J18/F18,0)</f>
        <v/>
      </c>
      <c r="N18" s="10">
        <f>IFERROR(J18/E18,0)</f>
        <v/>
      </c>
      <c r="O18" s="10">
        <f>IFERROR(I18/J18,0)</f>
        <v/>
      </c>
      <c r="R18" s="1" t="inlineStr">
        <is>
          <t>Cases picked (m)</t>
        </is>
      </c>
    </row>
    <row r="19">
      <c r="A19" s="8" t="n">
        <v>45778</v>
      </c>
      <c r="B19" s="26">
        <f>YEAR(A19)</f>
        <v/>
      </c>
      <c r="C19" s="26">
        <f>MONTH(A19)</f>
        <v/>
      </c>
      <c r="D19">
        <f>IF(A19&lt;=LastActual,"Actual","Forecast")</f>
        <v/>
      </c>
      <c r="E19" s="24">
        <f>'NSW-1'!E19+'VIC-1'!E19+'QLD-1'!E19+'NSW-2'!E19+'VIC-2'!E19+'QLD-2'!E19+'SA-1'!E19+'WA-1'!E19</f>
        <v/>
      </c>
      <c r="F19" s="27">
        <f>'NSW-1'!F19+'VIC-1'!F19+'QLD-1'!F19+'NSW-2'!F19+'VIC-2'!F19+'QLD-2'!F19+'SA-1'!F19+'WA-1'!F19+'IDC-NSW'!F19+'IDC-VIC'!F19</f>
        <v/>
      </c>
      <c r="G19" s="9">
        <f>'NSW-1'!G19+'VIC-1'!G19+'QLD-1'!G19+'NSW-2'!G19+'VIC-2'!G19+'QLD-2'!G19+'SA-1'!G19+'WA-1'!G19+'IDC-NSW'!G19+'IDC-VIC'!G19</f>
        <v/>
      </c>
      <c r="H19" s="24">
        <f>'NSW-1'!H19+'VIC-1'!H19+'QLD-1'!H19+'NSW-2'!H19+'VIC-2'!H19+'QLD-2'!H19+'SA-1'!H19+'WA-1'!H19+'IDC-NSW'!H19+'IDC-VIC'!H19</f>
        <v/>
      </c>
      <c r="I19" s="24">
        <f>'NSW-1'!I19+'VIC-1'!I19+'QLD-1'!I19+'NSW-2'!I19+'VIC-2'!I19+'QLD-2'!I19+'SA-1'!I19+'WA-1'!I19+'IDC-NSW'!I19+'IDC-VIC'!I19</f>
        <v/>
      </c>
      <c r="J19" s="24">
        <f>'NSW-1'!J19+'VIC-1'!J19+'QLD-1'!J19+'NSW-2'!J19+'VIC-2'!J19+'QLD-2'!J19+'SA-1'!J19+'WA-1'!J19+'IDC-NSW'!J19+'IDC-VIC'!J19</f>
        <v/>
      </c>
      <c r="K19" s="28">
        <f>IFERROR(F19/G19,0)</f>
        <v/>
      </c>
      <c r="L19" s="29">
        <f>IFERROR(H19/G19,0)</f>
        <v/>
      </c>
      <c r="M19" s="30">
        <f>IFERROR(J19/F19,0)</f>
        <v/>
      </c>
      <c r="N19" s="10">
        <f>IFERROR(J19/E19,0)</f>
        <v/>
      </c>
      <c r="O19" s="10">
        <f>IFERROR(I19/J19,0)</f>
        <v/>
      </c>
      <c r="R19" s="5" t="inlineStr">
        <is>
          <t>Site</t>
        </is>
      </c>
      <c r="S19" s="5" t="inlineStr">
        <is>
          <t>FY2025</t>
        </is>
      </c>
      <c r="T19" s="5" t="inlineStr">
        <is>
          <t>FY2026</t>
        </is>
      </c>
      <c r="U19" s="5" t="inlineStr">
        <is>
          <t>FY2027</t>
        </is>
      </c>
      <c r="V19" s="5" t="inlineStr">
        <is>
          <t>FY2028</t>
        </is>
      </c>
    </row>
    <row r="20">
      <c r="A20" s="8" t="n">
        <v>45809</v>
      </c>
      <c r="B20" s="26">
        <f>YEAR(A20)</f>
        <v/>
      </c>
      <c r="C20" s="26">
        <f>MONTH(A20)</f>
        <v/>
      </c>
      <c r="D20">
        <f>IF(A20&lt;=LastActual,"Actual","Forecast")</f>
        <v/>
      </c>
      <c r="E20" s="24">
        <f>'NSW-1'!E20+'VIC-1'!E20+'QLD-1'!E20+'NSW-2'!E20+'VIC-2'!E20+'QLD-2'!E20+'SA-1'!E20+'WA-1'!E20</f>
        <v/>
      </c>
      <c r="F20" s="27">
        <f>'NSW-1'!F20+'VIC-1'!F20+'QLD-1'!F20+'NSW-2'!F20+'VIC-2'!F20+'QLD-2'!F20+'SA-1'!F20+'WA-1'!F20+'IDC-NSW'!F20+'IDC-VIC'!F20</f>
        <v/>
      </c>
      <c r="G20" s="9">
        <f>'NSW-1'!G20+'VIC-1'!G20+'QLD-1'!G20+'NSW-2'!G20+'VIC-2'!G20+'QLD-2'!G20+'SA-1'!G20+'WA-1'!G20+'IDC-NSW'!G20+'IDC-VIC'!G20</f>
        <v/>
      </c>
      <c r="H20" s="24">
        <f>'NSW-1'!H20+'VIC-1'!H20+'QLD-1'!H20+'NSW-2'!H20+'VIC-2'!H20+'QLD-2'!H20+'SA-1'!H20+'WA-1'!H20+'IDC-NSW'!H20+'IDC-VIC'!H20</f>
        <v/>
      </c>
      <c r="I20" s="24">
        <f>'NSW-1'!I20+'VIC-1'!I20+'QLD-1'!I20+'NSW-2'!I20+'VIC-2'!I20+'QLD-2'!I20+'SA-1'!I20+'WA-1'!I20+'IDC-NSW'!I20+'IDC-VIC'!I20</f>
        <v/>
      </c>
      <c r="J20" s="24">
        <f>'NSW-1'!J20+'VIC-1'!J20+'QLD-1'!J20+'NSW-2'!J20+'VIC-2'!J20+'QLD-2'!J20+'SA-1'!J20+'WA-1'!J20+'IDC-NSW'!J20+'IDC-VIC'!J20</f>
        <v/>
      </c>
      <c r="K20" s="28">
        <f>IFERROR(F20/G20,0)</f>
        <v/>
      </c>
      <c r="L20" s="29">
        <f>IFERROR(H20/G20,0)</f>
        <v/>
      </c>
      <c r="M20" s="30">
        <f>IFERROR(J20/F20,0)</f>
        <v/>
      </c>
      <c r="N20" s="10">
        <f>IFERROR(J20/E20,0)</f>
        <v/>
      </c>
      <c r="O20" s="10">
        <f>IFERROR(I20/J20,0)</f>
        <v/>
      </c>
      <c r="R20">
        <f>Inputs!$A$36</f>
        <v/>
      </c>
      <c r="S20" s="27">
        <f>SUMIFS('NSW-1'!$F$15:$F$62,'NSW-1'!$B$15:$B$62,2025)</f>
        <v/>
      </c>
      <c r="T20" s="27">
        <f>SUMIFS('NSW-1'!$F$15:$F$62,'NSW-1'!$B$15:$B$62,2026)</f>
        <v/>
      </c>
      <c r="U20" s="27">
        <f>SUMIFS('NSW-1'!$F$15:$F$62,'NSW-1'!$B$15:$B$62,2027)</f>
        <v/>
      </c>
      <c r="V20" s="27">
        <f>SUMIFS('NSW-1'!$F$15:$F$62,'NSW-1'!$B$15:$B$62,2028)</f>
        <v/>
      </c>
    </row>
    <row r="21">
      <c r="A21" s="8" t="n">
        <v>45839</v>
      </c>
      <c r="B21" s="26">
        <f>YEAR(A21)</f>
        <v/>
      </c>
      <c r="C21" s="26">
        <f>MONTH(A21)</f>
        <v/>
      </c>
      <c r="D21">
        <f>IF(A21&lt;=LastActual,"Actual","Forecast")</f>
        <v/>
      </c>
      <c r="E21" s="24">
        <f>'NSW-1'!E21+'VIC-1'!E21+'QLD-1'!E21+'NSW-2'!E21+'VIC-2'!E21+'QLD-2'!E21+'SA-1'!E21+'WA-1'!E21</f>
        <v/>
      </c>
      <c r="F21" s="27">
        <f>'NSW-1'!F21+'VIC-1'!F21+'QLD-1'!F21+'NSW-2'!F21+'VIC-2'!F21+'QLD-2'!F21+'SA-1'!F21+'WA-1'!F21+'IDC-NSW'!F21+'IDC-VIC'!F21</f>
        <v/>
      </c>
      <c r="G21" s="9">
        <f>'NSW-1'!G21+'VIC-1'!G21+'QLD-1'!G21+'NSW-2'!G21+'VIC-2'!G21+'QLD-2'!G21+'SA-1'!G21+'WA-1'!G21+'IDC-NSW'!G21+'IDC-VIC'!G21</f>
        <v/>
      </c>
      <c r="H21" s="24">
        <f>'NSW-1'!H21+'VIC-1'!H21+'QLD-1'!H21+'NSW-2'!H21+'VIC-2'!H21+'QLD-2'!H21+'SA-1'!H21+'WA-1'!H21+'IDC-NSW'!H21+'IDC-VIC'!H21</f>
        <v/>
      </c>
      <c r="I21" s="24">
        <f>'NSW-1'!I21+'VIC-1'!I21+'QLD-1'!I21+'NSW-2'!I21+'VIC-2'!I21+'QLD-2'!I21+'SA-1'!I21+'WA-1'!I21+'IDC-NSW'!I21+'IDC-VIC'!I21</f>
        <v/>
      </c>
      <c r="J21" s="24">
        <f>'NSW-1'!J21+'VIC-1'!J21+'QLD-1'!J21+'NSW-2'!J21+'VIC-2'!J21+'QLD-2'!J21+'SA-1'!J21+'WA-1'!J21+'IDC-NSW'!J21+'IDC-VIC'!J21</f>
        <v/>
      </c>
      <c r="K21" s="28">
        <f>IFERROR(F21/G21,0)</f>
        <v/>
      </c>
      <c r="L21" s="29">
        <f>IFERROR(H21/G21,0)</f>
        <v/>
      </c>
      <c r="M21" s="30">
        <f>IFERROR(J21/F21,0)</f>
        <v/>
      </c>
      <c r="N21" s="10">
        <f>IFERROR(J21/E21,0)</f>
        <v/>
      </c>
      <c r="O21" s="10">
        <f>IFERROR(I21/J21,0)</f>
        <v/>
      </c>
      <c r="R21">
        <f>Inputs!$A$37</f>
        <v/>
      </c>
      <c r="S21" s="27">
        <f>SUMIFS('VIC-1'!$F$15:$F$62,'VIC-1'!$B$15:$B$62,2025)</f>
        <v/>
      </c>
      <c r="T21" s="27">
        <f>SUMIFS('VIC-1'!$F$15:$F$62,'VIC-1'!$B$15:$B$62,2026)</f>
        <v/>
      </c>
      <c r="U21" s="27">
        <f>SUMIFS('VIC-1'!$F$15:$F$62,'VIC-1'!$B$15:$B$62,2027)</f>
        <v/>
      </c>
      <c r="V21" s="27">
        <f>SUMIFS('VIC-1'!$F$15:$F$62,'VIC-1'!$B$15:$B$62,2028)</f>
        <v/>
      </c>
    </row>
    <row r="22">
      <c r="A22" s="8" t="n">
        <v>45870</v>
      </c>
      <c r="B22" s="26">
        <f>YEAR(A22)</f>
        <v/>
      </c>
      <c r="C22" s="26">
        <f>MONTH(A22)</f>
        <v/>
      </c>
      <c r="D22">
        <f>IF(A22&lt;=LastActual,"Actual","Forecast")</f>
        <v/>
      </c>
      <c r="E22" s="24">
        <f>'NSW-1'!E22+'VIC-1'!E22+'QLD-1'!E22+'NSW-2'!E22+'VIC-2'!E22+'QLD-2'!E22+'SA-1'!E22+'WA-1'!E22</f>
        <v/>
      </c>
      <c r="F22" s="27">
        <f>'NSW-1'!F22+'VIC-1'!F22+'QLD-1'!F22+'NSW-2'!F22+'VIC-2'!F22+'QLD-2'!F22+'SA-1'!F22+'WA-1'!F22+'IDC-NSW'!F22+'IDC-VIC'!F22</f>
        <v/>
      </c>
      <c r="G22" s="9">
        <f>'NSW-1'!G22+'VIC-1'!G22+'QLD-1'!G22+'NSW-2'!G22+'VIC-2'!G22+'QLD-2'!G22+'SA-1'!G22+'WA-1'!G22+'IDC-NSW'!G22+'IDC-VIC'!G22</f>
        <v/>
      </c>
      <c r="H22" s="24">
        <f>'NSW-1'!H22+'VIC-1'!H22+'QLD-1'!H22+'NSW-2'!H22+'VIC-2'!H22+'QLD-2'!H22+'SA-1'!H22+'WA-1'!H22+'IDC-NSW'!H22+'IDC-VIC'!H22</f>
        <v/>
      </c>
      <c r="I22" s="24">
        <f>'NSW-1'!I22+'VIC-1'!I22+'QLD-1'!I22+'NSW-2'!I22+'VIC-2'!I22+'QLD-2'!I22+'SA-1'!I22+'WA-1'!I22+'IDC-NSW'!I22+'IDC-VIC'!I22</f>
        <v/>
      </c>
      <c r="J22" s="24">
        <f>'NSW-1'!J22+'VIC-1'!J22+'QLD-1'!J22+'NSW-2'!J22+'VIC-2'!J22+'QLD-2'!J22+'SA-1'!J22+'WA-1'!J22+'IDC-NSW'!J22+'IDC-VIC'!J22</f>
        <v/>
      </c>
      <c r="K22" s="28">
        <f>IFERROR(F22/G22,0)</f>
        <v/>
      </c>
      <c r="L22" s="29">
        <f>IFERROR(H22/G22,0)</f>
        <v/>
      </c>
      <c r="M22" s="30">
        <f>IFERROR(J22/F22,0)</f>
        <v/>
      </c>
      <c r="N22" s="10">
        <f>IFERROR(J22/E22,0)</f>
        <v/>
      </c>
      <c r="O22" s="10">
        <f>IFERROR(I22/J22,0)</f>
        <v/>
      </c>
      <c r="R22">
        <f>Inputs!$A$38</f>
        <v/>
      </c>
      <c r="S22" s="27">
        <f>SUMIFS('QLD-1'!$F$15:$F$62,'QLD-1'!$B$15:$B$62,2025)</f>
        <v/>
      </c>
      <c r="T22" s="27">
        <f>SUMIFS('QLD-1'!$F$15:$F$62,'QLD-1'!$B$15:$B$62,2026)</f>
        <v/>
      </c>
      <c r="U22" s="27">
        <f>SUMIFS('QLD-1'!$F$15:$F$62,'QLD-1'!$B$15:$B$62,2027)</f>
        <v/>
      </c>
      <c r="V22" s="27">
        <f>SUMIFS('QLD-1'!$F$15:$F$62,'QLD-1'!$B$15:$B$62,2028)</f>
        <v/>
      </c>
    </row>
    <row r="23">
      <c r="A23" s="8" t="n">
        <v>45901</v>
      </c>
      <c r="B23" s="26">
        <f>YEAR(A23)</f>
        <v/>
      </c>
      <c r="C23" s="26">
        <f>MONTH(A23)</f>
        <v/>
      </c>
      <c r="D23">
        <f>IF(A23&lt;=LastActual,"Actual","Forecast")</f>
        <v/>
      </c>
      <c r="E23" s="24">
        <f>'NSW-1'!E23+'VIC-1'!E23+'QLD-1'!E23+'NSW-2'!E23+'VIC-2'!E23+'QLD-2'!E23+'SA-1'!E23+'WA-1'!E23</f>
        <v/>
      </c>
      <c r="F23" s="27">
        <f>'NSW-1'!F23+'VIC-1'!F23+'QLD-1'!F23+'NSW-2'!F23+'VIC-2'!F23+'QLD-2'!F23+'SA-1'!F23+'WA-1'!F23+'IDC-NSW'!F23+'IDC-VIC'!F23</f>
        <v/>
      </c>
      <c r="G23" s="9">
        <f>'NSW-1'!G23+'VIC-1'!G23+'QLD-1'!G23+'NSW-2'!G23+'VIC-2'!G23+'QLD-2'!G23+'SA-1'!G23+'WA-1'!G23+'IDC-NSW'!G23+'IDC-VIC'!G23</f>
        <v/>
      </c>
      <c r="H23" s="24">
        <f>'NSW-1'!H23+'VIC-1'!H23+'QLD-1'!H23+'NSW-2'!H23+'VIC-2'!H23+'QLD-2'!H23+'SA-1'!H23+'WA-1'!H23+'IDC-NSW'!H23+'IDC-VIC'!H23</f>
        <v/>
      </c>
      <c r="I23" s="24">
        <f>'NSW-1'!I23+'VIC-1'!I23+'QLD-1'!I23+'NSW-2'!I23+'VIC-2'!I23+'QLD-2'!I23+'SA-1'!I23+'WA-1'!I23+'IDC-NSW'!I23+'IDC-VIC'!I23</f>
        <v/>
      </c>
      <c r="J23" s="24">
        <f>'NSW-1'!J23+'VIC-1'!J23+'QLD-1'!J23+'NSW-2'!J23+'VIC-2'!J23+'QLD-2'!J23+'SA-1'!J23+'WA-1'!J23+'IDC-NSW'!J23+'IDC-VIC'!J23</f>
        <v/>
      </c>
      <c r="K23" s="28">
        <f>IFERROR(F23/G23,0)</f>
        <v/>
      </c>
      <c r="L23" s="29">
        <f>IFERROR(H23/G23,0)</f>
        <v/>
      </c>
      <c r="M23" s="30">
        <f>IFERROR(J23/F23,0)</f>
        <v/>
      </c>
      <c r="N23" s="10">
        <f>IFERROR(J23/E23,0)</f>
        <v/>
      </c>
      <c r="O23" s="10">
        <f>IFERROR(I23/J23,0)</f>
        <v/>
      </c>
      <c r="R23">
        <f>Inputs!$A$39</f>
        <v/>
      </c>
      <c r="S23" s="27">
        <f>SUMIFS('NSW-2'!$F$15:$F$62,'NSW-2'!$B$15:$B$62,2025)</f>
        <v/>
      </c>
      <c r="T23" s="27">
        <f>SUMIFS('NSW-2'!$F$15:$F$62,'NSW-2'!$B$15:$B$62,2026)</f>
        <v/>
      </c>
      <c r="U23" s="27">
        <f>SUMIFS('NSW-2'!$F$15:$F$62,'NSW-2'!$B$15:$B$62,2027)</f>
        <v/>
      </c>
      <c r="V23" s="27">
        <f>SUMIFS('NSW-2'!$F$15:$F$62,'NSW-2'!$B$15:$B$62,2028)</f>
        <v/>
      </c>
    </row>
    <row r="24">
      <c r="A24" s="8" t="n">
        <v>45931</v>
      </c>
      <c r="B24" s="26">
        <f>YEAR(A24)</f>
        <v/>
      </c>
      <c r="C24" s="26">
        <f>MONTH(A24)</f>
        <v/>
      </c>
      <c r="D24">
        <f>IF(A24&lt;=LastActual,"Actual","Forecast")</f>
        <v/>
      </c>
      <c r="E24" s="24">
        <f>'NSW-1'!E24+'VIC-1'!E24+'QLD-1'!E24+'NSW-2'!E24+'VIC-2'!E24+'QLD-2'!E24+'SA-1'!E24+'WA-1'!E24</f>
        <v/>
      </c>
      <c r="F24" s="27">
        <f>'NSW-1'!F24+'VIC-1'!F24+'QLD-1'!F24+'NSW-2'!F24+'VIC-2'!F24+'QLD-2'!F24+'SA-1'!F24+'WA-1'!F24+'IDC-NSW'!F24+'IDC-VIC'!F24</f>
        <v/>
      </c>
      <c r="G24" s="9">
        <f>'NSW-1'!G24+'VIC-1'!G24+'QLD-1'!G24+'NSW-2'!G24+'VIC-2'!G24+'QLD-2'!G24+'SA-1'!G24+'WA-1'!G24+'IDC-NSW'!G24+'IDC-VIC'!G24</f>
        <v/>
      </c>
      <c r="H24" s="24">
        <f>'NSW-1'!H24+'VIC-1'!H24+'QLD-1'!H24+'NSW-2'!H24+'VIC-2'!H24+'QLD-2'!H24+'SA-1'!H24+'WA-1'!H24+'IDC-NSW'!H24+'IDC-VIC'!H24</f>
        <v/>
      </c>
      <c r="I24" s="24">
        <f>'NSW-1'!I24+'VIC-1'!I24+'QLD-1'!I24+'NSW-2'!I24+'VIC-2'!I24+'QLD-2'!I24+'SA-1'!I24+'WA-1'!I24+'IDC-NSW'!I24+'IDC-VIC'!I24</f>
        <v/>
      </c>
      <c r="J24" s="24">
        <f>'NSW-1'!J24+'VIC-1'!J24+'QLD-1'!J24+'NSW-2'!J24+'VIC-2'!J24+'QLD-2'!J24+'SA-1'!J24+'WA-1'!J24+'IDC-NSW'!J24+'IDC-VIC'!J24</f>
        <v/>
      </c>
      <c r="K24" s="28">
        <f>IFERROR(F24/G24,0)</f>
        <v/>
      </c>
      <c r="L24" s="29">
        <f>IFERROR(H24/G24,0)</f>
        <v/>
      </c>
      <c r="M24" s="30">
        <f>IFERROR(J24/F24,0)</f>
        <v/>
      </c>
      <c r="N24" s="10">
        <f>IFERROR(J24/E24,0)</f>
        <v/>
      </c>
      <c r="O24" s="10">
        <f>IFERROR(I24/J24,0)</f>
        <v/>
      </c>
      <c r="R24">
        <f>Inputs!$A$40</f>
        <v/>
      </c>
      <c r="S24" s="27">
        <f>SUMIFS('VIC-2'!$F$15:$F$62,'VIC-2'!$B$15:$B$62,2025)</f>
        <v/>
      </c>
      <c r="T24" s="27">
        <f>SUMIFS('VIC-2'!$F$15:$F$62,'VIC-2'!$B$15:$B$62,2026)</f>
        <v/>
      </c>
      <c r="U24" s="27">
        <f>SUMIFS('VIC-2'!$F$15:$F$62,'VIC-2'!$B$15:$B$62,2027)</f>
        <v/>
      </c>
      <c r="V24" s="27">
        <f>SUMIFS('VIC-2'!$F$15:$F$62,'VIC-2'!$B$15:$B$62,2028)</f>
        <v/>
      </c>
    </row>
    <row r="25">
      <c r="A25" s="8" t="n">
        <v>45962</v>
      </c>
      <c r="B25" s="26">
        <f>YEAR(A25)</f>
        <v/>
      </c>
      <c r="C25" s="26">
        <f>MONTH(A25)</f>
        <v/>
      </c>
      <c r="D25">
        <f>IF(A25&lt;=LastActual,"Actual","Forecast")</f>
        <v/>
      </c>
      <c r="E25" s="24">
        <f>'NSW-1'!E25+'VIC-1'!E25+'QLD-1'!E25+'NSW-2'!E25+'VIC-2'!E25+'QLD-2'!E25+'SA-1'!E25+'WA-1'!E25</f>
        <v/>
      </c>
      <c r="F25" s="27">
        <f>'NSW-1'!F25+'VIC-1'!F25+'QLD-1'!F25+'NSW-2'!F25+'VIC-2'!F25+'QLD-2'!F25+'SA-1'!F25+'WA-1'!F25+'IDC-NSW'!F25+'IDC-VIC'!F25</f>
        <v/>
      </c>
      <c r="G25" s="9">
        <f>'NSW-1'!G25+'VIC-1'!G25+'QLD-1'!G25+'NSW-2'!G25+'VIC-2'!G25+'QLD-2'!G25+'SA-1'!G25+'WA-1'!G25+'IDC-NSW'!G25+'IDC-VIC'!G25</f>
        <v/>
      </c>
      <c r="H25" s="24">
        <f>'NSW-1'!H25+'VIC-1'!H25+'QLD-1'!H25+'NSW-2'!H25+'VIC-2'!H25+'QLD-2'!H25+'SA-1'!H25+'WA-1'!H25+'IDC-NSW'!H25+'IDC-VIC'!H25</f>
        <v/>
      </c>
      <c r="I25" s="24">
        <f>'NSW-1'!I25+'VIC-1'!I25+'QLD-1'!I25+'NSW-2'!I25+'VIC-2'!I25+'QLD-2'!I25+'SA-1'!I25+'WA-1'!I25+'IDC-NSW'!I25+'IDC-VIC'!I25</f>
        <v/>
      </c>
      <c r="J25" s="24">
        <f>'NSW-1'!J25+'VIC-1'!J25+'QLD-1'!J25+'NSW-2'!J25+'VIC-2'!J25+'QLD-2'!J25+'SA-1'!J25+'WA-1'!J25+'IDC-NSW'!J25+'IDC-VIC'!J25</f>
        <v/>
      </c>
      <c r="K25" s="28">
        <f>IFERROR(F25/G25,0)</f>
        <v/>
      </c>
      <c r="L25" s="29">
        <f>IFERROR(H25/G25,0)</f>
        <v/>
      </c>
      <c r="M25" s="30">
        <f>IFERROR(J25/F25,0)</f>
        <v/>
      </c>
      <c r="N25" s="10">
        <f>IFERROR(J25/E25,0)</f>
        <v/>
      </c>
      <c r="O25" s="10">
        <f>IFERROR(I25/J25,0)</f>
        <v/>
      </c>
      <c r="R25">
        <f>Inputs!$A$41</f>
        <v/>
      </c>
      <c r="S25" s="27">
        <f>SUMIFS('QLD-2'!$F$15:$F$62,'QLD-2'!$B$15:$B$62,2025)</f>
        <v/>
      </c>
      <c r="T25" s="27">
        <f>SUMIFS('QLD-2'!$F$15:$F$62,'QLD-2'!$B$15:$B$62,2026)</f>
        <v/>
      </c>
      <c r="U25" s="27">
        <f>SUMIFS('QLD-2'!$F$15:$F$62,'QLD-2'!$B$15:$B$62,2027)</f>
        <v/>
      </c>
      <c r="V25" s="27">
        <f>SUMIFS('QLD-2'!$F$15:$F$62,'QLD-2'!$B$15:$B$62,2028)</f>
        <v/>
      </c>
    </row>
    <row r="26">
      <c r="A26" s="31" t="n">
        <v>45992</v>
      </c>
      <c r="B26" s="32">
        <f>YEAR(A26)</f>
        <v/>
      </c>
      <c r="C26" s="32">
        <f>MONTH(A26)</f>
        <v/>
      </c>
      <c r="D26" s="33">
        <f>IF(A26&lt;=LastActual,"Actual","Forecast")</f>
        <v/>
      </c>
      <c r="E26" s="34">
        <f>'NSW-1'!E26+'VIC-1'!E26+'QLD-1'!E26+'NSW-2'!E26+'VIC-2'!E26+'QLD-2'!E26+'SA-1'!E26+'WA-1'!E26</f>
        <v/>
      </c>
      <c r="F26" s="35">
        <f>'NSW-1'!F26+'VIC-1'!F26+'QLD-1'!F26+'NSW-2'!F26+'VIC-2'!F26+'QLD-2'!F26+'SA-1'!F26+'WA-1'!F26+'IDC-NSW'!F26+'IDC-VIC'!F26</f>
        <v/>
      </c>
      <c r="G26" s="36">
        <f>'NSW-1'!G26+'VIC-1'!G26+'QLD-1'!G26+'NSW-2'!G26+'VIC-2'!G26+'QLD-2'!G26+'SA-1'!G26+'WA-1'!G26+'IDC-NSW'!G26+'IDC-VIC'!G26</f>
        <v/>
      </c>
      <c r="H26" s="34">
        <f>'NSW-1'!H26+'VIC-1'!H26+'QLD-1'!H26+'NSW-2'!H26+'VIC-2'!H26+'QLD-2'!H26+'SA-1'!H26+'WA-1'!H26+'IDC-NSW'!H26+'IDC-VIC'!H26</f>
        <v/>
      </c>
      <c r="I26" s="34">
        <f>'NSW-1'!I26+'VIC-1'!I26+'QLD-1'!I26+'NSW-2'!I26+'VIC-2'!I26+'QLD-2'!I26+'SA-1'!I26+'WA-1'!I26+'IDC-NSW'!I26+'IDC-VIC'!I26</f>
        <v/>
      </c>
      <c r="J26" s="34">
        <f>'NSW-1'!J26+'VIC-1'!J26+'QLD-1'!J26+'NSW-2'!J26+'VIC-2'!J26+'QLD-2'!J26+'SA-1'!J26+'WA-1'!J26+'IDC-NSW'!J26+'IDC-VIC'!J26</f>
        <v/>
      </c>
      <c r="K26" s="37">
        <f>IFERROR(F26/G26,0)</f>
        <v/>
      </c>
      <c r="L26" s="38">
        <f>IFERROR(H26/G26,0)</f>
        <v/>
      </c>
      <c r="M26" s="39">
        <f>IFERROR(J26/F26,0)</f>
        <v/>
      </c>
      <c r="N26" s="40">
        <f>IFERROR(J26/E26,0)</f>
        <v/>
      </c>
      <c r="O26" s="40">
        <f>IFERROR(I26/J26,0)</f>
        <v/>
      </c>
      <c r="R26">
        <f>Inputs!$A$42</f>
        <v/>
      </c>
      <c r="S26" s="27">
        <f>SUMIFS('SA-1'!$F$15:$F$62,'SA-1'!$B$15:$B$62,2025)</f>
        <v/>
      </c>
      <c r="T26" s="27">
        <f>SUMIFS('SA-1'!$F$15:$F$62,'SA-1'!$B$15:$B$62,2026)</f>
        <v/>
      </c>
      <c r="U26" s="27">
        <f>SUMIFS('SA-1'!$F$15:$F$62,'SA-1'!$B$15:$B$62,2027)</f>
        <v/>
      </c>
      <c r="V26" s="27">
        <f>SUMIFS('SA-1'!$F$15:$F$62,'SA-1'!$B$15:$B$62,2028)</f>
        <v/>
      </c>
    </row>
    <row r="27">
      <c r="A27" s="8" t="n">
        <v>46023</v>
      </c>
      <c r="B27" s="26">
        <f>YEAR(A27)</f>
        <v/>
      </c>
      <c r="C27" s="26">
        <f>MONTH(A27)</f>
        <v/>
      </c>
      <c r="D27">
        <f>IF(A27&lt;=LastActual,"Actual","Forecast")</f>
        <v/>
      </c>
      <c r="E27" s="24">
        <f>'NSW-1'!E27+'VIC-1'!E27+'QLD-1'!E27+'NSW-2'!E27+'VIC-2'!E27+'QLD-2'!E27+'SA-1'!E27+'WA-1'!E27</f>
        <v/>
      </c>
      <c r="F27" s="27">
        <f>'NSW-1'!F27+'VIC-1'!F27+'QLD-1'!F27+'NSW-2'!F27+'VIC-2'!F27+'QLD-2'!F27+'SA-1'!F27+'WA-1'!F27+'IDC-NSW'!F27+'IDC-VIC'!F27</f>
        <v/>
      </c>
      <c r="G27" s="9">
        <f>'NSW-1'!G27+'VIC-1'!G27+'QLD-1'!G27+'NSW-2'!G27+'VIC-2'!G27+'QLD-2'!G27+'SA-1'!G27+'WA-1'!G27+'IDC-NSW'!G27+'IDC-VIC'!G27</f>
        <v/>
      </c>
      <c r="H27" s="24">
        <f>'NSW-1'!H27+'VIC-1'!H27+'QLD-1'!H27+'NSW-2'!H27+'VIC-2'!H27+'QLD-2'!H27+'SA-1'!H27+'WA-1'!H27+'IDC-NSW'!H27+'IDC-VIC'!H27</f>
        <v/>
      </c>
      <c r="I27" s="24">
        <f>'NSW-1'!I27+'VIC-1'!I27+'QLD-1'!I27+'NSW-2'!I27+'VIC-2'!I27+'QLD-2'!I27+'SA-1'!I27+'WA-1'!I27+'IDC-NSW'!I27+'IDC-VIC'!I27</f>
        <v/>
      </c>
      <c r="J27" s="24">
        <f>'NSW-1'!J27+'VIC-1'!J27+'QLD-1'!J27+'NSW-2'!J27+'VIC-2'!J27+'QLD-2'!J27+'SA-1'!J27+'WA-1'!J27+'IDC-NSW'!J27+'IDC-VIC'!J27</f>
        <v/>
      </c>
      <c r="K27" s="28">
        <f>IFERROR(F27/G27,0)</f>
        <v/>
      </c>
      <c r="L27" s="29">
        <f>IFERROR(H27/G27,0)</f>
        <v/>
      </c>
      <c r="M27" s="30">
        <f>IFERROR(J27/F27,0)</f>
        <v/>
      </c>
      <c r="N27" s="10">
        <f>IFERROR(J27/E27,0)</f>
        <v/>
      </c>
      <c r="O27" s="10">
        <f>IFERROR(I27/J27,0)</f>
        <v/>
      </c>
      <c r="R27">
        <f>Inputs!$A$43</f>
        <v/>
      </c>
      <c r="S27" s="27">
        <f>SUMIFS('WA-1'!$F$15:$F$62,'WA-1'!$B$15:$B$62,2025)</f>
        <v/>
      </c>
      <c r="T27" s="27">
        <f>SUMIFS('WA-1'!$F$15:$F$62,'WA-1'!$B$15:$B$62,2026)</f>
        <v/>
      </c>
      <c r="U27" s="27">
        <f>SUMIFS('WA-1'!$F$15:$F$62,'WA-1'!$B$15:$B$62,2027)</f>
        <v/>
      </c>
      <c r="V27" s="27">
        <f>SUMIFS('WA-1'!$F$15:$F$62,'WA-1'!$B$15:$B$62,2028)</f>
        <v/>
      </c>
    </row>
    <row r="28">
      <c r="A28" s="8" t="n">
        <v>46054</v>
      </c>
      <c r="B28" s="26">
        <f>YEAR(A28)</f>
        <v/>
      </c>
      <c r="C28" s="26">
        <f>MONTH(A28)</f>
        <v/>
      </c>
      <c r="D28">
        <f>IF(A28&lt;=LastActual,"Actual","Forecast")</f>
        <v/>
      </c>
      <c r="E28" s="24">
        <f>'NSW-1'!E28+'VIC-1'!E28+'QLD-1'!E28+'NSW-2'!E28+'VIC-2'!E28+'QLD-2'!E28+'SA-1'!E28+'WA-1'!E28</f>
        <v/>
      </c>
      <c r="F28" s="27">
        <f>'NSW-1'!F28+'VIC-1'!F28+'QLD-1'!F28+'NSW-2'!F28+'VIC-2'!F28+'QLD-2'!F28+'SA-1'!F28+'WA-1'!F28+'IDC-NSW'!F28+'IDC-VIC'!F28</f>
        <v/>
      </c>
      <c r="G28" s="9">
        <f>'NSW-1'!G28+'VIC-1'!G28+'QLD-1'!G28+'NSW-2'!G28+'VIC-2'!G28+'QLD-2'!G28+'SA-1'!G28+'WA-1'!G28+'IDC-NSW'!G28+'IDC-VIC'!G28</f>
        <v/>
      </c>
      <c r="H28" s="24">
        <f>'NSW-1'!H28+'VIC-1'!H28+'QLD-1'!H28+'NSW-2'!H28+'VIC-2'!H28+'QLD-2'!H28+'SA-1'!H28+'WA-1'!H28+'IDC-NSW'!H28+'IDC-VIC'!H28</f>
        <v/>
      </c>
      <c r="I28" s="24">
        <f>'NSW-1'!I28+'VIC-1'!I28+'QLD-1'!I28+'NSW-2'!I28+'VIC-2'!I28+'QLD-2'!I28+'SA-1'!I28+'WA-1'!I28+'IDC-NSW'!I28+'IDC-VIC'!I28</f>
        <v/>
      </c>
      <c r="J28" s="24">
        <f>'NSW-1'!J28+'VIC-1'!J28+'QLD-1'!J28+'NSW-2'!J28+'VIC-2'!J28+'QLD-2'!J28+'SA-1'!J28+'WA-1'!J28+'IDC-NSW'!J28+'IDC-VIC'!J28</f>
        <v/>
      </c>
      <c r="K28" s="28">
        <f>IFERROR(F28/G28,0)</f>
        <v/>
      </c>
      <c r="L28" s="29">
        <f>IFERROR(H28/G28,0)</f>
        <v/>
      </c>
      <c r="M28" s="30">
        <f>IFERROR(J28/F28,0)</f>
        <v/>
      </c>
      <c r="N28" s="10">
        <f>IFERROR(J28/E28,0)</f>
        <v/>
      </c>
      <c r="O28" s="10">
        <f>IFERROR(I28/J28,0)</f>
        <v/>
      </c>
      <c r="R28">
        <f>Inputs!$A$44</f>
        <v/>
      </c>
      <c r="S28" s="27">
        <f>SUMIFS('IDC-NSW'!$F$15:$F$62,'IDC-NSW'!$B$15:$B$62,2025)</f>
        <v/>
      </c>
      <c r="T28" s="27">
        <f>SUMIFS('IDC-NSW'!$F$15:$F$62,'IDC-NSW'!$B$15:$B$62,2026)</f>
        <v/>
      </c>
      <c r="U28" s="27">
        <f>SUMIFS('IDC-NSW'!$F$15:$F$62,'IDC-NSW'!$B$15:$B$62,2027)</f>
        <v/>
      </c>
      <c r="V28" s="27">
        <f>SUMIFS('IDC-NSW'!$F$15:$F$62,'IDC-NSW'!$B$15:$B$62,2028)</f>
        <v/>
      </c>
    </row>
    <row r="29">
      <c r="A29" s="8" t="n">
        <v>46082</v>
      </c>
      <c r="B29" s="26">
        <f>YEAR(A29)</f>
        <v/>
      </c>
      <c r="C29" s="26">
        <f>MONTH(A29)</f>
        <v/>
      </c>
      <c r="D29">
        <f>IF(A29&lt;=LastActual,"Actual","Forecast")</f>
        <v/>
      </c>
      <c r="E29" s="24">
        <f>'NSW-1'!E29+'VIC-1'!E29+'QLD-1'!E29+'NSW-2'!E29+'VIC-2'!E29+'QLD-2'!E29+'SA-1'!E29+'WA-1'!E29</f>
        <v/>
      </c>
      <c r="F29" s="27">
        <f>'NSW-1'!F29+'VIC-1'!F29+'QLD-1'!F29+'NSW-2'!F29+'VIC-2'!F29+'QLD-2'!F29+'SA-1'!F29+'WA-1'!F29+'IDC-NSW'!F29+'IDC-VIC'!F29</f>
        <v/>
      </c>
      <c r="G29" s="9">
        <f>'NSW-1'!G29+'VIC-1'!G29+'QLD-1'!G29+'NSW-2'!G29+'VIC-2'!G29+'QLD-2'!G29+'SA-1'!G29+'WA-1'!G29+'IDC-NSW'!G29+'IDC-VIC'!G29</f>
        <v/>
      </c>
      <c r="H29" s="24">
        <f>'NSW-1'!H29+'VIC-1'!H29+'QLD-1'!H29+'NSW-2'!H29+'VIC-2'!H29+'QLD-2'!H29+'SA-1'!H29+'WA-1'!H29+'IDC-NSW'!H29+'IDC-VIC'!H29</f>
        <v/>
      </c>
      <c r="I29" s="24">
        <f>'NSW-1'!I29+'VIC-1'!I29+'QLD-1'!I29+'NSW-2'!I29+'VIC-2'!I29+'QLD-2'!I29+'SA-1'!I29+'WA-1'!I29+'IDC-NSW'!I29+'IDC-VIC'!I29</f>
        <v/>
      </c>
      <c r="J29" s="24">
        <f>'NSW-1'!J29+'VIC-1'!J29+'QLD-1'!J29+'NSW-2'!J29+'VIC-2'!J29+'QLD-2'!J29+'SA-1'!J29+'WA-1'!J29+'IDC-NSW'!J29+'IDC-VIC'!J29</f>
        <v/>
      </c>
      <c r="K29" s="28">
        <f>IFERROR(F29/G29,0)</f>
        <v/>
      </c>
      <c r="L29" s="29">
        <f>IFERROR(H29/G29,0)</f>
        <v/>
      </c>
      <c r="M29" s="30">
        <f>IFERROR(J29/F29,0)</f>
        <v/>
      </c>
      <c r="N29" s="10">
        <f>IFERROR(J29/E29,0)</f>
        <v/>
      </c>
      <c r="O29" s="10">
        <f>IFERROR(I29/J29,0)</f>
        <v/>
      </c>
      <c r="R29">
        <f>Inputs!$A$45</f>
        <v/>
      </c>
      <c r="S29" s="27">
        <f>SUMIFS('IDC-VIC'!$F$15:$F$62,'IDC-VIC'!$B$15:$B$62,2025)</f>
        <v/>
      </c>
      <c r="T29" s="27">
        <f>SUMIFS('IDC-VIC'!$F$15:$F$62,'IDC-VIC'!$B$15:$B$62,2026)</f>
        <v/>
      </c>
      <c r="U29" s="27">
        <f>SUMIFS('IDC-VIC'!$F$15:$F$62,'IDC-VIC'!$B$15:$B$62,2027)</f>
        <v/>
      </c>
      <c r="V29" s="27">
        <f>SUMIFS('IDC-VIC'!$F$15:$F$62,'IDC-VIC'!$B$15:$B$62,2028)</f>
        <v/>
      </c>
    </row>
    <row r="30">
      <c r="A30" s="8" t="n">
        <v>46113</v>
      </c>
      <c r="B30" s="26">
        <f>YEAR(A30)</f>
        <v/>
      </c>
      <c r="C30" s="26">
        <f>MONTH(A30)</f>
        <v/>
      </c>
      <c r="D30">
        <f>IF(A30&lt;=LastActual,"Actual","Forecast")</f>
        <v/>
      </c>
      <c r="E30" s="24">
        <f>'NSW-1'!E30+'VIC-1'!E30+'QLD-1'!E30+'NSW-2'!E30+'VIC-2'!E30+'QLD-2'!E30+'SA-1'!E30+'WA-1'!E30</f>
        <v/>
      </c>
      <c r="F30" s="27">
        <f>'NSW-1'!F30+'VIC-1'!F30+'QLD-1'!F30+'NSW-2'!F30+'VIC-2'!F30+'QLD-2'!F30+'SA-1'!F30+'WA-1'!F30+'IDC-NSW'!F30+'IDC-VIC'!F30</f>
        <v/>
      </c>
      <c r="G30" s="9">
        <f>'NSW-1'!G30+'VIC-1'!G30+'QLD-1'!G30+'NSW-2'!G30+'VIC-2'!G30+'QLD-2'!G30+'SA-1'!G30+'WA-1'!G30+'IDC-NSW'!G30+'IDC-VIC'!G30</f>
        <v/>
      </c>
      <c r="H30" s="24">
        <f>'NSW-1'!H30+'VIC-1'!H30+'QLD-1'!H30+'NSW-2'!H30+'VIC-2'!H30+'QLD-2'!H30+'SA-1'!H30+'WA-1'!H30+'IDC-NSW'!H30+'IDC-VIC'!H30</f>
        <v/>
      </c>
      <c r="I30" s="24">
        <f>'NSW-1'!I30+'VIC-1'!I30+'QLD-1'!I30+'NSW-2'!I30+'VIC-2'!I30+'QLD-2'!I30+'SA-1'!I30+'WA-1'!I30+'IDC-NSW'!I30+'IDC-VIC'!I30</f>
        <v/>
      </c>
      <c r="J30" s="24">
        <f>'NSW-1'!J30+'VIC-1'!J30+'QLD-1'!J30+'NSW-2'!J30+'VIC-2'!J30+'QLD-2'!J30+'SA-1'!J30+'WA-1'!J30+'IDC-NSW'!J30+'IDC-VIC'!J30</f>
        <v/>
      </c>
      <c r="K30" s="28">
        <f>IFERROR(F30/G30,0)</f>
        <v/>
      </c>
      <c r="L30" s="29">
        <f>IFERROR(H30/G30,0)</f>
        <v/>
      </c>
      <c r="M30" s="30">
        <f>IFERROR(J30/F30,0)</f>
        <v/>
      </c>
      <c r="N30" s="10">
        <f>IFERROR(J30/E30,0)</f>
        <v/>
      </c>
      <c r="O30" s="10">
        <f>IFERROR(I30/J30,0)</f>
        <v/>
      </c>
    </row>
    <row r="31">
      <c r="A31" s="8" t="n">
        <v>46143</v>
      </c>
      <c r="B31" s="26">
        <f>YEAR(A31)</f>
        <v/>
      </c>
      <c r="C31" s="26">
        <f>MONTH(A31)</f>
        <v/>
      </c>
      <c r="D31">
        <f>IF(A31&lt;=LastActual,"Actual","Forecast")</f>
        <v/>
      </c>
      <c r="E31" s="24">
        <f>'NSW-1'!E31+'VIC-1'!E31+'QLD-1'!E31+'NSW-2'!E31+'VIC-2'!E31+'QLD-2'!E31+'SA-1'!E31+'WA-1'!E31</f>
        <v/>
      </c>
      <c r="F31" s="27">
        <f>'NSW-1'!F31+'VIC-1'!F31+'QLD-1'!F31+'NSW-2'!F31+'VIC-2'!F31+'QLD-2'!F31+'SA-1'!F31+'WA-1'!F31+'IDC-NSW'!F31+'IDC-VIC'!F31</f>
        <v/>
      </c>
      <c r="G31" s="9">
        <f>'NSW-1'!G31+'VIC-1'!G31+'QLD-1'!G31+'NSW-2'!G31+'VIC-2'!G31+'QLD-2'!G31+'SA-1'!G31+'WA-1'!G31+'IDC-NSW'!G31+'IDC-VIC'!G31</f>
        <v/>
      </c>
      <c r="H31" s="24">
        <f>'NSW-1'!H31+'VIC-1'!H31+'QLD-1'!H31+'NSW-2'!H31+'VIC-2'!H31+'QLD-2'!H31+'SA-1'!H31+'WA-1'!H31+'IDC-NSW'!H31+'IDC-VIC'!H31</f>
        <v/>
      </c>
      <c r="I31" s="24">
        <f>'NSW-1'!I31+'VIC-1'!I31+'QLD-1'!I31+'NSW-2'!I31+'VIC-2'!I31+'QLD-2'!I31+'SA-1'!I31+'WA-1'!I31+'IDC-NSW'!I31+'IDC-VIC'!I31</f>
        <v/>
      </c>
      <c r="J31" s="24">
        <f>'NSW-1'!J31+'VIC-1'!J31+'QLD-1'!J31+'NSW-2'!J31+'VIC-2'!J31+'QLD-2'!J31+'SA-1'!J31+'WA-1'!J31+'IDC-NSW'!J31+'IDC-VIC'!J31</f>
        <v/>
      </c>
      <c r="K31" s="28">
        <f>IFERROR(F31/G31,0)</f>
        <v/>
      </c>
      <c r="L31" s="29">
        <f>IFERROR(H31/G31,0)</f>
        <v/>
      </c>
      <c r="M31" s="30">
        <f>IFERROR(J31/F31,0)</f>
        <v/>
      </c>
      <c r="N31" s="10">
        <f>IFERROR(J31/E31,0)</f>
        <v/>
      </c>
      <c r="O31" s="10">
        <f>IFERROR(I31/J31,0)</f>
        <v/>
      </c>
    </row>
    <row r="32">
      <c r="A32" s="8" t="n">
        <v>46174</v>
      </c>
      <c r="B32" s="26">
        <f>YEAR(A32)</f>
        <v/>
      </c>
      <c r="C32" s="26">
        <f>MONTH(A32)</f>
        <v/>
      </c>
      <c r="D32">
        <f>IF(A32&lt;=LastActual,"Actual","Forecast")</f>
        <v/>
      </c>
      <c r="E32" s="24">
        <f>'NSW-1'!E32+'VIC-1'!E32+'QLD-1'!E32+'NSW-2'!E32+'VIC-2'!E32+'QLD-2'!E32+'SA-1'!E32+'WA-1'!E32</f>
        <v/>
      </c>
      <c r="F32" s="27">
        <f>'NSW-1'!F32+'VIC-1'!F32+'QLD-1'!F32+'NSW-2'!F32+'VIC-2'!F32+'QLD-2'!F32+'SA-1'!F32+'WA-1'!F32+'IDC-NSW'!F32+'IDC-VIC'!F32</f>
        <v/>
      </c>
      <c r="G32" s="9">
        <f>'NSW-1'!G32+'VIC-1'!G32+'QLD-1'!G32+'NSW-2'!G32+'VIC-2'!G32+'QLD-2'!G32+'SA-1'!G32+'WA-1'!G32+'IDC-NSW'!G32+'IDC-VIC'!G32</f>
        <v/>
      </c>
      <c r="H32" s="24">
        <f>'NSW-1'!H32+'VIC-1'!H32+'QLD-1'!H32+'NSW-2'!H32+'VIC-2'!H32+'QLD-2'!H32+'SA-1'!H32+'WA-1'!H32+'IDC-NSW'!H32+'IDC-VIC'!H32</f>
        <v/>
      </c>
      <c r="I32" s="24">
        <f>'NSW-1'!I32+'VIC-1'!I32+'QLD-1'!I32+'NSW-2'!I32+'VIC-2'!I32+'QLD-2'!I32+'SA-1'!I32+'WA-1'!I32+'IDC-NSW'!I32+'IDC-VIC'!I32</f>
        <v/>
      </c>
      <c r="J32" s="24">
        <f>'NSW-1'!J32+'VIC-1'!J32+'QLD-1'!J32+'NSW-2'!J32+'VIC-2'!J32+'QLD-2'!J32+'SA-1'!J32+'WA-1'!J32+'IDC-NSW'!J32+'IDC-VIC'!J32</f>
        <v/>
      </c>
      <c r="K32" s="28">
        <f>IFERROR(F32/G32,0)</f>
        <v/>
      </c>
      <c r="L32" s="29">
        <f>IFERROR(H32/G32,0)</f>
        <v/>
      </c>
      <c r="M32" s="30">
        <f>IFERROR(J32/F32,0)</f>
        <v/>
      </c>
      <c r="N32" s="10">
        <f>IFERROR(J32/E32,0)</f>
        <v/>
      </c>
      <c r="O32" s="10">
        <f>IFERROR(I32/J32,0)</f>
        <v/>
      </c>
      <c r="R32" s="1" t="inlineStr">
        <is>
          <t>Payroll % of sales (IDC: % of host sales)</t>
        </is>
      </c>
    </row>
    <row r="33">
      <c r="A33" s="8" t="n">
        <v>46204</v>
      </c>
      <c r="B33" s="26">
        <f>YEAR(A33)</f>
        <v/>
      </c>
      <c r="C33" s="26">
        <f>MONTH(A33)</f>
        <v/>
      </c>
      <c r="D33">
        <f>IF(A33&lt;=LastActual,"Actual","Forecast")</f>
        <v/>
      </c>
      <c r="E33" s="24">
        <f>'NSW-1'!E33+'VIC-1'!E33+'QLD-1'!E33+'NSW-2'!E33+'VIC-2'!E33+'QLD-2'!E33+'SA-1'!E33+'WA-1'!E33</f>
        <v/>
      </c>
      <c r="F33" s="27">
        <f>'NSW-1'!F33+'VIC-1'!F33+'QLD-1'!F33+'NSW-2'!F33+'VIC-2'!F33+'QLD-2'!F33+'SA-1'!F33+'WA-1'!F33+'IDC-NSW'!F33+'IDC-VIC'!F33</f>
        <v/>
      </c>
      <c r="G33" s="9">
        <f>'NSW-1'!G33+'VIC-1'!G33+'QLD-1'!G33+'NSW-2'!G33+'VIC-2'!G33+'QLD-2'!G33+'SA-1'!G33+'WA-1'!G33+'IDC-NSW'!G33+'IDC-VIC'!G33</f>
        <v/>
      </c>
      <c r="H33" s="24">
        <f>'NSW-1'!H33+'VIC-1'!H33+'QLD-1'!H33+'NSW-2'!H33+'VIC-2'!H33+'QLD-2'!H33+'SA-1'!H33+'WA-1'!H33+'IDC-NSW'!H33+'IDC-VIC'!H33</f>
        <v/>
      </c>
      <c r="I33" s="24">
        <f>'NSW-1'!I33+'VIC-1'!I33+'QLD-1'!I33+'NSW-2'!I33+'VIC-2'!I33+'QLD-2'!I33+'SA-1'!I33+'WA-1'!I33+'IDC-NSW'!I33+'IDC-VIC'!I33</f>
        <v/>
      </c>
      <c r="J33" s="24">
        <f>'NSW-1'!J33+'VIC-1'!J33+'QLD-1'!J33+'NSW-2'!J33+'VIC-2'!J33+'QLD-2'!J33+'SA-1'!J33+'WA-1'!J33+'IDC-NSW'!J33+'IDC-VIC'!J33</f>
        <v/>
      </c>
      <c r="K33" s="28">
        <f>IFERROR(F33/G33,0)</f>
        <v/>
      </c>
      <c r="L33" s="29">
        <f>IFERROR(H33/G33,0)</f>
        <v/>
      </c>
      <c r="M33" s="30">
        <f>IFERROR(J33/F33,0)</f>
        <v/>
      </c>
      <c r="N33" s="10">
        <f>IFERROR(J33/E33,0)</f>
        <v/>
      </c>
      <c r="O33" s="10">
        <f>IFERROR(I33/J33,0)</f>
        <v/>
      </c>
      <c r="R33" s="5" t="inlineStr">
        <is>
          <t>Site</t>
        </is>
      </c>
      <c r="S33" s="5" t="inlineStr">
        <is>
          <t>FY2025</t>
        </is>
      </c>
      <c r="T33" s="5" t="inlineStr">
        <is>
          <t>FY2026</t>
        </is>
      </c>
      <c r="U33" s="5" t="inlineStr">
        <is>
          <t>FY2027</t>
        </is>
      </c>
      <c r="V33" s="5" t="inlineStr">
        <is>
          <t>FY2028</t>
        </is>
      </c>
    </row>
    <row r="34">
      <c r="A34" s="8" t="n">
        <v>46235</v>
      </c>
      <c r="B34" s="26">
        <f>YEAR(A34)</f>
        <v/>
      </c>
      <c r="C34" s="26">
        <f>MONTH(A34)</f>
        <v/>
      </c>
      <c r="D34">
        <f>IF(A34&lt;=LastActual,"Actual","Forecast")</f>
        <v/>
      </c>
      <c r="E34" s="24">
        <f>'NSW-1'!E34+'VIC-1'!E34+'QLD-1'!E34+'NSW-2'!E34+'VIC-2'!E34+'QLD-2'!E34+'SA-1'!E34+'WA-1'!E34</f>
        <v/>
      </c>
      <c r="F34" s="27">
        <f>'NSW-1'!F34+'VIC-1'!F34+'QLD-1'!F34+'NSW-2'!F34+'VIC-2'!F34+'QLD-2'!F34+'SA-1'!F34+'WA-1'!F34+'IDC-NSW'!F34+'IDC-VIC'!F34</f>
        <v/>
      </c>
      <c r="G34" s="9">
        <f>'NSW-1'!G34+'VIC-1'!G34+'QLD-1'!G34+'NSW-2'!G34+'VIC-2'!G34+'QLD-2'!G34+'SA-1'!G34+'WA-1'!G34+'IDC-NSW'!G34+'IDC-VIC'!G34</f>
        <v/>
      </c>
      <c r="H34" s="24">
        <f>'NSW-1'!H34+'VIC-1'!H34+'QLD-1'!H34+'NSW-2'!H34+'VIC-2'!H34+'QLD-2'!H34+'SA-1'!H34+'WA-1'!H34+'IDC-NSW'!H34+'IDC-VIC'!H34</f>
        <v/>
      </c>
      <c r="I34" s="24">
        <f>'NSW-1'!I34+'VIC-1'!I34+'QLD-1'!I34+'NSW-2'!I34+'VIC-2'!I34+'QLD-2'!I34+'SA-1'!I34+'WA-1'!I34+'IDC-NSW'!I34+'IDC-VIC'!I34</f>
        <v/>
      </c>
      <c r="J34" s="24">
        <f>'NSW-1'!J34+'VIC-1'!J34+'QLD-1'!J34+'NSW-2'!J34+'VIC-2'!J34+'QLD-2'!J34+'SA-1'!J34+'WA-1'!J34+'IDC-NSW'!J34+'IDC-VIC'!J34</f>
        <v/>
      </c>
      <c r="K34" s="28">
        <f>IFERROR(F34/G34,0)</f>
        <v/>
      </c>
      <c r="L34" s="29">
        <f>IFERROR(H34/G34,0)</f>
        <v/>
      </c>
      <c r="M34" s="30">
        <f>IFERROR(J34/F34,0)</f>
        <v/>
      </c>
      <c r="N34" s="10">
        <f>IFERROR(J34/E34,0)</f>
        <v/>
      </c>
      <c r="O34" s="10">
        <f>IFERROR(I34/J34,0)</f>
        <v/>
      </c>
      <c r="R34">
        <f>Inputs!$A$36</f>
        <v/>
      </c>
      <c r="S34" s="10">
        <f>IFERROR(SUMIFS('NSW-1'!$J$15:$J$62,'NSW-1'!$B$15:$B$62,2025)/SUMIFS('NSW-1'!$E$15:$E$62,'NSW-1'!$B$15:$B$62,2025),0)</f>
        <v/>
      </c>
      <c r="T34" s="10">
        <f>IFERROR(SUMIFS('NSW-1'!$J$15:$J$62,'NSW-1'!$B$15:$B$62,2026)/SUMIFS('NSW-1'!$E$15:$E$62,'NSW-1'!$B$15:$B$62,2026),0)</f>
        <v/>
      </c>
      <c r="U34" s="10">
        <f>IFERROR(SUMIFS('NSW-1'!$J$15:$J$62,'NSW-1'!$B$15:$B$62,2027)/SUMIFS('NSW-1'!$E$15:$E$62,'NSW-1'!$B$15:$B$62,2027),0)</f>
        <v/>
      </c>
      <c r="V34" s="10">
        <f>IFERROR(SUMIFS('NSW-1'!$J$15:$J$62,'NSW-1'!$B$15:$B$62,2028)/SUMIFS('NSW-1'!$E$15:$E$62,'NSW-1'!$B$15:$B$62,2028),0)</f>
        <v/>
      </c>
    </row>
    <row r="35">
      <c r="A35" s="8" t="n">
        <v>46266</v>
      </c>
      <c r="B35" s="26">
        <f>YEAR(A35)</f>
        <v/>
      </c>
      <c r="C35" s="26">
        <f>MONTH(A35)</f>
        <v/>
      </c>
      <c r="D35">
        <f>IF(A35&lt;=LastActual,"Actual","Forecast")</f>
        <v/>
      </c>
      <c r="E35" s="24">
        <f>'NSW-1'!E35+'VIC-1'!E35+'QLD-1'!E35+'NSW-2'!E35+'VIC-2'!E35+'QLD-2'!E35+'SA-1'!E35+'WA-1'!E35</f>
        <v/>
      </c>
      <c r="F35" s="27">
        <f>'NSW-1'!F35+'VIC-1'!F35+'QLD-1'!F35+'NSW-2'!F35+'VIC-2'!F35+'QLD-2'!F35+'SA-1'!F35+'WA-1'!F35+'IDC-NSW'!F35+'IDC-VIC'!F35</f>
        <v/>
      </c>
      <c r="G35" s="9">
        <f>'NSW-1'!G35+'VIC-1'!G35+'QLD-1'!G35+'NSW-2'!G35+'VIC-2'!G35+'QLD-2'!G35+'SA-1'!G35+'WA-1'!G35+'IDC-NSW'!G35+'IDC-VIC'!G35</f>
        <v/>
      </c>
      <c r="H35" s="24">
        <f>'NSW-1'!H35+'VIC-1'!H35+'QLD-1'!H35+'NSW-2'!H35+'VIC-2'!H35+'QLD-2'!H35+'SA-1'!H35+'WA-1'!H35+'IDC-NSW'!H35+'IDC-VIC'!H35</f>
        <v/>
      </c>
      <c r="I35" s="24">
        <f>'NSW-1'!I35+'VIC-1'!I35+'QLD-1'!I35+'NSW-2'!I35+'VIC-2'!I35+'QLD-2'!I35+'SA-1'!I35+'WA-1'!I35+'IDC-NSW'!I35+'IDC-VIC'!I35</f>
        <v/>
      </c>
      <c r="J35" s="24">
        <f>'NSW-1'!J35+'VIC-1'!J35+'QLD-1'!J35+'NSW-2'!J35+'VIC-2'!J35+'QLD-2'!J35+'SA-1'!J35+'WA-1'!J35+'IDC-NSW'!J35+'IDC-VIC'!J35</f>
        <v/>
      </c>
      <c r="K35" s="28">
        <f>IFERROR(F35/G35,0)</f>
        <v/>
      </c>
      <c r="L35" s="29">
        <f>IFERROR(H35/G35,0)</f>
        <v/>
      </c>
      <c r="M35" s="30">
        <f>IFERROR(J35/F35,0)</f>
        <v/>
      </c>
      <c r="N35" s="10">
        <f>IFERROR(J35/E35,0)</f>
        <v/>
      </c>
      <c r="O35" s="10">
        <f>IFERROR(I35/J35,0)</f>
        <v/>
      </c>
      <c r="R35">
        <f>Inputs!$A$37</f>
        <v/>
      </c>
      <c r="S35" s="10">
        <f>IFERROR(SUMIFS('VIC-1'!$J$15:$J$62,'VIC-1'!$B$15:$B$62,2025)/SUMIFS('VIC-1'!$E$15:$E$62,'VIC-1'!$B$15:$B$62,2025),0)</f>
        <v/>
      </c>
      <c r="T35" s="10">
        <f>IFERROR(SUMIFS('VIC-1'!$J$15:$J$62,'VIC-1'!$B$15:$B$62,2026)/SUMIFS('VIC-1'!$E$15:$E$62,'VIC-1'!$B$15:$B$62,2026),0)</f>
        <v/>
      </c>
      <c r="U35" s="10">
        <f>IFERROR(SUMIFS('VIC-1'!$J$15:$J$62,'VIC-1'!$B$15:$B$62,2027)/SUMIFS('VIC-1'!$E$15:$E$62,'VIC-1'!$B$15:$B$62,2027),0)</f>
        <v/>
      </c>
      <c r="V35" s="10">
        <f>IFERROR(SUMIFS('VIC-1'!$J$15:$J$62,'VIC-1'!$B$15:$B$62,2028)/SUMIFS('VIC-1'!$E$15:$E$62,'VIC-1'!$B$15:$B$62,2028),0)</f>
        <v/>
      </c>
    </row>
    <row r="36">
      <c r="A36" s="8" t="n">
        <v>46296</v>
      </c>
      <c r="B36" s="26">
        <f>YEAR(A36)</f>
        <v/>
      </c>
      <c r="C36" s="26">
        <f>MONTH(A36)</f>
        <v/>
      </c>
      <c r="D36">
        <f>IF(A36&lt;=LastActual,"Actual","Forecast")</f>
        <v/>
      </c>
      <c r="E36" s="24">
        <f>'NSW-1'!E36+'VIC-1'!E36+'QLD-1'!E36+'NSW-2'!E36+'VIC-2'!E36+'QLD-2'!E36+'SA-1'!E36+'WA-1'!E36</f>
        <v/>
      </c>
      <c r="F36" s="27">
        <f>'NSW-1'!F36+'VIC-1'!F36+'QLD-1'!F36+'NSW-2'!F36+'VIC-2'!F36+'QLD-2'!F36+'SA-1'!F36+'WA-1'!F36+'IDC-NSW'!F36+'IDC-VIC'!F36</f>
        <v/>
      </c>
      <c r="G36" s="9">
        <f>'NSW-1'!G36+'VIC-1'!G36+'QLD-1'!G36+'NSW-2'!G36+'VIC-2'!G36+'QLD-2'!G36+'SA-1'!G36+'WA-1'!G36+'IDC-NSW'!G36+'IDC-VIC'!G36</f>
        <v/>
      </c>
      <c r="H36" s="24">
        <f>'NSW-1'!H36+'VIC-1'!H36+'QLD-1'!H36+'NSW-2'!H36+'VIC-2'!H36+'QLD-2'!H36+'SA-1'!H36+'WA-1'!H36+'IDC-NSW'!H36+'IDC-VIC'!H36</f>
        <v/>
      </c>
      <c r="I36" s="24">
        <f>'NSW-1'!I36+'VIC-1'!I36+'QLD-1'!I36+'NSW-2'!I36+'VIC-2'!I36+'QLD-2'!I36+'SA-1'!I36+'WA-1'!I36+'IDC-NSW'!I36+'IDC-VIC'!I36</f>
        <v/>
      </c>
      <c r="J36" s="24">
        <f>'NSW-1'!J36+'VIC-1'!J36+'QLD-1'!J36+'NSW-2'!J36+'VIC-2'!J36+'QLD-2'!J36+'SA-1'!J36+'WA-1'!J36+'IDC-NSW'!J36+'IDC-VIC'!J36</f>
        <v/>
      </c>
      <c r="K36" s="28">
        <f>IFERROR(F36/G36,0)</f>
        <v/>
      </c>
      <c r="L36" s="29">
        <f>IFERROR(H36/G36,0)</f>
        <v/>
      </c>
      <c r="M36" s="30">
        <f>IFERROR(J36/F36,0)</f>
        <v/>
      </c>
      <c r="N36" s="10">
        <f>IFERROR(J36/E36,0)</f>
        <v/>
      </c>
      <c r="O36" s="10">
        <f>IFERROR(I36/J36,0)</f>
        <v/>
      </c>
      <c r="R36">
        <f>Inputs!$A$38</f>
        <v/>
      </c>
      <c r="S36" s="10">
        <f>IFERROR(SUMIFS('QLD-1'!$J$15:$J$62,'QLD-1'!$B$15:$B$62,2025)/SUMIFS('QLD-1'!$E$15:$E$62,'QLD-1'!$B$15:$B$62,2025),0)</f>
        <v/>
      </c>
      <c r="T36" s="10">
        <f>IFERROR(SUMIFS('QLD-1'!$J$15:$J$62,'QLD-1'!$B$15:$B$62,2026)/SUMIFS('QLD-1'!$E$15:$E$62,'QLD-1'!$B$15:$B$62,2026),0)</f>
        <v/>
      </c>
      <c r="U36" s="10">
        <f>IFERROR(SUMIFS('QLD-1'!$J$15:$J$62,'QLD-1'!$B$15:$B$62,2027)/SUMIFS('QLD-1'!$E$15:$E$62,'QLD-1'!$B$15:$B$62,2027),0)</f>
        <v/>
      </c>
      <c r="V36" s="10">
        <f>IFERROR(SUMIFS('QLD-1'!$J$15:$J$62,'QLD-1'!$B$15:$B$62,2028)/SUMIFS('QLD-1'!$E$15:$E$62,'QLD-1'!$B$15:$B$62,2028),0)</f>
        <v/>
      </c>
    </row>
    <row r="37">
      <c r="A37" s="8" t="n">
        <v>46327</v>
      </c>
      <c r="B37" s="26">
        <f>YEAR(A37)</f>
        <v/>
      </c>
      <c r="C37" s="26">
        <f>MONTH(A37)</f>
        <v/>
      </c>
      <c r="D37">
        <f>IF(A37&lt;=LastActual,"Actual","Forecast")</f>
        <v/>
      </c>
      <c r="E37" s="24">
        <f>'NSW-1'!E37+'VIC-1'!E37+'QLD-1'!E37+'NSW-2'!E37+'VIC-2'!E37+'QLD-2'!E37+'SA-1'!E37+'WA-1'!E37</f>
        <v/>
      </c>
      <c r="F37" s="27">
        <f>'NSW-1'!F37+'VIC-1'!F37+'QLD-1'!F37+'NSW-2'!F37+'VIC-2'!F37+'QLD-2'!F37+'SA-1'!F37+'WA-1'!F37+'IDC-NSW'!F37+'IDC-VIC'!F37</f>
        <v/>
      </c>
      <c r="G37" s="9">
        <f>'NSW-1'!G37+'VIC-1'!G37+'QLD-1'!G37+'NSW-2'!G37+'VIC-2'!G37+'QLD-2'!G37+'SA-1'!G37+'WA-1'!G37+'IDC-NSW'!G37+'IDC-VIC'!G37</f>
        <v/>
      </c>
      <c r="H37" s="24">
        <f>'NSW-1'!H37+'VIC-1'!H37+'QLD-1'!H37+'NSW-2'!H37+'VIC-2'!H37+'QLD-2'!H37+'SA-1'!H37+'WA-1'!H37+'IDC-NSW'!H37+'IDC-VIC'!H37</f>
        <v/>
      </c>
      <c r="I37" s="24">
        <f>'NSW-1'!I37+'VIC-1'!I37+'QLD-1'!I37+'NSW-2'!I37+'VIC-2'!I37+'QLD-2'!I37+'SA-1'!I37+'WA-1'!I37+'IDC-NSW'!I37+'IDC-VIC'!I37</f>
        <v/>
      </c>
      <c r="J37" s="24">
        <f>'NSW-1'!J37+'VIC-1'!J37+'QLD-1'!J37+'NSW-2'!J37+'VIC-2'!J37+'QLD-2'!J37+'SA-1'!J37+'WA-1'!J37+'IDC-NSW'!J37+'IDC-VIC'!J37</f>
        <v/>
      </c>
      <c r="K37" s="28">
        <f>IFERROR(F37/G37,0)</f>
        <v/>
      </c>
      <c r="L37" s="29">
        <f>IFERROR(H37/G37,0)</f>
        <v/>
      </c>
      <c r="M37" s="30">
        <f>IFERROR(J37/F37,0)</f>
        <v/>
      </c>
      <c r="N37" s="10">
        <f>IFERROR(J37/E37,0)</f>
        <v/>
      </c>
      <c r="O37" s="10">
        <f>IFERROR(I37/J37,0)</f>
        <v/>
      </c>
      <c r="R37">
        <f>Inputs!$A$39</f>
        <v/>
      </c>
      <c r="S37" s="10">
        <f>IFERROR(SUMIFS('NSW-2'!$J$15:$J$62,'NSW-2'!$B$15:$B$62,2025)/SUMIFS('NSW-2'!$E$15:$E$62,'NSW-2'!$B$15:$B$62,2025),0)</f>
        <v/>
      </c>
      <c r="T37" s="10">
        <f>IFERROR(SUMIFS('NSW-2'!$J$15:$J$62,'NSW-2'!$B$15:$B$62,2026)/SUMIFS('NSW-2'!$E$15:$E$62,'NSW-2'!$B$15:$B$62,2026),0)</f>
        <v/>
      </c>
      <c r="U37" s="10">
        <f>IFERROR(SUMIFS('NSW-2'!$J$15:$J$62,'NSW-2'!$B$15:$B$62,2027)/SUMIFS('NSW-2'!$E$15:$E$62,'NSW-2'!$B$15:$B$62,2027),0)</f>
        <v/>
      </c>
      <c r="V37" s="10">
        <f>IFERROR(SUMIFS('NSW-2'!$J$15:$J$62,'NSW-2'!$B$15:$B$62,2028)/SUMIFS('NSW-2'!$E$15:$E$62,'NSW-2'!$B$15:$B$62,2028),0)</f>
        <v/>
      </c>
    </row>
    <row r="38">
      <c r="A38" s="31" t="n">
        <v>46357</v>
      </c>
      <c r="B38" s="32">
        <f>YEAR(A38)</f>
        <v/>
      </c>
      <c r="C38" s="32">
        <f>MONTH(A38)</f>
        <v/>
      </c>
      <c r="D38" s="33">
        <f>IF(A38&lt;=LastActual,"Actual","Forecast")</f>
        <v/>
      </c>
      <c r="E38" s="34">
        <f>'NSW-1'!E38+'VIC-1'!E38+'QLD-1'!E38+'NSW-2'!E38+'VIC-2'!E38+'QLD-2'!E38+'SA-1'!E38+'WA-1'!E38</f>
        <v/>
      </c>
      <c r="F38" s="35">
        <f>'NSW-1'!F38+'VIC-1'!F38+'QLD-1'!F38+'NSW-2'!F38+'VIC-2'!F38+'QLD-2'!F38+'SA-1'!F38+'WA-1'!F38+'IDC-NSW'!F38+'IDC-VIC'!F38</f>
        <v/>
      </c>
      <c r="G38" s="36">
        <f>'NSW-1'!G38+'VIC-1'!G38+'QLD-1'!G38+'NSW-2'!G38+'VIC-2'!G38+'QLD-2'!G38+'SA-1'!G38+'WA-1'!G38+'IDC-NSW'!G38+'IDC-VIC'!G38</f>
        <v/>
      </c>
      <c r="H38" s="34">
        <f>'NSW-1'!H38+'VIC-1'!H38+'QLD-1'!H38+'NSW-2'!H38+'VIC-2'!H38+'QLD-2'!H38+'SA-1'!H38+'WA-1'!H38+'IDC-NSW'!H38+'IDC-VIC'!H38</f>
        <v/>
      </c>
      <c r="I38" s="34">
        <f>'NSW-1'!I38+'VIC-1'!I38+'QLD-1'!I38+'NSW-2'!I38+'VIC-2'!I38+'QLD-2'!I38+'SA-1'!I38+'WA-1'!I38+'IDC-NSW'!I38+'IDC-VIC'!I38</f>
        <v/>
      </c>
      <c r="J38" s="34">
        <f>'NSW-1'!J38+'VIC-1'!J38+'QLD-1'!J38+'NSW-2'!J38+'VIC-2'!J38+'QLD-2'!J38+'SA-1'!J38+'WA-1'!J38+'IDC-NSW'!J38+'IDC-VIC'!J38</f>
        <v/>
      </c>
      <c r="K38" s="37">
        <f>IFERROR(F38/G38,0)</f>
        <v/>
      </c>
      <c r="L38" s="38">
        <f>IFERROR(H38/G38,0)</f>
        <v/>
      </c>
      <c r="M38" s="39">
        <f>IFERROR(J38/F38,0)</f>
        <v/>
      </c>
      <c r="N38" s="40">
        <f>IFERROR(J38/E38,0)</f>
        <v/>
      </c>
      <c r="O38" s="40">
        <f>IFERROR(I38/J38,0)</f>
        <v/>
      </c>
      <c r="R38">
        <f>Inputs!$A$40</f>
        <v/>
      </c>
      <c r="S38" s="10">
        <f>IFERROR(SUMIFS('VIC-2'!$J$15:$J$62,'VIC-2'!$B$15:$B$62,2025)/SUMIFS('VIC-2'!$E$15:$E$62,'VIC-2'!$B$15:$B$62,2025),0)</f>
        <v/>
      </c>
      <c r="T38" s="10">
        <f>IFERROR(SUMIFS('VIC-2'!$J$15:$J$62,'VIC-2'!$B$15:$B$62,2026)/SUMIFS('VIC-2'!$E$15:$E$62,'VIC-2'!$B$15:$B$62,2026),0)</f>
        <v/>
      </c>
      <c r="U38" s="10">
        <f>IFERROR(SUMIFS('VIC-2'!$J$15:$J$62,'VIC-2'!$B$15:$B$62,2027)/SUMIFS('VIC-2'!$E$15:$E$62,'VIC-2'!$B$15:$B$62,2027),0)</f>
        <v/>
      </c>
      <c r="V38" s="10">
        <f>IFERROR(SUMIFS('VIC-2'!$J$15:$J$62,'VIC-2'!$B$15:$B$62,2028)/SUMIFS('VIC-2'!$E$15:$E$62,'VIC-2'!$B$15:$B$62,2028),0)</f>
        <v/>
      </c>
    </row>
    <row r="39">
      <c r="A39" s="8" t="n">
        <v>46388</v>
      </c>
      <c r="B39" s="26">
        <f>YEAR(A39)</f>
        <v/>
      </c>
      <c r="C39" s="26">
        <f>MONTH(A39)</f>
        <v/>
      </c>
      <c r="D39">
        <f>IF(A39&lt;=LastActual,"Actual","Forecast")</f>
        <v/>
      </c>
      <c r="E39" s="24">
        <f>'NSW-1'!E39+'VIC-1'!E39+'QLD-1'!E39+'NSW-2'!E39+'VIC-2'!E39+'QLD-2'!E39+'SA-1'!E39+'WA-1'!E39</f>
        <v/>
      </c>
      <c r="F39" s="27">
        <f>'NSW-1'!F39+'VIC-1'!F39+'QLD-1'!F39+'NSW-2'!F39+'VIC-2'!F39+'QLD-2'!F39+'SA-1'!F39+'WA-1'!F39+'IDC-NSW'!F39+'IDC-VIC'!F39</f>
        <v/>
      </c>
      <c r="G39" s="9">
        <f>'NSW-1'!G39+'VIC-1'!G39+'QLD-1'!G39+'NSW-2'!G39+'VIC-2'!G39+'QLD-2'!G39+'SA-1'!G39+'WA-1'!G39+'IDC-NSW'!G39+'IDC-VIC'!G39</f>
        <v/>
      </c>
      <c r="H39" s="24">
        <f>'NSW-1'!H39+'VIC-1'!H39+'QLD-1'!H39+'NSW-2'!H39+'VIC-2'!H39+'QLD-2'!H39+'SA-1'!H39+'WA-1'!H39+'IDC-NSW'!H39+'IDC-VIC'!H39</f>
        <v/>
      </c>
      <c r="I39" s="24">
        <f>'NSW-1'!I39+'VIC-1'!I39+'QLD-1'!I39+'NSW-2'!I39+'VIC-2'!I39+'QLD-2'!I39+'SA-1'!I39+'WA-1'!I39+'IDC-NSW'!I39+'IDC-VIC'!I39</f>
        <v/>
      </c>
      <c r="J39" s="24">
        <f>'NSW-1'!J39+'VIC-1'!J39+'QLD-1'!J39+'NSW-2'!J39+'VIC-2'!J39+'QLD-2'!J39+'SA-1'!J39+'WA-1'!J39+'IDC-NSW'!J39+'IDC-VIC'!J39</f>
        <v/>
      </c>
      <c r="K39" s="28">
        <f>IFERROR(F39/G39,0)</f>
        <v/>
      </c>
      <c r="L39" s="29">
        <f>IFERROR(H39/G39,0)</f>
        <v/>
      </c>
      <c r="M39" s="30">
        <f>IFERROR(J39/F39,0)</f>
        <v/>
      </c>
      <c r="N39" s="10">
        <f>IFERROR(J39/E39,0)</f>
        <v/>
      </c>
      <c r="O39" s="10">
        <f>IFERROR(I39/J39,0)</f>
        <v/>
      </c>
      <c r="R39">
        <f>Inputs!$A$41</f>
        <v/>
      </c>
      <c r="S39" s="10">
        <f>IFERROR(SUMIFS('QLD-2'!$J$15:$J$62,'QLD-2'!$B$15:$B$62,2025)/SUMIFS('QLD-2'!$E$15:$E$62,'QLD-2'!$B$15:$B$62,2025),0)</f>
        <v/>
      </c>
      <c r="T39" s="10">
        <f>IFERROR(SUMIFS('QLD-2'!$J$15:$J$62,'QLD-2'!$B$15:$B$62,2026)/SUMIFS('QLD-2'!$E$15:$E$62,'QLD-2'!$B$15:$B$62,2026),0)</f>
        <v/>
      </c>
      <c r="U39" s="10">
        <f>IFERROR(SUMIFS('QLD-2'!$J$15:$J$62,'QLD-2'!$B$15:$B$62,2027)/SUMIFS('QLD-2'!$E$15:$E$62,'QLD-2'!$B$15:$B$62,2027),0)</f>
        <v/>
      </c>
      <c r="V39" s="10">
        <f>IFERROR(SUMIFS('QLD-2'!$J$15:$J$62,'QLD-2'!$B$15:$B$62,2028)/SUMIFS('QLD-2'!$E$15:$E$62,'QLD-2'!$B$15:$B$62,2028),0)</f>
        <v/>
      </c>
    </row>
    <row r="40">
      <c r="A40" s="8" t="n">
        <v>46419</v>
      </c>
      <c r="B40" s="26">
        <f>YEAR(A40)</f>
        <v/>
      </c>
      <c r="C40" s="26">
        <f>MONTH(A40)</f>
        <v/>
      </c>
      <c r="D40">
        <f>IF(A40&lt;=LastActual,"Actual","Forecast")</f>
        <v/>
      </c>
      <c r="E40" s="24">
        <f>'NSW-1'!E40+'VIC-1'!E40+'QLD-1'!E40+'NSW-2'!E40+'VIC-2'!E40+'QLD-2'!E40+'SA-1'!E40+'WA-1'!E40</f>
        <v/>
      </c>
      <c r="F40" s="27">
        <f>'NSW-1'!F40+'VIC-1'!F40+'QLD-1'!F40+'NSW-2'!F40+'VIC-2'!F40+'QLD-2'!F40+'SA-1'!F40+'WA-1'!F40+'IDC-NSW'!F40+'IDC-VIC'!F40</f>
        <v/>
      </c>
      <c r="G40" s="9">
        <f>'NSW-1'!G40+'VIC-1'!G40+'QLD-1'!G40+'NSW-2'!G40+'VIC-2'!G40+'QLD-2'!G40+'SA-1'!G40+'WA-1'!G40+'IDC-NSW'!G40+'IDC-VIC'!G40</f>
        <v/>
      </c>
      <c r="H40" s="24">
        <f>'NSW-1'!H40+'VIC-1'!H40+'QLD-1'!H40+'NSW-2'!H40+'VIC-2'!H40+'QLD-2'!H40+'SA-1'!H40+'WA-1'!H40+'IDC-NSW'!H40+'IDC-VIC'!H40</f>
        <v/>
      </c>
      <c r="I40" s="24">
        <f>'NSW-1'!I40+'VIC-1'!I40+'QLD-1'!I40+'NSW-2'!I40+'VIC-2'!I40+'QLD-2'!I40+'SA-1'!I40+'WA-1'!I40+'IDC-NSW'!I40+'IDC-VIC'!I40</f>
        <v/>
      </c>
      <c r="J40" s="24">
        <f>'NSW-1'!J40+'VIC-1'!J40+'QLD-1'!J40+'NSW-2'!J40+'VIC-2'!J40+'QLD-2'!J40+'SA-1'!J40+'WA-1'!J40+'IDC-NSW'!J40+'IDC-VIC'!J40</f>
        <v/>
      </c>
      <c r="K40" s="28">
        <f>IFERROR(F40/G40,0)</f>
        <v/>
      </c>
      <c r="L40" s="29">
        <f>IFERROR(H40/G40,0)</f>
        <v/>
      </c>
      <c r="M40" s="30">
        <f>IFERROR(J40/F40,0)</f>
        <v/>
      </c>
      <c r="N40" s="10">
        <f>IFERROR(J40/E40,0)</f>
        <v/>
      </c>
      <c r="O40" s="10">
        <f>IFERROR(I40/J40,0)</f>
        <v/>
      </c>
      <c r="R40">
        <f>Inputs!$A$42</f>
        <v/>
      </c>
      <c r="S40" s="10">
        <f>IFERROR(SUMIFS('SA-1'!$J$15:$J$62,'SA-1'!$B$15:$B$62,2025)/SUMIFS('SA-1'!$E$15:$E$62,'SA-1'!$B$15:$B$62,2025),0)</f>
        <v/>
      </c>
      <c r="T40" s="10">
        <f>IFERROR(SUMIFS('SA-1'!$J$15:$J$62,'SA-1'!$B$15:$B$62,2026)/SUMIFS('SA-1'!$E$15:$E$62,'SA-1'!$B$15:$B$62,2026),0)</f>
        <v/>
      </c>
      <c r="U40" s="10">
        <f>IFERROR(SUMIFS('SA-1'!$J$15:$J$62,'SA-1'!$B$15:$B$62,2027)/SUMIFS('SA-1'!$E$15:$E$62,'SA-1'!$B$15:$B$62,2027),0)</f>
        <v/>
      </c>
      <c r="V40" s="10">
        <f>IFERROR(SUMIFS('SA-1'!$J$15:$J$62,'SA-1'!$B$15:$B$62,2028)/SUMIFS('SA-1'!$E$15:$E$62,'SA-1'!$B$15:$B$62,2028),0)</f>
        <v/>
      </c>
    </row>
    <row r="41">
      <c r="A41" s="8" t="n">
        <v>46447</v>
      </c>
      <c r="B41" s="26">
        <f>YEAR(A41)</f>
        <v/>
      </c>
      <c r="C41" s="26">
        <f>MONTH(A41)</f>
        <v/>
      </c>
      <c r="D41">
        <f>IF(A41&lt;=LastActual,"Actual","Forecast")</f>
        <v/>
      </c>
      <c r="E41" s="24">
        <f>'NSW-1'!E41+'VIC-1'!E41+'QLD-1'!E41+'NSW-2'!E41+'VIC-2'!E41+'QLD-2'!E41+'SA-1'!E41+'WA-1'!E41</f>
        <v/>
      </c>
      <c r="F41" s="27">
        <f>'NSW-1'!F41+'VIC-1'!F41+'QLD-1'!F41+'NSW-2'!F41+'VIC-2'!F41+'QLD-2'!F41+'SA-1'!F41+'WA-1'!F41+'IDC-NSW'!F41+'IDC-VIC'!F41</f>
        <v/>
      </c>
      <c r="G41" s="9">
        <f>'NSW-1'!G41+'VIC-1'!G41+'QLD-1'!G41+'NSW-2'!G41+'VIC-2'!G41+'QLD-2'!G41+'SA-1'!G41+'WA-1'!G41+'IDC-NSW'!G41+'IDC-VIC'!G41</f>
        <v/>
      </c>
      <c r="H41" s="24">
        <f>'NSW-1'!H41+'VIC-1'!H41+'QLD-1'!H41+'NSW-2'!H41+'VIC-2'!H41+'QLD-2'!H41+'SA-1'!H41+'WA-1'!H41+'IDC-NSW'!H41+'IDC-VIC'!H41</f>
        <v/>
      </c>
      <c r="I41" s="24">
        <f>'NSW-1'!I41+'VIC-1'!I41+'QLD-1'!I41+'NSW-2'!I41+'VIC-2'!I41+'QLD-2'!I41+'SA-1'!I41+'WA-1'!I41+'IDC-NSW'!I41+'IDC-VIC'!I41</f>
        <v/>
      </c>
      <c r="J41" s="24">
        <f>'NSW-1'!J41+'VIC-1'!J41+'QLD-1'!J41+'NSW-2'!J41+'VIC-2'!J41+'QLD-2'!J41+'SA-1'!J41+'WA-1'!J41+'IDC-NSW'!J41+'IDC-VIC'!J41</f>
        <v/>
      </c>
      <c r="K41" s="28">
        <f>IFERROR(F41/G41,0)</f>
        <v/>
      </c>
      <c r="L41" s="29">
        <f>IFERROR(H41/G41,0)</f>
        <v/>
      </c>
      <c r="M41" s="30">
        <f>IFERROR(J41/F41,0)</f>
        <v/>
      </c>
      <c r="N41" s="10">
        <f>IFERROR(J41/E41,0)</f>
        <v/>
      </c>
      <c r="O41" s="10">
        <f>IFERROR(I41/J41,0)</f>
        <v/>
      </c>
      <c r="R41">
        <f>Inputs!$A$43</f>
        <v/>
      </c>
      <c r="S41" s="10">
        <f>IFERROR(SUMIFS('WA-1'!$J$15:$J$62,'WA-1'!$B$15:$B$62,2025)/SUMIFS('WA-1'!$E$15:$E$62,'WA-1'!$B$15:$B$62,2025),0)</f>
        <v/>
      </c>
      <c r="T41" s="10">
        <f>IFERROR(SUMIFS('WA-1'!$J$15:$J$62,'WA-1'!$B$15:$B$62,2026)/SUMIFS('WA-1'!$E$15:$E$62,'WA-1'!$B$15:$B$62,2026),0)</f>
        <v/>
      </c>
      <c r="U41" s="10">
        <f>IFERROR(SUMIFS('WA-1'!$J$15:$J$62,'WA-1'!$B$15:$B$62,2027)/SUMIFS('WA-1'!$E$15:$E$62,'WA-1'!$B$15:$B$62,2027),0)</f>
        <v/>
      </c>
      <c r="V41" s="10">
        <f>IFERROR(SUMIFS('WA-1'!$J$15:$J$62,'WA-1'!$B$15:$B$62,2028)/SUMIFS('WA-1'!$E$15:$E$62,'WA-1'!$B$15:$B$62,2028),0)</f>
        <v/>
      </c>
    </row>
    <row r="42">
      <c r="A42" s="8" t="n">
        <v>46478</v>
      </c>
      <c r="B42" s="26">
        <f>YEAR(A42)</f>
        <v/>
      </c>
      <c r="C42" s="26">
        <f>MONTH(A42)</f>
        <v/>
      </c>
      <c r="D42">
        <f>IF(A42&lt;=LastActual,"Actual","Forecast")</f>
        <v/>
      </c>
      <c r="E42" s="24">
        <f>'NSW-1'!E42+'VIC-1'!E42+'QLD-1'!E42+'NSW-2'!E42+'VIC-2'!E42+'QLD-2'!E42+'SA-1'!E42+'WA-1'!E42</f>
        <v/>
      </c>
      <c r="F42" s="27">
        <f>'NSW-1'!F42+'VIC-1'!F42+'QLD-1'!F42+'NSW-2'!F42+'VIC-2'!F42+'QLD-2'!F42+'SA-1'!F42+'WA-1'!F42+'IDC-NSW'!F42+'IDC-VIC'!F42</f>
        <v/>
      </c>
      <c r="G42" s="9">
        <f>'NSW-1'!G42+'VIC-1'!G42+'QLD-1'!G42+'NSW-2'!G42+'VIC-2'!G42+'QLD-2'!G42+'SA-1'!G42+'WA-1'!G42+'IDC-NSW'!G42+'IDC-VIC'!G42</f>
        <v/>
      </c>
      <c r="H42" s="24">
        <f>'NSW-1'!H42+'VIC-1'!H42+'QLD-1'!H42+'NSW-2'!H42+'VIC-2'!H42+'QLD-2'!H42+'SA-1'!H42+'WA-1'!H42+'IDC-NSW'!H42+'IDC-VIC'!H42</f>
        <v/>
      </c>
      <c r="I42" s="24">
        <f>'NSW-1'!I42+'VIC-1'!I42+'QLD-1'!I42+'NSW-2'!I42+'VIC-2'!I42+'QLD-2'!I42+'SA-1'!I42+'WA-1'!I42+'IDC-NSW'!I42+'IDC-VIC'!I42</f>
        <v/>
      </c>
      <c r="J42" s="24">
        <f>'NSW-1'!J42+'VIC-1'!J42+'QLD-1'!J42+'NSW-2'!J42+'VIC-2'!J42+'QLD-2'!J42+'SA-1'!J42+'WA-1'!J42+'IDC-NSW'!J42+'IDC-VIC'!J42</f>
        <v/>
      </c>
      <c r="K42" s="28">
        <f>IFERROR(F42/G42,0)</f>
        <v/>
      </c>
      <c r="L42" s="29">
        <f>IFERROR(H42/G42,0)</f>
        <v/>
      </c>
      <c r="M42" s="30">
        <f>IFERROR(J42/F42,0)</f>
        <v/>
      </c>
      <c r="N42" s="10">
        <f>IFERROR(J42/E42,0)</f>
        <v/>
      </c>
      <c r="O42" s="10">
        <f>IFERROR(I42/J42,0)</f>
        <v/>
      </c>
      <c r="R42">
        <f>Inputs!$A$44</f>
        <v/>
      </c>
      <c r="S42" s="10">
        <f>IFERROR(SUMIFS('IDC-NSW'!$J$15:$J$62,'IDC-NSW'!$B$15:$B$62,2025)/SUMIFS('IDC-NSW'!$E$15:$E$62,'IDC-NSW'!$B$15:$B$62,2025),0)</f>
        <v/>
      </c>
      <c r="T42" s="10">
        <f>IFERROR(SUMIFS('IDC-NSW'!$J$15:$J$62,'IDC-NSW'!$B$15:$B$62,2026)/SUMIFS('IDC-NSW'!$E$15:$E$62,'IDC-NSW'!$B$15:$B$62,2026),0)</f>
        <v/>
      </c>
      <c r="U42" s="10">
        <f>IFERROR(SUMIFS('IDC-NSW'!$J$15:$J$62,'IDC-NSW'!$B$15:$B$62,2027)/SUMIFS('IDC-NSW'!$E$15:$E$62,'IDC-NSW'!$B$15:$B$62,2027),0)</f>
        <v/>
      </c>
      <c r="V42" s="10">
        <f>IFERROR(SUMIFS('IDC-NSW'!$J$15:$J$62,'IDC-NSW'!$B$15:$B$62,2028)/SUMIFS('IDC-NSW'!$E$15:$E$62,'IDC-NSW'!$B$15:$B$62,2028),0)</f>
        <v/>
      </c>
    </row>
    <row r="43">
      <c r="A43" s="8" t="n">
        <v>46508</v>
      </c>
      <c r="B43" s="26">
        <f>YEAR(A43)</f>
        <v/>
      </c>
      <c r="C43" s="26">
        <f>MONTH(A43)</f>
        <v/>
      </c>
      <c r="D43">
        <f>IF(A43&lt;=LastActual,"Actual","Forecast")</f>
        <v/>
      </c>
      <c r="E43" s="24">
        <f>'NSW-1'!E43+'VIC-1'!E43+'QLD-1'!E43+'NSW-2'!E43+'VIC-2'!E43+'QLD-2'!E43+'SA-1'!E43+'WA-1'!E43</f>
        <v/>
      </c>
      <c r="F43" s="27">
        <f>'NSW-1'!F43+'VIC-1'!F43+'QLD-1'!F43+'NSW-2'!F43+'VIC-2'!F43+'QLD-2'!F43+'SA-1'!F43+'WA-1'!F43+'IDC-NSW'!F43+'IDC-VIC'!F43</f>
        <v/>
      </c>
      <c r="G43" s="9">
        <f>'NSW-1'!G43+'VIC-1'!G43+'QLD-1'!G43+'NSW-2'!G43+'VIC-2'!G43+'QLD-2'!G43+'SA-1'!G43+'WA-1'!G43+'IDC-NSW'!G43+'IDC-VIC'!G43</f>
        <v/>
      </c>
      <c r="H43" s="24">
        <f>'NSW-1'!H43+'VIC-1'!H43+'QLD-1'!H43+'NSW-2'!H43+'VIC-2'!H43+'QLD-2'!H43+'SA-1'!H43+'WA-1'!H43+'IDC-NSW'!H43+'IDC-VIC'!H43</f>
        <v/>
      </c>
      <c r="I43" s="24">
        <f>'NSW-1'!I43+'VIC-1'!I43+'QLD-1'!I43+'NSW-2'!I43+'VIC-2'!I43+'QLD-2'!I43+'SA-1'!I43+'WA-1'!I43+'IDC-NSW'!I43+'IDC-VIC'!I43</f>
        <v/>
      </c>
      <c r="J43" s="24">
        <f>'NSW-1'!J43+'VIC-1'!J43+'QLD-1'!J43+'NSW-2'!J43+'VIC-2'!J43+'QLD-2'!J43+'SA-1'!J43+'WA-1'!J43+'IDC-NSW'!J43+'IDC-VIC'!J43</f>
        <v/>
      </c>
      <c r="K43" s="28">
        <f>IFERROR(F43/G43,0)</f>
        <v/>
      </c>
      <c r="L43" s="29">
        <f>IFERROR(H43/G43,0)</f>
        <v/>
      </c>
      <c r="M43" s="30">
        <f>IFERROR(J43/F43,0)</f>
        <v/>
      </c>
      <c r="N43" s="10">
        <f>IFERROR(J43/E43,0)</f>
        <v/>
      </c>
      <c r="O43" s="10">
        <f>IFERROR(I43/J43,0)</f>
        <v/>
      </c>
      <c r="R43">
        <f>Inputs!$A$45</f>
        <v/>
      </c>
      <c r="S43" s="10">
        <f>IFERROR(SUMIFS('IDC-VIC'!$J$15:$J$62,'IDC-VIC'!$B$15:$B$62,2025)/SUMIFS('IDC-VIC'!$E$15:$E$62,'IDC-VIC'!$B$15:$B$62,2025),0)</f>
        <v/>
      </c>
      <c r="T43" s="10">
        <f>IFERROR(SUMIFS('IDC-VIC'!$J$15:$J$62,'IDC-VIC'!$B$15:$B$62,2026)/SUMIFS('IDC-VIC'!$E$15:$E$62,'IDC-VIC'!$B$15:$B$62,2026),0)</f>
        <v/>
      </c>
      <c r="U43" s="10">
        <f>IFERROR(SUMIFS('IDC-VIC'!$J$15:$J$62,'IDC-VIC'!$B$15:$B$62,2027)/SUMIFS('IDC-VIC'!$E$15:$E$62,'IDC-VIC'!$B$15:$B$62,2027),0)</f>
        <v/>
      </c>
      <c r="V43" s="10">
        <f>IFERROR(SUMIFS('IDC-VIC'!$J$15:$J$62,'IDC-VIC'!$B$15:$B$62,2028)/SUMIFS('IDC-VIC'!$E$15:$E$62,'IDC-VIC'!$B$15:$B$62,2028),0)</f>
        <v/>
      </c>
    </row>
    <row r="44">
      <c r="A44" s="8" t="n">
        <v>46539</v>
      </c>
      <c r="B44" s="26">
        <f>YEAR(A44)</f>
        <v/>
      </c>
      <c r="C44" s="26">
        <f>MONTH(A44)</f>
        <v/>
      </c>
      <c r="D44">
        <f>IF(A44&lt;=LastActual,"Actual","Forecast")</f>
        <v/>
      </c>
      <c r="E44" s="24">
        <f>'NSW-1'!E44+'VIC-1'!E44+'QLD-1'!E44+'NSW-2'!E44+'VIC-2'!E44+'QLD-2'!E44+'SA-1'!E44+'WA-1'!E44</f>
        <v/>
      </c>
      <c r="F44" s="27">
        <f>'NSW-1'!F44+'VIC-1'!F44+'QLD-1'!F44+'NSW-2'!F44+'VIC-2'!F44+'QLD-2'!F44+'SA-1'!F44+'WA-1'!F44+'IDC-NSW'!F44+'IDC-VIC'!F44</f>
        <v/>
      </c>
      <c r="G44" s="9">
        <f>'NSW-1'!G44+'VIC-1'!G44+'QLD-1'!G44+'NSW-2'!G44+'VIC-2'!G44+'QLD-2'!G44+'SA-1'!G44+'WA-1'!G44+'IDC-NSW'!G44+'IDC-VIC'!G44</f>
        <v/>
      </c>
      <c r="H44" s="24">
        <f>'NSW-1'!H44+'VIC-1'!H44+'QLD-1'!H44+'NSW-2'!H44+'VIC-2'!H44+'QLD-2'!H44+'SA-1'!H44+'WA-1'!H44+'IDC-NSW'!H44+'IDC-VIC'!H44</f>
        <v/>
      </c>
      <c r="I44" s="24">
        <f>'NSW-1'!I44+'VIC-1'!I44+'QLD-1'!I44+'NSW-2'!I44+'VIC-2'!I44+'QLD-2'!I44+'SA-1'!I44+'WA-1'!I44+'IDC-NSW'!I44+'IDC-VIC'!I44</f>
        <v/>
      </c>
      <c r="J44" s="24">
        <f>'NSW-1'!J44+'VIC-1'!J44+'QLD-1'!J44+'NSW-2'!J44+'VIC-2'!J44+'QLD-2'!J44+'SA-1'!J44+'WA-1'!J44+'IDC-NSW'!J44+'IDC-VIC'!J44</f>
        <v/>
      </c>
      <c r="K44" s="28">
        <f>IFERROR(F44/G44,0)</f>
        <v/>
      </c>
      <c r="L44" s="29">
        <f>IFERROR(H44/G44,0)</f>
        <v/>
      </c>
      <c r="M44" s="30">
        <f>IFERROR(J44/F44,0)</f>
        <v/>
      </c>
      <c r="N44" s="10">
        <f>IFERROR(J44/E44,0)</f>
        <v/>
      </c>
      <c r="O44" s="10">
        <f>IFERROR(I44/J44,0)</f>
        <v/>
      </c>
    </row>
    <row r="45">
      <c r="A45" s="8" t="n">
        <v>46569</v>
      </c>
      <c r="B45" s="26">
        <f>YEAR(A45)</f>
        <v/>
      </c>
      <c r="C45" s="26">
        <f>MONTH(A45)</f>
        <v/>
      </c>
      <c r="D45">
        <f>IF(A45&lt;=LastActual,"Actual","Forecast")</f>
        <v/>
      </c>
      <c r="E45" s="24">
        <f>'NSW-1'!E45+'VIC-1'!E45+'QLD-1'!E45+'NSW-2'!E45+'VIC-2'!E45+'QLD-2'!E45+'SA-1'!E45+'WA-1'!E45</f>
        <v/>
      </c>
      <c r="F45" s="27">
        <f>'NSW-1'!F45+'VIC-1'!F45+'QLD-1'!F45+'NSW-2'!F45+'VIC-2'!F45+'QLD-2'!F45+'SA-1'!F45+'WA-1'!F45+'IDC-NSW'!F45+'IDC-VIC'!F45</f>
        <v/>
      </c>
      <c r="G45" s="9">
        <f>'NSW-1'!G45+'VIC-1'!G45+'QLD-1'!G45+'NSW-2'!G45+'VIC-2'!G45+'QLD-2'!G45+'SA-1'!G45+'WA-1'!G45+'IDC-NSW'!G45+'IDC-VIC'!G45</f>
        <v/>
      </c>
      <c r="H45" s="24">
        <f>'NSW-1'!H45+'VIC-1'!H45+'QLD-1'!H45+'NSW-2'!H45+'VIC-2'!H45+'QLD-2'!H45+'SA-1'!H45+'WA-1'!H45+'IDC-NSW'!H45+'IDC-VIC'!H45</f>
        <v/>
      </c>
      <c r="I45" s="24">
        <f>'NSW-1'!I45+'VIC-1'!I45+'QLD-1'!I45+'NSW-2'!I45+'VIC-2'!I45+'QLD-2'!I45+'SA-1'!I45+'WA-1'!I45+'IDC-NSW'!I45+'IDC-VIC'!I45</f>
        <v/>
      </c>
      <c r="J45" s="24">
        <f>'NSW-1'!J45+'VIC-1'!J45+'QLD-1'!J45+'NSW-2'!J45+'VIC-2'!J45+'QLD-2'!J45+'SA-1'!J45+'WA-1'!J45+'IDC-NSW'!J45+'IDC-VIC'!J45</f>
        <v/>
      </c>
      <c r="K45" s="28">
        <f>IFERROR(F45/G45,0)</f>
        <v/>
      </c>
      <c r="L45" s="29">
        <f>IFERROR(H45/G45,0)</f>
        <v/>
      </c>
      <c r="M45" s="30">
        <f>IFERROR(J45/F45,0)</f>
        <v/>
      </c>
      <c r="N45" s="10">
        <f>IFERROR(J45/E45,0)</f>
        <v/>
      </c>
      <c r="O45" s="10">
        <f>IFERROR(I45/J45,0)</f>
        <v/>
      </c>
    </row>
    <row r="46">
      <c r="A46" s="8" t="n">
        <v>46600</v>
      </c>
      <c r="B46" s="26">
        <f>YEAR(A46)</f>
        <v/>
      </c>
      <c r="C46" s="26">
        <f>MONTH(A46)</f>
        <v/>
      </c>
      <c r="D46">
        <f>IF(A46&lt;=LastActual,"Actual","Forecast")</f>
        <v/>
      </c>
      <c r="E46" s="24">
        <f>'NSW-1'!E46+'VIC-1'!E46+'QLD-1'!E46+'NSW-2'!E46+'VIC-2'!E46+'QLD-2'!E46+'SA-1'!E46+'WA-1'!E46</f>
        <v/>
      </c>
      <c r="F46" s="27">
        <f>'NSW-1'!F46+'VIC-1'!F46+'QLD-1'!F46+'NSW-2'!F46+'VIC-2'!F46+'QLD-2'!F46+'SA-1'!F46+'WA-1'!F46+'IDC-NSW'!F46+'IDC-VIC'!F46</f>
        <v/>
      </c>
      <c r="G46" s="9">
        <f>'NSW-1'!G46+'VIC-1'!G46+'QLD-1'!G46+'NSW-2'!G46+'VIC-2'!G46+'QLD-2'!G46+'SA-1'!G46+'WA-1'!G46+'IDC-NSW'!G46+'IDC-VIC'!G46</f>
        <v/>
      </c>
      <c r="H46" s="24">
        <f>'NSW-1'!H46+'VIC-1'!H46+'QLD-1'!H46+'NSW-2'!H46+'VIC-2'!H46+'QLD-2'!H46+'SA-1'!H46+'WA-1'!H46+'IDC-NSW'!H46+'IDC-VIC'!H46</f>
        <v/>
      </c>
      <c r="I46" s="24">
        <f>'NSW-1'!I46+'VIC-1'!I46+'QLD-1'!I46+'NSW-2'!I46+'VIC-2'!I46+'QLD-2'!I46+'SA-1'!I46+'WA-1'!I46+'IDC-NSW'!I46+'IDC-VIC'!I46</f>
        <v/>
      </c>
      <c r="J46" s="24">
        <f>'NSW-1'!J46+'VIC-1'!J46+'QLD-1'!J46+'NSW-2'!J46+'VIC-2'!J46+'QLD-2'!J46+'SA-1'!J46+'WA-1'!J46+'IDC-NSW'!J46+'IDC-VIC'!J46</f>
        <v/>
      </c>
      <c r="K46" s="28">
        <f>IFERROR(F46/G46,0)</f>
        <v/>
      </c>
      <c r="L46" s="29">
        <f>IFERROR(H46/G46,0)</f>
        <v/>
      </c>
      <c r="M46" s="30">
        <f>IFERROR(J46/F46,0)</f>
        <v/>
      </c>
      <c r="N46" s="10">
        <f>IFERROR(J46/E46,0)</f>
        <v/>
      </c>
      <c r="O46" s="10">
        <f>IFERROR(I46/J46,0)</f>
        <v/>
      </c>
      <c r="R46" s="1" t="inlineStr">
        <is>
          <t>CPLH (cases / hr)</t>
        </is>
      </c>
    </row>
    <row r="47">
      <c r="A47" s="8" t="n">
        <v>46631</v>
      </c>
      <c r="B47" s="26">
        <f>YEAR(A47)</f>
        <v/>
      </c>
      <c r="C47" s="26">
        <f>MONTH(A47)</f>
        <v/>
      </c>
      <c r="D47">
        <f>IF(A47&lt;=LastActual,"Actual","Forecast")</f>
        <v/>
      </c>
      <c r="E47" s="24">
        <f>'NSW-1'!E47+'VIC-1'!E47+'QLD-1'!E47+'NSW-2'!E47+'VIC-2'!E47+'QLD-2'!E47+'SA-1'!E47+'WA-1'!E47</f>
        <v/>
      </c>
      <c r="F47" s="27">
        <f>'NSW-1'!F47+'VIC-1'!F47+'QLD-1'!F47+'NSW-2'!F47+'VIC-2'!F47+'QLD-2'!F47+'SA-1'!F47+'WA-1'!F47+'IDC-NSW'!F47+'IDC-VIC'!F47</f>
        <v/>
      </c>
      <c r="G47" s="9">
        <f>'NSW-1'!G47+'VIC-1'!G47+'QLD-1'!G47+'NSW-2'!G47+'VIC-2'!G47+'QLD-2'!G47+'SA-1'!G47+'WA-1'!G47+'IDC-NSW'!G47+'IDC-VIC'!G47</f>
        <v/>
      </c>
      <c r="H47" s="24">
        <f>'NSW-1'!H47+'VIC-1'!H47+'QLD-1'!H47+'NSW-2'!H47+'VIC-2'!H47+'QLD-2'!H47+'SA-1'!H47+'WA-1'!H47+'IDC-NSW'!H47+'IDC-VIC'!H47</f>
        <v/>
      </c>
      <c r="I47" s="24">
        <f>'NSW-1'!I47+'VIC-1'!I47+'QLD-1'!I47+'NSW-2'!I47+'VIC-2'!I47+'QLD-2'!I47+'SA-1'!I47+'WA-1'!I47+'IDC-NSW'!I47+'IDC-VIC'!I47</f>
        <v/>
      </c>
      <c r="J47" s="24">
        <f>'NSW-1'!J47+'VIC-1'!J47+'QLD-1'!J47+'NSW-2'!J47+'VIC-2'!J47+'QLD-2'!J47+'SA-1'!J47+'WA-1'!J47+'IDC-NSW'!J47+'IDC-VIC'!J47</f>
        <v/>
      </c>
      <c r="K47" s="28">
        <f>IFERROR(F47/G47,0)</f>
        <v/>
      </c>
      <c r="L47" s="29">
        <f>IFERROR(H47/G47,0)</f>
        <v/>
      </c>
      <c r="M47" s="30">
        <f>IFERROR(J47/F47,0)</f>
        <v/>
      </c>
      <c r="N47" s="10">
        <f>IFERROR(J47/E47,0)</f>
        <v/>
      </c>
      <c r="O47" s="10">
        <f>IFERROR(I47/J47,0)</f>
        <v/>
      </c>
      <c r="R47" s="5" t="inlineStr">
        <is>
          <t>Site</t>
        </is>
      </c>
      <c r="S47" s="5" t="inlineStr">
        <is>
          <t>FY2025</t>
        </is>
      </c>
      <c r="T47" s="5" t="inlineStr">
        <is>
          <t>FY2026</t>
        </is>
      </c>
      <c r="U47" s="5" t="inlineStr">
        <is>
          <t>FY2027</t>
        </is>
      </c>
      <c r="V47" s="5" t="inlineStr">
        <is>
          <t>FY2028</t>
        </is>
      </c>
    </row>
    <row r="48">
      <c r="A48" s="8" t="n">
        <v>46661</v>
      </c>
      <c r="B48" s="26">
        <f>YEAR(A48)</f>
        <v/>
      </c>
      <c r="C48" s="26">
        <f>MONTH(A48)</f>
        <v/>
      </c>
      <c r="D48">
        <f>IF(A48&lt;=LastActual,"Actual","Forecast")</f>
        <v/>
      </c>
      <c r="E48" s="24">
        <f>'NSW-1'!E48+'VIC-1'!E48+'QLD-1'!E48+'NSW-2'!E48+'VIC-2'!E48+'QLD-2'!E48+'SA-1'!E48+'WA-1'!E48</f>
        <v/>
      </c>
      <c r="F48" s="27">
        <f>'NSW-1'!F48+'VIC-1'!F48+'QLD-1'!F48+'NSW-2'!F48+'VIC-2'!F48+'QLD-2'!F48+'SA-1'!F48+'WA-1'!F48+'IDC-NSW'!F48+'IDC-VIC'!F48</f>
        <v/>
      </c>
      <c r="G48" s="9">
        <f>'NSW-1'!G48+'VIC-1'!G48+'QLD-1'!G48+'NSW-2'!G48+'VIC-2'!G48+'QLD-2'!G48+'SA-1'!G48+'WA-1'!G48+'IDC-NSW'!G48+'IDC-VIC'!G48</f>
        <v/>
      </c>
      <c r="H48" s="24">
        <f>'NSW-1'!H48+'VIC-1'!H48+'QLD-1'!H48+'NSW-2'!H48+'VIC-2'!H48+'QLD-2'!H48+'SA-1'!H48+'WA-1'!H48+'IDC-NSW'!H48+'IDC-VIC'!H48</f>
        <v/>
      </c>
      <c r="I48" s="24">
        <f>'NSW-1'!I48+'VIC-1'!I48+'QLD-1'!I48+'NSW-2'!I48+'VIC-2'!I48+'QLD-2'!I48+'SA-1'!I48+'WA-1'!I48+'IDC-NSW'!I48+'IDC-VIC'!I48</f>
        <v/>
      </c>
      <c r="J48" s="24">
        <f>'NSW-1'!J48+'VIC-1'!J48+'QLD-1'!J48+'NSW-2'!J48+'VIC-2'!J48+'QLD-2'!J48+'SA-1'!J48+'WA-1'!J48+'IDC-NSW'!J48+'IDC-VIC'!J48</f>
        <v/>
      </c>
      <c r="K48" s="28">
        <f>IFERROR(F48/G48,0)</f>
        <v/>
      </c>
      <c r="L48" s="29">
        <f>IFERROR(H48/G48,0)</f>
        <v/>
      </c>
      <c r="M48" s="30">
        <f>IFERROR(J48/F48,0)</f>
        <v/>
      </c>
      <c r="N48" s="10">
        <f>IFERROR(J48/E48,0)</f>
        <v/>
      </c>
      <c r="O48" s="10">
        <f>IFERROR(I48/J48,0)</f>
        <v/>
      </c>
      <c r="R48">
        <f>Inputs!$A$36</f>
        <v/>
      </c>
      <c r="S48" s="28">
        <f>IFERROR(SUMIFS('NSW-1'!$F$15:$F$62,'NSW-1'!$B$15:$B$62,2025)/SUMIFS('NSW-1'!$G$15:$G$62,'NSW-1'!$B$15:$B$62,2025),0)</f>
        <v/>
      </c>
      <c r="T48" s="28">
        <f>IFERROR(SUMIFS('NSW-1'!$F$15:$F$62,'NSW-1'!$B$15:$B$62,2026)/SUMIFS('NSW-1'!$G$15:$G$62,'NSW-1'!$B$15:$B$62,2026),0)</f>
        <v/>
      </c>
      <c r="U48" s="28">
        <f>IFERROR(SUMIFS('NSW-1'!$F$15:$F$62,'NSW-1'!$B$15:$B$62,2027)/SUMIFS('NSW-1'!$G$15:$G$62,'NSW-1'!$B$15:$B$62,2027),0)</f>
        <v/>
      </c>
      <c r="V48" s="28">
        <f>IFERROR(SUMIFS('NSW-1'!$F$15:$F$62,'NSW-1'!$B$15:$B$62,2028)/SUMIFS('NSW-1'!$G$15:$G$62,'NSW-1'!$B$15:$B$62,2028),0)</f>
        <v/>
      </c>
    </row>
    <row r="49">
      <c r="A49" s="8" t="n">
        <v>46692</v>
      </c>
      <c r="B49" s="26">
        <f>YEAR(A49)</f>
        <v/>
      </c>
      <c r="C49" s="26">
        <f>MONTH(A49)</f>
        <v/>
      </c>
      <c r="D49">
        <f>IF(A49&lt;=LastActual,"Actual","Forecast")</f>
        <v/>
      </c>
      <c r="E49" s="24">
        <f>'NSW-1'!E49+'VIC-1'!E49+'QLD-1'!E49+'NSW-2'!E49+'VIC-2'!E49+'QLD-2'!E49+'SA-1'!E49+'WA-1'!E49</f>
        <v/>
      </c>
      <c r="F49" s="27">
        <f>'NSW-1'!F49+'VIC-1'!F49+'QLD-1'!F49+'NSW-2'!F49+'VIC-2'!F49+'QLD-2'!F49+'SA-1'!F49+'WA-1'!F49+'IDC-NSW'!F49+'IDC-VIC'!F49</f>
        <v/>
      </c>
      <c r="G49" s="9">
        <f>'NSW-1'!G49+'VIC-1'!G49+'QLD-1'!G49+'NSW-2'!G49+'VIC-2'!G49+'QLD-2'!G49+'SA-1'!G49+'WA-1'!G49+'IDC-NSW'!G49+'IDC-VIC'!G49</f>
        <v/>
      </c>
      <c r="H49" s="24">
        <f>'NSW-1'!H49+'VIC-1'!H49+'QLD-1'!H49+'NSW-2'!H49+'VIC-2'!H49+'QLD-2'!H49+'SA-1'!H49+'WA-1'!H49+'IDC-NSW'!H49+'IDC-VIC'!H49</f>
        <v/>
      </c>
      <c r="I49" s="24">
        <f>'NSW-1'!I49+'VIC-1'!I49+'QLD-1'!I49+'NSW-2'!I49+'VIC-2'!I49+'QLD-2'!I49+'SA-1'!I49+'WA-1'!I49+'IDC-NSW'!I49+'IDC-VIC'!I49</f>
        <v/>
      </c>
      <c r="J49" s="24">
        <f>'NSW-1'!J49+'VIC-1'!J49+'QLD-1'!J49+'NSW-2'!J49+'VIC-2'!J49+'QLD-2'!J49+'SA-1'!J49+'WA-1'!J49+'IDC-NSW'!J49+'IDC-VIC'!J49</f>
        <v/>
      </c>
      <c r="K49" s="28">
        <f>IFERROR(F49/G49,0)</f>
        <v/>
      </c>
      <c r="L49" s="29">
        <f>IFERROR(H49/G49,0)</f>
        <v/>
      </c>
      <c r="M49" s="30">
        <f>IFERROR(J49/F49,0)</f>
        <v/>
      </c>
      <c r="N49" s="10">
        <f>IFERROR(J49/E49,0)</f>
        <v/>
      </c>
      <c r="O49" s="10">
        <f>IFERROR(I49/J49,0)</f>
        <v/>
      </c>
      <c r="R49">
        <f>Inputs!$A$37</f>
        <v/>
      </c>
      <c r="S49" s="28">
        <f>IFERROR(SUMIFS('VIC-1'!$F$15:$F$62,'VIC-1'!$B$15:$B$62,2025)/SUMIFS('VIC-1'!$G$15:$G$62,'VIC-1'!$B$15:$B$62,2025),0)</f>
        <v/>
      </c>
      <c r="T49" s="28">
        <f>IFERROR(SUMIFS('VIC-1'!$F$15:$F$62,'VIC-1'!$B$15:$B$62,2026)/SUMIFS('VIC-1'!$G$15:$G$62,'VIC-1'!$B$15:$B$62,2026),0)</f>
        <v/>
      </c>
      <c r="U49" s="28">
        <f>IFERROR(SUMIFS('VIC-1'!$F$15:$F$62,'VIC-1'!$B$15:$B$62,2027)/SUMIFS('VIC-1'!$G$15:$G$62,'VIC-1'!$B$15:$B$62,2027),0)</f>
        <v/>
      </c>
      <c r="V49" s="28">
        <f>IFERROR(SUMIFS('VIC-1'!$F$15:$F$62,'VIC-1'!$B$15:$B$62,2028)/SUMIFS('VIC-1'!$G$15:$G$62,'VIC-1'!$B$15:$B$62,2028),0)</f>
        <v/>
      </c>
    </row>
    <row r="50">
      <c r="A50" s="31" t="n">
        <v>46722</v>
      </c>
      <c r="B50" s="32">
        <f>YEAR(A50)</f>
        <v/>
      </c>
      <c r="C50" s="32">
        <f>MONTH(A50)</f>
        <v/>
      </c>
      <c r="D50" s="33">
        <f>IF(A50&lt;=LastActual,"Actual","Forecast")</f>
        <v/>
      </c>
      <c r="E50" s="34">
        <f>'NSW-1'!E50+'VIC-1'!E50+'QLD-1'!E50+'NSW-2'!E50+'VIC-2'!E50+'QLD-2'!E50+'SA-1'!E50+'WA-1'!E50</f>
        <v/>
      </c>
      <c r="F50" s="35">
        <f>'NSW-1'!F50+'VIC-1'!F50+'QLD-1'!F50+'NSW-2'!F50+'VIC-2'!F50+'QLD-2'!F50+'SA-1'!F50+'WA-1'!F50+'IDC-NSW'!F50+'IDC-VIC'!F50</f>
        <v/>
      </c>
      <c r="G50" s="36">
        <f>'NSW-1'!G50+'VIC-1'!G50+'QLD-1'!G50+'NSW-2'!G50+'VIC-2'!G50+'QLD-2'!G50+'SA-1'!G50+'WA-1'!G50+'IDC-NSW'!G50+'IDC-VIC'!G50</f>
        <v/>
      </c>
      <c r="H50" s="34">
        <f>'NSW-1'!H50+'VIC-1'!H50+'QLD-1'!H50+'NSW-2'!H50+'VIC-2'!H50+'QLD-2'!H50+'SA-1'!H50+'WA-1'!H50+'IDC-NSW'!H50+'IDC-VIC'!H50</f>
        <v/>
      </c>
      <c r="I50" s="34">
        <f>'NSW-1'!I50+'VIC-1'!I50+'QLD-1'!I50+'NSW-2'!I50+'VIC-2'!I50+'QLD-2'!I50+'SA-1'!I50+'WA-1'!I50+'IDC-NSW'!I50+'IDC-VIC'!I50</f>
        <v/>
      </c>
      <c r="J50" s="34">
        <f>'NSW-1'!J50+'VIC-1'!J50+'QLD-1'!J50+'NSW-2'!J50+'VIC-2'!J50+'QLD-2'!J50+'SA-1'!J50+'WA-1'!J50+'IDC-NSW'!J50+'IDC-VIC'!J50</f>
        <v/>
      </c>
      <c r="K50" s="37">
        <f>IFERROR(F50/G50,0)</f>
        <v/>
      </c>
      <c r="L50" s="38">
        <f>IFERROR(H50/G50,0)</f>
        <v/>
      </c>
      <c r="M50" s="39">
        <f>IFERROR(J50/F50,0)</f>
        <v/>
      </c>
      <c r="N50" s="40">
        <f>IFERROR(J50/E50,0)</f>
        <v/>
      </c>
      <c r="O50" s="40">
        <f>IFERROR(I50/J50,0)</f>
        <v/>
      </c>
      <c r="R50">
        <f>Inputs!$A$38</f>
        <v/>
      </c>
      <c r="S50" s="28">
        <f>IFERROR(SUMIFS('QLD-1'!$F$15:$F$62,'QLD-1'!$B$15:$B$62,2025)/SUMIFS('QLD-1'!$G$15:$G$62,'QLD-1'!$B$15:$B$62,2025),0)</f>
        <v/>
      </c>
      <c r="T50" s="28">
        <f>IFERROR(SUMIFS('QLD-1'!$F$15:$F$62,'QLD-1'!$B$15:$B$62,2026)/SUMIFS('QLD-1'!$G$15:$G$62,'QLD-1'!$B$15:$B$62,2026),0)</f>
        <v/>
      </c>
      <c r="U50" s="28">
        <f>IFERROR(SUMIFS('QLD-1'!$F$15:$F$62,'QLD-1'!$B$15:$B$62,2027)/SUMIFS('QLD-1'!$G$15:$G$62,'QLD-1'!$B$15:$B$62,2027),0)</f>
        <v/>
      </c>
      <c r="V50" s="28">
        <f>IFERROR(SUMIFS('QLD-1'!$F$15:$F$62,'QLD-1'!$B$15:$B$62,2028)/SUMIFS('QLD-1'!$G$15:$G$62,'QLD-1'!$B$15:$B$62,2028),0)</f>
        <v/>
      </c>
    </row>
    <row r="51">
      <c r="A51" s="8" t="n">
        <v>46753</v>
      </c>
      <c r="B51" s="26">
        <f>YEAR(A51)</f>
        <v/>
      </c>
      <c r="C51" s="26">
        <f>MONTH(A51)</f>
        <v/>
      </c>
      <c r="D51">
        <f>IF(A51&lt;=LastActual,"Actual","Forecast")</f>
        <v/>
      </c>
      <c r="E51" s="24">
        <f>'NSW-1'!E51+'VIC-1'!E51+'QLD-1'!E51+'NSW-2'!E51+'VIC-2'!E51+'QLD-2'!E51+'SA-1'!E51+'WA-1'!E51</f>
        <v/>
      </c>
      <c r="F51" s="27">
        <f>'NSW-1'!F51+'VIC-1'!F51+'QLD-1'!F51+'NSW-2'!F51+'VIC-2'!F51+'QLD-2'!F51+'SA-1'!F51+'WA-1'!F51+'IDC-NSW'!F51+'IDC-VIC'!F51</f>
        <v/>
      </c>
      <c r="G51" s="9">
        <f>'NSW-1'!G51+'VIC-1'!G51+'QLD-1'!G51+'NSW-2'!G51+'VIC-2'!G51+'QLD-2'!G51+'SA-1'!G51+'WA-1'!G51+'IDC-NSW'!G51+'IDC-VIC'!G51</f>
        <v/>
      </c>
      <c r="H51" s="24">
        <f>'NSW-1'!H51+'VIC-1'!H51+'QLD-1'!H51+'NSW-2'!H51+'VIC-2'!H51+'QLD-2'!H51+'SA-1'!H51+'WA-1'!H51+'IDC-NSW'!H51+'IDC-VIC'!H51</f>
        <v/>
      </c>
      <c r="I51" s="24">
        <f>'NSW-1'!I51+'VIC-1'!I51+'QLD-1'!I51+'NSW-2'!I51+'VIC-2'!I51+'QLD-2'!I51+'SA-1'!I51+'WA-1'!I51+'IDC-NSW'!I51+'IDC-VIC'!I51</f>
        <v/>
      </c>
      <c r="J51" s="24">
        <f>'NSW-1'!J51+'VIC-1'!J51+'QLD-1'!J51+'NSW-2'!J51+'VIC-2'!J51+'QLD-2'!J51+'SA-1'!J51+'WA-1'!J51+'IDC-NSW'!J51+'IDC-VIC'!J51</f>
        <v/>
      </c>
      <c r="K51" s="28">
        <f>IFERROR(F51/G51,0)</f>
        <v/>
      </c>
      <c r="L51" s="29">
        <f>IFERROR(H51/G51,0)</f>
        <v/>
      </c>
      <c r="M51" s="30">
        <f>IFERROR(J51/F51,0)</f>
        <v/>
      </c>
      <c r="N51" s="10">
        <f>IFERROR(J51/E51,0)</f>
        <v/>
      </c>
      <c r="O51" s="10">
        <f>IFERROR(I51/J51,0)</f>
        <v/>
      </c>
      <c r="R51">
        <f>Inputs!$A$39</f>
        <v/>
      </c>
      <c r="S51" s="28">
        <f>IFERROR(SUMIFS('NSW-2'!$F$15:$F$62,'NSW-2'!$B$15:$B$62,2025)/SUMIFS('NSW-2'!$G$15:$G$62,'NSW-2'!$B$15:$B$62,2025),0)</f>
        <v/>
      </c>
      <c r="T51" s="28">
        <f>IFERROR(SUMIFS('NSW-2'!$F$15:$F$62,'NSW-2'!$B$15:$B$62,2026)/SUMIFS('NSW-2'!$G$15:$G$62,'NSW-2'!$B$15:$B$62,2026),0)</f>
        <v/>
      </c>
      <c r="U51" s="28">
        <f>IFERROR(SUMIFS('NSW-2'!$F$15:$F$62,'NSW-2'!$B$15:$B$62,2027)/SUMIFS('NSW-2'!$G$15:$G$62,'NSW-2'!$B$15:$B$62,2027),0)</f>
        <v/>
      </c>
      <c r="V51" s="28">
        <f>IFERROR(SUMIFS('NSW-2'!$F$15:$F$62,'NSW-2'!$B$15:$B$62,2028)/SUMIFS('NSW-2'!$G$15:$G$62,'NSW-2'!$B$15:$B$62,2028),0)</f>
        <v/>
      </c>
    </row>
    <row r="52">
      <c r="A52" s="8" t="n">
        <v>46784</v>
      </c>
      <c r="B52" s="26">
        <f>YEAR(A52)</f>
        <v/>
      </c>
      <c r="C52" s="26">
        <f>MONTH(A52)</f>
        <v/>
      </c>
      <c r="D52">
        <f>IF(A52&lt;=LastActual,"Actual","Forecast")</f>
        <v/>
      </c>
      <c r="E52" s="24">
        <f>'NSW-1'!E52+'VIC-1'!E52+'QLD-1'!E52+'NSW-2'!E52+'VIC-2'!E52+'QLD-2'!E52+'SA-1'!E52+'WA-1'!E52</f>
        <v/>
      </c>
      <c r="F52" s="27">
        <f>'NSW-1'!F52+'VIC-1'!F52+'QLD-1'!F52+'NSW-2'!F52+'VIC-2'!F52+'QLD-2'!F52+'SA-1'!F52+'WA-1'!F52+'IDC-NSW'!F52+'IDC-VIC'!F52</f>
        <v/>
      </c>
      <c r="G52" s="9">
        <f>'NSW-1'!G52+'VIC-1'!G52+'QLD-1'!G52+'NSW-2'!G52+'VIC-2'!G52+'QLD-2'!G52+'SA-1'!G52+'WA-1'!G52+'IDC-NSW'!G52+'IDC-VIC'!G52</f>
        <v/>
      </c>
      <c r="H52" s="24">
        <f>'NSW-1'!H52+'VIC-1'!H52+'QLD-1'!H52+'NSW-2'!H52+'VIC-2'!H52+'QLD-2'!H52+'SA-1'!H52+'WA-1'!H52+'IDC-NSW'!H52+'IDC-VIC'!H52</f>
        <v/>
      </c>
      <c r="I52" s="24">
        <f>'NSW-1'!I52+'VIC-1'!I52+'QLD-1'!I52+'NSW-2'!I52+'VIC-2'!I52+'QLD-2'!I52+'SA-1'!I52+'WA-1'!I52+'IDC-NSW'!I52+'IDC-VIC'!I52</f>
        <v/>
      </c>
      <c r="J52" s="24">
        <f>'NSW-1'!J52+'VIC-1'!J52+'QLD-1'!J52+'NSW-2'!J52+'VIC-2'!J52+'QLD-2'!J52+'SA-1'!J52+'WA-1'!J52+'IDC-NSW'!J52+'IDC-VIC'!J52</f>
        <v/>
      </c>
      <c r="K52" s="28">
        <f>IFERROR(F52/G52,0)</f>
        <v/>
      </c>
      <c r="L52" s="29">
        <f>IFERROR(H52/G52,0)</f>
        <v/>
      </c>
      <c r="M52" s="30">
        <f>IFERROR(J52/F52,0)</f>
        <v/>
      </c>
      <c r="N52" s="10">
        <f>IFERROR(J52/E52,0)</f>
        <v/>
      </c>
      <c r="O52" s="10">
        <f>IFERROR(I52/J52,0)</f>
        <v/>
      </c>
      <c r="R52">
        <f>Inputs!$A$40</f>
        <v/>
      </c>
      <c r="S52" s="28">
        <f>IFERROR(SUMIFS('VIC-2'!$F$15:$F$62,'VIC-2'!$B$15:$B$62,2025)/SUMIFS('VIC-2'!$G$15:$G$62,'VIC-2'!$B$15:$B$62,2025),0)</f>
        <v/>
      </c>
      <c r="T52" s="28">
        <f>IFERROR(SUMIFS('VIC-2'!$F$15:$F$62,'VIC-2'!$B$15:$B$62,2026)/SUMIFS('VIC-2'!$G$15:$G$62,'VIC-2'!$B$15:$B$62,2026),0)</f>
        <v/>
      </c>
      <c r="U52" s="28">
        <f>IFERROR(SUMIFS('VIC-2'!$F$15:$F$62,'VIC-2'!$B$15:$B$62,2027)/SUMIFS('VIC-2'!$G$15:$G$62,'VIC-2'!$B$15:$B$62,2027),0)</f>
        <v/>
      </c>
      <c r="V52" s="28">
        <f>IFERROR(SUMIFS('VIC-2'!$F$15:$F$62,'VIC-2'!$B$15:$B$62,2028)/SUMIFS('VIC-2'!$G$15:$G$62,'VIC-2'!$B$15:$B$62,2028),0)</f>
        <v/>
      </c>
    </row>
    <row r="53">
      <c r="A53" s="8" t="n">
        <v>46813</v>
      </c>
      <c r="B53" s="26">
        <f>YEAR(A53)</f>
        <v/>
      </c>
      <c r="C53" s="26">
        <f>MONTH(A53)</f>
        <v/>
      </c>
      <c r="D53">
        <f>IF(A53&lt;=LastActual,"Actual","Forecast")</f>
        <v/>
      </c>
      <c r="E53" s="24">
        <f>'NSW-1'!E53+'VIC-1'!E53+'QLD-1'!E53+'NSW-2'!E53+'VIC-2'!E53+'QLD-2'!E53+'SA-1'!E53+'WA-1'!E53</f>
        <v/>
      </c>
      <c r="F53" s="27">
        <f>'NSW-1'!F53+'VIC-1'!F53+'QLD-1'!F53+'NSW-2'!F53+'VIC-2'!F53+'QLD-2'!F53+'SA-1'!F53+'WA-1'!F53+'IDC-NSW'!F53+'IDC-VIC'!F53</f>
        <v/>
      </c>
      <c r="G53" s="9">
        <f>'NSW-1'!G53+'VIC-1'!G53+'QLD-1'!G53+'NSW-2'!G53+'VIC-2'!G53+'QLD-2'!G53+'SA-1'!G53+'WA-1'!G53+'IDC-NSW'!G53+'IDC-VIC'!G53</f>
        <v/>
      </c>
      <c r="H53" s="24">
        <f>'NSW-1'!H53+'VIC-1'!H53+'QLD-1'!H53+'NSW-2'!H53+'VIC-2'!H53+'QLD-2'!H53+'SA-1'!H53+'WA-1'!H53+'IDC-NSW'!H53+'IDC-VIC'!H53</f>
        <v/>
      </c>
      <c r="I53" s="24">
        <f>'NSW-1'!I53+'VIC-1'!I53+'QLD-1'!I53+'NSW-2'!I53+'VIC-2'!I53+'QLD-2'!I53+'SA-1'!I53+'WA-1'!I53+'IDC-NSW'!I53+'IDC-VIC'!I53</f>
        <v/>
      </c>
      <c r="J53" s="24">
        <f>'NSW-1'!J53+'VIC-1'!J53+'QLD-1'!J53+'NSW-2'!J53+'VIC-2'!J53+'QLD-2'!J53+'SA-1'!J53+'WA-1'!J53+'IDC-NSW'!J53+'IDC-VIC'!J53</f>
        <v/>
      </c>
      <c r="K53" s="28">
        <f>IFERROR(F53/G53,0)</f>
        <v/>
      </c>
      <c r="L53" s="29">
        <f>IFERROR(H53/G53,0)</f>
        <v/>
      </c>
      <c r="M53" s="30">
        <f>IFERROR(J53/F53,0)</f>
        <v/>
      </c>
      <c r="N53" s="10">
        <f>IFERROR(J53/E53,0)</f>
        <v/>
      </c>
      <c r="O53" s="10">
        <f>IFERROR(I53/J53,0)</f>
        <v/>
      </c>
      <c r="R53">
        <f>Inputs!$A$41</f>
        <v/>
      </c>
      <c r="S53" s="28">
        <f>IFERROR(SUMIFS('QLD-2'!$F$15:$F$62,'QLD-2'!$B$15:$B$62,2025)/SUMIFS('QLD-2'!$G$15:$G$62,'QLD-2'!$B$15:$B$62,2025),0)</f>
        <v/>
      </c>
      <c r="T53" s="28">
        <f>IFERROR(SUMIFS('QLD-2'!$F$15:$F$62,'QLD-2'!$B$15:$B$62,2026)/SUMIFS('QLD-2'!$G$15:$G$62,'QLD-2'!$B$15:$B$62,2026),0)</f>
        <v/>
      </c>
      <c r="U53" s="28">
        <f>IFERROR(SUMIFS('QLD-2'!$F$15:$F$62,'QLD-2'!$B$15:$B$62,2027)/SUMIFS('QLD-2'!$G$15:$G$62,'QLD-2'!$B$15:$B$62,2027),0)</f>
        <v/>
      </c>
      <c r="V53" s="28">
        <f>IFERROR(SUMIFS('QLD-2'!$F$15:$F$62,'QLD-2'!$B$15:$B$62,2028)/SUMIFS('QLD-2'!$G$15:$G$62,'QLD-2'!$B$15:$B$62,2028),0)</f>
        <v/>
      </c>
    </row>
    <row r="54">
      <c r="A54" s="8" t="n">
        <v>46844</v>
      </c>
      <c r="B54" s="26">
        <f>YEAR(A54)</f>
        <v/>
      </c>
      <c r="C54" s="26">
        <f>MONTH(A54)</f>
        <v/>
      </c>
      <c r="D54">
        <f>IF(A54&lt;=LastActual,"Actual","Forecast")</f>
        <v/>
      </c>
      <c r="E54" s="24">
        <f>'NSW-1'!E54+'VIC-1'!E54+'QLD-1'!E54+'NSW-2'!E54+'VIC-2'!E54+'QLD-2'!E54+'SA-1'!E54+'WA-1'!E54</f>
        <v/>
      </c>
      <c r="F54" s="27">
        <f>'NSW-1'!F54+'VIC-1'!F54+'QLD-1'!F54+'NSW-2'!F54+'VIC-2'!F54+'QLD-2'!F54+'SA-1'!F54+'WA-1'!F54+'IDC-NSW'!F54+'IDC-VIC'!F54</f>
        <v/>
      </c>
      <c r="G54" s="9">
        <f>'NSW-1'!G54+'VIC-1'!G54+'QLD-1'!G54+'NSW-2'!G54+'VIC-2'!G54+'QLD-2'!G54+'SA-1'!G54+'WA-1'!G54+'IDC-NSW'!G54+'IDC-VIC'!G54</f>
        <v/>
      </c>
      <c r="H54" s="24">
        <f>'NSW-1'!H54+'VIC-1'!H54+'QLD-1'!H54+'NSW-2'!H54+'VIC-2'!H54+'QLD-2'!H54+'SA-1'!H54+'WA-1'!H54+'IDC-NSW'!H54+'IDC-VIC'!H54</f>
        <v/>
      </c>
      <c r="I54" s="24">
        <f>'NSW-1'!I54+'VIC-1'!I54+'QLD-1'!I54+'NSW-2'!I54+'VIC-2'!I54+'QLD-2'!I54+'SA-1'!I54+'WA-1'!I54+'IDC-NSW'!I54+'IDC-VIC'!I54</f>
        <v/>
      </c>
      <c r="J54" s="24">
        <f>'NSW-1'!J54+'VIC-1'!J54+'QLD-1'!J54+'NSW-2'!J54+'VIC-2'!J54+'QLD-2'!J54+'SA-1'!J54+'WA-1'!J54+'IDC-NSW'!J54+'IDC-VIC'!J54</f>
        <v/>
      </c>
      <c r="K54" s="28">
        <f>IFERROR(F54/G54,0)</f>
        <v/>
      </c>
      <c r="L54" s="29">
        <f>IFERROR(H54/G54,0)</f>
        <v/>
      </c>
      <c r="M54" s="30">
        <f>IFERROR(J54/F54,0)</f>
        <v/>
      </c>
      <c r="N54" s="10">
        <f>IFERROR(J54/E54,0)</f>
        <v/>
      </c>
      <c r="O54" s="10">
        <f>IFERROR(I54/J54,0)</f>
        <v/>
      </c>
      <c r="R54">
        <f>Inputs!$A$42</f>
        <v/>
      </c>
      <c r="S54" s="28">
        <f>IFERROR(SUMIFS('SA-1'!$F$15:$F$62,'SA-1'!$B$15:$B$62,2025)/SUMIFS('SA-1'!$G$15:$G$62,'SA-1'!$B$15:$B$62,2025),0)</f>
        <v/>
      </c>
      <c r="T54" s="28">
        <f>IFERROR(SUMIFS('SA-1'!$F$15:$F$62,'SA-1'!$B$15:$B$62,2026)/SUMIFS('SA-1'!$G$15:$G$62,'SA-1'!$B$15:$B$62,2026),0)</f>
        <v/>
      </c>
      <c r="U54" s="28">
        <f>IFERROR(SUMIFS('SA-1'!$F$15:$F$62,'SA-1'!$B$15:$B$62,2027)/SUMIFS('SA-1'!$G$15:$G$62,'SA-1'!$B$15:$B$62,2027),0)</f>
        <v/>
      </c>
      <c r="V54" s="28">
        <f>IFERROR(SUMIFS('SA-1'!$F$15:$F$62,'SA-1'!$B$15:$B$62,2028)/SUMIFS('SA-1'!$G$15:$G$62,'SA-1'!$B$15:$B$62,2028),0)</f>
        <v/>
      </c>
    </row>
    <row r="55">
      <c r="A55" s="8" t="n">
        <v>46874</v>
      </c>
      <c r="B55" s="26">
        <f>YEAR(A55)</f>
        <v/>
      </c>
      <c r="C55" s="26">
        <f>MONTH(A55)</f>
        <v/>
      </c>
      <c r="D55">
        <f>IF(A55&lt;=LastActual,"Actual","Forecast")</f>
        <v/>
      </c>
      <c r="E55" s="24">
        <f>'NSW-1'!E55+'VIC-1'!E55+'QLD-1'!E55+'NSW-2'!E55+'VIC-2'!E55+'QLD-2'!E55+'SA-1'!E55+'WA-1'!E55</f>
        <v/>
      </c>
      <c r="F55" s="27">
        <f>'NSW-1'!F55+'VIC-1'!F55+'QLD-1'!F55+'NSW-2'!F55+'VIC-2'!F55+'QLD-2'!F55+'SA-1'!F55+'WA-1'!F55+'IDC-NSW'!F55+'IDC-VIC'!F55</f>
        <v/>
      </c>
      <c r="G55" s="9">
        <f>'NSW-1'!G55+'VIC-1'!G55+'QLD-1'!G55+'NSW-2'!G55+'VIC-2'!G55+'QLD-2'!G55+'SA-1'!G55+'WA-1'!G55+'IDC-NSW'!G55+'IDC-VIC'!G55</f>
        <v/>
      </c>
      <c r="H55" s="24">
        <f>'NSW-1'!H55+'VIC-1'!H55+'QLD-1'!H55+'NSW-2'!H55+'VIC-2'!H55+'QLD-2'!H55+'SA-1'!H55+'WA-1'!H55+'IDC-NSW'!H55+'IDC-VIC'!H55</f>
        <v/>
      </c>
      <c r="I55" s="24">
        <f>'NSW-1'!I55+'VIC-1'!I55+'QLD-1'!I55+'NSW-2'!I55+'VIC-2'!I55+'QLD-2'!I55+'SA-1'!I55+'WA-1'!I55+'IDC-NSW'!I55+'IDC-VIC'!I55</f>
        <v/>
      </c>
      <c r="J55" s="24">
        <f>'NSW-1'!J55+'VIC-1'!J55+'QLD-1'!J55+'NSW-2'!J55+'VIC-2'!J55+'QLD-2'!J55+'SA-1'!J55+'WA-1'!J55+'IDC-NSW'!J55+'IDC-VIC'!J55</f>
        <v/>
      </c>
      <c r="K55" s="28">
        <f>IFERROR(F55/G55,0)</f>
        <v/>
      </c>
      <c r="L55" s="29">
        <f>IFERROR(H55/G55,0)</f>
        <v/>
      </c>
      <c r="M55" s="30">
        <f>IFERROR(J55/F55,0)</f>
        <v/>
      </c>
      <c r="N55" s="10">
        <f>IFERROR(J55/E55,0)</f>
        <v/>
      </c>
      <c r="O55" s="10">
        <f>IFERROR(I55/J55,0)</f>
        <v/>
      </c>
      <c r="R55">
        <f>Inputs!$A$43</f>
        <v/>
      </c>
      <c r="S55" s="28">
        <f>IFERROR(SUMIFS('WA-1'!$F$15:$F$62,'WA-1'!$B$15:$B$62,2025)/SUMIFS('WA-1'!$G$15:$G$62,'WA-1'!$B$15:$B$62,2025),0)</f>
        <v/>
      </c>
      <c r="T55" s="28">
        <f>IFERROR(SUMIFS('WA-1'!$F$15:$F$62,'WA-1'!$B$15:$B$62,2026)/SUMIFS('WA-1'!$G$15:$G$62,'WA-1'!$B$15:$B$62,2026),0)</f>
        <v/>
      </c>
      <c r="U55" s="28">
        <f>IFERROR(SUMIFS('WA-1'!$F$15:$F$62,'WA-1'!$B$15:$B$62,2027)/SUMIFS('WA-1'!$G$15:$G$62,'WA-1'!$B$15:$B$62,2027),0)</f>
        <v/>
      </c>
      <c r="V55" s="28">
        <f>IFERROR(SUMIFS('WA-1'!$F$15:$F$62,'WA-1'!$B$15:$B$62,2028)/SUMIFS('WA-1'!$G$15:$G$62,'WA-1'!$B$15:$B$62,2028),0)</f>
        <v/>
      </c>
    </row>
    <row r="56">
      <c r="A56" s="8" t="n">
        <v>46905</v>
      </c>
      <c r="B56" s="26">
        <f>YEAR(A56)</f>
        <v/>
      </c>
      <c r="C56" s="26">
        <f>MONTH(A56)</f>
        <v/>
      </c>
      <c r="D56">
        <f>IF(A56&lt;=LastActual,"Actual","Forecast")</f>
        <v/>
      </c>
      <c r="E56" s="24">
        <f>'NSW-1'!E56+'VIC-1'!E56+'QLD-1'!E56+'NSW-2'!E56+'VIC-2'!E56+'QLD-2'!E56+'SA-1'!E56+'WA-1'!E56</f>
        <v/>
      </c>
      <c r="F56" s="27">
        <f>'NSW-1'!F56+'VIC-1'!F56+'QLD-1'!F56+'NSW-2'!F56+'VIC-2'!F56+'QLD-2'!F56+'SA-1'!F56+'WA-1'!F56+'IDC-NSW'!F56+'IDC-VIC'!F56</f>
        <v/>
      </c>
      <c r="G56" s="9">
        <f>'NSW-1'!G56+'VIC-1'!G56+'QLD-1'!G56+'NSW-2'!G56+'VIC-2'!G56+'QLD-2'!G56+'SA-1'!G56+'WA-1'!G56+'IDC-NSW'!G56+'IDC-VIC'!G56</f>
        <v/>
      </c>
      <c r="H56" s="24">
        <f>'NSW-1'!H56+'VIC-1'!H56+'QLD-1'!H56+'NSW-2'!H56+'VIC-2'!H56+'QLD-2'!H56+'SA-1'!H56+'WA-1'!H56+'IDC-NSW'!H56+'IDC-VIC'!H56</f>
        <v/>
      </c>
      <c r="I56" s="24">
        <f>'NSW-1'!I56+'VIC-1'!I56+'QLD-1'!I56+'NSW-2'!I56+'VIC-2'!I56+'QLD-2'!I56+'SA-1'!I56+'WA-1'!I56+'IDC-NSW'!I56+'IDC-VIC'!I56</f>
        <v/>
      </c>
      <c r="J56" s="24">
        <f>'NSW-1'!J56+'VIC-1'!J56+'QLD-1'!J56+'NSW-2'!J56+'VIC-2'!J56+'QLD-2'!J56+'SA-1'!J56+'WA-1'!J56+'IDC-NSW'!J56+'IDC-VIC'!J56</f>
        <v/>
      </c>
      <c r="K56" s="28">
        <f>IFERROR(F56/G56,0)</f>
        <v/>
      </c>
      <c r="L56" s="29">
        <f>IFERROR(H56/G56,0)</f>
        <v/>
      </c>
      <c r="M56" s="30">
        <f>IFERROR(J56/F56,0)</f>
        <v/>
      </c>
      <c r="N56" s="10">
        <f>IFERROR(J56/E56,0)</f>
        <v/>
      </c>
      <c r="O56" s="10">
        <f>IFERROR(I56/J56,0)</f>
        <v/>
      </c>
      <c r="R56">
        <f>Inputs!$A$44</f>
        <v/>
      </c>
      <c r="S56" s="28">
        <f>IFERROR(SUMIFS('IDC-NSW'!$F$15:$F$62,'IDC-NSW'!$B$15:$B$62,2025)/SUMIFS('IDC-NSW'!$G$15:$G$62,'IDC-NSW'!$B$15:$B$62,2025),0)</f>
        <v/>
      </c>
      <c r="T56" s="28">
        <f>IFERROR(SUMIFS('IDC-NSW'!$F$15:$F$62,'IDC-NSW'!$B$15:$B$62,2026)/SUMIFS('IDC-NSW'!$G$15:$G$62,'IDC-NSW'!$B$15:$B$62,2026),0)</f>
        <v/>
      </c>
      <c r="U56" s="28">
        <f>IFERROR(SUMIFS('IDC-NSW'!$F$15:$F$62,'IDC-NSW'!$B$15:$B$62,2027)/SUMIFS('IDC-NSW'!$G$15:$G$62,'IDC-NSW'!$B$15:$B$62,2027),0)</f>
        <v/>
      </c>
      <c r="V56" s="28">
        <f>IFERROR(SUMIFS('IDC-NSW'!$F$15:$F$62,'IDC-NSW'!$B$15:$B$62,2028)/SUMIFS('IDC-NSW'!$G$15:$G$62,'IDC-NSW'!$B$15:$B$62,2028),0)</f>
        <v/>
      </c>
    </row>
    <row r="57">
      <c r="A57" s="8" t="n">
        <v>46935</v>
      </c>
      <c r="B57" s="26">
        <f>YEAR(A57)</f>
        <v/>
      </c>
      <c r="C57" s="26">
        <f>MONTH(A57)</f>
        <v/>
      </c>
      <c r="D57">
        <f>IF(A57&lt;=LastActual,"Actual","Forecast")</f>
        <v/>
      </c>
      <c r="E57" s="24">
        <f>'NSW-1'!E57+'VIC-1'!E57+'QLD-1'!E57+'NSW-2'!E57+'VIC-2'!E57+'QLD-2'!E57+'SA-1'!E57+'WA-1'!E57</f>
        <v/>
      </c>
      <c r="F57" s="27">
        <f>'NSW-1'!F57+'VIC-1'!F57+'QLD-1'!F57+'NSW-2'!F57+'VIC-2'!F57+'QLD-2'!F57+'SA-1'!F57+'WA-1'!F57+'IDC-NSW'!F57+'IDC-VIC'!F57</f>
        <v/>
      </c>
      <c r="G57" s="9">
        <f>'NSW-1'!G57+'VIC-1'!G57+'QLD-1'!G57+'NSW-2'!G57+'VIC-2'!G57+'QLD-2'!G57+'SA-1'!G57+'WA-1'!G57+'IDC-NSW'!G57+'IDC-VIC'!G57</f>
        <v/>
      </c>
      <c r="H57" s="24">
        <f>'NSW-1'!H57+'VIC-1'!H57+'QLD-1'!H57+'NSW-2'!H57+'VIC-2'!H57+'QLD-2'!H57+'SA-1'!H57+'WA-1'!H57+'IDC-NSW'!H57+'IDC-VIC'!H57</f>
        <v/>
      </c>
      <c r="I57" s="24">
        <f>'NSW-1'!I57+'VIC-1'!I57+'QLD-1'!I57+'NSW-2'!I57+'VIC-2'!I57+'QLD-2'!I57+'SA-1'!I57+'WA-1'!I57+'IDC-NSW'!I57+'IDC-VIC'!I57</f>
        <v/>
      </c>
      <c r="J57" s="24">
        <f>'NSW-1'!J57+'VIC-1'!J57+'QLD-1'!J57+'NSW-2'!J57+'VIC-2'!J57+'QLD-2'!J57+'SA-1'!J57+'WA-1'!J57+'IDC-NSW'!J57+'IDC-VIC'!J57</f>
        <v/>
      </c>
      <c r="K57" s="28">
        <f>IFERROR(F57/G57,0)</f>
        <v/>
      </c>
      <c r="L57" s="29">
        <f>IFERROR(H57/G57,0)</f>
        <v/>
      </c>
      <c r="M57" s="30">
        <f>IFERROR(J57/F57,0)</f>
        <v/>
      </c>
      <c r="N57" s="10">
        <f>IFERROR(J57/E57,0)</f>
        <v/>
      </c>
      <c r="O57" s="10">
        <f>IFERROR(I57/J57,0)</f>
        <v/>
      </c>
      <c r="R57">
        <f>Inputs!$A$45</f>
        <v/>
      </c>
      <c r="S57" s="28">
        <f>IFERROR(SUMIFS('IDC-VIC'!$F$15:$F$62,'IDC-VIC'!$B$15:$B$62,2025)/SUMIFS('IDC-VIC'!$G$15:$G$62,'IDC-VIC'!$B$15:$B$62,2025),0)</f>
        <v/>
      </c>
      <c r="T57" s="28">
        <f>IFERROR(SUMIFS('IDC-VIC'!$F$15:$F$62,'IDC-VIC'!$B$15:$B$62,2026)/SUMIFS('IDC-VIC'!$G$15:$G$62,'IDC-VIC'!$B$15:$B$62,2026),0)</f>
        <v/>
      </c>
      <c r="U57" s="28">
        <f>IFERROR(SUMIFS('IDC-VIC'!$F$15:$F$62,'IDC-VIC'!$B$15:$B$62,2027)/SUMIFS('IDC-VIC'!$G$15:$G$62,'IDC-VIC'!$B$15:$B$62,2027),0)</f>
        <v/>
      </c>
      <c r="V57" s="28">
        <f>IFERROR(SUMIFS('IDC-VIC'!$F$15:$F$62,'IDC-VIC'!$B$15:$B$62,2028)/SUMIFS('IDC-VIC'!$G$15:$G$62,'IDC-VIC'!$B$15:$B$62,2028),0)</f>
        <v/>
      </c>
    </row>
    <row r="58">
      <c r="A58" s="8" t="n">
        <v>46966</v>
      </c>
      <c r="B58" s="26">
        <f>YEAR(A58)</f>
        <v/>
      </c>
      <c r="C58" s="26">
        <f>MONTH(A58)</f>
        <v/>
      </c>
      <c r="D58">
        <f>IF(A58&lt;=LastActual,"Actual","Forecast")</f>
        <v/>
      </c>
      <c r="E58" s="24">
        <f>'NSW-1'!E58+'VIC-1'!E58+'QLD-1'!E58+'NSW-2'!E58+'VIC-2'!E58+'QLD-2'!E58+'SA-1'!E58+'WA-1'!E58</f>
        <v/>
      </c>
      <c r="F58" s="27">
        <f>'NSW-1'!F58+'VIC-1'!F58+'QLD-1'!F58+'NSW-2'!F58+'VIC-2'!F58+'QLD-2'!F58+'SA-1'!F58+'WA-1'!F58+'IDC-NSW'!F58+'IDC-VIC'!F58</f>
        <v/>
      </c>
      <c r="G58" s="9">
        <f>'NSW-1'!G58+'VIC-1'!G58+'QLD-1'!G58+'NSW-2'!G58+'VIC-2'!G58+'QLD-2'!G58+'SA-1'!G58+'WA-1'!G58+'IDC-NSW'!G58+'IDC-VIC'!G58</f>
        <v/>
      </c>
      <c r="H58" s="24">
        <f>'NSW-1'!H58+'VIC-1'!H58+'QLD-1'!H58+'NSW-2'!H58+'VIC-2'!H58+'QLD-2'!H58+'SA-1'!H58+'WA-1'!H58+'IDC-NSW'!H58+'IDC-VIC'!H58</f>
        <v/>
      </c>
      <c r="I58" s="24">
        <f>'NSW-1'!I58+'VIC-1'!I58+'QLD-1'!I58+'NSW-2'!I58+'VIC-2'!I58+'QLD-2'!I58+'SA-1'!I58+'WA-1'!I58+'IDC-NSW'!I58+'IDC-VIC'!I58</f>
        <v/>
      </c>
      <c r="J58" s="24">
        <f>'NSW-1'!J58+'VIC-1'!J58+'QLD-1'!J58+'NSW-2'!J58+'VIC-2'!J58+'QLD-2'!J58+'SA-1'!J58+'WA-1'!J58+'IDC-NSW'!J58+'IDC-VIC'!J58</f>
        <v/>
      </c>
      <c r="K58" s="28">
        <f>IFERROR(F58/G58,0)</f>
        <v/>
      </c>
      <c r="L58" s="29">
        <f>IFERROR(H58/G58,0)</f>
        <v/>
      </c>
      <c r="M58" s="30">
        <f>IFERROR(J58/F58,0)</f>
        <v/>
      </c>
      <c r="N58" s="10">
        <f>IFERROR(J58/E58,0)</f>
        <v/>
      </c>
      <c r="O58" s="10">
        <f>IFERROR(I58/J58,0)</f>
        <v/>
      </c>
    </row>
    <row r="59">
      <c r="A59" s="8" t="n">
        <v>46997</v>
      </c>
      <c r="B59" s="26">
        <f>YEAR(A59)</f>
        <v/>
      </c>
      <c r="C59" s="26">
        <f>MONTH(A59)</f>
        <v/>
      </c>
      <c r="D59">
        <f>IF(A59&lt;=LastActual,"Actual","Forecast")</f>
        <v/>
      </c>
      <c r="E59" s="24">
        <f>'NSW-1'!E59+'VIC-1'!E59+'QLD-1'!E59+'NSW-2'!E59+'VIC-2'!E59+'QLD-2'!E59+'SA-1'!E59+'WA-1'!E59</f>
        <v/>
      </c>
      <c r="F59" s="27">
        <f>'NSW-1'!F59+'VIC-1'!F59+'QLD-1'!F59+'NSW-2'!F59+'VIC-2'!F59+'QLD-2'!F59+'SA-1'!F59+'WA-1'!F59+'IDC-NSW'!F59+'IDC-VIC'!F59</f>
        <v/>
      </c>
      <c r="G59" s="9">
        <f>'NSW-1'!G59+'VIC-1'!G59+'QLD-1'!G59+'NSW-2'!G59+'VIC-2'!G59+'QLD-2'!G59+'SA-1'!G59+'WA-1'!G59+'IDC-NSW'!G59+'IDC-VIC'!G59</f>
        <v/>
      </c>
      <c r="H59" s="24">
        <f>'NSW-1'!H59+'VIC-1'!H59+'QLD-1'!H59+'NSW-2'!H59+'VIC-2'!H59+'QLD-2'!H59+'SA-1'!H59+'WA-1'!H59+'IDC-NSW'!H59+'IDC-VIC'!H59</f>
        <v/>
      </c>
      <c r="I59" s="24">
        <f>'NSW-1'!I59+'VIC-1'!I59+'QLD-1'!I59+'NSW-2'!I59+'VIC-2'!I59+'QLD-2'!I59+'SA-1'!I59+'WA-1'!I59+'IDC-NSW'!I59+'IDC-VIC'!I59</f>
        <v/>
      </c>
      <c r="J59" s="24">
        <f>'NSW-1'!J59+'VIC-1'!J59+'QLD-1'!J59+'NSW-2'!J59+'VIC-2'!J59+'QLD-2'!J59+'SA-1'!J59+'WA-1'!J59+'IDC-NSW'!J59+'IDC-VIC'!J59</f>
        <v/>
      </c>
      <c r="K59" s="28">
        <f>IFERROR(F59/G59,0)</f>
        <v/>
      </c>
      <c r="L59" s="29">
        <f>IFERROR(H59/G59,0)</f>
        <v/>
      </c>
      <c r="M59" s="30">
        <f>IFERROR(J59/F59,0)</f>
        <v/>
      </c>
      <c r="N59" s="10">
        <f>IFERROR(J59/E59,0)</f>
        <v/>
      </c>
      <c r="O59" s="10">
        <f>IFERROR(I59/J59,0)</f>
        <v/>
      </c>
    </row>
    <row r="60">
      <c r="A60" s="8" t="n">
        <v>47027</v>
      </c>
      <c r="B60" s="26">
        <f>YEAR(A60)</f>
        <v/>
      </c>
      <c r="C60" s="26">
        <f>MONTH(A60)</f>
        <v/>
      </c>
      <c r="D60">
        <f>IF(A60&lt;=LastActual,"Actual","Forecast")</f>
        <v/>
      </c>
      <c r="E60" s="24">
        <f>'NSW-1'!E60+'VIC-1'!E60+'QLD-1'!E60+'NSW-2'!E60+'VIC-2'!E60+'QLD-2'!E60+'SA-1'!E60+'WA-1'!E60</f>
        <v/>
      </c>
      <c r="F60" s="27">
        <f>'NSW-1'!F60+'VIC-1'!F60+'QLD-1'!F60+'NSW-2'!F60+'VIC-2'!F60+'QLD-2'!F60+'SA-1'!F60+'WA-1'!F60+'IDC-NSW'!F60+'IDC-VIC'!F60</f>
        <v/>
      </c>
      <c r="G60" s="9">
        <f>'NSW-1'!G60+'VIC-1'!G60+'QLD-1'!G60+'NSW-2'!G60+'VIC-2'!G60+'QLD-2'!G60+'SA-1'!G60+'WA-1'!G60+'IDC-NSW'!G60+'IDC-VIC'!G60</f>
        <v/>
      </c>
      <c r="H60" s="24">
        <f>'NSW-1'!H60+'VIC-1'!H60+'QLD-1'!H60+'NSW-2'!H60+'VIC-2'!H60+'QLD-2'!H60+'SA-1'!H60+'WA-1'!H60+'IDC-NSW'!H60+'IDC-VIC'!H60</f>
        <v/>
      </c>
      <c r="I60" s="24">
        <f>'NSW-1'!I60+'VIC-1'!I60+'QLD-1'!I60+'NSW-2'!I60+'VIC-2'!I60+'QLD-2'!I60+'SA-1'!I60+'WA-1'!I60+'IDC-NSW'!I60+'IDC-VIC'!I60</f>
        <v/>
      </c>
      <c r="J60" s="24">
        <f>'NSW-1'!J60+'VIC-1'!J60+'QLD-1'!J60+'NSW-2'!J60+'VIC-2'!J60+'QLD-2'!J60+'SA-1'!J60+'WA-1'!J60+'IDC-NSW'!J60+'IDC-VIC'!J60</f>
        <v/>
      </c>
      <c r="K60" s="28">
        <f>IFERROR(F60/G60,0)</f>
        <v/>
      </c>
      <c r="L60" s="29">
        <f>IFERROR(H60/G60,0)</f>
        <v/>
      </c>
      <c r="M60" s="30">
        <f>IFERROR(J60/F60,0)</f>
        <v/>
      </c>
      <c r="N60" s="10">
        <f>IFERROR(J60/E60,0)</f>
        <v/>
      </c>
      <c r="O60" s="10">
        <f>IFERROR(I60/J60,0)</f>
        <v/>
      </c>
      <c r="R60" s="1" t="inlineStr">
        <is>
          <t>Cost per case ($, total payroll)</t>
        </is>
      </c>
    </row>
    <row r="61">
      <c r="A61" s="8" t="n">
        <v>47058</v>
      </c>
      <c r="B61" s="26">
        <f>YEAR(A61)</f>
        <v/>
      </c>
      <c r="C61" s="26">
        <f>MONTH(A61)</f>
        <v/>
      </c>
      <c r="D61">
        <f>IF(A61&lt;=LastActual,"Actual","Forecast")</f>
        <v/>
      </c>
      <c r="E61" s="24">
        <f>'NSW-1'!E61+'VIC-1'!E61+'QLD-1'!E61+'NSW-2'!E61+'VIC-2'!E61+'QLD-2'!E61+'SA-1'!E61+'WA-1'!E61</f>
        <v/>
      </c>
      <c r="F61" s="27">
        <f>'NSW-1'!F61+'VIC-1'!F61+'QLD-1'!F61+'NSW-2'!F61+'VIC-2'!F61+'QLD-2'!F61+'SA-1'!F61+'WA-1'!F61+'IDC-NSW'!F61+'IDC-VIC'!F61</f>
        <v/>
      </c>
      <c r="G61" s="9">
        <f>'NSW-1'!G61+'VIC-1'!G61+'QLD-1'!G61+'NSW-2'!G61+'VIC-2'!G61+'QLD-2'!G61+'SA-1'!G61+'WA-1'!G61+'IDC-NSW'!G61+'IDC-VIC'!G61</f>
        <v/>
      </c>
      <c r="H61" s="24">
        <f>'NSW-1'!H61+'VIC-1'!H61+'QLD-1'!H61+'NSW-2'!H61+'VIC-2'!H61+'QLD-2'!H61+'SA-1'!H61+'WA-1'!H61+'IDC-NSW'!H61+'IDC-VIC'!H61</f>
        <v/>
      </c>
      <c r="I61" s="24">
        <f>'NSW-1'!I61+'VIC-1'!I61+'QLD-1'!I61+'NSW-2'!I61+'VIC-2'!I61+'QLD-2'!I61+'SA-1'!I61+'WA-1'!I61+'IDC-NSW'!I61+'IDC-VIC'!I61</f>
        <v/>
      </c>
      <c r="J61" s="24">
        <f>'NSW-1'!J61+'VIC-1'!J61+'QLD-1'!J61+'NSW-2'!J61+'VIC-2'!J61+'QLD-2'!J61+'SA-1'!J61+'WA-1'!J61+'IDC-NSW'!J61+'IDC-VIC'!J61</f>
        <v/>
      </c>
      <c r="K61" s="28">
        <f>IFERROR(F61/G61,0)</f>
        <v/>
      </c>
      <c r="L61" s="29">
        <f>IFERROR(H61/G61,0)</f>
        <v/>
      </c>
      <c r="M61" s="30">
        <f>IFERROR(J61/F61,0)</f>
        <v/>
      </c>
      <c r="N61" s="10">
        <f>IFERROR(J61/E61,0)</f>
        <v/>
      </c>
      <c r="O61" s="10">
        <f>IFERROR(I61/J61,0)</f>
        <v/>
      </c>
      <c r="R61" s="5" t="inlineStr">
        <is>
          <t>Site</t>
        </is>
      </c>
      <c r="S61" s="5" t="inlineStr">
        <is>
          <t>FY2025</t>
        </is>
      </c>
      <c r="T61" s="5" t="inlineStr">
        <is>
          <t>FY2026</t>
        </is>
      </c>
      <c r="U61" s="5" t="inlineStr">
        <is>
          <t>FY2027</t>
        </is>
      </c>
      <c r="V61" s="5" t="inlineStr">
        <is>
          <t>FY2028</t>
        </is>
      </c>
    </row>
    <row r="62">
      <c r="A62" s="31" t="n">
        <v>47088</v>
      </c>
      <c r="B62" s="32">
        <f>YEAR(A62)</f>
        <v/>
      </c>
      <c r="C62" s="32">
        <f>MONTH(A62)</f>
        <v/>
      </c>
      <c r="D62" s="33">
        <f>IF(A62&lt;=LastActual,"Actual","Forecast")</f>
        <v/>
      </c>
      <c r="E62" s="34">
        <f>'NSW-1'!E62+'VIC-1'!E62+'QLD-1'!E62+'NSW-2'!E62+'VIC-2'!E62+'QLD-2'!E62+'SA-1'!E62+'WA-1'!E62</f>
        <v/>
      </c>
      <c r="F62" s="35">
        <f>'NSW-1'!F62+'VIC-1'!F62+'QLD-1'!F62+'NSW-2'!F62+'VIC-2'!F62+'QLD-2'!F62+'SA-1'!F62+'WA-1'!F62+'IDC-NSW'!F62+'IDC-VIC'!F62</f>
        <v/>
      </c>
      <c r="G62" s="36">
        <f>'NSW-1'!G62+'VIC-1'!G62+'QLD-1'!G62+'NSW-2'!G62+'VIC-2'!G62+'QLD-2'!G62+'SA-1'!G62+'WA-1'!G62+'IDC-NSW'!G62+'IDC-VIC'!G62</f>
        <v/>
      </c>
      <c r="H62" s="34">
        <f>'NSW-1'!H62+'VIC-1'!H62+'QLD-1'!H62+'NSW-2'!H62+'VIC-2'!H62+'QLD-2'!H62+'SA-1'!H62+'WA-1'!H62+'IDC-NSW'!H62+'IDC-VIC'!H62</f>
        <v/>
      </c>
      <c r="I62" s="34">
        <f>'NSW-1'!I62+'VIC-1'!I62+'QLD-1'!I62+'NSW-2'!I62+'VIC-2'!I62+'QLD-2'!I62+'SA-1'!I62+'WA-1'!I62+'IDC-NSW'!I62+'IDC-VIC'!I62</f>
        <v/>
      </c>
      <c r="J62" s="34">
        <f>'NSW-1'!J62+'VIC-1'!J62+'QLD-1'!J62+'NSW-2'!J62+'VIC-2'!J62+'QLD-2'!J62+'SA-1'!J62+'WA-1'!J62+'IDC-NSW'!J62+'IDC-VIC'!J62</f>
        <v/>
      </c>
      <c r="K62" s="37">
        <f>IFERROR(F62/G62,0)</f>
        <v/>
      </c>
      <c r="L62" s="38">
        <f>IFERROR(H62/G62,0)</f>
        <v/>
      </c>
      <c r="M62" s="39">
        <f>IFERROR(J62/F62,0)</f>
        <v/>
      </c>
      <c r="N62" s="40">
        <f>IFERROR(J62/E62,0)</f>
        <v/>
      </c>
      <c r="O62" s="40">
        <f>IFERROR(I62/J62,0)</f>
        <v/>
      </c>
      <c r="R62">
        <f>Inputs!$A$36</f>
        <v/>
      </c>
      <c r="S62" s="30">
        <f>IFERROR(SUMIFS('NSW-1'!$J$15:$J$62,'NSW-1'!$B$15:$B$62,2025)/SUMIFS('NSW-1'!$F$15:$F$62,'NSW-1'!$B$15:$B$62,2025),0)</f>
        <v/>
      </c>
      <c r="T62" s="30">
        <f>IFERROR(SUMIFS('NSW-1'!$J$15:$J$62,'NSW-1'!$B$15:$B$62,2026)/SUMIFS('NSW-1'!$F$15:$F$62,'NSW-1'!$B$15:$B$62,2026),0)</f>
        <v/>
      </c>
      <c r="U62" s="30">
        <f>IFERROR(SUMIFS('NSW-1'!$J$15:$J$62,'NSW-1'!$B$15:$B$62,2027)/SUMIFS('NSW-1'!$F$15:$F$62,'NSW-1'!$B$15:$B$62,2027),0)</f>
        <v/>
      </c>
      <c r="V62" s="30">
        <f>IFERROR(SUMIFS('NSW-1'!$J$15:$J$62,'NSW-1'!$B$15:$B$62,2028)/SUMIFS('NSW-1'!$F$15:$F$62,'NSW-1'!$B$15:$B$62,2028),0)</f>
        <v/>
      </c>
    </row>
    <row r="63">
      <c r="R63">
        <f>Inputs!$A$37</f>
        <v/>
      </c>
      <c r="S63" s="30">
        <f>IFERROR(SUMIFS('VIC-1'!$J$15:$J$62,'VIC-1'!$B$15:$B$62,2025)/SUMIFS('VIC-1'!$F$15:$F$62,'VIC-1'!$B$15:$B$62,2025),0)</f>
        <v/>
      </c>
      <c r="T63" s="30">
        <f>IFERROR(SUMIFS('VIC-1'!$J$15:$J$62,'VIC-1'!$B$15:$B$62,2026)/SUMIFS('VIC-1'!$F$15:$F$62,'VIC-1'!$B$15:$B$62,2026),0)</f>
        <v/>
      </c>
      <c r="U63" s="30">
        <f>IFERROR(SUMIFS('VIC-1'!$J$15:$J$62,'VIC-1'!$B$15:$B$62,2027)/SUMIFS('VIC-1'!$F$15:$F$62,'VIC-1'!$B$15:$B$62,2027),0)</f>
        <v/>
      </c>
      <c r="V63" s="30">
        <f>IFERROR(SUMIFS('VIC-1'!$J$15:$J$62,'VIC-1'!$B$15:$B$62,2028)/SUMIFS('VIC-1'!$F$15:$F$62,'VIC-1'!$B$15:$B$62,2028),0)</f>
        <v/>
      </c>
    </row>
    <row r="64">
      <c r="R64">
        <f>Inputs!$A$38</f>
        <v/>
      </c>
      <c r="S64" s="30">
        <f>IFERROR(SUMIFS('QLD-1'!$J$15:$J$62,'QLD-1'!$B$15:$B$62,2025)/SUMIFS('QLD-1'!$F$15:$F$62,'QLD-1'!$B$15:$B$62,2025),0)</f>
        <v/>
      </c>
      <c r="T64" s="30">
        <f>IFERROR(SUMIFS('QLD-1'!$J$15:$J$62,'QLD-1'!$B$15:$B$62,2026)/SUMIFS('QLD-1'!$F$15:$F$62,'QLD-1'!$B$15:$B$62,2026),0)</f>
        <v/>
      </c>
      <c r="U64" s="30">
        <f>IFERROR(SUMIFS('QLD-1'!$J$15:$J$62,'QLD-1'!$B$15:$B$62,2027)/SUMIFS('QLD-1'!$F$15:$F$62,'QLD-1'!$B$15:$B$62,2027),0)</f>
        <v/>
      </c>
      <c r="V64" s="30">
        <f>IFERROR(SUMIFS('QLD-1'!$J$15:$J$62,'QLD-1'!$B$15:$B$62,2028)/SUMIFS('QLD-1'!$F$15:$F$62,'QLD-1'!$B$15:$B$62,2028),0)</f>
        <v/>
      </c>
    </row>
    <row r="65">
      <c r="R65">
        <f>Inputs!$A$39</f>
        <v/>
      </c>
      <c r="S65" s="30">
        <f>IFERROR(SUMIFS('NSW-2'!$J$15:$J$62,'NSW-2'!$B$15:$B$62,2025)/SUMIFS('NSW-2'!$F$15:$F$62,'NSW-2'!$B$15:$B$62,2025),0)</f>
        <v/>
      </c>
      <c r="T65" s="30">
        <f>IFERROR(SUMIFS('NSW-2'!$J$15:$J$62,'NSW-2'!$B$15:$B$62,2026)/SUMIFS('NSW-2'!$F$15:$F$62,'NSW-2'!$B$15:$B$62,2026),0)</f>
        <v/>
      </c>
      <c r="U65" s="30">
        <f>IFERROR(SUMIFS('NSW-2'!$J$15:$J$62,'NSW-2'!$B$15:$B$62,2027)/SUMIFS('NSW-2'!$F$15:$F$62,'NSW-2'!$B$15:$B$62,2027),0)</f>
        <v/>
      </c>
      <c r="V65" s="30">
        <f>IFERROR(SUMIFS('NSW-2'!$J$15:$J$62,'NSW-2'!$B$15:$B$62,2028)/SUMIFS('NSW-2'!$F$15:$F$62,'NSW-2'!$B$15:$B$62,2028),0)</f>
        <v/>
      </c>
    </row>
    <row r="66">
      <c r="R66">
        <f>Inputs!$A$40</f>
        <v/>
      </c>
      <c r="S66" s="30">
        <f>IFERROR(SUMIFS('VIC-2'!$J$15:$J$62,'VIC-2'!$B$15:$B$62,2025)/SUMIFS('VIC-2'!$F$15:$F$62,'VIC-2'!$B$15:$B$62,2025),0)</f>
        <v/>
      </c>
      <c r="T66" s="30">
        <f>IFERROR(SUMIFS('VIC-2'!$J$15:$J$62,'VIC-2'!$B$15:$B$62,2026)/SUMIFS('VIC-2'!$F$15:$F$62,'VIC-2'!$B$15:$B$62,2026),0)</f>
        <v/>
      </c>
      <c r="U66" s="30">
        <f>IFERROR(SUMIFS('VIC-2'!$J$15:$J$62,'VIC-2'!$B$15:$B$62,2027)/SUMIFS('VIC-2'!$F$15:$F$62,'VIC-2'!$B$15:$B$62,2027),0)</f>
        <v/>
      </c>
      <c r="V66" s="30">
        <f>IFERROR(SUMIFS('VIC-2'!$J$15:$J$62,'VIC-2'!$B$15:$B$62,2028)/SUMIFS('VIC-2'!$F$15:$F$62,'VIC-2'!$B$15:$B$62,2028),0)</f>
        <v/>
      </c>
    </row>
    <row r="67">
      <c r="R67">
        <f>Inputs!$A$41</f>
        <v/>
      </c>
      <c r="S67" s="30">
        <f>IFERROR(SUMIFS('QLD-2'!$J$15:$J$62,'QLD-2'!$B$15:$B$62,2025)/SUMIFS('QLD-2'!$F$15:$F$62,'QLD-2'!$B$15:$B$62,2025),0)</f>
        <v/>
      </c>
      <c r="T67" s="30">
        <f>IFERROR(SUMIFS('QLD-2'!$J$15:$J$62,'QLD-2'!$B$15:$B$62,2026)/SUMIFS('QLD-2'!$F$15:$F$62,'QLD-2'!$B$15:$B$62,2026),0)</f>
        <v/>
      </c>
      <c r="U67" s="30">
        <f>IFERROR(SUMIFS('QLD-2'!$J$15:$J$62,'QLD-2'!$B$15:$B$62,2027)/SUMIFS('QLD-2'!$F$15:$F$62,'QLD-2'!$B$15:$B$62,2027),0)</f>
        <v/>
      </c>
      <c r="V67" s="30">
        <f>IFERROR(SUMIFS('QLD-2'!$J$15:$J$62,'QLD-2'!$B$15:$B$62,2028)/SUMIFS('QLD-2'!$F$15:$F$62,'QLD-2'!$B$15:$B$62,2028),0)</f>
        <v/>
      </c>
    </row>
    <row r="68">
      <c r="R68">
        <f>Inputs!$A$42</f>
        <v/>
      </c>
      <c r="S68" s="30">
        <f>IFERROR(SUMIFS('SA-1'!$J$15:$J$62,'SA-1'!$B$15:$B$62,2025)/SUMIFS('SA-1'!$F$15:$F$62,'SA-1'!$B$15:$B$62,2025),0)</f>
        <v/>
      </c>
      <c r="T68" s="30">
        <f>IFERROR(SUMIFS('SA-1'!$J$15:$J$62,'SA-1'!$B$15:$B$62,2026)/SUMIFS('SA-1'!$F$15:$F$62,'SA-1'!$B$15:$B$62,2026),0)</f>
        <v/>
      </c>
      <c r="U68" s="30">
        <f>IFERROR(SUMIFS('SA-1'!$J$15:$J$62,'SA-1'!$B$15:$B$62,2027)/SUMIFS('SA-1'!$F$15:$F$62,'SA-1'!$B$15:$B$62,2027),0)</f>
        <v/>
      </c>
      <c r="V68" s="30">
        <f>IFERROR(SUMIFS('SA-1'!$J$15:$J$62,'SA-1'!$B$15:$B$62,2028)/SUMIFS('SA-1'!$F$15:$F$62,'SA-1'!$B$15:$B$62,2028),0)</f>
        <v/>
      </c>
    </row>
    <row r="69">
      <c r="R69">
        <f>Inputs!$A$43</f>
        <v/>
      </c>
      <c r="S69" s="30">
        <f>IFERROR(SUMIFS('WA-1'!$J$15:$J$62,'WA-1'!$B$15:$B$62,2025)/SUMIFS('WA-1'!$F$15:$F$62,'WA-1'!$B$15:$B$62,2025),0)</f>
        <v/>
      </c>
      <c r="T69" s="30">
        <f>IFERROR(SUMIFS('WA-1'!$J$15:$J$62,'WA-1'!$B$15:$B$62,2026)/SUMIFS('WA-1'!$F$15:$F$62,'WA-1'!$B$15:$B$62,2026),0)</f>
        <v/>
      </c>
      <c r="U69" s="30">
        <f>IFERROR(SUMIFS('WA-1'!$J$15:$J$62,'WA-1'!$B$15:$B$62,2027)/SUMIFS('WA-1'!$F$15:$F$62,'WA-1'!$B$15:$B$62,2027),0)</f>
        <v/>
      </c>
      <c r="V69" s="30">
        <f>IFERROR(SUMIFS('WA-1'!$J$15:$J$62,'WA-1'!$B$15:$B$62,2028)/SUMIFS('WA-1'!$F$15:$F$62,'WA-1'!$B$15:$B$62,2028),0)</f>
        <v/>
      </c>
    </row>
    <row r="70">
      <c r="R70">
        <f>Inputs!$A$44</f>
        <v/>
      </c>
      <c r="S70" s="30">
        <f>IFERROR(SUMIFS('IDC-NSW'!$J$15:$J$62,'IDC-NSW'!$B$15:$B$62,2025)/SUMIFS('IDC-NSW'!$F$15:$F$62,'IDC-NSW'!$B$15:$B$62,2025),0)</f>
        <v/>
      </c>
      <c r="T70" s="30">
        <f>IFERROR(SUMIFS('IDC-NSW'!$J$15:$J$62,'IDC-NSW'!$B$15:$B$62,2026)/SUMIFS('IDC-NSW'!$F$15:$F$62,'IDC-NSW'!$B$15:$B$62,2026),0)</f>
        <v/>
      </c>
      <c r="U70" s="30">
        <f>IFERROR(SUMIFS('IDC-NSW'!$J$15:$J$62,'IDC-NSW'!$B$15:$B$62,2027)/SUMIFS('IDC-NSW'!$F$15:$F$62,'IDC-NSW'!$B$15:$B$62,2027),0)</f>
        <v/>
      </c>
      <c r="V70" s="30">
        <f>IFERROR(SUMIFS('IDC-NSW'!$J$15:$J$62,'IDC-NSW'!$B$15:$B$62,2028)/SUMIFS('IDC-NSW'!$F$15:$F$62,'IDC-NSW'!$B$15:$B$62,2028),0)</f>
        <v/>
      </c>
    </row>
    <row r="71">
      <c r="R71">
        <f>Inputs!$A$45</f>
        <v/>
      </c>
      <c r="S71" s="30">
        <f>IFERROR(SUMIFS('IDC-VIC'!$J$15:$J$62,'IDC-VIC'!$B$15:$B$62,2025)/SUMIFS('IDC-VIC'!$F$15:$F$62,'IDC-VIC'!$B$15:$B$62,2025),0)</f>
        <v/>
      </c>
      <c r="T71" s="30">
        <f>IFERROR(SUMIFS('IDC-VIC'!$J$15:$J$62,'IDC-VIC'!$B$15:$B$62,2026)/SUMIFS('IDC-VIC'!$F$15:$F$62,'IDC-VIC'!$B$15:$B$62,2026),0)</f>
        <v/>
      </c>
      <c r="U71" s="30">
        <f>IFERROR(SUMIFS('IDC-VIC'!$J$15:$J$62,'IDC-VIC'!$B$15:$B$62,2027)/SUMIFS('IDC-VIC'!$F$15:$F$62,'IDC-VIC'!$B$15:$B$62,2027),0)</f>
        <v/>
      </c>
      <c r="V71" s="30">
        <f>IFERROR(SUMIFS('IDC-VIC'!$J$15:$J$62,'IDC-VIC'!$B$15:$B$62,2028)/SUMIFS('IDC-VIC'!$F$15:$F$62,'IDC-VIC'!$B$15:$B$62,2028),0)</f>
        <v/>
      </c>
    </row>
  </sheetData>
  <mergeCells count="2">
    <mergeCell ref="K12:O12"/>
    <mergeCell ref="E12:J12"/>
  </mergeCells>
  <conditionalFormatting sqref="A15:O62">
    <cfRule type="expression" priority="1" dxfId="4">
      <formula>$D15="Forecast"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3864"/>
    <outlinePr summaryBelow="1" summaryRight="1"/>
    <pageSetUpPr/>
  </sheetPr>
  <dimension ref="A1:AG62"/>
  <sheetViews>
    <sheetView workbookViewId="0">
      <pane xSplit="4" ySplit="14" topLeftCell="E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" customWidth="1" min="2" max="2"/>
    <col width="5" customWidth="1" min="3" max="3"/>
    <col width="9" customWidth="1" min="4" max="4"/>
    <col width="10" customWidth="1" min="5" max="5"/>
    <col width="10" customWidth="1" min="6" max="6"/>
    <col width="11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1" customWidth="1" min="15" max="15"/>
    <col width="2" customWidth="1" min="17" max="17"/>
    <col width="11" customWidth="1" min="18" max="18"/>
    <col width="11" customWidth="1" min="19" max="19"/>
    <col width="10" customWidth="1" min="20" max="20"/>
    <col width="11" customWidth="1" min="21" max="21"/>
    <col width="11" customWidth="1" min="22" max="22"/>
    <col width="12" customWidth="1" min="23" max="23"/>
    <col width="9" customWidth="1" min="24" max="24"/>
    <col width="12" customWidth="1" min="25" max="25"/>
    <col width="8" customWidth="1" min="26" max="26"/>
    <col width="8" customWidth="1" min="27" max="27"/>
    <col width="11" customWidth="1" min="28" max="28"/>
    <col width="12" customWidth="1" min="29" max="29"/>
    <col width="12" customWidth="1" min="30" max="30"/>
    <col width="11" customWidth="1" min="31" max="31"/>
    <col width="9" customWidth="1" min="32" max="32"/>
    <col width="9" customWidth="1" min="33" max="33"/>
  </cols>
  <sheetData>
    <row r="1">
      <c r="A1" s="2">
        <f>$B$2&amp;"  |  Region  |  NSW"</f>
        <v/>
      </c>
    </row>
    <row r="2">
      <c r="A2" t="inlineStr">
        <is>
          <t>Code</t>
        </is>
      </c>
      <c r="B2" s="1">
        <f>Inputs!$A$36</f>
        <v/>
      </c>
      <c r="C2" t="inlineStr">
        <is>
          <t>State</t>
        </is>
      </c>
      <c r="D2" s="1" t="inlineStr">
        <is>
          <t>NSW</t>
        </is>
      </c>
    </row>
    <row r="5" ht="45" customHeight="1">
      <c r="A5" s="5" t="inlineStr">
        <is>
          <t>FY</t>
        </is>
      </c>
      <c r="D5" s="5" t="inlineStr">
        <is>
          <t>Status</t>
        </is>
      </c>
      <c r="E5" s="5" t="inlineStr">
        <is>
          <t>Sales</t>
        </is>
      </c>
      <c r="F5" s="5" t="inlineStr">
        <is>
          <t>Cases picked</t>
        </is>
      </c>
      <c r="G5" s="5" t="inlineStr">
        <is>
          <t>WH hours worked</t>
        </is>
      </c>
      <c r="H5" s="5" t="inlineStr">
        <is>
          <t>Staff payroll</t>
        </is>
      </c>
      <c r="I5" s="5" t="inlineStr">
        <is>
          <t>Leadership payroll</t>
        </is>
      </c>
      <c r="J5" s="5" t="inlineStr">
        <is>
          <t>Total payroll</t>
        </is>
      </c>
      <c r="K5" s="5" t="inlineStr">
        <is>
          <t>CPLH (cases / hr)</t>
        </is>
      </c>
      <c r="L5" s="5" t="inlineStr">
        <is>
          <t>Cost per hour (staff)</t>
        </is>
      </c>
      <c r="M5" s="5" t="inlineStr">
        <is>
          <t>Cost per case (total payroll)</t>
        </is>
      </c>
      <c r="N5" s="5" t="inlineStr">
        <is>
          <t>Total payroll % sales</t>
        </is>
      </c>
      <c r="O5" s="5" t="inlineStr">
        <is>
          <t>Leadership % of total payroll</t>
        </is>
      </c>
    </row>
    <row r="6">
      <c r="A6" s="15" t="n">
        <v>2025</v>
      </c>
      <c r="D6" s="16">
        <f>IF(DATE(A6,12,1)&lt;=LastActual,"Actual",IF(DATE(A6,1,1)&gt;LastActual,"Forecast","Blended"))</f>
        <v/>
      </c>
      <c r="E6" s="17">
        <f>SUMIFS($E$15:$E$62,$B$15:$B$62,$A6)</f>
        <v/>
      </c>
      <c r="F6" s="18">
        <f>SUMIFS($F$15:$F$62,$B$15:$B$62,$A6)</f>
        <v/>
      </c>
      <c r="G6" s="19">
        <f>SUMIFS($G$15:$G$62,$B$15:$B$62,$A6)</f>
        <v/>
      </c>
      <c r="H6" s="17">
        <f>SUMIFS($H$15:$H$62,$B$15:$B$62,$A6)</f>
        <v/>
      </c>
      <c r="I6" s="17">
        <f>SUMIFS($I$15:$I$62,$B$15:$B$62,$A6)</f>
        <v/>
      </c>
      <c r="J6" s="17">
        <f>SUMIFS($J$15:$J$62,$B$15:$B$62,$A6)</f>
        <v/>
      </c>
      <c r="K6" s="20">
        <f>IFERROR(F6/G6,0)</f>
        <v/>
      </c>
      <c r="L6" s="21">
        <f>IFERROR(H6/G6,0)</f>
        <v/>
      </c>
      <c r="M6" s="22">
        <f>IFERROR(J6/F6,0)</f>
        <v/>
      </c>
      <c r="N6" s="23">
        <f>IFERROR(J6/E6,0)</f>
        <v/>
      </c>
      <c r="O6" s="23">
        <f>IFERROR(I6/J6,0)</f>
        <v/>
      </c>
    </row>
    <row r="7">
      <c r="A7" s="15" t="n">
        <v>2026</v>
      </c>
      <c r="D7" s="16">
        <f>IF(DATE(A7,12,1)&lt;=LastActual,"Actual",IF(DATE(A7,1,1)&gt;LastActual,"Forecast","Blended"))</f>
        <v/>
      </c>
      <c r="E7" s="17">
        <f>SUMIFS($E$15:$E$62,$B$15:$B$62,$A7)</f>
        <v/>
      </c>
      <c r="F7" s="18">
        <f>SUMIFS($F$15:$F$62,$B$15:$B$62,$A7)</f>
        <v/>
      </c>
      <c r="G7" s="19">
        <f>SUMIFS($G$15:$G$62,$B$15:$B$62,$A7)</f>
        <v/>
      </c>
      <c r="H7" s="17">
        <f>SUMIFS($H$15:$H$62,$B$15:$B$62,$A7)</f>
        <v/>
      </c>
      <c r="I7" s="17">
        <f>SUMIFS($I$15:$I$62,$B$15:$B$62,$A7)</f>
        <v/>
      </c>
      <c r="J7" s="17">
        <f>SUMIFS($J$15:$J$62,$B$15:$B$62,$A7)</f>
        <v/>
      </c>
      <c r="K7" s="20">
        <f>IFERROR(F7/G7,0)</f>
        <v/>
      </c>
      <c r="L7" s="21">
        <f>IFERROR(H7/G7,0)</f>
        <v/>
      </c>
      <c r="M7" s="22">
        <f>IFERROR(J7/F7,0)</f>
        <v/>
      </c>
      <c r="N7" s="23">
        <f>IFERROR(J7/E7,0)</f>
        <v/>
      </c>
      <c r="O7" s="23">
        <f>IFERROR(I7/J7,0)</f>
        <v/>
      </c>
    </row>
    <row r="8">
      <c r="A8" s="15" t="n">
        <v>2027</v>
      </c>
      <c r="D8" s="16">
        <f>IF(DATE(A8,12,1)&lt;=LastActual,"Actual",IF(DATE(A8,1,1)&gt;LastActual,"Forecast","Blended"))</f>
        <v/>
      </c>
      <c r="E8" s="17">
        <f>SUMIFS($E$15:$E$62,$B$15:$B$62,$A8)</f>
        <v/>
      </c>
      <c r="F8" s="18">
        <f>SUMIFS($F$15:$F$62,$B$15:$B$62,$A8)</f>
        <v/>
      </c>
      <c r="G8" s="19">
        <f>SUMIFS($G$15:$G$62,$B$15:$B$62,$A8)</f>
        <v/>
      </c>
      <c r="H8" s="17">
        <f>SUMIFS($H$15:$H$62,$B$15:$B$62,$A8)</f>
        <v/>
      </c>
      <c r="I8" s="17">
        <f>SUMIFS($I$15:$I$62,$B$15:$B$62,$A8)</f>
        <v/>
      </c>
      <c r="J8" s="17">
        <f>SUMIFS($J$15:$J$62,$B$15:$B$62,$A8)</f>
        <v/>
      </c>
      <c r="K8" s="20">
        <f>IFERROR(F8/G8,0)</f>
        <v/>
      </c>
      <c r="L8" s="21">
        <f>IFERROR(H8/G8,0)</f>
        <v/>
      </c>
      <c r="M8" s="22">
        <f>IFERROR(J8/F8,0)</f>
        <v/>
      </c>
      <c r="N8" s="23">
        <f>IFERROR(J8/E8,0)</f>
        <v/>
      </c>
      <c r="O8" s="23">
        <f>IFERROR(I8/J8,0)</f>
        <v/>
      </c>
    </row>
    <row r="9">
      <c r="A9" s="15" t="n">
        <v>2028</v>
      </c>
      <c r="D9" s="16">
        <f>IF(DATE(A9,12,1)&lt;=LastActual,"Actual",IF(DATE(A9,1,1)&gt;LastActual,"Forecast","Blended"))</f>
        <v/>
      </c>
      <c r="E9" s="17">
        <f>SUMIFS($E$15:$E$62,$B$15:$B$62,$A9)</f>
        <v/>
      </c>
      <c r="F9" s="18">
        <f>SUMIFS($F$15:$F$62,$B$15:$B$62,$A9)</f>
        <v/>
      </c>
      <c r="G9" s="19">
        <f>SUMIFS($G$15:$G$62,$B$15:$B$62,$A9)</f>
        <v/>
      </c>
      <c r="H9" s="17">
        <f>SUMIFS($H$15:$H$62,$B$15:$B$62,$A9)</f>
        <v/>
      </c>
      <c r="I9" s="17">
        <f>SUMIFS($I$15:$I$62,$B$15:$B$62,$A9)</f>
        <v/>
      </c>
      <c r="J9" s="17">
        <f>SUMIFS($J$15:$J$62,$B$15:$B$62,$A9)</f>
        <v/>
      </c>
      <c r="K9" s="20">
        <f>IFERROR(F9/G9,0)</f>
        <v/>
      </c>
      <c r="L9" s="21">
        <f>IFERROR(H9/G9,0)</f>
        <v/>
      </c>
      <c r="M9" s="22">
        <f>IFERROR(J9/F9,0)</f>
        <v/>
      </c>
      <c r="N9" s="23">
        <f>IFERROR(J9/E9,0)</f>
        <v/>
      </c>
      <c r="O9" s="23">
        <f>IFERROR(I9/J9,0)</f>
        <v/>
      </c>
    </row>
    <row r="12">
      <c r="E12" s="5" t="inlineStr">
        <is>
          <t>Drivers</t>
        </is>
      </c>
      <c r="K12" s="5" t="inlineStr">
        <is>
          <t>Metrics</t>
        </is>
      </c>
      <c r="R12" s="5" t="inlineStr">
        <is>
          <t>Helper calculations (actuals, plan, same-month-last-year rates)</t>
        </is>
      </c>
    </row>
    <row r="13" ht="60" customHeight="1">
      <c r="A13" s="5" t="inlineStr">
        <is>
          <t>Month</t>
        </is>
      </c>
      <c r="B13" s="5" t="inlineStr">
        <is>
          <t>Year</t>
        </is>
      </c>
      <c r="C13" s="5" t="inlineStr">
        <is>
          <t>Mth</t>
        </is>
      </c>
      <c r="D13" s="5" t="inlineStr">
        <is>
          <t>Status</t>
        </is>
      </c>
      <c r="E13" s="5" t="inlineStr">
        <is>
          <t>Sales</t>
        </is>
      </c>
      <c r="F13" s="5" t="inlineStr">
        <is>
          <t>Cases picked</t>
        </is>
      </c>
      <c r="G13" s="5" t="inlineStr">
        <is>
          <t>WH hours worked</t>
        </is>
      </c>
      <c r="H13" s="5" t="inlineStr">
        <is>
          <t>Staff payroll</t>
        </is>
      </c>
      <c r="I13" s="5" t="inlineStr">
        <is>
          <t>Leadership payroll</t>
        </is>
      </c>
      <c r="J13" s="5" t="inlineStr">
        <is>
          <t>Total payroll</t>
        </is>
      </c>
      <c r="K13" s="5" t="inlineStr">
        <is>
          <t>CPLH (cases / hr)</t>
        </is>
      </c>
      <c r="L13" s="5" t="inlineStr">
        <is>
          <t>Cost per hour (staff)</t>
        </is>
      </c>
      <c r="M13" s="5" t="inlineStr">
        <is>
          <t>Cost per case (total payroll)</t>
        </is>
      </c>
      <c r="N13" s="5" t="inlineStr">
        <is>
          <t>Total payroll % sales</t>
        </is>
      </c>
      <c r="O13" s="5" t="inlineStr">
        <is>
          <t>Leadership % of total payroll</t>
        </is>
      </c>
      <c r="R13" s="41" t="inlineStr">
        <is>
          <t>Act sales</t>
        </is>
      </c>
      <c r="S13" s="41" t="inlineStr">
        <is>
          <t>Act cases</t>
        </is>
      </c>
      <c r="T13" s="41" t="inlineStr">
        <is>
          <t>Act hours</t>
        </is>
      </c>
      <c r="U13" s="41" t="inlineStr">
        <is>
          <t>Act staff $</t>
        </is>
      </c>
      <c r="V13" s="41" t="inlineStr">
        <is>
          <t>Act leadership $</t>
        </is>
      </c>
      <c r="W13" s="41" t="inlineStr">
        <is>
          <t>Plan sales</t>
        </is>
      </c>
      <c r="X13" s="41" t="inlineStr">
        <is>
          <t>Plan payroll %</t>
        </is>
      </c>
      <c r="Y13" s="41" t="inlineStr">
        <is>
          <t>Volume driver sales</t>
        </is>
      </c>
      <c r="Z13" s="41" t="inlineStr">
        <is>
          <t>PH factor</t>
        </is>
      </c>
      <c r="AA13" s="41" t="inlineStr">
        <is>
          <t>Wage index</t>
        </is>
      </c>
      <c r="AB13" s="41" t="inlineStr">
        <is>
          <t>Cases per $ (actual, else same month LY)</t>
        </is>
      </c>
      <c r="AC13" s="41" t="inlineStr">
        <is>
          <t>Cost per hour ex PH &amp; wage (actual, else same month LY)</t>
        </is>
      </c>
      <c r="AD13" s="41" t="inlineStr">
        <is>
          <t>Leadership share of total payroll (actual, else same month LY)</t>
        </is>
      </c>
      <c r="AE13" s="41" t="inlineStr">
        <is>
          <t>Fcst cost per hour (AC x PH x wage)</t>
        </is>
      </c>
      <c r="AF13" s="41" t="inlineStr">
        <is>
          <t>LY CPLH (same month)</t>
        </is>
      </c>
      <c r="AG13" s="41" t="inlineStr">
        <is>
          <t>Fcst CPLH vs LY</t>
        </is>
      </c>
    </row>
    <row r="14">
      <c r="E14" s="25" t="inlineStr">
        <is>
          <t>$m</t>
        </is>
      </c>
      <c r="F14" s="25" t="inlineStr">
        <is>
          <t>m</t>
        </is>
      </c>
      <c r="G14" s="25" t="inlineStr">
        <is>
          <t>#</t>
        </is>
      </c>
      <c r="H14" s="25" t="inlineStr">
        <is>
          <t>$m</t>
        </is>
      </c>
      <c r="I14" s="25" t="inlineStr">
        <is>
          <t>$m</t>
        </is>
      </c>
      <c r="J14" s="25" t="inlineStr">
        <is>
          <t>$m</t>
        </is>
      </c>
      <c r="K14" s="25" t="inlineStr">
        <is>
          <t>#</t>
        </is>
      </c>
      <c r="L14" s="25" t="inlineStr">
        <is>
          <t>$</t>
        </is>
      </c>
      <c r="M14" s="25" t="inlineStr">
        <is>
          <t>$</t>
        </is>
      </c>
      <c r="N14" s="25" t="inlineStr">
        <is>
          <t>%</t>
        </is>
      </c>
      <c r="O14" s="25" t="inlineStr">
        <is>
          <t>%</t>
        </is>
      </c>
    </row>
    <row r="15">
      <c r="A15" s="8" t="n">
        <v>45658</v>
      </c>
      <c r="B15" s="26">
        <f>YEAR(A15)</f>
        <v/>
      </c>
      <c r="C15" s="26">
        <f>MONTH(A15)</f>
        <v/>
      </c>
      <c r="D15">
        <f>IF(A15&lt;=LastActual,"Actual","Forecast")</f>
        <v/>
      </c>
      <c r="E15" s="24">
        <f>IF($D15="Actual",R15,W15)</f>
        <v/>
      </c>
      <c r="F15" s="27">
        <f>IF($D15="Actual",S15,Cases_Forecast!AJ8)</f>
        <v/>
      </c>
      <c r="G15" s="9">
        <f>IF($D15="Actual",T15,IFERROR(H15/AE15,0))</f>
        <v/>
      </c>
      <c r="H15" s="24">
        <f>IF($D15="Actual",U15,J15-I15)</f>
        <v/>
      </c>
      <c r="I15" s="24">
        <f>IF($D15="Actual",V15,IFERROR(J15*AD15,0))</f>
        <v/>
      </c>
      <c r="J15" s="24">
        <f>IF($D15="Actual",U15+V15,E15*X15)</f>
        <v/>
      </c>
      <c r="K15" s="28">
        <f>IFERROR(F15/G15,0)</f>
        <v/>
      </c>
      <c r="L15" s="29">
        <f>IFERROR(H15/G15,0)</f>
        <v/>
      </c>
      <c r="M15" s="30">
        <f>IFERROR(J15/F15,0)</f>
        <v/>
      </c>
      <c r="N15" s="10">
        <f>IFERROR(J15/E15,0)</f>
        <v/>
      </c>
      <c r="O15" s="10">
        <f>IFERROR(I15/J15,0)</f>
        <v/>
      </c>
      <c r="R15" s="42">
        <f>IF($D15="Actual",SUMIFS(Data_Actuals!$C$2:$C$5000,Data_Actuals!$A$2:$A$5000,$A15,Data_Actuals!$B$2:$B$5000,$B$2),"")</f>
        <v/>
      </c>
      <c r="S15" s="42">
        <f>IF($D15="Actual",SUMIFS(Data_Actuals!$D$2:$D$5000,Data_Actuals!$A$2:$A$5000,$A15,Data_Actuals!$B$2:$B$5000,$B$2),"")</f>
        <v/>
      </c>
      <c r="T15" s="42">
        <f>IF($D15="Actual",SUMIFS(Data_Actuals!$E$2:$E$5000,Data_Actuals!$A$2:$A$5000,$A15,Data_Actuals!$B$2:$B$5000,$B$2),"")</f>
        <v/>
      </c>
      <c r="U15" s="42">
        <f>IF($D15="Actual",SUMIFS(Data_Actuals!$F$2:$F$5000,Data_Actuals!$A$2:$A$5000,$A15,Data_Actuals!$B$2:$B$5000,$B$2),"")</f>
        <v/>
      </c>
      <c r="V15" s="42">
        <f>IF($D15="Actual",SUMIFS(Data_Actuals!$G$2:$G$5000,Data_Actuals!$A$2:$A$5000,$A15,Data_Actuals!$B$2:$B$5000,$B$2),"")</f>
        <v/>
      </c>
      <c r="W15" s="42">
        <f>SUMIFS(Plan_Inputs!$C$2:$C$5000,Plan_Inputs!$A$2:$A$5000,$A15,Plan_Inputs!$B$2:$B$5000,$B$2)</f>
        <v/>
      </c>
      <c r="X15" s="43">
        <f>SUMIFS(Plan_Inputs!$D$2:$D$5000,Plan_Inputs!$A$2:$A$5000,$A15,Plan_Inputs!$B$2:$B$5000,$B$2)</f>
        <v/>
      </c>
      <c r="Y15" s="42">
        <f>E15</f>
        <v/>
      </c>
      <c r="Z15" s="44">
        <f>INDEX(Calendar!$H$5:$L$52,MATCH($A15,Calendar!$A$5:$A$52,0),MATCH($D$2,Calendar!$H$4:$L$4,0))</f>
        <v/>
      </c>
      <c r="AA15" s="44">
        <f>INDEX(Calendar!$M$5:$M$52,MATCH($A15,Calendar!$A$5:$A$52,0))</f>
        <v/>
      </c>
      <c r="AB15" s="45">
        <f>IF($D15="Actual",IFERROR(S15/Y15,""),"")</f>
        <v/>
      </c>
      <c r="AC15" s="46">
        <f>IF($D15="Actual",IFERROR(U15/T15/Z15/AA15,""),"")</f>
        <v/>
      </c>
      <c r="AD15" s="43">
        <f>IF($D15="Actual",IFERROR(V15/(U15+V15),""),"")</f>
        <v/>
      </c>
      <c r="AE15" s="46">
        <f>IFERROR(AC15*Z15*AA15,"")</f>
        <v/>
      </c>
      <c r="AF15" s="47" t="n"/>
      <c r="AG15" s="43">
        <f>IF($D15="Forecast",IFERROR(K15/AF15-1,""),"")</f>
        <v/>
      </c>
    </row>
    <row r="16">
      <c r="A16" s="8" t="n">
        <v>45689</v>
      </c>
      <c r="B16" s="26">
        <f>YEAR(A16)</f>
        <v/>
      </c>
      <c r="C16" s="26">
        <f>MONTH(A16)</f>
        <v/>
      </c>
      <c r="D16">
        <f>IF(A16&lt;=LastActual,"Actual","Forecast")</f>
        <v/>
      </c>
      <c r="E16" s="24">
        <f>IF($D16="Actual",R16,W16)</f>
        <v/>
      </c>
      <c r="F16" s="27">
        <f>IF($D16="Actual",S16,Cases_Forecast!AJ9)</f>
        <v/>
      </c>
      <c r="G16" s="9">
        <f>IF($D16="Actual",T16,IFERROR(H16/AE16,0))</f>
        <v/>
      </c>
      <c r="H16" s="24">
        <f>IF($D16="Actual",U16,J16-I16)</f>
        <v/>
      </c>
      <c r="I16" s="24">
        <f>IF($D16="Actual",V16,IFERROR(J16*AD16,0))</f>
        <v/>
      </c>
      <c r="J16" s="24">
        <f>IF($D16="Actual",U16+V16,E16*X16)</f>
        <v/>
      </c>
      <c r="K16" s="28">
        <f>IFERROR(F16/G16,0)</f>
        <v/>
      </c>
      <c r="L16" s="29">
        <f>IFERROR(H16/G16,0)</f>
        <v/>
      </c>
      <c r="M16" s="30">
        <f>IFERROR(J16/F16,0)</f>
        <v/>
      </c>
      <c r="N16" s="10">
        <f>IFERROR(J16/E16,0)</f>
        <v/>
      </c>
      <c r="O16" s="10">
        <f>IFERROR(I16/J16,0)</f>
        <v/>
      </c>
      <c r="R16" s="42">
        <f>IF($D16="Actual",SUMIFS(Data_Actuals!$C$2:$C$5000,Data_Actuals!$A$2:$A$5000,$A16,Data_Actuals!$B$2:$B$5000,$B$2),"")</f>
        <v/>
      </c>
      <c r="S16" s="42">
        <f>IF($D16="Actual",SUMIFS(Data_Actuals!$D$2:$D$5000,Data_Actuals!$A$2:$A$5000,$A16,Data_Actuals!$B$2:$B$5000,$B$2),"")</f>
        <v/>
      </c>
      <c r="T16" s="42">
        <f>IF($D16="Actual",SUMIFS(Data_Actuals!$E$2:$E$5000,Data_Actuals!$A$2:$A$5000,$A16,Data_Actuals!$B$2:$B$5000,$B$2),"")</f>
        <v/>
      </c>
      <c r="U16" s="42">
        <f>IF($D16="Actual",SUMIFS(Data_Actuals!$F$2:$F$5000,Data_Actuals!$A$2:$A$5000,$A16,Data_Actuals!$B$2:$B$5000,$B$2),"")</f>
        <v/>
      </c>
      <c r="V16" s="42">
        <f>IF($D16="Actual",SUMIFS(Data_Actuals!$G$2:$G$5000,Data_Actuals!$A$2:$A$5000,$A16,Data_Actuals!$B$2:$B$5000,$B$2),"")</f>
        <v/>
      </c>
      <c r="W16" s="42">
        <f>SUMIFS(Plan_Inputs!$C$2:$C$5000,Plan_Inputs!$A$2:$A$5000,$A16,Plan_Inputs!$B$2:$B$5000,$B$2)</f>
        <v/>
      </c>
      <c r="X16" s="43">
        <f>SUMIFS(Plan_Inputs!$D$2:$D$5000,Plan_Inputs!$A$2:$A$5000,$A16,Plan_Inputs!$B$2:$B$5000,$B$2)</f>
        <v/>
      </c>
      <c r="Y16" s="42">
        <f>E16</f>
        <v/>
      </c>
      <c r="Z16" s="44">
        <f>INDEX(Calendar!$H$5:$L$52,MATCH($A16,Calendar!$A$5:$A$52,0),MATCH($D$2,Calendar!$H$4:$L$4,0))</f>
        <v/>
      </c>
      <c r="AA16" s="44">
        <f>INDEX(Calendar!$M$5:$M$52,MATCH($A16,Calendar!$A$5:$A$52,0))</f>
        <v/>
      </c>
      <c r="AB16" s="45">
        <f>IF($D16="Actual",IFERROR(S16/Y16,""),"")</f>
        <v/>
      </c>
      <c r="AC16" s="46">
        <f>IF($D16="Actual",IFERROR(U16/T16/Z16/AA16,""),"")</f>
        <v/>
      </c>
      <c r="AD16" s="43">
        <f>IF($D16="Actual",IFERROR(V16/(U16+V16),""),"")</f>
        <v/>
      </c>
      <c r="AE16" s="46">
        <f>IFERROR(AC16*Z16*AA16,"")</f>
        <v/>
      </c>
      <c r="AF16" s="47" t="n"/>
      <c r="AG16" s="43">
        <f>IF($D16="Forecast",IFERROR(K16/AF16-1,""),"")</f>
        <v/>
      </c>
    </row>
    <row r="17">
      <c r="A17" s="8" t="n">
        <v>45717</v>
      </c>
      <c r="B17" s="26">
        <f>YEAR(A17)</f>
        <v/>
      </c>
      <c r="C17" s="26">
        <f>MONTH(A17)</f>
        <v/>
      </c>
      <c r="D17">
        <f>IF(A17&lt;=LastActual,"Actual","Forecast")</f>
        <v/>
      </c>
      <c r="E17" s="24">
        <f>IF($D17="Actual",R17,W17)</f>
        <v/>
      </c>
      <c r="F17" s="27">
        <f>IF($D17="Actual",S17,Cases_Forecast!AJ10)</f>
        <v/>
      </c>
      <c r="G17" s="9">
        <f>IF($D17="Actual",T17,IFERROR(H17/AE17,0))</f>
        <v/>
      </c>
      <c r="H17" s="24">
        <f>IF($D17="Actual",U17,J17-I17)</f>
        <v/>
      </c>
      <c r="I17" s="24">
        <f>IF($D17="Actual",V17,IFERROR(J17*AD17,0))</f>
        <v/>
      </c>
      <c r="J17" s="24">
        <f>IF($D17="Actual",U17+V17,E17*X17)</f>
        <v/>
      </c>
      <c r="K17" s="28">
        <f>IFERROR(F17/G17,0)</f>
        <v/>
      </c>
      <c r="L17" s="29">
        <f>IFERROR(H17/G17,0)</f>
        <v/>
      </c>
      <c r="M17" s="30">
        <f>IFERROR(J17/F17,0)</f>
        <v/>
      </c>
      <c r="N17" s="10">
        <f>IFERROR(J17/E17,0)</f>
        <v/>
      </c>
      <c r="O17" s="10">
        <f>IFERROR(I17/J17,0)</f>
        <v/>
      </c>
      <c r="R17" s="42">
        <f>IF($D17="Actual",SUMIFS(Data_Actuals!$C$2:$C$5000,Data_Actuals!$A$2:$A$5000,$A17,Data_Actuals!$B$2:$B$5000,$B$2),"")</f>
        <v/>
      </c>
      <c r="S17" s="42">
        <f>IF($D17="Actual",SUMIFS(Data_Actuals!$D$2:$D$5000,Data_Actuals!$A$2:$A$5000,$A17,Data_Actuals!$B$2:$B$5000,$B$2),"")</f>
        <v/>
      </c>
      <c r="T17" s="42">
        <f>IF($D17="Actual",SUMIFS(Data_Actuals!$E$2:$E$5000,Data_Actuals!$A$2:$A$5000,$A17,Data_Actuals!$B$2:$B$5000,$B$2),"")</f>
        <v/>
      </c>
      <c r="U17" s="42">
        <f>IF($D17="Actual",SUMIFS(Data_Actuals!$F$2:$F$5000,Data_Actuals!$A$2:$A$5000,$A17,Data_Actuals!$B$2:$B$5000,$B$2),"")</f>
        <v/>
      </c>
      <c r="V17" s="42">
        <f>IF($D17="Actual",SUMIFS(Data_Actuals!$G$2:$G$5000,Data_Actuals!$A$2:$A$5000,$A17,Data_Actuals!$B$2:$B$5000,$B$2),"")</f>
        <v/>
      </c>
      <c r="W17" s="42">
        <f>SUMIFS(Plan_Inputs!$C$2:$C$5000,Plan_Inputs!$A$2:$A$5000,$A17,Plan_Inputs!$B$2:$B$5000,$B$2)</f>
        <v/>
      </c>
      <c r="X17" s="43">
        <f>SUMIFS(Plan_Inputs!$D$2:$D$5000,Plan_Inputs!$A$2:$A$5000,$A17,Plan_Inputs!$B$2:$B$5000,$B$2)</f>
        <v/>
      </c>
      <c r="Y17" s="42">
        <f>E17</f>
        <v/>
      </c>
      <c r="Z17" s="44">
        <f>INDEX(Calendar!$H$5:$L$52,MATCH($A17,Calendar!$A$5:$A$52,0),MATCH($D$2,Calendar!$H$4:$L$4,0))</f>
        <v/>
      </c>
      <c r="AA17" s="44">
        <f>INDEX(Calendar!$M$5:$M$52,MATCH($A17,Calendar!$A$5:$A$52,0))</f>
        <v/>
      </c>
      <c r="AB17" s="45">
        <f>IF($D17="Actual",IFERROR(S17/Y17,""),"")</f>
        <v/>
      </c>
      <c r="AC17" s="46">
        <f>IF($D17="Actual",IFERROR(U17/T17/Z17/AA17,""),"")</f>
        <v/>
      </c>
      <c r="AD17" s="43">
        <f>IF($D17="Actual",IFERROR(V17/(U17+V17),""),"")</f>
        <v/>
      </c>
      <c r="AE17" s="46">
        <f>IFERROR(AC17*Z17*AA17,"")</f>
        <v/>
      </c>
      <c r="AF17" s="47" t="n"/>
      <c r="AG17" s="43">
        <f>IF($D17="Forecast",IFERROR(K17/AF17-1,""),"")</f>
        <v/>
      </c>
    </row>
    <row r="18">
      <c r="A18" s="8" t="n">
        <v>45748</v>
      </c>
      <c r="B18" s="26">
        <f>YEAR(A18)</f>
        <v/>
      </c>
      <c r="C18" s="26">
        <f>MONTH(A18)</f>
        <v/>
      </c>
      <c r="D18">
        <f>IF(A18&lt;=LastActual,"Actual","Forecast")</f>
        <v/>
      </c>
      <c r="E18" s="24">
        <f>IF($D18="Actual",R18,W18)</f>
        <v/>
      </c>
      <c r="F18" s="27">
        <f>IF($D18="Actual",S18,Cases_Forecast!AJ11)</f>
        <v/>
      </c>
      <c r="G18" s="9">
        <f>IF($D18="Actual",T18,IFERROR(H18/AE18,0))</f>
        <v/>
      </c>
      <c r="H18" s="24">
        <f>IF($D18="Actual",U18,J18-I18)</f>
        <v/>
      </c>
      <c r="I18" s="24">
        <f>IF($D18="Actual",V18,IFERROR(J18*AD18,0))</f>
        <v/>
      </c>
      <c r="J18" s="24">
        <f>IF($D18="Actual",U18+V18,E18*X18)</f>
        <v/>
      </c>
      <c r="K18" s="28">
        <f>IFERROR(F18/G18,0)</f>
        <v/>
      </c>
      <c r="L18" s="29">
        <f>IFERROR(H18/G18,0)</f>
        <v/>
      </c>
      <c r="M18" s="30">
        <f>IFERROR(J18/F18,0)</f>
        <v/>
      </c>
      <c r="N18" s="10">
        <f>IFERROR(J18/E18,0)</f>
        <v/>
      </c>
      <c r="O18" s="10">
        <f>IFERROR(I18/J18,0)</f>
        <v/>
      </c>
      <c r="R18" s="42">
        <f>IF($D18="Actual",SUMIFS(Data_Actuals!$C$2:$C$5000,Data_Actuals!$A$2:$A$5000,$A18,Data_Actuals!$B$2:$B$5000,$B$2),"")</f>
        <v/>
      </c>
      <c r="S18" s="42">
        <f>IF($D18="Actual",SUMIFS(Data_Actuals!$D$2:$D$5000,Data_Actuals!$A$2:$A$5000,$A18,Data_Actuals!$B$2:$B$5000,$B$2),"")</f>
        <v/>
      </c>
      <c r="T18" s="42">
        <f>IF($D18="Actual",SUMIFS(Data_Actuals!$E$2:$E$5000,Data_Actuals!$A$2:$A$5000,$A18,Data_Actuals!$B$2:$B$5000,$B$2),"")</f>
        <v/>
      </c>
      <c r="U18" s="42">
        <f>IF($D18="Actual",SUMIFS(Data_Actuals!$F$2:$F$5000,Data_Actuals!$A$2:$A$5000,$A18,Data_Actuals!$B$2:$B$5000,$B$2),"")</f>
        <v/>
      </c>
      <c r="V18" s="42">
        <f>IF($D18="Actual",SUMIFS(Data_Actuals!$G$2:$G$5000,Data_Actuals!$A$2:$A$5000,$A18,Data_Actuals!$B$2:$B$5000,$B$2),"")</f>
        <v/>
      </c>
      <c r="W18" s="42">
        <f>SUMIFS(Plan_Inputs!$C$2:$C$5000,Plan_Inputs!$A$2:$A$5000,$A18,Plan_Inputs!$B$2:$B$5000,$B$2)</f>
        <v/>
      </c>
      <c r="X18" s="43">
        <f>SUMIFS(Plan_Inputs!$D$2:$D$5000,Plan_Inputs!$A$2:$A$5000,$A18,Plan_Inputs!$B$2:$B$5000,$B$2)</f>
        <v/>
      </c>
      <c r="Y18" s="42">
        <f>E18</f>
        <v/>
      </c>
      <c r="Z18" s="44">
        <f>INDEX(Calendar!$H$5:$L$52,MATCH($A18,Calendar!$A$5:$A$52,0),MATCH($D$2,Calendar!$H$4:$L$4,0))</f>
        <v/>
      </c>
      <c r="AA18" s="44">
        <f>INDEX(Calendar!$M$5:$M$52,MATCH($A18,Calendar!$A$5:$A$52,0))</f>
        <v/>
      </c>
      <c r="AB18" s="45">
        <f>IF($D18="Actual",IFERROR(S18/Y18,""),"")</f>
        <v/>
      </c>
      <c r="AC18" s="46">
        <f>IF($D18="Actual",IFERROR(U18/T18/Z18/AA18,""),"")</f>
        <v/>
      </c>
      <c r="AD18" s="43">
        <f>IF($D18="Actual",IFERROR(V18/(U18+V18),""),"")</f>
        <v/>
      </c>
      <c r="AE18" s="46">
        <f>IFERROR(AC18*Z18*AA18,"")</f>
        <v/>
      </c>
      <c r="AF18" s="47" t="n"/>
      <c r="AG18" s="43">
        <f>IF($D18="Forecast",IFERROR(K18/AF18-1,""),"")</f>
        <v/>
      </c>
    </row>
    <row r="19">
      <c r="A19" s="8" t="n">
        <v>45778</v>
      </c>
      <c r="B19" s="26">
        <f>YEAR(A19)</f>
        <v/>
      </c>
      <c r="C19" s="26">
        <f>MONTH(A19)</f>
        <v/>
      </c>
      <c r="D19">
        <f>IF(A19&lt;=LastActual,"Actual","Forecast")</f>
        <v/>
      </c>
      <c r="E19" s="24">
        <f>IF($D19="Actual",R19,W19)</f>
        <v/>
      </c>
      <c r="F19" s="27">
        <f>IF($D19="Actual",S19,Cases_Forecast!AJ12)</f>
        <v/>
      </c>
      <c r="G19" s="9">
        <f>IF($D19="Actual",T19,IFERROR(H19/AE19,0))</f>
        <v/>
      </c>
      <c r="H19" s="24">
        <f>IF($D19="Actual",U19,J19-I19)</f>
        <v/>
      </c>
      <c r="I19" s="24">
        <f>IF($D19="Actual",V19,IFERROR(J19*AD19,0))</f>
        <v/>
      </c>
      <c r="J19" s="24">
        <f>IF($D19="Actual",U19+V19,E19*X19)</f>
        <v/>
      </c>
      <c r="K19" s="28">
        <f>IFERROR(F19/G19,0)</f>
        <v/>
      </c>
      <c r="L19" s="29">
        <f>IFERROR(H19/G19,0)</f>
        <v/>
      </c>
      <c r="M19" s="30">
        <f>IFERROR(J19/F19,0)</f>
        <v/>
      </c>
      <c r="N19" s="10">
        <f>IFERROR(J19/E19,0)</f>
        <v/>
      </c>
      <c r="O19" s="10">
        <f>IFERROR(I19/J19,0)</f>
        <v/>
      </c>
      <c r="R19" s="42">
        <f>IF($D19="Actual",SUMIFS(Data_Actuals!$C$2:$C$5000,Data_Actuals!$A$2:$A$5000,$A19,Data_Actuals!$B$2:$B$5000,$B$2),"")</f>
        <v/>
      </c>
      <c r="S19" s="42">
        <f>IF($D19="Actual",SUMIFS(Data_Actuals!$D$2:$D$5000,Data_Actuals!$A$2:$A$5000,$A19,Data_Actuals!$B$2:$B$5000,$B$2),"")</f>
        <v/>
      </c>
      <c r="T19" s="42">
        <f>IF($D19="Actual",SUMIFS(Data_Actuals!$E$2:$E$5000,Data_Actuals!$A$2:$A$5000,$A19,Data_Actuals!$B$2:$B$5000,$B$2),"")</f>
        <v/>
      </c>
      <c r="U19" s="42">
        <f>IF($D19="Actual",SUMIFS(Data_Actuals!$F$2:$F$5000,Data_Actuals!$A$2:$A$5000,$A19,Data_Actuals!$B$2:$B$5000,$B$2),"")</f>
        <v/>
      </c>
      <c r="V19" s="42">
        <f>IF($D19="Actual",SUMIFS(Data_Actuals!$G$2:$G$5000,Data_Actuals!$A$2:$A$5000,$A19,Data_Actuals!$B$2:$B$5000,$B$2),"")</f>
        <v/>
      </c>
      <c r="W19" s="42">
        <f>SUMIFS(Plan_Inputs!$C$2:$C$5000,Plan_Inputs!$A$2:$A$5000,$A19,Plan_Inputs!$B$2:$B$5000,$B$2)</f>
        <v/>
      </c>
      <c r="X19" s="43">
        <f>SUMIFS(Plan_Inputs!$D$2:$D$5000,Plan_Inputs!$A$2:$A$5000,$A19,Plan_Inputs!$B$2:$B$5000,$B$2)</f>
        <v/>
      </c>
      <c r="Y19" s="42">
        <f>E19</f>
        <v/>
      </c>
      <c r="Z19" s="44">
        <f>INDEX(Calendar!$H$5:$L$52,MATCH($A19,Calendar!$A$5:$A$52,0),MATCH($D$2,Calendar!$H$4:$L$4,0))</f>
        <v/>
      </c>
      <c r="AA19" s="44">
        <f>INDEX(Calendar!$M$5:$M$52,MATCH($A19,Calendar!$A$5:$A$52,0))</f>
        <v/>
      </c>
      <c r="AB19" s="45">
        <f>IF($D19="Actual",IFERROR(S19/Y19,""),"")</f>
        <v/>
      </c>
      <c r="AC19" s="46">
        <f>IF($D19="Actual",IFERROR(U19/T19/Z19/AA19,""),"")</f>
        <v/>
      </c>
      <c r="AD19" s="43">
        <f>IF($D19="Actual",IFERROR(V19/(U19+V19),""),"")</f>
        <v/>
      </c>
      <c r="AE19" s="46">
        <f>IFERROR(AC19*Z19*AA19,"")</f>
        <v/>
      </c>
      <c r="AF19" s="47" t="n"/>
      <c r="AG19" s="43">
        <f>IF($D19="Forecast",IFERROR(K19/AF19-1,""),"")</f>
        <v/>
      </c>
    </row>
    <row r="20">
      <c r="A20" s="8" t="n">
        <v>45809</v>
      </c>
      <c r="B20" s="26">
        <f>YEAR(A20)</f>
        <v/>
      </c>
      <c r="C20" s="26">
        <f>MONTH(A20)</f>
        <v/>
      </c>
      <c r="D20">
        <f>IF(A20&lt;=LastActual,"Actual","Forecast")</f>
        <v/>
      </c>
      <c r="E20" s="24">
        <f>IF($D20="Actual",R20,W20)</f>
        <v/>
      </c>
      <c r="F20" s="27">
        <f>IF($D20="Actual",S20,Cases_Forecast!AJ13)</f>
        <v/>
      </c>
      <c r="G20" s="9">
        <f>IF($D20="Actual",T20,IFERROR(H20/AE20,0))</f>
        <v/>
      </c>
      <c r="H20" s="24">
        <f>IF($D20="Actual",U20,J20-I20)</f>
        <v/>
      </c>
      <c r="I20" s="24">
        <f>IF($D20="Actual",V20,IFERROR(J20*AD20,0))</f>
        <v/>
      </c>
      <c r="J20" s="24">
        <f>IF($D20="Actual",U20+V20,E20*X20)</f>
        <v/>
      </c>
      <c r="K20" s="28">
        <f>IFERROR(F20/G20,0)</f>
        <v/>
      </c>
      <c r="L20" s="29">
        <f>IFERROR(H20/G20,0)</f>
        <v/>
      </c>
      <c r="M20" s="30">
        <f>IFERROR(J20/F20,0)</f>
        <v/>
      </c>
      <c r="N20" s="10">
        <f>IFERROR(J20/E20,0)</f>
        <v/>
      </c>
      <c r="O20" s="10">
        <f>IFERROR(I20/J20,0)</f>
        <v/>
      </c>
      <c r="R20" s="42">
        <f>IF($D20="Actual",SUMIFS(Data_Actuals!$C$2:$C$5000,Data_Actuals!$A$2:$A$5000,$A20,Data_Actuals!$B$2:$B$5000,$B$2),"")</f>
        <v/>
      </c>
      <c r="S20" s="42">
        <f>IF($D20="Actual",SUMIFS(Data_Actuals!$D$2:$D$5000,Data_Actuals!$A$2:$A$5000,$A20,Data_Actuals!$B$2:$B$5000,$B$2),"")</f>
        <v/>
      </c>
      <c r="T20" s="42">
        <f>IF($D20="Actual",SUMIFS(Data_Actuals!$E$2:$E$5000,Data_Actuals!$A$2:$A$5000,$A20,Data_Actuals!$B$2:$B$5000,$B$2),"")</f>
        <v/>
      </c>
      <c r="U20" s="42">
        <f>IF($D20="Actual",SUMIFS(Data_Actuals!$F$2:$F$5000,Data_Actuals!$A$2:$A$5000,$A20,Data_Actuals!$B$2:$B$5000,$B$2),"")</f>
        <v/>
      </c>
      <c r="V20" s="42">
        <f>IF($D20="Actual",SUMIFS(Data_Actuals!$G$2:$G$5000,Data_Actuals!$A$2:$A$5000,$A20,Data_Actuals!$B$2:$B$5000,$B$2),"")</f>
        <v/>
      </c>
      <c r="W20" s="42">
        <f>SUMIFS(Plan_Inputs!$C$2:$C$5000,Plan_Inputs!$A$2:$A$5000,$A20,Plan_Inputs!$B$2:$B$5000,$B$2)</f>
        <v/>
      </c>
      <c r="X20" s="43">
        <f>SUMIFS(Plan_Inputs!$D$2:$D$5000,Plan_Inputs!$A$2:$A$5000,$A20,Plan_Inputs!$B$2:$B$5000,$B$2)</f>
        <v/>
      </c>
      <c r="Y20" s="42">
        <f>E20</f>
        <v/>
      </c>
      <c r="Z20" s="44">
        <f>INDEX(Calendar!$H$5:$L$52,MATCH($A20,Calendar!$A$5:$A$52,0),MATCH($D$2,Calendar!$H$4:$L$4,0))</f>
        <v/>
      </c>
      <c r="AA20" s="44">
        <f>INDEX(Calendar!$M$5:$M$52,MATCH($A20,Calendar!$A$5:$A$52,0))</f>
        <v/>
      </c>
      <c r="AB20" s="45">
        <f>IF($D20="Actual",IFERROR(S20/Y20,""),"")</f>
        <v/>
      </c>
      <c r="AC20" s="46">
        <f>IF($D20="Actual",IFERROR(U20/T20/Z20/AA20,""),"")</f>
        <v/>
      </c>
      <c r="AD20" s="43">
        <f>IF($D20="Actual",IFERROR(V20/(U20+V20),""),"")</f>
        <v/>
      </c>
      <c r="AE20" s="46">
        <f>IFERROR(AC20*Z20*AA20,"")</f>
        <v/>
      </c>
      <c r="AF20" s="47" t="n"/>
      <c r="AG20" s="43">
        <f>IF($D20="Forecast",IFERROR(K20/AF20-1,""),"")</f>
        <v/>
      </c>
    </row>
    <row r="21">
      <c r="A21" s="8" t="n">
        <v>45839</v>
      </c>
      <c r="B21" s="26">
        <f>YEAR(A21)</f>
        <v/>
      </c>
      <c r="C21" s="26">
        <f>MONTH(A21)</f>
        <v/>
      </c>
      <c r="D21">
        <f>IF(A21&lt;=LastActual,"Actual","Forecast")</f>
        <v/>
      </c>
      <c r="E21" s="24">
        <f>IF($D21="Actual",R21,W21)</f>
        <v/>
      </c>
      <c r="F21" s="27">
        <f>IF($D21="Actual",S21,Cases_Forecast!AJ14)</f>
        <v/>
      </c>
      <c r="G21" s="9">
        <f>IF($D21="Actual",T21,IFERROR(H21/AE21,0))</f>
        <v/>
      </c>
      <c r="H21" s="24">
        <f>IF($D21="Actual",U21,J21-I21)</f>
        <v/>
      </c>
      <c r="I21" s="24">
        <f>IF($D21="Actual",V21,IFERROR(J21*AD21,0))</f>
        <v/>
      </c>
      <c r="J21" s="24">
        <f>IF($D21="Actual",U21+V21,E21*X21)</f>
        <v/>
      </c>
      <c r="K21" s="28">
        <f>IFERROR(F21/G21,0)</f>
        <v/>
      </c>
      <c r="L21" s="29">
        <f>IFERROR(H21/G21,0)</f>
        <v/>
      </c>
      <c r="M21" s="30">
        <f>IFERROR(J21/F21,0)</f>
        <v/>
      </c>
      <c r="N21" s="10">
        <f>IFERROR(J21/E21,0)</f>
        <v/>
      </c>
      <c r="O21" s="10">
        <f>IFERROR(I21/J21,0)</f>
        <v/>
      </c>
      <c r="R21" s="42">
        <f>IF($D21="Actual",SUMIFS(Data_Actuals!$C$2:$C$5000,Data_Actuals!$A$2:$A$5000,$A21,Data_Actuals!$B$2:$B$5000,$B$2),"")</f>
        <v/>
      </c>
      <c r="S21" s="42">
        <f>IF($D21="Actual",SUMIFS(Data_Actuals!$D$2:$D$5000,Data_Actuals!$A$2:$A$5000,$A21,Data_Actuals!$B$2:$B$5000,$B$2),"")</f>
        <v/>
      </c>
      <c r="T21" s="42">
        <f>IF($D21="Actual",SUMIFS(Data_Actuals!$E$2:$E$5000,Data_Actuals!$A$2:$A$5000,$A21,Data_Actuals!$B$2:$B$5000,$B$2),"")</f>
        <v/>
      </c>
      <c r="U21" s="42">
        <f>IF($D21="Actual",SUMIFS(Data_Actuals!$F$2:$F$5000,Data_Actuals!$A$2:$A$5000,$A21,Data_Actuals!$B$2:$B$5000,$B$2),"")</f>
        <v/>
      </c>
      <c r="V21" s="42">
        <f>IF($D21="Actual",SUMIFS(Data_Actuals!$G$2:$G$5000,Data_Actuals!$A$2:$A$5000,$A21,Data_Actuals!$B$2:$B$5000,$B$2),"")</f>
        <v/>
      </c>
      <c r="W21" s="42">
        <f>SUMIFS(Plan_Inputs!$C$2:$C$5000,Plan_Inputs!$A$2:$A$5000,$A21,Plan_Inputs!$B$2:$B$5000,$B$2)</f>
        <v/>
      </c>
      <c r="X21" s="43">
        <f>SUMIFS(Plan_Inputs!$D$2:$D$5000,Plan_Inputs!$A$2:$A$5000,$A21,Plan_Inputs!$B$2:$B$5000,$B$2)</f>
        <v/>
      </c>
      <c r="Y21" s="42">
        <f>E21</f>
        <v/>
      </c>
      <c r="Z21" s="44">
        <f>INDEX(Calendar!$H$5:$L$52,MATCH($A21,Calendar!$A$5:$A$52,0),MATCH($D$2,Calendar!$H$4:$L$4,0))</f>
        <v/>
      </c>
      <c r="AA21" s="44">
        <f>INDEX(Calendar!$M$5:$M$52,MATCH($A21,Calendar!$A$5:$A$52,0))</f>
        <v/>
      </c>
      <c r="AB21" s="45">
        <f>IF($D21="Actual",IFERROR(S21/Y21,""),"")</f>
        <v/>
      </c>
      <c r="AC21" s="46">
        <f>IF($D21="Actual",IFERROR(U21/T21/Z21/AA21,""),"")</f>
        <v/>
      </c>
      <c r="AD21" s="43">
        <f>IF($D21="Actual",IFERROR(V21/(U21+V21),""),"")</f>
        <v/>
      </c>
      <c r="AE21" s="46">
        <f>IFERROR(AC21*Z21*AA21,"")</f>
        <v/>
      </c>
      <c r="AF21" s="47" t="n"/>
      <c r="AG21" s="43">
        <f>IF($D21="Forecast",IFERROR(K21/AF21-1,""),"")</f>
        <v/>
      </c>
    </row>
    <row r="22">
      <c r="A22" s="8" t="n">
        <v>45870</v>
      </c>
      <c r="B22" s="26">
        <f>YEAR(A22)</f>
        <v/>
      </c>
      <c r="C22" s="26">
        <f>MONTH(A22)</f>
        <v/>
      </c>
      <c r="D22">
        <f>IF(A22&lt;=LastActual,"Actual","Forecast")</f>
        <v/>
      </c>
      <c r="E22" s="24">
        <f>IF($D22="Actual",R22,W22)</f>
        <v/>
      </c>
      <c r="F22" s="27">
        <f>IF($D22="Actual",S22,Cases_Forecast!AJ15)</f>
        <v/>
      </c>
      <c r="G22" s="9">
        <f>IF($D22="Actual",T22,IFERROR(H22/AE22,0))</f>
        <v/>
      </c>
      <c r="H22" s="24">
        <f>IF($D22="Actual",U22,J22-I22)</f>
        <v/>
      </c>
      <c r="I22" s="24">
        <f>IF($D22="Actual",V22,IFERROR(J22*AD22,0))</f>
        <v/>
      </c>
      <c r="J22" s="24">
        <f>IF($D22="Actual",U22+V22,E22*X22)</f>
        <v/>
      </c>
      <c r="K22" s="28">
        <f>IFERROR(F22/G22,0)</f>
        <v/>
      </c>
      <c r="L22" s="29">
        <f>IFERROR(H22/G22,0)</f>
        <v/>
      </c>
      <c r="M22" s="30">
        <f>IFERROR(J22/F22,0)</f>
        <v/>
      </c>
      <c r="N22" s="10">
        <f>IFERROR(J22/E22,0)</f>
        <v/>
      </c>
      <c r="O22" s="10">
        <f>IFERROR(I22/J22,0)</f>
        <v/>
      </c>
      <c r="R22" s="42">
        <f>IF($D22="Actual",SUMIFS(Data_Actuals!$C$2:$C$5000,Data_Actuals!$A$2:$A$5000,$A22,Data_Actuals!$B$2:$B$5000,$B$2),"")</f>
        <v/>
      </c>
      <c r="S22" s="42">
        <f>IF($D22="Actual",SUMIFS(Data_Actuals!$D$2:$D$5000,Data_Actuals!$A$2:$A$5000,$A22,Data_Actuals!$B$2:$B$5000,$B$2),"")</f>
        <v/>
      </c>
      <c r="T22" s="42">
        <f>IF($D22="Actual",SUMIFS(Data_Actuals!$E$2:$E$5000,Data_Actuals!$A$2:$A$5000,$A22,Data_Actuals!$B$2:$B$5000,$B$2),"")</f>
        <v/>
      </c>
      <c r="U22" s="42">
        <f>IF($D22="Actual",SUMIFS(Data_Actuals!$F$2:$F$5000,Data_Actuals!$A$2:$A$5000,$A22,Data_Actuals!$B$2:$B$5000,$B$2),"")</f>
        <v/>
      </c>
      <c r="V22" s="42">
        <f>IF($D22="Actual",SUMIFS(Data_Actuals!$G$2:$G$5000,Data_Actuals!$A$2:$A$5000,$A22,Data_Actuals!$B$2:$B$5000,$B$2),"")</f>
        <v/>
      </c>
      <c r="W22" s="42">
        <f>SUMIFS(Plan_Inputs!$C$2:$C$5000,Plan_Inputs!$A$2:$A$5000,$A22,Plan_Inputs!$B$2:$B$5000,$B$2)</f>
        <v/>
      </c>
      <c r="X22" s="43">
        <f>SUMIFS(Plan_Inputs!$D$2:$D$5000,Plan_Inputs!$A$2:$A$5000,$A22,Plan_Inputs!$B$2:$B$5000,$B$2)</f>
        <v/>
      </c>
      <c r="Y22" s="42">
        <f>E22</f>
        <v/>
      </c>
      <c r="Z22" s="44">
        <f>INDEX(Calendar!$H$5:$L$52,MATCH($A22,Calendar!$A$5:$A$52,0),MATCH($D$2,Calendar!$H$4:$L$4,0))</f>
        <v/>
      </c>
      <c r="AA22" s="44">
        <f>INDEX(Calendar!$M$5:$M$52,MATCH($A22,Calendar!$A$5:$A$52,0))</f>
        <v/>
      </c>
      <c r="AB22" s="45">
        <f>IF($D22="Actual",IFERROR(S22/Y22,""),"")</f>
        <v/>
      </c>
      <c r="AC22" s="46">
        <f>IF($D22="Actual",IFERROR(U22/T22/Z22/AA22,""),"")</f>
        <v/>
      </c>
      <c r="AD22" s="43">
        <f>IF($D22="Actual",IFERROR(V22/(U22+V22),""),"")</f>
        <v/>
      </c>
      <c r="AE22" s="46">
        <f>IFERROR(AC22*Z22*AA22,"")</f>
        <v/>
      </c>
      <c r="AF22" s="47" t="n"/>
      <c r="AG22" s="43">
        <f>IF($D22="Forecast",IFERROR(K22/AF22-1,""),"")</f>
        <v/>
      </c>
    </row>
    <row r="23">
      <c r="A23" s="8" t="n">
        <v>45901</v>
      </c>
      <c r="B23" s="26">
        <f>YEAR(A23)</f>
        <v/>
      </c>
      <c r="C23" s="26">
        <f>MONTH(A23)</f>
        <v/>
      </c>
      <c r="D23">
        <f>IF(A23&lt;=LastActual,"Actual","Forecast")</f>
        <v/>
      </c>
      <c r="E23" s="24">
        <f>IF($D23="Actual",R23,W23)</f>
        <v/>
      </c>
      <c r="F23" s="27">
        <f>IF($D23="Actual",S23,Cases_Forecast!AJ16)</f>
        <v/>
      </c>
      <c r="G23" s="9">
        <f>IF($D23="Actual",T23,IFERROR(H23/AE23,0))</f>
        <v/>
      </c>
      <c r="H23" s="24">
        <f>IF($D23="Actual",U23,J23-I23)</f>
        <v/>
      </c>
      <c r="I23" s="24">
        <f>IF($D23="Actual",V23,IFERROR(J23*AD23,0))</f>
        <v/>
      </c>
      <c r="J23" s="24">
        <f>IF($D23="Actual",U23+V23,E23*X23)</f>
        <v/>
      </c>
      <c r="K23" s="28">
        <f>IFERROR(F23/G23,0)</f>
        <v/>
      </c>
      <c r="L23" s="29">
        <f>IFERROR(H23/G23,0)</f>
        <v/>
      </c>
      <c r="M23" s="30">
        <f>IFERROR(J23/F23,0)</f>
        <v/>
      </c>
      <c r="N23" s="10">
        <f>IFERROR(J23/E23,0)</f>
        <v/>
      </c>
      <c r="O23" s="10">
        <f>IFERROR(I23/J23,0)</f>
        <v/>
      </c>
      <c r="R23" s="42">
        <f>IF($D23="Actual",SUMIFS(Data_Actuals!$C$2:$C$5000,Data_Actuals!$A$2:$A$5000,$A23,Data_Actuals!$B$2:$B$5000,$B$2),"")</f>
        <v/>
      </c>
      <c r="S23" s="42">
        <f>IF($D23="Actual",SUMIFS(Data_Actuals!$D$2:$D$5000,Data_Actuals!$A$2:$A$5000,$A23,Data_Actuals!$B$2:$B$5000,$B$2),"")</f>
        <v/>
      </c>
      <c r="T23" s="42">
        <f>IF($D23="Actual",SUMIFS(Data_Actuals!$E$2:$E$5000,Data_Actuals!$A$2:$A$5000,$A23,Data_Actuals!$B$2:$B$5000,$B$2),"")</f>
        <v/>
      </c>
      <c r="U23" s="42">
        <f>IF($D23="Actual",SUMIFS(Data_Actuals!$F$2:$F$5000,Data_Actuals!$A$2:$A$5000,$A23,Data_Actuals!$B$2:$B$5000,$B$2),"")</f>
        <v/>
      </c>
      <c r="V23" s="42">
        <f>IF($D23="Actual",SUMIFS(Data_Actuals!$G$2:$G$5000,Data_Actuals!$A$2:$A$5000,$A23,Data_Actuals!$B$2:$B$5000,$B$2),"")</f>
        <v/>
      </c>
      <c r="W23" s="42">
        <f>SUMIFS(Plan_Inputs!$C$2:$C$5000,Plan_Inputs!$A$2:$A$5000,$A23,Plan_Inputs!$B$2:$B$5000,$B$2)</f>
        <v/>
      </c>
      <c r="X23" s="43">
        <f>SUMIFS(Plan_Inputs!$D$2:$D$5000,Plan_Inputs!$A$2:$A$5000,$A23,Plan_Inputs!$B$2:$B$5000,$B$2)</f>
        <v/>
      </c>
      <c r="Y23" s="42">
        <f>E23</f>
        <v/>
      </c>
      <c r="Z23" s="44">
        <f>INDEX(Calendar!$H$5:$L$52,MATCH($A23,Calendar!$A$5:$A$52,0),MATCH($D$2,Calendar!$H$4:$L$4,0))</f>
        <v/>
      </c>
      <c r="AA23" s="44">
        <f>INDEX(Calendar!$M$5:$M$52,MATCH($A23,Calendar!$A$5:$A$52,0))</f>
        <v/>
      </c>
      <c r="AB23" s="45">
        <f>IF($D23="Actual",IFERROR(S23/Y23,""),"")</f>
        <v/>
      </c>
      <c r="AC23" s="46">
        <f>IF($D23="Actual",IFERROR(U23/T23/Z23/AA23,""),"")</f>
        <v/>
      </c>
      <c r="AD23" s="43">
        <f>IF($D23="Actual",IFERROR(V23/(U23+V23),""),"")</f>
        <v/>
      </c>
      <c r="AE23" s="46">
        <f>IFERROR(AC23*Z23*AA23,"")</f>
        <v/>
      </c>
      <c r="AF23" s="47" t="n"/>
      <c r="AG23" s="43">
        <f>IF($D23="Forecast",IFERROR(K23/AF23-1,""),"")</f>
        <v/>
      </c>
    </row>
    <row r="24">
      <c r="A24" s="8" t="n">
        <v>45931</v>
      </c>
      <c r="B24" s="26">
        <f>YEAR(A24)</f>
        <v/>
      </c>
      <c r="C24" s="26">
        <f>MONTH(A24)</f>
        <v/>
      </c>
      <c r="D24">
        <f>IF(A24&lt;=LastActual,"Actual","Forecast")</f>
        <v/>
      </c>
      <c r="E24" s="24">
        <f>IF($D24="Actual",R24,W24)</f>
        <v/>
      </c>
      <c r="F24" s="27">
        <f>IF($D24="Actual",S24,Cases_Forecast!AJ17)</f>
        <v/>
      </c>
      <c r="G24" s="9">
        <f>IF($D24="Actual",T24,IFERROR(H24/AE24,0))</f>
        <v/>
      </c>
      <c r="H24" s="24">
        <f>IF($D24="Actual",U24,J24-I24)</f>
        <v/>
      </c>
      <c r="I24" s="24">
        <f>IF($D24="Actual",V24,IFERROR(J24*AD24,0))</f>
        <v/>
      </c>
      <c r="J24" s="24">
        <f>IF($D24="Actual",U24+V24,E24*X24)</f>
        <v/>
      </c>
      <c r="K24" s="28">
        <f>IFERROR(F24/G24,0)</f>
        <v/>
      </c>
      <c r="L24" s="29">
        <f>IFERROR(H24/G24,0)</f>
        <v/>
      </c>
      <c r="M24" s="30">
        <f>IFERROR(J24/F24,0)</f>
        <v/>
      </c>
      <c r="N24" s="10">
        <f>IFERROR(J24/E24,0)</f>
        <v/>
      </c>
      <c r="O24" s="10">
        <f>IFERROR(I24/J24,0)</f>
        <v/>
      </c>
      <c r="R24" s="42">
        <f>IF($D24="Actual",SUMIFS(Data_Actuals!$C$2:$C$5000,Data_Actuals!$A$2:$A$5000,$A24,Data_Actuals!$B$2:$B$5000,$B$2),"")</f>
        <v/>
      </c>
      <c r="S24" s="42">
        <f>IF($D24="Actual",SUMIFS(Data_Actuals!$D$2:$D$5000,Data_Actuals!$A$2:$A$5000,$A24,Data_Actuals!$B$2:$B$5000,$B$2),"")</f>
        <v/>
      </c>
      <c r="T24" s="42">
        <f>IF($D24="Actual",SUMIFS(Data_Actuals!$E$2:$E$5000,Data_Actuals!$A$2:$A$5000,$A24,Data_Actuals!$B$2:$B$5000,$B$2),"")</f>
        <v/>
      </c>
      <c r="U24" s="42">
        <f>IF($D24="Actual",SUMIFS(Data_Actuals!$F$2:$F$5000,Data_Actuals!$A$2:$A$5000,$A24,Data_Actuals!$B$2:$B$5000,$B$2),"")</f>
        <v/>
      </c>
      <c r="V24" s="42">
        <f>IF($D24="Actual",SUMIFS(Data_Actuals!$G$2:$G$5000,Data_Actuals!$A$2:$A$5000,$A24,Data_Actuals!$B$2:$B$5000,$B$2),"")</f>
        <v/>
      </c>
      <c r="W24" s="42">
        <f>SUMIFS(Plan_Inputs!$C$2:$C$5000,Plan_Inputs!$A$2:$A$5000,$A24,Plan_Inputs!$B$2:$B$5000,$B$2)</f>
        <v/>
      </c>
      <c r="X24" s="43">
        <f>SUMIFS(Plan_Inputs!$D$2:$D$5000,Plan_Inputs!$A$2:$A$5000,$A24,Plan_Inputs!$B$2:$B$5000,$B$2)</f>
        <v/>
      </c>
      <c r="Y24" s="42">
        <f>E24</f>
        <v/>
      </c>
      <c r="Z24" s="44">
        <f>INDEX(Calendar!$H$5:$L$52,MATCH($A24,Calendar!$A$5:$A$52,0),MATCH($D$2,Calendar!$H$4:$L$4,0))</f>
        <v/>
      </c>
      <c r="AA24" s="44">
        <f>INDEX(Calendar!$M$5:$M$52,MATCH($A24,Calendar!$A$5:$A$52,0))</f>
        <v/>
      </c>
      <c r="AB24" s="45">
        <f>IF($D24="Actual",IFERROR(S24/Y24,""),"")</f>
        <v/>
      </c>
      <c r="AC24" s="46">
        <f>IF($D24="Actual",IFERROR(U24/T24/Z24/AA24,""),"")</f>
        <v/>
      </c>
      <c r="AD24" s="43">
        <f>IF($D24="Actual",IFERROR(V24/(U24+V24),""),"")</f>
        <v/>
      </c>
      <c r="AE24" s="46">
        <f>IFERROR(AC24*Z24*AA24,"")</f>
        <v/>
      </c>
      <c r="AF24" s="47" t="n"/>
      <c r="AG24" s="43">
        <f>IF($D24="Forecast",IFERROR(K24/AF24-1,""),"")</f>
        <v/>
      </c>
    </row>
    <row r="25">
      <c r="A25" s="8" t="n">
        <v>45962</v>
      </c>
      <c r="B25" s="26">
        <f>YEAR(A25)</f>
        <v/>
      </c>
      <c r="C25" s="26">
        <f>MONTH(A25)</f>
        <v/>
      </c>
      <c r="D25">
        <f>IF(A25&lt;=LastActual,"Actual","Forecast")</f>
        <v/>
      </c>
      <c r="E25" s="24">
        <f>IF($D25="Actual",R25,W25)</f>
        <v/>
      </c>
      <c r="F25" s="27">
        <f>IF($D25="Actual",S25,Cases_Forecast!AJ18)</f>
        <v/>
      </c>
      <c r="G25" s="9">
        <f>IF($D25="Actual",T25,IFERROR(H25/AE25,0))</f>
        <v/>
      </c>
      <c r="H25" s="24">
        <f>IF($D25="Actual",U25,J25-I25)</f>
        <v/>
      </c>
      <c r="I25" s="24">
        <f>IF($D25="Actual",V25,IFERROR(J25*AD25,0))</f>
        <v/>
      </c>
      <c r="J25" s="24">
        <f>IF($D25="Actual",U25+V25,E25*X25)</f>
        <v/>
      </c>
      <c r="K25" s="28">
        <f>IFERROR(F25/G25,0)</f>
        <v/>
      </c>
      <c r="L25" s="29">
        <f>IFERROR(H25/G25,0)</f>
        <v/>
      </c>
      <c r="M25" s="30">
        <f>IFERROR(J25/F25,0)</f>
        <v/>
      </c>
      <c r="N25" s="10">
        <f>IFERROR(J25/E25,0)</f>
        <v/>
      </c>
      <c r="O25" s="10">
        <f>IFERROR(I25/J25,0)</f>
        <v/>
      </c>
      <c r="R25" s="42">
        <f>IF($D25="Actual",SUMIFS(Data_Actuals!$C$2:$C$5000,Data_Actuals!$A$2:$A$5000,$A25,Data_Actuals!$B$2:$B$5000,$B$2),"")</f>
        <v/>
      </c>
      <c r="S25" s="42">
        <f>IF($D25="Actual",SUMIFS(Data_Actuals!$D$2:$D$5000,Data_Actuals!$A$2:$A$5000,$A25,Data_Actuals!$B$2:$B$5000,$B$2),"")</f>
        <v/>
      </c>
      <c r="T25" s="42">
        <f>IF($D25="Actual",SUMIFS(Data_Actuals!$E$2:$E$5000,Data_Actuals!$A$2:$A$5000,$A25,Data_Actuals!$B$2:$B$5000,$B$2),"")</f>
        <v/>
      </c>
      <c r="U25" s="42">
        <f>IF($D25="Actual",SUMIFS(Data_Actuals!$F$2:$F$5000,Data_Actuals!$A$2:$A$5000,$A25,Data_Actuals!$B$2:$B$5000,$B$2),"")</f>
        <v/>
      </c>
      <c r="V25" s="42">
        <f>IF($D25="Actual",SUMIFS(Data_Actuals!$G$2:$G$5000,Data_Actuals!$A$2:$A$5000,$A25,Data_Actuals!$B$2:$B$5000,$B$2),"")</f>
        <v/>
      </c>
      <c r="W25" s="42">
        <f>SUMIFS(Plan_Inputs!$C$2:$C$5000,Plan_Inputs!$A$2:$A$5000,$A25,Plan_Inputs!$B$2:$B$5000,$B$2)</f>
        <v/>
      </c>
      <c r="X25" s="43">
        <f>SUMIFS(Plan_Inputs!$D$2:$D$5000,Plan_Inputs!$A$2:$A$5000,$A25,Plan_Inputs!$B$2:$B$5000,$B$2)</f>
        <v/>
      </c>
      <c r="Y25" s="42">
        <f>E25</f>
        <v/>
      </c>
      <c r="Z25" s="44">
        <f>INDEX(Calendar!$H$5:$L$52,MATCH($A25,Calendar!$A$5:$A$52,0),MATCH($D$2,Calendar!$H$4:$L$4,0))</f>
        <v/>
      </c>
      <c r="AA25" s="44">
        <f>INDEX(Calendar!$M$5:$M$52,MATCH($A25,Calendar!$A$5:$A$52,0))</f>
        <v/>
      </c>
      <c r="AB25" s="45">
        <f>IF($D25="Actual",IFERROR(S25/Y25,""),"")</f>
        <v/>
      </c>
      <c r="AC25" s="46">
        <f>IF($D25="Actual",IFERROR(U25/T25/Z25/AA25,""),"")</f>
        <v/>
      </c>
      <c r="AD25" s="43">
        <f>IF($D25="Actual",IFERROR(V25/(U25+V25),""),"")</f>
        <v/>
      </c>
      <c r="AE25" s="46">
        <f>IFERROR(AC25*Z25*AA25,"")</f>
        <v/>
      </c>
      <c r="AF25" s="47" t="n"/>
      <c r="AG25" s="43">
        <f>IF($D25="Forecast",IFERROR(K25/AF25-1,""),"")</f>
        <v/>
      </c>
    </row>
    <row r="26">
      <c r="A26" s="31" t="n">
        <v>45992</v>
      </c>
      <c r="B26" s="32">
        <f>YEAR(A26)</f>
        <v/>
      </c>
      <c r="C26" s="32">
        <f>MONTH(A26)</f>
        <v/>
      </c>
      <c r="D26" s="33">
        <f>IF(A26&lt;=LastActual,"Actual","Forecast")</f>
        <v/>
      </c>
      <c r="E26" s="34">
        <f>IF($D26="Actual",R26,W26)</f>
        <v/>
      </c>
      <c r="F26" s="35">
        <f>IF($D26="Actual",S26,Cases_Forecast!AJ19)</f>
        <v/>
      </c>
      <c r="G26" s="36">
        <f>IF($D26="Actual",T26,IFERROR(H26/AE26,0))</f>
        <v/>
      </c>
      <c r="H26" s="34">
        <f>IF($D26="Actual",U26,J26-I26)</f>
        <v/>
      </c>
      <c r="I26" s="34">
        <f>IF($D26="Actual",V26,IFERROR(J26*AD26,0))</f>
        <v/>
      </c>
      <c r="J26" s="34">
        <f>IF($D26="Actual",U26+V26,E26*X26)</f>
        <v/>
      </c>
      <c r="K26" s="37">
        <f>IFERROR(F26/G26,0)</f>
        <v/>
      </c>
      <c r="L26" s="38">
        <f>IFERROR(H26/G26,0)</f>
        <v/>
      </c>
      <c r="M26" s="39">
        <f>IFERROR(J26/F26,0)</f>
        <v/>
      </c>
      <c r="N26" s="40">
        <f>IFERROR(J26/E26,0)</f>
        <v/>
      </c>
      <c r="O26" s="40">
        <f>IFERROR(I26/J26,0)</f>
        <v/>
      </c>
      <c r="R26" s="42">
        <f>IF($D26="Actual",SUMIFS(Data_Actuals!$C$2:$C$5000,Data_Actuals!$A$2:$A$5000,$A26,Data_Actuals!$B$2:$B$5000,$B$2),"")</f>
        <v/>
      </c>
      <c r="S26" s="42">
        <f>IF($D26="Actual",SUMIFS(Data_Actuals!$D$2:$D$5000,Data_Actuals!$A$2:$A$5000,$A26,Data_Actuals!$B$2:$B$5000,$B$2),"")</f>
        <v/>
      </c>
      <c r="T26" s="42">
        <f>IF($D26="Actual",SUMIFS(Data_Actuals!$E$2:$E$5000,Data_Actuals!$A$2:$A$5000,$A26,Data_Actuals!$B$2:$B$5000,$B$2),"")</f>
        <v/>
      </c>
      <c r="U26" s="42">
        <f>IF($D26="Actual",SUMIFS(Data_Actuals!$F$2:$F$5000,Data_Actuals!$A$2:$A$5000,$A26,Data_Actuals!$B$2:$B$5000,$B$2),"")</f>
        <v/>
      </c>
      <c r="V26" s="42">
        <f>IF($D26="Actual",SUMIFS(Data_Actuals!$G$2:$G$5000,Data_Actuals!$A$2:$A$5000,$A26,Data_Actuals!$B$2:$B$5000,$B$2),"")</f>
        <v/>
      </c>
      <c r="W26" s="42">
        <f>SUMIFS(Plan_Inputs!$C$2:$C$5000,Plan_Inputs!$A$2:$A$5000,$A26,Plan_Inputs!$B$2:$B$5000,$B$2)</f>
        <v/>
      </c>
      <c r="X26" s="43">
        <f>SUMIFS(Plan_Inputs!$D$2:$D$5000,Plan_Inputs!$A$2:$A$5000,$A26,Plan_Inputs!$B$2:$B$5000,$B$2)</f>
        <v/>
      </c>
      <c r="Y26" s="42">
        <f>E26</f>
        <v/>
      </c>
      <c r="Z26" s="44">
        <f>INDEX(Calendar!$H$5:$L$52,MATCH($A26,Calendar!$A$5:$A$52,0),MATCH($D$2,Calendar!$H$4:$L$4,0))</f>
        <v/>
      </c>
      <c r="AA26" s="44">
        <f>INDEX(Calendar!$M$5:$M$52,MATCH($A26,Calendar!$A$5:$A$52,0))</f>
        <v/>
      </c>
      <c r="AB26" s="45">
        <f>IF($D26="Actual",IFERROR(S26/Y26,""),"")</f>
        <v/>
      </c>
      <c r="AC26" s="46">
        <f>IF($D26="Actual",IFERROR(U26/T26/Z26/AA26,""),"")</f>
        <v/>
      </c>
      <c r="AD26" s="43">
        <f>IF($D26="Actual",IFERROR(V26/(U26+V26),""),"")</f>
        <v/>
      </c>
      <c r="AE26" s="46">
        <f>IFERROR(AC26*Z26*AA26,"")</f>
        <v/>
      </c>
      <c r="AF26" s="47" t="n"/>
      <c r="AG26" s="43">
        <f>IF($D26="Forecast",IFERROR(K26/AF26-1,""),"")</f>
        <v/>
      </c>
    </row>
    <row r="27">
      <c r="A27" s="8" t="n">
        <v>46023</v>
      </c>
      <c r="B27" s="26">
        <f>YEAR(A27)</f>
        <v/>
      </c>
      <c r="C27" s="26">
        <f>MONTH(A27)</f>
        <v/>
      </c>
      <c r="D27">
        <f>IF(A27&lt;=LastActual,"Actual","Forecast")</f>
        <v/>
      </c>
      <c r="E27" s="24">
        <f>IF($D27="Actual",R27,W27)</f>
        <v/>
      </c>
      <c r="F27" s="27">
        <f>IF($D27="Actual",S27,Cases_Forecast!AJ20)</f>
        <v/>
      </c>
      <c r="G27" s="9">
        <f>IF($D27="Actual",T27,IFERROR(H27/AE27,0))</f>
        <v/>
      </c>
      <c r="H27" s="24">
        <f>IF($D27="Actual",U27,J27-I27)</f>
        <v/>
      </c>
      <c r="I27" s="24">
        <f>IF($D27="Actual",V27,IFERROR(J27*AD27,0))</f>
        <v/>
      </c>
      <c r="J27" s="24">
        <f>IF($D27="Actual",U27+V27,E27*X27)</f>
        <v/>
      </c>
      <c r="K27" s="28">
        <f>IFERROR(F27/G27,0)</f>
        <v/>
      </c>
      <c r="L27" s="29">
        <f>IFERROR(H27/G27,0)</f>
        <v/>
      </c>
      <c r="M27" s="30">
        <f>IFERROR(J27/F27,0)</f>
        <v/>
      </c>
      <c r="N27" s="10">
        <f>IFERROR(J27/E27,0)</f>
        <v/>
      </c>
      <c r="O27" s="10">
        <f>IFERROR(I27/J27,0)</f>
        <v/>
      </c>
      <c r="R27" s="42">
        <f>IF($D27="Actual",SUMIFS(Data_Actuals!$C$2:$C$5000,Data_Actuals!$A$2:$A$5000,$A27,Data_Actuals!$B$2:$B$5000,$B$2),"")</f>
        <v/>
      </c>
      <c r="S27" s="42">
        <f>IF($D27="Actual",SUMIFS(Data_Actuals!$D$2:$D$5000,Data_Actuals!$A$2:$A$5000,$A27,Data_Actuals!$B$2:$B$5000,$B$2),"")</f>
        <v/>
      </c>
      <c r="T27" s="42">
        <f>IF($D27="Actual",SUMIFS(Data_Actuals!$E$2:$E$5000,Data_Actuals!$A$2:$A$5000,$A27,Data_Actuals!$B$2:$B$5000,$B$2),"")</f>
        <v/>
      </c>
      <c r="U27" s="42">
        <f>IF($D27="Actual",SUMIFS(Data_Actuals!$F$2:$F$5000,Data_Actuals!$A$2:$A$5000,$A27,Data_Actuals!$B$2:$B$5000,$B$2),"")</f>
        <v/>
      </c>
      <c r="V27" s="42">
        <f>IF($D27="Actual",SUMIFS(Data_Actuals!$G$2:$G$5000,Data_Actuals!$A$2:$A$5000,$A27,Data_Actuals!$B$2:$B$5000,$B$2),"")</f>
        <v/>
      </c>
      <c r="W27" s="42">
        <f>SUMIFS(Plan_Inputs!$C$2:$C$5000,Plan_Inputs!$A$2:$A$5000,$A27,Plan_Inputs!$B$2:$B$5000,$B$2)</f>
        <v/>
      </c>
      <c r="X27" s="43">
        <f>SUMIFS(Plan_Inputs!$D$2:$D$5000,Plan_Inputs!$A$2:$A$5000,$A27,Plan_Inputs!$B$2:$B$5000,$B$2)</f>
        <v/>
      </c>
      <c r="Y27" s="42">
        <f>E27</f>
        <v/>
      </c>
      <c r="Z27" s="44">
        <f>INDEX(Calendar!$H$5:$L$52,MATCH($A27,Calendar!$A$5:$A$52,0),MATCH($D$2,Calendar!$H$4:$L$4,0))</f>
        <v/>
      </c>
      <c r="AA27" s="44">
        <f>INDEX(Calendar!$M$5:$M$52,MATCH($A27,Calendar!$A$5:$A$52,0))</f>
        <v/>
      </c>
      <c r="AB27" s="45">
        <f>IF($D27="Actual",IFERROR(S27/Y27,""),AB15)</f>
        <v/>
      </c>
      <c r="AC27" s="46">
        <f>IF($D27="Actual",IFERROR(U27/T27/Z27/AA27,""),AC15)</f>
        <v/>
      </c>
      <c r="AD27" s="43">
        <f>IF($D27="Actual",IFERROR(V27/(U27+V27),""),AD15)</f>
        <v/>
      </c>
      <c r="AE27" s="46">
        <f>IFERROR(AC27*Z27*AA27,"")</f>
        <v/>
      </c>
      <c r="AF27" s="47">
        <f>K15</f>
        <v/>
      </c>
      <c r="AG27" s="43">
        <f>IF($D27="Forecast",IFERROR(K27/AF27-1,""),"")</f>
        <v/>
      </c>
    </row>
    <row r="28">
      <c r="A28" s="8" t="n">
        <v>46054</v>
      </c>
      <c r="B28" s="26">
        <f>YEAR(A28)</f>
        <v/>
      </c>
      <c r="C28" s="26">
        <f>MONTH(A28)</f>
        <v/>
      </c>
      <c r="D28">
        <f>IF(A28&lt;=LastActual,"Actual","Forecast")</f>
        <v/>
      </c>
      <c r="E28" s="24">
        <f>IF($D28="Actual",R28,W28)</f>
        <v/>
      </c>
      <c r="F28" s="27">
        <f>IF($D28="Actual",S28,Cases_Forecast!AJ21)</f>
        <v/>
      </c>
      <c r="G28" s="9">
        <f>IF($D28="Actual",T28,IFERROR(H28/AE28,0))</f>
        <v/>
      </c>
      <c r="H28" s="24">
        <f>IF($D28="Actual",U28,J28-I28)</f>
        <v/>
      </c>
      <c r="I28" s="24">
        <f>IF($D28="Actual",V28,IFERROR(J28*AD28,0))</f>
        <v/>
      </c>
      <c r="J28" s="24">
        <f>IF($D28="Actual",U28+V28,E28*X28)</f>
        <v/>
      </c>
      <c r="K28" s="28">
        <f>IFERROR(F28/G28,0)</f>
        <v/>
      </c>
      <c r="L28" s="29">
        <f>IFERROR(H28/G28,0)</f>
        <v/>
      </c>
      <c r="M28" s="30">
        <f>IFERROR(J28/F28,0)</f>
        <v/>
      </c>
      <c r="N28" s="10">
        <f>IFERROR(J28/E28,0)</f>
        <v/>
      </c>
      <c r="O28" s="10">
        <f>IFERROR(I28/J28,0)</f>
        <v/>
      </c>
      <c r="R28" s="42">
        <f>IF($D28="Actual",SUMIFS(Data_Actuals!$C$2:$C$5000,Data_Actuals!$A$2:$A$5000,$A28,Data_Actuals!$B$2:$B$5000,$B$2),"")</f>
        <v/>
      </c>
      <c r="S28" s="42">
        <f>IF($D28="Actual",SUMIFS(Data_Actuals!$D$2:$D$5000,Data_Actuals!$A$2:$A$5000,$A28,Data_Actuals!$B$2:$B$5000,$B$2),"")</f>
        <v/>
      </c>
      <c r="T28" s="42">
        <f>IF($D28="Actual",SUMIFS(Data_Actuals!$E$2:$E$5000,Data_Actuals!$A$2:$A$5000,$A28,Data_Actuals!$B$2:$B$5000,$B$2),"")</f>
        <v/>
      </c>
      <c r="U28" s="42">
        <f>IF($D28="Actual",SUMIFS(Data_Actuals!$F$2:$F$5000,Data_Actuals!$A$2:$A$5000,$A28,Data_Actuals!$B$2:$B$5000,$B$2),"")</f>
        <v/>
      </c>
      <c r="V28" s="42">
        <f>IF($D28="Actual",SUMIFS(Data_Actuals!$G$2:$G$5000,Data_Actuals!$A$2:$A$5000,$A28,Data_Actuals!$B$2:$B$5000,$B$2),"")</f>
        <v/>
      </c>
      <c r="W28" s="42">
        <f>SUMIFS(Plan_Inputs!$C$2:$C$5000,Plan_Inputs!$A$2:$A$5000,$A28,Plan_Inputs!$B$2:$B$5000,$B$2)</f>
        <v/>
      </c>
      <c r="X28" s="43">
        <f>SUMIFS(Plan_Inputs!$D$2:$D$5000,Plan_Inputs!$A$2:$A$5000,$A28,Plan_Inputs!$B$2:$B$5000,$B$2)</f>
        <v/>
      </c>
      <c r="Y28" s="42">
        <f>E28</f>
        <v/>
      </c>
      <c r="Z28" s="44">
        <f>INDEX(Calendar!$H$5:$L$52,MATCH($A28,Calendar!$A$5:$A$52,0),MATCH($D$2,Calendar!$H$4:$L$4,0))</f>
        <v/>
      </c>
      <c r="AA28" s="44">
        <f>INDEX(Calendar!$M$5:$M$52,MATCH($A28,Calendar!$A$5:$A$52,0))</f>
        <v/>
      </c>
      <c r="AB28" s="45">
        <f>IF($D28="Actual",IFERROR(S28/Y28,""),AB16)</f>
        <v/>
      </c>
      <c r="AC28" s="46">
        <f>IF($D28="Actual",IFERROR(U28/T28/Z28/AA28,""),AC16)</f>
        <v/>
      </c>
      <c r="AD28" s="43">
        <f>IF($D28="Actual",IFERROR(V28/(U28+V28),""),AD16)</f>
        <v/>
      </c>
      <c r="AE28" s="46">
        <f>IFERROR(AC28*Z28*AA28,"")</f>
        <v/>
      </c>
      <c r="AF28" s="47">
        <f>K16</f>
        <v/>
      </c>
      <c r="AG28" s="43">
        <f>IF($D28="Forecast",IFERROR(K28/AF28-1,""),"")</f>
        <v/>
      </c>
    </row>
    <row r="29">
      <c r="A29" s="8" t="n">
        <v>46082</v>
      </c>
      <c r="B29" s="26">
        <f>YEAR(A29)</f>
        <v/>
      </c>
      <c r="C29" s="26">
        <f>MONTH(A29)</f>
        <v/>
      </c>
      <c r="D29">
        <f>IF(A29&lt;=LastActual,"Actual","Forecast")</f>
        <v/>
      </c>
      <c r="E29" s="24">
        <f>IF($D29="Actual",R29,W29)</f>
        <v/>
      </c>
      <c r="F29" s="27">
        <f>IF($D29="Actual",S29,Cases_Forecast!AJ22)</f>
        <v/>
      </c>
      <c r="G29" s="9">
        <f>IF($D29="Actual",T29,IFERROR(H29/AE29,0))</f>
        <v/>
      </c>
      <c r="H29" s="24">
        <f>IF($D29="Actual",U29,J29-I29)</f>
        <v/>
      </c>
      <c r="I29" s="24">
        <f>IF($D29="Actual",V29,IFERROR(J29*AD29,0))</f>
        <v/>
      </c>
      <c r="J29" s="24">
        <f>IF($D29="Actual",U29+V29,E29*X29)</f>
        <v/>
      </c>
      <c r="K29" s="28">
        <f>IFERROR(F29/G29,0)</f>
        <v/>
      </c>
      <c r="L29" s="29">
        <f>IFERROR(H29/G29,0)</f>
        <v/>
      </c>
      <c r="M29" s="30">
        <f>IFERROR(J29/F29,0)</f>
        <v/>
      </c>
      <c r="N29" s="10">
        <f>IFERROR(J29/E29,0)</f>
        <v/>
      </c>
      <c r="O29" s="10">
        <f>IFERROR(I29/J29,0)</f>
        <v/>
      </c>
      <c r="R29" s="42">
        <f>IF($D29="Actual",SUMIFS(Data_Actuals!$C$2:$C$5000,Data_Actuals!$A$2:$A$5000,$A29,Data_Actuals!$B$2:$B$5000,$B$2),"")</f>
        <v/>
      </c>
      <c r="S29" s="42">
        <f>IF($D29="Actual",SUMIFS(Data_Actuals!$D$2:$D$5000,Data_Actuals!$A$2:$A$5000,$A29,Data_Actuals!$B$2:$B$5000,$B$2),"")</f>
        <v/>
      </c>
      <c r="T29" s="42">
        <f>IF($D29="Actual",SUMIFS(Data_Actuals!$E$2:$E$5000,Data_Actuals!$A$2:$A$5000,$A29,Data_Actuals!$B$2:$B$5000,$B$2),"")</f>
        <v/>
      </c>
      <c r="U29" s="42">
        <f>IF($D29="Actual",SUMIFS(Data_Actuals!$F$2:$F$5000,Data_Actuals!$A$2:$A$5000,$A29,Data_Actuals!$B$2:$B$5000,$B$2),"")</f>
        <v/>
      </c>
      <c r="V29" s="42">
        <f>IF($D29="Actual",SUMIFS(Data_Actuals!$G$2:$G$5000,Data_Actuals!$A$2:$A$5000,$A29,Data_Actuals!$B$2:$B$5000,$B$2),"")</f>
        <v/>
      </c>
      <c r="W29" s="42">
        <f>SUMIFS(Plan_Inputs!$C$2:$C$5000,Plan_Inputs!$A$2:$A$5000,$A29,Plan_Inputs!$B$2:$B$5000,$B$2)</f>
        <v/>
      </c>
      <c r="X29" s="43">
        <f>SUMIFS(Plan_Inputs!$D$2:$D$5000,Plan_Inputs!$A$2:$A$5000,$A29,Plan_Inputs!$B$2:$B$5000,$B$2)</f>
        <v/>
      </c>
      <c r="Y29" s="42">
        <f>E29</f>
        <v/>
      </c>
      <c r="Z29" s="44">
        <f>INDEX(Calendar!$H$5:$L$52,MATCH($A29,Calendar!$A$5:$A$52,0),MATCH($D$2,Calendar!$H$4:$L$4,0))</f>
        <v/>
      </c>
      <c r="AA29" s="44">
        <f>INDEX(Calendar!$M$5:$M$52,MATCH($A29,Calendar!$A$5:$A$52,0))</f>
        <v/>
      </c>
      <c r="AB29" s="45">
        <f>IF($D29="Actual",IFERROR(S29/Y29,""),AB17)</f>
        <v/>
      </c>
      <c r="AC29" s="46">
        <f>IF($D29="Actual",IFERROR(U29/T29/Z29/AA29,""),AC17)</f>
        <v/>
      </c>
      <c r="AD29" s="43">
        <f>IF($D29="Actual",IFERROR(V29/(U29+V29),""),AD17)</f>
        <v/>
      </c>
      <c r="AE29" s="46">
        <f>IFERROR(AC29*Z29*AA29,"")</f>
        <v/>
      </c>
      <c r="AF29" s="47">
        <f>K17</f>
        <v/>
      </c>
      <c r="AG29" s="43">
        <f>IF($D29="Forecast",IFERROR(K29/AF29-1,""),"")</f>
        <v/>
      </c>
    </row>
    <row r="30">
      <c r="A30" s="8" t="n">
        <v>46113</v>
      </c>
      <c r="B30" s="26">
        <f>YEAR(A30)</f>
        <v/>
      </c>
      <c r="C30" s="26">
        <f>MONTH(A30)</f>
        <v/>
      </c>
      <c r="D30">
        <f>IF(A30&lt;=LastActual,"Actual","Forecast")</f>
        <v/>
      </c>
      <c r="E30" s="24">
        <f>IF($D30="Actual",R30,W30)</f>
        <v/>
      </c>
      <c r="F30" s="27">
        <f>IF($D30="Actual",S30,Cases_Forecast!AJ23)</f>
        <v/>
      </c>
      <c r="G30" s="9">
        <f>IF($D30="Actual",T30,IFERROR(H30/AE30,0))</f>
        <v/>
      </c>
      <c r="H30" s="24">
        <f>IF($D30="Actual",U30,J30-I30)</f>
        <v/>
      </c>
      <c r="I30" s="24">
        <f>IF($D30="Actual",V30,IFERROR(J30*AD30,0))</f>
        <v/>
      </c>
      <c r="J30" s="24">
        <f>IF($D30="Actual",U30+V30,E30*X30)</f>
        <v/>
      </c>
      <c r="K30" s="28">
        <f>IFERROR(F30/G30,0)</f>
        <v/>
      </c>
      <c r="L30" s="29">
        <f>IFERROR(H30/G30,0)</f>
        <v/>
      </c>
      <c r="M30" s="30">
        <f>IFERROR(J30/F30,0)</f>
        <v/>
      </c>
      <c r="N30" s="10">
        <f>IFERROR(J30/E30,0)</f>
        <v/>
      </c>
      <c r="O30" s="10">
        <f>IFERROR(I30/J30,0)</f>
        <v/>
      </c>
      <c r="R30" s="42">
        <f>IF($D30="Actual",SUMIFS(Data_Actuals!$C$2:$C$5000,Data_Actuals!$A$2:$A$5000,$A30,Data_Actuals!$B$2:$B$5000,$B$2),"")</f>
        <v/>
      </c>
      <c r="S30" s="42">
        <f>IF($D30="Actual",SUMIFS(Data_Actuals!$D$2:$D$5000,Data_Actuals!$A$2:$A$5000,$A30,Data_Actuals!$B$2:$B$5000,$B$2),"")</f>
        <v/>
      </c>
      <c r="T30" s="42">
        <f>IF($D30="Actual",SUMIFS(Data_Actuals!$E$2:$E$5000,Data_Actuals!$A$2:$A$5000,$A30,Data_Actuals!$B$2:$B$5000,$B$2),"")</f>
        <v/>
      </c>
      <c r="U30" s="42">
        <f>IF($D30="Actual",SUMIFS(Data_Actuals!$F$2:$F$5000,Data_Actuals!$A$2:$A$5000,$A30,Data_Actuals!$B$2:$B$5000,$B$2),"")</f>
        <v/>
      </c>
      <c r="V30" s="42">
        <f>IF($D30="Actual",SUMIFS(Data_Actuals!$G$2:$G$5000,Data_Actuals!$A$2:$A$5000,$A30,Data_Actuals!$B$2:$B$5000,$B$2),"")</f>
        <v/>
      </c>
      <c r="W30" s="42">
        <f>SUMIFS(Plan_Inputs!$C$2:$C$5000,Plan_Inputs!$A$2:$A$5000,$A30,Plan_Inputs!$B$2:$B$5000,$B$2)</f>
        <v/>
      </c>
      <c r="X30" s="43">
        <f>SUMIFS(Plan_Inputs!$D$2:$D$5000,Plan_Inputs!$A$2:$A$5000,$A30,Plan_Inputs!$B$2:$B$5000,$B$2)</f>
        <v/>
      </c>
      <c r="Y30" s="42">
        <f>E30</f>
        <v/>
      </c>
      <c r="Z30" s="44">
        <f>INDEX(Calendar!$H$5:$L$52,MATCH($A30,Calendar!$A$5:$A$52,0),MATCH($D$2,Calendar!$H$4:$L$4,0))</f>
        <v/>
      </c>
      <c r="AA30" s="44">
        <f>INDEX(Calendar!$M$5:$M$52,MATCH($A30,Calendar!$A$5:$A$52,0))</f>
        <v/>
      </c>
      <c r="AB30" s="45">
        <f>IF($D30="Actual",IFERROR(S30/Y30,""),AB18)</f>
        <v/>
      </c>
      <c r="AC30" s="46">
        <f>IF($D30="Actual",IFERROR(U30/T30/Z30/AA30,""),AC18)</f>
        <v/>
      </c>
      <c r="AD30" s="43">
        <f>IF($D30="Actual",IFERROR(V30/(U30+V30),""),AD18)</f>
        <v/>
      </c>
      <c r="AE30" s="46">
        <f>IFERROR(AC30*Z30*AA30,"")</f>
        <v/>
      </c>
      <c r="AF30" s="47">
        <f>K18</f>
        <v/>
      </c>
      <c r="AG30" s="43">
        <f>IF($D30="Forecast",IFERROR(K30/AF30-1,""),"")</f>
        <v/>
      </c>
    </row>
    <row r="31">
      <c r="A31" s="8" t="n">
        <v>46143</v>
      </c>
      <c r="B31" s="26">
        <f>YEAR(A31)</f>
        <v/>
      </c>
      <c r="C31" s="26">
        <f>MONTH(A31)</f>
        <v/>
      </c>
      <c r="D31">
        <f>IF(A31&lt;=LastActual,"Actual","Forecast")</f>
        <v/>
      </c>
      <c r="E31" s="24">
        <f>IF($D31="Actual",R31,W31)</f>
        <v/>
      </c>
      <c r="F31" s="27">
        <f>IF($D31="Actual",S31,Cases_Forecast!AJ24)</f>
        <v/>
      </c>
      <c r="G31" s="9">
        <f>IF($D31="Actual",T31,IFERROR(H31/AE31,0))</f>
        <v/>
      </c>
      <c r="H31" s="24">
        <f>IF($D31="Actual",U31,J31-I31)</f>
        <v/>
      </c>
      <c r="I31" s="24">
        <f>IF($D31="Actual",V31,IFERROR(J31*AD31,0))</f>
        <v/>
      </c>
      <c r="J31" s="24">
        <f>IF($D31="Actual",U31+V31,E31*X31)</f>
        <v/>
      </c>
      <c r="K31" s="28">
        <f>IFERROR(F31/G31,0)</f>
        <v/>
      </c>
      <c r="L31" s="29">
        <f>IFERROR(H31/G31,0)</f>
        <v/>
      </c>
      <c r="M31" s="30">
        <f>IFERROR(J31/F31,0)</f>
        <v/>
      </c>
      <c r="N31" s="10">
        <f>IFERROR(J31/E31,0)</f>
        <v/>
      </c>
      <c r="O31" s="10">
        <f>IFERROR(I31/J31,0)</f>
        <v/>
      </c>
      <c r="R31" s="42">
        <f>IF($D31="Actual",SUMIFS(Data_Actuals!$C$2:$C$5000,Data_Actuals!$A$2:$A$5000,$A31,Data_Actuals!$B$2:$B$5000,$B$2),"")</f>
        <v/>
      </c>
      <c r="S31" s="42">
        <f>IF($D31="Actual",SUMIFS(Data_Actuals!$D$2:$D$5000,Data_Actuals!$A$2:$A$5000,$A31,Data_Actuals!$B$2:$B$5000,$B$2),"")</f>
        <v/>
      </c>
      <c r="T31" s="42">
        <f>IF($D31="Actual",SUMIFS(Data_Actuals!$E$2:$E$5000,Data_Actuals!$A$2:$A$5000,$A31,Data_Actuals!$B$2:$B$5000,$B$2),"")</f>
        <v/>
      </c>
      <c r="U31" s="42">
        <f>IF($D31="Actual",SUMIFS(Data_Actuals!$F$2:$F$5000,Data_Actuals!$A$2:$A$5000,$A31,Data_Actuals!$B$2:$B$5000,$B$2),"")</f>
        <v/>
      </c>
      <c r="V31" s="42">
        <f>IF($D31="Actual",SUMIFS(Data_Actuals!$G$2:$G$5000,Data_Actuals!$A$2:$A$5000,$A31,Data_Actuals!$B$2:$B$5000,$B$2),"")</f>
        <v/>
      </c>
      <c r="W31" s="42">
        <f>SUMIFS(Plan_Inputs!$C$2:$C$5000,Plan_Inputs!$A$2:$A$5000,$A31,Plan_Inputs!$B$2:$B$5000,$B$2)</f>
        <v/>
      </c>
      <c r="X31" s="43">
        <f>SUMIFS(Plan_Inputs!$D$2:$D$5000,Plan_Inputs!$A$2:$A$5000,$A31,Plan_Inputs!$B$2:$B$5000,$B$2)</f>
        <v/>
      </c>
      <c r="Y31" s="42">
        <f>E31</f>
        <v/>
      </c>
      <c r="Z31" s="44">
        <f>INDEX(Calendar!$H$5:$L$52,MATCH($A31,Calendar!$A$5:$A$52,0),MATCH($D$2,Calendar!$H$4:$L$4,0))</f>
        <v/>
      </c>
      <c r="AA31" s="44">
        <f>INDEX(Calendar!$M$5:$M$52,MATCH($A31,Calendar!$A$5:$A$52,0))</f>
        <v/>
      </c>
      <c r="AB31" s="45">
        <f>IF($D31="Actual",IFERROR(S31/Y31,""),AB19)</f>
        <v/>
      </c>
      <c r="AC31" s="46">
        <f>IF($D31="Actual",IFERROR(U31/T31/Z31/AA31,""),AC19)</f>
        <v/>
      </c>
      <c r="AD31" s="43">
        <f>IF($D31="Actual",IFERROR(V31/(U31+V31),""),AD19)</f>
        <v/>
      </c>
      <c r="AE31" s="46">
        <f>IFERROR(AC31*Z31*AA31,"")</f>
        <v/>
      </c>
      <c r="AF31" s="47">
        <f>K19</f>
        <v/>
      </c>
      <c r="AG31" s="43">
        <f>IF($D31="Forecast",IFERROR(K31/AF31-1,""),"")</f>
        <v/>
      </c>
    </row>
    <row r="32">
      <c r="A32" s="8" t="n">
        <v>46174</v>
      </c>
      <c r="B32" s="26">
        <f>YEAR(A32)</f>
        <v/>
      </c>
      <c r="C32" s="26">
        <f>MONTH(A32)</f>
        <v/>
      </c>
      <c r="D32">
        <f>IF(A32&lt;=LastActual,"Actual","Forecast")</f>
        <v/>
      </c>
      <c r="E32" s="24">
        <f>IF($D32="Actual",R32,W32)</f>
        <v/>
      </c>
      <c r="F32" s="27">
        <f>IF($D32="Actual",S32,Cases_Forecast!AJ25)</f>
        <v/>
      </c>
      <c r="G32" s="9">
        <f>IF($D32="Actual",T32,IFERROR(H32/AE32,0))</f>
        <v/>
      </c>
      <c r="H32" s="24">
        <f>IF($D32="Actual",U32,J32-I32)</f>
        <v/>
      </c>
      <c r="I32" s="24">
        <f>IF($D32="Actual",V32,IFERROR(J32*AD32,0))</f>
        <v/>
      </c>
      <c r="J32" s="24">
        <f>IF($D32="Actual",U32+V32,E32*X32)</f>
        <v/>
      </c>
      <c r="K32" s="28">
        <f>IFERROR(F32/G32,0)</f>
        <v/>
      </c>
      <c r="L32" s="29">
        <f>IFERROR(H32/G32,0)</f>
        <v/>
      </c>
      <c r="M32" s="30">
        <f>IFERROR(J32/F32,0)</f>
        <v/>
      </c>
      <c r="N32" s="10">
        <f>IFERROR(J32/E32,0)</f>
        <v/>
      </c>
      <c r="O32" s="10">
        <f>IFERROR(I32/J32,0)</f>
        <v/>
      </c>
      <c r="R32" s="42">
        <f>IF($D32="Actual",SUMIFS(Data_Actuals!$C$2:$C$5000,Data_Actuals!$A$2:$A$5000,$A32,Data_Actuals!$B$2:$B$5000,$B$2),"")</f>
        <v/>
      </c>
      <c r="S32" s="42">
        <f>IF($D32="Actual",SUMIFS(Data_Actuals!$D$2:$D$5000,Data_Actuals!$A$2:$A$5000,$A32,Data_Actuals!$B$2:$B$5000,$B$2),"")</f>
        <v/>
      </c>
      <c r="T32" s="42">
        <f>IF($D32="Actual",SUMIFS(Data_Actuals!$E$2:$E$5000,Data_Actuals!$A$2:$A$5000,$A32,Data_Actuals!$B$2:$B$5000,$B$2),"")</f>
        <v/>
      </c>
      <c r="U32" s="42">
        <f>IF($D32="Actual",SUMIFS(Data_Actuals!$F$2:$F$5000,Data_Actuals!$A$2:$A$5000,$A32,Data_Actuals!$B$2:$B$5000,$B$2),"")</f>
        <v/>
      </c>
      <c r="V32" s="42">
        <f>IF($D32="Actual",SUMIFS(Data_Actuals!$G$2:$G$5000,Data_Actuals!$A$2:$A$5000,$A32,Data_Actuals!$B$2:$B$5000,$B$2),"")</f>
        <v/>
      </c>
      <c r="W32" s="42">
        <f>SUMIFS(Plan_Inputs!$C$2:$C$5000,Plan_Inputs!$A$2:$A$5000,$A32,Plan_Inputs!$B$2:$B$5000,$B$2)</f>
        <v/>
      </c>
      <c r="X32" s="43">
        <f>SUMIFS(Plan_Inputs!$D$2:$D$5000,Plan_Inputs!$A$2:$A$5000,$A32,Plan_Inputs!$B$2:$B$5000,$B$2)</f>
        <v/>
      </c>
      <c r="Y32" s="42">
        <f>E32</f>
        <v/>
      </c>
      <c r="Z32" s="44">
        <f>INDEX(Calendar!$H$5:$L$52,MATCH($A32,Calendar!$A$5:$A$52,0),MATCH($D$2,Calendar!$H$4:$L$4,0))</f>
        <v/>
      </c>
      <c r="AA32" s="44">
        <f>INDEX(Calendar!$M$5:$M$52,MATCH($A32,Calendar!$A$5:$A$52,0))</f>
        <v/>
      </c>
      <c r="AB32" s="45">
        <f>IF($D32="Actual",IFERROR(S32/Y32,""),AB20)</f>
        <v/>
      </c>
      <c r="AC32" s="46">
        <f>IF($D32="Actual",IFERROR(U32/T32/Z32/AA32,""),AC20)</f>
        <v/>
      </c>
      <c r="AD32" s="43">
        <f>IF($D32="Actual",IFERROR(V32/(U32+V32),""),AD20)</f>
        <v/>
      </c>
      <c r="AE32" s="46">
        <f>IFERROR(AC32*Z32*AA32,"")</f>
        <v/>
      </c>
      <c r="AF32" s="47">
        <f>K20</f>
        <v/>
      </c>
      <c r="AG32" s="43">
        <f>IF($D32="Forecast",IFERROR(K32/AF32-1,""),"")</f>
        <v/>
      </c>
    </row>
    <row r="33">
      <c r="A33" s="8" t="n">
        <v>46204</v>
      </c>
      <c r="B33" s="26">
        <f>YEAR(A33)</f>
        <v/>
      </c>
      <c r="C33" s="26">
        <f>MONTH(A33)</f>
        <v/>
      </c>
      <c r="D33">
        <f>IF(A33&lt;=LastActual,"Actual","Forecast")</f>
        <v/>
      </c>
      <c r="E33" s="24">
        <f>IF($D33="Actual",R33,W33)</f>
        <v/>
      </c>
      <c r="F33" s="27">
        <f>IF($D33="Actual",S33,Cases_Forecast!AJ26)</f>
        <v/>
      </c>
      <c r="G33" s="9">
        <f>IF($D33="Actual",T33,IFERROR(H33/AE33,0))</f>
        <v/>
      </c>
      <c r="H33" s="24">
        <f>IF($D33="Actual",U33,J33-I33)</f>
        <v/>
      </c>
      <c r="I33" s="24">
        <f>IF($D33="Actual",V33,IFERROR(J33*AD33,0))</f>
        <v/>
      </c>
      <c r="J33" s="24">
        <f>IF($D33="Actual",U33+V33,E33*X33)</f>
        <v/>
      </c>
      <c r="K33" s="28">
        <f>IFERROR(F33/G33,0)</f>
        <v/>
      </c>
      <c r="L33" s="29">
        <f>IFERROR(H33/G33,0)</f>
        <v/>
      </c>
      <c r="M33" s="30">
        <f>IFERROR(J33/F33,0)</f>
        <v/>
      </c>
      <c r="N33" s="10">
        <f>IFERROR(J33/E33,0)</f>
        <v/>
      </c>
      <c r="O33" s="10">
        <f>IFERROR(I33/J33,0)</f>
        <v/>
      </c>
      <c r="R33" s="42">
        <f>IF($D33="Actual",SUMIFS(Data_Actuals!$C$2:$C$5000,Data_Actuals!$A$2:$A$5000,$A33,Data_Actuals!$B$2:$B$5000,$B$2),"")</f>
        <v/>
      </c>
      <c r="S33" s="42">
        <f>IF($D33="Actual",SUMIFS(Data_Actuals!$D$2:$D$5000,Data_Actuals!$A$2:$A$5000,$A33,Data_Actuals!$B$2:$B$5000,$B$2),"")</f>
        <v/>
      </c>
      <c r="T33" s="42">
        <f>IF($D33="Actual",SUMIFS(Data_Actuals!$E$2:$E$5000,Data_Actuals!$A$2:$A$5000,$A33,Data_Actuals!$B$2:$B$5000,$B$2),"")</f>
        <v/>
      </c>
      <c r="U33" s="42">
        <f>IF($D33="Actual",SUMIFS(Data_Actuals!$F$2:$F$5000,Data_Actuals!$A$2:$A$5000,$A33,Data_Actuals!$B$2:$B$5000,$B$2),"")</f>
        <v/>
      </c>
      <c r="V33" s="42">
        <f>IF($D33="Actual",SUMIFS(Data_Actuals!$G$2:$G$5000,Data_Actuals!$A$2:$A$5000,$A33,Data_Actuals!$B$2:$B$5000,$B$2),"")</f>
        <v/>
      </c>
      <c r="W33" s="42">
        <f>SUMIFS(Plan_Inputs!$C$2:$C$5000,Plan_Inputs!$A$2:$A$5000,$A33,Plan_Inputs!$B$2:$B$5000,$B$2)</f>
        <v/>
      </c>
      <c r="X33" s="43">
        <f>SUMIFS(Plan_Inputs!$D$2:$D$5000,Plan_Inputs!$A$2:$A$5000,$A33,Plan_Inputs!$B$2:$B$5000,$B$2)</f>
        <v/>
      </c>
      <c r="Y33" s="42">
        <f>E33</f>
        <v/>
      </c>
      <c r="Z33" s="44">
        <f>INDEX(Calendar!$H$5:$L$52,MATCH($A33,Calendar!$A$5:$A$52,0),MATCH($D$2,Calendar!$H$4:$L$4,0))</f>
        <v/>
      </c>
      <c r="AA33" s="44">
        <f>INDEX(Calendar!$M$5:$M$52,MATCH($A33,Calendar!$A$5:$A$52,0))</f>
        <v/>
      </c>
      <c r="AB33" s="45">
        <f>IF($D33="Actual",IFERROR(S33/Y33,""),AB21)</f>
        <v/>
      </c>
      <c r="AC33" s="46">
        <f>IF($D33="Actual",IFERROR(U33/T33/Z33/AA33,""),AC21)</f>
        <v/>
      </c>
      <c r="AD33" s="43">
        <f>IF($D33="Actual",IFERROR(V33/(U33+V33),""),AD21)</f>
        <v/>
      </c>
      <c r="AE33" s="46">
        <f>IFERROR(AC33*Z33*AA33,"")</f>
        <v/>
      </c>
      <c r="AF33" s="47">
        <f>K21</f>
        <v/>
      </c>
      <c r="AG33" s="43">
        <f>IF($D33="Forecast",IFERROR(K33/AF33-1,""),"")</f>
        <v/>
      </c>
    </row>
    <row r="34">
      <c r="A34" s="8" t="n">
        <v>46235</v>
      </c>
      <c r="B34" s="26">
        <f>YEAR(A34)</f>
        <v/>
      </c>
      <c r="C34" s="26">
        <f>MONTH(A34)</f>
        <v/>
      </c>
      <c r="D34">
        <f>IF(A34&lt;=LastActual,"Actual","Forecast")</f>
        <v/>
      </c>
      <c r="E34" s="24">
        <f>IF($D34="Actual",R34,W34)</f>
        <v/>
      </c>
      <c r="F34" s="27">
        <f>IF($D34="Actual",S34,Cases_Forecast!AJ27)</f>
        <v/>
      </c>
      <c r="G34" s="9">
        <f>IF($D34="Actual",T34,IFERROR(H34/AE34,0))</f>
        <v/>
      </c>
      <c r="H34" s="24">
        <f>IF($D34="Actual",U34,J34-I34)</f>
        <v/>
      </c>
      <c r="I34" s="24">
        <f>IF($D34="Actual",V34,IFERROR(J34*AD34,0))</f>
        <v/>
      </c>
      <c r="J34" s="24">
        <f>IF($D34="Actual",U34+V34,E34*X34)</f>
        <v/>
      </c>
      <c r="K34" s="28">
        <f>IFERROR(F34/G34,0)</f>
        <v/>
      </c>
      <c r="L34" s="29">
        <f>IFERROR(H34/G34,0)</f>
        <v/>
      </c>
      <c r="M34" s="30">
        <f>IFERROR(J34/F34,0)</f>
        <v/>
      </c>
      <c r="N34" s="10">
        <f>IFERROR(J34/E34,0)</f>
        <v/>
      </c>
      <c r="O34" s="10">
        <f>IFERROR(I34/J34,0)</f>
        <v/>
      </c>
      <c r="R34" s="42">
        <f>IF($D34="Actual",SUMIFS(Data_Actuals!$C$2:$C$5000,Data_Actuals!$A$2:$A$5000,$A34,Data_Actuals!$B$2:$B$5000,$B$2),"")</f>
        <v/>
      </c>
      <c r="S34" s="42">
        <f>IF($D34="Actual",SUMIFS(Data_Actuals!$D$2:$D$5000,Data_Actuals!$A$2:$A$5000,$A34,Data_Actuals!$B$2:$B$5000,$B$2),"")</f>
        <v/>
      </c>
      <c r="T34" s="42">
        <f>IF($D34="Actual",SUMIFS(Data_Actuals!$E$2:$E$5000,Data_Actuals!$A$2:$A$5000,$A34,Data_Actuals!$B$2:$B$5000,$B$2),"")</f>
        <v/>
      </c>
      <c r="U34" s="42">
        <f>IF($D34="Actual",SUMIFS(Data_Actuals!$F$2:$F$5000,Data_Actuals!$A$2:$A$5000,$A34,Data_Actuals!$B$2:$B$5000,$B$2),"")</f>
        <v/>
      </c>
      <c r="V34" s="42">
        <f>IF($D34="Actual",SUMIFS(Data_Actuals!$G$2:$G$5000,Data_Actuals!$A$2:$A$5000,$A34,Data_Actuals!$B$2:$B$5000,$B$2),"")</f>
        <v/>
      </c>
      <c r="W34" s="42">
        <f>SUMIFS(Plan_Inputs!$C$2:$C$5000,Plan_Inputs!$A$2:$A$5000,$A34,Plan_Inputs!$B$2:$B$5000,$B$2)</f>
        <v/>
      </c>
      <c r="X34" s="43">
        <f>SUMIFS(Plan_Inputs!$D$2:$D$5000,Plan_Inputs!$A$2:$A$5000,$A34,Plan_Inputs!$B$2:$B$5000,$B$2)</f>
        <v/>
      </c>
      <c r="Y34" s="42">
        <f>E34</f>
        <v/>
      </c>
      <c r="Z34" s="44">
        <f>INDEX(Calendar!$H$5:$L$52,MATCH($A34,Calendar!$A$5:$A$52,0),MATCH($D$2,Calendar!$H$4:$L$4,0))</f>
        <v/>
      </c>
      <c r="AA34" s="44">
        <f>INDEX(Calendar!$M$5:$M$52,MATCH($A34,Calendar!$A$5:$A$52,0))</f>
        <v/>
      </c>
      <c r="AB34" s="45">
        <f>IF($D34="Actual",IFERROR(S34/Y34,""),AB22)</f>
        <v/>
      </c>
      <c r="AC34" s="46">
        <f>IF($D34="Actual",IFERROR(U34/T34/Z34/AA34,""),AC22)</f>
        <v/>
      </c>
      <c r="AD34" s="43">
        <f>IF($D34="Actual",IFERROR(V34/(U34+V34),""),AD22)</f>
        <v/>
      </c>
      <c r="AE34" s="46">
        <f>IFERROR(AC34*Z34*AA34,"")</f>
        <v/>
      </c>
      <c r="AF34" s="47">
        <f>K22</f>
        <v/>
      </c>
      <c r="AG34" s="43">
        <f>IF($D34="Forecast",IFERROR(K34/AF34-1,""),"")</f>
        <v/>
      </c>
    </row>
    <row r="35">
      <c r="A35" s="8" t="n">
        <v>46266</v>
      </c>
      <c r="B35" s="26">
        <f>YEAR(A35)</f>
        <v/>
      </c>
      <c r="C35" s="26">
        <f>MONTH(A35)</f>
        <v/>
      </c>
      <c r="D35">
        <f>IF(A35&lt;=LastActual,"Actual","Forecast")</f>
        <v/>
      </c>
      <c r="E35" s="24">
        <f>IF($D35="Actual",R35,W35)</f>
        <v/>
      </c>
      <c r="F35" s="27">
        <f>IF($D35="Actual",S35,Cases_Forecast!AJ28)</f>
        <v/>
      </c>
      <c r="G35" s="9">
        <f>IF($D35="Actual",T35,IFERROR(H35/AE35,0))</f>
        <v/>
      </c>
      <c r="H35" s="24">
        <f>IF($D35="Actual",U35,J35-I35)</f>
        <v/>
      </c>
      <c r="I35" s="24">
        <f>IF($D35="Actual",V35,IFERROR(J35*AD35,0))</f>
        <v/>
      </c>
      <c r="J35" s="24">
        <f>IF($D35="Actual",U35+V35,E35*X35)</f>
        <v/>
      </c>
      <c r="K35" s="28">
        <f>IFERROR(F35/G35,0)</f>
        <v/>
      </c>
      <c r="L35" s="29">
        <f>IFERROR(H35/G35,0)</f>
        <v/>
      </c>
      <c r="M35" s="30">
        <f>IFERROR(J35/F35,0)</f>
        <v/>
      </c>
      <c r="N35" s="10">
        <f>IFERROR(J35/E35,0)</f>
        <v/>
      </c>
      <c r="O35" s="10">
        <f>IFERROR(I35/J35,0)</f>
        <v/>
      </c>
      <c r="R35" s="42">
        <f>IF($D35="Actual",SUMIFS(Data_Actuals!$C$2:$C$5000,Data_Actuals!$A$2:$A$5000,$A35,Data_Actuals!$B$2:$B$5000,$B$2),"")</f>
        <v/>
      </c>
      <c r="S35" s="42">
        <f>IF($D35="Actual",SUMIFS(Data_Actuals!$D$2:$D$5000,Data_Actuals!$A$2:$A$5000,$A35,Data_Actuals!$B$2:$B$5000,$B$2),"")</f>
        <v/>
      </c>
      <c r="T35" s="42">
        <f>IF($D35="Actual",SUMIFS(Data_Actuals!$E$2:$E$5000,Data_Actuals!$A$2:$A$5000,$A35,Data_Actuals!$B$2:$B$5000,$B$2),"")</f>
        <v/>
      </c>
      <c r="U35" s="42">
        <f>IF($D35="Actual",SUMIFS(Data_Actuals!$F$2:$F$5000,Data_Actuals!$A$2:$A$5000,$A35,Data_Actuals!$B$2:$B$5000,$B$2),"")</f>
        <v/>
      </c>
      <c r="V35" s="42">
        <f>IF($D35="Actual",SUMIFS(Data_Actuals!$G$2:$G$5000,Data_Actuals!$A$2:$A$5000,$A35,Data_Actuals!$B$2:$B$5000,$B$2),"")</f>
        <v/>
      </c>
      <c r="W35" s="42">
        <f>SUMIFS(Plan_Inputs!$C$2:$C$5000,Plan_Inputs!$A$2:$A$5000,$A35,Plan_Inputs!$B$2:$B$5000,$B$2)</f>
        <v/>
      </c>
      <c r="X35" s="43">
        <f>SUMIFS(Plan_Inputs!$D$2:$D$5000,Plan_Inputs!$A$2:$A$5000,$A35,Plan_Inputs!$B$2:$B$5000,$B$2)</f>
        <v/>
      </c>
      <c r="Y35" s="42">
        <f>E35</f>
        <v/>
      </c>
      <c r="Z35" s="44">
        <f>INDEX(Calendar!$H$5:$L$52,MATCH($A35,Calendar!$A$5:$A$52,0),MATCH($D$2,Calendar!$H$4:$L$4,0))</f>
        <v/>
      </c>
      <c r="AA35" s="44">
        <f>INDEX(Calendar!$M$5:$M$52,MATCH($A35,Calendar!$A$5:$A$52,0))</f>
        <v/>
      </c>
      <c r="AB35" s="45">
        <f>IF($D35="Actual",IFERROR(S35/Y35,""),AB23)</f>
        <v/>
      </c>
      <c r="AC35" s="46">
        <f>IF($D35="Actual",IFERROR(U35/T35/Z35/AA35,""),AC23)</f>
        <v/>
      </c>
      <c r="AD35" s="43">
        <f>IF($D35="Actual",IFERROR(V35/(U35+V35),""),AD23)</f>
        <v/>
      </c>
      <c r="AE35" s="46">
        <f>IFERROR(AC35*Z35*AA35,"")</f>
        <v/>
      </c>
      <c r="AF35" s="47">
        <f>K23</f>
        <v/>
      </c>
      <c r="AG35" s="43">
        <f>IF($D35="Forecast",IFERROR(K35/AF35-1,""),"")</f>
        <v/>
      </c>
    </row>
    <row r="36">
      <c r="A36" s="8" t="n">
        <v>46296</v>
      </c>
      <c r="B36" s="26">
        <f>YEAR(A36)</f>
        <v/>
      </c>
      <c r="C36" s="26">
        <f>MONTH(A36)</f>
        <v/>
      </c>
      <c r="D36">
        <f>IF(A36&lt;=LastActual,"Actual","Forecast")</f>
        <v/>
      </c>
      <c r="E36" s="24">
        <f>IF($D36="Actual",R36,W36)</f>
        <v/>
      </c>
      <c r="F36" s="27">
        <f>IF($D36="Actual",S36,Cases_Forecast!AJ29)</f>
        <v/>
      </c>
      <c r="G36" s="9">
        <f>IF($D36="Actual",T36,IFERROR(H36/AE36,0))</f>
        <v/>
      </c>
      <c r="H36" s="24">
        <f>IF($D36="Actual",U36,J36-I36)</f>
        <v/>
      </c>
      <c r="I36" s="24">
        <f>IF($D36="Actual",V36,IFERROR(J36*AD36,0))</f>
        <v/>
      </c>
      <c r="J36" s="24">
        <f>IF($D36="Actual",U36+V36,E36*X36)</f>
        <v/>
      </c>
      <c r="K36" s="28">
        <f>IFERROR(F36/G36,0)</f>
        <v/>
      </c>
      <c r="L36" s="29">
        <f>IFERROR(H36/G36,0)</f>
        <v/>
      </c>
      <c r="M36" s="30">
        <f>IFERROR(J36/F36,0)</f>
        <v/>
      </c>
      <c r="N36" s="10">
        <f>IFERROR(J36/E36,0)</f>
        <v/>
      </c>
      <c r="O36" s="10">
        <f>IFERROR(I36/J36,0)</f>
        <v/>
      </c>
      <c r="R36" s="42">
        <f>IF($D36="Actual",SUMIFS(Data_Actuals!$C$2:$C$5000,Data_Actuals!$A$2:$A$5000,$A36,Data_Actuals!$B$2:$B$5000,$B$2),"")</f>
        <v/>
      </c>
      <c r="S36" s="42">
        <f>IF($D36="Actual",SUMIFS(Data_Actuals!$D$2:$D$5000,Data_Actuals!$A$2:$A$5000,$A36,Data_Actuals!$B$2:$B$5000,$B$2),"")</f>
        <v/>
      </c>
      <c r="T36" s="42">
        <f>IF($D36="Actual",SUMIFS(Data_Actuals!$E$2:$E$5000,Data_Actuals!$A$2:$A$5000,$A36,Data_Actuals!$B$2:$B$5000,$B$2),"")</f>
        <v/>
      </c>
      <c r="U36" s="42">
        <f>IF($D36="Actual",SUMIFS(Data_Actuals!$F$2:$F$5000,Data_Actuals!$A$2:$A$5000,$A36,Data_Actuals!$B$2:$B$5000,$B$2),"")</f>
        <v/>
      </c>
      <c r="V36" s="42">
        <f>IF($D36="Actual",SUMIFS(Data_Actuals!$G$2:$G$5000,Data_Actuals!$A$2:$A$5000,$A36,Data_Actuals!$B$2:$B$5000,$B$2),"")</f>
        <v/>
      </c>
      <c r="W36" s="42">
        <f>SUMIFS(Plan_Inputs!$C$2:$C$5000,Plan_Inputs!$A$2:$A$5000,$A36,Plan_Inputs!$B$2:$B$5000,$B$2)</f>
        <v/>
      </c>
      <c r="X36" s="43">
        <f>SUMIFS(Plan_Inputs!$D$2:$D$5000,Plan_Inputs!$A$2:$A$5000,$A36,Plan_Inputs!$B$2:$B$5000,$B$2)</f>
        <v/>
      </c>
      <c r="Y36" s="42">
        <f>E36</f>
        <v/>
      </c>
      <c r="Z36" s="44">
        <f>INDEX(Calendar!$H$5:$L$52,MATCH($A36,Calendar!$A$5:$A$52,0),MATCH($D$2,Calendar!$H$4:$L$4,0))</f>
        <v/>
      </c>
      <c r="AA36" s="44">
        <f>INDEX(Calendar!$M$5:$M$52,MATCH($A36,Calendar!$A$5:$A$52,0))</f>
        <v/>
      </c>
      <c r="AB36" s="45">
        <f>IF($D36="Actual",IFERROR(S36/Y36,""),AB24)</f>
        <v/>
      </c>
      <c r="AC36" s="46">
        <f>IF($D36="Actual",IFERROR(U36/T36/Z36/AA36,""),AC24)</f>
        <v/>
      </c>
      <c r="AD36" s="43">
        <f>IF($D36="Actual",IFERROR(V36/(U36+V36),""),AD24)</f>
        <v/>
      </c>
      <c r="AE36" s="46">
        <f>IFERROR(AC36*Z36*AA36,"")</f>
        <v/>
      </c>
      <c r="AF36" s="47">
        <f>K24</f>
        <v/>
      </c>
      <c r="AG36" s="43">
        <f>IF($D36="Forecast",IFERROR(K36/AF36-1,""),"")</f>
        <v/>
      </c>
    </row>
    <row r="37">
      <c r="A37" s="8" t="n">
        <v>46327</v>
      </c>
      <c r="B37" s="26">
        <f>YEAR(A37)</f>
        <v/>
      </c>
      <c r="C37" s="26">
        <f>MONTH(A37)</f>
        <v/>
      </c>
      <c r="D37">
        <f>IF(A37&lt;=LastActual,"Actual","Forecast")</f>
        <v/>
      </c>
      <c r="E37" s="24">
        <f>IF($D37="Actual",R37,W37)</f>
        <v/>
      </c>
      <c r="F37" s="27">
        <f>IF($D37="Actual",S37,Cases_Forecast!AJ30)</f>
        <v/>
      </c>
      <c r="G37" s="9">
        <f>IF($D37="Actual",T37,IFERROR(H37/AE37,0))</f>
        <v/>
      </c>
      <c r="H37" s="24">
        <f>IF($D37="Actual",U37,J37-I37)</f>
        <v/>
      </c>
      <c r="I37" s="24">
        <f>IF($D37="Actual",V37,IFERROR(J37*AD37,0))</f>
        <v/>
      </c>
      <c r="J37" s="24">
        <f>IF($D37="Actual",U37+V37,E37*X37)</f>
        <v/>
      </c>
      <c r="K37" s="28">
        <f>IFERROR(F37/G37,0)</f>
        <v/>
      </c>
      <c r="L37" s="29">
        <f>IFERROR(H37/G37,0)</f>
        <v/>
      </c>
      <c r="M37" s="30">
        <f>IFERROR(J37/F37,0)</f>
        <v/>
      </c>
      <c r="N37" s="10">
        <f>IFERROR(J37/E37,0)</f>
        <v/>
      </c>
      <c r="O37" s="10">
        <f>IFERROR(I37/J37,0)</f>
        <v/>
      </c>
      <c r="R37" s="42">
        <f>IF($D37="Actual",SUMIFS(Data_Actuals!$C$2:$C$5000,Data_Actuals!$A$2:$A$5000,$A37,Data_Actuals!$B$2:$B$5000,$B$2),"")</f>
        <v/>
      </c>
      <c r="S37" s="42">
        <f>IF($D37="Actual",SUMIFS(Data_Actuals!$D$2:$D$5000,Data_Actuals!$A$2:$A$5000,$A37,Data_Actuals!$B$2:$B$5000,$B$2),"")</f>
        <v/>
      </c>
      <c r="T37" s="42">
        <f>IF($D37="Actual",SUMIFS(Data_Actuals!$E$2:$E$5000,Data_Actuals!$A$2:$A$5000,$A37,Data_Actuals!$B$2:$B$5000,$B$2),"")</f>
        <v/>
      </c>
      <c r="U37" s="42">
        <f>IF($D37="Actual",SUMIFS(Data_Actuals!$F$2:$F$5000,Data_Actuals!$A$2:$A$5000,$A37,Data_Actuals!$B$2:$B$5000,$B$2),"")</f>
        <v/>
      </c>
      <c r="V37" s="42">
        <f>IF($D37="Actual",SUMIFS(Data_Actuals!$G$2:$G$5000,Data_Actuals!$A$2:$A$5000,$A37,Data_Actuals!$B$2:$B$5000,$B$2),"")</f>
        <v/>
      </c>
      <c r="W37" s="42">
        <f>SUMIFS(Plan_Inputs!$C$2:$C$5000,Plan_Inputs!$A$2:$A$5000,$A37,Plan_Inputs!$B$2:$B$5000,$B$2)</f>
        <v/>
      </c>
      <c r="X37" s="43">
        <f>SUMIFS(Plan_Inputs!$D$2:$D$5000,Plan_Inputs!$A$2:$A$5000,$A37,Plan_Inputs!$B$2:$B$5000,$B$2)</f>
        <v/>
      </c>
      <c r="Y37" s="42">
        <f>E37</f>
        <v/>
      </c>
      <c r="Z37" s="44">
        <f>INDEX(Calendar!$H$5:$L$52,MATCH($A37,Calendar!$A$5:$A$52,0),MATCH($D$2,Calendar!$H$4:$L$4,0))</f>
        <v/>
      </c>
      <c r="AA37" s="44">
        <f>INDEX(Calendar!$M$5:$M$52,MATCH($A37,Calendar!$A$5:$A$52,0))</f>
        <v/>
      </c>
      <c r="AB37" s="45">
        <f>IF($D37="Actual",IFERROR(S37/Y37,""),AB25)</f>
        <v/>
      </c>
      <c r="AC37" s="46">
        <f>IF($D37="Actual",IFERROR(U37/T37/Z37/AA37,""),AC25)</f>
        <v/>
      </c>
      <c r="AD37" s="43">
        <f>IF($D37="Actual",IFERROR(V37/(U37+V37),""),AD25)</f>
        <v/>
      </c>
      <c r="AE37" s="46">
        <f>IFERROR(AC37*Z37*AA37,"")</f>
        <v/>
      </c>
      <c r="AF37" s="47">
        <f>K25</f>
        <v/>
      </c>
      <c r="AG37" s="43">
        <f>IF($D37="Forecast",IFERROR(K37/AF37-1,""),"")</f>
        <v/>
      </c>
    </row>
    <row r="38">
      <c r="A38" s="31" t="n">
        <v>46357</v>
      </c>
      <c r="B38" s="32">
        <f>YEAR(A38)</f>
        <v/>
      </c>
      <c r="C38" s="32">
        <f>MONTH(A38)</f>
        <v/>
      </c>
      <c r="D38" s="33">
        <f>IF(A38&lt;=LastActual,"Actual","Forecast")</f>
        <v/>
      </c>
      <c r="E38" s="34">
        <f>IF($D38="Actual",R38,W38)</f>
        <v/>
      </c>
      <c r="F38" s="35">
        <f>IF($D38="Actual",S38,Cases_Forecast!AJ31)</f>
        <v/>
      </c>
      <c r="G38" s="36">
        <f>IF($D38="Actual",T38,IFERROR(H38/AE38,0))</f>
        <v/>
      </c>
      <c r="H38" s="34">
        <f>IF($D38="Actual",U38,J38-I38)</f>
        <v/>
      </c>
      <c r="I38" s="34">
        <f>IF($D38="Actual",V38,IFERROR(J38*AD38,0))</f>
        <v/>
      </c>
      <c r="J38" s="34">
        <f>IF($D38="Actual",U38+V38,E38*X38)</f>
        <v/>
      </c>
      <c r="K38" s="37">
        <f>IFERROR(F38/G38,0)</f>
        <v/>
      </c>
      <c r="L38" s="38">
        <f>IFERROR(H38/G38,0)</f>
        <v/>
      </c>
      <c r="M38" s="39">
        <f>IFERROR(J38/F38,0)</f>
        <v/>
      </c>
      <c r="N38" s="40">
        <f>IFERROR(J38/E38,0)</f>
        <v/>
      </c>
      <c r="O38" s="40">
        <f>IFERROR(I38/J38,0)</f>
        <v/>
      </c>
      <c r="R38" s="42">
        <f>IF($D38="Actual",SUMIFS(Data_Actuals!$C$2:$C$5000,Data_Actuals!$A$2:$A$5000,$A38,Data_Actuals!$B$2:$B$5000,$B$2),"")</f>
        <v/>
      </c>
      <c r="S38" s="42">
        <f>IF($D38="Actual",SUMIFS(Data_Actuals!$D$2:$D$5000,Data_Actuals!$A$2:$A$5000,$A38,Data_Actuals!$B$2:$B$5000,$B$2),"")</f>
        <v/>
      </c>
      <c r="T38" s="42">
        <f>IF($D38="Actual",SUMIFS(Data_Actuals!$E$2:$E$5000,Data_Actuals!$A$2:$A$5000,$A38,Data_Actuals!$B$2:$B$5000,$B$2),"")</f>
        <v/>
      </c>
      <c r="U38" s="42">
        <f>IF($D38="Actual",SUMIFS(Data_Actuals!$F$2:$F$5000,Data_Actuals!$A$2:$A$5000,$A38,Data_Actuals!$B$2:$B$5000,$B$2),"")</f>
        <v/>
      </c>
      <c r="V38" s="42">
        <f>IF($D38="Actual",SUMIFS(Data_Actuals!$G$2:$G$5000,Data_Actuals!$A$2:$A$5000,$A38,Data_Actuals!$B$2:$B$5000,$B$2),"")</f>
        <v/>
      </c>
      <c r="W38" s="42">
        <f>SUMIFS(Plan_Inputs!$C$2:$C$5000,Plan_Inputs!$A$2:$A$5000,$A38,Plan_Inputs!$B$2:$B$5000,$B$2)</f>
        <v/>
      </c>
      <c r="X38" s="43">
        <f>SUMIFS(Plan_Inputs!$D$2:$D$5000,Plan_Inputs!$A$2:$A$5000,$A38,Plan_Inputs!$B$2:$B$5000,$B$2)</f>
        <v/>
      </c>
      <c r="Y38" s="42">
        <f>E38</f>
        <v/>
      </c>
      <c r="Z38" s="44">
        <f>INDEX(Calendar!$H$5:$L$52,MATCH($A38,Calendar!$A$5:$A$52,0),MATCH($D$2,Calendar!$H$4:$L$4,0))</f>
        <v/>
      </c>
      <c r="AA38" s="44">
        <f>INDEX(Calendar!$M$5:$M$52,MATCH($A38,Calendar!$A$5:$A$52,0))</f>
        <v/>
      </c>
      <c r="AB38" s="45">
        <f>IF($D38="Actual",IFERROR(S38/Y38,""),AB26)</f>
        <v/>
      </c>
      <c r="AC38" s="46">
        <f>IF($D38="Actual",IFERROR(U38/T38/Z38/AA38,""),AC26)</f>
        <v/>
      </c>
      <c r="AD38" s="43">
        <f>IF($D38="Actual",IFERROR(V38/(U38+V38),""),AD26)</f>
        <v/>
      </c>
      <c r="AE38" s="46">
        <f>IFERROR(AC38*Z38*AA38,"")</f>
        <v/>
      </c>
      <c r="AF38" s="47">
        <f>K26</f>
        <v/>
      </c>
      <c r="AG38" s="43">
        <f>IF($D38="Forecast",IFERROR(K38/AF38-1,""),"")</f>
        <v/>
      </c>
    </row>
    <row r="39">
      <c r="A39" s="8" t="n">
        <v>46388</v>
      </c>
      <c r="B39" s="26">
        <f>YEAR(A39)</f>
        <v/>
      </c>
      <c r="C39" s="26">
        <f>MONTH(A39)</f>
        <v/>
      </c>
      <c r="D39">
        <f>IF(A39&lt;=LastActual,"Actual","Forecast")</f>
        <v/>
      </c>
      <c r="E39" s="24">
        <f>IF($D39="Actual",R39,W39)</f>
        <v/>
      </c>
      <c r="F39" s="27">
        <f>IF($D39="Actual",S39,Cases_Forecast!AJ32)</f>
        <v/>
      </c>
      <c r="G39" s="9">
        <f>IF($D39="Actual",T39,IFERROR(H39/AE39,0))</f>
        <v/>
      </c>
      <c r="H39" s="24">
        <f>IF($D39="Actual",U39,J39-I39)</f>
        <v/>
      </c>
      <c r="I39" s="24">
        <f>IF($D39="Actual",V39,IFERROR(J39*AD39,0))</f>
        <v/>
      </c>
      <c r="J39" s="24">
        <f>IF($D39="Actual",U39+V39,E39*X39)</f>
        <v/>
      </c>
      <c r="K39" s="28">
        <f>IFERROR(F39/G39,0)</f>
        <v/>
      </c>
      <c r="L39" s="29">
        <f>IFERROR(H39/G39,0)</f>
        <v/>
      </c>
      <c r="M39" s="30">
        <f>IFERROR(J39/F39,0)</f>
        <v/>
      </c>
      <c r="N39" s="10">
        <f>IFERROR(J39/E39,0)</f>
        <v/>
      </c>
      <c r="O39" s="10">
        <f>IFERROR(I39/J39,0)</f>
        <v/>
      </c>
      <c r="R39" s="42">
        <f>IF($D39="Actual",SUMIFS(Data_Actuals!$C$2:$C$5000,Data_Actuals!$A$2:$A$5000,$A39,Data_Actuals!$B$2:$B$5000,$B$2),"")</f>
        <v/>
      </c>
      <c r="S39" s="42">
        <f>IF($D39="Actual",SUMIFS(Data_Actuals!$D$2:$D$5000,Data_Actuals!$A$2:$A$5000,$A39,Data_Actuals!$B$2:$B$5000,$B$2),"")</f>
        <v/>
      </c>
      <c r="T39" s="42">
        <f>IF($D39="Actual",SUMIFS(Data_Actuals!$E$2:$E$5000,Data_Actuals!$A$2:$A$5000,$A39,Data_Actuals!$B$2:$B$5000,$B$2),"")</f>
        <v/>
      </c>
      <c r="U39" s="42">
        <f>IF($D39="Actual",SUMIFS(Data_Actuals!$F$2:$F$5000,Data_Actuals!$A$2:$A$5000,$A39,Data_Actuals!$B$2:$B$5000,$B$2),"")</f>
        <v/>
      </c>
      <c r="V39" s="42">
        <f>IF($D39="Actual",SUMIFS(Data_Actuals!$G$2:$G$5000,Data_Actuals!$A$2:$A$5000,$A39,Data_Actuals!$B$2:$B$5000,$B$2),"")</f>
        <v/>
      </c>
      <c r="W39" s="42">
        <f>SUMIFS(Plan_Inputs!$C$2:$C$5000,Plan_Inputs!$A$2:$A$5000,$A39,Plan_Inputs!$B$2:$B$5000,$B$2)</f>
        <v/>
      </c>
      <c r="X39" s="43">
        <f>SUMIFS(Plan_Inputs!$D$2:$D$5000,Plan_Inputs!$A$2:$A$5000,$A39,Plan_Inputs!$B$2:$B$5000,$B$2)</f>
        <v/>
      </c>
      <c r="Y39" s="42">
        <f>E39</f>
        <v/>
      </c>
      <c r="Z39" s="44">
        <f>INDEX(Calendar!$H$5:$L$52,MATCH($A39,Calendar!$A$5:$A$52,0),MATCH($D$2,Calendar!$H$4:$L$4,0))</f>
        <v/>
      </c>
      <c r="AA39" s="44">
        <f>INDEX(Calendar!$M$5:$M$52,MATCH($A39,Calendar!$A$5:$A$52,0))</f>
        <v/>
      </c>
      <c r="AB39" s="45">
        <f>IF($D39="Actual",IFERROR(S39/Y39,""),AB27)</f>
        <v/>
      </c>
      <c r="AC39" s="46">
        <f>IF($D39="Actual",IFERROR(U39/T39/Z39/AA39,""),AC27)</f>
        <v/>
      </c>
      <c r="AD39" s="43">
        <f>IF($D39="Actual",IFERROR(V39/(U39+V39),""),AD27)</f>
        <v/>
      </c>
      <c r="AE39" s="46">
        <f>IFERROR(AC39*Z39*AA39,"")</f>
        <v/>
      </c>
      <c r="AF39" s="47">
        <f>K27</f>
        <v/>
      </c>
      <c r="AG39" s="43">
        <f>IF($D39="Forecast",IFERROR(K39/AF39-1,""),"")</f>
        <v/>
      </c>
    </row>
    <row r="40">
      <c r="A40" s="8" t="n">
        <v>46419</v>
      </c>
      <c r="B40" s="26">
        <f>YEAR(A40)</f>
        <v/>
      </c>
      <c r="C40" s="26">
        <f>MONTH(A40)</f>
        <v/>
      </c>
      <c r="D40">
        <f>IF(A40&lt;=LastActual,"Actual","Forecast")</f>
        <v/>
      </c>
      <c r="E40" s="24">
        <f>IF($D40="Actual",R40,W40)</f>
        <v/>
      </c>
      <c r="F40" s="27">
        <f>IF($D40="Actual",S40,Cases_Forecast!AJ33)</f>
        <v/>
      </c>
      <c r="G40" s="9">
        <f>IF($D40="Actual",T40,IFERROR(H40/AE40,0))</f>
        <v/>
      </c>
      <c r="H40" s="24">
        <f>IF($D40="Actual",U40,J40-I40)</f>
        <v/>
      </c>
      <c r="I40" s="24">
        <f>IF($D40="Actual",V40,IFERROR(J40*AD40,0))</f>
        <v/>
      </c>
      <c r="J40" s="24">
        <f>IF($D40="Actual",U40+V40,E40*X40)</f>
        <v/>
      </c>
      <c r="K40" s="28">
        <f>IFERROR(F40/G40,0)</f>
        <v/>
      </c>
      <c r="L40" s="29">
        <f>IFERROR(H40/G40,0)</f>
        <v/>
      </c>
      <c r="M40" s="30">
        <f>IFERROR(J40/F40,0)</f>
        <v/>
      </c>
      <c r="N40" s="10">
        <f>IFERROR(J40/E40,0)</f>
        <v/>
      </c>
      <c r="O40" s="10">
        <f>IFERROR(I40/J40,0)</f>
        <v/>
      </c>
      <c r="R40" s="42">
        <f>IF($D40="Actual",SUMIFS(Data_Actuals!$C$2:$C$5000,Data_Actuals!$A$2:$A$5000,$A40,Data_Actuals!$B$2:$B$5000,$B$2),"")</f>
        <v/>
      </c>
      <c r="S40" s="42">
        <f>IF($D40="Actual",SUMIFS(Data_Actuals!$D$2:$D$5000,Data_Actuals!$A$2:$A$5000,$A40,Data_Actuals!$B$2:$B$5000,$B$2),"")</f>
        <v/>
      </c>
      <c r="T40" s="42">
        <f>IF($D40="Actual",SUMIFS(Data_Actuals!$E$2:$E$5000,Data_Actuals!$A$2:$A$5000,$A40,Data_Actuals!$B$2:$B$5000,$B$2),"")</f>
        <v/>
      </c>
      <c r="U40" s="42">
        <f>IF($D40="Actual",SUMIFS(Data_Actuals!$F$2:$F$5000,Data_Actuals!$A$2:$A$5000,$A40,Data_Actuals!$B$2:$B$5000,$B$2),"")</f>
        <v/>
      </c>
      <c r="V40" s="42">
        <f>IF($D40="Actual",SUMIFS(Data_Actuals!$G$2:$G$5000,Data_Actuals!$A$2:$A$5000,$A40,Data_Actuals!$B$2:$B$5000,$B$2),"")</f>
        <v/>
      </c>
      <c r="W40" s="42">
        <f>SUMIFS(Plan_Inputs!$C$2:$C$5000,Plan_Inputs!$A$2:$A$5000,$A40,Plan_Inputs!$B$2:$B$5000,$B$2)</f>
        <v/>
      </c>
      <c r="X40" s="43">
        <f>SUMIFS(Plan_Inputs!$D$2:$D$5000,Plan_Inputs!$A$2:$A$5000,$A40,Plan_Inputs!$B$2:$B$5000,$B$2)</f>
        <v/>
      </c>
      <c r="Y40" s="42">
        <f>E40</f>
        <v/>
      </c>
      <c r="Z40" s="44">
        <f>INDEX(Calendar!$H$5:$L$52,MATCH($A40,Calendar!$A$5:$A$52,0),MATCH($D$2,Calendar!$H$4:$L$4,0))</f>
        <v/>
      </c>
      <c r="AA40" s="44">
        <f>INDEX(Calendar!$M$5:$M$52,MATCH($A40,Calendar!$A$5:$A$52,0))</f>
        <v/>
      </c>
      <c r="AB40" s="45">
        <f>IF($D40="Actual",IFERROR(S40/Y40,""),AB28)</f>
        <v/>
      </c>
      <c r="AC40" s="46">
        <f>IF($D40="Actual",IFERROR(U40/T40/Z40/AA40,""),AC28)</f>
        <v/>
      </c>
      <c r="AD40" s="43">
        <f>IF($D40="Actual",IFERROR(V40/(U40+V40),""),AD28)</f>
        <v/>
      </c>
      <c r="AE40" s="46">
        <f>IFERROR(AC40*Z40*AA40,"")</f>
        <v/>
      </c>
      <c r="AF40" s="47">
        <f>K28</f>
        <v/>
      </c>
      <c r="AG40" s="43">
        <f>IF($D40="Forecast",IFERROR(K40/AF40-1,""),"")</f>
        <v/>
      </c>
    </row>
    <row r="41">
      <c r="A41" s="8" t="n">
        <v>46447</v>
      </c>
      <c r="B41" s="26">
        <f>YEAR(A41)</f>
        <v/>
      </c>
      <c r="C41" s="26">
        <f>MONTH(A41)</f>
        <v/>
      </c>
      <c r="D41">
        <f>IF(A41&lt;=LastActual,"Actual","Forecast")</f>
        <v/>
      </c>
      <c r="E41" s="24">
        <f>IF($D41="Actual",R41,W41)</f>
        <v/>
      </c>
      <c r="F41" s="27">
        <f>IF($D41="Actual",S41,Cases_Forecast!AJ34)</f>
        <v/>
      </c>
      <c r="G41" s="9">
        <f>IF($D41="Actual",T41,IFERROR(H41/AE41,0))</f>
        <v/>
      </c>
      <c r="H41" s="24">
        <f>IF($D41="Actual",U41,J41-I41)</f>
        <v/>
      </c>
      <c r="I41" s="24">
        <f>IF($D41="Actual",V41,IFERROR(J41*AD41,0))</f>
        <v/>
      </c>
      <c r="J41" s="24">
        <f>IF($D41="Actual",U41+V41,E41*X41)</f>
        <v/>
      </c>
      <c r="K41" s="28">
        <f>IFERROR(F41/G41,0)</f>
        <v/>
      </c>
      <c r="L41" s="29">
        <f>IFERROR(H41/G41,0)</f>
        <v/>
      </c>
      <c r="M41" s="30">
        <f>IFERROR(J41/F41,0)</f>
        <v/>
      </c>
      <c r="N41" s="10">
        <f>IFERROR(J41/E41,0)</f>
        <v/>
      </c>
      <c r="O41" s="10">
        <f>IFERROR(I41/J41,0)</f>
        <v/>
      </c>
      <c r="R41" s="42">
        <f>IF($D41="Actual",SUMIFS(Data_Actuals!$C$2:$C$5000,Data_Actuals!$A$2:$A$5000,$A41,Data_Actuals!$B$2:$B$5000,$B$2),"")</f>
        <v/>
      </c>
      <c r="S41" s="42">
        <f>IF($D41="Actual",SUMIFS(Data_Actuals!$D$2:$D$5000,Data_Actuals!$A$2:$A$5000,$A41,Data_Actuals!$B$2:$B$5000,$B$2),"")</f>
        <v/>
      </c>
      <c r="T41" s="42">
        <f>IF($D41="Actual",SUMIFS(Data_Actuals!$E$2:$E$5000,Data_Actuals!$A$2:$A$5000,$A41,Data_Actuals!$B$2:$B$5000,$B$2),"")</f>
        <v/>
      </c>
      <c r="U41" s="42">
        <f>IF($D41="Actual",SUMIFS(Data_Actuals!$F$2:$F$5000,Data_Actuals!$A$2:$A$5000,$A41,Data_Actuals!$B$2:$B$5000,$B$2),"")</f>
        <v/>
      </c>
      <c r="V41" s="42">
        <f>IF($D41="Actual",SUMIFS(Data_Actuals!$G$2:$G$5000,Data_Actuals!$A$2:$A$5000,$A41,Data_Actuals!$B$2:$B$5000,$B$2),"")</f>
        <v/>
      </c>
      <c r="W41" s="42">
        <f>SUMIFS(Plan_Inputs!$C$2:$C$5000,Plan_Inputs!$A$2:$A$5000,$A41,Plan_Inputs!$B$2:$B$5000,$B$2)</f>
        <v/>
      </c>
      <c r="X41" s="43">
        <f>SUMIFS(Plan_Inputs!$D$2:$D$5000,Plan_Inputs!$A$2:$A$5000,$A41,Plan_Inputs!$B$2:$B$5000,$B$2)</f>
        <v/>
      </c>
      <c r="Y41" s="42">
        <f>E41</f>
        <v/>
      </c>
      <c r="Z41" s="44">
        <f>INDEX(Calendar!$H$5:$L$52,MATCH($A41,Calendar!$A$5:$A$52,0),MATCH($D$2,Calendar!$H$4:$L$4,0))</f>
        <v/>
      </c>
      <c r="AA41" s="44">
        <f>INDEX(Calendar!$M$5:$M$52,MATCH($A41,Calendar!$A$5:$A$52,0))</f>
        <v/>
      </c>
      <c r="AB41" s="45">
        <f>IF($D41="Actual",IFERROR(S41/Y41,""),AB29)</f>
        <v/>
      </c>
      <c r="AC41" s="46">
        <f>IF($D41="Actual",IFERROR(U41/T41/Z41/AA41,""),AC29)</f>
        <v/>
      </c>
      <c r="AD41" s="43">
        <f>IF($D41="Actual",IFERROR(V41/(U41+V41),""),AD29)</f>
        <v/>
      </c>
      <c r="AE41" s="46">
        <f>IFERROR(AC41*Z41*AA41,"")</f>
        <v/>
      </c>
      <c r="AF41" s="47">
        <f>K29</f>
        <v/>
      </c>
      <c r="AG41" s="43">
        <f>IF($D41="Forecast",IFERROR(K41/AF41-1,""),"")</f>
        <v/>
      </c>
    </row>
    <row r="42">
      <c r="A42" s="8" t="n">
        <v>46478</v>
      </c>
      <c r="B42" s="26">
        <f>YEAR(A42)</f>
        <v/>
      </c>
      <c r="C42" s="26">
        <f>MONTH(A42)</f>
        <v/>
      </c>
      <c r="D42">
        <f>IF(A42&lt;=LastActual,"Actual","Forecast")</f>
        <v/>
      </c>
      <c r="E42" s="24">
        <f>IF($D42="Actual",R42,W42)</f>
        <v/>
      </c>
      <c r="F42" s="27">
        <f>IF($D42="Actual",S42,Cases_Forecast!AJ35)</f>
        <v/>
      </c>
      <c r="G42" s="9">
        <f>IF($D42="Actual",T42,IFERROR(H42/AE42,0))</f>
        <v/>
      </c>
      <c r="H42" s="24">
        <f>IF($D42="Actual",U42,J42-I42)</f>
        <v/>
      </c>
      <c r="I42" s="24">
        <f>IF($D42="Actual",V42,IFERROR(J42*AD42,0))</f>
        <v/>
      </c>
      <c r="J42" s="24">
        <f>IF($D42="Actual",U42+V42,E42*X42)</f>
        <v/>
      </c>
      <c r="K42" s="28">
        <f>IFERROR(F42/G42,0)</f>
        <v/>
      </c>
      <c r="L42" s="29">
        <f>IFERROR(H42/G42,0)</f>
        <v/>
      </c>
      <c r="M42" s="30">
        <f>IFERROR(J42/F42,0)</f>
        <v/>
      </c>
      <c r="N42" s="10">
        <f>IFERROR(J42/E42,0)</f>
        <v/>
      </c>
      <c r="O42" s="10">
        <f>IFERROR(I42/J42,0)</f>
        <v/>
      </c>
      <c r="R42" s="42">
        <f>IF($D42="Actual",SUMIFS(Data_Actuals!$C$2:$C$5000,Data_Actuals!$A$2:$A$5000,$A42,Data_Actuals!$B$2:$B$5000,$B$2),"")</f>
        <v/>
      </c>
      <c r="S42" s="42">
        <f>IF($D42="Actual",SUMIFS(Data_Actuals!$D$2:$D$5000,Data_Actuals!$A$2:$A$5000,$A42,Data_Actuals!$B$2:$B$5000,$B$2),"")</f>
        <v/>
      </c>
      <c r="T42" s="42">
        <f>IF($D42="Actual",SUMIFS(Data_Actuals!$E$2:$E$5000,Data_Actuals!$A$2:$A$5000,$A42,Data_Actuals!$B$2:$B$5000,$B$2),"")</f>
        <v/>
      </c>
      <c r="U42" s="42">
        <f>IF($D42="Actual",SUMIFS(Data_Actuals!$F$2:$F$5000,Data_Actuals!$A$2:$A$5000,$A42,Data_Actuals!$B$2:$B$5000,$B$2),"")</f>
        <v/>
      </c>
      <c r="V42" s="42">
        <f>IF($D42="Actual",SUMIFS(Data_Actuals!$G$2:$G$5000,Data_Actuals!$A$2:$A$5000,$A42,Data_Actuals!$B$2:$B$5000,$B$2),"")</f>
        <v/>
      </c>
      <c r="W42" s="42">
        <f>SUMIFS(Plan_Inputs!$C$2:$C$5000,Plan_Inputs!$A$2:$A$5000,$A42,Plan_Inputs!$B$2:$B$5000,$B$2)</f>
        <v/>
      </c>
      <c r="X42" s="43">
        <f>SUMIFS(Plan_Inputs!$D$2:$D$5000,Plan_Inputs!$A$2:$A$5000,$A42,Plan_Inputs!$B$2:$B$5000,$B$2)</f>
        <v/>
      </c>
      <c r="Y42" s="42">
        <f>E42</f>
        <v/>
      </c>
      <c r="Z42" s="44">
        <f>INDEX(Calendar!$H$5:$L$52,MATCH($A42,Calendar!$A$5:$A$52,0),MATCH($D$2,Calendar!$H$4:$L$4,0))</f>
        <v/>
      </c>
      <c r="AA42" s="44">
        <f>INDEX(Calendar!$M$5:$M$52,MATCH($A42,Calendar!$A$5:$A$52,0))</f>
        <v/>
      </c>
      <c r="AB42" s="45">
        <f>IF($D42="Actual",IFERROR(S42/Y42,""),AB30)</f>
        <v/>
      </c>
      <c r="AC42" s="46">
        <f>IF($D42="Actual",IFERROR(U42/T42/Z42/AA42,""),AC30)</f>
        <v/>
      </c>
      <c r="AD42" s="43">
        <f>IF($D42="Actual",IFERROR(V42/(U42+V42),""),AD30)</f>
        <v/>
      </c>
      <c r="AE42" s="46">
        <f>IFERROR(AC42*Z42*AA42,"")</f>
        <v/>
      </c>
      <c r="AF42" s="47">
        <f>K30</f>
        <v/>
      </c>
      <c r="AG42" s="43">
        <f>IF($D42="Forecast",IFERROR(K42/AF42-1,""),"")</f>
        <v/>
      </c>
    </row>
    <row r="43">
      <c r="A43" s="8" t="n">
        <v>46508</v>
      </c>
      <c r="B43" s="26">
        <f>YEAR(A43)</f>
        <v/>
      </c>
      <c r="C43" s="26">
        <f>MONTH(A43)</f>
        <v/>
      </c>
      <c r="D43">
        <f>IF(A43&lt;=LastActual,"Actual","Forecast")</f>
        <v/>
      </c>
      <c r="E43" s="24">
        <f>IF($D43="Actual",R43,W43)</f>
        <v/>
      </c>
      <c r="F43" s="27">
        <f>IF($D43="Actual",S43,Cases_Forecast!AJ36)</f>
        <v/>
      </c>
      <c r="G43" s="9">
        <f>IF($D43="Actual",T43,IFERROR(H43/AE43,0))</f>
        <v/>
      </c>
      <c r="H43" s="24">
        <f>IF($D43="Actual",U43,J43-I43)</f>
        <v/>
      </c>
      <c r="I43" s="24">
        <f>IF($D43="Actual",V43,IFERROR(J43*AD43,0))</f>
        <v/>
      </c>
      <c r="J43" s="24">
        <f>IF($D43="Actual",U43+V43,E43*X43)</f>
        <v/>
      </c>
      <c r="K43" s="28">
        <f>IFERROR(F43/G43,0)</f>
        <v/>
      </c>
      <c r="L43" s="29">
        <f>IFERROR(H43/G43,0)</f>
        <v/>
      </c>
      <c r="M43" s="30">
        <f>IFERROR(J43/F43,0)</f>
        <v/>
      </c>
      <c r="N43" s="10">
        <f>IFERROR(J43/E43,0)</f>
        <v/>
      </c>
      <c r="O43" s="10">
        <f>IFERROR(I43/J43,0)</f>
        <v/>
      </c>
      <c r="R43" s="42">
        <f>IF($D43="Actual",SUMIFS(Data_Actuals!$C$2:$C$5000,Data_Actuals!$A$2:$A$5000,$A43,Data_Actuals!$B$2:$B$5000,$B$2),"")</f>
        <v/>
      </c>
      <c r="S43" s="42">
        <f>IF($D43="Actual",SUMIFS(Data_Actuals!$D$2:$D$5000,Data_Actuals!$A$2:$A$5000,$A43,Data_Actuals!$B$2:$B$5000,$B$2),"")</f>
        <v/>
      </c>
      <c r="T43" s="42">
        <f>IF($D43="Actual",SUMIFS(Data_Actuals!$E$2:$E$5000,Data_Actuals!$A$2:$A$5000,$A43,Data_Actuals!$B$2:$B$5000,$B$2),"")</f>
        <v/>
      </c>
      <c r="U43" s="42">
        <f>IF($D43="Actual",SUMIFS(Data_Actuals!$F$2:$F$5000,Data_Actuals!$A$2:$A$5000,$A43,Data_Actuals!$B$2:$B$5000,$B$2),"")</f>
        <v/>
      </c>
      <c r="V43" s="42">
        <f>IF($D43="Actual",SUMIFS(Data_Actuals!$G$2:$G$5000,Data_Actuals!$A$2:$A$5000,$A43,Data_Actuals!$B$2:$B$5000,$B$2),"")</f>
        <v/>
      </c>
      <c r="W43" s="42">
        <f>SUMIFS(Plan_Inputs!$C$2:$C$5000,Plan_Inputs!$A$2:$A$5000,$A43,Plan_Inputs!$B$2:$B$5000,$B$2)</f>
        <v/>
      </c>
      <c r="X43" s="43">
        <f>SUMIFS(Plan_Inputs!$D$2:$D$5000,Plan_Inputs!$A$2:$A$5000,$A43,Plan_Inputs!$B$2:$B$5000,$B$2)</f>
        <v/>
      </c>
      <c r="Y43" s="42">
        <f>E43</f>
        <v/>
      </c>
      <c r="Z43" s="44">
        <f>INDEX(Calendar!$H$5:$L$52,MATCH($A43,Calendar!$A$5:$A$52,0),MATCH($D$2,Calendar!$H$4:$L$4,0))</f>
        <v/>
      </c>
      <c r="AA43" s="44">
        <f>INDEX(Calendar!$M$5:$M$52,MATCH($A43,Calendar!$A$5:$A$52,0))</f>
        <v/>
      </c>
      <c r="AB43" s="45">
        <f>IF($D43="Actual",IFERROR(S43/Y43,""),AB31)</f>
        <v/>
      </c>
      <c r="AC43" s="46">
        <f>IF($D43="Actual",IFERROR(U43/T43/Z43/AA43,""),AC31)</f>
        <v/>
      </c>
      <c r="AD43" s="43">
        <f>IF($D43="Actual",IFERROR(V43/(U43+V43),""),AD31)</f>
        <v/>
      </c>
      <c r="AE43" s="46">
        <f>IFERROR(AC43*Z43*AA43,"")</f>
        <v/>
      </c>
      <c r="AF43" s="47">
        <f>K31</f>
        <v/>
      </c>
      <c r="AG43" s="43">
        <f>IF($D43="Forecast",IFERROR(K43/AF43-1,""),"")</f>
        <v/>
      </c>
    </row>
    <row r="44">
      <c r="A44" s="8" t="n">
        <v>46539</v>
      </c>
      <c r="B44" s="26">
        <f>YEAR(A44)</f>
        <v/>
      </c>
      <c r="C44" s="26">
        <f>MONTH(A44)</f>
        <v/>
      </c>
      <c r="D44">
        <f>IF(A44&lt;=LastActual,"Actual","Forecast")</f>
        <v/>
      </c>
      <c r="E44" s="24">
        <f>IF($D44="Actual",R44,W44)</f>
        <v/>
      </c>
      <c r="F44" s="27">
        <f>IF($D44="Actual",S44,Cases_Forecast!AJ37)</f>
        <v/>
      </c>
      <c r="G44" s="9">
        <f>IF($D44="Actual",T44,IFERROR(H44/AE44,0))</f>
        <v/>
      </c>
      <c r="H44" s="24">
        <f>IF($D44="Actual",U44,J44-I44)</f>
        <v/>
      </c>
      <c r="I44" s="24">
        <f>IF($D44="Actual",V44,IFERROR(J44*AD44,0))</f>
        <v/>
      </c>
      <c r="J44" s="24">
        <f>IF($D44="Actual",U44+V44,E44*X44)</f>
        <v/>
      </c>
      <c r="K44" s="28">
        <f>IFERROR(F44/G44,0)</f>
        <v/>
      </c>
      <c r="L44" s="29">
        <f>IFERROR(H44/G44,0)</f>
        <v/>
      </c>
      <c r="M44" s="30">
        <f>IFERROR(J44/F44,0)</f>
        <v/>
      </c>
      <c r="N44" s="10">
        <f>IFERROR(J44/E44,0)</f>
        <v/>
      </c>
      <c r="O44" s="10">
        <f>IFERROR(I44/J44,0)</f>
        <v/>
      </c>
      <c r="R44" s="42">
        <f>IF($D44="Actual",SUMIFS(Data_Actuals!$C$2:$C$5000,Data_Actuals!$A$2:$A$5000,$A44,Data_Actuals!$B$2:$B$5000,$B$2),"")</f>
        <v/>
      </c>
      <c r="S44" s="42">
        <f>IF($D44="Actual",SUMIFS(Data_Actuals!$D$2:$D$5000,Data_Actuals!$A$2:$A$5000,$A44,Data_Actuals!$B$2:$B$5000,$B$2),"")</f>
        <v/>
      </c>
      <c r="T44" s="42">
        <f>IF($D44="Actual",SUMIFS(Data_Actuals!$E$2:$E$5000,Data_Actuals!$A$2:$A$5000,$A44,Data_Actuals!$B$2:$B$5000,$B$2),"")</f>
        <v/>
      </c>
      <c r="U44" s="42">
        <f>IF($D44="Actual",SUMIFS(Data_Actuals!$F$2:$F$5000,Data_Actuals!$A$2:$A$5000,$A44,Data_Actuals!$B$2:$B$5000,$B$2),"")</f>
        <v/>
      </c>
      <c r="V44" s="42">
        <f>IF($D44="Actual",SUMIFS(Data_Actuals!$G$2:$G$5000,Data_Actuals!$A$2:$A$5000,$A44,Data_Actuals!$B$2:$B$5000,$B$2),"")</f>
        <v/>
      </c>
      <c r="W44" s="42">
        <f>SUMIFS(Plan_Inputs!$C$2:$C$5000,Plan_Inputs!$A$2:$A$5000,$A44,Plan_Inputs!$B$2:$B$5000,$B$2)</f>
        <v/>
      </c>
      <c r="X44" s="43">
        <f>SUMIFS(Plan_Inputs!$D$2:$D$5000,Plan_Inputs!$A$2:$A$5000,$A44,Plan_Inputs!$B$2:$B$5000,$B$2)</f>
        <v/>
      </c>
      <c r="Y44" s="42">
        <f>E44</f>
        <v/>
      </c>
      <c r="Z44" s="44">
        <f>INDEX(Calendar!$H$5:$L$52,MATCH($A44,Calendar!$A$5:$A$52,0),MATCH($D$2,Calendar!$H$4:$L$4,0))</f>
        <v/>
      </c>
      <c r="AA44" s="44">
        <f>INDEX(Calendar!$M$5:$M$52,MATCH($A44,Calendar!$A$5:$A$52,0))</f>
        <v/>
      </c>
      <c r="AB44" s="45">
        <f>IF($D44="Actual",IFERROR(S44/Y44,""),AB32)</f>
        <v/>
      </c>
      <c r="AC44" s="46">
        <f>IF($D44="Actual",IFERROR(U44/T44/Z44/AA44,""),AC32)</f>
        <v/>
      </c>
      <c r="AD44" s="43">
        <f>IF($D44="Actual",IFERROR(V44/(U44+V44),""),AD32)</f>
        <v/>
      </c>
      <c r="AE44" s="46">
        <f>IFERROR(AC44*Z44*AA44,"")</f>
        <v/>
      </c>
      <c r="AF44" s="47">
        <f>K32</f>
        <v/>
      </c>
      <c r="AG44" s="43">
        <f>IF($D44="Forecast",IFERROR(K44/AF44-1,""),"")</f>
        <v/>
      </c>
    </row>
    <row r="45">
      <c r="A45" s="8" t="n">
        <v>46569</v>
      </c>
      <c r="B45" s="26">
        <f>YEAR(A45)</f>
        <v/>
      </c>
      <c r="C45" s="26">
        <f>MONTH(A45)</f>
        <v/>
      </c>
      <c r="D45">
        <f>IF(A45&lt;=LastActual,"Actual","Forecast")</f>
        <v/>
      </c>
      <c r="E45" s="24">
        <f>IF($D45="Actual",R45,W45)</f>
        <v/>
      </c>
      <c r="F45" s="27">
        <f>IF($D45="Actual",S45,Cases_Forecast!AJ38)</f>
        <v/>
      </c>
      <c r="G45" s="9">
        <f>IF($D45="Actual",T45,IFERROR(H45/AE45,0))</f>
        <v/>
      </c>
      <c r="H45" s="24">
        <f>IF($D45="Actual",U45,J45-I45)</f>
        <v/>
      </c>
      <c r="I45" s="24">
        <f>IF($D45="Actual",V45,IFERROR(J45*AD45,0))</f>
        <v/>
      </c>
      <c r="J45" s="24">
        <f>IF($D45="Actual",U45+V45,E45*X45)</f>
        <v/>
      </c>
      <c r="K45" s="28">
        <f>IFERROR(F45/G45,0)</f>
        <v/>
      </c>
      <c r="L45" s="29">
        <f>IFERROR(H45/G45,0)</f>
        <v/>
      </c>
      <c r="M45" s="30">
        <f>IFERROR(J45/F45,0)</f>
        <v/>
      </c>
      <c r="N45" s="10">
        <f>IFERROR(J45/E45,0)</f>
        <v/>
      </c>
      <c r="O45" s="10">
        <f>IFERROR(I45/J45,0)</f>
        <v/>
      </c>
      <c r="R45" s="42">
        <f>IF($D45="Actual",SUMIFS(Data_Actuals!$C$2:$C$5000,Data_Actuals!$A$2:$A$5000,$A45,Data_Actuals!$B$2:$B$5000,$B$2),"")</f>
        <v/>
      </c>
      <c r="S45" s="42">
        <f>IF($D45="Actual",SUMIFS(Data_Actuals!$D$2:$D$5000,Data_Actuals!$A$2:$A$5000,$A45,Data_Actuals!$B$2:$B$5000,$B$2),"")</f>
        <v/>
      </c>
      <c r="T45" s="42">
        <f>IF($D45="Actual",SUMIFS(Data_Actuals!$E$2:$E$5000,Data_Actuals!$A$2:$A$5000,$A45,Data_Actuals!$B$2:$B$5000,$B$2),"")</f>
        <v/>
      </c>
      <c r="U45" s="42">
        <f>IF($D45="Actual",SUMIFS(Data_Actuals!$F$2:$F$5000,Data_Actuals!$A$2:$A$5000,$A45,Data_Actuals!$B$2:$B$5000,$B$2),"")</f>
        <v/>
      </c>
      <c r="V45" s="42">
        <f>IF($D45="Actual",SUMIFS(Data_Actuals!$G$2:$G$5000,Data_Actuals!$A$2:$A$5000,$A45,Data_Actuals!$B$2:$B$5000,$B$2),"")</f>
        <v/>
      </c>
      <c r="W45" s="42">
        <f>SUMIFS(Plan_Inputs!$C$2:$C$5000,Plan_Inputs!$A$2:$A$5000,$A45,Plan_Inputs!$B$2:$B$5000,$B$2)</f>
        <v/>
      </c>
      <c r="X45" s="43">
        <f>SUMIFS(Plan_Inputs!$D$2:$D$5000,Plan_Inputs!$A$2:$A$5000,$A45,Plan_Inputs!$B$2:$B$5000,$B$2)</f>
        <v/>
      </c>
      <c r="Y45" s="42">
        <f>E45</f>
        <v/>
      </c>
      <c r="Z45" s="44">
        <f>INDEX(Calendar!$H$5:$L$52,MATCH($A45,Calendar!$A$5:$A$52,0),MATCH($D$2,Calendar!$H$4:$L$4,0))</f>
        <v/>
      </c>
      <c r="AA45" s="44">
        <f>INDEX(Calendar!$M$5:$M$52,MATCH($A45,Calendar!$A$5:$A$52,0))</f>
        <v/>
      </c>
      <c r="AB45" s="45">
        <f>IF($D45="Actual",IFERROR(S45/Y45,""),AB33)</f>
        <v/>
      </c>
      <c r="AC45" s="46">
        <f>IF($D45="Actual",IFERROR(U45/T45/Z45/AA45,""),AC33)</f>
        <v/>
      </c>
      <c r="AD45" s="43">
        <f>IF($D45="Actual",IFERROR(V45/(U45+V45),""),AD33)</f>
        <v/>
      </c>
      <c r="AE45" s="46">
        <f>IFERROR(AC45*Z45*AA45,"")</f>
        <v/>
      </c>
      <c r="AF45" s="47">
        <f>K33</f>
        <v/>
      </c>
      <c r="AG45" s="43">
        <f>IF($D45="Forecast",IFERROR(K45/AF45-1,""),"")</f>
        <v/>
      </c>
    </row>
    <row r="46">
      <c r="A46" s="8" t="n">
        <v>46600</v>
      </c>
      <c r="B46" s="26">
        <f>YEAR(A46)</f>
        <v/>
      </c>
      <c r="C46" s="26">
        <f>MONTH(A46)</f>
        <v/>
      </c>
      <c r="D46">
        <f>IF(A46&lt;=LastActual,"Actual","Forecast")</f>
        <v/>
      </c>
      <c r="E46" s="24">
        <f>IF($D46="Actual",R46,W46)</f>
        <v/>
      </c>
      <c r="F46" s="27">
        <f>IF($D46="Actual",S46,Cases_Forecast!AJ39)</f>
        <v/>
      </c>
      <c r="G46" s="9">
        <f>IF($D46="Actual",T46,IFERROR(H46/AE46,0))</f>
        <v/>
      </c>
      <c r="H46" s="24">
        <f>IF($D46="Actual",U46,J46-I46)</f>
        <v/>
      </c>
      <c r="I46" s="24">
        <f>IF($D46="Actual",V46,IFERROR(J46*AD46,0))</f>
        <v/>
      </c>
      <c r="J46" s="24">
        <f>IF($D46="Actual",U46+V46,E46*X46)</f>
        <v/>
      </c>
      <c r="K46" s="28">
        <f>IFERROR(F46/G46,0)</f>
        <v/>
      </c>
      <c r="L46" s="29">
        <f>IFERROR(H46/G46,0)</f>
        <v/>
      </c>
      <c r="M46" s="30">
        <f>IFERROR(J46/F46,0)</f>
        <v/>
      </c>
      <c r="N46" s="10">
        <f>IFERROR(J46/E46,0)</f>
        <v/>
      </c>
      <c r="O46" s="10">
        <f>IFERROR(I46/J46,0)</f>
        <v/>
      </c>
      <c r="R46" s="42">
        <f>IF($D46="Actual",SUMIFS(Data_Actuals!$C$2:$C$5000,Data_Actuals!$A$2:$A$5000,$A46,Data_Actuals!$B$2:$B$5000,$B$2),"")</f>
        <v/>
      </c>
      <c r="S46" s="42">
        <f>IF($D46="Actual",SUMIFS(Data_Actuals!$D$2:$D$5000,Data_Actuals!$A$2:$A$5000,$A46,Data_Actuals!$B$2:$B$5000,$B$2),"")</f>
        <v/>
      </c>
      <c r="T46" s="42">
        <f>IF($D46="Actual",SUMIFS(Data_Actuals!$E$2:$E$5000,Data_Actuals!$A$2:$A$5000,$A46,Data_Actuals!$B$2:$B$5000,$B$2),"")</f>
        <v/>
      </c>
      <c r="U46" s="42">
        <f>IF($D46="Actual",SUMIFS(Data_Actuals!$F$2:$F$5000,Data_Actuals!$A$2:$A$5000,$A46,Data_Actuals!$B$2:$B$5000,$B$2),"")</f>
        <v/>
      </c>
      <c r="V46" s="42">
        <f>IF($D46="Actual",SUMIFS(Data_Actuals!$G$2:$G$5000,Data_Actuals!$A$2:$A$5000,$A46,Data_Actuals!$B$2:$B$5000,$B$2),"")</f>
        <v/>
      </c>
      <c r="W46" s="42">
        <f>SUMIFS(Plan_Inputs!$C$2:$C$5000,Plan_Inputs!$A$2:$A$5000,$A46,Plan_Inputs!$B$2:$B$5000,$B$2)</f>
        <v/>
      </c>
      <c r="X46" s="43">
        <f>SUMIFS(Plan_Inputs!$D$2:$D$5000,Plan_Inputs!$A$2:$A$5000,$A46,Plan_Inputs!$B$2:$B$5000,$B$2)</f>
        <v/>
      </c>
      <c r="Y46" s="42">
        <f>E46</f>
        <v/>
      </c>
      <c r="Z46" s="44">
        <f>INDEX(Calendar!$H$5:$L$52,MATCH($A46,Calendar!$A$5:$A$52,0),MATCH($D$2,Calendar!$H$4:$L$4,0))</f>
        <v/>
      </c>
      <c r="AA46" s="44">
        <f>INDEX(Calendar!$M$5:$M$52,MATCH($A46,Calendar!$A$5:$A$52,0))</f>
        <v/>
      </c>
      <c r="AB46" s="45">
        <f>IF($D46="Actual",IFERROR(S46/Y46,""),AB34)</f>
        <v/>
      </c>
      <c r="AC46" s="46">
        <f>IF($D46="Actual",IFERROR(U46/T46/Z46/AA46,""),AC34)</f>
        <v/>
      </c>
      <c r="AD46" s="43">
        <f>IF($D46="Actual",IFERROR(V46/(U46+V46),""),AD34)</f>
        <v/>
      </c>
      <c r="AE46" s="46">
        <f>IFERROR(AC46*Z46*AA46,"")</f>
        <v/>
      </c>
      <c r="AF46" s="47">
        <f>K34</f>
        <v/>
      </c>
      <c r="AG46" s="43">
        <f>IF($D46="Forecast",IFERROR(K46/AF46-1,""),"")</f>
        <v/>
      </c>
    </row>
    <row r="47">
      <c r="A47" s="8" t="n">
        <v>46631</v>
      </c>
      <c r="B47" s="26">
        <f>YEAR(A47)</f>
        <v/>
      </c>
      <c r="C47" s="26">
        <f>MONTH(A47)</f>
        <v/>
      </c>
      <c r="D47">
        <f>IF(A47&lt;=LastActual,"Actual","Forecast")</f>
        <v/>
      </c>
      <c r="E47" s="24">
        <f>IF($D47="Actual",R47,W47)</f>
        <v/>
      </c>
      <c r="F47" s="27">
        <f>IF($D47="Actual",S47,Cases_Forecast!AJ40)</f>
        <v/>
      </c>
      <c r="G47" s="9">
        <f>IF($D47="Actual",T47,IFERROR(H47/AE47,0))</f>
        <v/>
      </c>
      <c r="H47" s="24">
        <f>IF($D47="Actual",U47,J47-I47)</f>
        <v/>
      </c>
      <c r="I47" s="24">
        <f>IF($D47="Actual",V47,IFERROR(J47*AD47,0))</f>
        <v/>
      </c>
      <c r="J47" s="24">
        <f>IF($D47="Actual",U47+V47,E47*X47)</f>
        <v/>
      </c>
      <c r="K47" s="28">
        <f>IFERROR(F47/G47,0)</f>
        <v/>
      </c>
      <c r="L47" s="29">
        <f>IFERROR(H47/G47,0)</f>
        <v/>
      </c>
      <c r="M47" s="30">
        <f>IFERROR(J47/F47,0)</f>
        <v/>
      </c>
      <c r="N47" s="10">
        <f>IFERROR(J47/E47,0)</f>
        <v/>
      </c>
      <c r="O47" s="10">
        <f>IFERROR(I47/J47,0)</f>
        <v/>
      </c>
      <c r="R47" s="42">
        <f>IF($D47="Actual",SUMIFS(Data_Actuals!$C$2:$C$5000,Data_Actuals!$A$2:$A$5000,$A47,Data_Actuals!$B$2:$B$5000,$B$2),"")</f>
        <v/>
      </c>
      <c r="S47" s="42">
        <f>IF($D47="Actual",SUMIFS(Data_Actuals!$D$2:$D$5000,Data_Actuals!$A$2:$A$5000,$A47,Data_Actuals!$B$2:$B$5000,$B$2),"")</f>
        <v/>
      </c>
      <c r="T47" s="42">
        <f>IF($D47="Actual",SUMIFS(Data_Actuals!$E$2:$E$5000,Data_Actuals!$A$2:$A$5000,$A47,Data_Actuals!$B$2:$B$5000,$B$2),"")</f>
        <v/>
      </c>
      <c r="U47" s="42">
        <f>IF($D47="Actual",SUMIFS(Data_Actuals!$F$2:$F$5000,Data_Actuals!$A$2:$A$5000,$A47,Data_Actuals!$B$2:$B$5000,$B$2),"")</f>
        <v/>
      </c>
      <c r="V47" s="42">
        <f>IF($D47="Actual",SUMIFS(Data_Actuals!$G$2:$G$5000,Data_Actuals!$A$2:$A$5000,$A47,Data_Actuals!$B$2:$B$5000,$B$2),"")</f>
        <v/>
      </c>
      <c r="W47" s="42">
        <f>SUMIFS(Plan_Inputs!$C$2:$C$5000,Plan_Inputs!$A$2:$A$5000,$A47,Plan_Inputs!$B$2:$B$5000,$B$2)</f>
        <v/>
      </c>
      <c r="X47" s="43">
        <f>SUMIFS(Plan_Inputs!$D$2:$D$5000,Plan_Inputs!$A$2:$A$5000,$A47,Plan_Inputs!$B$2:$B$5000,$B$2)</f>
        <v/>
      </c>
      <c r="Y47" s="42">
        <f>E47</f>
        <v/>
      </c>
      <c r="Z47" s="44">
        <f>INDEX(Calendar!$H$5:$L$52,MATCH($A47,Calendar!$A$5:$A$52,0),MATCH($D$2,Calendar!$H$4:$L$4,0))</f>
        <v/>
      </c>
      <c r="AA47" s="44">
        <f>INDEX(Calendar!$M$5:$M$52,MATCH($A47,Calendar!$A$5:$A$52,0))</f>
        <v/>
      </c>
      <c r="AB47" s="45">
        <f>IF($D47="Actual",IFERROR(S47/Y47,""),AB35)</f>
        <v/>
      </c>
      <c r="AC47" s="46">
        <f>IF($D47="Actual",IFERROR(U47/T47/Z47/AA47,""),AC35)</f>
        <v/>
      </c>
      <c r="AD47" s="43">
        <f>IF($D47="Actual",IFERROR(V47/(U47+V47),""),AD35)</f>
        <v/>
      </c>
      <c r="AE47" s="46">
        <f>IFERROR(AC47*Z47*AA47,"")</f>
        <v/>
      </c>
      <c r="AF47" s="47">
        <f>K35</f>
        <v/>
      </c>
      <c r="AG47" s="43">
        <f>IF($D47="Forecast",IFERROR(K47/AF47-1,""),"")</f>
        <v/>
      </c>
    </row>
    <row r="48">
      <c r="A48" s="8" t="n">
        <v>46661</v>
      </c>
      <c r="B48" s="26">
        <f>YEAR(A48)</f>
        <v/>
      </c>
      <c r="C48" s="26">
        <f>MONTH(A48)</f>
        <v/>
      </c>
      <c r="D48">
        <f>IF(A48&lt;=LastActual,"Actual","Forecast")</f>
        <v/>
      </c>
      <c r="E48" s="24">
        <f>IF($D48="Actual",R48,W48)</f>
        <v/>
      </c>
      <c r="F48" s="27">
        <f>IF($D48="Actual",S48,Cases_Forecast!AJ41)</f>
        <v/>
      </c>
      <c r="G48" s="9">
        <f>IF($D48="Actual",T48,IFERROR(H48/AE48,0))</f>
        <v/>
      </c>
      <c r="H48" s="24">
        <f>IF($D48="Actual",U48,J48-I48)</f>
        <v/>
      </c>
      <c r="I48" s="24">
        <f>IF($D48="Actual",V48,IFERROR(J48*AD48,0))</f>
        <v/>
      </c>
      <c r="J48" s="24">
        <f>IF($D48="Actual",U48+V48,E48*X48)</f>
        <v/>
      </c>
      <c r="K48" s="28">
        <f>IFERROR(F48/G48,0)</f>
        <v/>
      </c>
      <c r="L48" s="29">
        <f>IFERROR(H48/G48,0)</f>
        <v/>
      </c>
      <c r="M48" s="30">
        <f>IFERROR(J48/F48,0)</f>
        <v/>
      </c>
      <c r="N48" s="10">
        <f>IFERROR(J48/E48,0)</f>
        <v/>
      </c>
      <c r="O48" s="10">
        <f>IFERROR(I48/J48,0)</f>
        <v/>
      </c>
      <c r="R48" s="42">
        <f>IF($D48="Actual",SUMIFS(Data_Actuals!$C$2:$C$5000,Data_Actuals!$A$2:$A$5000,$A48,Data_Actuals!$B$2:$B$5000,$B$2),"")</f>
        <v/>
      </c>
      <c r="S48" s="42">
        <f>IF($D48="Actual",SUMIFS(Data_Actuals!$D$2:$D$5000,Data_Actuals!$A$2:$A$5000,$A48,Data_Actuals!$B$2:$B$5000,$B$2),"")</f>
        <v/>
      </c>
      <c r="T48" s="42">
        <f>IF($D48="Actual",SUMIFS(Data_Actuals!$E$2:$E$5000,Data_Actuals!$A$2:$A$5000,$A48,Data_Actuals!$B$2:$B$5000,$B$2),"")</f>
        <v/>
      </c>
      <c r="U48" s="42">
        <f>IF($D48="Actual",SUMIFS(Data_Actuals!$F$2:$F$5000,Data_Actuals!$A$2:$A$5000,$A48,Data_Actuals!$B$2:$B$5000,$B$2),"")</f>
        <v/>
      </c>
      <c r="V48" s="42">
        <f>IF($D48="Actual",SUMIFS(Data_Actuals!$G$2:$G$5000,Data_Actuals!$A$2:$A$5000,$A48,Data_Actuals!$B$2:$B$5000,$B$2),"")</f>
        <v/>
      </c>
      <c r="W48" s="42">
        <f>SUMIFS(Plan_Inputs!$C$2:$C$5000,Plan_Inputs!$A$2:$A$5000,$A48,Plan_Inputs!$B$2:$B$5000,$B$2)</f>
        <v/>
      </c>
      <c r="X48" s="43">
        <f>SUMIFS(Plan_Inputs!$D$2:$D$5000,Plan_Inputs!$A$2:$A$5000,$A48,Plan_Inputs!$B$2:$B$5000,$B$2)</f>
        <v/>
      </c>
      <c r="Y48" s="42">
        <f>E48</f>
        <v/>
      </c>
      <c r="Z48" s="44">
        <f>INDEX(Calendar!$H$5:$L$52,MATCH($A48,Calendar!$A$5:$A$52,0),MATCH($D$2,Calendar!$H$4:$L$4,0))</f>
        <v/>
      </c>
      <c r="AA48" s="44">
        <f>INDEX(Calendar!$M$5:$M$52,MATCH($A48,Calendar!$A$5:$A$52,0))</f>
        <v/>
      </c>
      <c r="AB48" s="45">
        <f>IF($D48="Actual",IFERROR(S48/Y48,""),AB36)</f>
        <v/>
      </c>
      <c r="AC48" s="46">
        <f>IF($D48="Actual",IFERROR(U48/T48/Z48/AA48,""),AC36)</f>
        <v/>
      </c>
      <c r="AD48" s="43">
        <f>IF($D48="Actual",IFERROR(V48/(U48+V48),""),AD36)</f>
        <v/>
      </c>
      <c r="AE48" s="46">
        <f>IFERROR(AC48*Z48*AA48,"")</f>
        <v/>
      </c>
      <c r="AF48" s="47">
        <f>K36</f>
        <v/>
      </c>
      <c r="AG48" s="43">
        <f>IF($D48="Forecast",IFERROR(K48/AF48-1,""),"")</f>
        <v/>
      </c>
    </row>
    <row r="49">
      <c r="A49" s="8" t="n">
        <v>46692</v>
      </c>
      <c r="B49" s="26">
        <f>YEAR(A49)</f>
        <v/>
      </c>
      <c r="C49" s="26">
        <f>MONTH(A49)</f>
        <v/>
      </c>
      <c r="D49">
        <f>IF(A49&lt;=LastActual,"Actual","Forecast")</f>
        <v/>
      </c>
      <c r="E49" s="24">
        <f>IF($D49="Actual",R49,W49)</f>
        <v/>
      </c>
      <c r="F49" s="27">
        <f>IF($D49="Actual",S49,Cases_Forecast!AJ42)</f>
        <v/>
      </c>
      <c r="G49" s="9">
        <f>IF($D49="Actual",T49,IFERROR(H49/AE49,0))</f>
        <v/>
      </c>
      <c r="H49" s="24">
        <f>IF($D49="Actual",U49,J49-I49)</f>
        <v/>
      </c>
      <c r="I49" s="24">
        <f>IF($D49="Actual",V49,IFERROR(J49*AD49,0))</f>
        <v/>
      </c>
      <c r="J49" s="24">
        <f>IF($D49="Actual",U49+V49,E49*X49)</f>
        <v/>
      </c>
      <c r="K49" s="28">
        <f>IFERROR(F49/G49,0)</f>
        <v/>
      </c>
      <c r="L49" s="29">
        <f>IFERROR(H49/G49,0)</f>
        <v/>
      </c>
      <c r="M49" s="30">
        <f>IFERROR(J49/F49,0)</f>
        <v/>
      </c>
      <c r="N49" s="10">
        <f>IFERROR(J49/E49,0)</f>
        <v/>
      </c>
      <c r="O49" s="10">
        <f>IFERROR(I49/J49,0)</f>
        <v/>
      </c>
      <c r="R49" s="42">
        <f>IF($D49="Actual",SUMIFS(Data_Actuals!$C$2:$C$5000,Data_Actuals!$A$2:$A$5000,$A49,Data_Actuals!$B$2:$B$5000,$B$2),"")</f>
        <v/>
      </c>
      <c r="S49" s="42">
        <f>IF($D49="Actual",SUMIFS(Data_Actuals!$D$2:$D$5000,Data_Actuals!$A$2:$A$5000,$A49,Data_Actuals!$B$2:$B$5000,$B$2),"")</f>
        <v/>
      </c>
      <c r="T49" s="42">
        <f>IF($D49="Actual",SUMIFS(Data_Actuals!$E$2:$E$5000,Data_Actuals!$A$2:$A$5000,$A49,Data_Actuals!$B$2:$B$5000,$B$2),"")</f>
        <v/>
      </c>
      <c r="U49" s="42">
        <f>IF($D49="Actual",SUMIFS(Data_Actuals!$F$2:$F$5000,Data_Actuals!$A$2:$A$5000,$A49,Data_Actuals!$B$2:$B$5000,$B$2),"")</f>
        <v/>
      </c>
      <c r="V49" s="42">
        <f>IF($D49="Actual",SUMIFS(Data_Actuals!$G$2:$G$5000,Data_Actuals!$A$2:$A$5000,$A49,Data_Actuals!$B$2:$B$5000,$B$2),"")</f>
        <v/>
      </c>
      <c r="W49" s="42">
        <f>SUMIFS(Plan_Inputs!$C$2:$C$5000,Plan_Inputs!$A$2:$A$5000,$A49,Plan_Inputs!$B$2:$B$5000,$B$2)</f>
        <v/>
      </c>
      <c r="X49" s="43">
        <f>SUMIFS(Plan_Inputs!$D$2:$D$5000,Plan_Inputs!$A$2:$A$5000,$A49,Plan_Inputs!$B$2:$B$5000,$B$2)</f>
        <v/>
      </c>
      <c r="Y49" s="42">
        <f>E49</f>
        <v/>
      </c>
      <c r="Z49" s="44">
        <f>INDEX(Calendar!$H$5:$L$52,MATCH($A49,Calendar!$A$5:$A$52,0),MATCH($D$2,Calendar!$H$4:$L$4,0))</f>
        <v/>
      </c>
      <c r="AA49" s="44">
        <f>INDEX(Calendar!$M$5:$M$52,MATCH($A49,Calendar!$A$5:$A$52,0))</f>
        <v/>
      </c>
      <c r="AB49" s="45">
        <f>IF($D49="Actual",IFERROR(S49/Y49,""),AB37)</f>
        <v/>
      </c>
      <c r="AC49" s="46">
        <f>IF($D49="Actual",IFERROR(U49/T49/Z49/AA49,""),AC37)</f>
        <v/>
      </c>
      <c r="AD49" s="43">
        <f>IF($D49="Actual",IFERROR(V49/(U49+V49),""),AD37)</f>
        <v/>
      </c>
      <c r="AE49" s="46">
        <f>IFERROR(AC49*Z49*AA49,"")</f>
        <v/>
      </c>
      <c r="AF49" s="47">
        <f>K37</f>
        <v/>
      </c>
      <c r="AG49" s="43">
        <f>IF($D49="Forecast",IFERROR(K49/AF49-1,""),"")</f>
        <v/>
      </c>
    </row>
    <row r="50">
      <c r="A50" s="31" t="n">
        <v>46722</v>
      </c>
      <c r="B50" s="32">
        <f>YEAR(A50)</f>
        <v/>
      </c>
      <c r="C50" s="32">
        <f>MONTH(A50)</f>
        <v/>
      </c>
      <c r="D50" s="33">
        <f>IF(A50&lt;=LastActual,"Actual","Forecast")</f>
        <v/>
      </c>
      <c r="E50" s="34">
        <f>IF($D50="Actual",R50,W50)</f>
        <v/>
      </c>
      <c r="F50" s="35">
        <f>IF($D50="Actual",S50,Cases_Forecast!AJ43)</f>
        <v/>
      </c>
      <c r="G50" s="36">
        <f>IF($D50="Actual",T50,IFERROR(H50/AE50,0))</f>
        <v/>
      </c>
      <c r="H50" s="34">
        <f>IF($D50="Actual",U50,J50-I50)</f>
        <v/>
      </c>
      <c r="I50" s="34">
        <f>IF($D50="Actual",V50,IFERROR(J50*AD50,0))</f>
        <v/>
      </c>
      <c r="J50" s="34">
        <f>IF($D50="Actual",U50+V50,E50*X50)</f>
        <v/>
      </c>
      <c r="K50" s="37">
        <f>IFERROR(F50/G50,0)</f>
        <v/>
      </c>
      <c r="L50" s="38">
        <f>IFERROR(H50/G50,0)</f>
        <v/>
      </c>
      <c r="M50" s="39">
        <f>IFERROR(J50/F50,0)</f>
        <v/>
      </c>
      <c r="N50" s="40">
        <f>IFERROR(J50/E50,0)</f>
        <v/>
      </c>
      <c r="O50" s="40">
        <f>IFERROR(I50/J50,0)</f>
        <v/>
      </c>
      <c r="R50" s="42">
        <f>IF($D50="Actual",SUMIFS(Data_Actuals!$C$2:$C$5000,Data_Actuals!$A$2:$A$5000,$A50,Data_Actuals!$B$2:$B$5000,$B$2),"")</f>
        <v/>
      </c>
      <c r="S50" s="42">
        <f>IF($D50="Actual",SUMIFS(Data_Actuals!$D$2:$D$5000,Data_Actuals!$A$2:$A$5000,$A50,Data_Actuals!$B$2:$B$5000,$B$2),"")</f>
        <v/>
      </c>
      <c r="T50" s="42">
        <f>IF($D50="Actual",SUMIFS(Data_Actuals!$E$2:$E$5000,Data_Actuals!$A$2:$A$5000,$A50,Data_Actuals!$B$2:$B$5000,$B$2),"")</f>
        <v/>
      </c>
      <c r="U50" s="42">
        <f>IF($D50="Actual",SUMIFS(Data_Actuals!$F$2:$F$5000,Data_Actuals!$A$2:$A$5000,$A50,Data_Actuals!$B$2:$B$5000,$B$2),"")</f>
        <v/>
      </c>
      <c r="V50" s="42">
        <f>IF($D50="Actual",SUMIFS(Data_Actuals!$G$2:$G$5000,Data_Actuals!$A$2:$A$5000,$A50,Data_Actuals!$B$2:$B$5000,$B$2),"")</f>
        <v/>
      </c>
      <c r="W50" s="42">
        <f>SUMIFS(Plan_Inputs!$C$2:$C$5000,Plan_Inputs!$A$2:$A$5000,$A50,Plan_Inputs!$B$2:$B$5000,$B$2)</f>
        <v/>
      </c>
      <c r="X50" s="43">
        <f>SUMIFS(Plan_Inputs!$D$2:$D$5000,Plan_Inputs!$A$2:$A$5000,$A50,Plan_Inputs!$B$2:$B$5000,$B$2)</f>
        <v/>
      </c>
      <c r="Y50" s="42">
        <f>E50</f>
        <v/>
      </c>
      <c r="Z50" s="44">
        <f>INDEX(Calendar!$H$5:$L$52,MATCH($A50,Calendar!$A$5:$A$52,0),MATCH($D$2,Calendar!$H$4:$L$4,0))</f>
        <v/>
      </c>
      <c r="AA50" s="44">
        <f>INDEX(Calendar!$M$5:$M$52,MATCH($A50,Calendar!$A$5:$A$52,0))</f>
        <v/>
      </c>
      <c r="AB50" s="45">
        <f>IF($D50="Actual",IFERROR(S50/Y50,""),AB38)</f>
        <v/>
      </c>
      <c r="AC50" s="46">
        <f>IF($D50="Actual",IFERROR(U50/T50/Z50/AA50,""),AC38)</f>
        <v/>
      </c>
      <c r="AD50" s="43">
        <f>IF($D50="Actual",IFERROR(V50/(U50+V50),""),AD38)</f>
        <v/>
      </c>
      <c r="AE50" s="46">
        <f>IFERROR(AC50*Z50*AA50,"")</f>
        <v/>
      </c>
      <c r="AF50" s="47">
        <f>K38</f>
        <v/>
      </c>
      <c r="AG50" s="43">
        <f>IF($D50="Forecast",IFERROR(K50/AF50-1,""),"")</f>
        <v/>
      </c>
    </row>
    <row r="51">
      <c r="A51" s="8" t="n">
        <v>46753</v>
      </c>
      <c r="B51" s="26">
        <f>YEAR(A51)</f>
        <v/>
      </c>
      <c r="C51" s="26">
        <f>MONTH(A51)</f>
        <v/>
      </c>
      <c r="D51">
        <f>IF(A51&lt;=LastActual,"Actual","Forecast")</f>
        <v/>
      </c>
      <c r="E51" s="24">
        <f>IF($D51="Actual",R51,W51)</f>
        <v/>
      </c>
      <c r="F51" s="27">
        <f>IF($D51="Actual",S51,Cases_Forecast!AJ44)</f>
        <v/>
      </c>
      <c r="G51" s="9">
        <f>IF($D51="Actual",T51,IFERROR(H51/AE51,0))</f>
        <v/>
      </c>
      <c r="H51" s="24">
        <f>IF($D51="Actual",U51,J51-I51)</f>
        <v/>
      </c>
      <c r="I51" s="24">
        <f>IF($D51="Actual",V51,IFERROR(J51*AD51,0))</f>
        <v/>
      </c>
      <c r="J51" s="24">
        <f>IF($D51="Actual",U51+V51,E51*X51)</f>
        <v/>
      </c>
      <c r="K51" s="28">
        <f>IFERROR(F51/G51,0)</f>
        <v/>
      </c>
      <c r="L51" s="29">
        <f>IFERROR(H51/G51,0)</f>
        <v/>
      </c>
      <c r="M51" s="30">
        <f>IFERROR(J51/F51,0)</f>
        <v/>
      </c>
      <c r="N51" s="10">
        <f>IFERROR(J51/E51,0)</f>
        <v/>
      </c>
      <c r="O51" s="10">
        <f>IFERROR(I51/J51,0)</f>
        <v/>
      </c>
      <c r="R51" s="42">
        <f>IF($D51="Actual",SUMIFS(Data_Actuals!$C$2:$C$5000,Data_Actuals!$A$2:$A$5000,$A51,Data_Actuals!$B$2:$B$5000,$B$2),"")</f>
        <v/>
      </c>
      <c r="S51" s="42">
        <f>IF($D51="Actual",SUMIFS(Data_Actuals!$D$2:$D$5000,Data_Actuals!$A$2:$A$5000,$A51,Data_Actuals!$B$2:$B$5000,$B$2),"")</f>
        <v/>
      </c>
      <c r="T51" s="42">
        <f>IF($D51="Actual",SUMIFS(Data_Actuals!$E$2:$E$5000,Data_Actuals!$A$2:$A$5000,$A51,Data_Actuals!$B$2:$B$5000,$B$2),"")</f>
        <v/>
      </c>
      <c r="U51" s="42">
        <f>IF($D51="Actual",SUMIFS(Data_Actuals!$F$2:$F$5000,Data_Actuals!$A$2:$A$5000,$A51,Data_Actuals!$B$2:$B$5000,$B$2),"")</f>
        <v/>
      </c>
      <c r="V51" s="42">
        <f>IF($D51="Actual",SUMIFS(Data_Actuals!$G$2:$G$5000,Data_Actuals!$A$2:$A$5000,$A51,Data_Actuals!$B$2:$B$5000,$B$2),"")</f>
        <v/>
      </c>
      <c r="W51" s="42">
        <f>SUMIFS(Plan_Inputs!$C$2:$C$5000,Plan_Inputs!$A$2:$A$5000,$A51,Plan_Inputs!$B$2:$B$5000,$B$2)</f>
        <v/>
      </c>
      <c r="X51" s="43">
        <f>SUMIFS(Plan_Inputs!$D$2:$D$5000,Plan_Inputs!$A$2:$A$5000,$A51,Plan_Inputs!$B$2:$B$5000,$B$2)</f>
        <v/>
      </c>
      <c r="Y51" s="42">
        <f>E51</f>
        <v/>
      </c>
      <c r="Z51" s="44">
        <f>INDEX(Calendar!$H$5:$L$52,MATCH($A51,Calendar!$A$5:$A$52,0),MATCH($D$2,Calendar!$H$4:$L$4,0))</f>
        <v/>
      </c>
      <c r="AA51" s="44">
        <f>INDEX(Calendar!$M$5:$M$52,MATCH($A51,Calendar!$A$5:$A$52,0))</f>
        <v/>
      </c>
      <c r="AB51" s="45">
        <f>IF($D51="Actual",IFERROR(S51/Y51,""),AB39)</f>
        <v/>
      </c>
      <c r="AC51" s="46">
        <f>IF($D51="Actual",IFERROR(U51/T51/Z51/AA51,""),AC39)</f>
        <v/>
      </c>
      <c r="AD51" s="43">
        <f>IF($D51="Actual",IFERROR(V51/(U51+V51),""),AD39)</f>
        <v/>
      </c>
      <c r="AE51" s="46">
        <f>IFERROR(AC51*Z51*AA51,"")</f>
        <v/>
      </c>
      <c r="AF51" s="47">
        <f>K39</f>
        <v/>
      </c>
      <c r="AG51" s="43">
        <f>IF($D51="Forecast",IFERROR(K51/AF51-1,""),"")</f>
        <v/>
      </c>
    </row>
    <row r="52">
      <c r="A52" s="8" t="n">
        <v>46784</v>
      </c>
      <c r="B52" s="26">
        <f>YEAR(A52)</f>
        <v/>
      </c>
      <c r="C52" s="26">
        <f>MONTH(A52)</f>
        <v/>
      </c>
      <c r="D52">
        <f>IF(A52&lt;=LastActual,"Actual","Forecast")</f>
        <v/>
      </c>
      <c r="E52" s="24">
        <f>IF($D52="Actual",R52,W52)</f>
        <v/>
      </c>
      <c r="F52" s="27">
        <f>IF($D52="Actual",S52,Cases_Forecast!AJ45)</f>
        <v/>
      </c>
      <c r="G52" s="9">
        <f>IF($D52="Actual",T52,IFERROR(H52/AE52,0))</f>
        <v/>
      </c>
      <c r="H52" s="24">
        <f>IF($D52="Actual",U52,J52-I52)</f>
        <v/>
      </c>
      <c r="I52" s="24">
        <f>IF($D52="Actual",V52,IFERROR(J52*AD52,0))</f>
        <v/>
      </c>
      <c r="J52" s="24">
        <f>IF($D52="Actual",U52+V52,E52*X52)</f>
        <v/>
      </c>
      <c r="K52" s="28">
        <f>IFERROR(F52/G52,0)</f>
        <v/>
      </c>
      <c r="L52" s="29">
        <f>IFERROR(H52/G52,0)</f>
        <v/>
      </c>
      <c r="M52" s="30">
        <f>IFERROR(J52/F52,0)</f>
        <v/>
      </c>
      <c r="N52" s="10">
        <f>IFERROR(J52/E52,0)</f>
        <v/>
      </c>
      <c r="O52" s="10">
        <f>IFERROR(I52/J52,0)</f>
        <v/>
      </c>
      <c r="R52" s="42">
        <f>IF($D52="Actual",SUMIFS(Data_Actuals!$C$2:$C$5000,Data_Actuals!$A$2:$A$5000,$A52,Data_Actuals!$B$2:$B$5000,$B$2),"")</f>
        <v/>
      </c>
      <c r="S52" s="42">
        <f>IF($D52="Actual",SUMIFS(Data_Actuals!$D$2:$D$5000,Data_Actuals!$A$2:$A$5000,$A52,Data_Actuals!$B$2:$B$5000,$B$2),"")</f>
        <v/>
      </c>
      <c r="T52" s="42">
        <f>IF($D52="Actual",SUMIFS(Data_Actuals!$E$2:$E$5000,Data_Actuals!$A$2:$A$5000,$A52,Data_Actuals!$B$2:$B$5000,$B$2),"")</f>
        <v/>
      </c>
      <c r="U52" s="42">
        <f>IF($D52="Actual",SUMIFS(Data_Actuals!$F$2:$F$5000,Data_Actuals!$A$2:$A$5000,$A52,Data_Actuals!$B$2:$B$5000,$B$2),"")</f>
        <v/>
      </c>
      <c r="V52" s="42">
        <f>IF($D52="Actual",SUMIFS(Data_Actuals!$G$2:$G$5000,Data_Actuals!$A$2:$A$5000,$A52,Data_Actuals!$B$2:$B$5000,$B$2),"")</f>
        <v/>
      </c>
      <c r="W52" s="42">
        <f>SUMIFS(Plan_Inputs!$C$2:$C$5000,Plan_Inputs!$A$2:$A$5000,$A52,Plan_Inputs!$B$2:$B$5000,$B$2)</f>
        <v/>
      </c>
      <c r="X52" s="43">
        <f>SUMIFS(Plan_Inputs!$D$2:$D$5000,Plan_Inputs!$A$2:$A$5000,$A52,Plan_Inputs!$B$2:$B$5000,$B$2)</f>
        <v/>
      </c>
      <c r="Y52" s="42">
        <f>E52</f>
        <v/>
      </c>
      <c r="Z52" s="44">
        <f>INDEX(Calendar!$H$5:$L$52,MATCH($A52,Calendar!$A$5:$A$52,0),MATCH($D$2,Calendar!$H$4:$L$4,0))</f>
        <v/>
      </c>
      <c r="AA52" s="44">
        <f>INDEX(Calendar!$M$5:$M$52,MATCH($A52,Calendar!$A$5:$A$52,0))</f>
        <v/>
      </c>
      <c r="AB52" s="45">
        <f>IF($D52="Actual",IFERROR(S52/Y52,""),AB40)</f>
        <v/>
      </c>
      <c r="AC52" s="46">
        <f>IF($D52="Actual",IFERROR(U52/T52/Z52/AA52,""),AC40)</f>
        <v/>
      </c>
      <c r="AD52" s="43">
        <f>IF($D52="Actual",IFERROR(V52/(U52+V52),""),AD40)</f>
        <v/>
      </c>
      <c r="AE52" s="46">
        <f>IFERROR(AC52*Z52*AA52,"")</f>
        <v/>
      </c>
      <c r="AF52" s="47">
        <f>K40</f>
        <v/>
      </c>
      <c r="AG52" s="43">
        <f>IF($D52="Forecast",IFERROR(K52/AF52-1,""),"")</f>
        <v/>
      </c>
    </row>
    <row r="53">
      <c r="A53" s="8" t="n">
        <v>46813</v>
      </c>
      <c r="B53" s="26">
        <f>YEAR(A53)</f>
        <v/>
      </c>
      <c r="C53" s="26">
        <f>MONTH(A53)</f>
        <v/>
      </c>
      <c r="D53">
        <f>IF(A53&lt;=LastActual,"Actual","Forecast")</f>
        <v/>
      </c>
      <c r="E53" s="24">
        <f>IF($D53="Actual",R53,W53)</f>
        <v/>
      </c>
      <c r="F53" s="27">
        <f>IF($D53="Actual",S53,Cases_Forecast!AJ46)</f>
        <v/>
      </c>
      <c r="G53" s="9">
        <f>IF($D53="Actual",T53,IFERROR(H53/AE53,0))</f>
        <v/>
      </c>
      <c r="H53" s="24">
        <f>IF($D53="Actual",U53,J53-I53)</f>
        <v/>
      </c>
      <c r="I53" s="24">
        <f>IF($D53="Actual",V53,IFERROR(J53*AD53,0))</f>
        <v/>
      </c>
      <c r="J53" s="24">
        <f>IF($D53="Actual",U53+V53,E53*X53)</f>
        <v/>
      </c>
      <c r="K53" s="28">
        <f>IFERROR(F53/G53,0)</f>
        <v/>
      </c>
      <c r="L53" s="29">
        <f>IFERROR(H53/G53,0)</f>
        <v/>
      </c>
      <c r="M53" s="30">
        <f>IFERROR(J53/F53,0)</f>
        <v/>
      </c>
      <c r="N53" s="10">
        <f>IFERROR(J53/E53,0)</f>
        <v/>
      </c>
      <c r="O53" s="10">
        <f>IFERROR(I53/J53,0)</f>
        <v/>
      </c>
      <c r="R53" s="42">
        <f>IF($D53="Actual",SUMIFS(Data_Actuals!$C$2:$C$5000,Data_Actuals!$A$2:$A$5000,$A53,Data_Actuals!$B$2:$B$5000,$B$2),"")</f>
        <v/>
      </c>
      <c r="S53" s="42">
        <f>IF($D53="Actual",SUMIFS(Data_Actuals!$D$2:$D$5000,Data_Actuals!$A$2:$A$5000,$A53,Data_Actuals!$B$2:$B$5000,$B$2),"")</f>
        <v/>
      </c>
      <c r="T53" s="42">
        <f>IF($D53="Actual",SUMIFS(Data_Actuals!$E$2:$E$5000,Data_Actuals!$A$2:$A$5000,$A53,Data_Actuals!$B$2:$B$5000,$B$2),"")</f>
        <v/>
      </c>
      <c r="U53" s="42">
        <f>IF($D53="Actual",SUMIFS(Data_Actuals!$F$2:$F$5000,Data_Actuals!$A$2:$A$5000,$A53,Data_Actuals!$B$2:$B$5000,$B$2),"")</f>
        <v/>
      </c>
      <c r="V53" s="42">
        <f>IF($D53="Actual",SUMIFS(Data_Actuals!$G$2:$G$5000,Data_Actuals!$A$2:$A$5000,$A53,Data_Actuals!$B$2:$B$5000,$B$2),"")</f>
        <v/>
      </c>
      <c r="W53" s="42">
        <f>SUMIFS(Plan_Inputs!$C$2:$C$5000,Plan_Inputs!$A$2:$A$5000,$A53,Plan_Inputs!$B$2:$B$5000,$B$2)</f>
        <v/>
      </c>
      <c r="X53" s="43">
        <f>SUMIFS(Plan_Inputs!$D$2:$D$5000,Plan_Inputs!$A$2:$A$5000,$A53,Plan_Inputs!$B$2:$B$5000,$B$2)</f>
        <v/>
      </c>
      <c r="Y53" s="42">
        <f>E53</f>
        <v/>
      </c>
      <c r="Z53" s="44">
        <f>INDEX(Calendar!$H$5:$L$52,MATCH($A53,Calendar!$A$5:$A$52,0),MATCH($D$2,Calendar!$H$4:$L$4,0))</f>
        <v/>
      </c>
      <c r="AA53" s="44">
        <f>INDEX(Calendar!$M$5:$M$52,MATCH($A53,Calendar!$A$5:$A$52,0))</f>
        <v/>
      </c>
      <c r="AB53" s="45">
        <f>IF($D53="Actual",IFERROR(S53/Y53,""),AB41)</f>
        <v/>
      </c>
      <c r="AC53" s="46">
        <f>IF($D53="Actual",IFERROR(U53/T53/Z53/AA53,""),AC41)</f>
        <v/>
      </c>
      <c r="AD53" s="43">
        <f>IF($D53="Actual",IFERROR(V53/(U53+V53),""),AD41)</f>
        <v/>
      </c>
      <c r="AE53" s="46">
        <f>IFERROR(AC53*Z53*AA53,"")</f>
        <v/>
      </c>
      <c r="AF53" s="47">
        <f>K41</f>
        <v/>
      </c>
      <c r="AG53" s="43">
        <f>IF($D53="Forecast",IFERROR(K53/AF53-1,""),"")</f>
        <v/>
      </c>
    </row>
    <row r="54">
      <c r="A54" s="8" t="n">
        <v>46844</v>
      </c>
      <c r="B54" s="26">
        <f>YEAR(A54)</f>
        <v/>
      </c>
      <c r="C54" s="26">
        <f>MONTH(A54)</f>
        <v/>
      </c>
      <c r="D54">
        <f>IF(A54&lt;=LastActual,"Actual","Forecast")</f>
        <v/>
      </c>
      <c r="E54" s="24">
        <f>IF($D54="Actual",R54,W54)</f>
        <v/>
      </c>
      <c r="F54" s="27">
        <f>IF($D54="Actual",S54,Cases_Forecast!AJ47)</f>
        <v/>
      </c>
      <c r="G54" s="9">
        <f>IF($D54="Actual",T54,IFERROR(H54/AE54,0))</f>
        <v/>
      </c>
      <c r="H54" s="24">
        <f>IF($D54="Actual",U54,J54-I54)</f>
        <v/>
      </c>
      <c r="I54" s="24">
        <f>IF($D54="Actual",V54,IFERROR(J54*AD54,0))</f>
        <v/>
      </c>
      <c r="J54" s="24">
        <f>IF($D54="Actual",U54+V54,E54*X54)</f>
        <v/>
      </c>
      <c r="K54" s="28">
        <f>IFERROR(F54/G54,0)</f>
        <v/>
      </c>
      <c r="L54" s="29">
        <f>IFERROR(H54/G54,0)</f>
        <v/>
      </c>
      <c r="M54" s="30">
        <f>IFERROR(J54/F54,0)</f>
        <v/>
      </c>
      <c r="N54" s="10">
        <f>IFERROR(J54/E54,0)</f>
        <v/>
      </c>
      <c r="O54" s="10">
        <f>IFERROR(I54/J54,0)</f>
        <v/>
      </c>
      <c r="R54" s="42">
        <f>IF($D54="Actual",SUMIFS(Data_Actuals!$C$2:$C$5000,Data_Actuals!$A$2:$A$5000,$A54,Data_Actuals!$B$2:$B$5000,$B$2),"")</f>
        <v/>
      </c>
      <c r="S54" s="42">
        <f>IF($D54="Actual",SUMIFS(Data_Actuals!$D$2:$D$5000,Data_Actuals!$A$2:$A$5000,$A54,Data_Actuals!$B$2:$B$5000,$B$2),"")</f>
        <v/>
      </c>
      <c r="T54" s="42">
        <f>IF($D54="Actual",SUMIFS(Data_Actuals!$E$2:$E$5000,Data_Actuals!$A$2:$A$5000,$A54,Data_Actuals!$B$2:$B$5000,$B$2),"")</f>
        <v/>
      </c>
      <c r="U54" s="42">
        <f>IF($D54="Actual",SUMIFS(Data_Actuals!$F$2:$F$5000,Data_Actuals!$A$2:$A$5000,$A54,Data_Actuals!$B$2:$B$5000,$B$2),"")</f>
        <v/>
      </c>
      <c r="V54" s="42">
        <f>IF($D54="Actual",SUMIFS(Data_Actuals!$G$2:$G$5000,Data_Actuals!$A$2:$A$5000,$A54,Data_Actuals!$B$2:$B$5000,$B$2),"")</f>
        <v/>
      </c>
      <c r="W54" s="42">
        <f>SUMIFS(Plan_Inputs!$C$2:$C$5000,Plan_Inputs!$A$2:$A$5000,$A54,Plan_Inputs!$B$2:$B$5000,$B$2)</f>
        <v/>
      </c>
      <c r="X54" s="43">
        <f>SUMIFS(Plan_Inputs!$D$2:$D$5000,Plan_Inputs!$A$2:$A$5000,$A54,Plan_Inputs!$B$2:$B$5000,$B$2)</f>
        <v/>
      </c>
      <c r="Y54" s="42">
        <f>E54</f>
        <v/>
      </c>
      <c r="Z54" s="44">
        <f>INDEX(Calendar!$H$5:$L$52,MATCH($A54,Calendar!$A$5:$A$52,0),MATCH($D$2,Calendar!$H$4:$L$4,0))</f>
        <v/>
      </c>
      <c r="AA54" s="44">
        <f>INDEX(Calendar!$M$5:$M$52,MATCH($A54,Calendar!$A$5:$A$52,0))</f>
        <v/>
      </c>
      <c r="AB54" s="45">
        <f>IF($D54="Actual",IFERROR(S54/Y54,""),AB42)</f>
        <v/>
      </c>
      <c r="AC54" s="46">
        <f>IF($D54="Actual",IFERROR(U54/T54/Z54/AA54,""),AC42)</f>
        <v/>
      </c>
      <c r="AD54" s="43">
        <f>IF($D54="Actual",IFERROR(V54/(U54+V54),""),AD42)</f>
        <v/>
      </c>
      <c r="AE54" s="46">
        <f>IFERROR(AC54*Z54*AA54,"")</f>
        <v/>
      </c>
      <c r="AF54" s="47">
        <f>K42</f>
        <v/>
      </c>
      <c r="AG54" s="43">
        <f>IF($D54="Forecast",IFERROR(K54/AF54-1,""),"")</f>
        <v/>
      </c>
    </row>
    <row r="55">
      <c r="A55" s="8" t="n">
        <v>46874</v>
      </c>
      <c r="B55" s="26">
        <f>YEAR(A55)</f>
        <v/>
      </c>
      <c r="C55" s="26">
        <f>MONTH(A55)</f>
        <v/>
      </c>
      <c r="D55">
        <f>IF(A55&lt;=LastActual,"Actual","Forecast")</f>
        <v/>
      </c>
      <c r="E55" s="24">
        <f>IF($D55="Actual",R55,W55)</f>
        <v/>
      </c>
      <c r="F55" s="27">
        <f>IF($D55="Actual",S55,Cases_Forecast!AJ48)</f>
        <v/>
      </c>
      <c r="G55" s="9">
        <f>IF($D55="Actual",T55,IFERROR(H55/AE55,0))</f>
        <v/>
      </c>
      <c r="H55" s="24">
        <f>IF($D55="Actual",U55,J55-I55)</f>
        <v/>
      </c>
      <c r="I55" s="24">
        <f>IF($D55="Actual",V55,IFERROR(J55*AD55,0))</f>
        <v/>
      </c>
      <c r="J55" s="24">
        <f>IF($D55="Actual",U55+V55,E55*X55)</f>
        <v/>
      </c>
      <c r="K55" s="28">
        <f>IFERROR(F55/G55,0)</f>
        <v/>
      </c>
      <c r="L55" s="29">
        <f>IFERROR(H55/G55,0)</f>
        <v/>
      </c>
      <c r="M55" s="30">
        <f>IFERROR(J55/F55,0)</f>
        <v/>
      </c>
      <c r="N55" s="10">
        <f>IFERROR(J55/E55,0)</f>
        <v/>
      </c>
      <c r="O55" s="10">
        <f>IFERROR(I55/J55,0)</f>
        <v/>
      </c>
      <c r="R55" s="42">
        <f>IF($D55="Actual",SUMIFS(Data_Actuals!$C$2:$C$5000,Data_Actuals!$A$2:$A$5000,$A55,Data_Actuals!$B$2:$B$5000,$B$2),"")</f>
        <v/>
      </c>
      <c r="S55" s="42">
        <f>IF($D55="Actual",SUMIFS(Data_Actuals!$D$2:$D$5000,Data_Actuals!$A$2:$A$5000,$A55,Data_Actuals!$B$2:$B$5000,$B$2),"")</f>
        <v/>
      </c>
      <c r="T55" s="42">
        <f>IF($D55="Actual",SUMIFS(Data_Actuals!$E$2:$E$5000,Data_Actuals!$A$2:$A$5000,$A55,Data_Actuals!$B$2:$B$5000,$B$2),"")</f>
        <v/>
      </c>
      <c r="U55" s="42">
        <f>IF($D55="Actual",SUMIFS(Data_Actuals!$F$2:$F$5000,Data_Actuals!$A$2:$A$5000,$A55,Data_Actuals!$B$2:$B$5000,$B$2),"")</f>
        <v/>
      </c>
      <c r="V55" s="42">
        <f>IF($D55="Actual",SUMIFS(Data_Actuals!$G$2:$G$5000,Data_Actuals!$A$2:$A$5000,$A55,Data_Actuals!$B$2:$B$5000,$B$2),"")</f>
        <v/>
      </c>
      <c r="W55" s="42">
        <f>SUMIFS(Plan_Inputs!$C$2:$C$5000,Plan_Inputs!$A$2:$A$5000,$A55,Plan_Inputs!$B$2:$B$5000,$B$2)</f>
        <v/>
      </c>
      <c r="X55" s="43">
        <f>SUMIFS(Plan_Inputs!$D$2:$D$5000,Plan_Inputs!$A$2:$A$5000,$A55,Plan_Inputs!$B$2:$B$5000,$B$2)</f>
        <v/>
      </c>
      <c r="Y55" s="42">
        <f>E55</f>
        <v/>
      </c>
      <c r="Z55" s="44">
        <f>INDEX(Calendar!$H$5:$L$52,MATCH($A55,Calendar!$A$5:$A$52,0),MATCH($D$2,Calendar!$H$4:$L$4,0))</f>
        <v/>
      </c>
      <c r="AA55" s="44">
        <f>INDEX(Calendar!$M$5:$M$52,MATCH($A55,Calendar!$A$5:$A$52,0))</f>
        <v/>
      </c>
      <c r="AB55" s="45">
        <f>IF($D55="Actual",IFERROR(S55/Y55,""),AB43)</f>
        <v/>
      </c>
      <c r="AC55" s="46">
        <f>IF($D55="Actual",IFERROR(U55/T55/Z55/AA55,""),AC43)</f>
        <v/>
      </c>
      <c r="AD55" s="43">
        <f>IF($D55="Actual",IFERROR(V55/(U55+V55),""),AD43)</f>
        <v/>
      </c>
      <c r="AE55" s="46">
        <f>IFERROR(AC55*Z55*AA55,"")</f>
        <v/>
      </c>
      <c r="AF55" s="47">
        <f>K43</f>
        <v/>
      </c>
      <c r="AG55" s="43">
        <f>IF($D55="Forecast",IFERROR(K55/AF55-1,""),"")</f>
        <v/>
      </c>
    </row>
    <row r="56">
      <c r="A56" s="8" t="n">
        <v>46905</v>
      </c>
      <c r="B56" s="26">
        <f>YEAR(A56)</f>
        <v/>
      </c>
      <c r="C56" s="26">
        <f>MONTH(A56)</f>
        <v/>
      </c>
      <c r="D56">
        <f>IF(A56&lt;=LastActual,"Actual","Forecast")</f>
        <v/>
      </c>
      <c r="E56" s="24">
        <f>IF($D56="Actual",R56,W56)</f>
        <v/>
      </c>
      <c r="F56" s="27">
        <f>IF($D56="Actual",S56,Cases_Forecast!AJ49)</f>
        <v/>
      </c>
      <c r="G56" s="9">
        <f>IF($D56="Actual",T56,IFERROR(H56/AE56,0))</f>
        <v/>
      </c>
      <c r="H56" s="24">
        <f>IF($D56="Actual",U56,J56-I56)</f>
        <v/>
      </c>
      <c r="I56" s="24">
        <f>IF($D56="Actual",V56,IFERROR(J56*AD56,0))</f>
        <v/>
      </c>
      <c r="J56" s="24">
        <f>IF($D56="Actual",U56+V56,E56*X56)</f>
        <v/>
      </c>
      <c r="K56" s="28">
        <f>IFERROR(F56/G56,0)</f>
        <v/>
      </c>
      <c r="L56" s="29">
        <f>IFERROR(H56/G56,0)</f>
        <v/>
      </c>
      <c r="M56" s="30">
        <f>IFERROR(J56/F56,0)</f>
        <v/>
      </c>
      <c r="N56" s="10">
        <f>IFERROR(J56/E56,0)</f>
        <v/>
      </c>
      <c r="O56" s="10">
        <f>IFERROR(I56/J56,0)</f>
        <v/>
      </c>
      <c r="R56" s="42">
        <f>IF($D56="Actual",SUMIFS(Data_Actuals!$C$2:$C$5000,Data_Actuals!$A$2:$A$5000,$A56,Data_Actuals!$B$2:$B$5000,$B$2),"")</f>
        <v/>
      </c>
      <c r="S56" s="42">
        <f>IF($D56="Actual",SUMIFS(Data_Actuals!$D$2:$D$5000,Data_Actuals!$A$2:$A$5000,$A56,Data_Actuals!$B$2:$B$5000,$B$2),"")</f>
        <v/>
      </c>
      <c r="T56" s="42">
        <f>IF($D56="Actual",SUMIFS(Data_Actuals!$E$2:$E$5000,Data_Actuals!$A$2:$A$5000,$A56,Data_Actuals!$B$2:$B$5000,$B$2),"")</f>
        <v/>
      </c>
      <c r="U56" s="42">
        <f>IF($D56="Actual",SUMIFS(Data_Actuals!$F$2:$F$5000,Data_Actuals!$A$2:$A$5000,$A56,Data_Actuals!$B$2:$B$5000,$B$2),"")</f>
        <v/>
      </c>
      <c r="V56" s="42">
        <f>IF($D56="Actual",SUMIFS(Data_Actuals!$G$2:$G$5000,Data_Actuals!$A$2:$A$5000,$A56,Data_Actuals!$B$2:$B$5000,$B$2),"")</f>
        <v/>
      </c>
      <c r="W56" s="42">
        <f>SUMIFS(Plan_Inputs!$C$2:$C$5000,Plan_Inputs!$A$2:$A$5000,$A56,Plan_Inputs!$B$2:$B$5000,$B$2)</f>
        <v/>
      </c>
      <c r="X56" s="43">
        <f>SUMIFS(Plan_Inputs!$D$2:$D$5000,Plan_Inputs!$A$2:$A$5000,$A56,Plan_Inputs!$B$2:$B$5000,$B$2)</f>
        <v/>
      </c>
      <c r="Y56" s="42">
        <f>E56</f>
        <v/>
      </c>
      <c r="Z56" s="44">
        <f>INDEX(Calendar!$H$5:$L$52,MATCH($A56,Calendar!$A$5:$A$52,0),MATCH($D$2,Calendar!$H$4:$L$4,0))</f>
        <v/>
      </c>
      <c r="AA56" s="44">
        <f>INDEX(Calendar!$M$5:$M$52,MATCH($A56,Calendar!$A$5:$A$52,0))</f>
        <v/>
      </c>
      <c r="AB56" s="45">
        <f>IF($D56="Actual",IFERROR(S56/Y56,""),AB44)</f>
        <v/>
      </c>
      <c r="AC56" s="46">
        <f>IF($D56="Actual",IFERROR(U56/T56/Z56/AA56,""),AC44)</f>
        <v/>
      </c>
      <c r="AD56" s="43">
        <f>IF($D56="Actual",IFERROR(V56/(U56+V56),""),AD44)</f>
        <v/>
      </c>
      <c r="AE56" s="46">
        <f>IFERROR(AC56*Z56*AA56,"")</f>
        <v/>
      </c>
      <c r="AF56" s="47">
        <f>K44</f>
        <v/>
      </c>
      <c r="AG56" s="43">
        <f>IF($D56="Forecast",IFERROR(K56/AF56-1,""),"")</f>
        <v/>
      </c>
    </row>
    <row r="57">
      <c r="A57" s="8" t="n">
        <v>46935</v>
      </c>
      <c r="B57" s="26">
        <f>YEAR(A57)</f>
        <v/>
      </c>
      <c r="C57" s="26">
        <f>MONTH(A57)</f>
        <v/>
      </c>
      <c r="D57">
        <f>IF(A57&lt;=LastActual,"Actual","Forecast")</f>
        <v/>
      </c>
      <c r="E57" s="24">
        <f>IF($D57="Actual",R57,W57)</f>
        <v/>
      </c>
      <c r="F57" s="27">
        <f>IF($D57="Actual",S57,Cases_Forecast!AJ50)</f>
        <v/>
      </c>
      <c r="G57" s="9">
        <f>IF($D57="Actual",T57,IFERROR(H57/AE57,0))</f>
        <v/>
      </c>
      <c r="H57" s="24">
        <f>IF($D57="Actual",U57,J57-I57)</f>
        <v/>
      </c>
      <c r="I57" s="24">
        <f>IF($D57="Actual",V57,IFERROR(J57*AD57,0))</f>
        <v/>
      </c>
      <c r="J57" s="24">
        <f>IF($D57="Actual",U57+V57,E57*X57)</f>
        <v/>
      </c>
      <c r="K57" s="28">
        <f>IFERROR(F57/G57,0)</f>
        <v/>
      </c>
      <c r="L57" s="29">
        <f>IFERROR(H57/G57,0)</f>
        <v/>
      </c>
      <c r="M57" s="30">
        <f>IFERROR(J57/F57,0)</f>
        <v/>
      </c>
      <c r="N57" s="10">
        <f>IFERROR(J57/E57,0)</f>
        <v/>
      </c>
      <c r="O57" s="10">
        <f>IFERROR(I57/J57,0)</f>
        <v/>
      </c>
      <c r="R57" s="42">
        <f>IF($D57="Actual",SUMIFS(Data_Actuals!$C$2:$C$5000,Data_Actuals!$A$2:$A$5000,$A57,Data_Actuals!$B$2:$B$5000,$B$2),"")</f>
        <v/>
      </c>
      <c r="S57" s="42">
        <f>IF($D57="Actual",SUMIFS(Data_Actuals!$D$2:$D$5000,Data_Actuals!$A$2:$A$5000,$A57,Data_Actuals!$B$2:$B$5000,$B$2),"")</f>
        <v/>
      </c>
      <c r="T57" s="42">
        <f>IF($D57="Actual",SUMIFS(Data_Actuals!$E$2:$E$5000,Data_Actuals!$A$2:$A$5000,$A57,Data_Actuals!$B$2:$B$5000,$B$2),"")</f>
        <v/>
      </c>
      <c r="U57" s="42">
        <f>IF($D57="Actual",SUMIFS(Data_Actuals!$F$2:$F$5000,Data_Actuals!$A$2:$A$5000,$A57,Data_Actuals!$B$2:$B$5000,$B$2),"")</f>
        <v/>
      </c>
      <c r="V57" s="42">
        <f>IF($D57="Actual",SUMIFS(Data_Actuals!$G$2:$G$5000,Data_Actuals!$A$2:$A$5000,$A57,Data_Actuals!$B$2:$B$5000,$B$2),"")</f>
        <v/>
      </c>
      <c r="W57" s="42">
        <f>SUMIFS(Plan_Inputs!$C$2:$C$5000,Plan_Inputs!$A$2:$A$5000,$A57,Plan_Inputs!$B$2:$B$5000,$B$2)</f>
        <v/>
      </c>
      <c r="X57" s="43">
        <f>SUMIFS(Plan_Inputs!$D$2:$D$5000,Plan_Inputs!$A$2:$A$5000,$A57,Plan_Inputs!$B$2:$B$5000,$B$2)</f>
        <v/>
      </c>
      <c r="Y57" s="42">
        <f>E57</f>
        <v/>
      </c>
      <c r="Z57" s="44">
        <f>INDEX(Calendar!$H$5:$L$52,MATCH($A57,Calendar!$A$5:$A$52,0),MATCH($D$2,Calendar!$H$4:$L$4,0))</f>
        <v/>
      </c>
      <c r="AA57" s="44">
        <f>INDEX(Calendar!$M$5:$M$52,MATCH($A57,Calendar!$A$5:$A$52,0))</f>
        <v/>
      </c>
      <c r="AB57" s="45">
        <f>IF($D57="Actual",IFERROR(S57/Y57,""),AB45)</f>
        <v/>
      </c>
      <c r="AC57" s="46">
        <f>IF($D57="Actual",IFERROR(U57/T57/Z57/AA57,""),AC45)</f>
        <v/>
      </c>
      <c r="AD57" s="43">
        <f>IF($D57="Actual",IFERROR(V57/(U57+V57),""),AD45)</f>
        <v/>
      </c>
      <c r="AE57" s="46">
        <f>IFERROR(AC57*Z57*AA57,"")</f>
        <v/>
      </c>
      <c r="AF57" s="47">
        <f>K45</f>
        <v/>
      </c>
      <c r="AG57" s="43">
        <f>IF($D57="Forecast",IFERROR(K57/AF57-1,""),"")</f>
        <v/>
      </c>
    </row>
    <row r="58">
      <c r="A58" s="8" t="n">
        <v>46966</v>
      </c>
      <c r="B58" s="26">
        <f>YEAR(A58)</f>
        <v/>
      </c>
      <c r="C58" s="26">
        <f>MONTH(A58)</f>
        <v/>
      </c>
      <c r="D58">
        <f>IF(A58&lt;=LastActual,"Actual","Forecast")</f>
        <v/>
      </c>
      <c r="E58" s="24">
        <f>IF($D58="Actual",R58,W58)</f>
        <v/>
      </c>
      <c r="F58" s="27">
        <f>IF($D58="Actual",S58,Cases_Forecast!AJ51)</f>
        <v/>
      </c>
      <c r="G58" s="9">
        <f>IF($D58="Actual",T58,IFERROR(H58/AE58,0))</f>
        <v/>
      </c>
      <c r="H58" s="24">
        <f>IF($D58="Actual",U58,J58-I58)</f>
        <v/>
      </c>
      <c r="I58" s="24">
        <f>IF($D58="Actual",V58,IFERROR(J58*AD58,0))</f>
        <v/>
      </c>
      <c r="J58" s="24">
        <f>IF($D58="Actual",U58+V58,E58*X58)</f>
        <v/>
      </c>
      <c r="K58" s="28">
        <f>IFERROR(F58/G58,0)</f>
        <v/>
      </c>
      <c r="L58" s="29">
        <f>IFERROR(H58/G58,0)</f>
        <v/>
      </c>
      <c r="M58" s="30">
        <f>IFERROR(J58/F58,0)</f>
        <v/>
      </c>
      <c r="N58" s="10">
        <f>IFERROR(J58/E58,0)</f>
        <v/>
      </c>
      <c r="O58" s="10">
        <f>IFERROR(I58/J58,0)</f>
        <v/>
      </c>
      <c r="R58" s="42">
        <f>IF($D58="Actual",SUMIFS(Data_Actuals!$C$2:$C$5000,Data_Actuals!$A$2:$A$5000,$A58,Data_Actuals!$B$2:$B$5000,$B$2),"")</f>
        <v/>
      </c>
      <c r="S58" s="42">
        <f>IF($D58="Actual",SUMIFS(Data_Actuals!$D$2:$D$5000,Data_Actuals!$A$2:$A$5000,$A58,Data_Actuals!$B$2:$B$5000,$B$2),"")</f>
        <v/>
      </c>
      <c r="T58" s="42">
        <f>IF($D58="Actual",SUMIFS(Data_Actuals!$E$2:$E$5000,Data_Actuals!$A$2:$A$5000,$A58,Data_Actuals!$B$2:$B$5000,$B$2),"")</f>
        <v/>
      </c>
      <c r="U58" s="42">
        <f>IF($D58="Actual",SUMIFS(Data_Actuals!$F$2:$F$5000,Data_Actuals!$A$2:$A$5000,$A58,Data_Actuals!$B$2:$B$5000,$B$2),"")</f>
        <v/>
      </c>
      <c r="V58" s="42">
        <f>IF($D58="Actual",SUMIFS(Data_Actuals!$G$2:$G$5000,Data_Actuals!$A$2:$A$5000,$A58,Data_Actuals!$B$2:$B$5000,$B$2),"")</f>
        <v/>
      </c>
      <c r="W58" s="42">
        <f>SUMIFS(Plan_Inputs!$C$2:$C$5000,Plan_Inputs!$A$2:$A$5000,$A58,Plan_Inputs!$B$2:$B$5000,$B$2)</f>
        <v/>
      </c>
      <c r="X58" s="43">
        <f>SUMIFS(Plan_Inputs!$D$2:$D$5000,Plan_Inputs!$A$2:$A$5000,$A58,Plan_Inputs!$B$2:$B$5000,$B$2)</f>
        <v/>
      </c>
      <c r="Y58" s="42">
        <f>E58</f>
        <v/>
      </c>
      <c r="Z58" s="44">
        <f>INDEX(Calendar!$H$5:$L$52,MATCH($A58,Calendar!$A$5:$A$52,0),MATCH($D$2,Calendar!$H$4:$L$4,0))</f>
        <v/>
      </c>
      <c r="AA58" s="44">
        <f>INDEX(Calendar!$M$5:$M$52,MATCH($A58,Calendar!$A$5:$A$52,0))</f>
        <v/>
      </c>
      <c r="AB58" s="45">
        <f>IF($D58="Actual",IFERROR(S58/Y58,""),AB46)</f>
        <v/>
      </c>
      <c r="AC58" s="46">
        <f>IF($D58="Actual",IFERROR(U58/T58/Z58/AA58,""),AC46)</f>
        <v/>
      </c>
      <c r="AD58" s="43">
        <f>IF($D58="Actual",IFERROR(V58/(U58+V58),""),AD46)</f>
        <v/>
      </c>
      <c r="AE58" s="46">
        <f>IFERROR(AC58*Z58*AA58,"")</f>
        <v/>
      </c>
      <c r="AF58" s="47">
        <f>K46</f>
        <v/>
      </c>
      <c r="AG58" s="43">
        <f>IF($D58="Forecast",IFERROR(K58/AF58-1,""),"")</f>
        <v/>
      </c>
    </row>
    <row r="59">
      <c r="A59" s="8" t="n">
        <v>46997</v>
      </c>
      <c r="B59" s="26">
        <f>YEAR(A59)</f>
        <v/>
      </c>
      <c r="C59" s="26">
        <f>MONTH(A59)</f>
        <v/>
      </c>
      <c r="D59">
        <f>IF(A59&lt;=LastActual,"Actual","Forecast")</f>
        <v/>
      </c>
      <c r="E59" s="24">
        <f>IF($D59="Actual",R59,W59)</f>
        <v/>
      </c>
      <c r="F59" s="27">
        <f>IF($D59="Actual",S59,Cases_Forecast!AJ52)</f>
        <v/>
      </c>
      <c r="G59" s="9">
        <f>IF($D59="Actual",T59,IFERROR(H59/AE59,0))</f>
        <v/>
      </c>
      <c r="H59" s="24">
        <f>IF($D59="Actual",U59,J59-I59)</f>
        <v/>
      </c>
      <c r="I59" s="24">
        <f>IF($D59="Actual",V59,IFERROR(J59*AD59,0))</f>
        <v/>
      </c>
      <c r="J59" s="24">
        <f>IF($D59="Actual",U59+V59,E59*X59)</f>
        <v/>
      </c>
      <c r="K59" s="28">
        <f>IFERROR(F59/G59,0)</f>
        <v/>
      </c>
      <c r="L59" s="29">
        <f>IFERROR(H59/G59,0)</f>
        <v/>
      </c>
      <c r="M59" s="30">
        <f>IFERROR(J59/F59,0)</f>
        <v/>
      </c>
      <c r="N59" s="10">
        <f>IFERROR(J59/E59,0)</f>
        <v/>
      </c>
      <c r="O59" s="10">
        <f>IFERROR(I59/J59,0)</f>
        <v/>
      </c>
      <c r="R59" s="42">
        <f>IF($D59="Actual",SUMIFS(Data_Actuals!$C$2:$C$5000,Data_Actuals!$A$2:$A$5000,$A59,Data_Actuals!$B$2:$B$5000,$B$2),"")</f>
        <v/>
      </c>
      <c r="S59" s="42">
        <f>IF($D59="Actual",SUMIFS(Data_Actuals!$D$2:$D$5000,Data_Actuals!$A$2:$A$5000,$A59,Data_Actuals!$B$2:$B$5000,$B$2),"")</f>
        <v/>
      </c>
      <c r="T59" s="42">
        <f>IF($D59="Actual",SUMIFS(Data_Actuals!$E$2:$E$5000,Data_Actuals!$A$2:$A$5000,$A59,Data_Actuals!$B$2:$B$5000,$B$2),"")</f>
        <v/>
      </c>
      <c r="U59" s="42">
        <f>IF($D59="Actual",SUMIFS(Data_Actuals!$F$2:$F$5000,Data_Actuals!$A$2:$A$5000,$A59,Data_Actuals!$B$2:$B$5000,$B$2),"")</f>
        <v/>
      </c>
      <c r="V59" s="42">
        <f>IF($D59="Actual",SUMIFS(Data_Actuals!$G$2:$G$5000,Data_Actuals!$A$2:$A$5000,$A59,Data_Actuals!$B$2:$B$5000,$B$2),"")</f>
        <v/>
      </c>
      <c r="W59" s="42">
        <f>SUMIFS(Plan_Inputs!$C$2:$C$5000,Plan_Inputs!$A$2:$A$5000,$A59,Plan_Inputs!$B$2:$B$5000,$B$2)</f>
        <v/>
      </c>
      <c r="X59" s="43">
        <f>SUMIFS(Plan_Inputs!$D$2:$D$5000,Plan_Inputs!$A$2:$A$5000,$A59,Plan_Inputs!$B$2:$B$5000,$B$2)</f>
        <v/>
      </c>
      <c r="Y59" s="42">
        <f>E59</f>
        <v/>
      </c>
      <c r="Z59" s="44">
        <f>INDEX(Calendar!$H$5:$L$52,MATCH($A59,Calendar!$A$5:$A$52,0),MATCH($D$2,Calendar!$H$4:$L$4,0))</f>
        <v/>
      </c>
      <c r="AA59" s="44">
        <f>INDEX(Calendar!$M$5:$M$52,MATCH($A59,Calendar!$A$5:$A$52,0))</f>
        <v/>
      </c>
      <c r="AB59" s="45">
        <f>IF($D59="Actual",IFERROR(S59/Y59,""),AB47)</f>
        <v/>
      </c>
      <c r="AC59" s="46">
        <f>IF($D59="Actual",IFERROR(U59/T59/Z59/AA59,""),AC47)</f>
        <v/>
      </c>
      <c r="AD59" s="43">
        <f>IF($D59="Actual",IFERROR(V59/(U59+V59),""),AD47)</f>
        <v/>
      </c>
      <c r="AE59" s="46">
        <f>IFERROR(AC59*Z59*AA59,"")</f>
        <v/>
      </c>
      <c r="AF59" s="47">
        <f>K47</f>
        <v/>
      </c>
      <c r="AG59" s="43">
        <f>IF($D59="Forecast",IFERROR(K59/AF59-1,""),"")</f>
        <v/>
      </c>
    </row>
    <row r="60">
      <c r="A60" s="8" t="n">
        <v>47027</v>
      </c>
      <c r="B60" s="26">
        <f>YEAR(A60)</f>
        <v/>
      </c>
      <c r="C60" s="26">
        <f>MONTH(A60)</f>
        <v/>
      </c>
      <c r="D60">
        <f>IF(A60&lt;=LastActual,"Actual","Forecast")</f>
        <v/>
      </c>
      <c r="E60" s="24">
        <f>IF($D60="Actual",R60,W60)</f>
        <v/>
      </c>
      <c r="F60" s="27">
        <f>IF($D60="Actual",S60,Cases_Forecast!AJ53)</f>
        <v/>
      </c>
      <c r="G60" s="9">
        <f>IF($D60="Actual",T60,IFERROR(H60/AE60,0))</f>
        <v/>
      </c>
      <c r="H60" s="24">
        <f>IF($D60="Actual",U60,J60-I60)</f>
        <v/>
      </c>
      <c r="I60" s="24">
        <f>IF($D60="Actual",V60,IFERROR(J60*AD60,0))</f>
        <v/>
      </c>
      <c r="J60" s="24">
        <f>IF($D60="Actual",U60+V60,E60*X60)</f>
        <v/>
      </c>
      <c r="K60" s="28">
        <f>IFERROR(F60/G60,0)</f>
        <v/>
      </c>
      <c r="L60" s="29">
        <f>IFERROR(H60/G60,0)</f>
        <v/>
      </c>
      <c r="M60" s="30">
        <f>IFERROR(J60/F60,0)</f>
        <v/>
      </c>
      <c r="N60" s="10">
        <f>IFERROR(J60/E60,0)</f>
        <v/>
      </c>
      <c r="O60" s="10">
        <f>IFERROR(I60/J60,0)</f>
        <v/>
      </c>
      <c r="R60" s="42">
        <f>IF($D60="Actual",SUMIFS(Data_Actuals!$C$2:$C$5000,Data_Actuals!$A$2:$A$5000,$A60,Data_Actuals!$B$2:$B$5000,$B$2),"")</f>
        <v/>
      </c>
      <c r="S60" s="42">
        <f>IF($D60="Actual",SUMIFS(Data_Actuals!$D$2:$D$5000,Data_Actuals!$A$2:$A$5000,$A60,Data_Actuals!$B$2:$B$5000,$B$2),"")</f>
        <v/>
      </c>
      <c r="T60" s="42">
        <f>IF($D60="Actual",SUMIFS(Data_Actuals!$E$2:$E$5000,Data_Actuals!$A$2:$A$5000,$A60,Data_Actuals!$B$2:$B$5000,$B$2),"")</f>
        <v/>
      </c>
      <c r="U60" s="42">
        <f>IF($D60="Actual",SUMIFS(Data_Actuals!$F$2:$F$5000,Data_Actuals!$A$2:$A$5000,$A60,Data_Actuals!$B$2:$B$5000,$B$2),"")</f>
        <v/>
      </c>
      <c r="V60" s="42">
        <f>IF($D60="Actual",SUMIFS(Data_Actuals!$G$2:$G$5000,Data_Actuals!$A$2:$A$5000,$A60,Data_Actuals!$B$2:$B$5000,$B$2),"")</f>
        <v/>
      </c>
      <c r="W60" s="42">
        <f>SUMIFS(Plan_Inputs!$C$2:$C$5000,Plan_Inputs!$A$2:$A$5000,$A60,Plan_Inputs!$B$2:$B$5000,$B$2)</f>
        <v/>
      </c>
      <c r="X60" s="43">
        <f>SUMIFS(Plan_Inputs!$D$2:$D$5000,Plan_Inputs!$A$2:$A$5000,$A60,Plan_Inputs!$B$2:$B$5000,$B$2)</f>
        <v/>
      </c>
      <c r="Y60" s="42">
        <f>E60</f>
        <v/>
      </c>
      <c r="Z60" s="44">
        <f>INDEX(Calendar!$H$5:$L$52,MATCH($A60,Calendar!$A$5:$A$52,0),MATCH($D$2,Calendar!$H$4:$L$4,0))</f>
        <v/>
      </c>
      <c r="AA60" s="44">
        <f>INDEX(Calendar!$M$5:$M$52,MATCH($A60,Calendar!$A$5:$A$52,0))</f>
        <v/>
      </c>
      <c r="AB60" s="45">
        <f>IF($D60="Actual",IFERROR(S60/Y60,""),AB48)</f>
        <v/>
      </c>
      <c r="AC60" s="46">
        <f>IF($D60="Actual",IFERROR(U60/T60/Z60/AA60,""),AC48)</f>
        <v/>
      </c>
      <c r="AD60" s="43">
        <f>IF($D60="Actual",IFERROR(V60/(U60+V60),""),AD48)</f>
        <v/>
      </c>
      <c r="AE60" s="46">
        <f>IFERROR(AC60*Z60*AA60,"")</f>
        <v/>
      </c>
      <c r="AF60" s="47">
        <f>K48</f>
        <v/>
      </c>
      <c r="AG60" s="43">
        <f>IF($D60="Forecast",IFERROR(K60/AF60-1,""),"")</f>
        <v/>
      </c>
    </row>
    <row r="61">
      <c r="A61" s="8" t="n">
        <v>47058</v>
      </c>
      <c r="B61" s="26">
        <f>YEAR(A61)</f>
        <v/>
      </c>
      <c r="C61" s="26">
        <f>MONTH(A61)</f>
        <v/>
      </c>
      <c r="D61">
        <f>IF(A61&lt;=LastActual,"Actual","Forecast")</f>
        <v/>
      </c>
      <c r="E61" s="24">
        <f>IF($D61="Actual",R61,W61)</f>
        <v/>
      </c>
      <c r="F61" s="27">
        <f>IF($D61="Actual",S61,Cases_Forecast!AJ54)</f>
        <v/>
      </c>
      <c r="G61" s="9">
        <f>IF($D61="Actual",T61,IFERROR(H61/AE61,0))</f>
        <v/>
      </c>
      <c r="H61" s="24">
        <f>IF($D61="Actual",U61,J61-I61)</f>
        <v/>
      </c>
      <c r="I61" s="24">
        <f>IF($D61="Actual",V61,IFERROR(J61*AD61,0))</f>
        <v/>
      </c>
      <c r="J61" s="24">
        <f>IF($D61="Actual",U61+V61,E61*X61)</f>
        <v/>
      </c>
      <c r="K61" s="28">
        <f>IFERROR(F61/G61,0)</f>
        <v/>
      </c>
      <c r="L61" s="29">
        <f>IFERROR(H61/G61,0)</f>
        <v/>
      </c>
      <c r="M61" s="30">
        <f>IFERROR(J61/F61,0)</f>
        <v/>
      </c>
      <c r="N61" s="10">
        <f>IFERROR(J61/E61,0)</f>
        <v/>
      </c>
      <c r="O61" s="10">
        <f>IFERROR(I61/J61,0)</f>
        <v/>
      </c>
      <c r="R61" s="42">
        <f>IF($D61="Actual",SUMIFS(Data_Actuals!$C$2:$C$5000,Data_Actuals!$A$2:$A$5000,$A61,Data_Actuals!$B$2:$B$5000,$B$2),"")</f>
        <v/>
      </c>
      <c r="S61" s="42">
        <f>IF($D61="Actual",SUMIFS(Data_Actuals!$D$2:$D$5000,Data_Actuals!$A$2:$A$5000,$A61,Data_Actuals!$B$2:$B$5000,$B$2),"")</f>
        <v/>
      </c>
      <c r="T61" s="42">
        <f>IF($D61="Actual",SUMIFS(Data_Actuals!$E$2:$E$5000,Data_Actuals!$A$2:$A$5000,$A61,Data_Actuals!$B$2:$B$5000,$B$2),"")</f>
        <v/>
      </c>
      <c r="U61" s="42">
        <f>IF($D61="Actual",SUMIFS(Data_Actuals!$F$2:$F$5000,Data_Actuals!$A$2:$A$5000,$A61,Data_Actuals!$B$2:$B$5000,$B$2),"")</f>
        <v/>
      </c>
      <c r="V61" s="42">
        <f>IF($D61="Actual",SUMIFS(Data_Actuals!$G$2:$G$5000,Data_Actuals!$A$2:$A$5000,$A61,Data_Actuals!$B$2:$B$5000,$B$2),"")</f>
        <v/>
      </c>
      <c r="W61" s="42">
        <f>SUMIFS(Plan_Inputs!$C$2:$C$5000,Plan_Inputs!$A$2:$A$5000,$A61,Plan_Inputs!$B$2:$B$5000,$B$2)</f>
        <v/>
      </c>
      <c r="X61" s="43">
        <f>SUMIFS(Plan_Inputs!$D$2:$D$5000,Plan_Inputs!$A$2:$A$5000,$A61,Plan_Inputs!$B$2:$B$5000,$B$2)</f>
        <v/>
      </c>
      <c r="Y61" s="42">
        <f>E61</f>
        <v/>
      </c>
      <c r="Z61" s="44">
        <f>INDEX(Calendar!$H$5:$L$52,MATCH($A61,Calendar!$A$5:$A$52,0),MATCH($D$2,Calendar!$H$4:$L$4,0))</f>
        <v/>
      </c>
      <c r="AA61" s="44">
        <f>INDEX(Calendar!$M$5:$M$52,MATCH($A61,Calendar!$A$5:$A$52,0))</f>
        <v/>
      </c>
      <c r="AB61" s="45">
        <f>IF($D61="Actual",IFERROR(S61/Y61,""),AB49)</f>
        <v/>
      </c>
      <c r="AC61" s="46">
        <f>IF($D61="Actual",IFERROR(U61/T61/Z61/AA61,""),AC49)</f>
        <v/>
      </c>
      <c r="AD61" s="43">
        <f>IF($D61="Actual",IFERROR(V61/(U61+V61),""),AD49)</f>
        <v/>
      </c>
      <c r="AE61" s="46">
        <f>IFERROR(AC61*Z61*AA61,"")</f>
        <v/>
      </c>
      <c r="AF61" s="47">
        <f>K49</f>
        <v/>
      </c>
      <c r="AG61" s="43">
        <f>IF($D61="Forecast",IFERROR(K61/AF61-1,""),"")</f>
        <v/>
      </c>
    </row>
    <row r="62">
      <c r="A62" s="31" t="n">
        <v>47088</v>
      </c>
      <c r="B62" s="32">
        <f>YEAR(A62)</f>
        <v/>
      </c>
      <c r="C62" s="32">
        <f>MONTH(A62)</f>
        <v/>
      </c>
      <c r="D62" s="33">
        <f>IF(A62&lt;=LastActual,"Actual","Forecast")</f>
        <v/>
      </c>
      <c r="E62" s="34">
        <f>IF($D62="Actual",R62,W62)</f>
        <v/>
      </c>
      <c r="F62" s="35">
        <f>IF($D62="Actual",S62,Cases_Forecast!AJ55)</f>
        <v/>
      </c>
      <c r="G62" s="36">
        <f>IF($D62="Actual",T62,IFERROR(H62/AE62,0))</f>
        <v/>
      </c>
      <c r="H62" s="34">
        <f>IF($D62="Actual",U62,J62-I62)</f>
        <v/>
      </c>
      <c r="I62" s="34">
        <f>IF($D62="Actual",V62,IFERROR(J62*AD62,0))</f>
        <v/>
      </c>
      <c r="J62" s="34">
        <f>IF($D62="Actual",U62+V62,E62*X62)</f>
        <v/>
      </c>
      <c r="K62" s="37">
        <f>IFERROR(F62/G62,0)</f>
        <v/>
      </c>
      <c r="L62" s="38">
        <f>IFERROR(H62/G62,0)</f>
        <v/>
      </c>
      <c r="M62" s="39">
        <f>IFERROR(J62/F62,0)</f>
        <v/>
      </c>
      <c r="N62" s="40">
        <f>IFERROR(J62/E62,0)</f>
        <v/>
      </c>
      <c r="O62" s="40">
        <f>IFERROR(I62/J62,0)</f>
        <v/>
      </c>
      <c r="R62" s="42">
        <f>IF($D62="Actual",SUMIFS(Data_Actuals!$C$2:$C$5000,Data_Actuals!$A$2:$A$5000,$A62,Data_Actuals!$B$2:$B$5000,$B$2),"")</f>
        <v/>
      </c>
      <c r="S62" s="42">
        <f>IF($D62="Actual",SUMIFS(Data_Actuals!$D$2:$D$5000,Data_Actuals!$A$2:$A$5000,$A62,Data_Actuals!$B$2:$B$5000,$B$2),"")</f>
        <v/>
      </c>
      <c r="T62" s="42">
        <f>IF($D62="Actual",SUMIFS(Data_Actuals!$E$2:$E$5000,Data_Actuals!$A$2:$A$5000,$A62,Data_Actuals!$B$2:$B$5000,$B$2),"")</f>
        <v/>
      </c>
      <c r="U62" s="42">
        <f>IF($D62="Actual",SUMIFS(Data_Actuals!$F$2:$F$5000,Data_Actuals!$A$2:$A$5000,$A62,Data_Actuals!$B$2:$B$5000,$B$2),"")</f>
        <v/>
      </c>
      <c r="V62" s="42">
        <f>IF($D62="Actual",SUMIFS(Data_Actuals!$G$2:$G$5000,Data_Actuals!$A$2:$A$5000,$A62,Data_Actuals!$B$2:$B$5000,$B$2),"")</f>
        <v/>
      </c>
      <c r="W62" s="42">
        <f>SUMIFS(Plan_Inputs!$C$2:$C$5000,Plan_Inputs!$A$2:$A$5000,$A62,Plan_Inputs!$B$2:$B$5000,$B$2)</f>
        <v/>
      </c>
      <c r="X62" s="43">
        <f>SUMIFS(Plan_Inputs!$D$2:$D$5000,Plan_Inputs!$A$2:$A$5000,$A62,Plan_Inputs!$B$2:$B$5000,$B$2)</f>
        <v/>
      </c>
      <c r="Y62" s="42">
        <f>E62</f>
        <v/>
      </c>
      <c r="Z62" s="44">
        <f>INDEX(Calendar!$H$5:$L$52,MATCH($A62,Calendar!$A$5:$A$52,0),MATCH($D$2,Calendar!$H$4:$L$4,0))</f>
        <v/>
      </c>
      <c r="AA62" s="44">
        <f>INDEX(Calendar!$M$5:$M$52,MATCH($A62,Calendar!$A$5:$A$52,0))</f>
        <v/>
      </c>
      <c r="AB62" s="45">
        <f>IF($D62="Actual",IFERROR(S62/Y62,""),AB50)</f>
        <v/>
      </c>
      <c r="AC62" s="46">
        <f>IF($D62="Actual",IFERROR(U62/T62/Z62/AA62,""),AC50)</f>
        <v/>
      </c>
      <c r="AD62" s="43">
        <f>IF($D62="Actual",IFERROR(V62/(U62+V62),""),AD50)</f>
        <v/>
      </c>
      <c r="AE62" s="46">
        <f>IFERROR(AC62*Z62*AA62,"")</f>
        <v/>
      </c>
      <c r="AF62" s="47">
        <f>K50</f>
        <v/>
      </c>
      <c r="AG62" s="43">
        <f>IF($D62="Forecast",IFERROR(K62/AF62-1,""),"")</f>
        <v/>
      </c>
    </row>
  </sheetData>
  <mergeCells count="3">
    <mergeCell ref="K12:O12"/>
    <mergeCell ref="R12:AG12"/>
    <mergeCell ref="E12:J12"/>
  </mergeCells>
  <conditionalFormatting sqref="A15:O62">
    <cfRule type="expression" priority="1" dxfId="4">
      <formula>$D15="Forecast"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F3864"/>
    <outlinePr summaryBelow="1" summaryRight="1"/>
    <pageSetUpPr/>
  </sheetPr>
  <dimension ref="A1:AG62"/>
  <sheetViews>
    <sheetView workbookViewId="0">
      <pane xSplit="4" ySplit="14" topLeftCell="E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" customWidth="1" min="2" max="2"/>
    <col width="5" customWidth="1" min="3" max="3"/>
    <col width="9" customWidth="1" min="4" max="4"/>
    <col width="10" customWidth="1" min="5" max="5"/>
    <col width="10" customWidth="1" min="6" max="6"/>
    <col width="11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1" customWidth="1" min="15" max="15"/>
    <col width="2" customWidth="1" min="17" max="17"/>
    <col width="11" customWidth="1" min="18" max="18"/>
    <col width="11" customWidth="1" min="19" max="19"/>
    <col width="10" customWidth="1" min="20" max="20"/>
    <col width="11" customWidth="1" min="21" max="21"/>
    <col width="11" customWidth="1" min="22" max="22"/>
    <col width="12" customWidth="1" min="23" max="23"/>
    <col width="9" customWidth="1" min="24" max="24"/>
    <col width="12" customWidth="1" min="25" max="25"/>
    <col width="8" customWidth="1" min="26" max="26"/>
    <col width="8" customWidth="1" min="27" max="27"/>
    <col width="11" customWidth="1" min="28" max="28"/>
    <col width="12" customWidth="1" min="29" max="29"/>
    <col width="12" customWidth="1" min="30" max="30"/>
    <col width="11" customWidth="1" min="31" max="31"/>
    <col width="9" customWidth="1" min="32" max="32"/>
    <col width="9" customWidth="1" min="33" max="33"/>
  </cols>
  <sheetData>
    <row r="1">
      <c r="A1" s="2">
        <f>$B$2&amp;"  |  Region  |  VIC"</f>
        <v/>
      </c>
    </row>
    <row r="2">
      <c r="A2" t="inlineStr">
        <is>
          <t>Code</t>
        </is>
      </c>
      <c r="B2" s="1">
        <f>Inputs!$A$37</f>
        <v/>
      </c>
      <c r="C2" t="inlineStr">
        <is>
          <t>State</t>
        </is>
      </c>
      <c r="D2" s="1" t="inlineStr">
        <is>
          <t>VIC</t>
        </is>
      </c>
    </row>
    <row r="5" ht="45" customHeight="1">
      <c r="A5" s="5" t="inlineStr">
        <is>
          <t>FY</t>
        </is>
      </c>
      <c r="D5" s="5" t="inlineStr">
        <is>
          <t>Status</t>
        </is>
      </c>
      <c r="E5" s="5" t="inlineStr">
        <is>
          <t>Sales</t>
        </is>
      </c>
      <c r="F5" s="5" t="inlineStr">
        <is>
          <t>Cases picked</t>
        </is>
      </c>
      <c r="G5" s="5" t="inlineStr">
        <is>
          <t>WH hours worked</t>
        </is>
      </c>
      <c r="H5" s="5" t="inlineStr">
        <is>
          <t>Staff payroll</t>
        </is>
      </c>
      <c r="I5" s="5" t="inlineStr">
        <is>
          <t>Leadership payroll</t>
        </is>
      </c>
      <c r="J5" s="5" t="inlineStr">
        <is>
          <t>Total payroll</t>
        </is>
      </c>
      <c r="K5" s="5" t="inlineStr">
        <is>
          <t>CPLH (cases / hr)</t>
        </is>
      </c>
      <c r="L5" s="5" t="inlineStr">
        <is>
          <t>Cost per hour (staff)</t>
        </is>
      </c>
      <c r="M5" s="5" t="inlineStr">
        <is>
          <t>Cost per case (total payroll)</t>
        </is>
      </c>
      <c r="N5" s="5" t="inlineStr">
        <is>
          <t>Total payroll % sales</t>
        </is>
      </c>
      <c r="O5" s="5" t="inlineStr">
        <is>
          <t>Leadership % of total payroll</t>
        </is>
      </c>
    </row>
    <row r="6">
      <c r="A6" s="15" t="n">
        <v>2025</v>
      </c>
      <c r="D6" s="16">
        <f>IF(DATE(A6,12,1)&lt;=LastActual,"Actual",IF(DATE(A6,1,1)&gt;LastActual,"Forecast","Blended"))</f>
        <v/>
      </c>
      <c r="E6" s="17">
        <f>SUMIFS($E$15:$E$62,$B$15:$B$62,$A6)</f>
        <v/>
      </c>
      <c r="F6" s="18">
        <f>SUMIFS($F$15:$F$62,$B$15:$B$62,$A6)</f>
        <v/>
      </c>
      <c r="G6" s="19">
        <f>SUMIFS($G$15:$G$62,$B$15:$B$62,$A6)</f>
        <v/>
      </c>
      <c r="H6" s="17">
        <f>SUMIFS($H$15:$H$62,$B$15:$B$62,$A6)</f>
        <v/>
      </c>
      <c r="I6" s="17">
        <f>SUMIFS($I$15:$I$62,$B$15:$B$62,$A6)</f>
        <v/>
      </c>
      <c r="J6" s="17">
        <f>SUMIFS($J$15:$J$62,$B$15:$B$62,$A6)</f>
        <v/>
      </c>
      <c r="K6" s="20">
        <f>IFERROR(F6/G6,0)</f>
        <v/>
      </c>
      <c r="L6" s="21">
        <f>IFERROR(H6/G6,0)</f>
        <v/>
      </c>
      <c r="M6" s="22">
        <f>IFERROR(J6/F6,0)</f>
        <v/>
      </c>
      <c r="N6" s="23">
        <f>IFERROR(J6/E6,0)</f>
        <v/>
      </c>
      <c r="O6" s="23">
        <f>IFERROR(I6/J6,0)</f>
        <v/>
      </c>
    </row>
    <row r="7">
      <c r="A7" s="15" t="n">
        <v>2026</v>
      </c>
      <c r="D7" s="16">
        <f>IF(DATE(A7,12,1)&lt;=LastActual,"Actual",IF(DATE(A7,1,1)&gt;LastActual,"Forecast","Blended"))</f>
        <v/>
      </c>
      <c r="E7" s="17">
        <f>SUMIFS($E$15:$E$62,$B$15:$B$62,$A7)</f>
        <v/>
      </c>
      <c r="F7" s="18">
        <f>SUMIFS($F$15:$F$62,$B$15:$B$62,$A7)</f>
        <v/>
      </c>
      <c r="G7" s="19">
        <f>SUMIFS($G$15:$G$62,$B$15:$B$62,$A7)</f>
        <v/>
      </c>
      <c r="H7" s="17">
        <f>SUMIFS($H$15:$H$62,$B$15:$B$62,$A7)</f>
        <v/>
      </c>
      <c r="I7" s="17">
        <f>SUMIFS($I$15:$I$62,$B$15:$B$62,$A7)</f>
        <v/>
      </c>
      <c r="J7" s="17">
        <f>SUMIFS($J$15:$J$62,$B$15:$B$62,$A7)</f>
        <v/>
      </c>
      <c r="K7" s="20">
        <f>IFERROR(F7/G7,0)</f>
        <v/>
      </c>
      <c r="L7" s="21">
        <f>IFERROR(H7/G7,0)</f>
        <v/>
      </c>
      <c r="M7" s="22">
        <f>IFERROR(J7/F7,0)</f>
        <v/>
      </c>
      <c r="N7" s="23">
        <f>IFERROR(J7/E7,0)</f>
        <v/>
      </c>
      <c r="O7" s="23">
        <f>IFERROR(I7/J7,0)</f>
        <v/>
      </c>
    </row>
    <row r="8">
      <c r="A8" s="15" t="n">
        <v>2027</v>
      </c>
      <c r="D8" s="16">
        <f>IF(DATE(A8,12,1)&lt;=LastActual,"Actual",IF(DATE(A8,1,1)&gt;LastActual,"Forecast","Blended"))</f>
        <v/>
      </c>
      <c r="E8" s="17">
        <f>SUMIFS($E$15:$E$62,$B$15:$B$62,$A8)</f>
        <v/>
      </c>
      <c r="F8" s="18">
        <f>SUMIFS($F$15:$F$62,$B$15:$B$62,$A8)</f>
        <v/>
      </c>
      <c r="G8" s="19">
        <f>SUMIFS($G$15:$G$62,$B$15:$B$62,$A8)</f>
        <v/>
      </c>
      <c r="H8" s="17">
        <f>SUMIFS($H$15:$H$62,$B$15:$B$62,$A8)</f>
        <v/>
      </c>
      <c r="I8" s="17">
        <f>SUMIFS($I$15:$I$62,$B$15:$B$62,$A8)</f>
        <v/>
      </c>
      <c r="J8" s="17">
        <f>SUMIFS($J$15:$J$62,$B$15:$B$62,$A8)</f>
        <v/>
      </c>
      <c r="K8" s="20">
        <f>IFERROR(F8/G8,0)</f>
        <v/>
      </c>
      <c r="L8" s="21">
        <f>IFERROR(H8/G8,0)</f>
        <v/>
      </c>
      <c r="M8" s="22">
        <f>IFERROR(J8/F8,0)</f>
        <v/>
      </c>
      <c r="N8" s="23">
        <f>IFERROR(J8/E8,0)</f>
        <v/>
      </c>
      <c r="O8" s="23">
        <f>IFERROR(I8/J8,0)</f>
        <v/>
      </c>
    </row>
    <row r="9">
      <c r="A9" s="15" t="n">
        <v>2028</v>
      </c>
      <c r="D9" s="16">
        <f>IF(DATE(A9,12,1)&lt;=LastActual,"Actual",IF(DATE(A9,1,1)&gt;LastActual,"Forecast","Blended"))</f>
        <v/>
      </c>
      <c r="E9" s="17">
        <f>SUMIFS($E$15:$E$62,$B$15:$B$62,$A9)</f>
        <v/>
      </c>
      <c r="F9" s="18">
        <f>SUMIFS($F$15:$F$62,$B$15:$B$62,$A9)</f>
        <v/>
      </c>
      <c r="G9" s="19">
        <f>SUMIFS($G$15:$G$62,$B$15:$B$62,$A9)</f>
        <v/>
      </c>
      <c r="H9" s="17">
        <f>SUMIFS($H$15:$H$62,$B$15:$B$62,$A9)</f>
        <v/>
      </c>
      <c r="I9" s="17">
        <f>SUMIFS($I$15:$I$62,$B$15:$B$62,$A9)</f>
        <v/>
      </c>
      <c r="J9" s="17">
        <f>SUMIFS($J$15:$J$62,$B$15:$B$62,$A9)</f>
        <v/>
      </c>
      <c r="K9" s="20">
        <f>IFERROR(F9/G9,0)</f>
        <v/>
      </c>
      <c r="L9" s="21">
        <f>IFERROR(H9/G9,0)</f>
        <v/>
      </c>
      <c r="M9" s="22">
        <f>IFERROR(J9/F9,0)</f>
        <v/>
      </c>
      <c r="N9" s="23">
        <f>IFERROR(J9/E9,0)</f>
        <v/>
      </c>
      <c r="O9" s="23">
        <f>IFERROR(I9/J9,0)</f>
        <v/>
      </c>
    </row>
    <row r="12">
      <c r="E12" s="5" t="inlineStr">
        <is>
          <t>Drivers</t>
        </is>
      </c>
      <c r="K12" s="5" t="inlineStr">
        <is>
          <t>Metrics</t>
        </is>
      </c>
      <c r="R12" s="5" t="inlineStr">
        <is>
          <t>Helper calculations (actuals, plan, same-month-last-year rates)</t>
        </is>
      </c>
    </row>
    <row r="13" ht="60" customHeight="1">
      <c r="A13" s="5" t="inlineStr">
        <is>
          <t>Month</t>
        </is>
      </c>
      <c r="B13" s="5" t="inlineStr">
        <is>
          <t>Year</t>
        </is>
      </c>
      <c r="C13" s="5" t="inlineStr">
        <is>
          <t>Mth</t>
        </is>
      </c>
      <c r="D13" s="5" t="inlineStr">
        <is>
          <t>Status</t>
        </is>
      </c>
      <c r="E13" s="5" t="inlineStr">
        <is>
          <t>Sales</t>
        </is>
      </c>
      <c r="F13" s="5" t="inlineStr">
        <is>
          <t>Cases picked</t>
        </is>
      </c>
      <c r="G13" s="5" t="inlineStr">
        <is>
          <t>WH hours worked</t>
        </is>
      </c>
      <c r="H13" s="5" t="inlineStr">
        <is>
          <t>Staff payroll</t>
        </is>
      </c>
      <c r="I13" s="5" t="inlineStr">
        <is>
          <t>Leadership payroll</t>
        </is>
      </c>
      <c r="J13" s="5" t="inlineStr">
        <is>
          <t>Total payroll</t>
        </is>
      </c>
      <c r="K13" s="5" t="inlineStr">
        <is>
          <t>CPLH (cases / hr)</t>
        </is>
      </c>
      <c r="L13" s="5" t="inlineStr">
        <is>
          <t>Cost per hour (staff)</t>
        </is>
      </c>
      <c r="M13" s="5" t="inlineStr">
        <is>
          <t>Cost per case (total payroll)</t>
        </is>
      </c>
      <c r="N13" s="5" t="inlineStr">
        <is>
          <t>Total payroll % sales</t>
        </is>
      </c>
      <c r="O13" s="5" t="inlineStr">
        <is>
          <t>Leadership % of total payroll</t>
        </is>
      </c>
      <c r="R13" s="41" t="inlineStr">
        <is>
          <t>Act sales</t>
        </is>
      </c>
      <c r="S13" s="41" t="inlineStr">
        <is>
          <t>Act cases</t>
        </is>
      </c>
      <c r="T13" s="41" t="inlineStr">
        <is>
          <t>Act hours</t>
        </is>
      </c>
      <c r="U13" s="41" t="inlineStr">
        <is>
          <t>Act staff $</t>
        </is>
      </c>
      <c r="V13" s="41" t="inlineStr">
        <is>
          <t>Act leadership $</t>
        </is>
      </c>
      <c r="W13" s="41" t="inlineStr">
        <is>
          <t>Plan sales</t>
        </is>
      </c>
      <c r="X13" s="41" t="inlineStr">
        <is>
          <t>Plan payroll %</t>
        </is>
      </c>
      <c r="Y13" s="41" t="inlineStr">
        <is>
          <t>Volume driver sales</t>
        </is>
      </c>
      <c r="Z13" s="41" t="inlineStr">
        <is>
          <t>PH factor</t>
        </is>
      </c>
      <c r="AA13" s="41" t="inlineStr">
        <is>
          <t>Wage index</t>
        </is>
      </c>
      <c r="AB13" s="41" t="inlineStr">
        <is>
          <t>Cases per $ (actual, else same month LY)</t>
        </is>
      </c>
      <c r="AC13" s="41" t="inlineStr">
        <is>
          <t>Cost per hour ex PH &amp; wage (actual, else same month LY)</t>
        </is>
      </c>
      <c r="AD13" s="41" t="inlineStr">
        <is>
          <t>Leadership share of total payroll (actual, else same month LY)</t>
        </is>
      </c>
      <c r="AE13" s="41" t="inlineStr">
        <is>
          <t>Fcst cost per hour (AC x PH x wage)</t>
        </is>
      </c>
      <c r="AF13" s="41" t="inlineStr">
        <is>
          <t>LY CPLH (same month)</t>
        </is>
      </c>
      <c r="AG13" s="41" t="inlineStr">
        <is>
          <t>Fcst CPLH vs LY</t>
        </is>
      </c>
    </row>
    <row r="14">
      <c r="E14" s="25" t="inlineStr">
        <is>
          <t>$m</t>
        </is>
      </c>
      <c r="F14" s="25" t="inlineStr">
        <is>
          <t>m</t>
        </is>
      </c>
      <c r="G14" s="25" t="inlineStr">
        <is>
          <t>#</t>
        </is>
      </c>
      <c r="H14" s="25" t="inlineStr">
        <is>
          <t>$m</t>
        </is>
      </c>
      <c r="I14" s="25" t="inlineStr">
        <is>
          <t>$m</t>
        </is>
      </c>
      <c r="J14" s="25" t="inlineStr">
        <is>
          <t>$m</t>
        </is>
      </c>
      <c r="K14" s="25" t="inlineStr">
        <is>
          <t>#</t>
        </is>
      </c>
      <c r="L14" s="25" t="inlineStr">
        <is>
          <t>$</t>
        </is>
      </c>
      <c r="M14" s="25" t="inlineStr">
        <is>
          <t>$</t>
        </is>
      </c>
      <c r="N14" s="25" t="inlineStr">
        <is>
          <t>%</t>
        </is>
      </c>
      <c r="O14" s="25" t="inlineStr">
        <is>
          <t>%</t>
        </is>
      </c>
    </row>
    <row r="15">
      <c r="A15" s="8" t="n">
        <v>45658</v>
      </c>
      <c r="B15" s="26">
        <f>YEAR(A15)</f>
        <v/>
      </c>
      <c r="C15" s="26">
        <f>MONTH(A15)</f>
        <v/>
      </c>
      <c r="D15">
        <f>IF(A15&lt;=LastActual,"Actual","Forecast")</f>
        <v/>
      </c>
      <c r="E15" s="24">
        <f>IF($D15="Actual",R15,W15)</f>
        <v/>
      </c>
      <c r="F15" s="27">
        <f>IF($D15="Actual",S15,Cases_Forecast!AK8)</f>
        <v/>
      </c>
      <c r="G15" s="9">
        <f>IF($D15="Actual",T15,IFERROR(H15/AE15,0))</f>
        <v/>
      </c>
      <c r="H15" s="24">
        <f>IF($D15="Actual",U15,J15-I15)</f>
        <v/>
      </c>
      <c r="I15" s="24">
        <f>IF($D15="Actual",V15,IFERROR(J15*AD15,0))</f>
        <v/>
      </c>
      <c r="J15" s="24">
        <f>IF($D15="Actual",U15+V15,E15*X15)</f>
        <v/>
      </c>
      <c r="K15" s="28">
        <f>IFERROR(F15/G15,0)</f>
        <v/>
      </c>
      <c r="L15" s="29">
        <f>IFERROR(H15/G15,0)</f>
        <v/>
      </c>
      <c r="M15" s="30">
        <f>IFERROR(J15/F15,0)</f>
        <v/>
      </c>
      <c r="N15" s="10">
        <f>IFERROR(J15/E15,0)</f>
        <v/>
      </c>
      <c r="O15" s="10">
        <f>IFERROR(I15/J15,0)</f>
        <v/>
      </c>
      <c r="R15" s="42">
        <f>IF($D15="Actual",SUMIFS(Data_Actuals!$C$2:$C$5000,Data_Actuals!$A$2:$A$5000,$A15,Data_Actuals!$B$2:$B$5000,$B$2),"")</f>
        <v/>
      </c>
      <c r="S15" s="42">
        <f>IF($D15="Actual",SUMIFS(Data_Actuals!$D$2:$D$5000,Data_Actuals!$A$2:$A$5000,$A15,Data_Actuals!$B$2:$B$5000,$B$2),"")</f>
        <v/>
      </c>
      <c r="T15" s="42">
        <f>IF($D15="Actual",SUMIFS(Data_Actuals!$E$2:$E$5000,Data_Actuals!$A$2:$A$5000,$A15,Data_Actuals!$B$2:$B$5000,$B$2),"")</f>
        <v/>
      </c>
      <c r="U15" s="42">
        <f>IF($D15="Actual",SUMIFS(Data_Actuals!$F$2:$F$5000,Data_Actuals!$A$2:$A$5000,$A15,Data_Actuals!$B$2:$B$5000,$B$2),"")</f>
        <v/>
      </c>
      <c r="V15" s="42">
        <f>IF($D15="Actual",SUMIFS(Data_Actuals!$G$2:$G$5000,Data_Actuals!$A$2:$A$5000,$A15,Data_Actuals!$B$2:$B$5000,$B$2),"")</f>
        <v/>
      </c>
      <c r="W15" s="42">
        <f>SUMIFS(Plan_Inputs!$C$2:$C$5000,Plan_Inputs!$A$2:$A$5000,$A15,Plan_Inputs!$B$2:$B$5000,$B$2)</f>
        <v/>
      </c>
      <c r="X15" s="43">
        <f>SUMIFS(Plan_Inputs!$D$2:$D$5000,Plan_Inputs!$A$2:$A$5000,$A15,Plan_Inputs!$B$2:$B$5000,$B$2)</f>
        <v/>
      </c>
      <c r="Y15" s="42">
        <f>E15</f>
        <v/>
      </c>
      <c r="Z15" s="44">
        <f>INDEX(Calendar!$H$5:$L$52,MATCH($A15,Calendar!$A$5:$A$52,0),MATCH($D$2,Calendar!$H$4:$L$4,0))</f>
        <v/>
      </c>
      <c r="AA15" s="44">
        <f>INDEX(Calendar!$M$5:$M$52,MATCH($A15,Calendar!$A$5:$A$52,0))</f>
        <v/>
      </c>
      <c r="AB15" s="45">
        <f>IF($D15="Actual",IFERROR(S15/Y15,""),"")</f>
        <v/>
      </c>
      <c r="AC15" s="46">
        <f>IF($D15="Actual",IFERROR(U15/T15/Z15/AA15,""),"")</f>
        <v/>
      </c>
      <c r="AD15" s="43">
        <f>IF($D15="Actual",IFERROR(V15/(U15+V15),""),"")</f>
        <v/>
      </c>
      <c r="AE15" s="46">
        <f>IFERROR(AC15*Z15*AA15,"")</f>
        <v/>
      </c>
      <c r="AF15" s="47" t="n"/>
      <c r="AG15" s="43">
        <f>IF($D15="Forecast",IFERROR(K15/AF15-1,""),"")</f>
        <v/>
      </c>
    </row>
    <row r="16">
      <c r="A16" s="8" t="n">
        <v>45689</v>
      </c>
      <c r="B16" s="26">
        <f>YEAR(A16)</f>
        <v/>
      </c>
      <c r="C16" s="26">
        <f>MONTH(A16)</f>
        <v/>
      </c>
      <c r="D16">
        <f>IF(A16&lt;=LastActual,"Actual","Forecast")</f>
        <v/>
      </c>
      <c r="E16" s="24">
        <f>IF($D16="Actual",R16,W16)</f>
        <v/>
      </c>
      <c r="F16" s="27">
        <f>IF($D16="Actual",S16,Cases_Forecast!AK9)</f>
        <v/>
      </c>
      <c r="G16" s="9">
        <f>IF($D16="Actual",T16,IFERROR(H16/AE16,0))</f>
        <v/>
      </c>
      <c r="H16" s="24">
        <f>IF($D16="Actual",U16,J16-I16)</f>
        <v/>
      </c>
      <c r="I16" s="24">
        <f>IF($D16="Actual",V16,IFERROR(J16*AD16,0))</f>
        <v/>
      </c>
      <c r="J16" s="24">
        <f>IF($D16="Actual",U16+V16,E16*X16)</f>
        <v/>
      </c>
      <c r="K16" s="28">
        <f>IFERROR(F16/G16,0)</f>
        <v/>
      </c>
      <c r="L16" s="29">
        <f>IFERROR(H16/G16,0)</f>
        <v/>
      </c>
      <c r="M16" s="30">
        <f>IFERROR(J16/F16,0)</f>
        <v/>
      </c>
      <c r="N16" s="10">
        <f>IFERROR(J16/E16,0)</f>
        <v/>
      </c>
      <c r="O16" s="10">
        <f>IFERROR(I16/J16,0)</f>
        <v/>
      </c>
      <c r="R16" s="42">
        <f>IF($D16="Actual",SUMIFS(Data_Actuals!$C$2:$C$5000,Data_Actuals!$A$2:$A$5000,$A16,Data_Actuals!$B$2:$B$5000,$B$2),"")</f>
        <v/>
      </c>
      <c r="S16" s="42">
        <f>IF($D16="Actual",SUMIFS(Data_Actuals!$D$2:$D$5000,Data_Actuals!$A$2:$A$5000,$A16,Data_Actuals!$B$2:$B$5000,$B$2),"")</f>
        <v/>
      </c>
      <c r="T16" s="42">
        <f>IF($D16="Actual",SUMIFS(Data_Actuals!$E$2:$E$5000,Data_Actuals!$A$2:$A$5000,$A16,Data_Actuals!$B$2:$B$5000,$B$2),"")</f>
        <v/>
      </c>
      <c r="U16" s="42">
        <f>IF($D16="Actual",SUMIFS(Data_Actuals!$F$2:$F$5000,Data_Actuals!$A$2:$A$5000,$A16,Data_Actuals!$B$2:$B$5000,$B$2),"")</f>
        <v/>
      </c>
      <c r="V16" s="42">
        <f>IF($D16="Actual",SUMIFS(Data_Actuals!$G$2:$G$5000,Data_Actuals!$A$2:$A$5000,$A16,Data_Actuals!$B$2:$B$5000,$B$2),"")</f>
        <v/>
      </c>
      <c r="W16" s="42">
        <f>SUMIFS(Plan_Inputs!$C$2:$C$5000,Plan_Inputs!$A$2:$A$5000,$A16,Plan_Inputs!$B$2:$B$5000,$B$2)</f>
        <v/>
      </c>
      <c r="X16" s="43">
        <f>SUMIFS(Plan_Inputs!$D$2:$D$5000,Plan_Inputs!$A$2:$A$5000,$A16,Plan_Inputs!$B$2:$B$5000,$B$2)</f>
        <v/>
      </c>
      <c r="Y16" s="42">
        <f>E16</f>
        <v/>
      </c>
      <c r="Z16" s="44">
        <f>INDEX(Calendar!$H$5:$L$52,MATCH($A16,Calendar!$A$5:$A$52,0),MATCH($D$2,Calendar!$H$4:$L$4,0))</f>
        <v/>
      </c>
      <c r="AA16" s="44">
        <f>INDEX(Calendar!$M$5:$M$52,MATCH($A16,Calendar!$A$5:$A$52,0))</f>
        <v/>
      </c>
      <c r="AB16" s="45">
        <f>IF($D16="Actual",IFERROR(S16/Y16,""),"")</f>
        <v/>
      </c>
      <c r="AC16" s="46">
        <f>IF($D16="Actual",IFERROR(U16/T16/Z16/AA16,""),"")</f>
        <v/>
      </c>
      <c r="AD16" s="43">
        <f>IF($D16="Actual",IFERROR(V16/(U16+V16),""),"")</f>
        <v/>
      </c>
      <c r="AE16" s="46">
        <f>IFERROR(AC16*Z16*AA16,"")</f>
        <v/>
      </c>
      <c r="AF16" s="47" t="n"/>
      <c r="AG16" s="43">
        <f>IF($D16="Forecast",IFERROR(K16/AF16-1,""),"")</f>
        <v/>
      </c>
    </row>
    <row r="17">
      <c r="A17" s="8" t="n">
        <v>45717</v>
      </c>
      <c r="B17" s="26">
        <f>YEAR(A17)</f>
        <v/>
      </c>
      <c r="C17" s="26">
        <f>MONTH(A17)</f>
        <v/>
      </c>
      <c r="D17">
        <f>IF(A17&lt;=LastActual,"Actual","Forecast")</f>
        <v/>
      </c>
      <c r="E17" s="24">
        <f>IF($D17="Actual",R17,W17)</f>
        <v/>
      </c>
      <c r="F17" s="27">
        <f>IF($D17="Actual",S17,Cases_Forecast!AK10)</f>
        <v/>
      </c>
      <c r="G17" s="9">
        <f>IF($D17="Actual",T17,IFERROR(H17/AE17,0))</f>
        <v/>
      </c>
      <c r="H17" s="24">
        <f>IF($D17="Actual",U17,J17-I17)</f>
        <v/>
      </c>
      <c r="I17" s="24">
        <f>IF($D17="Actual",V17,IFERROR(J17*AD17,0))</f>
        <v/>
      </c>
      <c r="J17" s="24">
        <f>IF($D17="Actual",U17+V17,E17*X17)</f>
        <v/>
      </c>
      <c r="K17" s="28">
        <f>IFERROR(F17/G17,0)</f>
        <v/>
      </c>
      <c r="L17" s="29">
        <f>IFERROR(H17/G17,0)</f>
        <v/>
      </c>
      <c r="M17" s="30">
        <f>IFERROR(J17/F17,0)</f>
        <v/>
      </c>
      <c r="N17" s="10">
        <f>IFERROR(J17/E17,0)</f>
        <v/>
      </c>
      <c r="O17" s="10">
        <f>IFERROR(I17/J17,0)</f>
        <v/>
      </c>
      <c r="R17" s="42">
        <f>IF($D17="Actual",SUMIFS(Data_Actuals!$C$2:$C$5000,Data_Actuals!$A$2:$A$5000,$A17,Data_Actuals!$B$2:$B$5000,$B$2),"")</f>
        <v/>
      </c>
      <c r="S17" s="42">
        <f>IF($D17="Actual",SUMIFS(Data_Actuals!$D$2:$D$5000,Data_Actuals!$A$2:$A$5000,$A17,Data_Actuals!$B$2:$B$5000,$B$2),"")</f>
        <v/>
      </c>
      <c r="T17" s="42">
        <f>IF($D17="Actual",SUMIFS(Data_Actuals!$E$2:$E$5000,Data_Actuals!$A$2:$A$5000,$A17,Data_Actuals!$B$2:$B$5000,$B$2),"")</f>
        <v/>
      </c>
      <c r="U17" s="42">
        <f>IF($D17="Actual",SUMIFS(Data_Actuals!$F$2:$F$5000,Data_Actuals!$A$2:$A$5000,$A17,Data_Actuals!$B$2:$B$5000,$B$2),"")</f>
        <v/>
      </c>
      <c r="V17" s="42">
        <f>IF($D17="Actual",SUMIFS(Data_Actuals!$G$2:$G$5000,Data_Actuals!$A$2:$A$5000,$A17,Data_Actuals!$B$2:$B$5000,$B$2),"")</f>
        <v/>
      </c>
      <c r="W17" s="42">
        <f>SUMIFS(Plan_Inputs!$C$2:$C$5000,Plan_Inputs!$A$2:$A$5000,$A17,Plan_Inputs!$B$2:$B$5000,$B$2)</f>
        <v/>
      </c>
      <c r="X17" s="43">
        <f>SUMIFS(Plan_Inputs!$D$2:$D$5000,Plan_Inputs!$A$2:$A$5000,$A17,Plan_Inputs!$B$2:$B$5000,$B$2)</f>
        <v/>
      </c>
      <c r="Y17" s="42">
        <f>E17</f>
        <v/>
      </c>
      <c r="Z17" s="44">
        <f>INDEX(Calendar!$H$5:$L$52,MATCH($A17,Calendar!$A$5:$A$52,0),MATCH($D$2,Calendar!$H$4:$L$4,0))</f>
        <v/>
      </c>
      <c r="AA17" s="44">
        <f>INDEX(Calendar!$M$5:$M$52,MATCH($A17,Calendar!$A$5:$A$52,0))</f>
        <v/>
      </c>
      <c r="AB17" s="45">
        <f>IF($D17="Actual",IFERROR(S17/Y17,""),"")</f>
        <v/>
      </c>
      <c r="AC17" s="46">
        <f>IF($D17="Actual",IFERROR(U17/T17/Z17/AA17,""),"")</f>
        <v/>
      </c>
      <c r="AD17" s="43">
        <f>IF($D17="Actual",IFERROR(V17/(U17+V17),""),"")</f>
        <v/>
      </c>
      <c r="AE17" s="46">
        <f>IFERROR(AC17*Z17*AA17,"")</f>
        <v/>
      </c>
      <c r="AF17" s="47" t="n"/>
      <c r="AG17" s="43">
        <f>IF($D17="Forecast",IFERROR(K17/AF17-1,""),"")</f>
        <v/>
      </c>
    </row>
    <row r="18">
      <c r="A18" s="8" t="n">
        <v>45748</v>
      </c>
      <c r="B18" s="26">
        <f>YEAR(A18)</f>
        <v/>
      </c>
      <c r="C18" s="26">
        <f>MONTH(A18)</f>
        <v/>
      </c>
      <c r="D18">
        <f>IF(A18&lt;=LastActual,"Actual","Forecast")</f>
        <v/>
      </c>
      <c r="E18" s="24">
        <f>IF($D18="Actual",R18,W18)</f>
        <v/>
      </c>
      <c r="F18" s="27">
        <f>IF($D18="Actual",S18,Cases_Forecast!AK11)</f>
        <v/>
      </c>
      <c r="G18" s="9">
        <f>IF($D18="Actual",T18,IFERROR(H18/AE18,0))</f>
        <v/>
      </c>
      <c r="H18" s="24">
        <f>IF($D18="Actual",U18,J18-I18)</f>
        <v/>
      </c>
      <c r="I18" s="24">
        <f>IF($D18="Actual",V18,IFERROR(J18*AD18,0))</f>
        <v/>
      </c>
      <c r="J18" s="24">
        <f>IF($D18="Actual",U18+V18,E18*X18)</f>
        <v/>
      </c>
      <c r="K18" s="28">
        <f>IFERROR(F18/G18,0)</f>
        <v/>
      </c>
      <c r="L18" s="29">
        <f>IFERROR(H18/G18,0)</f>
        <v/>
      </c>
      <c r="M18" s="30">
        <f>IFERROR(J18/F18,0)</f>
        <v/>
      </c>
      <c r="N18" s="10">
        <f>IFERROR(J18/E18,0)</f>
        <v/>
      </c>
      <c r="O18" s="10">
        <f>IFERROR(I18/J18,0)</f>
        <v/>
      </c>
      <c r="R18" s="42">
        <f>IF($D18="Actual",SUMIFS(Data_Actuals!$C$2:$C$5000,Data_Actuals!$A$2:$A$5000,$A18,Data_Actuals!$B$2:$B$5000,$B$2),"")</f>
        <v/>
      </c>
      <c r="S18" s="42">
        <f>IF($D18="Actual",SUMIFS(Data_Actuals!$D$2:$D$5000,Data_Actuals!$A$2:$A$5000,$A18,Data_Actuals!$B$2:$B$5000,$B$2),"")</f>
        <v/>
      </c>
      <c r="T18" s="42">
        <f>IF($D18="Actual",SUMIFS(Data_Actuals!$E$2:$E$5000,Data_Actuals!$A$2:$A$5000,$A18,Data_Actuals!$B$2:$B$5000,$B$2),"")</f>
        <v/>
      </c>
      <c r="U18" s="42">
        <f>IF($D18="Actual",SUMIFS(Data_Actuals!$F$2:$F$5000,Data_Actuals!$A$2:$A$5000,$A18,Data_Actuals!$B$2:$B$5000,$B$2),"")</f>
        <v/>
      </c>
      <c r="V18" s="42">
        <f>IF($D18="Actual",SUMIFS(Data_Actuals!$G$2:$G$5000,Data_Actuals!$A$2:$A$5000,$A18,Data_Actuals!$B$2:$B$5000,$B$2),"")</f>
        <v/>
      </c>
      <c r="W18" s="42">
        <f>SUMIFS(Plan_Inputs!$C$2:$C$5000,Plan_Inputs!$A$2:$A$5000,$A18,Plan_Inputs!$B$2:$B$5000,$B$2)</f>
        <v/>
      </c>
      <c r="X18" s="43">
        <f>SUMIFS(Plan_Inputs!$D$2:$D$5000,Plan_Inputs!$A$2:$A$5000,$A18,Plan_Inputs!$B$2:$B$5000,$B$2)</f>
        <v/>
      </c>
      <c r="Y18" s="42">
        <f>E18</f>
        <v/>
      </c>
      <c r="Z18" s="44">
        <f>INDEX(Calendar!$H$5:$L$52,MATCH($A18,Calendar!$A$5:$A$52,0),MATCH($D$2,Calendar!$H$4:$L$4,0))</f>
        <v/>
      </c>
      <c r="AA18" s="44">
        <f>INDEX(Calendar!$M$5:$M$52,MATCH($A18,Calendar!$A$5:$A$52,0))</f>
        <v/>
      </c>
      <c r="AB18" s="45">
        <f>IF($D18="Actual",IFERROR(S18/Y18,""),"")</f>
        <v/>
      </c>
      <c r="AC18" s="46">
        <f>IF($D18="Actual",IFERROR(U18/T18/Z18/AA18,""),"")</f>
        <v/>
      </c>
      <c r="AD18" s="43">
        <f>IF($D18="Actual",IFERROR(V18/(U18+V18),""),"")</f>
        <v/>
      </c>
      <c r="AE18" s="46">
        <f>IFERROR(AC18*Z18*AA18,"")</f>
        <v/>
      </c>
      <c r="AF18" s="47" t="n"/>
      <c r="AG18" s="43">
        <f>IF($D18="Forecast",IFERROR(K18/AF18-1,""),"")</f>
        <v/>
      </c>
    </row>
    <row r="19">
      <c r="A19" s="8" t="n">
        <v>45778</v>
      </c>
      <c r="B19" s="26">
        <f>YEAR(A19)</f>
        <v/>
      </c>
      <c r="C19" s="26">
        <f>MONTH(A19)</f>
        <v/>
      </c>
      <c r="D19">
        <f>IF(A19&lt;=LastActual,"Actual","Forecast")</f>
        <v/>
      </c>
      <c r="E19" s="24">
        <f>IF($D19="Actual",R19,W19)</f>
        <v/>
      </c>
      <c r="F19" s="27">
        <f>IF($D19="Actual",S19,Cases_Forecast!AK12)</f>
        <v/>
      </c>
      <c r="G19" s="9">
        <f>IF($D19="Actual",T19,IFERROR(H19/AE19,0))</f>
        <v/>
      </c>
      <c r="H19" s="24">
        <f>IF($D19="Actual",U19,J19-I19)</f>
        <v/>
      </c>
      <c r="I19" s="24">
        <f>IF($D19="Actual",V19,IFERROR(J19*AD19,0))</f>
        <v/>
      </c>
      <c r="J19" s="24">
        <f>IF($D19="Actual",U19+V19,E19*X19)</f>
        <v/>
      </c>
      <c r="K19" s="28">
        <f>IFERROR(F19/G19,0)</f>
        <v/>
      </c>
      <c r="L19" s="29">
        <f>IFERROR(H19/G19,0)</f>
        <v/>
      </c>
      <c r="M19" s="30">
        <f>IFERROR(J19/F19,0)</f>
        <v/>
      </c>
      <c r="N19" s="10">
        <f>IFERROR(J19/E19,0)</f>
        <v/>
      </c>
      <c r="O19" s="10">
        <f>IFERROR(I19/J19,0)</f>
        <v/>
      </c>
      <c r="R19" s="42">
        <f>IF($D19="Actual",SUMIFS(Data_Actuals!$C$2:$C$5000,Data_Actuals!$A$2:$A$5000,$A19,Data_Actuals!$B$2:$B$5000,$B$2),"")</f>
        <v/>
      </c>
      <c r="S19" s="42">
        <f>IF($D19="Actual",SUMIFS(Data_Actuals!$D$2:$D$5000,Data_Actuals!$A$2:$A$5000,$A19,Data_Actuals!$B$2:$B$5000,$B$2),"")</f>
        <v/>
      </c>
      <c r="T19" s="42">
        <f>IF($D19="Actual",SUMIFS(Data_Actuals!$E$2:$E$5000,Data_Actuals!$A$2:$A$5000,$A19,Data_Actuals!$B$2:$B$5000,$B$2),"")</f>
        <v/>
      </c>
      <c r="U19" s="42">
        <f>IF($D19="Actual",SUMIFS(Data_Actuals!$F$2:$F$5000,Data_Actuals!$A$2:$A$5000,$A19,Data_Actuals!$B$2:$B$5000,$B$2),"")</f>
        <v/>
      </c>
      <c r="V19" s="42">
        <f>IF($D19="Actual",SUMIFS(Data_Actuals!$G$2:$G$5000,Data_Actuals!$A$2:$A$5000,$A19,Data_Actuals!$B$2:$B$5000,$B$2),"")</f>
        <v/>
      </c>
      <c r="W19" s="42">
        <f>SUMIFS(Plan_Inputs!$C$2:$C$5000,Plan_Inputs!$A$2:$A$5000,$A19,Plan_Inputs!$B$2:$B$5000,$B$2)</f>
        <v/>
      </c>
      <c r="X19" s="43">
        <f>SUMIFS(Plan_Inputs!$D$2:$D$5000,Plan_Inputs!$A$2:$A$5000,$A19,Plan_Inputs!$B$2:$B$5000,$B$2)</f>
        <v/>
      </c>
      <c r="Y19" s="42">
        <f>E19</f>
        <v/>
      </c>
      <c r="Z19" s="44">
        <f>INDEX(Calendar!$H$5:$L$52,MATCH($A19,Calendar!$A$5:$A$52,0),MATCH($D$2,Calendar!$H$4:$L$4,0))</f>
        <v/>
      </c>
      <c r="AA19" s="44">
        <f>INDEX(Calendar!$M$5:$M$52,MATCH($A19,Calendar!$A$5:$A$52,0))</f>
        <v/>
      </c>
      <c r="AB19" s="45">
        <f>IF($D19="Actual",IFERROR(S19/Y19,""),"")</f>
        <v/>
      </c>
      <c r="AC19" s="46">
        <f>IF($D19="Actual",IFERROR(U19/T19/Z19/AA19,""),"")</f>
        <v/>
      </c>
      <c r="AD19" s="43">
        <f>IF($D19="Actual",IFERROR(V19/(U19+V19),""),"")</f>
        <v/>
      </c>
      <c r="AE19" s="46">
        <f>IFERROR(AC19*Z19*AA19,"")</f>
        <v/>
      </c>
      <c r="AF19" s="47" t="n"/>
      <c r="AG19" s="43">
        <f>IF($D19="Forecast",IFERROR(K19/AF19-1,""),"")</f>
        <v/>
      </c>
    </row>
    <row r="20">
      <c r="A20" s="8" t="n">
        <v>45809</v>
      </c>
      <c r="B20" s="26">
        <f>YEAR(A20)</f>
        <v/>
      </c>
      <c r="C20" s="26">
        <f>MONTH(A20)</f>
        <v/>
      </c>
      <c r="D20">
        <f>IF(A20&lt;=LastActual,"Actual","Forecast")</f>
        <v/>
      </c>
      <c r="E20" s="24">
        <f>IF($D20="Actual",R20,W20)</f>
        <v/>
      </c>
      <c r="F20" s="27">
        <f>IF($D20="Actual",S20,Cases_Forecast!AK13)</f>
        <v/>
      </c>
      <c r="G20" s="9">
        <f>IF($D20="Actual",T20,IFERROR(H20/AE20,0))</f>
        <v/>
      </c>
      <c r="H20" s="24">
        <f>IF($D20="Actual",U20,J20-I20)</f>
        <v/>
      </c>
      <c r="I20" s="24">
        <f>IF($D20="Actual",V20,IFERROR(J20*AD20,0))</f>
        <v/>
      </c>
      <c r="J20" s="24">
        <f>IF($D20="Actual",U20+V20,E20*X20)</f>
        <v/>
      </c>
      <c r="K20" s="28">
        <f>IFERROR(F20/G20,0)</f>
        <v/>
      </c>
      <c r="L20" s="29">
        <f>IFERROR(H20/G20,0)</f>
        <v/>
      </c>
      <c r="M20" s="30">
        <f>IFERROR(J20/F20,0)</f>
        <v/>
      </c>
      <c r="N20" s="10">
        <f>IFERROR(J20/E20,0)</f>
        <v/>
      </c>
      <c r="O20" s="10">
        <f>IFERROR(I20/J20,0)</f>
        <v/>
      </c>
      <c r="R20" s="42">
        <f>IF($D20="Actual",SUMIFS(Data_Actuals!$C$2:$C$5000,Data_Actuals!$A$2:$A$5000,$A20,Data_Actuals!$B$2:$B$5000,$B$2),"")</f>
        <v/>
      </c>
      <c r="S20" s="42">
        <f>IF($D20="Actual",SUMIFS(Data_Actuals!$D$2:$D$5000,Data_Actuals!$A$2:$A$5000,$A20,Data_Actuals!$B$2:$B$5000,$B$2),"")</f>
        <v/>
      </c>
      <c r="T20" s="42">
        <f>IF($D20="Actual",SUMIFS(Data_Actuals!$E$2:$E$5000,Data_Actuals!$A$2:$A$5000,$A20,Data_Actuals!$B$2:$B$5000,$B$2),"")</f>
        <v/>
      </c>
      <c r="U20" s="42">
        <f>IF($D20="Actual",SUMIFS(Data_Actuals!$F$2:$F$5000,Data_Actuals!$A$2:$A$5000,$A20,Data_Actuals!$B$2:$B$5000,$B$2),"")</f>
        <v/>
      </c>
      <c r="V20" s="42">
        <f>IF($D20="Actual",SUMIFS(Data_Actuals!$G$2:$G$5000,Data_Actuals!$A$2:$A$5000,$A20,Data_Actuals!$B$2:$B$5000,$B$2),"")</f>
        <v/>
      </c>
      <c r="W20" s="42">
        <f>SUMIFS(Plan_Inputs!$C$2:$C$5000,Plan_Inputs!$A$2:$A$5000,$A20,Plan_Inputs!$B$2:$B$5000,$B$2)</f>
        <v/>
      </c>
      <c r="X20" s="43">
        <f>SUMIFS(Plan_Inputs!$D$2:$D$5000,Plan_Inputs!$A$2:$A$5000,$A20,Plan_Inputs!$B$2:$B$5000,$B$2)</f>
        <v/>
      </c>
      <c r="Y20" s="42">
        <f>E20</f>
        <v/>
      </c>
      <c r="Z20" s="44">
        <f>INDEX(Calendar!$H$5:$L$52,MATCH($A20,Calendar!$A$5:$A$52,0),MATCH($D$2,Calendar!$H$4:$L$4,0))</f>
        <v/>
      </c>
      <c r="AA20" s="44">
        <f>INDEX(Calendar!$M$5:$M$52,MATCH($A20,Calendar!$A$5:$A$52,0))</f>
        <v/>
      </c>
      <c r="AB20" s="45">
        <f>IF($D20="Actual",IFERROR(S20/Y20,""),"")</f>
        <v/>
      </c>
      <c r="AC20" s="46">
        <f>IF($D20="Actual",IFERROR(U20/T20/Z20/AA20,""),"")</f>
        <v/>
      </c>
      <c r="AD20" s="43">
        <f>IF($D20="Actual",IFERROR(V20/(U20+V20),""),"")</f>
        <v/>
      </c>
      <c r="AE20" s="46">
        <f>IFERROR(AC20*Z20*AA20,"")</f>
        <v/>
      </c>
      <c r="AF20" s="47" t="n"/>
      <c r="AG20" s="43">
        <f>IF($D20="Forecast",IFERROR(K20/AF20-1,""),"")</f>
        <v/>
      </c>
    </row>
    <row r="21">
      <c r="A21" s="8" t="n">
        <v>45839</v>
      </c>
      <c r="B21" s="26">
        <f>YEAR(A21)</f>
        <v/>
      </c>
      <c r="C21" s="26">
        <f>MONTH(A21)</f>
        <v/>
      </c>
      <c r="D21">
        <f>IF(A21&lt;=LastActual,"Actual","Forecast")</f>
        <v/>
      </c>
      <c r="E21" s="24">
        <f>IF($D21="Actual",R21,W21)</f>
        <v/>
      </c>
      <c r="F21" s="27">
        <f>IF($D21="Actual",S21,Cases_Forecast!AK14)</f>
        <v/>
      </c>
      <c r="G21" s="9">
        <f>IF($D21="Actual",T21,IFERROR(H21/AE21,0))</f>
        <v/>
      </c>
      <c r="H21" s="24">
        <f>IF($D21="Actual",U21,J21-I21)</f>
        <v/>
      </c>
      <c r="I21" s="24">
        <f>IF($D21="Actual",V21,IFERROR(J21*AD21,0))</f>
        <v/>
      </c>
      <c r="J21" s="24">
        <f>IF($D21="Actual",U21+V21,E21*X21)</f>
        <v/>
      </c>
      <c r="K21" s="28">
        <f>IFERROR(F21/G21,0)</f>
        <v/>
      </c>
      <c r="L21" s="29">
        <f>IFERROR(H21/G21,0)</f>
        <v/>
      </c>
      <c r="M21" s="30">
        <f>IFERROR(J21/F21,0)</f>
        <v/>
      </c>
      <c r="N21" s="10">
        <f>IFERROR(J21/E21,0)</f>
        <v/>
      </c>
      <c r="O21" s="10">
        <f>IFERROR(I21/J21,0)</f>
        <v/>
      </c>
      <c r="R21" s="42">
        <f>IF($D21="Actual",SUMIFS(Data_Actuals!$C$2:$C$5000,Data_Actuals!$A$2:$A$5000,$A21,Data_Actuals!$B$2:$B$5000,$B$2),"")</f>
        <v/>
      </c>
      <c r="S21" s="42">
        <f>IF($D21="Actual",SUMIFS(Data_Actuals!$D$2:$D$5000,Data_Actuals!$A$2:$A$5000,$A21,Data_Actuals!$B$2:$B$5000,$B$2),"")</f>
        <v/>
      </c>
      <c r="T21" s="42">
        <f>IF($D21="Actual",SUMIFS(Data_Actuals!$E$2:$E$5000,Data_Actuals!$A$2:$A$5000,$A21,Data_Actuals!$B$2:$B$5000,$B$2),"")</f>
        <v/>
      </c>
      <c r="U21" s="42">
        <f>IF($D21="Actual",SUMIFS(Data_Actuals!$F$2:$F$5000,Data_Actuals!$A$2:$A$5000,$A21,Data_Actuals!$B$2:$B$5000,$B$2),"")</f>
        <v/>
      </c>
      <c r="V21" s="42">
        <f>IF($D21="Actual",SUMIFS(Data_Actuals!$G$2:$G$5000,Data_Actuals!$A$2:$A$5000,$A21,Data_Actuals!$B$2:$B$5000,$B$2),"")</f>
        <v/>
      </c>
      <c r="W21" s="42">
        <f>SUMIFS(Plan_Inputs!$C$2:$C$5000,Plan_Inputs!$A$2:$A$5000,$A21,Plan_Inputs!$B$2:$B$5000,$B$2)</f>
        <v/>
      </c>
      <c r="X21" s="43">
        <f>SUMIFS(Plan_Inputs!$D$2:$D$5000,Plan_Inputs!$A$2:$A$5000,$A21,Plan_Inputs!$B$2:$B$5000,$B$2)</f>
        <v/>
      </c>
      <c r="Y21" s="42">
        <f>E21</f>
        <v/>
      </c>
      <c r="Z21" s="44">
        <f>INDEX(Calendar!$H$5:$L$52,MATCH($A21,Calendar!$A$5:$A$52,0),MATCH($D$2,Calendar!$H$4:$L$4,0))</f>
        <v/>
      </c>
      <c r="AA21" s="44">
        <f>INDEX(Calendar!$M$5:$M$52,MATCH($A21,Calendar!$A$5:$A$52,0))</f>
        <v/>
      </c>
      <c r="AB21" s="45">
        <f>IF($D21="Actual",IFERROR(S21/Y21,""),"")</f>
        <v/>
      </c>
      <c r="AC21" s="46">
        <f>IF($D21="Actual",IFERROR(U21/T21/Z21/AA21,""),"")</f>
        <v/>
      </c>
      <c r="AD21" s="43">
        <f>IF($D21="Actual",IFERROR(V21/(U21+V21),""),"")</f>
        <v/>
      </c>
      <c r="AE21" s="46">
        <f>IFERROR(AC21*Z21*AA21,"")</f>
        <v/>
      </c>
      <c r="AF21" s="47" t="n"/>
      <c r="AG21" s="43">
        <f>IF($D21="Forecast",IFERROR(K21/AF21-1,""),"")</f>
        <v/>
      </c>
    </row>
    <row r="22">
      <c r="A22" s="8" t="n">
        <v>45870</v>
      </c>
      <c r="B22" s="26">
        <f>YEAR(A22)</f>
        <v/>
      </c>
      <c r="C22" s="26">
        <f>MONTH(A22)</f>
        <v/>
      </c>
      <c r="D22">
        <f>IF(A22&lt;=LastActual,"Actual","Forecast")</f>
        <v/>
      </c>
      <c r="E22" s="24">
        <f>IF($D22="Actual",R22,W22)</f>
        <v/>
      </c>
      <c r="F22" s="27">
        <f>IF($D22="Actual",S22,Cases_Forecast!AK15)</f>
        <v/>
      </c>
      <c r="G22" s="9">
        <f>IF($D22="Actual",T22,IFERROR(H22/AE22,0))</f>
        <v/>
      </c>
      <c r="H22" s="24">
        <f>IF($D22="Actual",U22,J22-I22)</f>
        <v/>
      </c>
      <c r="I22" s="24">
        <f>IF($D22="Actual",V22,IFERROR(J22*AD22,0))</f>
        <v/>
      </c>
      <c r="J22" s="24">
        <f>IF($D22="Actual",U22+V22,E22*X22)</f>
        <v/>
      </c>
      <c r="K22" s="28">
        <f>IFERROR(F22/G22,0)</f>
        <v/>
      </c>
      <c r="L22" s="29">
        <f>IFERROR(H22/G22,0)</f>
        <v/>
      </c>
      <c r="M22" s="30">
        <f>IFERROR(J22/F22,0)</f>
        <v/>
      </c>
      <c r="N22" s="10">
        <f>IFERROR(J22/E22,0)</f>
        <v/>
      </c>
      <c r="O22" s="10">
        <f>IFERROR(I22/J22,0)</f>
        <v/>
      </c>
      <c r="R22" s="42">
        <f>IF($D22="Actual",SUMIFS(Data_Actuals!$C$2:$C$5000,Data_Actuals!$A$2:$A$5000,$A22,Data_Actuals!$B$2:$B$5000,$B$2),"")</f>
        <v/>
      </c>
      <c r="S22" s="42">
        <f>IF($D22="Actual",SUMIFS(Data_Actuals!$D$2:$D$5000,Data_Actuals!$A$2:$A$5000,$A22,Data_Actuals!$B$2:$B$5000,$B$2),"")</f>
        <v/>
      </c>
      <c r="T22" s="42">
        <f>IF($D22="Actual",SUMIFS(Data_Actuals!$E$2:$E$5000,Data_Actuals!$A$2:$A$5000,$A22,Data_Actuals!$B$2:$B$5000,$B$2),"")</f>
        <v/>
      </c>
      <c r="U22" s="42">
        <f>IF($D22="Actual",SUMIFS(Data_Actuals!$F$2:$F$5000,Data_Actuals!$A$2:$A$5000,$A22,Data_Actuals!$B$2:$B$5000,$B$2),"")</f>
        <v/>
      </c>
      <c r="V22" s="42">
        <f>IF($D22="Actual",SUMIFS(Data_Actuals!$G$2:$G$5000,Data_Actuals!$A$2:$A$5000,$A22,Data_Actuals!$B$2:$B$5000,$B$2),"")</f>
        <v/>
      </c>
      <c r="W22" s="42">
        <f>SUMIFS(Plan_Inputs!$C$2:$C$5000,Plan_Inputs!$A$2:$A$5000,$A22,Plan_Inputs!$B$2:$B$5000,$B$2)</f>
        <v/>
      </c>
      <c r="X22" s="43">
        <f>SUMIFS(Plan_Inputs!$D$2:$D$5000,Plan_Inputs!$A$2:$A$5000,$A22,Plan_Inputs!$B$2:$B$5000,$B$2)</f>
        <v/>
      </c>
      <c r="Y22" s="42">
        <f>E22</f>
        <v/>
      </c>
      <c r="Z22" s="44">
        <f>INDEX(Calendar!$H$5:$L$52,MATCH($A22,Calendar!$A$5:$A$52,0),MATCH($D$2,Calendar!$H$4:$L$4,0))</f>
        <v/>
      </c>
      <c r="AA22" s="44">
        <f>INDEX(Calendar!$M$5:$M$52,MATCH($A22,Calendar!$A$5:$A$52,0))</f>
        <v/>
      </c>
      <c r="AB22" s="45">
        <f>IF($D22="Actual",IFERROR(S22/Y22,""),"")</f>
        <v/>
      </c>
      <c r="AC22" s="46">
        <f>IF($D22="Actual",IFERROR(U22/T22/Z22/AA22,""),"")</f>
        <v/>
      </c>
      <c r="AD22" s="43">
        <f>IF($D22="Actual",IFERROR(V22/(U22+V22),""),"")</f>
        <v/>
      </c>
      <c r="AE22" s="46">
        <f>IFERROR(AC22*Z22*AA22,"")</f>
        <v/>
      </c>
      <c r="AF22" s="47" t="n"/>
      <c r="AG22" s="43">
        <f>IF($D22="Forecast",IFERROR(K22/AF22-1,""),"")</f>
        <v/>
      </c>
    </row>
    <row r="23">
      <c r="A23" s="8" t="n">
        <v>45901</v>
      </c>
      <c r="B23" s="26">
        <f>YEAR(A23)</f>
        <v/>
      </c>
      <c r="C23" s="26">
        <f>MONTH(A23)</f>
        <v/>
      </c>
      <c r="D23">
        <f>IF(A23&lt;=LastActual,"Actual","Forecast")</f>
        <v/>
      </c>
      <c r="E23" s="24">
        <f>IF($D23="Actual",R23,W23)</f>
        <v/>
      </c>
      <c r="F23" s="27">
        <f>IF($D23="Actual",S23,Cases_Forecast!AK16)</f>
        <v/>
      </c>
      <c r="G23" s="9">
        <f>IF($D23="Actual",T23,IFERROR(H23/AE23,0))</f>
        <v/>
      </c>
      <c r="H23" s="24">
        <f>IF($D23="Actual",U23,J23-I23)</f>
        <v/>
      </c>
      <c r="I23" s="24">
        <f>IF($D23="Actual",V23,IFERROR(J23*AD23,0))</f>
        <v/>
      </c>
      <c r="J23" s="24">
        <f>IF($D23="Actual",U23+V23,E23*X23)</f>
        <v/>
      </c>
      <c r="K23" s="28">
        <f>IFERROR(F23/G23,0)</f>
        <v/>
      </c>
      <c r="L23" s="29">
        <f>IFERROR(H23/G23,0)</f>
        <v/>
      </c>
      <c r="M23" s="30">
        <f>IFERROR(J23/F23,0)</f>
        <v/>
      </c>
      <c r="N23" s="10">
        <f>IFERROR(J23/E23,0)</f>
        <v/>
      </c>
      <c r="O23" s="10">
        <f>IFERROR(I23/J23,0)</f>
        <v/>
      </c>
      <c r="R23" s="42">
        <f>IF($D23="Actual",SUMIFS(Data_Actuals!$C$2:$C$5000,Data_Actuals!$A$2:$A$5000,$A23,Data_Actuals!$B$2:$B$5000,$B$2),"")</f>
        <v/>
      </c>
      <c r="S23" s="42">
        <f>IF($D23="Actual",SUMIFS(Data_Actuals!$D$2:$D$5000,Data_Actuals!$A$2:$A$5000,$A23,Data_Actuals!$B$2:$B$5000,$B$2),"")</f>
        <v/>
      </c>
      <c r="T23" s="42">
        <f>IF($D23="Actual",SUMIFS(Data_Actuals!$E$2:$E$5000,Data_Actuals!$A$2:$A$5000,$A23,Data_Actuals!$B$2:$B$5000,$B$2),"")</f>
        <v/>
      </c>
      <c r="U23" s="42">
        <f>IF($D23="Actual",SUMIFS(Data_Actuals!$F$2:$F$5000,Data_Actuals!$A$2:$A$5000,$A23,Data_Actuals!$B$2:$B$5000,$B$2),"")</f>
        <v/>
      </c>
      <c r="V23" s="42">
        <f>IF($D23="Actual",SUMIFS(Data_Actuals!$G$2:$G$5000,Data_Actuals!$A$2:$A$5000,$A23,Data_Actuals!$B$2:$B$5000,$B$2),"")</f>
        <v/>
      </c>
      <c r="W23" s="42">
        <f>SUMIFS(Plan_Inputs!$C$2:$C$5000,Plan_Inputs!$A$2:$A$5000,$A23,Plan_Inputs!$B$2:$B$5000,$B$2)</f>
        <v/>
      </c>
      <c r="X23" s="43">
        <f>SUMIFS(Plan_Inputs!$D$2:$D$5000,Plan_Inputs!$A$2:$A$5000,$A23,Plan_Inputs!$B$2:$B$5000,$B$2)</f>
        <v/>
      </c>
      <c r="Y23" s="42">
        <f>E23</f>
        <v/>
      </c>
      <c r="Z23" s="44">
        <f>INDEX(Calendar!$H$5:$L$52,MATCH($A23,Calendar!$A$5:$A$52,0),MATCH($D$2,Calendar!$H$4:$L$4,0))</f>
        <v/>
      </c>
      <c r="AA23" s="44">
        <f>INDEX(Calendar!$M$5:$M$52,MATCH($A23,Calendar!$A$5:$A$52,0))</f>
        <v/>
      </c>
      <c r="AB23" s="45">
        <f>IF($D23="Actual",IFERROR(S23/Y23,""),"")</f>
        <v/>
      </c>
      <c r="AC23" s="46">
        <f>IF($D23="Actual",IFERROR(U23/T23/Z23/AA23,""),"")</f>
        <v/>
      </c>
      <c r="AD23" s="43">
        <f>IF($D23="Actual",IFERROR(V23/(U23+V23),""),"")</f>
        <v/>
      </c>
      <c r="AE23" s="46">
        <f>IFERROR(AC23*Z23*AA23,"")</f>
        <v/>
      </c>
      <c r="AF23" s="47" t="n"/>
      <c r="AG23" s="43">
        <f>IF($D23="Forecast",IFERROR(K23/AF23-1,""),"")</f>
        <v/>
      </c>
    </row>
    <row r="24">
      <c r="A24" s="8" t="n">
        <v>45931</v>
      </c>
      <c r="B24" s="26">
        <f>YEAR(A24)</f>
        <v/>
      </c>
      <c r="C24" s="26">
        <f>MONTH(A24)</f>
        <v/>
      </c>
      <c r="D24">
        <f>IF(A24&lt;=LastActual,"Actual","Forecast")</f>
        <v/>
      </c>
      <c r="E24" s="24">
        <f>IF($D24="Actual",R24,W24)</f>
        <v/>
      </c>
      <c r="F24" s="27">
        <f>IF($D24="Actual",S24,Cases_Forecast!AK17)</f>
        <v/>
      </c>
      <c r="G24" s="9">
        <f>IF($D24="Actual",T24,IFERROR(H24/AE24,0))</f>
        <v/>
      </c>
      <c r="H24" s="24">
        <f>IF($D24="Actual",U24,J24-I24)</f>
        <v/>
      </c>
      <c r="I24" s="24">
        <f>IF($D24="Actual",V24,IFERROR(J24*AD24,0))</f>
        <v/>
      </c>
      <c r="J24" s="24">
        <f>IF($D24="Actual",U24+V24,E24*X24)</f>
        <v/>
      </c>
      <c r="K24" s="28">
        <f>IFERROR(F24/G24,0)</f>
        <v/>
      </c>
      <c r="L24" s="29">
        <f>IFERROR(H24/G24,0)</f>
        <v/>
      </c>
      <c r="M24" s="30">
        <f>IFERROR(J24/F24,0)</f>
        <v/>
      </c>
      <c r="N24" s="10">
        <f>IFERROR(J24/E24,0)</f>
        <v/>
      </c>
      <c r="O24" s="10">
        <f>IFERROR(I24/J24,0)</f>
        <v/>
      </c>
      <c r="R24" s="42">
        <f>IF($D24="Actual",SUMIFS(Data_Actuals!$C$2:$C$5000,Data_Actuals!$A$2:$A$5000,$A24,Data_Actuals!$B$2:$B$5000,$B$2),"")</f>
        <v/>
      </c>
      <c r="S24" s="42">
        <f>IF($D24="Actual",SUMIFS(Data_Actuals!$D$2:$D$5000,Data_Actuals!$A$2:$A$5000,$A24,Data_Actuals!$B$2:$B$5000,$B$2),"")</f>
        <v/>
      </c>
      <c r="T24" s="42">
        <f>IF($D24="Actual",SUMIFS(Data_Actuals!$E$2:$E$5000,Data_Actuals!$A$2:$A$5000,$A24,Data_Actuals!$B$2:$B$5000,$B$2),"")</f>
        <v/>
      </c>
      <c r="U24" s="42">
        <f>IF($D24="Actual",SUMIFS(Data_Actuals!$F$2:$F$5000,Data_Actuals!$A$2:$A$5000,$A24,Data_Actuals!$B$2:$B$5000,$B$2),"")</f>
        <v/>
      </c>
      <c r="V24" s="42">
        <f>IF($D24="Actual",SUMIFS(Data_Actuals!$G$2:$G$5000,Data_Actuals!$A$2:$A$5000,$A24,Data_Actuals!$B$2:$B$5000,$B$2),"")</f>
        <v/>
      </c>
      <c r="W24" s="42">
        <f>SUMIFS(Plan_Inputs!$C$2:$C$5000,Plan_Inputs!$A$2:$A$5000,$A24,Plan_Inputs!$B$2:$B$5000,$B$2)</f>
        <v/>
      </c>
      <c r="X24" s="43">
        <f>SUMIFS(Plan_Inputs!$D$2:$D$5000,Plan_Inputs!$A$2:$A$5000,$A24,Plan_Inputs!$B$2:$B$5000,$B$2)</f>
        <v/>
      </c>
      <c r="Y24" s="42">
        <f>E24</f>
        <v/>
      </c>
      <c r="Z24" s="44">
        <f>INDEX(Calendar!$H$5:$L$52,MATCH($A24,Calendar!$A$5:$A$52,0),MATCH($D$2,Calendar!$H$4:$L$4,0))</f>
        <v/>
      </c>
      <c r="AA24" s="44">
        <f>INDEX(Calendar!$M$5:$M$52,MATCH($A24,Calendar!$A$5:$A$52,0))</f>
        <v/>
      </c>
      <c r="AB24" s="45">
        <f>IF($D24="Actual",IFERROR(S24/Y24,""),"")</f>
        <v/>
      </c>
      <c r="AC24" s="46">
        <f>IF($D24="Actual",IFERROR(U24/T24/Z24/AA24,""),"")</f>
        <v/>
      </c>
      <c r="AD24" s="43">
        <f>IF($D24="Actual",IFERROR(V24/(U24+V24),""),"")</f>
        <v/>
      </c>
      <c r="AE24" s="46">
        <f>IFERROR(AC24*Z24*AA24,"")</f>
        <v/>
      </c>
      <c r="AF24" s="47" t="n"/>
      <c r="AG24" s="43">
        <f>IF($D24="Forecast",IFERROR(K24/AF24-1,""),"")</f>
        <v/>
      </c>
    </row>
    <row r="25">
      <c r="A25" s="8" t="n">
        <v>45962</v>
      </c>
      <c r="B25" s="26">
        <f>YEAR(A25)</f>
        <v/>
      </c>
      <c r="C25" s="26">
        <f>MONTH(A25)</f>
        <v/>
      </c>
      <c r="D25">
        <f>IF(A25&lt;=LastActual,"Actual","Forecast")</f>
        <v/>
      </c>
      <c r="E25" s="24">
        <f>IF($D25="Actual",R25,W25)</f>
        <v/>
      </c>
      <c r="F25" s="27">
        <f>IF($D25="Actual",S25,Cases_Forecast!AK18)</f>
        <v/>
      </c>
      <c r="G25" s="9">
        <f>IF($D25="Actual",T25,IFERROR(H25/AE25,0))</f>
        <v/>
      </c>
      <c r="H25" s="24">
        <f>IF($D25="Actual",U25,J25-I25)</f>
        <v/>
      </c>
      <c r="I25" s="24">
        <f>IF($D25="Actual",V25,IFERROR(J25*AD25,0))</f>
        <v/>
      </c>
      <c r="J25" s="24">
        <f>IF($D25="Actual",U25+V25,E25*X25)</f>
        <v/>
      </c>
      <c r="K25" s="28">
        <f>IFERROR(F25/G25,0)</f>
        <v/>
      </c>
      <c r="L25" s="29">
        <f>IFERROR(H25/G25,0)</f>
        <v/>
      </c>
      <c r="M25" s="30">
        <f>IFERROR(J25/F25,0)</f>
        <v/>
      </c>
      <c r="N25" s="10">
        <f>IFERROR(J25/E25,0)</f>
        <v/>
      </c>
      <c r="O25" s="10">
        <f>IFERROR(I25/J25,0)</f>
        <v/>
      </c>
      <c r="R25" s="42">
        <f>IF($D25="Actual",SUMIFS(Data_Actuals!$C$2:$C$5000,Data_Actuals!$A$2:$A$5000,$A25,Data_Actuals!$B$2:$B$5000,$B$2),"")</f>
        <v/>
      </c>
      <c r="S25" s="42">
        <f>IF($D25="Actual",SUMIFS(Data_Actuals!$D$2:$D$5000,Data_Actuals!$A$2:$A$5000,$A25,Data_Actuals!$B$2:$B$5000,$B$2),"")</f>
        <v/>
      </c>
      <c r="T25" s="42">
        <f>IF($D25="Actual",SUMIFS(Data_Actuals!$E$2:$E$5000,Data_Actuals!$A$2:$A$5000,$A25,Data_Actuals!$B$2:$B$5000,$B$2),"")</f>
        <v/>
      </c>
      <c r="U25" s="42">
        <f>IF($D25="Actual",SUMIFS(Data_Actuals!$F$2:$F$5000,Data_Actuals!$A$2:$A$5000,$A25,Data_Actuals!$B$2:$B$5000,$B$2),"")</f>
        <v/>
      </c>
      <c r="V25" s="42">
        <f>IF($D25="Actual",SUMIFS(Data_Actuals!$G$2:$G$5000,Data_Actuals!$A$2:$A$5000,$A25,Data_Actuals!$B$2:$B$5000,$B$2),"")</f>
        <v/>
      </c>
      <c r="W25" s="42">
        <f>SUMIFS(Plan_Inputs!$C$2:$C$5000,Plan_Inputs!$A$2:$A$5000,$A25,Plan_Inputs!$B$2:$B$5000,$B$2)</f>
        <v/>
      </c>
      <c r="X25" s="43">
        <f>SUMIFS(Plan_Inputs!$D$2:$D$5000,Plan_Inputs!$A$2:$A$5000,$A25,Plan_Inputs!$B$2:$B$5000,$B$2)</f>
        <v/>
      </c>
      <c r="Y25" s="42">
        <f>E25</f>
        <v/>
      </c>
      <c r="Z25" s="44">
        <f>INDEX(Calendar!$H$5:$L$52,MATCH($A25,Calendar!$A$5:$A$52,0),MATCH($D$2,Calendar!$H$4:$L$4,0))</f>
        <v/>
      </c>
      <c r="AA25" s="44">
        <f>INDEX(Calendar!$M$5:$M$52,MATCH($A25,Calendar!$A$5:$A$52,0))</f>
        <v/>
      </c>
      <c r="AB25" s="45">
        <f>IF($D25="Actual",IFERROR(S25/Y25,""),"")</f>
        <v/>
      </c>
      <c r="AC25" s="46">
        <f>IF($D25="Actual",IFERROR(U25/T25/Z25/AA25,""),"")</f>
        <v/>
      </c>
      <c r="AD25" s="43">
        <f>IF($D25="Actual",IFERROR(V25/(U25+V25),""),"")</f>
        <v/>
      </c>
      <c r="AE25" s="46">
        <f>IFERROR(AC25*Z25*AA25,"")</f>
        <v/>
      </c>
      <c r="AF25" s="47" t="n"/>
      <c r="AG25" s="43">
        <f>IF($D25="Forecast",IFERROR(K25/AF25-1,""),"")</f>
        <v/>
      </c>
    </row>
    <row r="26">
      <c r="A26" s="31" t="n">
        <v>45992</v>
      </c>
      <c r="B26" s="32">
        <f>YEAR(A26)</f>
        <v/>
      </c>
      <c r="C26" s="32">
        <f>MONTH(A26)</f>
        <v/>
      </c>
      <c r="D26" s="33">
        <f>IF(A26&lt;=LastActual,"Actual","Forecast")</f>
        <v/>
      </c>
      <c r="E26" s="34">
        <f>IF($D26="Actual",R26,W26)</f>
        <v/>
      </c>
      <c r="F26" s="35">
        <f>IF($D26="Actual",S26,Cases_Forecast!AK19)</f>
        <v/>
      </c>
      <c r="G26" s="36">
        <f>IF($D26="Actual",T26,IFERROR(H26/AE26,0))</f>
        <v/>
      </c>
      <c r="H26" s="34">
        <f>IF($D26="Actual",U26,J26-I26)</f>
        <v/>
      </c>
      <c r="I26" s="34">
        <f>IF($D26="Actual",V26,IFERROR(J26*AD26,0))</f>
        <v/>
      </c>
      <c r="J26" s="34">
        <f>IF($D26="Actual",U26+V26,E26*X26)</f>
        <v/>
      </c>
      <c r="K26" s="37">
        <f>IFERROR(F26/G26,0)</f>
        <v/>
      </c>
      <c r="L26" s="38">
        <f>IFERROR(H26/G26,0)</f>
        <v/>
      </c>
      <c r="M26" s="39">
        <f>IFERROR(J26/F26,0)</f>
        <v/>
      </c>
      <c r="N26" s="40">
        <f>IFERROR(J26/E26,0)</f>
        <v/>
      </c>
      <c r="O26" s="40">
        <f>IFERROR(I26/J26,0)</f>
        <v/>
      </c>
      <c r="R26" s="42">
        <f>IF($D26="Actual",SUMIFS(Data_Actuals!$C$2:$C$5000,Data_Actuals!$A$2:$A$5000,$A26,Data_Actuals!$B$2:$B$5000,$B$2),"")</f>
        <v/>
      </c>
      <c r="S26" s="42">
        <f>IF($D26="Actual",SUMIFS(Data_Actuals!$D$2:$D$5000,Data_Actuals!$A$2:$A$5000,$A26,Data_Actuals!$B$2:$B$5000,$B$2),"")</f>
        <v/>
      </c>
      <c r="T26" s="42">
        <f>IF($D26="Actual",SUMIFS(Data_Actuals!$E$2:$E$5000,Data_Actuals!$A$2:$A$5000,$A26,Data_Actuals!$B$2:$B$5000,$B$2),"")</f>
        <v/>
      </c>
      <c r="U26" s="42">
        <f>IF($D26="Actual",SUMIFS(Data_Actuals!$F$2:$F$5000,Data_Actuals!$A$2:$A$5000,$A26,Data_Actuals!$B$2:$B$5000,$B$2),"")</f>
        <v/>
      </c>
      <c r="V26" s="42">
        <f>IF($D26="Actual",SUMIFS(Data_Actuals!$G$2:$G$5000,Data_Actuals!$A$2:$A$5000,$A26,Data_Actuals!$B$2:$B$5000,$B$2),"")</f>
        <v/>
      </c>
      <c r="W26" s="42">
        <f>SUMIFS(Plan_Inputs!$C$2:$C$5000,Plan_Inputs!$A$2:$A$5000,$A26,Plan_Inputs!$B$2:$B$5000,$B$2)</f>
        <v/>
      </c>
      <c r="X26" s="43">
        <f>SUMIFS(Plan_Inputs!$D$2:$D$5000,Plan_Inputs!$A$2:$A$5000,$A26,Plan_Inputs!$B$2:$B$5000,$B$2)</f>
        <v/>
      </c>
      <c r="Y26" s="42">
        <f>E26</f>
        <v/>
      </c>
      <c r="Z26" s="44">
        <f>INDEX(Calendar!$H$5:$L$52,MATCH($A26,Calendar!$A$5:$A$52,0),MATCH($D$2,Calendar!$H$4:$L$4,0))</f>
        <v/>
      </c>
      <c r="AA26" s="44">
        <f>INDEX(Calendar!$M$5:$M$52,MATCH($A26,Calendar!$A$5:$A$52,0))</f>
        <v/>
      </c>
      <c r="AB26" s="45">
        <f>IF($D26="Actual",IFERROR(S26/Y26,""),"")</f>
        <v/>
      </c>
      <c r="AC26" s="46">
        <f>IF($D26="Actual",IFERROR(U26/T26/Z26/AA26,""),"")</f>
        <v/>
      </c>
      <c r="AD26" s="43">
        <f>IF($D26="Actual",IFERROR(V26/(U26+V26),""),"")</f>
        <v/>
      </c>
      <c r="AE26" s="46">
        <f>IFERROR(AC26*Z26*AA26,"")</f>
        <v/>
      </c>
      <c r="AF26" s="47" t="n"/>
      <c r="AG26" s="43">
        <f>IF($D26="Forecast",IFERROR(K26/AF26-1,""),"")</f>
        <v/>
      </c>
    </row>
    <row r="27">
      <c r="A27" s="8" t="n">
        <v>46023</v>
      </c>
      <c r="B27" s="26">
        <f>YEAR(A27)</f>
        <v/>
      </c>
      <c r="C27" s="26">
        <f>MONTH(A27)</f>
        <v/>
      </c>
      <c r="D27">
        <f>IF(A27&lt;=LastActual,"Actual","Forecast")</f>
        <v/>
      </c>
      <c r="E27" s="24">
        <f>IF($D27="Actual",R27,W27)</f>
        <v/>
      </c>
      <c r="F27" s="27">
        <f>IF($D27="Actual",S27,Cases_Forecast!AK20)</f>
        <v/>
      </c>
      <c r="G27" s="9">
        <f>IF($D27="Actual",T27,IFERROR(H27/AE27,0))</f>
        <v/>
      </c>
      <c r="H27" s="24">
        <f>IF($D27="Actual",U27,J27-I27)</f>
        <v/>
      </c>
      <c r="I27" s="24">
        <f>IF($D27="Actual",V27,IFERROR(J27*AD27,0))</f>
        <v/>
      </c>
      <c r="J27" s="24">
        <f>IF($D27="Actual",U27+V27,E27*X27)</f>
        <v/>
      </c>
      <c r="K27" s="28">
        <f>IFERROR(F27/G27,0)</f>
        <v/>
      </c>
      <c r="L27" s="29">
        <f>IFERROR(H27/G27,0)</f>
        <v/>
      </c>
      <c r="M27" s="30">
        <f>IFERROR(J27/F27,0)</f>
        <v/>
      </c>
      <c r="N27" s="10">
        <f>IFERROR(J27/E27,0)</f>
        <v/>
      </c>
      <c r="O27" s="10">
        <f>IFERROR(I27/J27,0)</f>
        <v/>
      </c>
      <c r="R27" s="42">
        <f>IF($D27="Actual",SUMIFS(Data_Actuals!$C$2:$C$5000,Data_Actuals!$A$2:$A$5000,$A27,Data_Actuals!$B$2:$B$5000,$B$2),"")</f>
        <v/>
      </c>
      <c r="S27" s="42">
        <f>IF($D27="Actual",SUMIFS(Data_Actuals!$D$2:$D$5000,Data_Actuals!$A$2:$A$5000,$A27,Data_Actuals!$B$2:$B$5000,$B$2),"")</f>
        <v/>
      </c>
      <c r="T27" s="42">
        <f>IF($D27="Actual",SUMIFS(Data_Actuals!$E$2:$E$5000,Data_Actuals!$A$2:$A$5000,$A27,Data_Actuals!$B$2:$B$5000,$B$2),"")</f>
        <v/>
      </c>
      <c r="U27" s="42">
        <f>IF($D27="Actual",SUMIFS(Data_Actuals!$F$2:$F$5000,Data_Actuals!$A$2:$A$5000,$A27,Data_Actuals!$B$2:$B$5000,$B$2),"")</f>
        <v/>
      </c>
      <c r="V27" s="42">
        <f>IF($D27="Actual",SUMIFS(Data_Actuals!$G$2:$G$5000,Data_Actuals!$A$2:$A$5000,$A27,Data_Actuals!$B$2:$B$5000,$B$2),"")</f>
        <v/>
      </c>
      <c r="W27" s="42">
        <f>SUMIFS(Plan_Inputs!$C$2:$C$5000,Plan_Inputs!$A$2:$A$5000,$A27,Plan_Inputs!$B$2:$B$5000,$B$2)</f>
        <v/>
      </c>
      <c r="X27" s="43">
        <f>SUMIFS(Plan_Inputs!$D$2:$D$5000,Plan_Inputs!$A$2:$A$5000,$A27,Plan_Inputs!$B$2:$B$5000,$B$2)</f>
        <v/>
      </c>
      <c r="Y27" s="42">
        <f>E27</f>
        <v/>
      </c>
      <c r="Z27" s="44">
        <f>INDEX(Calendar!$H$5:$L$52,MATCH($A27,Calendar!$A$5:$A$52,0),MATCH($D$2,Calendar!$H$4:$L$4,0))</f>
        <v/>
      </c>
      <c r="AA27" s="44">
        <f>INDEX(Calendar!$M$5:$M$52,MATCH($A27,Calendar!$A$5:$A$52,0))</f>
        <v/>
      </c>
      <c r="AB27" s="45">
        <f>IF($D27="Actual",IFERROR(S27/Y27,""),AB15)</f>
        <v/>
      </c>
      <c r="AC27" s="46">
        <f>IF($D27="Actual",IFERROR(U27/T27/Z27/AA27,""),AC15)</f>
        <v/>
      </c>
      <c r="AD27" s="43">
        <f>IF($D27="Actual",IFERROR(V27/(U27+V27),""),AD15)</f>
        <v/>
      </c>
      <c r="AE27" s="46">
        <f>IFERROR(AC27*Z27*AA27,"")</f>
        <v/>
      </c>
      <c r="AF27" s="47">
        <f>K15</f>
        <v/>
      </c>
      <c r="AG27" s="43">
        <f>IF($D27="Forecast",IFERROR(K27/AF27-1,""),"")</f>
        <v/>
      </c>
    </row>
    <row r="28">
      <c r="A28" s="8" t="n">
        <v>46054</v>
      </c>
      <c r="B28" s="26">
        <f>YEAR(A28)</f>
        <v/>
      </c>
      <c r="C28" s="26">
        <f>MONTH(A28)</f>
        <v/>
      </c>
      <c r="D28">
        <f>IF(A28&lt;=LastActual,"Actual","Forecast")</f>
        <v/>
      </c>
      <c r="E28" s="24">
        <f>IF($D28="Actual",R28,W28)</f>
        <v/>
      </c>
      <c r="F28" s="27">
        <f>IF($D28="Actual",S28,Cases_Forecast!AK21)</f>
        <v/>
      </c>
      <c r="G28" s="9">
        <f>IF($D28="Actual",T28,IFERROR(H28/AE28,0))</f>
        <v/>
      </c>
      <c r="H28" s="24">
        <f>IF($D28="Actual",U28,J28-I28)</f>
        <v/>
      </c>
      <c r="I28" s="24">
        <f>IF($D28="Actual",V28,IFERROR(J28*AD28,0))</f>
        <v/>
      </c>
      <c r="J28" s="24">
        <f>IF($D28="Actual",U28+V28,E28*X28)</f>
        <v/>
      </c>
      <c r="K28" s="28">
        <f>IFERROR(F28/G28,0)</f>
        <v/>
      </c>
      <c r="L28" s="29">
        <f>IFERROR(H28/G28,0)</f>
        <v/>
      </c>
      <c r="M28" s="30">
        <f>IFERROR(J28/F28,0)</f>
        <v/>
      </c>
      <c r="N28" s="10">
        <f>IFERROR(J28/E28,0)</f>
        <v/>
      </c>
      <c r="O28" s="10">
        <f>IFERROR(I28/J28,0)</f>
        <v/>
      </c>
      <c r="R28" s="42">
        <f>IF($D28="Actual",SUMIFS(Data_Actuals!$C$2:$C$5000,Data_Actuals!$A$2:$A$5000,$A28,Data_Actuals!$B$2:$B$5000,$B$2),"")</f>
        <v/>
      </c>
      <c r="S28" s="42">
        <f>IF($D28="Actual",SUMIFS(Data_Actuals!$D$2:$D$5000,Data_Actuals!$A$2:$A$5000,$A28,Data_Actuals!$B$2:$B$5000,$B$2),"")</f>
        <v/>
      </c>
      <c r="T28" s="42">
        <f>IF($D28="Actual",SUMIFS(Data_Actuals!$E$2:$E$5000,Data_Actuals!$A$2:$A$5000,$A28,Data_Actuals!$B$2:$B$5000,$B$2),"")</f>
        <v/>
      </c>
      <c r="U28" s="42">
        <f>IF($D28="Actual",SUMIFS(Data_Actuals!$F$2:$F$5000,Data_Actuals!$A$2:$A$5000,$A28,Data_Actuals!$B$2:$B$5000,$B$2),"")</f>
        <v/>
      </c>
      <c r="V28" s="42">
        <f>IF($D28="Actual",SUMIFS(Data_Actuals!$G$2:$G$5000,Data_Actuals!$A$2:$A$5000,$A28,Data_Actuals!$B$2:$B$5000,$B$2),"")</f>
        <v/>
      </c>
      <c r="W28" s="42">
        <f>SUMIFS(Plan_Inputs!$C$2:$C$5000,Plan_Inputs!$A$2:$A$5000,$A28,Plan_Inputs!$B$2:$B$5000,$B$2)</f>
        <v/>
      </c>
      <c r="X28" s="43">
        <f>SUMIFS(Plan_Inputs!$D$2:$D$5000,Plan_Inputs!$A$2:$A$5000,$A28,Plan_Inputs!$B$2:$B$5000,$B$2)</f>
        <v/>
      </c>
      <c r="Y28" s="42">
        <f>E28</f>
        <v/>
      </c>
      <c r="Z28" s="44">
        <f>INDEX(Calendar!$H$5:$L$52,MATCH($A28,Calendar!$A$5:$A$52,0),MATCH($D$2,Calendar!$H$4:$L$4,0))</f>
        <v/>
      </c>
      <c r="AA28" s="44">
        <f>INDEX(Calendar!$M$5:$M$52,MATCH($A28,Calendar!$A$5:$A$52,0))</f>
        <v/>
      </c>
      <c r="AB28" s="45">
        <f>IF($D28="Actual",IFERROR(S28/Y28,""),AB16)</f>
        <v/>
      </c>
      <c r="AC28" s="46">
        <f>IF($D28="Actual",IFERROR(U28/T28/Z28/AA28,""),AC16)</f>
        <v/>
      </c>
      <c r="AD28" s="43">
        <f>IF($D28="Actual",IFERROR(V28/(U28+V28),""),AD16)</f>
        <v/>
      </c>
      <c r="AE28" s="46">
        <f>IFERROR(AC28*Z28*AA28,"")</f>
        <v/>
      </c>
      <c r="AF28" s="47">
        <f>K16</f>
        <v/>
      </c>
      <c r="AG28" s="43">
        <f>IF($D28="Forecast",IFERROR(K28/AF28-1,""),"")</f>
        <v/>
      </c>
    </row>
    <row r="29">
      <c r="A29" s="8" t="n">
        <v>46082</v>
      </c>
      <c r="B29" s="26">
        <f>YEAR(A29)</f>
        <v/>
      </c>
      <c r="C29" s="26">
        <f>MONTH(A29)</f>
        <v/>
      </c>
      <c r="D29">
        <f>IF(A29&lt;=LastActual,"Actual","Forecast")</f>
        <v/>
      </c>
      <c r="E29" s="24">
        <f>IF($D29="Actual",R29,W29)</f>
        <v/>
      </c>
      <c r="F29" s="27">
        <f>IF($D29="Actual",S29,Cases_Forecast!AK22)</f>
        <v/>
      </c>
      <c r="G29" s="9">
        <f>IF($D29="Actual",T29,IFERROR(H29/AE29,0))</f>
        <v/>
      </c>
      <c r="H29" s="24">
        <f>IF($D29="Actual",U29,J29-I29)</f>
        <v/>
      </c>
      <c r="I29" s="24">
        <f>IF($D29="Actual",V29,IFERROR(J29*AD29,0))</f>
        <v/>
      </c>
      <c r="J29" s="24">
        <f>IF($D29="Actual",U29+V29,E29*X29)</f>
        <v/>
      </c>
      <c r="K29" s="28">
        <f>IFERROR(F29/G29,0)</f>
        <v/>
      </c>
      <c r="L29" s="29">
        <f>IFERROR(H29/G29,0)</f>
        <v/>
      </c>
      <c r="M29" s="30">
        <f>IFERROR(J29/F29,0)</f>
        <v/>
      </c>
      <c r="N29" s="10">
        <f>IFERROR(J29/E29,0)</f>
        <v/>
      </c>
      <c r="O29" s="10">
        <f>IFERROR(I29/J29,0)</f>
        <v/>
      </c>
      <c r="R29" s="42">
        <f>IF($D29="Actual",SUMIFS(Data_Actuals!$C$2:$C$5000,Data_Actuals!$A$2:$A$5000,$A29,Data_Actuals!$B$2:$B$5000,$B$2),"")</f>
        <v/>
      </c>
      <c r="S29" s="42">
        <f>IF($D29="Actual",SUMIFS(Data_Actuals!$D$2:$D$5000,Data_Actuals!$A$2:$A$5000,$A29,Data_Actuals!$B$2:$B$5000,$B$2),"")</f>
        <v/>
      </c>
      <c r="T29" s="42">
        <f>IF($D29="Actual",SUMIFS(Data_Actuals!$E$2:$E$5000,Data_Actuals!$A$2:$A$5000,$A29,Data_Actuals!$B$2:$B$5000,$B$2),"")</f>
        <v/>
      </c>
      <c r="U29" s="42">
        <f>IF($D29="Actual",SUMIFS(Data_Actuals!$F$2:$F$5000,Data_Actuals!$A$2:$A$5000,$A29,Data_Actuals!$B$2:$B$5000,$B$2),"")</f>
        <v/>
      </c>
      <c r="V29" s="42">
        <f>IF($D29="Actual",SUMIFS(Data_Actuals!$G$2:$G$5000,Data_Actuals!$A$2:$A$5000,$A29,Data_Actuals!$B$2:$B$5000,$B$2),"")</f>
        <v/>
      </c>
      <c r="W29" s="42">
        <f>SUMIFS(Plan_Inputs!$C$2:$C$5000,Plan_Inputs!$A$2:$A$5000,$A29,Plan_Inputs!$B$2:$B$5000,$B$2)</f>
        <v/>
      </c>
      <c r="X29" s="43">
        <f>SUMIFS(Plan_Inputs!$D$2:$D$5000,Plan_Inputs!$A$2:$A$5000,$A29,Plan_Inputs!$B$2:$B$5000,$B$2)</f>
        <v/>
      </c>
      <c r="Y29" s="42">
        <f>E29</f>
        <v/>
      </c>
      <c r="Z29" s="44">
        <f>INDEX(Calendar!$H$5:$L$52,MATCH($A29,Calendar!$A$5:$A$52,0),MATCH($D$2,Calendar!$H$4:$L$4,0))</f>
        <v/>
      </c>
      <c r="AA29" s="44">
        <f>INDEX(Calendar!$M$5:$M$52,MATCH($A29,Calendar!$A$5:$A$52,0))</f>
        <v/>
      </c>
      <c r="AB29" s="45">
        <f>IF($D29="Actual",IFERROR(S29/Y29,""),AB17)</f>
        <v/>
      </c>
      <c r="AC29" s="46">
        <f>IF($D29="Actual",IFERROR(U29/T29/Z29/AA29,""),AC17)</f>
        <v/>
      </c>
      <c r="AD29" s="43">
        <f>IF($D29="Actual",IFERROR(V29/(U29+V29),""),AD17)</f>
        <v/>
      </c>
      <c r="AE29" s="46">
        <f>IFERROR(AC29*Z29*AA29,"")</f>
        <v/>
      </c>
      <c r="AF29" s="47">
        <f>K17</f>
        <v/>
      </c>
      <c r="AG29" s="43">
        <f>IF($D29="Forecast",IFERROR(K29/AF29-1,""),"")</f>
        <v/>
      </c>
    </row>
    <row r="30">
      <c r="A30" s="8" t="n">
        <v>46113</v>
      </c>
      <c r="B30" s="26">
        <f>YEAR(A30)</f>
        <v/>
      </c>
      <c r="C30" s="26">
        <f>MONTH(A30)</f>
        <v/>
      </c>
      <c r="D30">
        <f>IF(A30&lt;=LastActual,"Actual","Forecast")</f>
        <v/>
      </c>
      <c r="E30" s="24">
        <f>IF($D30="Actual",R30,W30)</f>
        <v/>
      </c>
      <c r="F30" s="27">
        <f>IF($D30="Actual",S30,Cases_Forecast!AK23)</f>
        <v/>
      </c>
      <c r="G30" s="9">
        <f>IF($D30="Actual",T30,IFERROR(H30/AE30,0))</f>
        <v/>
      </c>
      <c r="H30" s="24">
        <f>IF($D30="Actual",U30,J30-I30)</f>
        <v/>
      </c>
      <c r="I30" s="24">
        <f>IF($D30="Actual",V30,IFERROR(J30*AD30,0))</f>
        <v/>
      </c>
      <c r="J30" s="24">
        <f>IF($D30="Actual",U30+V30,E30*X30)</f>
        <v/>
      </c>
      <c r="K30" s="28">
        <f>IFERROR(F30/G30,0)</f>
        <v/>
      </c>
      <c r="L30" s="29">
        <f>IFERROR(H30/G30,0)</f>
        <v/>
      </c>
      <c r="M30" s="30">
        <f>IFERROR(J30/F30,0)</f>
        <v/>
      </c>
      <c r="N30" s="10">
        <f>IFERROR(J30/E30,0)</f>
        <v/>
      </c>
      <c r="O30" s="10">
        <f>IFERROR(I30/J30,0)</f>
        <v/>
      </c>
      <c r="R30" s="42">
        <f>IF($D30="Actual",SUMIFS(Data_Actuals!$C$2:$C$5000,Data_Actuals!$A$2:$A$5000,$A30,Data_Actuals!$B$2:$B$5000,$B$2),"")</f>
        <v/>
      </c>
      <c r="S30" s="42">
        <f>IF($D30="Actual",SUMIFS(Data_Actuals!$D$2:$D$5000,Data_Actuals!$A$2:$A$5000,$A30,Data_Actuals!$B$2:$B$5000,$B$2),"")</f>
        <v/>
      </c>
      <c r="T30" s="42">
        <f>IF($D30="Actual",SUMIFS(Data_Actuals!$E$2:$E$5000,Data_Actuals!$A$2:$A$5000,$A30,Data_Actuals!$B$2:$B$5000,$B$2),"")</f>
        <v/>
      </c>
      <c r="U30" s="42">
        <f>IF($D30="Actual",SUMIFS(Data_Actuals!$F$2:$F$5000,Data_Actuals!$A$2:$A$5000,$A30,Data_Actuals!$B$2:$B$5000,$B$2),"")</f>
        <v/>
      </c>
      <c r="V30" s="42">
        <f>IF($D30="Actual",SUMIFS(Data_Actuals!$G$2:$G$5000,Data_Actuals!$A$2:$A$5000,$A30,Data_Actuals!$B$2:$B$5000,$B$2),"")</f>
        <v/>
      </c>
      <c r="W30" s="42">
        <f>SUMIFS(Plan_Inputs!$C$2:$C$5000,Plan_Inputs!$A$2:$A$5000,$A30,Plan_Inputs!$B$2:$B$5000,$B$2)</f>
        <v/>
      </c>
      <c r="X30" s="43">
        <f>SUMIFS(Plan_Inputs!$D$2:$D$5000,Plan_Inputs!$A$2:$A$5000,$A30,Plan_Inputs!$B$2:$B$5000,$B$2)</f>
        <v/>
      </c>
      <c r="Y30" s="42">
        <f>E30</f>
        <v/>
      </c>
      <c r="Z30" s="44">
        <f>INDEX(Calendar!$H$5:$L$52,MATCH($A30,Calendar!$A$5:$A$52,0),MATCH($D$2,Calendar!$H$4:$L$4,0))</f>
        <v/>
      </c>
      <c r="AA30" s="44">
        <f>INDEX(Calendar!$M$5:$M$52,MATCH($A30,Calendar!$A$5:$A$52,0))</f>
        <v/>
      </c>
      <c r="AB30" s="45">
        <f>IF($D30="Actual",IFERROR(S30/Y30,""),AB18)</f>
        <v/>
      </c>
      <c r="AC30" s="46">
        <f>IF($D30="Actual",IFERROR(U30/T30/Z30/AA30,""),AC18)</f>
        <v/>
      </c>
      <c r="AD30" s="43">
        <f>IF($D30="Actual",IFERROR(V30/(U30+V30),""),AD18)</f>
        <v/>
      </c>
      <c r="AE30" s="46">
        <f>IFERROR(AC30*Z30*AA30,"")</f>
        <v/>
      </c>
      <c r="AF30" s="47">
        <f>K18</f>
        <v/>
      </c>
      <c r="AG30" s="43">
        <f>IF($D30="Forecast",IFERROR(K30/AF30-1,""),"")</f>
        <v/>
      </c>
    </row>
    <row r="31">
      <c r="A31" s="8" t="n">
        <v>46143</v>
      </c>
      <c r="B31" s="26">
        <f>YEAR(A31)</f>
        <v/>
      </c>
      <c r="C31" s="26">
        <f>MONTH(A31)</f>
        <v/>
      </c>
      <c r="D31">
        <f>IF(A31&lt;=LastActual,"Actual","Forecast")</f>
        <v/>
      </c>
      <c r="E31" s="24">
        <f>IF($D31="Actual",R31,W31)</f>
        <v/>
      </c>
      <c r="F31" s="27">
        <f>IF($D31="Actual",S31,Cases_Forecast!AK24)</f>
        <v/>
      </c>
      <c r="G31" s="9">
        <f>IF($D31="Actual",T31,IFERROR(H31/AE31,0))</f>
        <v/>
      </c>
      <c r="H31" s="24">
        <f>IF($D31="Actual",U31,J31-I31)</f>
        <v/>
      </c>
      <c r="I31" s="24">
        <f>IF($D31="Actual",V31,IFERROR(J31*AD31,0))</f>
        <v/>
      </c>
      <c r="J31" s="24">
        <f>IF($D31="Actual",U31+V31,E31*X31)</f>
        <v/>
      </c>
      <c r="K31" s="28">
        <f>IFERROR(F31/G31,0)</f>
        <v/>
      </c>
      <c r="L31" s="29">
        <f>IFERROR(H31/G31,0)</f>
        <v/>
      </c>
      <c r="M31" s="30">
        <f>IFERROR(J31/F31,0)</f>
        <v/>
      </c>
      <c r="N31" s="10">
        <f>IFERROR(J31/E31,0)</f>
        <v/>
      </c>
      <c r="O31" s="10">
        <f>IFERROR(I31/J31,0)</f>
        <v/>
      </c>
      <c r="R31" s="42">
        <f>IF($D31="Actual",SUMIFS(Data_Actuals!$C$2:$C$5000,Data_Actuals!$A$2:$A$5000,$A31,Data_Actuals!$B$2:$B$5000,$B$2),"")</f>
        <v/>
      </c>
      <c r="S31" s="42">
        <f>IF($D31="Actual",SUMIFS(Data_Actuals!$D$2:$D$5000,Data_Actuals!$A$2:$A$5000,$A31,Data_Actuals!$B$2:$B$5000,$B$2),"")</f>
        <v/>
      </c>
      <c r="T31" s="42">
        <f>IF($D31="Actual",SUMIFS(Data_Actuals!$E$2:$E$5000,Data_Actuals!$A$2:$A$5000,$A31,Data_Actuals!$B$2:$B$5000,$B$2),"")</f>
        <v/>
      </c>
      <c r="U31" s="42">
        <f>IF($D31="Actual",SUMIFS(Data_Actuals!$F$2:$F$5000,Data_Actuals!$A$2:$A$5000,$A31,Data_Actuals!$B$2:$B$5000,$B$2),"")</f>
        <v/>
      </c>
      <c r="V31" s="42">
        <f>IF($D31="Actual",SUMIFS(Data_Actuals!$G$2:$G$5000,Data_Actuals!$A$2:$A$5000,$A31,Data_Actuals!$B$2:$B$5000,$B$2),"")</f>
        <v/>
      </c>
      <c r="W31" s="42">
        <f>SUMIFS(Plan_Inputs!$C$2:$C$5000,Plan_Inputs!$A$2:$A$5000,$A31,Plan_Inputs!$B$2:$B$5000,$B$2)</f>
        <v/>
      </c>
      <c r="X31" s="43">
        <f>SUMIFS(Plan_Inputs!$D$2:$D$5000,Plan_Inputs!$A$2:$A$5000,$A31,Plan_Inputs!$B$2:$B$5000,$B$2)</f>
        <v/>
      </c>
      <c r="Y31" s="42">
        <f>E31</f>
        <v/>
      </c>
      <c r="Z31" s="44">
        <f>INDEX(Calendar!$H$5:$L$52,MATCH($A31,Calendar!$A$5:$A$52,0),MATCH($D$2,Calendar!$H$4:$L$4,0))</f>
        <v/>
      </c>
      <c r="AA31" s="44">
        <f>INDEX(Calendar!$M$5:$M$52,MATCH($A31,Calendar!$A$5:$A$52,0))</f>
        <v/>
      </c>
      <c r="AB31" s="45">
        <f>IF($D31="Actual",IFERROR(S31/Y31,""),AB19)</f>
        <v/>
      </c>
      <c r="AC31" s="46">
        <f>IF($D31="Actual",IFERROR(U31/T31/Z31/AA31,""),AC19)</f>
        <v/>
      </c>
      <c r="AD31" s="43">
        <f>IF($D31="Actual",IFERROR(V31/(U31+V31),""),AD19)</f>
        <v/>
      </c>
      <c r="AE31" s="46">
        <f>IFERROR(AC31*Z31*AA31,"")</f>
        <v/>
      </c>
      <c r="AF31" s="47">
        <f>K19</f>
        <v/>
      </c>
      <c r="AG31" s="43">
        <f>IF($D31="Forecast",IFERROR(K31/AF31-1,""),"")</f>
        <v/>
      </c>
    </row>
    <row r="32">
      <c r="A32" s="8" t="n">
        <v>46174</v>
      </c>
      <c r="B32" s="26">
        <f>YEAR(A32)</f>
        <v/>
      </c>
      <c r="C32" s="26">
        <f>MONTH(A32)</f>
        <v/>
      </c>
      <c r="D32">
        <f>IF(A32&lt;=LastActual,"Actual","Forecast")</f>
        <v/>
      </c>
      <c r="E32" s="24">
        <f>IF($D32="Actual",R32,W32)</f>
        <v/>
      </c>
      <c r="F32" s="27">
        <f>IF($D32="Actual",S32,Cases_Forecast!AK25)</f>
        <v/>
      </c>
      <c r="G32" s="9">
        <f>IF($D32="Actual",T32,IFERROR(H32/AE32,0))</f>
        <v/>
      </c>
      <c r="H32" s="24">
        <f>IF($D32="Actual",U32,J32-I32)</f>
        <v/>
      </c>
      <c r="I32" s="24">
        <f>IF($D32="Actual",V32,IFERROR(J32*AD32,0))</f>
        <v/>
      </c>
      <c r="J32" s="24">
        <f>IF($D32="Actual",U32+V32,E32*X32)</f>
        <v/>
      </c>
      <c r="K32" s="28">
        <f>IFERROR(F32/G32,0)</f>
        <v/>
      </c>
      <c r="L32" s="29">
        <f>IFERROR(H32/G32,0)</f>
        <v/>
      </c>
      <c r="M32" s="30">
        <f>IFERROR(J32/F32,0)</f>
        <v/>
      </c>
      <c r="N32" s="10">
        <f>IFERROR(J32/E32,0)</f>
        <v/>
      </c>
      <c r="O32" s="10">
        <f>IFERROR(I32/J32,0)</f>
        <v/>
      </c>
      <c r="R32" s="42">
        <f>IF($D32="Actual",SUMIFS(Data_Actuals!$C$2:$C$5000,Data_Actuals!$A$2:$A$5000,$A32,Data_Actuals!$B$2:$B$5000,$B$2),"")</f>
        <v/>
      </c>
      <c r="S32" s="42">
        <f>IF($D32="Actual",SUMIFS(Data_Actuals!$D$2:$D$5000,Data_Actuals!$A$2:$A$5000,$A32,Data_Actuals!$B$2:$B$5000,$B$2),"")</f>
        <v/>
      </c>
      <c r="T32" s="42">
        <f>IF($D32="Actual",SUMIFS(Data_Actuals!$E$2:$E$5000,Data_Actuals!$A$2:$A$5000,$A32,Data_Actuals!$B$2:$B$5000,$B$2),"")</f>
        <v/>
      </c>
      <c r="U32" s="42">
        <f>IF($D32="Actual",SUMIFS(Data_Actuals!$F$2:$F$5000,Data_Actuals!$A$2:$A$5000,$A32,Data_Actuals!$B$2:$B$5000,$B$2),"")</f>
        <v/>
      </c>
      <c r="V32" s="42">
        <f>IF($D32="Actual",SUMIFS(Data_Actuals!$G$2:$G$5000,Data_Actuals!$A$2:$A$5000,$A32,Data_Actuals!$B$2:$B$5000,$B$2),"")</f>
        <v/>
      </c>
      <c r="W32" s="42">
        <f>SUMIFS(Plan_Inputs!$C$2:$C$5000,Plan_Inputs!$A$2:$A$5000,$A32,Plan_Inputs!$B$2:$B$5000,$B$2)</f>
        <v/>
      </c>
      <c r="X32" s="43">
        <f>SUMIFS(Plan_Inputs!$D$2:$D$5000,Plan_Inputs!$A$2:$A$5000,$A32,Plan_Inputs!$B$2:$B$5000,$B$2)</f>
        <v/>
      </c>
      <c r="Y32" s="42">
        <f>E32</f>
        <v/>
      </c>
      <c r="Z32" s="44">
        <f>INDEX(Calendar!$H$5:$L$52,MATCH($A32,Calendar!$A$5:$A$52,0),MATCH($D$2,Calendar!$H$4:$L$4,0))</f>
        <v/>
      </c>
      <c r="AA32" s="44">
        <f>INDEX(Calendar!$M$5:$M$52,MATCH($A32,Calendar!$A$5:$A$52,0))</f>
        <v/>
      </c>
      <c r="AB32" s="45">
        <f>IF($D32="Actual",IFERROR(S32/Y32,""),AB20)</f>
        <v/>
      </c>
      <c r="AC32" s="46">
        <f>IF($D32="Actual",IFERROR(U32/T32/Z32/AA32,""),AC20)</f>
        <v/>
      </c>
      <c r="AD32" s="43">
        <f>IF($D32="Actual",IFERROR(V32/(U32+V32),""),AD20)</f>
        <v/>
      </c>
      <c r="AE32" s="46">
        <f>IFERROR(AC32*Z32*AA32,"")</f>
        <v/>
      </c>
      <c r="AF32" s="47">
        <f>K20</f>
        <v/>
      </c>
      <c r="AG32" s="43">
        <f>IF($D32="Forecast",IFERROR(K32/AF32-1,""),"")</f>
        <v/>
      </c>
    </row>
    <row r="33">
      <c r="A33" s="8" t="n">
        <v>46204</v>
      </c>
      <c r="B33" s="26">
        <f>YEAR(A33)</f>
        <v/>
      </c>
      <c r="C33" s="26">
        <f>MONTH(A33)</f>
        <v/>
      </c>
      <c r="D33">
        <f>IF(A33&lt;=LastActual,"Actual","Forecast")</f>
        <v/>
      </c>
      <c r="E33" s="24">
        <f>IF($D33="Actual",R33,W33)</f>
        <v/>
      </c>
      <c r="F33" s="27">
        <f>IF($D33="Actual",S33,Cases_Forecast!AK26)</f>
        <v/>
      </c>
      <c r="G33" s="9">
        <f>IF($D33="Actual",T33,IFERROR(H33/AE33,0))</f>
        <v/>
      </c>
      <c r="H33" s="24">
        <f>IF($D33="Actual",U33,J33-I33)</f>
        <v/>
      </c>
      <c r="I33" s="24">
        <f>IF($D33="Actual",V33,IFERROR(J33*AD33,0))</f>
        <v/>
      </c>
      <c r="J33" s="24">
        <f>IF($D33="Actual",U33+V33,E33*X33)</f>
        <v/>
      </c>
      <c r="K33" s="28">
        <f>IFERROR(F33/G33,0)</f>
        <v/>
      </c>
      <c r="L33" s="29">
        <f>IFERROR(H33/G33,0)</f>
        <v/>
      </c>
      <c r="M33" s="30">
        <f>IFERROR(J33/F33,0)</f>
        <v/>
      </c>
      <c r="N33" s="10">
        <f>IFERROR(J33/E33,0)</f>
        <v/>
      </c>
      <c r="O33" s="10">
        <f>IFERROR(I33/J33,0)</f>
        <v/>
      </c>
      <c r="R33" s="42">
        <f>IF($D33="Actual",SUMIFS(Data_Actuals!$C$2:$C$5000,Data_Actuals!$A$2:$A$5000,$A33,Data_Actuals!$B$2:$B$5000,$B$2),"")</f>
        <v/>
      </c>
      <c r="S33" s="42">
        <f>IF($D33="Actual",SUMIFS(Data_Actuals!$D$2:$D$5000,Data_Actuals!$A$2:$A$5000,$A33,Data_Actuals!$B$2:$B$5000,$B$2),"")</f>
        <v/>
      </c>
      <c r="T33" s="42">
        <f>IF($D33="Actual",SUMIFS(Data_Actuals!$E$2:$E$5000,Data_Actuals!$A$2:$A$5000,$A33,Data_Actuals!$B$2:$B$5000,$B$2),"")</f>
        <v/>
      </c>
      <c r="U33" s="42">
        <f>IF($D33="Actual",SUMIFS(Data_Actuals!$F$2:$F$5000,Data_Actuals!$A$2:$A$5000,$A33,Data_Actuals!$B$2:$B$5000,$B$2),"")</f>
        <v/>
      </c>
      <c r="V33" s="42">
        <f>IF($D33="Actual",SUMIFS(Data_Actuals!$G$2:$G$5000,Data_Actuals!$A$2:$A$5000,$A33,Data_Actuals!$B$2:$B$5000,$B$2),"")</f>
        <v/>
      </c>
      <c r="W33" s="42">
        <f>SUMIFS(Plan_Inputs!$C$2:$C$5000,Plan_Inputs!$A$2:$A$5000,$A33,Plan_Inputs!$B$2:$B$5000,$B$2)</f>
        <v/>
      </c>
      <c r="X33" s="43">
        <f>SUMIFS(Plan_Inputs!$D$2:$D$5000,Plan_Inputs!$A$2:$A$5000,$A33,Plan_Inputs!$B$2:$B$5000,$B$2)</f>
        <v/>
      </c>
      <c r="Y33" s="42">
        <f>E33</f>
        <v/>
      </c>
      <c r="Z33" s="44">
        <f>INDEX(Calendar!$H$5:$L$52,MATCH($A33,Calendar!$A$5:$A$52,0),MATCH($D$2,Calendar!$H$4:$L$4,0))</f>
        <v/>
      </c>
      <c r="AA33" s="44">
        <f>INDEX(Calendar!$M$5:$M$52,MATCH($A33,Calendar!$A$5:$A$52,0))</f>
        <v/>
      </c>
      <c r="AB33" s="45">
        <f>IF($D33="Actual",IFERROR(S33/Y33,""),AB21)</f>
        <v/>
      </c>
      <c r="AC33" s="46">
        <f>IF($D33="Actual",IFERROR(U33/T33/Z33/AA33,""),AC21)</f>
        <v/>
      </c>
      <c r="AD33" s="43">
        <f>IF($D33="Actual",IFERROR(V33/(U33+V33),""),AD21)</f>
        <v/>
      </c>
      <c r="AE33" s="46">
        <f>IFERROR(AC33*Z33*AA33,"")</f>
        <v/>
      </c>
      <c r="AF33" s="47">
        <f>K21</f>
        <v/>
      </c>
      <c r="AG33" s="43">
        <f>IF($D33="Forecast",IFERROR(K33/AF33-1,""),"")</f>
        <v/>
      </c>
    </row>
    <row r="34">
      <c r="A34" s="8" t="n">
        <v>46235</v>
      </c>
      <c r="B34" s="26">
        <f>YEAR(A34)</f>
        <v/>
      </c>
      <c r="C34" s="26">
        <f>MONTH(A34)</f>
        <v/>
      </c>
      <c r="D34">
        <f>IF(A34&lt;=LastActual,"Actual","Forecast")</f>
        <v/>
      </c>
      <c r="E34" s="24">
        <f>IF($D34="Actual",R34,W34)</f>
        <v/>
      </c>
      <c r="F34" s="27">
        <f>IF($D34="Actual",S34,Cases_Forecast!AK27)</f>
        <v/>
      </c>
      <c r="G34" s="9">
        <f>IF($D34="Actual",T34,IFERROR(H34/AE34,0))</f>
        <v/>
      </c>
      <c r="H34" s="24">
        <f>IF($D34="Actual",U34,J34-I34)</f>
        <v/>
      </c>
      <c r="I34" s="24">
        <f>IF($D34="Actual",V34,IFERROR(J34*AD34,0))</f>
        <v/>
      </c>
      <c r="J34" s="24">
        <f>IF($D34="Actual",U34+V34,E34*X34)</f>
        <v/>
      </c>
      <c r="K34" s="28">
        <f>IFERROR(F34/G34,0)</f>
        <v/>
      </c>
      <c r="L34" s="29">
        <f>IFERROR(H34/G34,0)</f>
        <v/>
      </c>
      <c r="M34" s="30">
        <f>IFERROR(J34/F34,0)</f>
        <v/>
      </c>
      <c r="N34" s="10">
        <f>IFERROR(J34/E34,0)</f>
        <v/>
      </c>
      <c r="O34" s="10">
        <f>IFERROR(I34/J34,0)</f>
        <v/>
      </c>
      <c r="R34" s="42">
        <f>IF($D34="Actual",SUMIFS(Data_Actuals!$C$2:$C$5000,Data_Actuals!$A$2:$A$5000,$A34,Data_Actuals!$B$2:$B$5000,$B$2),"")</f>
        <v/>
      </c>
      <c r="S34" s="42">
        <f>IF($D34="Actual",SUMIFS(Data_Actuals!$D$2:$D$5000,Data_Actuals!$A$2:$A$5000,$A34,Data_Actuals!$B$2:$B$5000,$B$2),"")</f>
        <v/>
      </c>
      <c r="T34" s="42">
        <f>IF($D34="Actual",SUMIFS(Data_Actuals!$E$2:$E$5000,Data_Actuals!$A$2:$A$5000,$A34,Data_Actuals!$B$2:$B$5000,$B$2),"")</f>
        <v/>
      </c>
      <c r="U34" s="42">
        <f>IF($D34="Actual",SUMIFS(Data_Actuals!$F$2:$F$5000,Data_Actuals!$A$2:$A$5000,$A34,Data_Actuals!$B$2:$B$5000,$B$2),"")</f>
        <v/>
      </c>
      <c r="V34" s="42">
        <f>IF($D34="Actual",SUMIFS(Data_Actuals!$G$2:$G$5000,Data_Actuals!$A$2:$A$5000,$A34,Data_Actuals!$B$2:$B$5000,$B$2),"")</f>
        <v/>
      </c>
      <c r="W34" s="42">
        <f>SUMIFS(Plan_Inputs!$C$2:$C$5000,Plan_Inputs!$A$2:$A$5000,$A34,Plan_Inputs!$B$2:$B$5000,$B$2)</f>
        <v/>
      </c>
      <c r="X34" s="43">
        <f>SUMIFS(Plan_Inputs!$D$2:$D$5000,Plan_Inputs!$A$2:$A$5000,$A34,Plan_Inputs!$B$2:$B$5000,$B$2)</f>
        <v/>
      </c>
      <c r="Y34" s="42">
        <f>E34</f>
        <v/>
      </c>
      <c r="Z34" s="44">
        <f>INDEX(Calendar!$H$5:$L$52,MATCH($A34,Calendar!$A$5:$A$52,0),MATCH($D$2,Calendar!$H$4:$L$4,0))</f>
        <v/>
      </c>
      <c r="AA34" s="44">
        <f>INDEX(Calendar!$M$5:$M$52,MATCH($A34,Calendar!$A$5:$A$52,0))</f>
        <v/>
      </c>
      <c r="AB34" s="45">
        <f>IF($D34="Actual",IFERROR(S34/Y34,""),AB22)</f>
        <v/>
      </c>
      <c r="AC34" s="46">
        <f>IF($D34="Actual",IFERROR(U34/T34/Z34/AA34,""),AC22)</f>
        <v/>
      </c>
      <c r="AD34" s="43">
        <f>IF($D34="Actual",IFERROR(V34/(U34+V34),""),AD22)</f>
        <v/>
      </c>
      <c r="AE34" s="46">
        <f>IFERROR(AC34*Z34*AA34,"")</f>
        <v/>
      </c>
      <c r="AF34" s="47">
        <f>K22</f>
        <v/>
      </c>
      <c r="AG34" s="43">
        <f>IF($D34="Forecast",IFERROR(K34/AF34-1,""),"")</f>
        <v/>
      </c>
    </row>
    <row r="35">
      <c r="A35" s="8" t="n">
        <v>46266</v>
      </c>
      <c r="B35" s="26">
        <f>YEAR(A35)</f>
        <v/>
      </c>
      <c r="C35" s="26">
        <f>MONTH(A35)</f>
        <v/>
      </c>
      <c r="D35">
        <f>IF(A35&lt;=LastActual,"Actual","Forecast")</f>
        <v/>
      </c>
      <c r="E35" s="24">
        <f>IF($D35="Actual",R35,W35)</f>
        <v/>
      </c>
      <c r="F35" s="27">
        <f>IF($D35="Actual",S35,Cases_Forecast!AK28)</f>
        <v/>
      </c>
      <c r="G35" s="9">
        <f>IF($D35="Actual",T35,IFERROR(H35/AE35,0))</f>
        <v/>
      </c>
      <c r="H35" s="24">
        <f>IF($D35="Actual",U35,J35-I35)</f>
        <v/>
      </c>
      <c r="I35" s="24">
        <f>IF($D35="Actual",V35,IFERROR(J35*AD35,0))</f>
        <v/>
      </c>
      <c r="J35" s="24">
        <f>IF($D35="Actual",U35+V35,E35*X35)</f>
        <v/>
      </c>
      <c r="K35" s="28">
        <f>IFERROR(F35/G35,0)</f>
        <v/>
      </c>
      <c r="L35" s="29">
        <f>IFERROR(H35/G35,0)</f>
        <v/>
      </c>
      <c r="M35" s="30">
        <f>IFERROR(J35/F35,0)</f>
        <v/>
      </c>
      <c r="N35" s="10">
        <f>IFERROR(J35/E35,0)</f>
        <v/>
      </c>
      <c r="O35" s="10">
        <f>IFERROR(I35/J35,0)</f>
        <v/>
      </c>
      <c r="R35" s="42">
        <f>IF($D35="Actual",SUMIFS(Data_Actuals!$C$2:$C$5000,Data_Actuals!$A$2:$A$5000,$A35,Data_Actuals!$B$2:$B$5000,$B$2),"")</f>
        <v/>
      </c>
      <c r="S35" s="42">
        <f>IF($D35="Actual",SUMIFS(Data_Actuals!$D$2:$D$5000,Data_Actuals!$A$2:$A$5000,$A35,Data_Actuals!$B$2:$B$5000,$B$2),"")</f>
        <v/>
      </c>
      <c r="T35" s="42">
        <f>IF($D35="Actual",SUMIFS(Data_Actuals!$E$2:$E$5000,Data_Actuals!$A$2:$A$5000,$A35,Data_Actuals!$B$2:$B$5000,$B$2),"")</f>
        <v/>
      </c>
      <c r="U35" s="42">
        <f>IF($D35="Actual",SUMIFS(Data_Actuals!$F$2:$F$5000,Data_Actuals!$A$2:$A$5000,$A35,Data_Actuals!$B$2:$B$5000,$B$2),"")</f>
        <v/>
      </c>
      <c r="V35" s="42">
        <f>IF($D35="Actual",SUMIFS(Data_Actuals!$G$2:$G$5000,Data_Actuals!$A$2:$A$5000,$A35,Data_Actuals!$B$2:$B$5000,$B$2),"")</f>
        <v/>
      </c>
      <c r="W35" s="42">
        <f>SUMIFS(Plan_Inputs!$C$2:$C$5000,Plan_Inputs!$A$2:$A$5000,$A35,Plan_Inputs!$B$2:$B$5000,$B$2)</f>
        <v/>
      </c>
      <c r="X35" s="43">
        <f>SUMIFS(Plan_Inputs!$D$2:$D$5000,Plan_Inputs!$A$2:$A$5000,$A35,Plan_Inputs!$B$2:$B$5000,$B$2)</f>
        <v/>
      </c>
      <c r="Y35" s="42">
        <f>E35</f>
        <v/>
      </c>
      <c r="Z35" s="44">
        <f>INDEX(Calendar!$H$5:$L$52,MATCH($A35,Calendar!$A$5:$A$52,0),MATCH($D$2,Calendar!$H$4:$L$4,0))</f>
        <v/>
      </c>
      <c r="AA35" s="44">
        <f>INDEX(Calendar!$M$5:$M$52,MATCH($A35,Calendar!$A$5:$A$52,0))</f>
        <v/>
      </c>
      <c r="AB35" s="45">
        <f>IF($D35="Actual",IFERROR(S35/Y35,""),AB23)</f>
        <v/>
      </c>
      <c r="AC35" s="46">
        <f>IF($D35="Actual",IFERROR(U35/T35/Z35/AA35,""),AC23)</f>
        <v/>
      </c>
      <c r="AD35" s="43">
        <f>IF($D35="Actual",IFERROR(V35/(U35+V35),""),AD23)</f>
        <v/>
      </c>
      <c r="AE35" s="46">
        <f>IFERROR(AC35*Z35*AA35,"")</f>
        <v/>
      </c>
      <c r="AF35" s="47">
        <f>K23</f>
        <v/>
      </c>
      <c r="AG35" s="43">
        <f>IF($D35="Forecast",IFERROR(K35/AF35-1,""),"")</f>
        <v/>
      </c>
    </row>
    <row r="36">
      <c r="A36" s="8" t="n">
        <v>46296</v>
      </c>
      <c r="B36" s="26">
        <f>YEAR(A36)</f>
        <v/>
      </c>
      <c r="C36" s="26">
        <f>MONTH(A36)</f>
        <v/>
      </c>
      <c r="D36">
        <f>IF(A36&lt;=LastActual,"Actual","Forecast")</f>
        <v/>
      </c>
      <c r="E36" s="24">
        <f>IF($D36="Actual",R36,W36)</f>
        <v/>
      </c>
      <c r="F36" s="27">
        <f>IF($D36="Actual",S36,Cases_Forecast!AK29)</f>
        <v/>
      </c>
      <c r="G36" s="9">
        <f>IF($D36="Actual",T36,IFERROR(H36/AE36,0))</f>
        <v/>
      </c>
      <c r="H36" s="24">
        <f>IF($D36="Actual",U36,J36-I36)</f>
        <v/>
      </c>
      <c r="I36" s="24">
        <f>IF($D36="Actual",V36,IFERROR(J36*AD36,0))</f>
        <v/>
      </c>
      <c r="J36" s="24">
        <f>IF($D36="Actual",U36+V36,E36*X36)</f>
        <v/>
      </c>
      <c r="K36" s="28">
        <f>IFERROR(F36/G36,0)</f>
        <v/>
      </c>
      <c r="L36" s="29">
        <f>IFERROR(H36/G36,0)</f>
        <v/>
      </c>
      <c r="M36" s="30">
        <f>IFERROR(J36/F36,0)</f>
        <v/>
      </c>
      <c r="N36" s="10">
        <f>IFERROR(J36/E36,0)</f>
        <v/>
      </c>
      <c r="O36" s="10">
        <f>IFERROR(I36/J36,0)</f>
        <v/>
      </c>
      <c r="R36" s="42">
        <f>IF($D36="Actual",SUMIFS(Data_Actuals!$C$2:$C$5000,Data_Actuals!$A$2:$A$5000,$A36,Data_Actuals!$B$2:$B$5000,$B$2),"")</f>
        <v/>
      </c>
      <c r="S36" s="42">
        <f>IF($D36="Actual",SUMIFS(Data_Actuals!$D$2:$D$5000,Data_Actuals!$A$2:$A$5000,$A36,Data_Actuals!$B$2:$B$5000,$B$2),"")</f>
        <v/>
      </c>
      <c r="T36" s="42">
        <f>IF($D36="Actual",SUMIFS(Data_Actuals!$E$2:$E$5000,Data_Actuals!$A$2:$A$5000,$A36,Data_Actuals!$B$2:$B$5000,$B$2),"")</f>
        <v/>
      </c>
      <c r="U36" s="42">
        <f>IF($D36="Actual",SUMIFS(Data_Actuals!$F$2:$F$5000,Data_Actuals!$A$2:$A$5000,$A36,Data_Actuals!$B$2:$B$5000,$B$2),"")</f>
        <v/>
      </c>
      <c r="V36" s="42">
        <f>IF($D36="Actual",SUMIFS(Data_Actuals!$G$2:$G$5000,Data_Actuals!$A$2:$A$5000,$A36,Data_Actuals!$B$2:$B$5000,$B$2),"")</f>
        <v/>
      </c>
      <c r="W36" s="42">
        <f>SUMIFS(Plan_Inputs!$C$2:$C$5000,Plan_Inputs!$A$2:$A$5000,$A36,Plan_Inputs!$B$2:$B$5000,$B$2)</f>
        <v/>
      </c>
      <c r="X36" s="43">
        <f>SUMIFS(Plan_Inputs!$D$2:$D$5000,Plan_Inputs!$A$2:$A$5000,$A36,Plan_Inputs!$B$2:$B$5000,$B$2)</f>
        <v/>
      </c>
      <c r="Y36" s="42">
        <f>E36</f>
        <v/>
      </c>
      <c r="Z36" s="44">
        <f>INDEX(Calendar!$H$5:$L$52,MATCH($A36,Calendar!$A$5:$A$52,0),MATCH($D$2,Calendar!$H$4:$L$4,0))</f>
        <v/>
      </c>
      <c r="AA36" s="44">
        <f>INDEX(Calendar!$M$5:$M$52,MATCH($A36,Calendar!$A$5:$A$52,0))</f>
        <v/>
      </c>
      <c r="AB36" s="45">
        <f>IF($D36="Actual",IFERROR(S36/Y36,""),AB24)</f>
        <v/>
      </c>
      <c r="AC36" s="46">
        <f>IF($D36="Actual",IFERROR(U36/T36/Z36/AA36,""),AC24)</f>
        <v/>
      </c>
      <c r="AD36" s="43">
        <f>IF($D36="Actual",IFERROR(V36/(U36+V36),""),AD24)</f>
        <v/>
      </c>
      <c r="AE36" s="46">
        <f>IFERROR(AC36*Z36*AA36,"")</f>
        <v/>
      </c>
      <c r="AF36" s="47">
        <f>K24</f>
        <v/>
      </c>
      <c r="AG36" s="43">
        <f>IF($D36="Forecast",IFERROR(K36/AF36-1,""),"")</f>
        <v/>
      </c>
    </row>
    <row r="37">
      <c r="A37" s="8" t="n">
        <v>46327</v>
      </c>
      <c r="B37" s="26">
        <f>YEAR(A37)</f>
        <v/>
      </c>
      <c r="C37" s="26">
        <f>MONTH(A37)</f>
        <v/>
      </c>
      <c r="D37">
        <f>IF(A37&lt;=LastActual,"Actual","Forecast")</f>
        <v/>
      </c>
      <c r="E37" s="24">
        <f>IF($D37="Actual",R37,W37)</f>
        <v/>
      </c>
      <c r="F37" s="27">
        <f>IF($D37="Actual",S37,Cases_Forecast!AK30)</f>
        <v/>
      </c>
      <c r="G37" s="9">
        <f>IF($D37="Actual",T37,IFERROR(H37/AE37,0))</f>
        <v/>
      </c>
      <c r="H37" s="24">
        <f>IF($D37="Actual",U37,J37-I37)</f>
        <v/>
      </c>
      <c r="I37" s="24">
        <f>IF($D37="Actual",V37,IFERROR(J37*AD37,0))</f>
        <v/>
      </c>
      <c r="J37" s="24">
        <f>IF($D37="Actual",U37+V37,E37*X37)</f>
        <v/>
      </c>
      <c r="K37" s="28">
        <f>IFERROR(F37/G37,0)</f>
        <v/>
      </c>
      <c r="L37" s="29">
        <f>IFERROR(H37/G37,0)</f>
        <v/>
      </c>
      <c r="M37" s="30">
        <f>IFERROR(J37/F37,0)</f>
        <v/>
      </c>
      <c r="N37" s="10">
        <f>IFERROR(J37/E37,0)</f>
        <v/>
      </c>
      <c r="O37" s="10">
        <f>IFERROR(I37/J37,0)</f>
        <v/>
      </c>
      <c r="R37" s="42">
        <f>IF($D37="Actual",SUMIFS(Data_Actuals!$C$2:$C$5000,Data_Actuals!$A$2:$A$5000,$A37,Data_Actuals!$B$2:$B$5000,$B$2),"")</f>
        <v/>
      </c>
      <c r="S37" s="42">
        <f>IF($D37="Actual",SUMIFS(Data_Actuals!$D$2:$D$5000,Data_Actuals!$A$2:$A$5000,$A37,Data_Actuals!$B$2:$B$5000,$B$2),"")</f>
        <v/>
      </c>
      <c r="T37" s="42">
        <f>IF($D37="Actual",SUMIFS(Data_Actuals!$E$2:$E$5000,Data_Actuals!$A$2:$A$5000,$A37,Data_Actuals!$B$2:$B$5000,$B$2),"")</f>
        <v/>
      </c>
      <c r="U37" s="42">
        <f>IF($D37="Actual",SUMIFS(Data_Actuals!$F$2:$F$5000,Data_Actuals!$A$2:$A$5000,$A37,Data_Actuals!$B$2:$B$5000,$B$2),"")</f>
        <v/>
      </c>
      <c r="V37" s="42">
        <f>IF($D37="Actual",SUMIFS(Data_Actuals!$G$2:$G$5000,Data_Actuals!$A$2:$A$5000,$A37,Data_Actuals!$B$2:$B$5000,$B$2),"")</f>
        <v/>
      </c>
      <c r="W37" s="42">
        <f>SUMIFS(Plan_Inputs!$C$2:$C$5000,Plan_Inputs!$A$2:$A$5000,$A37,Plan_Inputs!$B$2:$B$5000,$B$2)</f>
        <v/>
      </c>
      <c r="X37" s="43">
        <f>SUMIFS(Plan_Inputs!$D$2:$D$5000,Plan_Inputs!$A$2:$A$5000,$A37,Plan_Inputs!$B$2:$B$5000,$B$2)</f>
        <v/>
      </c>
      <c r="Y37" s="42">
        <f>E37</f>
        <v/>
      </c>
      <c r="Z37" s="44">
        <f>INDEX(Calendar!$H$5:$L$52,MATCH($A37,Calendar!$A$5:$A$52,0),MATCH($D$2,Calendar!$H$4:$L$4,0))</f>
        <v/>
      </c>
      <c r="AA37" s="44">
        <f>INDEX(Calendar!$M$5:$M$52,MATCH($A37,Calendar!$A$5:$A$52,0))</f>
        <v/>
      </c>
      <c r="AB37" s="45">
        <f>IF($D37="Actual",IFERROR(S37/Y37,""),AB25)</f>
        <v/>
      </c>
      <c r="AC37" s="46">
        <f>IF($D37="Actual",IFERROR(U37/T37/Z37/AA37,""),AC25)</f>
        <v/>
      </c>
      <c r="AD37" s="43">
        <f>IF($D37="Actual",IFERROR(V37/(U37+V37),""),AD25)</f>
        <v/>
      </c>
      <c r="AE37" s="46">
        <f>IFERROR(AC37*Z37*AA37,"")</f>
        <v/>
      </c>
      <c r="AF37" s="47">
        <f>K25</f>
        <v/>
      </c>
      <c r="AG37" s="43">
        <f>IF($D37="Forecast",IFERROR(K37/AF37-1,""),"")</f>
        <v/>
      </c>
    </row>
    <row r="38">
      <c r="A38" s="31" t="n">
        <v>46357</v>
      </c>
      <c r="B38" s="32">
        <f>YEAR(A38)</f>
        <v/>
      </c>
      <c r="C38" s="32">
        <f>MONTH(A38)</f>
        <v/>
      </c>
      <c r="D38" s="33">
        <f>IF(A38&lt;=LastActual,"Actual","Forecast")</f>
        <v/>
      </c>
      <c r="E38" s="34">
        <f>IF($D38="Actual",R38,W38)</f>
        <v/>
      </c>
      <c r="F38" s="35">
        <f>IF($D38="Actual",S38,Cases_Forecast!AK31)</f>
        <v/>
      </c>
      <c r="G38" s="36">
        <f>IF($D38="Actual",T38,IFERROR(H38/AE38,0))</f>
        <v/>
      </c>
      <c r="H38" s="34">
        <f>IF($D38="Actual",U38,J38-I38)</f>
        <v/>
      </c>
      <c r="I38" s="34">
        <f>IF($D38="Actual",V38,IFERROR(J38*AD38,0))</f>
        <v/>
      </c>
      <c r="J38" s="34">
        <f>IF($D38="Actual",U38+V38,E38*X38)</f>
        <v/>
      </c>
      <c r="K38" s="37">
        <f>IFERROR(F38/G38,0)</f>
        <v/>
      </c>
      <c r="L38" s="38">
        <f>IFERROR(H38/G38,0)</f>
        <v/>
      </c>
      <c r="M38" s="39">
        <f>IFERROR(J38/F38,0)</f>
        <v/>
      </c>
      <c r="N38" s="40">
        <f>IFERROR(J38/E38,0)</f>
        <v/>
      </c>
      <c r="O38" s="40">
        <f>IFERROR(I38/J38,0)</f>
        <v/>
      </c>
      <c r="R38" s="42">
        <f>IF($D38="Actual",SUMIFS(Data_Actuals!$C$2:$C$5000,Data_Actuals!$A$2:$A$5000,$A38,Data_Actuals!$B$2:$B$5000,$B$2),"")</f>
        <v/>
      </c>
      <c r="S38" s="42">
        <f>IF($D38="Actual",SUMIFS(Data_Actuals!$D$2:$D$5000,Data_Actuals!$A$2:$A$5000,$A38,Data_Actuals!$B$2:$B$5000,$B$2),"")</f>
        <v/>
      </c>
      <c r="T38" s="42">
        <f>IF($D38="Actual",SUMIFS(Data_Actuals!$E$2:$E$5000,Data_Actuals!$A$2:$A$5000,$A38,Data_Actuals!$B$2:$B$5000,$B$2),"")</f>
        <v/>
      </c>
      <c r="U38" s="42">
        <f>IF($D38="Actual",SUMIFS(Data_Actuals!$F$2:$F$5000,Data_Actuals!$A$2:$A$5000,$A38,Data_Actuals!$B$2:$B$5000,$B$2),"")</f>
        <v/>
      </c>
      <c r="V38" s="42">
        <f>IF($D38="Actual",SUMIFS(Data_Actuals!$G$2:$G$5000,Data_Actuals!$A$2:$A$5000,$A38,Data_Actuals!$B$2:$B$5000,$B$2),"")</f>
        <v/>
      </c>
      <c r="W38" s="42">
        <f>SUMIFS(Plan_Inputs!$C$2:$C$5000,Plan_Inputs!$A$2:$A$5000,$A38,Plan_Inputs!$B$2:$B$5000,$B$2)</f>
        <v/>
      </c>
      <c r="X38" s="43">
        <f>SUMIFS(Plan_Inputs!$D$2:$D$5000,Plan_Inputs!$A$2:$A$5000,$A38,Plan_Inputs!$B$2:$B$5000,$B$2)</f>
        <v/>
      </c>
      <c r="Y38" s="42">
        <f>E38</f>
        <v/>
      </c>
      <c r="Z38" s="44">
        <f>INDEX(Calendar!$H$5:$L$52,MATCH($A38,Calendar!$A$5:$A$52,0),MATCH($D$2,Calendar!$H$4:$L$4,0))</f>
        <v/>
      </c>
      <c r="AA38" s="44">
        <f>INDEX(Calendar!$M$5:$M$52,MATCH($A38,Calendar!$A$5:$A$52,0))</f>
        <v/>
      </c>
      <c r="AB38" s="45">
        <f>IF($D38="Actual",IFERROR(S38/Y38,""),AB26)</f>
        <v/>
      </c>
      <c r="AC38" s="46">
        <f>IF($D38="Actual",IFERROR(U38/T38/Z38/AA38,""),AC26)</f>
        <v/>
      </c>
      <c r="AD38" s="43">
        <f>IF($D38="Actual",IFERROR(V38/(U38+V38),""),AD26)</f>
        <v/>
      </c>
      <c r="AE38" s="46">
        <f>IFERROR(AC38*Z38*AA38,"")</f>
        <v/>
      </c>
      <c r="AF38" s="47">
        <f>K26</f>
        <v/>
      </c>
      <c r="AG38" s="43">
        <f>IF($D38="Forecast",IFERROR(K38/AF38-1,""),"")</f>
        <v/>
      </c>
    </row>
    <row r="39">
      <c r="A39" s="8" t="n">
        <v>46388</v>
      </c>
      <c r="B39" s="26">
        <f>YEAR(A39)</f>
        <v/>
      </c>
      <c r="C39" s="26">
        <f>MONTH(A39)</f>
        <v/>
      </c>
      <c r="D39">
        <f>IF(A39&lt;=LastActual,"Actual","Forecast")</f>
        <v/>
      </c>
      <c r="E39" s="24">
        <f>IF($D39="Actual",R39,W39)</f>
        <v/>
      </c>
      <c r="F39" s="27">
        <f>IF($D39="Actual",S39,Cases_Forecast!AK32)</f>
        <v/>
      </c>
      <c r="G39" s="9">
        <f>IF($D39="Actual",T39,IFERROR(H39/AE39,0))</f>
        <v/>
      </c>
      <c r="H39" s="24">
        <f>IF($D39="Actual",U39,J39-I39)</f>
        <v/>
      </c>
      <c r="I39" s="24">
        <f>IF($D39="Actual",V39,IFERROR(J39*AD39,0))</f>
        <v/>
      </c>
      <c r="J39" s="24">
        <f>IF($D39="Actual",U39+V39,E39*X39)</f>
        <v/>
      </c>
      <c r="K39" s="28">
        <f>IFERROR(F39/G39,0)</f>
        <v/>
      </c>
      <c r="L39" s="29">
        <f>IFERROR(H39/G39,0)</f>
        <v/>
      </c>
      <c r="M39" s="30">
        <f>IFERROR(J39/F39,0)</f>
        <v/>
      </c>
      <c r="N39" s="10">
        <f>IFERROR(J39/E39,0)</f>
        <v/>
      </c>
      <c r="O39" s="10">
        <f>IFERROR(I39/J39,0)</f>
        <v/>
      </c>
      <c r="R39" s="42">
        <f>IF($D39="Actual",SUMIFS(Data_Actuals!$C$2:$C$5000,Data_Actuals!$A$2:$A$5000,$A39,Data_Actuals!$B$2:$B$5000,$B$2),"")</f>
        <v/>
      </c>
      <c r="S39" s="42">
        <f>IF($D39="Actual",SUMIFS(Data_Actuals!$D$2:$D$5000,Data_Actuals!$A$2:$A$5000,$A39,Data_Actuals!$B$2:$B$5000,$B$2),"")</f>
        <v/>
      </c>
      <c r="T39" s="42">
        <f>IF($D39="Actual",SUMIFS(Data_Actuals!$E$2:$E$5000,Data_Actuals!$A$2:$A$5000,$A39,Data_Actuals!$B$2:$B$5000,$B$2),"")</f>
        <v/>
      </c>
      <c r="U39" s="42">
        <f>IF($D39="Actual",SUMIFS(Data_Actuals!$F$2:$F$5000,Data_Actuals!$A$2:$A$5000,$A39,Data_Actuals!$B$2:$B$5000,$B$2),"")</f>
        <v/>
      </c>
      <c r="V39" s="42">
        <f>IF($D39="Actual",SUMIFS(Data_Actuals!$G$2:$G$5000,Data_Actuals!$A$2:$A$5000,$A39,Data_Actuals!$B$2:$B$5000,$B$2),"")</f>
        <v/>
      </c>
      <c r="W39" s="42">
        <f>SUMIFS(Plan_Inputs!$C$2:$C$5000,Plan_Inputs!$A$2:$A$5000,$A39,Plan_Inputs!$B$2:$B$5000,$B$2)</f>
        <v/>
      </c>
      <c r="X39" s="43">
        <f>SUMIFS(Plan_Inputs!$D$2:$D$5000,Plan_Inputs!$A$2:$A$5000,$A39,Plan_Inputs!$B$2:$B$5000,$B$2)</f>
        <v/>
      </c>
      <c r="Y39" s="42">
        <f>E39</f>
        <v/>
      </c>
      <c r="Z39" s="44">
        <f>INDEX(Calendar!$H$5:$L$52,MATCH($A39,Calendar!$A$5:$A$52,0),MATCH($D$2,Calendar!$H$4:$L$4,0))</f>
        <v/>
      </c>
      <c r="AA39" s="44">
        <f>INDEX(Calendar!$M$5:$M$52,MATCH($A39,Calendar!$A$5:$A$52,0))</f>
        <v/>
      </c>
      <c r="AB39" s="45">
        <f>IF($D39="Actual",IFERROR(S39/Y39,""),AB27)</f>
        <v/>
      </c>
      <c r="AC39" s="46">
        <f>IF($D39="Actual",IFERROR(U39/T39/Z39/AA39,""),AC27)</f>
        <v/>
      </c>
      <c r="AD39" s="43">
        <f>IF($D39="Actual",IFERROR(V39/(U39+V39),""),AD27)</f>
        <v/>
      </c>
      <c r="AE39" s="46">
        <f>IFERROR(AC39*Z39*AA39,"")</f>
        <v/>
      </c>
      <c r="AF39" s="47">
        <f>K27</f>
        <v/>
      </c>
      <c r="AG39" s="43">
        <f>IF($D39="Forecast",IFERROR(K39/AF39-1,""),"")</f>
        <v/>
      </c>
    </row>
    <row r="40">
      <c r="A40" s="8" t="n">
        <v>46419</v>
      </c>
      <c r="B40" s="26">
        <f>YEAR(A40)</f>
        <v/>
      </c>
      <c r="C40" s="26">
        <f>MONTH(A40)</f>
        <v/>
      </c>
      <c r="D40">
        <f>IF(A40&lt;=LastActual,"Actual","Forecast")</f>
        <v/>
      </c>
      <c r="E40" s="24">
        <f>IF($D40="Actual",R40,W40)</f>
        <v/>
      </c>
      <c r="F40" s="27">
        <f>IF($D40="Actual",S40,Cases_Forecast!AK33)</f>
        <v/>
      </c>
      <c r="G40" s="9">
        <f>IF($D40="Actual",T40,IFERROR(H40/AE40,0))</f>
        <v/>
      </c>
      <c r="H40" s="24">
        <f>IF($D40="Actual",U40,J40-I40)</f>
        <v/>
      </c>
      <c r="I40" s="24">
        <f>IF($D40="Actual",V40,IFERROR(J40*AD40,0))</f>
        <v/>
      </c>
      <c r="J40" s="24">
        <f>IF($D40="Actual",U40+V40,E40*X40)</f>
        <v/>
      </c>
      <c r="K40" s="28">
        <f>IFERROR(F40/G40,0)</f>
        <v/>
      </c>
      <c r="L40" s="29">
        <f>IFERROR(H40/G40,0)</f>
        <v/>
      </c>
      <c r="M40" s="30">
        <f>IFERROR(J40/F40,0)</f>
        <v/>
      </c>
      <c r="N40" s="10">
        <f>IFERROR(J40/E40,0)</f>
        <v/>
      </c>
      <c r="O40" s="10">
        <f>IFERROR(I40/J40,0)</f>
        <v/>
      </c>
      <c r="R40" s="42">
        <f>IF($D40="Actual",SUMIFS(Data_Actuals!$C$2:$C$5000,Data_Actuals!$A$2:$A$5000,$A40,Data_Actuals!$B$2:$B$5000,$B$2),"")</f>
        <v/>
      </c>
      <c r="S40" s="42">
        <f>IF($D40="Actual",SUMIFS(Data_Actuals!$D$2:$D$5000,Data_Actuals!$A$2:$A$5000,$A40,Data_Actuals!$B$2:$B$5000,$B$2),"")</f>
        <v/>
      </c>
      <c r="T40" s="42">
        <f>IF($D40="Actual",SUMIFS(Data_Actuals!$E$2:$E$5000,Data_Actuals!$A$2:$A$5000,$A40,Data_Actuals!$B$2:$B$5000,$B$2),"")</f>
        <v/>
      </c>
      <c r="U40" s="42">
        <f>IF($D40="Actual",SUMIFS(Data_Actuals!$F$2:$F$5000,Data_Actuals!$A$2:$A$5000,$A40,Data_Actuals!$B$2:$B$5000,$B$2),"")</f>
        <v/>
      </c>
      <c r="V40" s="42">
        <f>IF($D40="Actual",SUMIFS(Data_Actuals!$G$2:$G$5000,Data_Actuals!$A$2:$A$5000,$A40,Data_Actuals!$B$2:$B$5000,$B$2),"")</f>
        <v/>
      </c>
      <c r="W40" s="42">
        <f>SUMIFS(Plan_Inputs!$C$2:$C$5000,Plan_Inputs!$A$2:$A$5000,$A40,Plan_Inputs!$B$2:$B$5000,$B$2)</f>
        <v/>
      </c>
      <c r="X40" s="43">
        <f>SUMIFS(Plan_Inputs!$D$2:$D$5000,Plan_Inputs!$A$2:$A$5000,$A40,Plan_Inputs!$B$2:$B$5000,$B$2)</f>
        <v/>
      </c>
      <c r="Y40" s="42">
        <f>E40</f>
        <v/>
      </c>
      <c r="Z40" s="44">
        <f>INDEX(Calendar!$H$5:$L$52,MATCH($A40,Calendar!$A$5:$A$52,0),MATCH($D$2,Calendar!$H$4:$L$4,0))</f>
        <v/>
      </c>
      <c r="AA40" s="44">
        <f>INDEX(Calendar!$M$5:$M$52,MATCH($A40,Calendar!$A$5:$A$52,0))</f>
        <v/>
      </c>
      <c r="AB40" s="45">
        <f>IF($D40="Actual",IFERROR(S40/Y40,""),AB28)</f>
        <v/>
      </c>
      <c r="AC40" s="46">
        <f>IF($D40="Actual",IFERROR(U40/T40/Z40/AA40,""),AC28)</f>
        <v/>
      </c>
      <c r="AD40" s="43">
        <f>IF($D40="Actual",IFERROR(V40/(U40+V40),""),AD28)</f>
        <v/>
      </c>
      <c r="AE40" s="46">
        <f>IFERROR(AC40*Z40*AA40,"")</f>
        <v/>
      </c>
      <c r="AF40" s="47">
        <f>K28</f>
        <v/>
      </c>
      <c r="AG40" s="43">
        <f>IF($D40="Forecast",IFERROR(K40/AF40-1,""),"")</f>
        <v/>
      </c>
    </row>
    <row r="41">
      <c r="A41" s="8" t="n">
        <v>46447</v>
      </c>
      <c r="B41" s="26">
        <f>YEAR(A41)</f>
        <v/>
      </c>
      <c r="C41" s="26">
        <f>MONTH(A41)</f>
        <v/>
      </c>
      <c r="D41">
        <f>IF(A41&lt;=LastActual,"Actual","Forecast")</f>
        <v/>
      </c>
      <c r="E41" s="24">
        <f>IF($D41="Actual",R41,W41)</f>
        <v/>
      </c>
      <c r="F41" s="27">
        <f>IF($D41="Actual",S41,Cases_Forecast!AK34)</f>
        <v/>
      </c>
      <c r="G41" s="9">
        <f>IF($D41="Actual",T41,IFERROR(H41/AE41,0))</f>
        <v/>
      </c>
      <c r="H41" s="24">
        <f>IF($D41="Actual",U41,J41-I41)</f>
        <v/>
      </c>
      <c r="I41" s="24">
        <f>IF($D41="Actual",V41,IFERROR(J41*AD41,0))</f>
        <v/>
      </c>
      <c r="J41" s="24">
        <f>IF($D41="Actual",U41+V41,E41*X41)</f>
        <v/>
      </c>
      <c r="K41" s="28">
        <f>IFERROR(F41/G41,0)</f>
        <v/>
      </c>
      <c r="L41" s="29">
        <f>IFERROR(H41/G41,0)</f>
        <v/>
      </c>
      <c r="M41" s="30">
        <f>IFERROR(J41/F41,0)</f>
        <v/>
      </c>
      <c r="N41" s="10">
        <f>IFERROR(J41/E41,0)</f>
        <v/>
      </c>
      <c r="O41" s="10">
        <f>IFERROR(I41/J41,0)</f>
        <v/>
      </c>
      <c r="R41" s="42">
        <f>IF($D41="Actual",SUMIFS(Data_Actuals!$C$2:$C$5000,Data_Actuals!$A$2:$A$5000,$A41,Data_Actuals!$B$2:$B$5000,$B$2),"")</f>
        <v/>
      </c>
      <c r="S41" s="42">
        <f>IF($D41="Actual",SUMIFS(Data_Actuals!$D$2:$D$5000,Data_Actuals!$A$2:$A$5000,$A41,Data_Actuals!$B$2:$B$5000,$B$2),"")</f>
        <v/>
      </c>
      <c r="T41" s="42">
        <f>IF($D41="Actual",SUMIFS(Data_Actuals!$E$2:$E$5000,Data_Actuals!$A$2:$A$5000,$A41,Data_Actuals!$B$2:$B$5000,$B$2),"")</f>
        <v/>
      </c>
      <c r="U41" s="42">
        <f>IF($D41="Actual",SUMIFS(Data_Actuals!$F$2:$F$5000,Data_Actuals!$A$2:$A$5000,$A41,Data_Actuals!$B$2:$B$5000,$B$2),"")</f>
        <v/>
      </c>
      <c r="V41" s="42">
        <f>IF($D41="Actual",SUMIFS(Data_Actuals!$G$2:$G$5000,Data_Actuals!$A$2:$A$5000,$A41,Data_Actuals!$B$2:$B$5000,$B$2),"")</f>
        <v/>
      </c>
      <c r="W41" s="42">
        <f>SUMIFS(Plan_Inputs!$C$2:$C$5000,Plan_Inputs!$A$2:$A$5000,$A41,Plan_Inputs!$B$2:$B$5000,$B$2)</f>
        <v/>
      </c>
      <c r="X41" s="43">
        <f>SUMIFS(Plan_Inputs!$D$2:$D$5000,Plan_Inputs!$A$2:$A$5000,$A41,Plan_Inputs!$B$2:$B$5000,$B$2)</f>
        <v/>
      </c>
      <c r="Y41" s="42">
        <f>E41</f>
        <v/>
      </c>
      <c r="Z41" s="44">
        <f>INDEX(Calendar!$H$5:$L$52,MATCH($A41,Calendar!$A$5:$A$52,0),MATCH($D$2,Calendar!$H$4:$L$4,0))</f>
        <v/>
      </c>
      <c r="AA41" s="44">
        <f>INDEX(Calendar!$M$5:$M$52,MATCH($A41,Calendar!$A$5:$A$52,0))</f>
        <v/>
      </c>
      <c r="AB41" s="45">
        <f>IF($D41="Actual",IFERROR(S41/Y41,""),AB29)</f>
        <v/>
      </c>
      <c r="AC41" s="46">
        <f>IF($D41="Actual",IFERROR(U41/T41/Z41/AA41,""),AC29)</f>
        <v/>
      </c>
      <c r="AD41" s="43">
        <f>IF($D41="Actual",IFERROR(V41/(U41+V41),""),AD29)</f>
        <v/>
      </c>
      <c r="AE41" s="46">
        <f>IFERROR(AC41*Z41*AA41,"")</f>
        <v/>
      </c>
      <c r="AF41" s="47">
        <f>K29</f>
        <v/>
      </c>
      <c r="AG41" s="43">
        <f>IF($D41="Forecast",IFERROR(K41/AF41-1,""),"")</f>
        <v/>
      </c>
    </row>
    <row r="42">
      <c r="A42" s="8" t="n">
        <v>46478</v>
      </c>
      <c r="B42" s="26">
        <f>YEAR(A42)</f>
        <v/>
      </c>
      <c r="C42" s="26">
        <f>MONTH(A42)</f>
        <v/>
      </c>
      <c r="D42">
        <f>IF(A42&lt;=LastActual,"Actual","Forecast")</f>
        <v/>
      </c>
      <c r="E42" s="24">
        <f>IF($D42="Actual",R42,W42)</f>
        <v/>
      </c>
      <c r="F42" s="27">
        <f>IF($D42="Actual",S42,Cases_Forecast!AK35)</f>
        <v/>
      </c>
      <c r="G42" s="9">
        <f>IF($D42="Actual",T42,IFERROR(H42/AE42,0))</f>
        <v/>
      </c>
      <c r="H42" s="24">
        <f>IF($D42="Actual",U42,J42-I42)</f>
        <v/>
      </c>
      <c r="I42" s="24">
        <f>IF($D42="Actual",V42,IFERROR(J42*AD42,0))</f>
        <v/>
      </c>
      <c r="J42" s="24">
        <f>IF($D42="Actual",U42+V42,E42*X42)</f>
        <v/>
      </c>
      <c r="K42" s="28">
        <f>IFERROR(F42/G42,0)</f>
        <v/>
      </c>
      <c r="L42" s="29">
        <f>IFERROR(H42/G42,0)</f>
        <v/>
      </c>
      <c r="M42" s="30">
        <f>IFERROR(J42/F42,0)</f>
        <v/>
      </c>
      <c r="N42" s="10">
        <f>IFERROR(J42/E42,0)</f>
        <v/>
      </c>
      <c r="O42" s="10">
        <f>IFERROR(I42/J42,0)</f>
        <v/>
      </c>
      <c r="R42" s="42">
        <f>IF($D42="Actual",SUMIFS(Data_Actuals!$C$2:$C$5000,Data_Actuals!$A$2:$A$5000,$A42,Data_Actuals!$B$2:$B$5000,$B$2),"")</f>
        <v/>
      </c>
      <c r="S42" s="42">
        <f>IF($D42="Actual",SUMIFS(Data_Actuals!$D$2:$D$5000,Data_Actuals!$A$2:$A$5000,$A42,Data_Actuals!$B$2:$B$5000,$B$2),"")</f>
        <v/>
      </c>
      <c r="T42" s="42">
        <f>IF($D42="Actual",SUMIFS(Data_Actuals!$E$2:$E$5000,Data_Actuals!$A$2:$A$5000,$A42,Data_Actuals!$B$2:$B$5000,$B$2),"")</f>
        <v/>
      </c>
      <c r="U42" s="42">
        <f>IF($D42="Actual",SUMIFS(Data_Actuals!$F$2:$F$5000,Data_Actuals!$A$2:$A$5000,$A42,Data_Actuals!$B$2:$B$5000,$B$2),"")</f>
        <v/>
      </c>
      <c r="V42" s="42">
        <f>IF($D42="Actual",SUMIFS(Data_Actuals!$G$2:$G$5000,Data_Actuals!$A$2:$A$5000,$A42,Data_Actuals!$B$2:$B$5000,$B$2),"")</f>
        <v/>
      </c>
      <c r="W42" s="42">
        <f>SUMIFS(Plan_Inputs!$C$2:$C$5000,Plan_Inputs!$A$2:$A$5000,$A42,Plan_Inputs!$B$2:$B$5000,$B$2)</f>
        <v/>
      </c>
      <c r="X42" s="43">
        <f>SUMIFS(Plan_Inputs!$D$2:$D$5000,Plan_Inputs!$A$2:$A$5000,$A42,Plan_Inputs!$B$2:$B$5000,$B$2)</f>
        <v/>
      </c>
      <c r="Y42" s="42">
        <f>E42</f>
        <v/>
      </c>
      <c r="Z42" s="44">
        <f>INDEX(Calendar!$H$5:$L$52,MATCH($A42,Calendar!$A$5:$A$52,0),MATCH($D$2,Calendar!$H$4:$L$4,0))</f>
        <v/>
      </c>
      <c r="AA42" s="44">
        <f>INDEX(Calendar!$M$5:$M$52,MATCH($A42,Calendar!$A$5:$A$52,0))</f>
        <v/>
      </c>
      <c r="AB42" s="45">
        <f>IF($D42="Actual",IFERROR(S42/Y42,""),AB30)</f>
        <v/>
      </c>
      <c r="AC42" s="46">
        <f>IF($D42="Actual",IFERROR(U42/T42/Z42/AA42,""),AC30)</f>
        <v/>
      </c>
      <c r="AD42" s="43">
        <f>IF($D42="Actual",IFERROR(V42/(U42+V42),""),AD30)</f>
        <v/>
      </c>
      <c r="AE42" s="46">
        <f>IFERROR(AC42*Z42*AA42,"")</f>
        <v/>
      </c>
      <c r="AF42" s="47">
        <f>K30</f>
        <v/>
      </c>
      <c r="AG42" s="43">
        <f>IF($D42="Forecast",IFERROR(K42/AF42-1,""),"")</f>
        <v/>
      </c>
    </row>
    <row r="43">
      <c r="A43" s="8" t="n">
        <v>46508</v>
      </c>
      <c r="B43" s="26">
        <f>YEAR(A43)</f>
        <v/>
      </c>
      <c r="C43" s="26">
        <f>MONTH(A43)</f>
        <v/>
      </c>
      <c r="D43">
        <f>IF(A43&lt;=LastActual,"Actual","Forecast")</f>
        <v/>
      </c>
      <c r="E43" s="24">
        <f>IF($D43="Actual",R43,W43)</f>
        <v/>
      </c>
      <c r="F43" s="27">
        <f>IF($D43="Actual",S43,Cases_Forecast!AK36)</f>
        <v/>
      </c>
      <c r="G43" s="9">
        <f>IF($D43="Actual",T43,IFERROR(H43/AE43,0))</f>
        <v/>
      </c>
      <c r="H43" s="24">
        <f>IF($D43="Actual",U43,J43-I43)</f>
        <v/>
      </c>
      <c r="I43" s="24">
        <f>IF($D43="Actual",V43,IFERROR(J43*AD43,0))</f>
        <v/>
      </c>
      <c r="J43" s="24">
        <f>IF($D43="Actual",U43+V43,E43*X43)</f>
        <v/>
      </c>
      <c r="K43" s="28">
        <f>IFERROR(F43/G43,0)</f>
        <v/>
      </c>
      <c r="L43" s="29">
        <f>IFERROR(H43/G43,0)</f>
        <v/>
      </c>
      <c r="M43" s="30">
        <f>IFERROR(J43/F43,0)</f>
        <v/>
      </c>
      <c r="N43" s="10">
        <f>IFERROR(J43/E43,0)</f>
        <v/>
      </c>
      <c r="O43" s="10">
        <f>IFERROR(I43/J43,0)</f>
        <v/>
      </c>
      <c r="R43" s="42">
        <f>IF($D43="Actual",SUMIFS(Data_Actuals!$C$2:$C$5000,Data_Actuals!$A$2:$A$5000,$A43,Data_Actuals!$B$2:$B$5000,$B$2),"")</f>
        <v/>
      </c>
      <c r="S43" s="42">
        <f>IF($D43="Actual",SUMIFS(Data_Actuals!$D$2:$D$5000,Data_Actuals!$A$2:$A$5000,$A43,Data_Actuals!$B$2:$B$5000,$B$2),"")</f>
        <v/>
      </c>
      <c r="T43" s="42">
        <f>IF($D43="Actual",SUMIFS(Data_Actuals!$E$2:$E$5000,Data_Actuals!$A$2:$A$5000,$A43,Data_Actuals!$B$2:$B$5000,$B$2),"")</f>
        <v/>
      </c>
      <c r="U43" s="42">
        <f>IF($D43="Actual",SUMIFS(Data_Actuals!$F$2:$F$5000,Data_Actuals!$A$2:$A$5000,$A43,Data_Actuals!$B$2:$B$5000,$B$2),"")</f>
        <v/>
      </c>
      <c r="V43" s="42">
        <f>IF($D43="Actual",SUMIFS(Data_Actuals!$G$2:$G$5000,Data_Actuals!$A$2:$A$5000,$A43,Data_Actuals!$B$2:$B$5000,$B$2),"")</f>
        <v/>
      </c>
      <c r="W43" s="42">
        <f>SUMIFS(Plan_Inputs!$C$2:$C$5000,Plan_Inputs!$A$2:$A$5000,$A43,Plan_Inputs!$B$2:$B$5000,$B$2)</f>
        <v/>
      </c>
      <c r="X43" s="43">
        <f>SUMIFS(Plan_Inputs!$D$2:$D$5000,Plan_Inputs!$A$2:$A$5000,$A43,Plan_Inputs!$B$2:$B$5000,$B$2)</f>
        <v/>
      </c>
      <c r="Y43" s="42">
        <f>E43</f>
        <v/>
      </c>
      <c r="Z43" s="44">
        <f>INDEX(Calendar!$H$5:$L$52,MATCH($A43,Calendar!$A$5:$A$52,0),MATCH($D$2,Calendar!$H$4:$L$4,0))</f>
        <v/>
      </c>
      <c r="AA43" s="44">
        <f>INDEX(Calendar!$M$5:$M$52,MATCH($A43,Calendar!$A$5:$A$52,0))</f>
        <v/>
      </c>
      <c r="AB43" s="45">
        <f>IF($D43="Actual",IFERROR(S43/Y43,""),AB31)</f>
        <v/>
      </c>
      <c r="AC43" s="46">
        <f>IF($D43="Actual",IFERROR(U43/T43/Z43/AA43,""),AC31)</f>
        <v/>
      </c>
      <c r="AD43" s="43">
        <f>IF($D43="Actual",IFERROR(V43/(U43+V43),""),AD31)</f>
        <v/>
      </c>
      <c r="AE43" s="46">
        <f>IFERROR(AC43*Z43*AA43,"")</f>
        <v/>
      </c>
      <c r="AF43" s="47">
        <f>K31</f>
        <v/>
      </c>
      <c r="AG43" s="43">
        <f>IF($D43="Forecast",IFERROR(K43/AF43-1,""),"")</f>
        <v/>
      </c>
    </row>
    <row r="44">
      <c r="A44" s="8" t="n">
        <v>46539</v>
      </c>
      <c r="B44" s="26">
        <f>YEAR(A44)</f>
        <v/>
      </c>
      <c r="C44" s="26">
        <f>MONTH(A44)</f>
        <v/>
      </c>
      <c r="D44">
        <f>IF(A44&lt;=LastActual,"Actual","Forecast")</f>
        <v/>
      </c>
      <c r="E44" s="24">
        <f>IF($D44="Actual",R44,W44)</f>
        <v/>
      </c>
      <c r="F44" s="27">
        <f>IF($D44="Actual",S44,Cases_Forecast!AK37)</f>
        <v/>
      </c>
      <c r="G44" s="9">
        <f>IF($D44="Actual",T44,IFERROR(H44/AE44,0))</f>
        <v/>
      </c>
      <c r="H44" s="24">
        <f>IF($D44="Actual",U44,J44-I44)</f>
        <v/>
      </c>
      <c r="I44" s="24">
        <f>IF($D44="Actual",V44,IFERROR(J44*AD44,0))</f>
        <v/>
      </c>
      <c r="J44" s="24">
        <f>IF($D44="Actual",U44+V44,E44*X44)</f>
        <v/>
      </c>
      <c r="K44" s="28">
        <f>IFERROR(F44/G44,0)</f>
        <v/>
      </c>
      <c r="L44" s="29">
        <f>IFERROR(H44/G44,0)</f>
        <v/>
      </c>
      <c r="M44" s="30">
        <f>IFERROR(J44/F44,0)</f>
        <v/>
      </c>
      <c r="N44" s="10">
        <f>IFERROR(J44/E44,0)</f>
        <v/>
      </c>
      <c r="O44" s="10">
        <f>IFERROR(I44/J44,0)</f>
        <v/>
      </c>
      <c r="R44" s="42">
        <f>IF($D44="Actual",SUMIFS(Data_Actuals!$C$2:$C$5000,Data_Actuals!$A$2:$A$5000,$A44,Data_Actuals!$B$2:$B$5000,$B$2),"")</f>
        <v/>
      </c>
      <c r="S44" s="42">
        <f>IF($D44="Actual",SUMIFS(Data_Actuals!$D$2:$D$5000,Data_Actuals!$A$2:$A$5000,$A44,Data_Actuals!$B$2:$B$5000,$B$2),"")</f>
        <v/>
      </c>
      <c r="T44" s="42">
        <f>IF($D44="Actual",SUMIFS(Data_Actuals!$E$2:$E$5000,Data_Actuals!$A$2:$A$5000,$A44,Data_Actuals!$B$2:$B$5000,$B$2),"")</f>
        <v/>
      </c>
      <c r="U44" s="42">
        <f>IF($D44="Actual",SUMIFS(Data_Actuals!$F$2:$F$5000,Data_Actuals!$A$2:$A$5000,$A44,Data_Actuals!$B$2:$B$5000,$B$2),"")</f>
        <v/>
      </c>
      <c r="V44" s="42">
        <f>IF($D44="Actual",SUMIFS(Data_Actuals!$G$2:$G$5000,Data_Actuals!$A$2:$A$5000,$A44,Data_Actuals!$B$2:$B$5000,$B$2),"")</f>
        <v/>
      </c>
      <c r="W44" s="42">
        <f>SUMIFS(Plan_Inputs!$C$2:$C$5000,Plan_Inputs!$A$2:$A$5000,$A44,Plan_Inputs!$B$2:$B$5000,$B$2)</f>
        <v/>
      </c>
      <c r="X44" s="43">
        <f>SUMIFS(Plan_Inputs!$D$2:$D$5000,Plan_Inputs!$A$2:$A$5000,$A44,Plan_Inputs!$B$2:$B$5000,$B$2)</f>
        <v/>
      </c>
      <c r="Y44" s="42">
        <f>E44</f>
        <v/>
      </c>
      <c r="Z44" s="44">
        <f>INDEX(Calendar!$H$5:$L$52,MATCH($A44,Calendar!$A$5:$A$52,0),MATCH($D$2,Calendar!$H$4:$L$4,0))</f>
        <v/>
      </c>
      <c r="AA44" s="44">
        <f>INDEX(Calendar!$M$5:$M$52,MATCH($A44,Calendar!$A$5:$A$52,0))</f>
        <v/>
      </c>
      <c r="AB44" s="45">
        <f>IF($D44="Actual",IFERROR(S44/Y44,""),AB32)</f>
        <v/>
      </c>
      <c r="AC44" s="46">
        <f>IF($D44="Actual",IFERROR(U44/T44/Z44/AA44,""),AC32)</f>
        <v/>
      </c>
      <c r="AD44" s="43">
        <f>IF($D44="Actual",IFERROR(V44/(U44+V44),""),AD32)</f>
        <v/>
      </c>
      <c r="AE44" s="46">
        <f>IFERROR(AC44*Z44*AA44,"")</f>
        <v/>
      </c>
      <c r="AF44" s="47">
        <f>K32</f>
        <v/>
      </c>
      <c r="AG44" s="43">
        <f>IF($D44="Forecast",IFERROR(K44/AF44-1,""),"")</f>
        <v/>
      </c>
    </row>
    <row r="45">
      <c r="A45" s="8" t="n">
        <v>46569</v>
      </c>
      <c r="B45" s="26">
        <f>YEAR(A45)</f>
        <v/>
      </c>
      <c r="C45" s="26">
        <f>MONTH(A45)</f>
        <v/>
      </c>
      <c r="D45">
        <f>IF(A45&lt;=LastActual,"Actual","Forecast")</f>
        <v/>
      </c>
      <c r="E45" s="24">
        <f>IF($D45="Actual",R45,W45)</f>
        <v/>
      </c>
      <c r="F45" s="27">
        <f>IF($D45="Actual",S45,Cases_Forecast!AK38)</f>
        <v/>
      </c>
      <c r="G45" s="9">
        <f>IF($D45="Actual",T45,IFERROR(H45/AE45,0))</f>
        <v/>
      </c>
      <c r="H45" s="24">
        <f>IF($D45="Actual",U45,J45-I45)</f>
        <v/>
      </c>
      <c r="I45" s="24">
        <f>IF($D45="Actual",V45,IFERROR(J45*AD45,0))</f>
        <v/>
      </c>
      <c r="J45" s="24">
        <f>IF($D45="Actual",U45+V45,E45*X45)</f>
        <v/>
      </c>
      <c r="K45" s="28">
        <f>IFERROR(F45/G45,0)</f>
        <v/>
      </c>
      <c r="L45" s="29">
        <f>IFERROR(H45/G45,0)</f>
        <v/>
      </c>
      <c r="M45" s="30">
        <f>IFERROR(J45/F45,0)</f>
        <v/>
      </c>
      <c r="N45" s="10">
        <f>IFERROR(J45/E45,0)</f>
        <v/>
      </c>
      <c r="O45" s="10">
        <f>IFERROR(I45/J45,0)</f>
        <v/>
      </c>
      <c r="R45" s="42">
        <f>IF($D45="Actual",SUMIFS(Data_Actuals!$C$2:$C$5000,Data_Actuals!$A$2:$A$5000,$A45,Data_Actuals!$B$2:$B$5000,$B$2),"")</f>
        <v/>
      </c>
      <c r="S45" s="42">
        <f>IF($D45="Actual",SUMIFS(Data_Actuals!$D$2:$D$5000,Data_Actuals!$A$2:$A$5000,$A45,Data_Actuals!$B$2:$B$5000,$B$2),"")</f>
        <v/>
      </c>
      <c r="T45" s="42">
        <f>IF($D45="Actual",SUMIFS(Data_Actuals!$E$2:$E$5000,Data_Actuals!$A$2:$A$5000,$A45,Data_Actuals!$B$2:$B$5000,$B$2),"")</f>
        <v/>
      </c>
      <c r="U45" s="42">
        <f>IF($D45="Actual",SUMIFS(Data_Actuals!$F$2:$F$5000,Data_Actuals!$A$2:$A$5000,$A45,Data_Actuals!$B$2:$B$5000,$B$2),"")</f>
        <v/>
      </c>
      <c r="V45" s="42">
        <f>IF($D45="Actual",SUMIFS(Data_Actuals!$G$2:$G$5000,Data_Actuals!$A$2:$A$5000,$A45,Data_Actuals!$B$2:$B$5000,$B$2),"")</f>
        <v/>
      </c>
      <c r="W45" s="42">
        <f>SUMIFS(Plan_Inputs!$C$2:$C$5000,Plan_Inputs!$A$2:$A$5000,$A45,Plan_Inputs!$B$2:$B$5000,$B$2)</f>
        <v/>
      </c>
      <c r="X45" s="43">
        <f>SUMIFS(Plan_Inputs!$D$2:$D$5000,Plan_Inputs!$A$2:$A$5000,$A45,Plan_Inputs!$B$2:$B$5000,$B$2)</f>
        <v/>
      </c>
      <c r="Y45" s="42">
        <f>E45</f>
        <v/>
      </c>
      <c r="Z45" s="44">
        <f>INDEX(Calendar!$H$5:$L$52,MATCH($A45,Calendar!$A$5:$A$52,0),MATCH($D$2,Calendar!$H$4:$L$4,0))</f>
        <v/>
      </c>
      <c r="AA45" s="44">
        <f>INDEX(Calendar!$M$5:$M$52,MATCH($A45,Calendar!$A$5:$A$52,0))</f>
        <v/>
      </c>
      <c r="AB45" s="45">
        <f>IF($D45="Actual",IFERROR(S45/Y45,""),AB33)</f>
        <v/>
      </c>
      <c r="AC45" s="46">
        <f>IF($D45="Actual",IFERROR(U45/T45/Z45/AA45,""),AC33)</f>
        <v/>
      </c>
      <c r="AD45" s="43">
        <f>IF($D45="Actual",IFERROR(V45/(U45+V45),""),AD33)</f>
        <v/>
      </c>
      <c r="AE45" s="46">
        <f>IFERROR(AC45*Z45*AA45,"")</f>
        <v/>
      </c>
      <c r="AF45" s="47">
        <f>K33</f>
        <v/>
      </c>
      <c r="AG45" s="43">
        <f>IF($D45="Forecast",IFERROR(K45/AF45-1,""),"")</f>
        <v/>
      </c>
    </row>
    <row r="46">
      <c r="A46" s="8" t="n">
        <v>46600</v>
      </c>
      <c r="B46" s="26">
        <f>YEAR(A46)</f>
        <v/>
      </c>
      <c r="C46" s="26">
        <f>MONTH(A46)</f>
        <v/>
      </c>
      <c r="D46">
        <f>IF(A46&lt;=LastActual,"Actual","Forecast")</f>
        <v/>
      </c>
      <c r="E46" s="24">
        <f>IF($D46="Actual",R46,W46)</f>
        <v/>
      </c>
      <c r="F46" s="27">
        <f>IF($D46="Actual",S46,Cases_Forecast!AK39)</f>
        <v/>
      </c>
      <c r="G46" s="9">
        <f>IF($D46="Actual",T46,IFERROR(H46/AE46,0))</f>
        <v/>
      </c>
      <c r="H46" s="24">
        <f>IF($D46="Actual",U46,J46-I46)</f>
        <v/>
      </c>
      <c r="I46" s="24">
        <f>IF($D46="Actual",V46,IFERROR(J46*AD46,0))</f>
        <v/>
      </c>
      <c r="J46" s="24">
        <f>IF($D46="Actual",U46+V46,E46*X46)</f>
        <v/>
      </c>
      <c r="K46" s="28">
        <f>IFERROR(F46/G46,0)</f>
        <v/>
      </c>
      <c r="L46" s="29">
        <f>IFERROR(H46/G46,0)</f>
        <v/>
      </c>
      <c r="M46" s="30">
        <f>IFERROR(J46/F46,0)</f>
        <v/>
      </c>
      <c r="N46" s="10">
        <f>IFERROR(J46/E46,0)</f>
        <v/>
      </c>
      <c r="O46" s="10">
        <f>IFERROR(I46/J46,0)</f>
        <v/>
      </c>
      <c r="R46" s="42">
        <f>IF($D46="Actual",SUMIFS(Data_Actuals!$C$2:$C$5000,Data_Actuals!$A$2:$A$5000,$A46,Data_Actuals!$B$2:$B$5000,$B$2),"")</f>
        <v/>
      </c>
      <c r="S46" s="42">
        <f>IF($D46="Actual",SUMIFS(Data_Actuals!$D$2:$D$5000,Data_Actuals!$A$2:$A$5000,$A46,Data_Actuals!$B$2:$B$5000,$B$2),"")</f>
        <v/>
      </c>
      <c r="T46" s="42">
        <f>IF($D46="Actual",SUMIFS(Data_Actuals!$E$2:$E$5000,Data_Actuals!$A$2:$A$5000,$A46,Data_Actuals!$B$2:$B$5000,$B$2),"")</f>
        <v/>
      </c>
      <c r="U46" s="42">
        <f>IF($D46="Actual",SUMIFS(Data_Actuals!$F$2:$F$5000,Data_Actuals!$A$2:$A$5000,$A46,Data_Actuals!$B$2:$B$5000,$B$2),"")</f>
        <v/>
      </c>
      <c r="V46" s="42">
        <f>IF($D46="Actual",SUMIFS(Data_Actuals!$G$2:$G$5000,Data_Actuals!$A$2:$A$5000,$A46,Data_Actuals!$B$2:$B$5000,$B$2),"")</f>
        <v/>
      </c>
      <c r="W46" s="42">
        <f>SUMIFS(Plan_Inputs!$C$2:$C$5000,Plan_Inputs!$A$2:$A$5000,$A46,Plan_Inputs!$B$2:$B$5000,$B$2)</f>
        <v/>
      </c>
      <c r="X46" s="43">
        <f>SUMIFS(Plan_Inputs!$D$2:$D$5000,Plan_Inputs!$A$2:$A$5000,$A46,Plan_Inputs!$B$2:$B$5000,$B$2)</f>
        <v/>
      </c>
      <c r="Y46" s="42">
        <f>E46</f>
        <v/>
      </c>
      <c r="Z46" s="44">
        <f>INDEX(Calendar!$H$5:$L$52,MATCH($A46,Calendar!$A$5:$A$52,0),MATCH($D$2,Calendar!$H$4:$L$4,0))</f>
        <v/>
      </c>
      <c r="AA46" s="44">
        <f>INDEX(Calendar!$M$5:$M$52,MATCH($A46,Calendar!$A$5:$A$52,0))</f>
        <v/>
      </c>
      <c r="AB46" s="45">
        <f>IF($D46="Actual",IFERROR(S46/Y46,""),AB34)</f>
        <v/>
      </c>
      <c r="AC46" s="46">
        <f>IF($D46="Actual",IFERROR(U46/T46/Z46/AA46,""),AC34)</f>
        <v/>
      </c>
      <c r="AD46" s="43">
        <f>IF($D46="Actual",IFERROR(V46/(U46+V46),""),AD34)</f>
        <v/>
      </c>
      <c r="AE46" s="46">
        <f>IFERROR(AC46*Z46*AA46,"")</f>
        <v/>
      </c>
      <c r="AF46" s="47">
        <f>K34</f>
        <v/>
      </c>
      <c r="AG46" s="43">
        <f>IF($D46="Forecast",IFERROR(K46/AF46-1,""),"")</f>
        <v/>
      </c>
    </row>
    <row r="47">
      <c r="A47" s="8" t="n">
        <v>46631</v>
      </c>
      <c r="B47" s="26">
        <f>YEAR(A47)</f>
        <v/>
      </c>
      <c r="C47" s="26">
        <f>MONTH(A47)</f>
        <v/>
      </c>
      <c r="D47">
        <f>IF(A47&lt;=LastActual,"Actual","Forecast")</f>
        <v/>
      </c>
      <c r="E47" s="24">
        <f>IF($D47="Actual",R47,W47)</f>
        <v/>
      </c>
      <c r="F47" s="27">
        <f>IF($D47="Actual",S47,Cases_Forecast!AK40)</f>
        <v/>
      </c>
      <c r="G47" s="9">
        <f>IF($D47="Actual",T47,IFERROR(H47/AE47,0))</f>
        <v/>
      </c>
      <c r="H47" s="24">
        <f>IF($D47="Actual",U47,J47-I47)</f>
        <v/>
      </c>
      <c r="I47" s="24">
        <f>IF($D47="Actual",V47,IFERROR(J47*AD47,0))</f>
        <v/>
      </c>
      <c r="J47" s="24">
        <f>IF($D47="Actual",U47+V47,E47*X47)</f>
        <v/>
      </c>
      <c r="K47" s="28">
        <f>IFERROR(F47/G47,0)</f>
        <v/>
      </c>
      <c r="L47" s="29">
        <f>IFERROR(H47/G47,0)</f>
        <v/>
      </c>
      <c r="M47" s="30">
        <f>IFERROR(J47/F47,0)</f>
        <v/>
      </c>
      <c r="N47" s="10">
        <f>IFERROR(J47/E47,0)</f>
        <v/>
      </c>
      <c r="O47" s="10">
        <f>IFERROR(I47/J47,0)</f>
        <v/>
      </c>
      <c r="R47" s="42">
        <f>IF($D47="Actual",SUMIFS(Data_Actuals!$C$2:$C$5000,Data_Actuals!$A$2:$A$5000,$A47,Data_Actuals!$B$2:$B$5000,$B$2),"")</f>
        <v/>
      </c>
      <c r="S47" s="42">
        <f>IF($D47="Actual",SUMIFS(Data_Actuals!$D$2:$D$5000,Data_Actuals!$A$2:$A$5000,$A47,Data_Actuals!$B$2:$B$5000,$B$2),"")</f>
        <v/>
      </c>
      <c r="T47" s="42">
        <f>IF($D47="Actual",SUMIFS(Data_Actuals!$E$2:$E$5000,Data_Actuals!$A$2:$A$5000,$A47,Data_Actuals!$B$2:$B$5000,$B$2),"")</f>
        <v/>
      </c>
      <c r="U47" s="42">
        <f>IF($D47="Actual",SUMIFS(Data_Actuals!$F$2:$F$5000,Data_Actuals!$A$2:$A$5000,$A47,Data_Actuals!$B$2:$B$5000,$B$2),"")</f>
        <v/>
      </c>
      <c r="V47" s="42">
        <f>IF($D47="Actual",SUMIFS(Data_Actuals!$G$2:$G$5000,Data_Actuals!$A$2:$A$5000,$A47,Data_Actuals!$B$2:$B$5000,$B$2),"")</f>
        <v/>
      </c>
      <c r="W47" s="42">
        <f>SUMIFS(Plan_Inputs!$C$2:$C$5000,Plan_Inputs!$A$2:$A$5000,$A47,Plan_Inputs!$B$2:$B$5000,$B$2)</f>
        <v/>
      </c>
      <c r="X47" s="43">
        <f>SUMIFS(Plan_Inputs!$D$2:$D$5000,Plan_Inputs!$A$2:$A$5000,$A47,Plan_Inputs!$B$2:$B$5000,$B$2)</f>
        <v/>
      </c>
      <c r="Y47" s="42">
        <f>E47</f>
        <v/>
      </c>
      <c r="Z47" s="44">
        <f>INDEX(Calendar!$H$5:$L$52,MATCH($A47,Calendar!$A$5:$A$52,0),MATCH($D$2,Calendar!$H$4:$L$4,0))</f>
        <v/>
      </c>
      <c r="AA47" s="44">
        <f>INDEX(Calendar!$M$5:$M$52,MATCH($A47,Calendar!$A$5:$A$52,0))</f>
        <v/>
      </c>
      <c r="AB47" s="45">
        <f>IF($D47="Actual",IFERROR(S47/Y47,""),AB35)</f>
        <v/>
      </c>
      <c r="AC47" s="46">
        <f>IF($D47="Actual",IFERROR(U47/T47/Z47/AA47,""),AC35)</f>
        <v/>
      </c>
      <c r="AD47" s="43">
        <f>IF($D47="Actual",IFERROR(V47/(U47+V47),""),AD35)</f>
        <v/>
      </c>
      <c r="AE47" s="46">
        <f>IFERROR(AC47*Z47*AA47,"")</f>
        <v/>
      </c>
      <c r="AF47" s="47">
        <f>K35</f>
        <v/>
      </c>
      <c r="AG47" s="43">
        <f>IF($D47="Forecast",IFERROR(K47/AF47-1,""),"")</f>
        <v/>
      </c>
    </row>
    <row r="48">
      <c r="A48" s="8" t="n">
        <v>46661</v>
      </c>
      <c r="B48" s="26">
        <f>YEAR(A48)</f>
        <v/>
      </c>
      <c r="C48" s="26">
        <f>MONTH(A48)</f>
        <v/>
      </c>
      <c r="D48">
        <f>IF(A48&lt;=LastActual,"Actual","Forecast")</f>
        <v/>
      </c>
      <c r="E48" s="24">
        <f>IF($D48="Actual",R48,W48)</f>
        <v/>
      </c>
      <c r="F48" s="27">
        <f>IF($D48="Actual",S48,Cases_Forecast!AK41)</f>
        <v/>
      </c>
      <c r="G48" s="9">
        <f>IF($D48="Actual",T48,IFERROR(H48/AE48,0))</f>
        <v/>
      </c>
      <c r="H48" s="24">
        <f>IF($D48="Actual",U48,J48-I48)</f>
        <v/>
      </c>
      <c r="I48" s="24">
        <f>IF($D48="Actual",V48,IFERROR(J48*AD48,0))</f>
        <v/>
      </c>
      <c r="J48" s="24">
        <f>IF($D48="Actual",U48+V48,E48*X48)</f>
        <v/>
      </c>
      <c r="K48" s="28">
        <f>IFERROR(F48/G48,0)</f>
        <v/>
      </c>
      <c r="L48" s="29">
        <f>IFERROR(H48/G48,0)</f>
        <v/>
      </c>
      <c r="M48" s="30">
        <f>IFERROR(J48/F48,0)</f>
        <v/>
      </c>
      <c r="N48" s="10">
        <f>IFERROR(J48/E48,0)</f>
        <v/>
      </c>
      <c r="O48" s="10">
        <f>IFERROR(I48/J48,0)</f>
        <v/>
      </c>
      <c r="R48" s="42">
        <f>IF($D48="Actual",SUMIFS(Data_Actuals!$C$2:$C$5000,Data_Actuals!$A$2:$A$5000,$A48,Data_Actuals!$B$2:$B$5000,$B$2),"")</f>
        <v/>
      </c>
      <c r="S48" s="42">
        <f>IF($D48="Actual",SUMIFS(Data_Actuals!$D$2:$D$5000,Data_Actuals!$A$2:$A$5000,$A48,Data_Actuals!$B$2:$B$5000,$B$2),"")</f>
        <v/>
      </c>
      <c r="T48" s="42">
        <f>IF($D48="Actual",SUMIFS(Data_Actuals!$E$2:$E$5000,Data_Actuals!$A$2:$A$5000,$A48,Data_Actuals!$B$2:$B$5000,$B$2),"")</f>
        <v/>
      </c>
      <c r="U48" s="42">
        <f>IF($D48="Actual",SUMIFS(Data_Actuals!$F$2:$F$5000,Data_Actuals!$A$2:$A$5000,$A48,Data_Actuals!$B$2:$B$5000,$B$2),"")</f>
        <v/>
      </c>
      <c r="V48" s="42">
        <f>IF($D48="Actual",SUMIFS(Data_Actuals!$G$2:$G$5000,Data_Actuals!$A$2:$A$5000,$A48,Data_Actuals!$B$2:$B$5000,$B$2),"")</f>
        <v/>
      </c>
      <c r="W48" s="42">
        <f>SUMIFS(Plan_Inputs!$C$2:$C$5000,Plan_Inputs!$A$2:$A$5000,$A48,Plan_Inputs!$B$2:$B$5000,$B$2)</f>
        <v/>
      </c>
      <c r="X48" s="43">
        <f>SUMIFS(Plan_Inputs!$D$2:$D$5000,Plan_Inputs!$A$2:$A$5000,$A48,Plan_Inputs!$B$2:$B$5000,$B$2)</f>
        <v/>
      </c>
      <c r="Y48" s="42">
        <f>E48</f>
        <v/>
      </c>
      <c r="Z48" s="44">
        <f>INDEX(Calendar!$H$5:$L$52,MATCH($A48,Calendar!$A$5:$A$52,0),MATCH($D$2,Calendar!$H$4:$L$4,0))</f>
        <v/>
      </c>
      <c r="AA48" s="44">
        <f>INDEX(Calendar!$M$5:$M$52,MATCH($A48,Calendar!$A$5:$A$52,0))</f>
        <v/>
      </c>
      <c r="AB48" s="45">
        <f>IF($D48="Actual",IFERROR(S48/Y48,""),AB36)</f>
        <v/>
      </c>
      <c r="AC48" s="46">
        <f>IF($D48="Actual",IFERROR(U48/T48/Z48/AA48,""),AC36)</f>
        <v/>
      </c>
      <c r="AD48" s="43">
        <f>IF($D48="Actual",IFERROR(V48/(U48+V48),""),AD36)</f>
        <v/>
      </c>
      <c r="AE48" s="46">
        <f>IFERROR(AC48*Z48*AA48,"")</f>
        <v/>
      </c>
      <c r="AF48" s="47">
        <f>K36</f>
        <v/>
      </c>
      <c r="AG48" s="43">
        <f>IF($D48="Forecast",IFERROR(K48/AF48-1,""),"")</f>
        <v/>
      </c>
    </row>
    <row r="49">
      <c r="A49" s="8" t="n">
        <v>46692</v>
      </c>
      <c r="B49" s="26">
        <f>YEAR(A49)</f>
        <v/>
      </c>
      <c r="C49" s="26">
        <f>MONTH(A49)</f>
        <v/>
      </c>
      <c r="D49">
        <f>IF(A49&lt;=LastActual,"Actual","Forecast")</f>
        <v/>
      </c>
      <c r="E49" s="24">
        <f>IF($D49="Actual",R49,W49)</f>
        <v/>
      </c>
      <c r="F49" s="27">
        <f>IF($D49="Actual",S49,Cases_Forecast!AK42)</f>
        <v/>
      </c>
      <c r="G49" s="9">
        <f>IF($D49="Actual",T49,IFERROR(H49/AE49,0))</f>
        <v/>
      </c>
      <c r="H49" s="24">
        <f>IF($D49="Actual",U49,J49-I49)</f>
        <v/>
      </c>
      <c r="I49" s="24">
        <f>IF($D49="Actual",V49,IFERROR(J49*AD49,0))</f>
        <v/>
      </c>
      <c r="J49" s="24">
        <f>IF($D49="Actual",U49+V49,E49*X49)</f>
        <v/>
      </c>
      <c r="K49" s="28">
        <f>IFERROR(F49/G49,0)</f>
        <v/>
      </c>
      <c r="L49" s="29">
        <f>IFERROR(H49/G49,0)</f>
        <v/>
      </c>
      <c r="M49" s="30">
        <f>IFERROR(J49/F49,0)</f>
        <v/>
      </c>
      <c r="N49" s="10">
        <f>IFERROR(J49/E49,0)</f>
        <v/>
      </c>
      <c r="O49" s="10">
        <f>IFERROR(I49/J49,0)</f>
        <v/>
      </c>
      <c r="R49" s="42">
        <f>IF($D49="Actual",SUMIFS(Data_Actuals!$C$2:$C$5000,Data_Actuals!$A$2:$A$5000,$A49,Data_Actuals!$B$2:$B$5000,$B$2),"")</f>
        <v/>
      </c>
      <c r="S49" s="42">
        <f>IF($D49="Actual",SUMIFS(Data_Actuals!$D$2:$D$5000,Data_Actuals!$A$2:$A$5000,$A49,Data_Actuals!$B$2:$B$5000,$B$2),"")</f>
        <v/>
      </c>
      <c r="T49" s="42">
        <f>IF($D49="Actual",SUMIFS(Data_Actuals!$E$2:$E$5000,Data_Actuals!$A$2:$A$5000,$A49,Data_Actuals!$B$2:$B$5000,$B$2),"")</f>
        <v/>
      </c>
      <c r="U49" s="42">
        <f>IF($D49="Actual",SUMIFS(Data_Actuals!$F$2:$F$5000,Data_Actuals!$A$2:$A$5000,$A49,Data_Actuals!$B$2:$B$5000,$B$2),"")</f>
        <v/>
      </c>
      <c r="V49" s="42">
        <f>IF($D49="Actual",SUMIFS(Data_Actuals!$G$2:$G$5000,Data_Actuals!$A$2:$A$5000,$A49,Data_Actuals!$B$2:$B$5000,$B$2),"")</f>
        <v/>
      </c>
      <c r="W49" s="42">
        <f>SUMIFS(Plan_Inputs!$C$2:$C$5000,Plan_Inputs!$A$2:$A$5000,$A49,Plan_Inputs!$B$2:$B$5000,$B$2)</f>
        <v/>
      </c>
      <c r="X49" s="43">
        <f>SUMIFS(Plan_Inputs!$D$2:$D$5000,Plan_Inputs!$A$2:$A$5000,$A49,Plan_Inputs!$B$2:$B$5000,$B$2)</f>
        <v/>
      </c>
      <c r="Y49" s="42">
        <f>E49</f>
        <v/>
      </c>
      <c r="Z49" s="44">
        <f>INDEX(Calendar!$H$5:$L$52,MATCH($A49,Calendar!$A$5:$A$52,0),MATCH($D$2,Calendar!$H$4:$L$4,0))</f>
        <v/>
      </c>
      <c r="AA49" s="44">
        <f>INDEX(Calendar!$M$5:$M$52,MATCH($A49,Calendar!$A$5:$A$52,0))</f>
        <v/>
      </c>
      <c r="AB49" s="45">
        <f>IF($D49="Actual",IFERROR(S49/Y49,""),AB37)</f>
        <v/>
      </c>
      <c r="AC49" s="46">
        <f>IF($D49="Actual",IFERROR(U49/T49/Z49/AA49,""),AC37)</f>
        <v/>
      </c>
      <c r="AD49" s="43">
        <f>IF($D49="Actual",IFERROR(V49/(U49+V49),""),AD37)</f>
        <v/>
      </c>
      <c r="AE49" s="46">
        <f>IFERROR(AC49*Z49*AA49,"")</f>
        <v/>
      </c>
      <c r="AF49" s="47">
        <f>K37</f>
        <v/>
      </c>
      <c r="AG49" s="43">
        <f>IF($D49="Forecast",IFERROR(K49/AF49-1,""),"")</f>
        <v/>
      </c>
    </row>
    <row r="50">
      <c r="A50" s="31" t="n">
        <v>46722</v>
      </c>
      <c r="B50" s="32">
        <f>YEAR(A50)</f>
        <v/>
      </c>
      <c r="C50" s="32">
        <f>MONTH(A50)</f>
        <v/>
      </c>
      <c r="D50" s="33">
        <f>IF(A50&lt;=LastActual,"Actual","Forecast")</f>
        <v/>
      </c>
      <c r="E50" s="34">
        <f>IF($D50="Actual",R50,W50)</f>
        <v/>
      </c>
      <c r="F50" s="35">
        <f>IF($D50="Actual",S50,Cases_Forecast!AK43)</f>
        <v/>
      </c>
      <c r="G50" s="36">
        <f>IF($D50="Actual",T50,IFERROR(H50/AE50,0))</f>
        <v/>
      </c>
      <c r="H50" s="34">
        <f>IF($D50="Actual",U50,J50-I50)</f>
        <v/>
      </c>
      <c r="I50" s="34">
        <f>IF($D50="Actual",V50,IFERROR(J50*AD50,0))</f>
        <v/>
      </c>
      <c r="J50" s="34">
        <f>IF($D50="Actual",U50+V50,E50*X50)</f>
        <v/>
      </c>
      <c r="K50" s="37">
        <f>IFERROR(F50/G50,0)</f>
        <v/>
      </c>
      <c r="L50" s="38">
        <f>IFERROR(H50/G50,0)</f>
        <v/>
      </c>
      <c r="M50" s="39">
        <f>IFERROR(J50/F50,0)</f>
        <v/>
      </c>
      <c r="N50" s="40">
        <f>IFERROR(J50/E50,0)</f>
        <v/>
      </c>
      <c r="O50" s="40">
        <f>IFERROR(I50/J50,0)</f>
        <v/>
      </c>
      <c r="R50" s="42">
        <f>IF($D50="Actual",SUMIFS(Data_Actuals!$C$2:$C$5000,Data_Actuals!$A$2:$A$5000,$A50,Data_Actuals!$B$2:$B$5000,$B$2),"")</f>
        <v/>
      </c>
      <c r="S50" s="42">
        <f>IF($D50="Actual",SUMIFS(Data_Actuals!$D$2:$D$5000,Data_Actuals!$A$2:$A$5000,$A50,Data_Actuals!$B$2:$B$5000,$B$2),"")</f>
        <v/>
      </c>
      <c r="T50" s="42">
        <f>IF($D50="Actual",SUMIFS(Data_Actuals!$E$2:$E$5000,Data_Actuals!$A$2:$A$5000,$A50,Data_Actuals!$B$2:$B$5000,$B$2),"")</f>
        <v/>
      </c>
      <c r="U50" s="42">
        <f>IF($D50="Actual",SUMIFS(Data_Actuals!$F$2:$F$5000,Data_Actuals!$A$2:$A$5000,$A50,Data_Actuals!$B$2:$B$5000,$B$2),"")</f>
        <v/>
      </c>
      <c r="V50" s="42">
        <f>IF($D50="Actual",SUMIFS(Data_Actuals!$G$2:$G$5000,Data_Actuals!$A$2:$A$5000,$A50,Data_Actuals!$B$2:$B$5000,$B$2),"")</f>
        <v/>
      </c>
      <c r="W50" s="42">
        <f>SUMIFS(Plan_Inputs!$C$2:$C$5000,Plan_Inputs!$A$2:$A$5000,$A50,Plan_Inputs!$B$2:$B$5000,$B$2)</f>
        <v/>
      </c>
      <c r="X50" s="43">
        <f>SUMIFS(Plan_Inputs!$D$2:$D$5000,Plan_Inputs!$A$2:$A$5000,$A50,Plan_Inputs!$B$2:$B$5000,$B$2)</f>
        <v/>
      </c>
      <c r="Y50" s="42">
        <f>E50</f>
        <v/>
      </c>
      <c r="Z50" s="44">
        <f>INDEX(Calendar!$H$5:$L$52,MATCH($A50,Calendar!$A$5:$A$52,0),MATCH($D$2,Calendar!$H$4:$L$4,0))</f>
        <v/>
      </c>
      <c r="AA50" s="44">
        <f>INDEX(Calendar!$M$5:$M$52,MATCH($A50,Calendar!$A$5:$A$52,0))</f>
        <v/>
      </c>
      <c r="AB50" s="45">
        <f>IF($D50="Actual",IFERROR(S50/Y50,""),AB38)</f>
        <v/>
      </c>
      <c r="AC50" s="46">
        <f>IF($D50="Actual",IFERROR(U50/T50/Z50/AA50,""),AC38)</f>
        <v/>
      </c>
      <c r="AD50" s="43">
        <f>IF($D50="Actual",IFERROR(V50/(U50+V50),""),AD38)</f>
        <v/>
      </c>
      <c r="AE50" s="46">
        <f>IFERROR(AC50*Z50*AA50,"")</f>
        <v/>
      </c>
      <c r="AF50" s="47">
        <f>K38</f>
        <v/>
      </c>
      <c r="AG50" s="43">
        <f>IF($D50="Forecast",IFERROR(K50/AF50-1,""),"")</f>
        <v/>
      </c>
    </row>
    <row r="51">
      <c r="A51" s="8" t="n">
        <v>46753</v>
      </c>
      <c r="B51" s="26">
        <f>YEAR(A51)</f>
        <v/>
      </c>
      <c r="C51" s="26">
        <f>MONTH(A51)</f>
        <v/>
      </c>
      <c r="D51">
        <f>IF(A51&lt;=LastActual,"Actual","Forecast")</f>
        <v/>
      </c>
      <c r="E51" s="24">
        <f>IF($D51="Actual",R51,W51)</f>
        <v/>
      </c>
      <c r="F51" s="27">
        <f>IF($D51="Actual",S51,Cases_Forecast!AK44)</f>
        <v/>
      </c>
      <c r="G51" s="9">
        <f>IF($D51="Actual",T51,IFERROR(H51/AE51,0))</f>
        <v/>
      </c>
      <c r="H51" s="24">
        <f>IF($D51="Actual",U51,J51-I51)</f>
        <v/>
      </c>
      <c r="I51" s="24">
        <f>IF($D51="Actual",V51,IFERROR(J51*AD51,0))</f>
        <v/>
      </c>
      <c r="J51" s="24">
        <f>IF($D51="Actual",U51+V51,E51*X51)</f>
        <v/>
      </c>
      <c r="K51" s="28">
        <f>IFERROR(F51/G51,0)</f>
        <v/>
      </c>
      <c r="L51" s="29">
        <f>IFERROR(H51/G51,0)</f>
        <v/>
      </c>
      <c r="M51" s="30">
        <f>IFERROR(J51/F51,0)</f>
        <v/>
      </c>
      <c r="N51" s="10">
        <f>IFERROR(J51/E51,0)</f>
        <v/>
      </c>
      <c r="O51" s="10">
        <f>IFERROR(I51/J51,0)</f>
        <v/>
      </c>
      <c r="R51" s="42">
        <f>IF($D51="Actual",SUMIFS(Data_Actuals!$C$2:$C$5000,Data_Actuals!$A$2:$A$5000,$A51,Data_Actuals!$B$2:$B$5000,$B$2),"")</f>
        <v/>
      </c>
      <c r="S51" s="42">
        <f>IF($D51="Actual",SUMIFS(Data_Actuals!$D$2:$D$5000,Data_Actuals!$A$2:$A$5000,$A51,Data_Actuals!$B$2:$B$5000,$B$2),"")</f>
        <v/>
      </c>
      <c r="T51" s="42">
        <f>IF($D51="Actual",SUMIFS(Data_Actuals!$E$2:$E$5000,Data_Actuals!$A$2:$A$5000,$A51,Data_Actuals!$B$2:$B$5000,$B$2),"")</f>
        <v/>
      </c>
      <c r="U51" s="42">
        <f>IF($D51="Actual",SUMIFS(Data_Actuals!$F$2:$F$5000,Data_Actuals!$A$2:$A$5000,$A51,Data_Actuals!$B$2:$B$5000,$B$2),"")</f>
        <v/>
      </c>
      <c r="V51" s="42">
        <f>IF($D51="Actual",SUMIFS(Data_Actuals!$G$2:$G$5000,Data_Actuals!$A$2:$A$5000,$A51,Data_Actuals!$B$2:$B$5000,$B$2),"")</f>
        <v/>
      </c>
      <c r="W51" s="42">
        <f>SUMIFS(Plan_Inputs!$C$2:$C$5000,Plan_Inputs!$A$2:$A$5000,$A51,Plan_Inputs!$B$2:$B$5000,$B$2)</f>
        <v/>
      </c>
      <c r="X51" s="43">
        <f>SUMIFS(Plan_Inputs!$D$2:$D$5000,Plan_Inputs!$A$2:$A$5000,$A51,Plan_Inputs!$B$2:$B$5000,$B$2)</f>
        <v/>
      </c>
      <c r="Y51" s="42">
        <f>E51</f>
        <v/>
      </c>
      <c r="Z51" s="44">
        <f>INDEX(Calendar!$H$5:$L$52,MATCH($A51,Calendar!$A$5:$A$52,0),MATCH($D$2,Calendar!$H$4:$L$4,0))</f>
        <v/>
      </c>
      <c r="AA51" s="44">
        <f>INDEX(Calendar!$M$5:$M$52,MATCH($A51,Calendar!$A$5:$A$52,0))</f>
        <v/>
      </c>
      <c r="AB51" s="45">
        <f>IF($D51="Actual",IFERROR(S51/Y51,""),AB39)</f>
        <v/>
      </c>
      <c r="AC51" s="46">
        <f>IF($D51="Actual",IFERROR(U51/T51/Z51/AA51,""),AC39)</f>
        <v/>
      </c>
      <c r="AD51" s="43">
        <f>IF($D51="Actual",IFERROR(V51/(U51+V51),""),AD39)</f>
        <v/>
      </c>
      <c r="AE51" s="46">
        <f>IFERROR(AC51*Z51*AA51,"")</f>
        <v/>
      </c>
      <c r="AF51" s="47">
        <f>K39</f>
        <v/>
      </c>
      <c r="AG51" s="43">
        <f>IF($D51="Forecast",IFERROR(K51/AF51-1,""),"")</f>
        <v/>
      </c>
    </row>
    <row r="52">
      <c r="A52" s="8" t="n">
        <v>46784</v>
      </c>
      <c r="B52" s="26">
        <f>YEAR(A52)</f>
        <v/>
      </c>
      <c r="C52" s="26">
        <f>MONTH(A52)</f>
        <v/>
      </c>
      <c r="D52">
        <f>IF(A52&lt;=LastActual,"Actual","Forecast")</f>
        <v/>
      </c>
      <c r="E52" s="24">
        <f>IF($D52="Actual",R52,W52)</f>
        <v/>
      </c>
      <c r="F52" s="27">
        <f>IF($D52="Actual",S52,Cases_Forecast!AK45)</f>
        <v/>
      </c>
      <c r="G52" s="9">
        <f>IF($D52="Actual",T52,IFERROR(H52/AE52,0))</f>
        <v/>
      </c>
      <c r="H52" s="24">
        <f>IF($D52="Actual",U52,J52-I52)</f>
        <v/>
      </c>
      <c r="I52" s="24">
        <f>IF($D52="Actual",V52,IFERROR(J52*AD52,0))</f>
        <v/>
      </c>
      <c r="J52" s="24">
        <f>IF($D52="Actual",U52+V52,E52*X52)</f>
        <v/>
      </c>
      <c r="K52" s="28">
        <f>IFERROR(F52/G52,0)</f>
        <v/>
      </c>
      <c r="L52" s="29">
        <f>IFERROR(H52/G52,0)</f>
        <v/>
      </c>
      <c r="M52" s="30">
        <f>IFERROR(J52/F52,0)</f>
        <v/>
      </c>
      <c r="N52" s="10">
        <f>IFERROR(J52/E52,0)</f>
        <v/>
      </c>
      <c r="O52" s="10">
        <f>IFERROR(I52/J52,0)</f>
        <v/>
      </c>
      <c r="R52" s="42">
        <f>IF($D52="Actual",SUMIFS(Data_Actuals!$C$2:$C$5000,Data_Actuals!$A$2:$A$5000,$A52,Data_Actuals!$B$2:$B$5000,$B$2),"")</f>
        <v/>
      </c>
      <c r="S52" s="42">
        <f>IF($D52="Actual",SUMIFS(Data_Actuals!$D$2:$D$5000,Data_Actuals!$A$2:$A$5000,$A52,Data_Actuals!$B$2:$B$5000,$B$2),"")</f>
        <v/>
      </c>
      <c r="T52" s="42">
        <f>IF($D52="Actual",SUMIFS(Data_Actuals!$E$2:$E$5000,Data_Actuals!$A$2:$A$5000,$A52,Data_Actuals!$B$2:$B$5000,$B$2),"")</f>
        <v/>
      </c>
      <c r="U52" s="42">
        <f>IF($D52="Actual",SUMIFS(Data_Actuals!$F$2:$F$5000,Data_Actuals!$A$2:$A$5000,$A52,Data_Actuals!$B$2:$B$5000,$B$2),"")</f>
        <v/>
      </c>
      <c r="V52" s="42">
        <f>IF($D52="Actual",SUMIFS(Data_Actuals!$G$2:$G$5000,Data_Actuals!$A$2:$A$5000,$A52,Data_Actuals!$B$2:$B$5000,$B$2),"")</f>
        <v/>
      </c>
      <c r="W52" s="42">
        <f>SUMIFS(Plan_Inputs!$C$2:$C$5000,Plan_Inputs!$A$2:$A$5000,$A52,Plan_Inputs!$B$2:$B$5000,$B$2)</f>
        <v/>
      </c>
      <c r="X52" s="43">
        <f>SUMIFS(Plan_Inputs!$D$2:$D$5000,Plan_Inputs!$A$2:$A$5000,$A52,Plan_Inputs!$B$2:$B$5000,$B$2)</f>
        <v/>
      </c>
      <c r="Y52" s="42">
        <f>E52</f>
        <v/>
      </c>
      <c r="Z52" s="44">
        <f>INDEX(Calendar!$H$5:$L$52,MATCH($A52,Calendar!$A$5:$A$52,0),MATCH($D$2,Calendar!$H$4:$L$4,0))</f>
        <v/>
      </c>
      <c r="AA52" s="44">
        <f>INDEX(Calendar!$M$5:$M$52,MATCH($A52,Calendar!$A$5:$A$52,0))</f>
        <v/>
      </c>
      <c r="AB52" s="45">
        <f>IF($D52="Actual",IFERROR(S52/Y52,""),AB40)</f>
        <v/>
      </c>
      <c r="AC52" s="46">
        <f>IF($D52="Actual",IFERROR(U52/T52/Z52/AA52,""),AC40)</f>
        <v/>
      </c>
      <c r="AD52" s="43">
        <f>IF($D52="Actual",IFERROR(V52/(U52+V52),""),AD40)</f>
        <v/>
      </c>
      <c r="AE52" s="46">
        <f>IFERROR(AC52*Z52*AA52,"")</f>
        <v/>
      </c>
      <c r="AF52" s="47">
        <f>K40</f>
        <v/>
      </c>
      <c r="AG52" s="43">
        <f>IF($D52="Forecast",IFERROR(K52/AF52-1,""),"")</f>
        <v/>
      </c>
    </row>
    <row r="53">
      <c r="A53" s="8" t="n">
        <v>46813</v>
      </c>
      <c r="B53" s="26">
        <f>YEAR(A53)</f>
        <v/>
      </c>
      <c r="C53" s="26">
        <f>MONTH(A53)</f>
        <v/>
      </c>
      <c r="D53">
        <f>IF(A53&lt;=LastActual,"Actual","Forecast")</f>
        <v/>
      </c>
      <c r="E53" s="24">
        <f>IF($D53="Actual",R53,W53)</f>
        <v/>
      </c>
      <c r="F53" s="27">
        <f>IF($D53="Actual",S53,Cases_Forecast!AK46)</f>
        <v/>
      </c>
      <c r="G53" s="9">
        <f>IF($D53="Actual",T53,IFERROR(H53/AE53,0))</f>
        <v/>
      </c>
      <c r="H53" s="24">
        <f>IF($D53="Actual",U53,J53-I53)</f>
        <v/>
      </c>
      <c r="I53" s="24">
        <f>IF($D53="Actual",V53,IFERROR(J53*AD53,0))</f>
        <v/>
      </c>
      <c r="J53" s="24">
        <f>IF($D53="Actual",U53+V53,E53*X53)</f>
        <v/>
      </c>
      <c r="K53" s="28">
        <f>IFERROR(F53/G53,0)</f>
        <v/>
      </c>
      <c r="L53" s="29">
        <f>IFERROR(H53/G53,0)</f>
        <v/>
      </c>
      <c r="M53" s="30">
        <f>IFERROR(J53/F53,0)</f>
        <v/>
      </c>
      <c r="N53" s="10">
        <f>IFERROR(J53/E53,0)</f>
        <v/>
      </c>
      <c r="O53" s="10">
        <f>IFERROR(I53/J53,0)</f>
        <v/>
      </c>
      <c r="R53" s="42">
        <f>IF($D53="Actual",SUMIFS(Data_Actuals!$C$2:$C$5000,Data_Actuals!$A$2:$A$5000,$A53,Data_Actuals!$B$2:$B$5000,$B$2),"")</f>
        <v/>
      </c>
      <c r="S53" s="42">
        <f>IF($D53="Actual",SUMIFS(Data_Actuals!$D$2:$D$5000,Data_Actuals!$A$2:$A$5000,$A53,Data_Actuals!$B$2:$B$5000,$B$2),"")</f>
        <v/>
      </c>
      <c r="T53" s="42">
        <f>IF($D53="Actual",SUMIFS(Data_Actuals!$E$2:$E$5000,Data_Actuals!$A$2:$A$5000,$A53,Data_Actuals!$B$2:$B$5000,$B$2),"")</f>
        <v/>
      </c>
      <c r="U53" s="42">
        <f>IF($D53="Actual",SUMIFS(Data_Actuals!$F$2:$F$5000,Data_Actuals!$A$2:$A$5000,$A53,Data_Actuals!$B$2:$B$5000,$B$2),"")</f>
        <v/>
      </c>
      <c r="V53" s="42">
        <f>IF($D53="Actual",SUMIFS(Data_Actuals!$G$2:$G$5000,Data_Actuals!$A$2:$A$5000,$A53,Data_Actuals!$B$2:$B$5000,$B$2),"")</f>
        <v/>
      </c>
      <c r="W53" s="42">
        <f>SUMIFS(Plan_Inputs!$C$2:$C$5000,Plan_Inputs!$A$2:$A$5000,$A53,Plan_Inputs!$B$2:$B$5000,$B$2)</f>
        <v/>
      </c>
      <c r="X53" s="43">
        <f>SUMIFS(Plan_Inputs!$D$2:$D$5000,Plan_Inputs!$A$2:$A$5000,$A53,Plan_Inputs!$B$2:$B$5000,$B$2)</f>
        <v/>
      </c>
      <c r="Y53" s="42">
        <f>E53</f>
        <v/>
      </c>
      <c r="Z53" s="44">
        <f>INDEX(Calendar!$H$5:$L$52,MATCH($A53,Calendar!$A$5:$A$52,0),MATCH($D$2,Calendar!$H$4:$L$4,0))</f>
        <v/>
      </c>
      <c r="AA53" s="44">
        <f>INDEX(Calendar!$M$5:$M$52,MATCH($A53,Calendar!$A$5:$A$52,0))</f>
        <v/>
      </c>
      <c r="AB53" s="45">
        <f>IF($D53="Actual",IFERROR(S53/Y53,""),AB41)</f>
        <v/>
      </c>
      <c r="AC53" s="46">
        <f>IF($D53="Actual",IFERROR(U53/T53/Z53/AA53,""),AC41)</f>
        <v/>
      </c>
      <c r="AD53" s="43">
        <f>IF($D53="Actual",IFERROR(V53/(U53+V53),""),AD41)</f>
        <v/>
      </c>
      <c r="AE53" s="46">
        <f>IFERROR(AC53*Z53*AA53,"")</f>
        <v/>
      </c>
      <c r="AF53" s="47">
        <f>K41</f>
        <v/>
      </c>
      <c r="AG53" s="43">
        <f>IF($D53="Forecast",IFERROR(K53/AF53-1,""),"")</f>
        <v/>
      </c>
    </row>
    <row r="54">
      <c r="A54" s="8" t="n">
        <v>46844</v>
      </c>
      <c r="B54" s="26">
        <f>YEAR(A54)</f>
        <v/>
      </c>
      <c r="C54" s="26">
        <f>MONTH(A54)</f>
        <v/>
      </c>
      <c r="D54">
        <f>IF(A54&lt;=LastActual,"Actual","Forecast")</f>
        <v/>
      </c>
      <c r="E54" s="24">
        <f>IF($D54="Actual",R54,W54)</f>
        <v/>
      </c>
      <c r="F54" s="27">
        <f>IF($D54="Actual",S54,Cases_Forecast!AK47)</f>
        <v/>
      </c>
      <c r="G54" s="9">
        <f>IF($D54="Actual",T54,IFERROR(H54/AE54,0))</f>
        <v/>
      </c>
      <c r="H54" s="24">
        <f>IF($D54="Actual",U54,J54-I54)</f>
        <v/>
      </c>
      <c r="I54" s="24">
        <f>IF($D54="Actual",V54,IFERROR(J54*AD54,0))</f>
        <v/>
      </c>
      <c r="J54" s="24">
        <f>IF($D54="Actual",U54+V54,E54*X54)</f>
        <v/>
      </c>
      <c r="K54" s="28">
        <f>IFERROR(F54/G54,0)</f>
        <v/>
      </c>
      <c r="L54" s="29">
        <f>IFERROR(H54/G54,0)</f>
        <v/>
      </c>
      <c r="M54" s="30">
        <f>IFERROR(J54/F54,0)</f>
        <v/>
      </c>
      <c r="N54" s="10">
        <f>IFERROR(J54/E54,0)</f>
        <v/>
      </c>
      <c r="O54" s="10">
        <f>IFERROR(I54/J54,0)</f>
        <v/>
      </c>
      <c r="R54" s="42">
        <f>IF($D54="Actual",SUMIFS(Data_Actuals!$C$2:$C$5000,Data_Actuals!$A$2:$A$5000,$A54,Data_Actuals!$B$2:$B$5000,$B$2),"")</f>
        <v/>
      </c>
      <c r="S54" s="42">
        <f>IF($D54="Actual",SUMIFS(Data_Actuals!$D$2:$D$5000,Data_Actuals!$A$2:$A$5000,$A54,Data_Actuals!$B$2:$B$5000,$B$2),"")</f>
        <v/>
      </c>
      <c r="T54" s="42">
        <f>IF($D54="Actual",SUMIFS(Data_Actuals!$E$2:$E$5000,Data_Actuals!$A$2:$A$5000,$A54,Data_Actuals!$B$2:$B$5000,$B$2),"")</f>
        <v/>
      </c>
      <c r="U54" s="42">
        <f>IF($D54="Actual",SUMIFS(Data_Actuals!$F$2:$F$5000,Data_Actuals!$A$2:$A$5000,$A54,Data_Actuals!$B$2:$B$5000,$B$2),"")</f>
        <v/>
      </c>
      <c r="V54" s="42">
        <f>IF($D54="Actual",SUMIFS(Data_Actuals!$G$2:$G$5000,Data_Actuals!$A$2:$A$5000,$A54,Data_Actuals!$B$2:$B$5000,$B$2),"")</f>
        <v/>
      </c>
      <c r="W54" s="42">
        <f>SUMIFS(Plan_Inputs!$C$2:$C$5000,Plan_Inputs!$A$2:$A$5000,$A54,Plan_Inputs!$B$2:$B$5000,$B$2)</f>
        <v/>
      </c>
      <c r="X54" s="43">
        <f>SUMIFS(Plan_Inputs!$D$2:$D$5000,Plan_Inputs!$A$2:$A$5000,$A54,Plan_Inputs!$B$2:$B$5000,$B$2)</f>
        <v/>
      </c>
      <c r="Y54" s="42">
        <f>E54</f>
        <v/>
      </c>
      <c r="Z54" s="44">
        <f>INDEX(Calendar!$H$5:$L$52,MATCH($A54,Calendar!$A$5:$A$52,0),MATCH($D$2,Calendar!$H$4:$L$4,0))</f>
        <v/>
      </c>
      <c r="AA54" s="44">
        <f>INDEX(Calendar!$M$5:$M$52,MATCH($A54,Calendar!$A$5:$A$52,0))</f>
        <v/>
      </c>
      <c r="AB54" s="45">
        <f>IF($D54="Actual",IFERROR(S54/Y54,""),AB42)</f>
        <v/>
      </c>
      <c r="AC54" s="46">
        <f>IF($D54="Actual",IFERROR(U54/T54/Z54/AA54,""),AC42)</f>
        <v/>
      </c>
      <c r="AD54" s="43">
        <f>IF($D54="Actual",IFERROR(V54/(U54+V54),""),AD42)</f>
        <v/>
      </c>
      <c r="AE54" s="46">
        <f>IFERROR(AC54*Z54*AA54,"")</f>
        <v/>
      </c>
      <c r="AF54" s="47">
        <f>K42</f>
        <v/>
      </c>
      <c r="AG54" s="43">
        <f>IF($D54="Forecast",IFERROR(K54/AF54-1,""),"")</f>
        <v/>
      </c>
    </row>
    <row r="55">
      <c r="A55" s="8" t="n">
        <v>46874</v>
      </c>
      <c r="B55" s="26">
        <f>YEAR(A55)</f>
        <v/>
      </c>
      <c r="C55" s="26">
        <f>MONTH(A55)</f>
        <v/>
      </c>
      <c r="D55">
        <f>IF(A55&lt;=LastActual,"Actual","Forecast")</f>
        <v/>
      </c>
      <c r="E55" s="24">
        <f>IF($D55="Actual",R55,W55)</f>
        <v/>
      </c>
      <c r="F55" s="27">
        <f>IF($D55="Actual",S55,Cases_Forecast!AK48)</f>
        <v/>
      </c>
      <c r="G55" s="9">
        <f>IF($D55="Actual",T55,IFERROR(H55/AE55,0))</f>
        <v/>
      </c>
      <c r="H55" s="24">
        <f>IF($D55="Actual",U55,J55-I55)</f>
        <v/>
      </c>
      <c r="I55" s="24">
        <f>IF($D55="Actual",V55,IFERROR(J55*AD55,0))</f>
        <v/>
      </c>
      <c r="J55" s="24">
        <f>IF($D55="Actual",U55+V55,E55*X55)</f>
        <v/>
      </c>
      <c r="K55" s="28">
        <f>IFERROR(F55/G55,0)</f>
        <v/>
      </c>
      <c r="L55" s="29">
        <f>IFERROR(H55/G55,0)</f>
        <v/>
      </c>
      <c r="M55" s="30">
        <f>IFERROR(J55/F55,0)</f>
        <v/>
      </c>
      <c r="N55" s="10">
        <f>IFERROR(J55/E55,0)</f>
        <v/>
      </c>
      <c r="O55" s="10">
        <f>IFERROR(I55/J55,0)</f>
        <v/>
      </c>
      <c r="R55" s="42">
        <f>IF($D55="Actual",SUMIFS(Data_Actuals!$C$2:$C$5000,Data_Actuals!$A$2:$A$5000,$A55,Data_Actuals!$B$2:$B$5000,$B$2),"")</f>
        <v/>
      </c>
      <c r="S55" s="42">
        <f>IF($D55="Actual",SUMIFS(Data_Actuals!$D$2:$D$5000,Data_Actuals!$A$2:$A$5000,$A55,Data_Actuals!$B$2:$B$5000,$B$2),"")</f>
        <v/>
      </c>
      <c r="T55" s="42">
        <f>IF($D55="Actual",SUMIFS(Data_Actuals!$E$2:$E$5000,Data_Actuals!$A$2:$A$5000,$A55,Data_Actuals!$B$2:$B$5000,$B$2),"")</f>
        <v/>
      </c>
      <c r="U55" s="42">
        <f>IF($D55="Actual",SUMIFS(Data_Actuals!$F$2:$F$5000,Data_Actuals!$A$2:$A$5000,$A55,Data_Actuals!$B$2:$B$5000,$B$2),"")</f>
        <v/>
      </c>
      <c r="V55" s="42">
        <f>IF($D55="Actual",SUMIFS(Data_Actuals!$G$2:$G$5000,Data_Actuals!$A$2:$A$5000,$A55,Data_Actuals!$B$2:$B$5000,$B$2),"")</f>
        <v/>
      </c>
      <c r="W55" s="42">
        <f>SUMIFS(Plan_Inputs!$C$2:$C$5000,Plan_Inputs!$A$2:$A$5000,$A55,Plan_Inputs!$B$2:$B$5000,$B$2)</f>
        <v/>
      </c>
      <c r="X55" s="43">
        <f>SUMIFS(Plan_Inputs!$D$2:$D$5000,Plan_Inputs!$A$2:$A$5000,$A55,Plan_Inputs!$B$2:$B$5000,$B$2)</f>
        <v/>
      </c>
      <c r="Y55" s="42">
        <f>E55</f>
        <v/>
      </c>
      <c r="Z55" s="44">
        <f>INDEX(Calendar!$H$5:$L$52,MATCH($A55,Calendar!$A$5:$A$52,0),MATCH($D$2,Calendar!$H$4:$L$4,0))</f>
        <v/>
      </c>
      <c r="AA55" s="44">
        <f>INDEX(Calendar!$M$5:$M$52,MATCH($A55,Calendar!$A$5:$A$52,0))</f>
        <v/>
      </c>
      <c r="AB55" s="45">
        <f>IF($D55="Actual",IFERROR(S55/Y55,""),AB43)</f>
        <v/>
      </c>
      <c r="AC55" s="46">
        <f>IF($D55="Actual",IFERROR(U55/T55/Z55/AA55,""),AC43)</f>
        <v/>
      </c>
      <c r="AD55" s="43">
        <f>IF($D55="Actual",IFERROR(V55/(U55+V55),""),AD43)</f>
        <v/>
      </c>
      <c r="AE55" s="46">
        <f>IFERROR(AC55*Z55*AA55,"")</f>
        <v/>
      </c>
      <c r="AF55" s="47">
        <f>K43</f>
        <v/>
      </c>
      <c r="AG55" s="43">
        <f>IF($D55="Forecast",IFERROR(K55/AF55-1,""),"")</f>
        <v/>
      </c>
    </row>
    <row r="56">
      <c r="A56" s="8" t="n">
        <v>46905</v>
      </c>
      <c r="B56" s="26">
        <f>YEAR(A56)</f>
        <v/>
      </c>
      <c r="C56" s="26">
        <f>MONTH(A56)</f>
        <v/>
      </c>
      <c r="D56">
        <f>IF(A56&lt;=LastActual,"Actual","Forecast")</f>
        <v/>
      </c>
      <c r="E56" s="24">
        <f>IF($D56="Actual",R56,W56)</f>
        <v/>
      </c>
      <c r="F56" s="27">
        <f>IF($D56="Actual",S56,Cases_Forecast!AK49)</f>
        <v/>
      </c>
      <c r="G56" s="9">
        <f>IF($D56="Actual",T56,IFERROR(H56/AE56,0))</f>
        <v/>
      </c>
      <c r="H56" s="24">
        <f>IF($D56="Actual",U56,J56-I56)</f>
        <v/>
      </c>
      <c r="I56" s="24">
        <f>IF($D56="Actual",V56,IFERROR(J56*AD56,0))</f>
        <v/>
      </c>
      <c r="J56" s="24">
        <f>IF($D56="Actual",U56+V56,E56*X56)</f>
        <v/>
      </c>
      <c r="K56" s="28">
        <f>IFERROR(F56/G56,0)</f>
        <v/>
      </c>
      <c r="L56" s="29">
        <f>IFERROR(H56/G56,0)</f>
        <v/>
      </c>
      <c r="M56" s="30">
        <f>IFERROR(J56/F56,0)</f>
        <v/>
      </c>
      <c r="N56" s="10">
        <f>IFERROR(J56/E56,0)</f>
        <v/>
      </c>
      <c r="O56" s="10">
        <f>IFERROR(I56/J56,0)</f>
        <v/>
      </c>
      <c r="R56" s="42">
        <f>IF($D56="Actual",SUMIFS(Data_Actuals!$C$2:$C$5000,Data_Actuals!$A$2:$A$5000,$A56,Data_Actuals!$B$2:$B$5000,$B$2),"")</f>
        <v/>
      </c>
      <c r="S56" s="42">
        <f>IF($D56="Actual",SUMIFS(Data_Actuals!$D$2:$D$5000,Data_Actuals!$A$2:$A$5000,$A56,Data_Actuals!$B$2:$B$5000,$B$2),"")</f>
        <v/>
      </c>
      <c r="T56" s="42">
        <f>IF($D56="Actual",SUMIFS(Data_Actuals!$E$2:$E$5000,Data_Actuals!$A$2:$A$5000,$A56,Data_Actuals!$B$2:$B$5000,$B$2),"")</f>
        <v/>
      </c>
      <c r="U56" s="42">
        <f>IF($D56="Actual",SUMIFS(Data_Actuals!$F$2:$F$5000,Data_Actuals!$A$2:$A$5000,$A56,Data_Actuals!$B$2:$B$5000,$B$2),"")</f>
        <v/>
      </c>
      <c r="V56" s="42">
        <f>IF($D56="Actual",SUMIFS(Data_Actuals!$G$2:$G$5000,Data_Actuals!$A$2:$A$5000,$A56,Data_Actuals!$B$2:$B$5000,$B$2),"")</f>
        <v/>
      </c>
      <c r="W56" s="42">
        <f>SUMIFS(Plan_Inputs!$C$2:$C$5000,Plan_Inputs!$A$2:$A$5000,$A56,Plan_Inputs!$B$2:$B$5000,$B$2)</f>
        <v/>
      </c>
      <c r="X56" s="43">
        <f>SUMIFS(Plan_Inputs!$D$2:$D$5000,Plan_Inputs!$A$2:$A$5000,$A56,Plan_Inputs!$B$2:$B$5000,$B$2)</f>
        <v/>
      </c>
      <c r="Y56" s="42">
        <f>E56</f>
        <v/>
      </c>
      <c r="Z56" s="44">
        <f>INDEX(Calendar!$H$5:$L$52,MATCH($A56,Calendar!$A$5:$A$52,0),MATCH($D$2,Calendar!$H$4:$L$4,0))</f>
        <v/>
      </c>
      <c r="AA56" s="44">
        <f>INDEX(Calendar!$M$5:$M$52,MATCH($A56,Calendar!$A$5:$A$52,0))</f>
        <v/>
      </c>
      <c r="AB56" s="45">
        <f>IF($D56="Actual",IFERROR(S56/Y56,""),AB44)</f>
        <v/>
      </c>
      <c r="AC56" s="46">
        <f>IF($D56="Actual",IFERROR(U56/T56/Z56/AA56,""),AC44)</f>
        <v/>
      </c>
      <c r="AD56" s="43">
        <f>IF($D56="Actual",IFERROR(V56/(U56+V56),""),AD44)</f>
        <v/>
      </c>
      <c r="AE56" s="46">
        <f>IFERROR(AC56*Z56*AA56,"")</f>
        <v/>
      </c>
      <c r="AF56" s="47">
        <f>K44</f>
        <v/>
      </c>
      <c r="AG56" s="43">
        <f>IF($D56="Forecast",IFERROR(K56/AF56-1,""),"")</f>
        <v/>
      </c>
    </row>
    <row r="57">
      <c r="A57" s="8" t="n">
        <v>46935</v>
      </c>
      <c r="B57" s="26">
        <f>YEAR(A57)</f>
        <v/>
      </c>
      <c r="C57" s="26">
        <f>MONTH(A57)</f>
        <v/>
      </c>
      <c r="D57">
        <f>IF(A57&lt;=LastActual,"Actual","Forecast")</f>
        <v/>
      </c>
      <c r="E57" s="24">
        <f>IF($D57="Actual",R57,W57)</f>
        <v/>
      </c>
      <c r="F57" s="27">
        <f>IF($D57="Actual",S57,Cases_Forecast!AK50)</f>
        <v/>
      </c>
      <c r="G57" s="9">
        <f>IF($D57="Actual",T57,IFERROR(H57/AE57,0))</f>
        <v/>
      </c>
      <c r="H57" s="24">
        <f>IF($D57="Actual",U57,J57-I57)</f>
        <v/>
      </c>
      <c r="I57" s="24">
        <f>IF($D57="Actual",V57,IFERROR(J57*AD57,0))</f>
        <v/>
      </c>
      <c r="J57" s="24">
        <f>IF($D57="Actual",U57+V57,E57*X57)</f>
        <v/>
      </c>
      <c r="K57" s="28">
        <f>IFERROR(F57/G57,0)</f>
        <v/>
      </c>
      <c r="L57" s="29">
        <f>IFERROR(H57/G57,0)</f>
        <v/>
      </c>
      <c r="M57" s="30">
        <f>IFERROR(J57/F57,0)</f>
        <v/>
      </c>
      <c r="N57" s="10">
        <f>IFERROR(J57/E57,0)</f>
        <v/>
      </c>
      <c r="O57" s="10">
        <f>IFERROR(I57/J57,0)</f>
        <v/>
      </c>
      <c r="R57" s="42">
        <f>IF($D57="Actual",SUMIFS(Data_Actuals!$C$2:$C$5000,Data_Actuals!$A$2:$A$5000,$A57,Data_Actuals!$B$2:$B$5000,$B$2),"")</f>
        <v/>
      </c>
      <c r="S57" s="42">
        <f>IF($D57="Actual",SUMIFS(Data_Actuals!$D$2:$D$5000,Data_Actuals!$A$2:$A$5000,$A57,Data_Actuals!$B$2:$B$5000,$B$2),"")</f>
        <v/>
      </c>
      <c r="T57" s="42">
        <f>IF($D57="Actual",SUMIFS(Data_Actuals!$E$2:$E$5000,Data_Actuals!$A$2:$A$5000,$A57,Data_Actuals!$B$2:$B$5000,$B$2),"")</f>
        <v/>
      </c>
      <c r="U57" s="42">
        <f>IF($D57="Actual",SUMIFS(Data_Actuals!$F$2:$F$5000,Data_Actuals!$A$2:$A$5000,$A57,Data_Actuals!$B$2:$B$5000,$B$2),"")</f>
        <v/>
      </c>
      <c r="V57" s="42">
        <f>IF($D57="Actual",SUMIFS(Data_Actuals!$G$2:$G$5000,Data_Actuals!$A$2:$A$5000,$A57,Data_Actuals!$B$2:$B$5000,$B$2),"")</f>
        <v/>
      </c>
      <c r="W57" s="42">
        <f>SUMIFS(Plan_Inputs!$C$2:$C$5000,Plan_Inputs!$A$2:$A$5000,$A57,Plan_Inputs!$B$2:$B$5000,$B$2)</f>
        <v/>
      </c>
      <c r="X57" s="43">
        <f>SUMIFS(Plan_Inputs!$D$2:$D$5000,Plan_Inputs!$A$2:$A$5000,$A57,Plan_Inputs!$B$2:$B$5000,$B$2)</f>
        <v/>
      </c>
      <c r="Y57" s="42">
        <f>E57</f>
        <v/>
      </c>
      <c r="Z57" s="44">
        <f>INDEX(Calendar!$H$5:$L$52,MATCH($A57,Calendar!$A$5:$A$52,0),MATCH($D$2,Calendar!$H$4:$L$4,0))</f>
        <v/>
      </c>
      <c r="AA57" s="44">
        <f>INDEX(Calendar!$M$5:$M$52,MATCH($A57,Calendar!$A$5:$A$52,0))</f>
        <v/>
      </c>
      <c r="AB57" s="45">
        <f>IF($D57="Actual",IFERROR(S57/Y57,""),AB45)</f>
        <v/>
      </c>
      <c r="AC57" s="46">
        <f>IF($D57="Actual",IFERROR(U57/T57/Z57/AA57,""),AC45)</f>
        <v/>
      </c>
      <c r="AD57" s="43">
        <f>IF($D57="Actual",IFERROR(V57/(U57+V57),""),AD45)</f>
        <v/>
      </c>
      <c r="AE57" s="46">
        <f>IFERROR(AC57*Z57*AA57,"")</f>
        <v/>
      </c>
      <c r="AF57" s="47">
        <f>K45</f>
        <v/>
      </c>
      <c r="AG57" s="43">
        <f>IF($D57="Forecast",IFERROR(K57/AF57-1,""),"")</f>
        <v/>
      </c>
    </row>
    <row r="58">
      <c r="A58" s="8" t="n">
        <v>46966</v>
      </c>
      <c r="B58" s="26">
        <f>YEAR(A58)</f>
        <v/>
      </c>
      <c r="C58" s="26">
        <f>MONTH(A58)</f>
        <v/>
      </c>
      <c r="D58">
        <f>IF(A58&lt;=LastActual,"Actual","Forecast")</f>
        <v/>
      </c>
      <c r="E58" s="24">
        <f>IF($D58="Actual",R58,W58)</f>
        <v/>
      </c>
      <c r="F58" s="27">
        <f>IF($D58="Actual",S58,Cases_Forecast!AK51)</f>
        <v/>
      </c>
      <c r="G58" s="9">
        <f>IF($D58="Actual",T58,IFERROR(H58/AE58,0))</f>
        <v/>
      </c>
      <c r="H58" s="24">
        <f>IF($D58="Actual",U58,J58-I58)</f>
        <v/>
      </c>
      <c r="I58" s="24">
        <f>IF($D58="Actual",V58,IFERROR(J58*AD58,0))</f>
        <v/>
      </c>
      <c r="J58" s="24">
        <f>IF($D58="Actual",U58+V58,E58*X58)</f>
        <v/>
      </c>
      <c r="K58" s="28">
        <f>IFERROR(F58/G58,0)</f>
        <v/>
      </c>
      <c r="L58" s="29">
        <f>IFERROR(H58/G58,0)</f>
        <v/>
      </c>
      <c r="M58" s="30">
        <f>IFERROR(J58/F58,0)</f>
        <v/>
      </c>
      <c r="N58" s="10">
        <f>IFERROR(J58/E58,0)</f>
        <v/>
      </c>
      <c r="O58" s="10">
        <f>IFERROR(I58/J58,0)</f>
        <v/>
      </c>
      <c r="R58" s="42">
        <f>IF($D58="Actual",SUMIFS(Data_Actuals!$C$2:$C$5000,Data_Actuals!$A$2:$A$5000,$A58,Data_Actuals!$B$2:$B$5000,$B$2),"")</f>
        <v/>
      </c>
      <c r="S58" s="42">
        <f>IF($D58="Actual",SUMIFS(Data_Actuals!$D$2:$D$5000,Data_Actuals!$A$2:$A$5000,$A58,Data_Actuals!$B$2:$B$5000,$B$2),"")</f>
        <v/>
      </c>
      <c r="T58" s="42">
        <f>IF($D58="Actual",SUMIFS(Data_Actuals!$E$2:$E$5000,Data_Actuals!$A$2:$A$5000,$A58,Data_Actuals!$B$2:$B$5000,$B$2),"")</f>
        <v/>
      </c>
      <c r="U58" s="42">
        <f>IF($D58="Actual",SUMIFS(Data_Actuals!$F$2:$F$5000,Data_Actuals!$A$2:$A$5000,$A58,Data_Actuals!$B$2:$B$5000,$B$2),"")</f>
        <v/>
      </c>
      <c r="V58" s="42">
        <f>IF($D58="Actual",SUMIFS(Data_Actuals!$G$2:$G$5000,Data_Actuals!$A$2:$A$5000,$A58,Data_Actuals!$B$2:$B$5000,$B$2),"")</f>
        <v/>
      </c>
      <c r="W58" s="42">
        <f>SUMIFS(Plan_Inputs!$C$2:$C$5000,Plan_Inputs!$A$2:$A$5000,$A58,Plan_Inputs!$B$2:$B$5000,$B$2)</f>
        <v/>
      </c>
      <c r="X58" s="43">
        <f>SUMIFS(Plan_Inputs!$D$2:$D$5000,Plan_Inputs!$A$2:$A$5000,$A58,Plan_Inputs!$B$2:$B$5000,$B$2)</f>
        <v/>
      </c>
      <c r="Y58" s="42">
        <f>E58</f>
        <v/>
      </c>
      <c r="Z58" s="44">
        <f>INDEX(Calendar!$H$5:$L$52,MATCH($A58,Calendar!$A$5:$A$52,0),MATCH($D$2,Calendar!$H$4:$L$4,0))</f>
        <v/>
      </c>
      <c r="AA58" s="44">
        <f>INDEX(Calendar!$M$5:$M$52,MATCH($A58,Calendar!$A$5:$A$52,0))</f>
        <v/>
      </c>
      <c r="AB58" s="45">
        <f>IF($D58="Actual",IFERROR(S58/Y58,""),AB46)</f>
        <v/>
      </c>
      <c r="AC58" s="46">
        <f>IF($D58="Actual",IFERROR(U58/T58/Z58/AA58,""),AC46)</f>
        <v/>
      </c>
      <c r="AD58" s="43">
        <f>IF($D58="Actual",IFERROR(V58/(U58+V58),""),AD46)</f>
        <v/>
      </c>
      <c r="AE58" s="46">
        <f>IFERROR(AC58*Z58*AA58,"")</f>
        <v/>
      </c>
      <c r="AF58" s="47">
        <f>K46</f>
        <v/>
      </c>
      <c r="AG58" s="43">
        <f>IF($D58="Forecast",IFERROR(K58/AF58-1,""),"")</f>
        <v/>
      </c>
    </row>
    <row r="59">
      <c r="A59" s="8" t="n">
        <v>46997</v>
      </c>
      <c r="B59" s="26">
        <f>YEAR(A59)</f>
        <v/>
      </c>
      <c r="C59" s="26">
        <f>MONTH(A59)</f>
        <v/>
      </c>
      <c r="D59">
        <f>IF(A59&lt;=LastActual,"Actual","Forecast")</f>
        <v/>
      </c>
      <c r="E59" s="24">
        <f>IF($D59="Actual",R59,W59)</f>
        <v/>
      </c>
      <c r="F59" s="27">
        <f>IF($D59="Actual",S59,Cases_Forecast!AK52)</f>
        <v/>
      </c>
      <c r="G59" s="9">
        <f>IF($D59="Actual",T59,IFERROR(H59/AE59,0))</f>
        <v/>
      </c>
      <c r="H59" s="24">
        <f>IF($D59="Actual",U59,J59-I59)</f>
        <v/>
      </c>
      <c r="I59" s="24">
        <f>IF($D59="Actual",V59,IFERROR(J59*AD59,0))</f>
        <v/>
      </c>
      <c r="J59" s="24">
        <f>IF($D59="Actual",U59+V59,E59*X59)</f>
        <v/>
      </c>
      <c r="K59" s="28">
        <f>IFERROR(F59/G59,0)</f>
        <v/>
      </c>
      <c r="L59" s="29">
        <f>IFERROR(H59/G59,0)</f>
        <v/>
      </c>
      <c r="M59" s="30">
        <f>IFERROR(J59/F59,0)</f>
        <v/>
      </c>
      <c r="N59" s="10">
        <f>IFERROR(J59/E59,0)</f>
        <v/>
      </c>
      <c r="O59" s="10">
        <f>IFERROR(I59/J59,0)</f>
        <v/>
      </c>
      <c r="R59" s="42">
        <f>IF($D59="Actual",SUMIFS(Data_Actuals!$C$2:$C$5000,Data_Actuals!$A$2:$A$5000,$A59,Data_Actuals!$B$2:$B$5000,$B$2),"")</f>
        <v/>
      </c>
      <c r="S59" s="42">
        <f>IF($D59="Actual",SUMIFS(Data_Actuals!$D$2:$D$5000,Data_Actuals!$A$2:$A$5000,$A59,Data_Actuals!$B$2:$B$5000,$B$2),"")</f>
        <v/>
      </c>
      <c r="T59" s="42">
        <f>IF($D59="Actual",SUMIFS(Data_Actuals!$E$2:$E$5000,Data_Actuals!$A$2:$A$5000,$A59,Data_Actuals!$B$2:$B$5000,$B$2),"")</f>
        <v/>
      </c>
      <c r="U59" s="42">
        <f>IF($D59="Actual",SUMIFS(Data_Actuals!$F$2:$F$5000,Data_Actuals!$A$2:$A$5000,$A59,Data_Actuals!$B$2:$B$5000,$B$2),"")</f>
        <v/>
      </c>
      <c r="V59" s="42">
        <f>IF($D59="Actual",SUMIFS(Data_Actuals!$G$2:$G$5000,Data_Actuals!$A$2:$A$5000,$A59,Data_Actuals!$B$2:$B$5000,$B$2),"")</f>
        <v/>
      </c>
      <c r="W59" s="42">
        <f>SUMIFS(Plan_Inputs!$C$2:$C$5000,Plan_Inputs!$A$2:$A$5000,$A59,Plan_Inputs!$B$2:$B$5000,$B$2)</f>
        <v/>
      </c>
      <c r="X59" s="43">
        <f>SUMIFS(Plan_Inputs!$D$2:$D$5000,Plan_Inputs!$A$2:$A$5000,$A59,Plan_Inputs!$B$2:$B$5000,$B$2)</f>
        <v/>
      </c>
      <c r="Y59" s="42">
        <f>E59</f>
        <v/>
      </c>
      <c r="Z59" s="44">
        <f>INDEX(Calendar!$H$5:$L$52,MATCH($A59,Calendar!$A$5:$A$52,0),MATCH($D$2,Calendar!$H$4:$L$4,0))</f>
        <v/>
      </c>
      <c r="AA59" s="44">
        <f>INDEX(Calendar!$M$5:$M$52,MATCH($A59,Calendar!$A$5:$A$52,0))</f>
        <v/>
      </c>
      <c r="AB59" s="45">
        <f>IF($D59="Actual",IFERROR(S59/Y59,""),AB47)</f>
        <v/>
      </c>
      <c r="AC59" s="46">
        <f>IF($D59="Actual",IFERROR(U59/T59/Z59/AA59,""),AC47)</f>
        <v/>
      </c>
      <c r="AD59" s="43">
        <f>IF($D59="Actual",IFERROR(V59/(U59+V59),""),AD47)</f>
        <v/>
      </c>
      <c r="AE59" s="46">
        <f>IFERROR(AC59*Z59*AA59,"")</f>
        <v/>
      </c>
      <c r="AF59" s="47">
        <f>K47</f>
        <v/>
      </c>
      <c r="AG59" s="43">
        <f>IF($D59="Forecast",IFERROR(K59/AF59-1,""),"")</f>
        <v/>
      </c>
    </row>
    <row r="60">
      <c r="A60" s="8" t="n">
        <v>47027</v>
      </c>
      <c r="B60" s="26">
        <f>YEAR(A60)</f>
        <v/>
      </c>
      <c r="C60" s="26">
        <f>MONTH(A60)</f>
        <v/>
      </c>
      <c r="D60">
        <f>IF(A60&lt;=LastActual,"Actual","Forecast")</f>
        <v/>
      </c>
      <c r="E60" s="24">
        <f>IF($D60="Actual",R60,W60)</f>
        <v/>
      </c>
      <c r="F60" s="27">
        <f>IF($D60="Actual",S60,Cases_Forecast!AK53)</f>
        <v/>
      </c>
      <c r="G60" s="9">
        <f>IF($D60="Actual",T60,IFERROR(H60/AE60,0))</f>
        <v/>
      </c>
      <c r="H60" s="24">
        <f>IF($D60="Actual",U60,J60-I60)</f>
        <v/>
      </c>
      <c r="I60" s="24">
        <f>IF($D60="Actual",V60,IFERROR(J60*AD60,0))</f>
        <v/>
      </c>
      <c r="J60" s="24">
        <f>IF($D60="Actual",U60+V60,E60*X60)</f>
        <v/>
      </c>
      <c r="K60" s="28">
        <f>IFERROR(F60/G60,0)</f>
        <v/>
      </c>
      <c r="L60" s="29">
        <f>IFERROR(H60/G60,0)</f>
        <v/>
      </c>
      <c r="M60" s="30">
        <f>IFERROR(J60/F60,0)</f>
        <v/>
      </c>
      <c r="N60" s="10">
        <f>IFERROR(J60/E60,0)</f>
        <v/>
      </c>
      <c r="O60" s="10">
        <f>IFERROR(I60/J60,0)</f>
        <v/>
      </c>
      <c r="R60" s="42">
        <f>IF($D60="Actual",SUMIFS(Data_Actuals!$C$2:$C$5000,Data_Actuals!$A$2:$A$5000,$A60,Data_Actuals!$B$2:$B$5000,$B$2),"")</f>
        <v/>
      </c>
      <c r="S60" s="42">
        <f>IF($D60="Actual",SUMIFS(Data_Actuals!$D$2:$D$5000,Data_Actuals!$A$2:$A$5000,$A60,Data_Actuals!$B$2:$B$5000,$B$2),"")</f>
        <v/>
      </c>
      <c r="T60" s="42">
        <f>IF($D60="Actual",SUMIFS(Data_Actuals!$E$2:$E$5000,Data_Actuals!$A$2:$A$5000,$A60,Data_Actuals!$B$2:$B$5000,$B$2),"")</f>
        <v/>
      </c>
      <c r="U60" s="42">
        <f>IF($D60="Actual",SUMIFS(Data_Actuals!$F$2:$F$5000,Data_Actuals!$A$2:$A$5000,$A60,Data_Actuals!$B$2:$B$5000,$B$2),"")</f>
        <v/>
      </c>
      <c r="V60" s="42">
        <f>IF($D60="Actual",SUMIFS(Data_Actuals!$G$2:$G$5000,Data_Actuals!$A$2:$A$5000,$A60,Data_Actuals!$B$2:$B$5000,$B$2),"")</f>
        <v/>
      </c>
      <c r="W60" s="42">
        <f>SUMIFS(Plan_Inputs!$C$2:$C$5000,Plan_Inputs!$A$2:$A$5000,$A60,Plan_Inputs!$B$2:$B$5000,$B$2)</f>
        <v/>
      </c>
      <c r="X60" s="43">
        <f>SUMIFS(Plan_Inputs!$D$2:$D$5000,Plan_Inputs!$A$2:$A$5000,$A60,Plan_Inputs!$B$2:$B$5000,$B$2)</f>
        <v/>
      </c>
      <c r="Y60" s="42">
        <f>E60</f>
        <v/>
      </c>
      <c r="Z60" s="44">
        <f>INDEX(Calendar!$H$5:$L$52,MATCH($A60,Calendar!$A$5:$A$52,0),MATCH($D$2,Calendar!$H$4:$L$4,0))</f>
        <v/>
      </c>
      <c r="AA60" s="44">
        <f>INDEX(Calendar!$M$5:$M$52,MATCH($A60,Calendar!$A$5:$A$52,0))</f>
        <v/>
      </c>
      <c r="AB60" s="45">
        <f>IF($D60="Actual",IFERROR(S60/Y60,""),AB48)</f>
        <v/>
      </c>
      <c r="AC60" s="46">
        <f>IF($D60="Actual",IFERROR(U60/T60/Z60/AA60,""),AC48)</f>
        <v/>
      </c>
      <c r="AD60" s="43">
        <f>IF($D60="Actual",IFERROR(V60/(U60+V60),""),AD48)</f>
        <v/>
      </c>
      <c r="AE60" s="46">
        <f>IFERROR(AC60*Z60*AA60,"")</f>
        <v/>
      </c>
      <c r="AF60" s="47">
        <f>K48</f>
        <v/>
      </c>
      <c r="AG60" s="43">
        <f>IF($D60="Forecast",IFERROR(K60/AF60-1,""),"")</f>
        <v/>
      </c>
    </row>
    <row r="61">
      <c r="A61" s="8" t="n">
        <v>47058</v>
      </c>
      <c r="B61" s="26">
        <f>YEAR(A61)</f>
        <v/>
      </c>
      <c r="C61" s="26">
        <f>MONTH(A61)</f>
        <v/>
      </c>
      <c r="D61">
        <f>IF(A61&lt;=LastActual,"Actual","Forecast")</f>
        <v/>
      </c>
      <c r="E61" s="24">
        <f>IF($D61="Actual",R61,W61)</f>
        <v/>
      </c>
      <c r="F61" s="27">
        <f>IF($D61="Actual",S61,Cases_Forecast!AK54)</f>
        <v/>
      </c>
      <c r="G61" s="9">
        <f>IF($D61="Actual",T61,IFERROR(H61/AE61,0))</f>
        <v/>
      </c>
      <c r="H61" s="24">
        <f>IF($D61="Actual",U61,J61-I61)</f>
        <v/>
      </c>
      <c r="I61" s="24">
        <f>IF($D61="Actual",V61,IFERROR(J61*AD61,0))</f>
        <v/>
      </c>
      <c r="J61" s="24">
        <f>IF($D61="Actual",U61+V61,E61*X61)</f>
        <v/>
      </c>
      <c r="K61" s="28">
        <f>IFERROR(F61/G61,0)</f>
        <v/>
      </c>
      <c r="L61" s="29">
        <f>IFERROR(H61/G61,0)</f>
        <v/>
      </c>
      <c r="M61" s="30">
        <f>IFERROR(J61/F61,0)</f>
        <v/>
      </c>
      <c r="N61" s="10">
        <f>IFERROR(J61/E61,0)</f>
        <v/>
      </c>
      <c r="O61" s="10">
        <f>IFERROR(I61/J61,0)</f>
        <v/>
      </c>
      <c r="R61" s="42">
        <f>IF($D61="Actual",SUMIFS(Data_Actuals!$C$2:$C$5000,Data_Actuals!$A$2:$A$5000,$A61,Data_Actuals!$B$2:$B$5000,$B$2),"")</f>
        <v/>
      </c>
      <c r="S61" s="42">
        <f>IF($D61="Actual",SUMIFS(Data_Actuals!$D$2:$D$5000,Data_Actuals!$A$2:$A$5000,$A61,Data_Actuals!$B$2:$B$5000,$B$2),"")</f>
        <v/>
      </c>
      <c r="T61" s="42">
        <f>IF($D61="Actual",SUMIFS(Data_Actuals!$E$2:$E$5000,Data_Actuals!$A$2:$A$5000,$A61,Data_Actuals!$B$2:$B$5000,$B$2),"")</f>
        <v/>
      </c>
      <c r="U61" s="42">
        <f>IF($D61="Actual",SUMIFS(Data_Actuals!$F$2:$F$5000,Data_Actuals!$A$2:$A$5000,$A61,Data_Actuals!$B$2:$B$5000,$B$2),"")</f>
        <v/>
      </c>
      <c r="V61" s="42">
        <f>IF($D61="Actual",SUMIFS(Data_Actuals!$G$2:$G$5000,Data_Actuals!$A$2:$A$5000,$A61,Data_Actuals!$B$2:$B$5000,$B$2),"")</f>
        <v/>
      </c>
      <c r="W61" s="42">
        <f>SUMIFS(Plan_Inputs!$C$2:$C$5000,Plan_Inputs!$A$2:$A$5000,$A61,Plan_Inputs!$B$2:$B$5000,$B$2)</f>
        <v/>
      </c>
      <c r="X61" s="43">
        <f>SUMIFS(Plan_Inputs!$D$2:$D$5000,Plan_Inputs!$A$2:$A$5000,$A61,Plan_Inputs!$B$2:$B$5000,$B$2)</f>
        <v/>
      </c>
      <c r="Y61" s="42">
        <f>E61</f>
        <v/>
      </c>
      <c r="Z61" s="44">
        <f>INDEX(Calendar!$H$5:$L$52,MATCH($A61,Calendar!$A$5:$A$52,0),MATCH($D$2,Calendar!$H$4:$L$4,0))</f>
        <v/>
      </c>
      <c r="AA61" s="44">
        <f>INDEX(Calendar!$M$5:$M$52,MATCH($A61,Calendar!$A$5:$A$52,0))</f>
        <v/>
      </c>
      <c r="AB61" s="45">
        <f>IF($D61="Actual",IFERROR(S61/Y61,""),AB49)</f>
        <v/>
      </c>
      <c r="AC61" s="46">
        <f>IF($D61="Actual",IFERROR(U61/T61/Z61/AA61,""),AC49)</f>
        <v/>
      </c>
      <c r="AD61" s="43">
        <f>IF($D61="Actual",IFERROR(V61/(U61+V61),""),AD49)</f>
        <v/>
      </c>
      <c r="AE61" s="46">
        <f>IFERROR(AC61*Z61*AA61,"")</f>
        <v/>
      </c>
      <c r="AF61" s="47">
        <f>K49</f>
        <v/>
      </c>
      <c r="AG61" s="43">
        <f>IF($D61="Forecast",IFERROR(K61/AF61-1,""),"")</f>
        <v/>
      </c>
    </row>
    <row r="62">
      <c r="A62" s="31" t="n">
        <v>47088</v>
      </c>
      <c r="B62" s="32">
        <f>YEAR(A62)</f>
        <v/>
      </c>
      <c r="C62" s="32">
        <f>MONTH(A62)</f>
        <v/>
      </c>
      <c r="D62" s="33">
        <f>IF(A62&lt;=LastActual,"Actual","Forecast")</f>
        <v/>
      </c>
      <c r="E62" s="34">
        <f>IF($D62="Actual",R62,W62)</f>
        <v/>
      </c>
      <c r="F62" s="35">
        <f>IF($D62="Actual",S62,Cases_Forecast!AK55)</f>
        <v/>
      </c>
      <c r="G62" s="36">
        <f>IF($D62="Actual",T62,IFERROR(H62/AE62,0))</f>
        <v/>
      </c>
      <c r="H62" s="34">
        <f>IF($D62="Actual",U62,J62-I62)</f>
        <v/>
      </c>
      <c r="I62" s="34">
        <f>IF($D62="Actual",V62,IFERROR(J62*AD62,0))</f>
        <v/>
      </c>
      <c r="J62" s="34">
        <f>IF($D62="Actual",U62+V62,E62*X62)</f>
        <v/>
      </c>
      <c r="K62" s="37">
        <f>IFERROR(F62/G62,0)</f>
        <v/>
      </c>
      <c r="L62" s="38">
        <f>IFERROR(H62/G62,0)</f>
        <v/>
      </c>
      <c r="M62" s="39">
        <f>IFERROR(J62/F62,0)</f>
        <v/>
      </c>
      <c r="N62" s="40">
        <f>IFERROR(J62/E62,0)</f>
        <v/>
      </c>
      <c r="O62" s="40">
        <f>IFERROR(I62/J62,0)</f>
        <v/>
      </c>
      <c r="R62" s="42">
        <f>IF($D62="Actual",SUMIFS(Data_Actuals!$C$2:$C$5000,Data_Actuals!$A$2:$A$5000,$A62,Data_Actuals!$B$2:$B$5000,$B$2),"")</f>
        <v/>
      </c>
      <c r="S62" s="42">
        <f>IF($D62="Actual",SUMIFS(Data_Actuals!$D$2:$D$5000,Data_Actuals!$A$2:$A$5000,$A62,Data_Actuals!$B$2:$B$5000,$B$2),"")</f>
        <v/>
      </c>
      <c r="T62" s="42">
        <f>IF($D62="Actual",SUMIFS(Data_Actuals!$E$2:$E$5000,Data_Actuals!$A$2:$A$5000,$A62,Data_Actuals!$B$2:$B$5000,$B$2),"")</f>
        <v/>
      </c>
      <c r="U62" s="42">
        <f>IF($D62="Actual",SUMIFS(Data_Actuals!$F$2:$F$5000,Data_Actuals!$A$2:$A$5000,$A62,Data_Actuals!$B$2:$B$5000,$B$2),"")</f>
        <v/>
      </c>
      <c r="V62" s="42">
        <f>IF($D62="Actual",SUMIFS(Data_Actuals!$G$2:$G$5000,Data_Actuals!$A$2:$A$5000,$A62,Data_Actuals!$B$2:$B$5000,$B$2),"")</f>
        <v/>
      </c>
      <c r="W62" s="42">
        <f>SUMIFS(Plan_Inputs!$C$2:$C$5000,Plan_Inputs!$A$2:$A$5000,$A62,Plan_Inputs!$B$2:$B$5000,$B$2)</f>
        <v/>
      </c>
      <c r="X62" s="43">
        <f>SUMIFS(Plan_Inputs!$D$2:$D$5000,Plan_Inputs!$A$2:$A$5000,$A62,Plan_Inputs!$B$2:$B$5000,$B$2)</f>
        <v/>
      </c>
      <c r="Y62" s="42">
        <f>E62</f>
        <v/>
      </c>
      <c r="Z62" s="44">
        <f>INDEX(Calendar!$H$5:$L$52,MATCH($A62,Calendar!$A$5:$A$52,0),MATCH($D$2,Calendar!$H$4:$L$4,0))</f>
        <v/>
      </c>
      <c r="AA62" s="44">
        <f>INDEX(Calendar!$M$5:$M$52,MATCH($A62,Calendar!$A$5:$A$52,0))</f>
        <v/>
      </c>
      <c r="AB62" s="45">
        <f>IF($D62="Actual",IFERROR(S62/Y62,""),AB50)</f>
        <v/>
      </c>
      <c r="AC62" s="46">
        <f>IF($D62="Actual",IFERROR(U62/T62/Z62/AA62,""),AC50)</f>
        <v/>
      </c>
      <c r="AD62" s="43">
        <f>IF($D62="Actual",IFERROR(V62/(U62+V62),""),AD50)</f>
        <v/>
      </c>
      <c r="AE62" s="46">
        <f>IFERROR(AC62*Z62*AA62,"")</f>
        <v/>
      </c>
      <c r="AF62" s="47">
        <f>K50</f>
        <v/>
      </c>
      <c r="AG62" s="43">
        <f>IF($D62="Forecast",IFERROR(K62/AF62-1,""),"")</f>
        <v/>
      </c>
    </row>
  </sheetData>
  <mergeCells count="3">
    <mergeCell ref="K12:O12"/>
    <mergeCell ref="R12:AG12"/>
    <mergeCell ref="E12:J12"/>
  </mergeCells>
  <conditionalFormatting sqref="A15:O62">
    <cfRule type="expression" priority="1" dxfId="4">
      <formula>$D15="Forecast"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F3864"/>
    <outlinePr summaryBelow="1" summaryRight="1"/>
    <pageSetUpPr/>
  </sheetPr>
  <dimension ref="A1:AG62"/>
  <sheetViews>
    <sheetView workbookViewId="0">
      <pane xSplit="4" ySplit="14" topLeftCell="E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" customWidth="1" min="2" max="2"/>
    <col width="5" customWidth="1" min="3" max="3"/>
    <col width="9" customWidth="1" min="4" max="4"/>
    <col width="10" customWidth="1" min="5" max="5"/>
    <col width="10" customWidth="1" min="6" max="6"/>
    <col width="11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1" customWidth="1" min="15" max="15"/>
    <col width="2" customWidth="1" min="17" max="17"/>
    <col width="11" customWidth="1" min="18" max="18"/>
    <col width="11" customWidth="1" min="19" max="19"/>
    <col width="10" customWidth="1" min="20" max="20"/>
    <col width="11" customWidth="1" min="21" max="21"/>
    <col width="11" customWidth="1" min="22" max="22"/>
    <col width="12" customWidth="1" min="23" max="23"/>
    <col width="9" customWidth="1" min="24" max="24"/>
    <col width="12" customWidth="1" min="25" max="25"/>
    <col width="8" customWidth="1" min="26" max="26"/>
    <col width="8" customWidth="1" min="27" max="27"/>
    <col width="11" customWidth="1" min="28" max="28"/>
    <col width="12" customWidth="1" min="29" max="29"/>
    <col width="12" customWidth="1" min="30" max="30"/>
    <col width="11" customWidth="1" min="31" max="31"/>
    <col width="9" customWidth="1" min="32" max="32"/>
    <col width="9" customWidth="1" min="33" max="33"/>
  </cols>
  <sheetData>
    <row r="1">
      <c r="A1" s="2">
        <f>$B$2&amp;"  |  Region  |  QLD"</f>
        <v/>
      </c>
    </row>
    <row r="2">
      <c r="A2" t="inlineStr">
        <is>
          <t>Code</t>
        </is>
      </c>
      <c r="B2" s="1">
        <f>Inputs!$A$38</f>
        <v/>
      </c>
      <c r="C2" t="inlineStr">
        <is>
          <t>State</t>
        </is>
      </c>
      <c r="D2" s="1" t="inlineStr">
        <is>
          <t>QLD</t>
        </is>
      </c>
    </row>
    <row r="5" ht="45" customHeight="1">
      <c r="A5" s="5" t="inlineStr">
        <is>
          <t>FY</t>
        </is>
      </c>
      <c r="D5" s="5" t="inlineStr">
        <is>
          <t>Status</t>
        </is>
      </c>
      <c r="E5" s="5" t="inlineStr">
        <is>
          <t>Sales</t>
        </is>
      </c>
      <c r="F5" s="5" t="inlineStr">
        <is>
          <t>Cases picked</t>
        </is>
      </c>
      <c r="G5" s="5" t="inlineStr">
        <is>
          <t>WH hours worked</t>
        </is>
      </c>
      <c r="H5" s="5" t="inlineStr">
        <is>
          <t>Staff payroll</t>
        </is>
      </c>
      <c r="I5" s="5" t="inlineStr">
        <is>
          <t>Leadership payroll</t>
        </is>
      </c>
      <c r="J5" s="5" t="inlineStr">
        <is>
          <t>Total payroll</t>
        </is>
      </c>
      <c r="K5" s="5" t="inlineStr">
        <is>
          <t>CPLH (cases / hr)</t>
        </is>
      </c>
      <c r="L5" s="5" t="inlineStr">
        <is>
          <t>Cost per hour (staff)</t>
        </is>
      </c>
      <c r="M5" s="5" t="inlineStr">
        <is>
          <t>Cost per case (total payroll)</t>
        </is>
      </c>
      <c r="N5" s="5" t="inlineStr">
        <is>
          <t>Total payroll % sales</t>
        </is>
      </c>
      <c r="O5" s="5" t="inlineStr">
        <is>
          <t>Leadership % of total payroll</t>
        </is>
      </c>
    </row>
    <row r="6">
      <c r="A6" s="15" t="n">
        <v>2025</v>
      </c>
      <c r="D6" s="16">
        <f>IF(DATE(A6,12,1)&lt;=LastActual,"Actual",IF(DATE(A6,1,1)&gt;LastActual,"Forecast","Blended"))</f>
        <v/>
      </c>
      <c r="E6" s="17">
        <f>SUMIFS($E$15:$E$62,$B$15:$B$62,$A6)</f>
        <v/>
      </c>
      <c r="F6" s="18">
        <f>SUMIFS($F$15:$F$62,$B$15:$B$62,$A6)</f>
        <v/>
      </c>
      <c r="G6" s="19">
        <f>SUMIFS($G$15:$G$62,$B$15:$B$62,$A6)</f>
        <v/>
      </c>
      <c r="H6" s="17">
        <f>SUMIFS($H$15:$H$62,$B$15:$B$62,$A6)</f>
        <v/>
      </c>
      <c r="I6" s="17">
        <f>SUMIFS($I$15:$I$62,$B$15:$B$62,$A6)</f>
        <v/>
      </c>
      <c r="J6" s="17">
        <f>SUMIFS($J$15:$J$62,$B$15:$B$62,$A6)</f>
        <v/>
      </c>
      <c r="K6" s="20">
        <f>IFERROR(F6/G6,0)</f>
        <v/>
      </c>
      <c r="L6" s="21">
        <f>IFERROR(H6/G6,0)</f>
        <v/>
      </c>
      <c r="M6" s="22">
        <f>IFERROR(J6/F6,0)</f>
        <v/>
      </c>
      <c r="N6" s="23">
        <f>IFERROR(J6/E6,0)</f>
        <v/>
      </c>
      <c r="O6" s="23">
        <f>IFERROR(I6/J6,0)</f>
        <v/>
      </c>
    </row>
    <row r="7">
      <c r="A7" s="15" t="n">
        <v>2026</v>
      </c>
      <c r="D7" s="16">
        <f>IF(DATE(A7,12,1)&lt;=LastActual,"Actual",IF(DATE(A7,1,1)&gt;LastActual,"Forecast","Blended"))</f>
        <v/>
      </c>
      <c r="E7" s="17">
        <f>SUMIFS($E$15:$E$62,$B$15:$B$62,$A7)</f>
        <v/>
      </c>
      <c r="F7" s="18">
        <f>SUMIFS($F$15:$F$62,$B$15:$B$62,$A7)</f>
        <v/>
      </c>
      <c r="G7" s="19">
        <f>SUMIFS($G$15:$G$62,$B$15:$B$62,$A7)</f>
        <v/>
      </c>
      <c r="H7" s="17">
        <f>SUMIFS($H$15:$H$62,$B$15:$B$62,$A7)</f>
        <v/>
      </c>
      <c r="I7" s="17">
        <f>SUMIFS($I$15:$I$62,$B$15:$B$62,$A7)</f>
        <v/>
      </c>
      <c r="J7" s="17">
        <f>SUMIFS($J$15:$J$62,$B$15:$B$62,$A7)</f>
        <v/>
      </c>
      <c r="K7" s="20">
        <f>IFERROR(F7/G7,0)</f>
        <v/>
      </c>
      <c r="L7" s="21">
        <f>IFERROR(H7/G7,0)</f>
        <v/>
      </c>
      <c r="M7" s="22">
        <f>IFERROR(J7/F7,0)</f>
        <v/>
      </c>
      <c r="N7" s="23">
        <f>IFERROR(J7/E7,0)</f>
        <v/>
      </c>
      <c r="O7" s="23">
        <f>IFERROR(I7/J7,0)</f>
        <v/>
      </c>
    </row>
    <row r="8">
      <c r="A8" s="15" t="n">
        <v>2027</v>
      </c>
      <c r="D8" s="16">
        <f>IF(DATE(A8,12,1)&lt;=LastActual,"Actual",IF(DATE(A8,1,1)&gt;LastActual,"Forecast","Blended"))</f>
        <v/>
      </c>
      <c r="E8" s="17">
        <f>SUMIFS($E$15:$E$62,$B$15:$B$62,$A8)</f>
        <v/>
      </c>
      <c r="F8" s="18">
        <f>SUMIFS($F$15:$F$62,$B$15:$B$62,$A8)</f>
        <v/>
      </c>
      <c r="G8" s="19">
        <f>SUMIFS($G$15:$G$62,$B$15:$B$62,$A8)</f>
        <v/>
      </c>
      <c r="H8" s="17">
        <f>SUMIFS($H$15:$H$62,$B$15:$B$62,$A8)</f>
        <v/>
      </c>
      <c r="I8" s="17">
        <f>SUMIFS($I$15:$I$62,$B$15:$B$62,$A8)</f>
        <v/>
      </c>
      <c r="J8" s="17">
        <f>SUMIFS($J$15:$J$62,$B$15:$B$62,$A8)</f>
        <v/>
      </c>
      <c r="K8" s="20">
        <f>IFERROR(F8/G8,0)</f>
        <v/>
      </c>
      <c r="L8" s="21">
        <f>IFERROR(H8/G8,0)</f>
        <v/>
      </c>
      <c r="M8" s="22">
        <f>IFERROR(J8/F8,0)</f>
        <v/>
      </c>
      <c r="N8" s="23">
        <f>IFERROR(J8/E8,0)</f>
        <v/>
      </c>
      <c r="O8" s="23">
        <f>IFERROR(I8/J8,0)</f>
        <v/>
      </c>
    </row>
    <row r="9">
      <c r="A9" s="15" t="n">
        <v>2028</v>
      </c>
      <c r="D9" s="16">
        <f>IF(DATE(A9,12,1)&lt;=LastActual,"Actual",IF(DATE(A9,1,1)&gt;LastActual,"Forecast","Blended"))</f>
        <v/>
      </c>
      <c r="E9" s="17">
        <f>SUMIFS($E$15:$E$62,$B$15:$B$62,$A9)</f>
        <v/>
      </c>
      <c r="F9" s="18">
        <f>SUMIFS($F$15:$F$62,$B$15:$B$62,$A9)</f>
        <v/>
      </c>
      <c r="G9" s="19">
        <f>SUMIFS($G$15:$G$62,$B$15:$B$62,$A9)</f>
        <v/>
      </c>
      <c r="H9" s="17">
        <f>SUMIFS($H$15:$H$62,$B$15:$B$62,$A9)</f>
        <v/>
      </c>
      <c r="I9" s="17">
        <f>SUMIFS($I$15:$I$62,$B$15:$B$62,$A9)</f>
        <v/>
      </c>
      <c r="J9" s="17">
        <f>SUMIFS($J$15:$J$62,$B$15:$B$62,$A9)</f>
        <v/>
      </c>
      <c r="K9" s="20">
        <f>IFERROR(F9/G9,0)</f>
        <v/>
      </c>
      <c r="L9" s="21">
        <f>IFERROR(H9/G9,0)</f>
        <v/>
      </c>
      <c r="M9" s="22">
        <f>IFERROR(J9/F9,0)</f>
        <v/>
      </c>
      <c r="N9" s="23">
        <f>IFERROR(J9/E9,0)</f>
        <v/>
      </c>
      <c r="O9" s="23">
        <f>IFERROR(I9/J9,0)</f>
        <v/>
      </c>
    </row>
    <row r="12">
      <c r="E12" s="5" t="inlineStr">
        <is>
          <t>Drivers</t>
        </is>
      </c>
      <c r="K12" s="5" t="inlineStr">
        <is>
          <t>Metrics</t>
        </is>
      </c>
      <c r="R12" s="5" t="inlineStr">
        <is>
          <t>Helper calculations (actuals, plan, same-month-last-year rates)</t>
        </is>
      </c>
    </row>
    <row r="13" ht="60" customHeight="1">
      <c r="A13" s="5" t="inlineStr">
        <is>
          <t>Month</t>
        </is>
      </c>
      <c r="B13" s="5" t="inlineStr">
        <is>
          <t>Year</t>
        </is>
      </c>
      <c r="C13" s="5" t="inlineStr">
        <is>
          <t>Mth</t>
        </is>
      </c>
      <c r="D13" s="5" t="inlineStr">
        <is>
          <t>Status</t>
        </is>
      </c>
      <c r="E13" s="5" t="inlineStr">
        <is>
          <t>Sales</t>
        </is>
      </c>
      <c r="F13" s="5" t="inlineStr">
        <is>
          <t>Cases picked</t>
        </is>
      </c>
      <c r="G13" s="5" t="inlineStr">
        <is>
          <t>WH hours worked</t>
        </is>
      </c>
      <c r="H13" s="5" t="inlineStr">
        <is>
          <t>Staff payroll</t>
        </is>
      </c>
      <c r="I13" s="5" t="inlineStr">
        <is>
          <t>Leadership payroll</t>
        </is>
      </c>
      <c r="J13" s="5" t="inlineStr">
        <is>
          <t>Total payroll</t>
        </is>
      </c>
      <c r="K13" s="5" t="inlineStr">
        <is>
          <t>CPLH (cases / hr)</t>
        </is>
      </c>
      <c r="L13" s="5" t="inlineStr">
        <is>
          <t>Cost per hour (staff)</t>
        </is>
      </c>
      <c r="M13" s="5" t="inlineStr">
        <is>
          <t>Cost per case (total payroll)</t>
        </is>
      </c>
      <c r="N13" s="5" t="inlineStr">
        <is>
          <t>Total payroll % sales</t>
        </is>
      </c>
      <c r="O13" s="5" t="inlineStr">
        <is>
          <t>Leadership % of total payroll</t>
        </is>
      </c>
      <c r="R13" s="41" t="inlineStr">
        <is>
          <t>Act sales</t>
        </is>
      </c>
      <c r="S13" s="41" t="inlineStr">
        <is>
          <t>Act cases</t>
        </is>
      </c>
      <c r="T13" s="41" t="inlineStr">
        <is>
          <t>Act hours</t>
        </is>
      </c>
      <c r="U13" s="41" t="inlineStr">
        <is>
          <t>Act staff $</t>
        </is>
      </c>
      <c r="V13" s="41" t="inlineStr">
        <is>
          <t>Act leadership $</t>
        </is>
      </c>
      <c r="W13" s="41" t="inlineStr">
        <is>
          <t>Plan sales</t>
        </is>
      </c>
      <c r="X13" s="41" t="inlineStr">
        <is>
          <t>Plan payroll %</t>
        </is>
      </c>
      <c r="Y13" s="41" t="inlineStr">
        <is>
          <t>Volume driver sales</t>
        </is>
      </c>
      <c r="Z13" s="41" t="inlineStr">
        <is>
          <t>PH factor</t>
        </is>
      </c>
      <c r="AA13" s="41" t="inlineStr">
        <is>
          <t>Wage index</t>
        </is>
      </c>
      <c r="AB13" s="41" t="inlineStr">
        <is>
          <t>Cases per $ (actual, else same month LY)</t>
        </is>
      </c>
      <c r="AC13" s="41" t="inlineStr">
        <is>
          <t>Cost per hour ex PH &amp; wage (actual, else same month LY)</t>
        </is>
      </c>
      <c r="AD13" s="41" t="inlineStr">
        <is>
          <t>Leadership share of total payroll (actual, else same month LY)</t>
        </is>
      </c>
      <c r="AE13" s="41" t="inlineStr">
        <is>
          <t>Fcst cost per hour (AC x PH x wage)</t>
        </is>
      </c>
      <c r="AF13" s="41" t="inlineStr">
        <is>
          <t>LY CPLH (same month)</t>
        </is>
      </c>
      <c r="AG13" s="41" t="inlineStr">
        <is>
          <t>Fcst CPLH vs LY</t>
        </is>
      </c>
    </row>
    <row r="14">
      <c r="E14" s="25" t="inlineStr">
        <is>
          <t>$m</t>
        </is>
      </c>
      <c r="F14" s="25" t="inlineStr">
        <is>
          <t>m</t>
        </is>
      </c>
      <c r="G14" s="25" t="inlineStr">
        <is>
          <t>#</t>
        </is>
      </c>
      <c r="H14" s="25" t="inlineStr">
        <is>
          <t>$m</t>
        </is>
      </c>
      <c r="I14" s="25" t="inlineStr">
        <is>
          <t>$m</t>
        </is>
      </c>
      <c r="J14" s="25" t="inlineStr">
        <is>
          <t>$m</t>
        </is>
      </c>
      <c r="K14" s="25" t="inlineStr">
        <is>
          <t>#</t>
        </is>
      </c>
      <c r="L14" s="25" t="inlineStr">
        <is>
          <t>$</t>
        </is>
      </c>
      <c r="M14" s="25" t="inlineStr">
        <is>
          <t>$</t>
        </is>
      </c>
      <c r="N14" s="25" t="inlineStr">
        <is>
          <t>%</t>
        </is>
      </c>
      <c r="O14" s="25" t="inlineStr">
        <is>
          <t>%</t>
        </is>
      </c>
    </row>
    <row r="15">
      <c r="A15" s="8" t="n">
        <v>45658</v>
      </c>
      <c r="B15" s="26">
        <f>YEAR(A15)</f>
        <v/>
      </c>
      <c r="C15" s="26">
        <f>MONTH(A15)</f>
        <v/>
      </c>
      <c r="D15">
        <f>IF(A15&lt;=LastActual,"Actual","Forecast")</f>
        <v/>
      </c>
      <c r="E15" s="24">
        <f>IF($D15="Actual",R15,W15)</f>
        <v/>
      </c>
      <c r="F15" s="27">
        <f>IF($D15="Actual",S15,Cases_Forecast!AL8)</f>
        <v/>
      </c>
      <c r="G15" s="9">
        <f>IF($D15="Actual",T15,IFERROR(H15/AE15,0))</f>
        <v/>
      </c>
      <c r="H15" s="24">
        <f>IF($D15="Actual",U15,J15-I15)</f>
        <v/>
      </c>
      <c r="I15" s="24">
        <f>IF($D15="Actual",V15,IFERROR(J15*AD15,0))</f>
        <v/>
      </c>
      <c r="J15" s="24">
        <f>IF($D15="Actual",U15+V15,E15*X15)</f>
        <v/>
      </c>
      <c r="K15" s="28">
        <f>IFERROR(F15/G15,0)</f>
        <v/>
      </c>
      <c r="L15" s="29">
        <f>IFERROR(H15/G15,0)</f>
        <v/>
      </c>
      <c r="M15" s="30">
        <f>IFERROR(J15/F15,0)</f>
        <v/>
      </c>
      <c r="N15" s="10">
        <f>IFERROR(J15/E15,0)</f>
        <v/>
      </c>
      <c r="O15" s="10">
        <f>IFERROR(I15/J15,0)</f>
        <v/>
      </c>
      <c r="R15" s="42">
        <f>IF($D15="Actual",SUMIFS(Data_Actuals!$C$2:$C$5000,Data_Actuals!$A$2:$A$5000,$A15,Data_Actuals!$B$2:$B$5000,$B$2),"")</f>
        <v/>
      </c>
      <c r="S15" s="42">
        <f>IF($D15="Actual",SUMIFS(Data_Actuals!$D$2:$D$5000,Data_Actuals!$A$2:$A$5000,$A15,Data_Actuals!$B$2:$B$5000,$B$2),"")</f>
        <v/>
      </c>
      <c r="T15" s="42">
        <f>IF($D15="Actual",SUMIFS(Data_Actuals!$E$2:$E$5000,Data_Actuals!$A$2:$A$5000,$A15,Data_Actuals!$B$2:$B$5000,$B$2),"")</f>
        <v/>
      </c>
      <c r="U15" s="42">
        <f>IF($D15="Actual",SUMIFS(Data_Actuals!$F$2:$F$5000,Data_Actuals!$A$2:$A$5000,$A15,Data_Actuals!$B$2:$B$5000,$B$2),"")</f>
        <v/>
      </c>
      <c r="V15" s="42">
        <f>IF($D15="Actual",SUMIFS(Data_Actuals!$G$2:$G$5000,Data_Actuals!$A$2:$A$5000,$A15,Data_Actuals!$B$2:$B$5000,$B$2),"")</f>
        <v/>
      </c>
      <c r="W15" s="42">
        <f>SUMIFS(Plan_Inputs!$C$2:$C$5000,Plan_Inputs!$A$2:$A$5000,$A15,Plan_Inputs!$B$2:$B$5000,$B$2)</f>
        <v/>
      </c>
      <c r="X15" s="43">
        <f>SUMIFS(Plan_Inputs!$D$2:$D$5000,Plan_Inputs!$A$2:$A$5000,$A15,Plan_Inputs!$B$2:$B$5000,$B$2)</f>
        <v/>
      </c>
      <c r="Y15" s="42">
        <f>E15</f>
        <v/>
      </c>
      <c r="Z15" s="44">
        <f>INDEX(Calendar!$H$5:$L$52,MATCH($A15,Calendar!$A$5:$A$52,0),MATCH($D$2,Calendar!$H$4:$L$4,0))</f>
        <v/>
      </c>
      <c r="AA15" s="44">
        <f>INDEX(Calendar!$M$5:$M$52,MATCH($A15,Calendar!$A$5:$A$52,0))</f>
        <v/>
      </c>
      <c r="AB15" s="45">
        <f>IF($D15="Actual",IFERROR(S15/Y15,""),"")</f>
        <v/>
      </c>
      <c r="AC15" s="46">
        <f>IF($D15="Actual",IFERROR(U15/T15/Z15/AA15,""),"")</f>
        <v/>
      </c>
      <c r="AD15" s="43">
        <f>IF($D15="Actual",IFERROR(V15/(U15+V15),""),"")</f>
        <v/>
      </c>
      <c r="AE15" s="46">
        <f>IFERROR(AC15*Z15*AA15,"")</f>
        <v/>
      </c>
      <c r="AF15" s="47" t="n"/>
      <c r="AG15" s="43">
        <f>IF($D15="Forecast",IFERROR(K15/AF15-1,""),"")</f>
        <v/>
      </c>
    </row>
    <row r="16">
      <c r="A16" s="8" t="n">
        <v>45689</v>
      </c>
      <c r="B16" s="26">
        <f>YEAR(A16)</f>
        <v/>
      </c>
      <c r="C16" s="26">
        <f>MONTH(A16)</f>
        <v/>
      </c>
      <c r="D16">
        <f>IF(A16&lt;=LastActual,"Actual","Forecast")</f>
        <v/>
      </c>
      <c r="E16" s="24">
        <f>IF($D16="Actual",R16,W16)</f>
        <v/>
      </c>
      <c r="F16" s="27">
        <f>IF($D16="Actual",S16,Cases_Forecast!AL9)</f>
        <v/>
      </c>
      <c r="G16" s="9">
        <f>IF($D16="Actual",T16,IFERROR(H16/AE16,0))</f>
        <v/>
      </c>
      <c r="H16" s="24">
        <f>IF($D16="Actual",U16,J16-I16)</f>
        <v/>
      </c>
      <c r="I16" s="24">
        <f>IF($D16="Actual",V16,IFERROR(J16*AD16,0))</f>
        <v/>
      </c>
      <c r="J16" s="24">
        <f>IF($D16="Actual",U16+V16,E16*X16)</f>
        <v/>
      </c>
      <c r="K16" s="28">
        <f>IFERROR(F16/G16,0)</f>
        <v/>
      </c>
      <c r="L16" s="29">
        <f>IFERROR(H16/G16,0)</f>
        <v/>
      </c>
      <c r="M16" s="30">
        <f>IFERROR(J16/F16,0)</f>
        <v/>
      </c>
      <c r="N16" s="10">
        <f>IFERROR(J16/E16,0)</f>
        <v/>
      </c>
      <c r="O16" s="10">
        <f>IFERROR(I16/J16,0)</f>
        <v/>
      </c>
      <c r="R16" s="42">
        <f>IF($D16="Actual",SUMIFS(Data_Actuals!$C$2:$C$5000,Data_Actuals!$A$2:$A$5000,$A16,Data_Actuals!$B$2:$B$5000,$B$2),"")</f>
        <v/>
      </c>
      <c r="S16" s="42">
        <f>IF($D16="Actual",SUMIFS(Data_Actuals!$D$2:$D$5000,Data_Actuals!$A$2:$A$5000,$A16,Data_Actuals!$B$2:$B$5000,$B$2),"")</f>
        <v/>
      </c>
      <c r="T16" s="42">
        <f>IF($D16="Actual",SUMIFS(Data_Actuals!$E$2:$E$5000,Data_Actuals!$A$2:$A$5000,$A16,Data_Actuals!$B$2:$B$5000,$B$2),"")</f>
        <v/>
      </c>
      <c r="U16" s="42">
        <f>IF($D16="Actual",SUMIFS(Data_Actuals!$F$2:$F$5000,Data_Actuals!$A$2:$A$5000,$A16,Data_Actuals!$B$2:$B$5000,$B$2),"")</f>
        <v/>
      </c>
      <c r="V16" s="42">
        <f>IF($D16="Actual",SUMIFS(Data_Actuals!$G$2:$G$5000,Data_Actuals!$A$2:$A$5000,$A16,Data_Actuals!$B$2:$B$5000,$B$2),"")</f>
        <v/>
      </c>
      <c r="W16" s="42">
        <f>SUMIFS(Plan_Inputs!$C$2:$C$5000,Plan_Inputs!$A$2:$A$5000,$A16,Plan_Inputs!$B$2:$B$5000,$B$2)</f>
        <v/>
      </c>
      <c r="X16" s="43">
        <f>SUMIFS(Plan_Inputs!$D$2:$D$5000,Plan_Inputs!$A$2:$A$5000,$A16,Plan_Inputs!$B$2:$B$5000,$B$2)</f>
        <v/>
      </c>
      <c r="Y16" s="42">
        <f>E16</f>
        <v/>
      </c>
      <c r="Z16" s="44">
        <f>INDEX(Calendar!$H$5:$L$52,MATCH($A16,Calendar!$A$5:$A$52,0),MATCH($D$2,Calendar!$H$4:$L$4,0))</f>
        <v/>
      </c>
      <c r="AA16" s="44">
        <f>INDEX(Calendar!$M$5:$M$52,MATCH($A16,Calendar!$A$5:$A$52,0))</f>
        <v/>
      </c>
      <c r="AB16" s="45">
        <f>IF($D16="Actual",IFERROR(S16/Y16,""),"")</f>
        <v/>
      </c>
      <c r="AC16" s="46">
        <f>IF($D16="Actual",IFERROR(U16/T16/Z16/AA16,""),"")</f>
        <v/>
      </c>
      <c r="AD16" s="43">
        <f>IF($D16="Actual",IFERROR(V16/(U16+V16),""),"")</f>
        <v/>
      </c>
      <c r="AE16" s="46">
        <f>IFERROR(AC16*Z16*AA16,"")</f>
        <v/>
      </c>
      <c r="AF16" s="47" t="n"/>
      <c r="AG16" s="43">
        <f>IF($D16="Forecast",IFERROR(K16/AF16-1,""),"")</f>
        <v/>
      </c>
    </row>
    <row r="17">
      <c r="A17" s="8" t="n">
        <v>45717</v>
      </c>
      <c r="B17" s="26">
        <f>YEAR(A17)</f>
        <v/>
      </c>
      <c r="C17" s="26">
        <f>MONTH(A17)</f>
        <v/>
      </c>
      <c r="D17">
        <f>IF(A17&lt;=LastActual,"Actual","Forecast")</f>
        <v/>
      </c>
      <c r="E17" s="24">
        <f>IF($D17="Actual",R17,W17)</f>
        <v/>
      </c>
      <c r="F17" s="27">
        <f>IF($D17="Actual",S17,Cases_Forecast!AL10)</f>
        <v/>
      </c>
      <c r="G17" s="9">
        <f>IF($D17="Actual",T17,IFERROR(H17/AE17,0))</f>
        <v/>
      </c>
      <c r="H17" s="24">
        <f>IF($D17="Actual",U17,J17-I17)</f>
        <v/>
      </c>
      <c r="I17" s="24">
        <f>IF($D17="Actual",V17,IFERROR(J17*AD17,0))</f>
        <v/>
      </c>
      <c r="J17" s="24">
        <f>IF($D17="Actual",U17+V17,E17*X17)</f>
        <v/>
      </c>
      <c r="K17" s="28">
        <f>IFERROR(F17/G17,0)</f>
        <v/>
      </c>
      <c r="L17" s="29">
        <f>IFERROR(H17/G17,0)</f>
        <v/>
      </c>
      <c r="M17" s="30">
        <f>IFERROR(J17/F17,0)</f>
        <v/>
      </c>
      <c r="N17" s="10">
        <f>IFERROR(J17/E17,0)</f>
        <v/>
      </c>
      <c r="O17" s="10">
        <f>IFERROR(I17/J17,0)</f>
        <v/>
      </c>
      <c r="R17" s="42">
        <f>IF($D17="Actual",SUMIFS(Data_Actuals!$C$2:$C$5000,Data_Actuals!$A$2:$A$5000,$A17,Data_Actuals!$B$2:$B$5000,$B$2),"")</f>
        <v/>
      </c>
      <c r="S17" s="42">
        <f>IF($D17="Actual",SUMIFS(Data_Actuals!$D$2:$D$5000,Data_Actuals!$A$2:$A$5000,$A17,Data_Actuals!$B$2:$B$5000,$B$2),"")</f>
        <v/>
      </c>
      <c r="T17" s="42">
        <f>IF($D17="Actual",SUMIFS(Data_Actuals!$E$2:$E$5000,Data_Actuals!$A$2:$A$5000,$A17,Data_Actuals!$B$2:$B$5000,$B$2),"")</f>
        <v/>
      </c>
      <c r="U17" s="42">
        <f>IF($D17="Actual",SUMIFS(Data_Actuals!$F$2:$F$5000,Data_Actuals!$A$2:$A$5000,$A17,Data_Actuals!$B$2:$B$5000,$B$2),"")</f>
        <v/>
      </c>
      <c r="V17" s="42">
        <f>IF($D17="Actual",SUMIFS(Data_Actuals!$G$2:$G$5000,Data_Actuals!$A$2:$A$5000,$A17,Data_Actuals!$B$2:$B$5000,$B$2),"")</f>
        <v/>
      </c>
      <c r="W17" s="42">
        <f>SUMIFS(Plan_Inputs!$C$2:$C$5000,Plan_Inputs!$A$2:$A$5000,$A17,Plan_Inputs!$B$2:$B$5000,$B$2)</f>
        <v/>
      </c>
      <c r="X17" s="43">
        <f>SUMIFS(Plan_Inputs!$D$2:$D$5000,Plan_Inputs!$A$2:$A$5000,$A17,Plan_Inputs!$B$2:$B$5000,$B$2)</f>
        <v/>
      </c>
      <c r="Y17" s="42">
        <f>E17</f>
        <v/>
      </c>
      <c r="Z17" s="44">
        <f>INDEX(Calendar!$H$5:$L$52,MATCH($A17,Calendar!$A$5:$A$52,0),MATCH($D$2,Calendar!$H$4:$L$4,0))</f>
        <v/>
      </c>
      <c r="AA17" s="44">
        <f>INDEX(Calendar!$M$5:$M$52,MATCH($A17,Calendar!$A$5:$A$52,0))</f>
        <v/>
      </c>
      <c r="AB17" s="45">
        <f>IF($D17="Actual",IFERROR(S17/Y17,""),"")</f>
        <v/>
      </c>
      <c r="AC17" s="46">
        <f>IF($D17="Actual",IFERROR(U17/T17/Z17/AA17,""),"")</f>
        <v/>
      </c>
      <c r="AD17" s="43">
        <f>IF($D17="Actual",IFERROR(V17/(U17+V17),""),"")</f>
        <v/>
      </c>
      <c r="AE17" s="46">
        <f>IFERROR(AC17*Z17*AA17,"")</f>
        <v/>
      </c>
      <c r="AF17" s="47" t="n"/>
      <c r="AG17" s="43">
        <f>IF($D17="Forecast",IFERROR(K17/AF17-1,""),"")</f>
        <v/>
      </c>
    </row>
    <row r="18">
      <c r="A18" s="8" t="n">
        <v>45748</v>
      </c>
      <c r="B18" s="26">
        <f>YEAR(A18)</f>
        <v/>
      </c>
      <c r="C18" s="26">
        <f>MONTH(A18)</f>
        <v/>
      </c>
      <c r="D18">
        <f>IF(A18&lt;=LastActual,"Actual","Forecast")</f>
        <v/>
      </c>
      <c r="E18" s="24">
        <f>IF($D18="Actual",R18,W18)</f>
        <v/>
      </c>
      <c r="F18" s="27">
        <f>IF($D18="Actual",S18,Cases_Forecast!AL11)</f>
        <v/>
      </c>
      <c r="G18" s="9">
        <f>IF($D18="Actual",T18,IFERROR(H18/AE18,0))</f>
        <v/>
      </c>
      <c r="H18" s="24">
        <f>IF($D18="Actual",U18,J18-I18)</f>
        <v/>
      </c>
      <c r="I18" s="24">
        <f>IF($D18="Actual",V18,IFERROR(J18*AD18,0))</f>
        <v/>
      </c>
      <c r="J18" s="24">
        <f>IF($D18="Actual",U18+V18,E18*X18)</f>
        <v/>
      </c>
      <c r="K18" s="28">
        <f>IFERROR(F18/G18,0)</f>
        <v/>
      </c>
      <c r="L18" s="29">
        <f>IFERROR(H18/G18,0)</f>
        <v/>
      </c>
      <c r="M18" s="30">
        <f>IFERROR(J18/F18,0)</f>
        <v/>
      </c>
      <c r="N18" s="10">
        <f>IFERROR(J18/E18,0)</f>
        <v/>
      </c>
      <c r="O18" s="10">
        <f>IFERROR(I18/J18,0)</f>
        <v/>
      </c>
      <c r="R18" s="42">
        <f>IF($D18="Actual",SUMIFS(Data_Actuals!$C$2:$C$5000,Data_Actuals!$A$2:$A$5000,$A18,Data_Actuals!$B$2:$B$5000,$B$2),"")</f>
        <v/>
      </c>
      <c r="S18" s="42">
        <f>IF($D18="Actual",SUMIFS(Data_Actuals!$D$2:$D$5000,Data_Actuals!$A$2:$A$5000,$A18,Data_Actuals!$B$2:$B$5000,$B$2),"")</f>
        <v/>
      </c>
      <c r="T18" s="42">
        <f>IF($D18="Actual",SUMIFS(Data_Actuals!$E$2:$E$5000,Data_Actuals!$A$2:$A$5000,$A18,Data_Actuals!$B$2:$B$5000,$B$2),"")</f>
        <v/>
      </c>
      <c r="U18" s="42">
        <f>IF($D18="Actual",SUMIFS(Data_Actuals!$F$2:$F$5000,Data_Actuals!$A$2:$A$5000,$A18,Data_Actuals!$B$2:$B$5000,$B$2),"")</f>
        <v/>
      </c>
      <c r="V18" s="42">
        <f>IF($D18="Actual",SUMIFS(Data_Actuals!$G$2:$G$5000,Data_Actuals!$A$2:$A$5000,$A18,Data_Actuals!$B$2:$B$5000,$B$2),"")</f>
        <v/>
      </c>
      <c r="W18" s="42">
        <f>SUMIFS(Plan_Inputs!$C$2:$C$5000,Plan_Inputs!$A$2:$A$5000,$A18,Plan_Inputs!$B$2:$B$5000,$B$2)</f>
        <v/>
      </c>
      <c r="X18" s="43">
        <f>SUMIFS(Plan_Inputs!$D$2:$D$5000,Plan_Inputs!$A$2:$A$5000,$A18,Plan_Inputs!$B$2:$B$5000,$B$2)</f>
        <v/>
      </c>
      <c r="Y18" s="42">
        <f>E18</f>
        <v/>
      </c>
      <c r="Z18" s="44">
        <f>INDEX(Calendar!$H$5:$L$52,MATCH($A18,Calendar!$A$5:$A$52,0),MATCH($D$2,Calendar!$H$4:$L$4,0))</f>
        <v/>
      </c>
      <c r="AA18" s="44">
        <f>INDEX(Calendar!$M$5:$M$52,MATCH($A18,Calendar!$A$5:$A$52,0))</f>
        <v/>
      </c>
      <c r="AB18" s="45">
        <f>IF($D18="Actual",IFERROR(S18/Y18,""),"")</f>
        <v/>
      </c>
      <c r="AC18" s="46">
        <f>IF($D18="Actual",IFERROR(U18/T18/Z18/AA18,""),"")</f>
        <v/>
      </c>
      <c r="AD18" s="43">
        <f>IF($D18="Actual",IFERROR(V18/(U18+V18),""),"")</f>
        <v/>
      </c>
      <c r="AE18" s="46">
        <f>IFERROR(AC18*Z18*AA18,"")</f>
        <v/>
      </c>
      <c r="AF18" s="47" t="n"/>
      <c r="AG18" s="43">
        <f>IF($D18="Forecast",IFERROR(K18/AF18-1,""),"")</f>
        <v/>
      </c>
    </row>
    <row r="19">
      <c r="A19" s="8" t="n">
        <v>45778</v>
      </c>
      <c r="B19" s="26">
        <f>YEAR(A19)</f>
        <v/>
      </c>
      <c r="C19" s="26">
        <f>MONTH(A19)</f>
        <v/>
      </c>
      <c r="D19">
        <f>IF(A19&lt;=LastActual,"Actual","Forecast")</f>
        <v/>
      </c>
      <c r="E19" s="24">
        <f>IF($D19="Actual",R19,W19)</f>
        <v/>
      </c>
      <c r="F19" s="27">
        <f>IF($D19="Actual",S19,Cases_Forecast!AL12)</f>
        <v/>
      </c>
      <c r="G19" s="9">
        <f>IF($D19="Actual",T19,IFERROR(H19/AE19,0))</f>
        <v/>
      </c>
      <c r="H19" s="24">
        <f>IF($D19="Actual",U19,J19-I19)</f>
        <v/>
      </c>
      <c r="I19" s="24">
        <f>IF($D19="Actual",V19,IFERROR(J19*AD19,0))</f>
        <v/>
      </c>
      <c r="J19" s="24">
        <f>IF($D19="Actual",U19+V19,E19*X19)</f>
        <v/>
      </c>
      <c r="K19" s="28">
        <f>IFERROR(F19/G19,0)</f>
        <v/>
      </c>
      <c r="L19" s="29">
        <f>IFERROR(H19/G19,0)</f>
        <v/>
      </c>
      <c r="M19" s="30">
        <f>IFERROR(J19/F19,0)</f>
        <v/>
      </c>
      <c r="N19" s="10">
        <f>IFERROR(J19/E19,0)</f>
        <v/>
      </c>
      <c r="O19" s="10">
        <f>IFERROR(I19/J19,0)</f>
        <v/>
      </c>
      <c r="R19" s="42">
        <f>IF($D19="Actual",SUMIFS(Data_Actuals!$C$2:$C$5000,Data_Actuals!$A$2:$A$5000,$A19,Data_Actuals!$B$2:$B$5000,$B$2),"")</f>
        <v/>
      </c>
      <c r="S19" s="42">
        <f>IF($D19="Actual",SUMIFS(Data_Actuals!$D$2:$D$5000,Data_Actuals!$A$2:$A$5000,$A19,Data_Actuals!$B$2:$B$5000,$B$2),"")</f>
        <v/>
      </c>
      <c r="T19" s="42">
        <f>IF($D19="Actual",SUMIFS(Data_Actuals!$E$2:$E$5000,Data_Actuals!$A$2:$A$5000,$A19,Data_Actuals!$B$2:$B$5000,$B$2),"")</f>
        <v/>
      </c>
      <c r="U19" s="42">
        <f>IF($D19="Actual",SUMIFS(Data_Actuals!$F$2:$F$5000,Data_Actuals!$A$2:$A$5000,$A19,Data_Actuals!$B$2:$B$5000,$B$2),"")</f>
        <v/>
      </c>
      <c r="V19" s="42">
        <f>IF($D19="Actual",SUMIFS(Data_Actuals!$G$2:$G$5000,Data_Actuals!$A$2:$A$5000,$A19,Data_Actuals!$B$2:$B$5000,$B$2),"")</f>
        <v/>
      </c>
      <c r="W19" s="42">
        <f>SUMIFS(Plan_Inputs!$C$2:$C$5000,Plan_Inputs!$A$2:$A$5000,$A19,Plan_Inputs!$B$2:$B$5000,$B$2)</f>
        <v/>
      </c>
      <c r="X19" s="43">
        <f>SUMIFS(Plan_Inputs!$D$2:$D$5000,Plan_Inputs!$A$2:$A$5000,$A19,Plan_Inputs!$B$2:$B$5000,$B$2)</f>
        <v/>
      </c>
      <c r="Y19" s="42">
        <f>E19</f>
        <v/>
      </c>
      <c r="Z19" s="44">
        <f>INDEX(Calendar!$H$5:$L$52,MATCH($A19,Calendar!$A$5:$A$52,0),MATCH($D$2,Calendar!$H$4:$L$4,0))</f>
        <v/>
      </c>
      <c r="AA19" s="44">
        <f>INDEX(Calendar!$M$5:$M$52,MATCH($A19,Calendar!$A$5:$A$52,0))</f>
        <v/>
      </c>
      <c r="AB19" s="45">
        <f>IF($D19="Actual",IFERROR(S19/Y19,""),"")</f>
        <v/>
      </c>
      <c r="AC19" s="46">
        <f>IF($D19="Actual",IFERROR(U19/T19/Z19/AA19,""),"")</f>
        <v/>
      </c>
      <c r="AD19" s="43">
        <f>IF($D19="Actual",IFERROR(V19/(U19+V19),""),"")</f>
        <v/>
      </c>
      <c r="AE19" s="46">
        <f>IFERROR(AC19*Z19*AA19,"")</f>
        <v/>
      </c>
      <c r="AF19" s="47" t="n"/>
      <c r="AG19" s="43">
        <f>IF($D19="Forecast",IFERROR(K19/AF19-1,""),"")</f>
        <v/>
      </c>
    </row>
    <row r="20">
      <c r="A20" s="8" t="n">
        <v>45809</v>
      </c>
      <c r="B20" s="26">
        <f>YEAR(A20)</f>
        <v/>
      </c>
      <c r="C20" s="26">
        <f>MONTH(A20)</f>
        <v/>
      </c>
      <c r="D20">
        <f>IF(A20&lt;=LastActual,"Actual","Forecast")</f>
        <v/>
      </c>
      <c r="E20" s="24">
        <f>IF($D20="Actual",R20,W20)</f>
        <v/>
      </c>
      <c r="F20" s="27">
        <f>IF($D20="Actual",S20,Cases_Forecast!AL13)</f>
        <v/>
      </c>
      <c r="G20" s="9">
        <f>IF($D20="Actual",T20,IFERROR(H20/AE20,0))</f>
        <v/>
      </c>
      <c r="H20" s="24">
        <f>IF($D20="Actual",U20,J20-I20)</f>
        <v/>
      </c>
      <c r="I20" s="24">
        <f>IF($D20="Actual",V20,IFERROR(J20*AD20,0))</f>
        <v/>
      </c>
      <c r="J20" s="24">
        <f>IF($D20="Actual",U20+V20,E20*X20)</f>
        <v/>
      </c>
      <c r="K20" s="28">
        <f>IFERROR(F20/G20,0)</f>
        <v/>
      </c>
      <c r="L20" s="29">
        <f>IFERROR(H20/G20,0)</f>
        <v/>
      </c>
      <c r="M20" s="30">
        <f>IFERROR(J20/F20,0)</f>
        <v/>
      </c>
      <c r="N20" s="10">
        <f>IFERROR(J20/E20,0)</f>
        <v/>
      </c>
      <c r="O20" s="10">
        <f>IFERROR(I20/J20,0)</f>
        <v/>
      </c>
      <c r="R20" s="42">
        <f>IF($D20="Actual",SUMIFS(Data_Actuals!$C$2:$C$5000,Data_Actuals!$A$2:$A$5000,$A20,Data_Actuals!$B$2:$B$5000,$B$2),"")</f>
        <v/>
      </c>
      <c r="S20" s="42">
        <f>IF($D20="Actual",SUMIFS(Data_Actuals!$D$2:$D$5000,Data_Actuals!$A$2:$A$5000,$A20,Data_Actuals!$B$2:$B$5000,$B$2),"")</f>
        <v/>
      </c>
      <c r="T20" s="42">
        <f>IF($D20="Actual",SUMIFS(Data_Actuals!$E$2:$E$5000,Data_Actuals!$A$2:$A$5000,$A20,Data_Actuals!$B$2:$B$5000,$B$2),"")</f>
        <v/>
      </c>
      <c r="U20" s="42">
        <f>IF($D20="Actual",SUMIFS(Data_Actuals!$F$2:$F$5000,Data_Actuals!$A$2:$A$5000,$A20,Data_Actuals!$B$2:$B$5000,$B$2),"")</f>
        <v/>
      </c>
      <c r="V20" s="42">
        <f>IF($D20="Actual",SUMIFS(Data_Actuals!$G$2:$G$5000,Data_Actuals!$A$2:$A$5000,$A20,Data_Actuals!$B$2:$B$5000,$B$2),"")</f>
        <v/>
      </c>
      <c r="W20" s="42">
        <f>SUMIFS(Plan_Inputs!$C$2:$C$5000,Plan_Inputs!$A$2:$A$5000,$A20,Plan_Inputs!$B$2:$B$5000,$B$2)</f>
        <v/>
      </c>
      <c r="X20" s="43">
        <f>SUMIFS(Plan_Inputs!$D$2:$D$5000,Plan_Inputs!$A$2:$A$5000,$A20,Plan_Inputs!$B$2:$B$5000,$B$2)</f>
        <v/>
      </c>
      <c r="Y20" s="42">
        <f>E20</f>
        <v/>
      </c>
      <c r="Z20" s="44">
        <f>INDEX(Calendar!$H$5:$L$52,MATCH($A20,Calendar!$A$5:$A$52,0),MATCH($D$2,Calendar!$H$4:$L$4,0))</f>
        <v/>
      </c>
      <c r="AA20" s="44">
        <f>INDEX(Calendar!$M$5:$M$52,MATCH($A20,Calendar!$A$5:$A$52,0))</f>
        <v/>
      </c>
      <c r="AB20" s="45">
        <f>IF($D20="Actual",IFERROR(S20/Y20,""),"")</f>
        <v/>
      </c>
      <c r="AC20" s="46">
        <f>IF($D20="Actual",IFERROR(U20/T20/Z20/AA20,""),"")</f>
        <v/>
      </c>
      <c r="AD20" s="43">
        <f>IF($D20="Actual",IFERROR(V20/(U20+V20),""),"")</f>
        <v/>
      </c>
      <c r="AE20" s="46">
        <f>IFERROR(AC20*Z20*AA20,"")</f>
        <v/>
      </c>
      <c r="AF20" s="47" t="n"/>
      <c r="AG20" s="43">
        <f>IF($D20="Forecast",IFERROR(K20/AF20-1,""),"")</f>
        <v/>
      </c>
    </row>
    <row r="21">
      <c r="A21" s="8" t="n">
        <v>45839</v>
      </c>
      <c r="B21" s="26">
        <f>YEAR(A21)</f>
        <v/>
      </c>
      <c r="C21" s="26">
        <f>MONTH(A21)</f>
        <v/>
      </c>
      <c r="D21">
        <f>IF(A21&lt;=LastActual,"Actual","Forecast")</f>
        <v/>
      </c>
      <c r="E21" s="24">
        <f>IF($D21="Actual",R21,W21)</f>
        <v/>
      </c>
      <c r="F21" s="27">
        <f>IF($D21="Actual",S21,Cases_Forecast!AL14)</f>
        <v/>
      </c>
      <c r="G21" s="9">
        <f>IF($D21="Actual",T21,IFERROR(H21/AE21,0))</f>
        <v/>
      </c>
      <c r="H21" s="24">
        <f>IF($D21="Actual",U21,J21-I21)</f>
        <v/>
      </c>
      <c r="I21" s="24">
        <f>IF($D21="Actual",V21,IFERROR(J21*AD21,0))</f>
        <v/>
      </c>
      <c r="J21" s="24">
        <f>IF($D21="Actual",U21+V21,E21*X21)</f>
        <v/>
      </c>
      <c r="K21" s="28">
        <f>IFERROR(F21/G21,0)</f>
        <v/>
      </c>
      <c r="L21" s="29">
        <f>IFERROR(H21/G21,0)</f>
        <v/>
      </c>
      <c r="M21" s="30">
        <f>IFERROR(J21/F21,0)</f>
        <v/>
      </c>
      <c r="N21" s="10">
        <f>IFERROR(J21/E21,0)</f>
        <v/>
      </c>
      <c r="O21" s="10">
        <f>IFERROR(I21/J21,0)</f>
        <v/>
      </c>
      <c r="R21" s="42">
        <f>IF($D21="Actual",SUMIFS(Data_Actuals!$C$2:$C$5000,Data_Actuals!$A$2:$A$5000,$A21,Data_Actuals!$B$2:$B$5000,$B$2),"")</f>
        <v/>
      </c>
      <c r="S21" s="42">
        <f>IF($D21="Actual",SUMIFS(Data_Actuals!$D$2:$D$5000,Data_Actuals!$A$2:$A$5000,$A21,Data_Actuals!$B$2:$B$5000,$B$2),"")</f>
        <v/>
      </c>
      <c r="T21" s="42">
        <f>IF($D21="Actual",SUMIFS(Data_Actuals!$E$2:$E$5000,Data_Actuals!$A$2:$A$5000,$A21,Data_Actuals!$B$2:$B$5000,$B$2),"")</f>
        <v/>
      </c>
      <c r="U21" s="42">
        <f>IF($D21="Actual",SUMIFS(Data_Actuals!$F$2:$F$5000,Data_Actuals!$A$2:$A$5000,$A21,Data_Actuals!$B$2:$B$5000,$B$2),"")</f>
        <v/>
      </c>
      <c r="V21" s="42">
        <f>IF($D21="Actual",SUMIFS(Data_Actuals!$G$2:$G$5000,Data_Actuals!$A$2:$A$5000,$A21,Data_Actuals!$B$2:$B$5000,$B$2),"")</f>
        <v/>
      </c>
      <c r="W21" s="42">
        <f>SUMIFS(Plan_Inputs!$C$2:$C$5000,Plan_Inputs!$A$2:$A$5000,$A21,Plan_Inputs!$B$2:$B$5000,$B$2)</f>
        <v/>
      </c>
      <c r="X21" s="43">
        <f>SUMIFS(Plan_Inputs!$D$2:$D$5000,Plan_Inputs!$A$2:$A$5000,$A21,Plan_Inputs!$B$2:$B$5000,$B$2)</f>
        <v/>
      </c>
      <c r="Y21" s="42">
        <f>E21</f>
        <v/>
      </c>
      <c r="Z21" s="44">
        <f>INDEX(Calendar!$H$5:$L$52,MATCH($A21,Calendar!$A$5:$A$52,0),MATCH($D$2,Calendar!$H$4:$L$4,0))</f>
        <v/>
      </c>
      <c r="AA21" s="44">
        <f>INDEX(Calendar!$M$5:$M$52,MATCH($A21,Calendar!$A$5:$A$52,0))</f>
        <v/>
      </c>
      <c r="AB21" s="45">
        <f>IF($D21="Actual",IFERROR(S21/Y21,""),"")</f>
        <v/>
      </c>
      <c r="AC21" s="46">
        <f>IF($D21="Actual",IFERROR(U21/T21/Z21/AA21,""),"")</f>
        <v/>
      </c>
      <c r="AD21" s="43">
        <f>IF($D21="Actual",IFERROR(V21/(U21+V21),""),"")</f>
        <v/>
      </c>
      <c r="AE21" s="46">
        <f>IFERROR(AC21*Z21*AA21,"")</f>
        <v/>
      </c>
      <c r="AF21" s="47" t="n"/>
      <c r="AG21" s="43">
        <f>IF($D21="Forecast",IFERROR(K21/AF21-1,""),"")</f>
        <v/>
      </c>
    </row>
    <row r="22">
      <c r="A22" s="8" t="n">
        <v>45870</v>
      </c>
      <c r="B22" s="26">
        <f>YEAR(A22)</f>
        <v/>
      </c>
      <c r="C22" s="26">
        <f>MONTH(A22)</f>
        <v/>
      </c>
      <c r="D22">
        <f>IF(A22&lt;=LastActual,"Actual","Forecast")</f>
        <v/>
      </c>
      <c r="E22" s="24">
        <f>IF($D22="Actual",R22,W22)</f>
        <v/>
      </c>
      <c r="F22" s="27">
        <f>IF($D22="Actual",S22,Cases_Forecast!AL15)</f>
        <v/>
      </c>
      <c r="G22" s="9">
        <f>IF($D22="Actual",T22,IFERROR(H22/AE22,0))</f>
        <v/>
      </c>
      <c r="H22" s="24">
        <f>IF($D22="Actual",U22,J22-I22)</f>
        <v/>
      </c>
      <c r="I22" s="24">
        <f>IF($D22="Actual",V22,IFERROR(J22*AD22,0))</f>
        <v/>
      </c>
      <c r="J22" s="24">
        <f>IF($D22="Actual",U22+V22,E22*X22)</f>
        <v/>
      </c>
      <c r="K22" s="28">
        <f>IFERROR(F22/G22,0)</f>
        <v/>
      </c>
      <c r="L22" s="29">
        <f>IFERROR(H22/G22,0)</f>
        <v/>
      </c>
      <c r="M22" s="30">
        <f>IFERROR(J22/F22,0)</f>
        <v/>
      </c>
      <c r="N22" s="10">
        <f>IFERROR(J22/E22,0)</f>
        <v/>
      </c>
      <c r="O22" s="10">
        <f>IFERROR(I22/J22,0)</f>
        <v/>
      </c>
      <c r="R22" s="42">
        <f>IF($D22="Actual",SUMIFS(Data_Actuals!$C$2:$C$5000,Data_Actuals!$A$2:$A$5000,$A22,Data_Actuals!$B$2:$B$5000,$B$2),"")</f>
        <v/>
      </c>
      <c r="S22" s="42">
        <f>IF($D22="Actual",SUMIFS(Data_Actuals!$D$2:$D$5000,Data_Actuals!$A$2:$A$5000,$A22,Data_Actuals!$B$2:$B$5000,$B$2),"")</f>
        <v/>
      </c>
      <c r="T22" s="42">
        <f>IF($D22="Actual",SUMIFS(Data_Actuals!$E$2:$E$5000,Data_Actuals!$A$2:$A$5000,$A22,Data_Actuals!$B$2:$B$5000,$B$2),"")</f>
        <v/>
      </c>
      <c r="U22" s="42">
        <f>IF($D22="Actual",SUMIFS(Data_Actuals!$F$2:$F$5000,Data_Actuals!$A$2:$A$5000,$A22,Data_Actuals!$B$2:$B$5000,$B$2),"")</f>
        <v/>
      </c>
      <c r="V22" s="42">
        <f>IF($D22="Actual",SUMIFS(Data_Actuals!$G$2:$G$5000,Data_Actuals!$A$2:$A$5000,$A22,Data_Actuals!$B$2:$B$5000,$B$2),"")</f>
        <v/>
      </c>
      <c r="W22" s="42">
        <f>SUMIFS(Plan_Inputs!$C$2:$C$5000,Plan_Inputs!$A$2:$A$5000,$A22,Plan_Inputs!$B$2:$B$5000,$B$2)</f>
        <v/>
      </c>
      <c r="X22" s="43">
        <f>SUMIFS(Plan_Inputs!$D$2:$D$5000,Plan_Inputs!$A$2:$A$5000,$A22,Plan_Inputs!$B$2:$B$5000,$B$2)</f>
        <v/>
      </c>
      <c r="Y22" s="42">
        <f>E22</f>
        <v/>
      </c>
      <c r="Z22" s="44">
        <f>INDEX(Calendar!$H$5:$L$52,MATCH($A22,Calendar!$A$5:$A$52,0),MATCH($D$2,Calendar!$H$4:$L$4,0))</f>
        <v/>
      </c>
      <c r="AA22" s="44">
        <f>INDEX(Calendar!$M$5:$M$52,MATCH($A22,Calendar!$A$5:$A$52,0))</f>
        <v/>
      </c>
      <c r="AB22" s="45">
        <f>IF($D22="Actual",IFERROR(S22/Y22,""),"")</f>
        <v/>
      </c>
      <c r="AC22" s="46">
        <f>IF($D22="Actual",IFERROR(U22/T22/Z22/AA22,""),"")</f>
        <v/>
      </c>
      <c r="AD22" s="43">
        <f>IF($D22="Actual",IFERROR(V22/(U22+V22),""),"")</f>
        <v/>
      </c>
      <c r="AE22" s="46">
        <f>IFERROR(AC22*Z22*AA22,"")</f>
        <v/>
      </c>
      <c r="AF22" s="47" t="n"/>
      <c r="AG22" s="43">
        <f>IF($D22="Forecast",IFERROR(K22/AF22-1,""),"")</f>
        <v/>
      </c>
    </row>
    <row r="23">
      <c r="A23" s="8" t="n">
        <v>45901</v>
      </c>
      <c r="B23" s="26">
        <f>YEAR(A23)</f>
        <v/>
      </c>
      <c r="C23" s="26">
        <f>MONTH(A23)</f>
        <v/>
      </c>
      <c r="D23">
        <f>IF(A23&lt;=LastActual,"Actual","Forecast")</f>
        <v/>
      </c>
      <c r="E23" s="24">
        <f>IF($D23="Actual",R23,W23)</f>
        <v/>
      </c>
      <c r="F23" s="27">
        <f>IF($D23="Actual",S23,Cases_Forecast!AL16)</f>
        <v/>
      </c>
      <c r="G23" s="9">
        <f>IF($D23="Actual",T23,IFERROR(H23/AE23,0))</f>
        <v/>
      </c>
      <c r="H23" s="24">
        <f>IF($D23="Actual",U23,J23-I23)</f>
        <v/>
      </c>
      <c r="I23" s="24">
        <f>IF($D23="Actual",V23,IFERROR(J23*AD23,0))</f>
        <v/>
      </c>
      <c r="J23" s="24">
        <f>IF($D23="Actual",U23+V23,E23*X23)</f>
        <v/>
      </c>
      <c r="K23" s="28">
        <f>IFERROR(F23/G23,0)</f>
        <v/>
      </c>
      <c r="L23" s="29">
        <f>IFERROR(H23/G23,0)</f>
        <v/>
      </c>
      <c r="M23" s="30">
        <f>IFERROR(J23/F23,0)</f>
        <v/>
      </c>
      <c r="N23" s="10">
        <f>IFERROR(J23/E23,0)</f>
        <v/>
      </c>
      <c r="O23" s="10">
        <f>IFERROR(I23/J23,0)</f>
        <v/>
      </c>
      <c r="R23" s="42">
        <f>IF($D23="Actual",SUMIFS(Data_Actuals!$C$2:$C$5000,Data_Actuals!$A$2:$A$5000,$A23,Data_Actuals!$B$2:$B$5000,$B$2),"")</f>
        <v/>
      </c>
      <c r="S23" s="42">
        <f>IF($D23="Actual",SUMIFS(Data_Actuals!$D$2:$D$5000,Data_Actuals!$A$2:$A$5000,$A23,Data_Actuals!$B$2:$B$5000,$B$2),"")</f>
        <v/>
      </c>
      <c r="T23" s="42">
        <f>IF($D23="Actual",SUMIFS(Data_Actuals!$E$2:$E$5000,Data_Actuals!$A$2:$A$5000,$A23,Data_Actuals!$B$2:$B$5000,$B$2),"")</f>
        <v/>
      </c>
      <c r="U23" s="42">
        <f>IF($D23="Actual",SUMIFS(Data_Actuals!$F$2:$F$5000,Data_Actuals!$A$2:$A$5000,$A23,Data_Actuals!$B$2:$B$5000,$B$2),"")</f>
        <v/>
      </c>
      <c r="V23" s="42">
        <f>IF($D23="Actual",SUMIFS(Data_Actuals!$G$2:$G$5000,Data_Actuals!$A$2:$A$5000,$A23,Data_Actuals!$B$2:$B$5000,$B$2),"")</f>
        <v/>
      </c>
      <c r="W23" s="42">
        <f>SUMIFS(Plan_Inputs!$C$2:$C$5000,Plan_Inputs!$A$2:$A$5000,$A23,Plan_Inputs!$B$2:$B$5000,$B$2)</f>
        <v/>
      </c>
      <c r="X23" s="43">
        <f>SUMIFS(Plan_Inputs!$D$2:$D$5000,Plan_Inputs!$A$2:$A$5000,$A23,Plan_Inputs!$B$2:$B$5000,$B$2)</f>
        <v/>
      </c>
      <c r="Y23" s="42">
        <f>E23</f>
        <v/>
      </c>
      <c r="Z23" s="44">
        <f>INDEX(Calendar!$H$5:$L$52,MATCH($A23,Calendar!$A$5:$A$52,0),MATCH($D$2,Calendar!$H$4:$L$4,0))</f>
        <v/>
      </c>
      <c r="AA23" s="44">
        <f>INDEX(Calendar!$M$5:$M$52,MATCH($A23,Calendar!$A$5:$A$52,0))</f>
        <v/>
      </c>
      <c r="AB23" s="45">
        <f>IF($D23="Actual",IFERROR(S23/Y23,""),"")</f>
        <v/>
      </c>
      <c r="AC23" s="46">
        <f>IF($D23="Actual",IFERROR(U23/T23/Z23/AA23,""),"")</f>
        <v/>
      </c>
      <c r="AD23" s="43">
        <f>IF($D23="Actual",IFERROR(V23/(U23+V23),""),"")</f>
        <v/>
      </c>
      <c r="AE23" s="46">
        <f>IFERROR(AC23*Z23*AA23,"")</f>
        <v/>
      </c>
      <c r="AF23" s="47" t="n"/>
      <c r="AG23" s="43">
        <f>IF($D23="Forecast",IFERROR(K23/AF23-1,""),"")</f>
        <v/>
      </c>
    </row>
    <row r="24">
      <c r="A24" s="8" t="n">
        <v>45931</v>
      </c>
      <c r="B24" s="26">
        <f>YEAR(A24)</f>
        <v/>
      </c>
      <c r="C24" s="26">
        <f>MONTH(A24)</f>
        <v/>
      </c>
      <c r="D24">
        <f>IF(A24&lt;=LastActual,"Actual","Forecast")</f>
        <v/>
      </c>
      <c r="E24" s="24">
        <f>IF($D24="Actual",R24,W24)</f>
        <v/>
      </c>
      <c r="F24" s="27">
        <f>IF($D24="Actual",S24,Cases_Forecast!AL17)</f>
        <v/>
      </c>
      <c r="G24" s="9">
        <f>IF($D24="Actual",T24,IFERROR(H24/AE24,0))</f>
        <v/>
      </c>
      <c r="H24" s="24">
        <f>IF($D24="Actual",U24,J24-I24)</f>
        <v/>
      </c>
      <c r="I24" s="24">
        <f>IF($D24="Actual",V24,IFERROR(J24*AD24,0))</f>
        <v/>
      </c>
      <c r="J24" s="24">
        <f>IF($D24="Actual",U24+V24,E24*X24)</f>
        <v/>
      </c>
      <c r="K24" s="28">
        <f>IFERROR(F24/G24,0)</f>
        <v/>
      </c>
      <c r="L24" s="29">
        <f>IFERROR(H24/G24,0)</f>
        <v/>
      </c>
      <c r="M24" s="30">
        <f>IFERROR(J24/F24,0)</f>
        <v/>
      </c>
      <c r="N24" s="10">
        <f>IFERROR(J24/E24,0)</f>
        <v/>
      </c>
      <c r="O24" s="10">
        <f>IFERROR(I24/J24,0)</f>
        <v/>
      </c>
      <c r="R24" s="42">
        <f>IF($D24="Actual",SUMIFS(Data_Actuals!$C$2:$C$5000,Data_Actuals!$A$2:$A$5000,$A24,Data_Actuals!$B$2:$B$5000,$B$2),"")</f>
        <v/>
      </c>
      <c r="S24" s="42">
        <f>IF($D24="Actual",SUMIFS(Data_Actuals!$D$2:$D$5000,Data_Actuals!$A$2:$A$5000,$A24,Data_Actuals!$B$2:$B$5000,$B$2),"")</f>
        <v/>
      </c>
      <c r="T24" s="42">
        <f>IF($D24="Actual",SUMIFS(Data_Actuals!$E$2:$E$5000,Data_Actuals!$A$2:$A$5000,$A24,Data_Actuals!$B$2:$B$5000,$B$2),"")</f>
        <v/>
      </c>
      <c r="U24" s="42">
        <f>IF($D24="Actual",SUMIFS(Data_Actuals!$F$2:$F$5000,Data_Actuals!$A$2:$A$5000,$A24,Data_Actuals!$B$2:$B$5000,$B$2),"")</f>
        <v/>
      </c>
      <c r="V24" s="42">
        <f>IF($D24="Actual",SUMIFS(Data_Actuals!$G$2:$G$5000,Data_Actuals!$A$2:$A$5000,$A24,Data_Actuals!$B$2:$B$5000,$B$2),"")</f>
        <v/>
      </c>
      <c r="W24" s="42">
        <f>SUMIFS(Plan_Inputs!$C$2:$C$5000,Plan_Inputs!$A$2:$A$5000,$A24,Plan_Inputs!$B$2:$B$5000,$B$2)</f>
        <v/>
      </c>
      <c r="X24" s="43">
        <f>SUMIFS(Plan_Inputs!$D$2:$D$5000,Plan_Inputs!$A$2:$A$5000,$A24,Plan_Inputs!$B$2:$B$5000,$B$2)</f>
        <v/>
      </c>
      <c r="Y24" s="42">
        <f>E24</f>
        <v/>
      </c>
      <c r="Z24" s="44">
        <f>INDEX(Calendar!$H$5:$L$52,MATCH($A24,Calendar!$A$5:$A$52,0),MATCH($D$2,Calendar!$H$4:$L$4,0))</f>
        <v/>
      </c>
      <c r="AA24" s="44">
        <f>INDEX(Calendar!$M$5:$M$52,MATCH($A24,Calendar!$A$5:$A$52,0))</f>
        <v/>
      </c>
      <c r="AB24" s="45">
        <f>IF($D24="Actual",IFERROR(S24/Y24,""),"")</f>
        <v/>
      </c>
      <c r="AC24" s="46">
        <f>IF($D24="Actual",IFERROR(U24/T24/Z24/AA24,""),"")</f>
        <v/>
      </c>
      <c r="AD24" s="43">
        <f>IF($D24="Actual",IFERROR(V24/(U24+V24),""),"")</f>
        <v/>
      </c>
      <c r="AE24" s="46">
        <f>IFERROR(AC24*Z24*AA24,"")</f>
        <v/>
      </c>
      <c r="AF24" s="47" t="n"/>
      <c r="AG24" s="43">
        <f>IF($D24="Forecast",IFERROR(K24/AF24-1,""),"")</f>
        <v/>
      </c>
    </row>
    <row r="25">
      <c r="A25" s="8" t="n">
        <v>45962</v>
      </c>
      <c r="B25" s="26">
        <f>YEAR(A25)</f>
        <v/>
      </c>
      <c r="C25" s="26">
        <f>MONTH(A25)</f>
        <v/>
      </c>
      <c r="D25">
        <f>IF(A25&lt;=LastActual,"Actual","Forecast")</f>
        <v/>
      </c>
      <c r="E25" s="24">
        <f>IF($D25="Actual",R25,W25)</f>
        <v/>
      </c>
      <c r="F25" s="27">
        <f>IF($D25="Actual",S25,Cases_Forecast!AL18)</f>
        <v/>
      </c>
      <c r="G25" s="9">
        <f>IF($D25="Actual",T25,IFERROR(H25/AE25,0))</f>
        <v/>
      </c>
      <c r="H25" s="24">
        <f>IF($D25="Actual",U25,J25-I25)</f>
        <v/>
      </c>
      <c r="I25" s="24">
        <f>IF($D25="Actual",V25,IFERROR(J25*AD25,0))</f>
        <v/>
      </c>
      <c r="J25" s="24">
        <f>IF($D25="Actual",U25+V25,E25*X25)</f>
        <v/>
      </c>
      <c r="K25" s="28">
        <f>IFERROR(F25/G25,0)</f>
        <v/>
      </c>
      <c r="L25" s="29">
        <f>IFERROR(H25/G25,0)</f>
        <v/>
      </c>
      <c r="M25" s="30">
        <f>IFERROR(J25/F25,0)</f>
        <v/>
      </c>
      <c r="N25" s="10">
        <f>IFERROR(J25/E25,0)</f>
        <v/>
      </c>
      <c r="O25" s="10">
        <f>IFERROR(I25/J25,0)</f>
        <v/>
      </c>
      <c r="R25" s="42">
        <f>IF($D25="Actual",SUMIFS(Data_Actuals!$C$2:$C$5000,Data_Actuals!$A$2:$A$5000,$A25,Data_Actuals!$B$2:$B$5000,$B$2),"")</f>
        <v/>
      </c>
      <c r="S25" s="42">
        <f>IF($D25="Actual",SUMIFS(Data_Actuals!$D$2:$D$5000,Data_Actuals!$A$2:$A$5000,$A25,Data_Actuals!$B$2:$B$5000,$B$2),"")</f>
        <v/>
      </c>
      <c r="T25" s="42">
        <f>IF($D25="Actual",SUMIFS(Data_Actuals!$E$2:$E$5000,Data_Actuals!$A$2:$A$5000,$A25,Data_Actuals!$B$2:$B$5000,$B$2),"")</f>
        <v/>
      </c>
      <c r="U25" s="42">
        <f>IF($D25="Actual",SUMIFS(Data_Actuals!$F$2:$F$5000,Data_Actuals!$A$2:$A$5000,$A25,Data_Actuals!$B$2:$B$5000,$B$2),"")</f>
        <v/>
      </c>
      <c r="V25" s="42">
        <f>IF($D25="Actual",SUMIFS(Data_Actuals!$G$2:$G$5000,Data_Actuals!$A$2:$A$5000,$A25,Data_Actuals!$B$2:$B$5000,$B$2),"")</f>
        <v/>
      </c>
      <c r="W25" s="42">
        <f>SUMIFS(Plan_Inputs!$C$2:$C$5000,Plan_Inputs!$A$2:$A$5000,$A25,Plan_Inputs!$B$2:$B$5000,$B$2)</f>
        <v/>
      </c>
      <c r="X25" s="43">
        <f>SUMIFS(Plan_Inputs!$D$2:$D$5000,Plan_Inputs!$A$2:$A$5000,$A25,Plan_Inputs!$B$2:$B$5000,$B$2)</f>
        <v/>
      </c>
      <c r="Y25" s="42">
        <f>E25</f>
        <v/>
      </c>
      <c r="Z25" s="44">
        <f>INDEX(Calendar!$H$5:$L$52,MATCH($A25,Calendar!$A$5:$A$52,0),MATCH($D$2,Calendar!$H$4:$L$4,0))</f>
        <v/>
      </c>
      <c r="AA25" s="44">
        <f>INDEX(Calendar!$M$5:$M$52,MATCH($A25,Calendar!$A$5:$A$52,0))</f>
        <v/>
      </c>
      <c r="AB25" s="45">
        <f>IF($D25="Actual",IFERROR(S25/Y25,""),"")</f>
        <v/>
      </c>
      <c r="AC25" s="46">
        <f>IF($D25="Actual",IFERROR(U25/T25/Z25/AA25,""),"")</f>
        <v/>
      </c>
      <c r="AD25" s="43">
        <f>IF($D25="Actual",IFERROR(V25/(U25+V25),""),"")</f>
        <v/>
      </c>
      <c r="AE25" s="46">
        <f>IFERROR(AC25*Z25*AA25,"")</f>
        <v/>
      </c>
      <c r="AF25" s="47" t="n"/>
      <c r="AG25" s="43">
        <f>IF($D25="Forecast",IFERROR(K25/AF25-1,""),"")</f>
        <v/>
      </c>
    </row>
    <row r="26">
      <c r="A26" s="31" t="n">
        <v>45992</v>
      </c>
      <c r="B26" s="32">
        <f>YEAR(A26)</f>
        <v/>
      </c>
      <c r="C26" s="32">
        <f>MONTH(A26)</f>
        <v/>
      </c>
      <c r="D26" s="33">
        <f>IF(A26&lt;=LastActual,"Actual","Forecast")</f>
        <v/>
      </c>
      <c r="E26" s="34">
        <f>IF($D26="Actual",R26,W26)</f>
        <v/>
      </c>
      <c r="F26" s="35">
        <f>IF($D26="Actual",S26,Cases_Forecast!AL19)</f>
        <v/>
      </c>
      <c r="G26" s="36">
        <f>IF($D26="Actual",T26,IFERROR(H26/AE26,0))</f>
        <v/>
      </c>
      <c r="H26" s="34">
        <f>IF($D26="Actual",U26,J26-I26)</f>
        <v/>
      </c>
      <c r="I26" s="34">
        <f>IF($D26="Actual",V26,IFERROR(J26*AD26,0))</f>
        <v/>
      </c>
      <c r="J26" s="34">
        <f>IF($D26="Actual",U26+V26,E26*X26)</f>
        <v/>
      </c>
      <c r="K26" s="37">
        <f>IFERROR(F26/G26,0)</f>
        <v/>
      </c>
      <c r="L26" s="38">
        <f>IFERROR(H26/G26,0)</f>
        <v/>
      </c>
      <c r="M26" s="39">
        <f>IFERROR(J26/F26,0)</f>
        <v/>
      </c>
      <c r="N26" s="40">
        <f>IFERROR(J26/E26,0)</f>
        <v/>
      </c>
      <c r="O26" s="40">
        <f>IFERROR(I26/J26,0)</f>
        <v/>
      </c>
      <c r="R26" s="42">
        <f>IF($D26="Actual",SUMIFS(Data_Actuals!$C$2:$C$5000,Data_Actuals!$A$2:$A$5000,$A26,Data_Actuals!$B$2:$B$5000,$B$2),"")</f>
        <v/>
      </c>
      <c r="S26" s="42">
        <f>IF($D26="Actual",SUMIFS(Data_Actuals!$D$2:$D$5000,Data_Actuals!$A$2:$A$5000,$A26,Data_Actuals!$B$2:$B$5000,$B$2),"")</f>
        <v/>
      </c>
      <c r="T26" s="42">
        <f>IF($D26="Actual",SUMIFS(Data_Actuals!$E$2:$E$5000,Data_Actuals!$A$2:$A$5000,$A26,Data_Actuals!$B$2:$B$5000,$B$2),"")</f>
        <v/>
      </c>
      <c r="U26" s="42">
        <f>IF($D26="Actual",SUMIFS(Data_Actuals!$F$2:$F$5000,Data_Actuals!$A$2:$A$5000,$A26,Data_Actuals!$B$2:$B$5000,$B$2),"")</f>
        <v/>
      </c>
      <c r="V26" s="42">
        <f>IF($D26="Actual",SUMIFS(Data_Actuals!$G$2:$G$5000,Data_Actuals!$A$2:$A$5000,$A26,Data_Actuals!$B$2:$B$5000,$B$2),"")</f>
        <v/>
      </c>
      <c r="W26" s="42">
        <f>SUMIFS(Plan_Inputs!$C$2:$C$5000,Plan_Inputs!$A$2:$A$5000,$A26,Plan_Inputs!$B$2:$B$5000,$B$2)</f>
        <v/>
      </c>
      <c r="X26" s="43">
        <f>SUMIFS(Plan_Inputs!$D$2:$D$5000,Plan_Inputs!$A$2:$A$5000,$A26,Plan_Inputs!$B$2:$B$5000,$B$2)</f>
        <v/>
      </c>
      <c r="Y26" s="42">
        <f>E26</f>
        <v/>
      </c>
      <c r="Z26" s="44">
        <f>INDEX(Calendar!$H$5:$L$52,MATCH($A26,Calendar!$A$5:$A$52,0),MATCH($D$2,Calendar!$H$4:$L$4,0))</f>
        <v/>
      </c>
      <c r="AA26" s="44">
        <f>INDEX(Calendar!$M$5:$M$52,MATCH($A26,Calendar!$A$5:$A$52,0))</f>
        <v/>
      </c>
      <c r="AB26" s="45">
        <f>IF($D26="Actual",IFERROR(S26/Y26,""),"")</f>
        <v/>
      </c>
      <c r="AC26" s="46">
        <f>IF($D26="Actual",IFERROR(U26/T26/Z26/AA26,""),"")</f>
        <v/>
      </c>
      <c r="AD26" s="43">
        <f>IF($D26="Actual",IFERROR(V26/(U26+V26),""),"")</f>
        <v/>
      </c>
      <c r="AE26" s="46">
        <f>IFERROR(AC26*Z26*AA26,"")</f>
        <v/>
      </c>
      <c r="AF26" s="47" t="n"/>
      <c r="AG26" s="43">
        <f>IF($D26="Forecast",IFERROR(K26/AF26-1,""),"")</f>
        <v/>
      </c>
    </row>
    <row r="27">
      <c r="A27" s="8" t="n">
        <v>46023</v>
      </c>
      <c r="B27" s="26">
        <f>YEAR(A27)</f>
        <v/>
      </c>
      <c r="C27" s="26">
        <f>MONTH(A27)</f>
        <v/>
      </c>
      <c r="D27">
        <f>IF(A27&lt;=LastActual,"Actual","Forecast")</f>
        <v/>
      </c>
      <c r="E27" s="24">
        <f>IF($D27="Actual",R27,W27)</f>
        <v/>
      </c>
      <c r="F27" s="27">
        <f>IF($D27="Actual",S27,Cases_Forecast!AL20)</f>
        <v/>
      </c>
      <c r="G27" s="9">
        <f>IF($D27="Actual",T27,IFERROR(H27/AE27,0))</f>
        <v/>
      </c>
      <c r="H27" s="24">
        <f>IF($D27="Actual",U27,J27-I27)</f>
        <v/>
      </c>
      <c r="I27" s="24">
        <f>IF($D27="Actual",V27,IFERROR(J27*AD27,0))</f>
        <v/>
      </c>
      <c r="J27" s="24">
        <f>IF($D27="Actual",U27+V27,E27*X27)</f>
        <v/>
      </c>
      <c r="K27" s="28">
        <f>IFERROR(F27/G27,0)</f>
        <v/>
      </c>
      <c r="L27" s="29">
        <f>IFERROR(H27/G27,0)</f>
        <v/>
      </c>
      <c r="M27" s="30">
        <f>IFERROR(J27/F27,0)</f>
        <v/>
      </c>
      <c r="N27" s="10">
        <f>IFERROR(J27/E27,0)</f>
        <v/>
      </c>
      <c r="O27" s="10">
        <f>IFERROR(I27/J27,0)</f>
        <v/>
      </c>
      <c r="R27" s="42">
        <f>IF($D27="Actual",SUMIFS(Data_Actuals!$C$2:$C$5000,Data_Actuals!$A$2:$A$5000,$A27,Data_Actuals!$B$2:$B$5000,$B$2),"")</f>
        <v/>
      </c>
      <c r="S27" s="42">
        <f>IF($D27="Actual",SUMIFS(Data_Actuals!$D$2:$D$5000,Data_Actuals!$A$2:$A$5000,$A27,Data_Actuals!$B$2:$B$5000,$B$2),"")</f>
        <v/>
      </c>
      <c r="T27" s="42">
        <f>IF($D27="Actual",SUMIFS(Data_Actuals!$E$2:$E$5000,Data_Actuals!$A$2:$A$5000,$A27,Data_Actuals!$B$2:$B$5000,$B$2),"")</f>
        <v/>
      </c>
      <c r="U27" s="42">
        <f>IF($D27="Actual",SUMIFS(Data_Actuals!$F$2:$F$5000,Data_Actuals!$A$2:$A$5000,$A27,Data_Actuals!$B$2:$B$5000,$B$2),"")</f>
        <v/>
      </c>
      <c r="V27" s="42">
        <f>IF($D27="Actual",SUMIFS(Data_Actuals!$G$2:$G$5000,Data_Actuals!$A$2:$A$5000,$A27,Data_Actuals!$B$2:$B$5000,$B$2),"")</f>
        <v/>
      </c>
      <c r="W27" s="42">
        <f>SUMIFS(Plan_Inputs!$C$2:$C$5000,Plan_Inputs!$A$2:$A$5000,$A27,Plan_Inputs!$B$2:$B$5000,$B$2)</f>
        <v/>
      </c>
      <c r="X27" s="43">
        <f>SUMIFS(Plan_Inputs!$D$2:$D$5000,Plan_Inputs!$A$2:$A$5000,$A27,Plan_Inputs!$B$2:$B$5000,$B$2)</f>
        <v/>
      </c>
      <c r="Y27" s="42">
        <f>E27</f>
        <v/>
      </c>
      <c r="Z27" s="44">
        <f>INDEX(Calendar!$H$5:$L$52,MATCH($A27,Calendar!$A$5:$A$52,0),MATCH($D$2,Calendar!$H$4:$L$4,0))</f>
        <v/>
      </c>
      <c r="AA27" s="44">
        <f>INDEX(Calendar!$M$5:$M$52,MATCH($A27,Calendar!$A$5:$A$52,0))</f>
        <v/>
      </c>
      <c r="AB27" s="45">
        <f>IF($D27="Actual",IFERROR(S27/Y27,""),AB15)</f>
        <v/>
      </c>
      <c r="AC27" s="46">
        <f>IF($D27="Actual",IFERROR(U27/T27/Z27/AA27,""),AC15)</f>
        <v/>
      </c>
      <c r="AD27" s="43">
        <f>IF($D27="Actual",IFERROR(V27/(U27+V27),""),AD15)</f>
        <v/>
      </c>
      <c r="AE27" s="46">
        <f>IFERROR(AC27*Z27*AA27,"")</f>
        <v/>
      </c>
      <c r="AF27" s="47">
        <f>K15</f>
        <v/>
      </c>
      <c r="AG27" s="43">
        <f>IF($D27="Forecast",IFERROR(K27/AF27-1,""),"")</f>
        <v/>
      </c>
    </row>
    <row r="28">
      <c r="A28" s="8" t="n">
        <v>46054</v>
      </c>
      <c r="B28" s="26">
        <f>YEAR(A28)</f>
        <v/>
      </c>
      <c r="C28" s="26">
        <f>MONTH(A28)</f>
        <v/>
      </c>
      <c r="D28">
        <f>IF(A28&lt;=LastActual,"Actual","Forecast")</f>
        <v/>
      </c>
      <c r="E28" s="24">
        <f>IF($D28="Actual",R28,W28)</f>
        <v/>
      </c>
      <c r="F28" s="27">
        <f>IF($D28="Actual",S28,Cases_Forecast!AL21)</f>
        <v/>
      </c>
      <c r="G28" s="9">
        <f>IF($D28="Actual",T28,IFERROR(H28/AE28,0))</f>
        <v/>
      </c>
      <c r="H28" s="24">
        <f>IF($D28="Actual",U28,J28-I28)</f>
        <v/>
      </c>
      <c r="I28" s="24">
        <f>IF($D28="Actual",V28,IFERROR(J28*AD28,0))</f>
        <v/>
      </c>
      <c r="J28" s="24">
        <f>IF($D28="Actual",U28+V28,E28*X28)</f>
        <v/>
      </c>
      <c r="K28" s="28">
        <f>IFERROR(F28/G28,0)</f>
        <v/>
      </c>
      <c r="L28" s="29">
        <f>IFERROR(H28/G28,0)</f>
        <v/>
      </c>
      <c r="M28" s="30">
        <f>IFERROR(J28/F28,0)</f>
        <v/>
      </c>
      <c r="N28" s="10">
        <f>IFERROR(J28/E28,0)</f>
        <v/>
      </c>
      <c r="O28" s="10">
        <f>IFERROR(I28/J28,0)</f>
        <v/>
      </c>
      <c r="R28" s="42">
        <f>IF($D28="Actual",SUMIFS(Data_Actuals!$C$2:$C$5000,Data_Actuals!$A$2:$A$5000,$A28,Data_Actuals!$B$2:$B$5000,$B$2),"")</f>
        <v/>
      </c>
      <c r="S28" s="42">
        <f>IF($D28="Actual",SUMIFS(Data_Actuals!$D$2:$D$5000,Data_Actuals!$A$2:$A$5000,$A28,Data_Actuals!$B$2:$B$5000,$B$2),"")</f>
        <v/>
      </c>
      <c r="T28" s="42">
        <f>IF($D28="Actual",SUMIFS(Data_Actuals!$E$2:$E$5000,Data_Actuals!$A$2:$A$5000,$A28,Data_Actuals!$B$2:$B$5000,$B$2),"")</f>
        <v/>
      </c>
      <c r="U28" s="42">
        <f>IF($D28="Actual",SUMIFS(Data_Actuals!$F$2:$F$5000,Data_Actuals!$A$2:$A$5000,$A28,Data_Actuals!$B$2:$B$5000,$B$2),"")</f>
        <v/>
      </c>
      <c r="V28" s="42">
        <f>IF($D28="Actual",SUMIFS(Data_Actuals!$G$2:$G$5000,Data_Actuals!$A$2:$A$5000,$A28,Data_Actuals!$B$2:$B$5000,$B$2),"")</f>
        <v/>
      </c>
      <c r="W28" s="42">
        <f>SUMIFS(Plan_Inputs!$C$2:$C$5000,Plan_Inputs!$A$2:$A$5000,$A28,Plan_Inputs!$B$2:$B$5000,$B$2)</f>
        <v/>
      </c>
      <c r="X28" s="43">
        <f>SUMIFS(Plan_Inputs!$D$2:$D$5000,Plan_Inputs!$A$2:$A$5000,$A28,Plan_Inputs!$B$2:$B$5000,$B$2)</f>
        <v/>
      </c>
      <c r="Y28" s="42">
        <f>E28</f>
        <v/>
      </c>
      <c r="Z28" s="44">
        <f>INDEX(Calendar!$H$5:$L$52,MATCH($A28,Calendar!$A$5:$A$52,0),MATCH($D$2,Calendar!$H$4:$L$4,0))</f>
        <v/>
      </c>
      <c r="AA28" s="44">
        <f>INDEX(Calendar!$M$5:$M$52,MATCH($A28,Calendar!$A$5:$A$52,0))</f>
        <v/>
      </c>
      <c r="AB28" s="45">
        <f>IF($D28="Actual",IFERROR(S28/Y28,""),AB16)</f>
        <v/>
      </c>
      <c r="AC28" s="46">
        <f>IF($D28="Actual",IFERROR(U28/T28/Z28/AA28,""),AC16)</f>
        <v/>
      </c>
      <c r="AD28" s="43">
        <f>IF($D28="Actual",IFERROR(V28/(U28+V28),""),AD16)</f>
        <v/>
      </c>
      <c r="AE28" s="46">
        <f>IFERROR(AC28*Z28*AA28,"")</f>
        <v/>
      </c>
      <c r="AF28" s="47">
        <f>K16</f>
        <v/>
      </c>
      <c r="AG28" s="43">
        <f>IF($D28="Forecast",IFERROR(K28/AF28-1,""),"")</f>
        <v/>
      </c>
    </row>
    <row r="29">
      <c r="A29" s="8" t="n">
        <v>46082</v>
      </c>
      <c r="B29" s="26">
        <f>YEAR(A29)</f>
        <v/>
      </c>
      <c r="C29" s="26">
        <f>MONTH(A29)</f>
        <v/>
      </c>
      <c r="D29">
        <f>IF(A29&lt;=LastActual,"Actual","Forecast")</f>
        <v/>
      </c>
      <c r="E29" s="24">
        <f>IF($D29="Actual",R29,W29)</f>
        <v/>
      </c>
      <c r="F29" s="27">
        <f>IF($D29="Actual",S29,Cases_Forecast!AL22)</f>
        <v/>
      </c>
      <c r="G29" s="9">
        <f>IF($D29="Actual",T29,IFERROR(H29/AE29,0))</f>
        <v/>
      </c>
      <c r="H29" s="24">
        <f>IF($D29="Actual",U29,J29-I29)</f>
        <v/>
      </c>
      <c r="I29" s="24">
        <f>IF($D29="Actual",V29,IFERROR(J29*AD29,0))</f>
        <v/>
      </c>
      <c r="J29" s="24">
        <f>IF($D29="Actual",U29+V29,E29*X29)</f>
        <v/>
      </c>
      <c r="K29" s="28">
        <f>IFERROR(F29/G29,0)</f>
        <v/>
      </c>
      <c r="L29" s="29">
        <f>IFERROR(H29/G29,0)</f>
        <v/>
      </c>
      <c r="M29" s="30">
        <f>IFERROR(J29/F29,0)</f>
        <v/>
      </c>
      <c r="N29" s="10">
        <f>IFERROR(J29/E29,0)</f>
        <v/>
      </c>
      <c r="O29" s="10">
        <f>IFERROR(I29/J29,0)</f>
        <v/>
      </c>
      <c r="R29" s="42">
        <f>IF($D29="Actual",SUMIFS(Data_Actuals!$C$2:$C$5000,Data_Actuals!$A$2:$A$5000,$A29,Data_Actuals!$B$2:$B$5000,$B$2),"")</f>
        <v/>
      </c>
      <c r="S29" s="42">
        <f>IF($D29="Actual",SUMIFS(Data_Actuals!$D$2:$D$5000,Data_Actuals!$A$2:$A$5000,$A29,Data_Actuals!$B$2:$B$5000,$B$2),"")</f>
        <v/>
      </c>
      <c r="T29" s="42">
        <f>IF($D29="Actual",SUMIFS(Data_Actuals!$E$2:$E$5000,Data_Actuals!$A$2:$A$5000,$A29,Data_Actuals!$B$2:$B$5000,$B$2),"")</f>
        <v/>
      </c>
      <c r="U29" s="42">
        <f>IF($D29="Actual",SUMIFS(Data_Actuals!$F$2:$F$5000,Data_Actuals!$A$2:$A$5000,$A29,Data_Actuals!$B$2:$B$5000,$B$2),"")</f>
        <v/>
      </c>
      <c r="V29" s="42">
        <f>IF($D29="Actual",SUMIFS(Data_Actuals!$G$2:$G$5000,Data_Actuals!$A$2:$A$5000,$A29,Data_Actuals!$B$2:$B$5000,$B$2),"")</f>
        <v/>
      </c>
      <c r="W29" s="42">
        <f>SUMIFS(Plan_Inputs!$C$2:$C$5000,Plan_Inputs!$A$2:$A$5000,$A29,Plan_Inputs!$B$2:$B$5000,$B$2)</f>
        <v/>
      </c>
      <c r="X29" s="43">
        <f>SUMIFS(Plan_Inputs!$D$2:$D$5000,Plan_Inputs!$A$2:$A$5000,$A29,Plan_Inputs!$B$2:$B$5000,$B$2)</f>
        <v/>
      </c>
      <c r="Y29" s="42">
        <f>E29</f>
        <v/>
      </c>
      <c r="Z29" s="44">
        <f>INDEX(Calendar!$H$5:$L$52,MATCH($A29,Calendar!$A$5:$A$52,0),MATCH($D$2,Calendar!$H$4:$L$4,0))</f>
        <v/>
      </c>
      <c r="AA29" s="44">
        <f>INDEX(Calendar!$M$5:$M$52,MATCH($A29,Calendar!$A$5:$A$52,0))</f>
        <v/>
      </c>
      <c r="AB29" s="45">
        <f>IF($D29="Actual",IFERROR(S29/Y29,""),AB17)</f>
        <v/>
      </c>
      <c r="AC29" s="46">
        <f>IF($D29="Actual",IFERROR(U29/T29/Z29/AA29,""),AC17)</f>
        <v/>
      </c>
      <c r="AD29" s="43">
        <f>IF($D29="Actual",IFERROR(V29/(U29+V29),""),AD17)</f>
        <v/>
      </c>
      <c r="AE29" s="46">
        <f>IFERROR(AC29*Z29*AA29,"")</f>
        <v/>
      </c>
      <c r="AF29" s="47">
        <f>K17</f>
        <v/>
      </c>
      <c r="AG29" s="43">
        <f>IF($D29="Forecast",IFERROR(K29/AF29-1,""),"")</f>
        <v/>
      </c>
    </row>
    <row r="30">
      <c r="A30" s="8" t="n">
        <v>46113</v>
      </c>
      <c r="B30" s="26">
        <f>YEAR(A30)</f>
        <v/>
      </c>
      <c r="C30" s="26">
        <f>MONTH(A30)</f>
        <v/>
      </c>
      <c r="D30">
        <f>IF(A30&lt;=LastActual,"Actual","Forecast")</f>
        <v/>
      </c>
      <c r="E30" s="24">
        <f>IF($D30="Actual",R30,W30)</f>
        <v/>
      </c>
      <c r="F30" s="27">
        <f>IF($D30="Actual",S30,Cases_Forecast!AL23)</f>
        <v/>
      </c>
      <c r="G30" s="9">
        <f>IF($D30="Actual",T30,IFERROR(H30/AE30,0))</f>
        <v/>
      </c>
      <c r="H30" s="24">
        <f>IF($D30="Actual",U30,J30-I30)</f>
        <v/>
      </c>
      <c r="I30" s="24">
        <f>IF($D30="Actual",V30,IFERROR(J30*AD30,0))</f>
        <v/>
      </c>
      <c r="J30" s="24">
        <f>IF($D30="Actual",U30+V30,E30*X30)</f>
        <v/>
      </c>
      <c r="K30" s="28">
        <f>IFERROR(F30/G30,0)</f>
        <v/>
      </c>
      <c r="L30" s="29">
        <f>IFERROR(H30/G30,0)</f>
        <v/>
      </c>
      <c r="M30" s="30">
        <f>IFERROR(J30/F30,0)</f>
        <v/>
      </c>
      <c r="N30" s="10">
        <f>IFERROR(J30/E30,0)</f>
        <v/>
      </c>
      <c r="O30" s="10">
        <f>IFERROR(I30/J30,0)</f>
        <v/>
      </c>
      <c r="R30" s="42">
        <f>IF($D30="Actual",SUMIFS(Data_Actuals!$C$2:$C$5000,Data_Actuals!$A$2:$A$5000,$A30,Data_Actuals!$B$2:$B$5000,$B$2),"")</f>
        <v/>
      </c>
      <c r="S30" s="42">
        <f>IF($D30="Actual",SUMIFS(Data_Actuals!$D$2:$D$5000,Data_Actuals!$A$2:$A$5000,$A30,Data_Actuals!$B$2:$B$5000,$B$2),"")</f>
        <v/>
      </c>
      <c r="T30" s="42">
        <f>IF($D30="Actual",SUMIFS(Data_Actuals!$E$2:$E$5000,Data_Actuals!$A$2:$A$5000,$A30,Data_Actuals!$B$2:$B$5000,$B$2),"")</f>
        <v/>
      </c>
      <c r="U30" s="42">
        <f>IF($D30="Actual",SUMIFS(Data_Actuals!$F$2:$F$5000,Data_Actuals!$A$2:$A$5000,$A30,Data_Actuals!$B$2:$B$5000,$B$2),"")</f>
        <v/>
      </c>
      <c r="V30" s="42">
        <f>IF($D30="Actual",SUMIFS(Data_Actuals!$G$2:$G$5000,Data_Actuals!$A$2:$A$5000,$A30,Data_Actuals!$B$2:$B$5000,$B$2),"")</f>
        <v/>
      </c>
      <c r="W30" s="42">
        <f>SUMIFS(Plan_Inputs!$C$2:$C$5000,Plan_Inputs!$A$2:$A$5000,$A30,Plan_Inputs!$B$2:$B$5000,$B$2)</f>
        <v/>
      </c>
      <c r="X30" s="43">
        <f>SUMIFS(Plan_Inputs!$D$2:$D$5000,Plan_Inputs!$A$2:$A$5000,$A30,Plan_Inputs!$B$2:$B$5000,$B$2)</f>
        <v/>
      </c>
      <c r="Y30" s="42">
        <f>E30</f>
        <v/>
      </c>
      <c r="Z30" s="44">
        <f>INDEX(Calendar!$H$5:$L$52,MATCH($A30,Calendar!$A$5:$A$52,0),MATCH($D$2,Calendar!$H$4:$L$4,0))</f>
        <v/>
      </c>
      <c r="AA30" s="44">
        <f>INDEX(Calendar!$M$5:$M$52,MATCH($A30,Calendar!$A$5:$A$52,0))</f>
        <v/>
      </c>
      <c r="AB30" s="45">
        <f>IF($D30="Actual",IFERROR(S30/Y30,""),AB18)</f>
        <v/>
      </c>
      <c r="AC30" s="46">
        <f>IF($D30="Actual",IFERROR(U30/T30/Z30/AA30,""),AC18)</f>
        <v/>
      </c>
      <c r="AD30" s="43">
        <f>IF($D30="Actual",IFERROR(V30/(U30+V30),""),AD18)</f>
        <v/>
      </c>
      <c r="AE30" s="46">
        <f>IFERROR(AC30*Z30*AA30,"")</f>
        <v/>
      </c>
      <c r="AF30" s="47">
        <f>K18</f>
        <v/>
      </c>
      <c r="AG30" s="43">
        <f>IF($D30="Forecast",IFERROR(K30/AF30-1,""),"")</f>
        <v/>
      </c>
    </row>
    <row r="31">
      <c r="A31" s="8" t="n">
        <v>46143</v>
      </c>
      <c r="B31" s="26">
        <f>YEAR(A31)</f>
        <v/>
      </c>
      <c r="C31" s="26">
        <f>MONTH(A31)</f>
        <v/>
      </c>
      <c r="D31">
        <f>IF(A31&lt;=LastActual,"Actual","Forecast")</f>
        <v/>
      </c>
      <c r="E31" s="24">
        <f>IF($D31="Actual",R31,W31)</f>
        <v/>
      </c>
      <c r="F31" s="27">
        <f>IF($D31="Actual",S31,Cases_Forecast!AL24)</f>
        <v/>
      </c>
      <c r="G31" s="9">
        <f>IF($D31="Actual",T31,IFERROR(H31/AE31,0))</f>
        <v/>
      </c>
      <c r="H31" s="24">
        <f>IF($D31="Actual",U31,J31-I31)</f>
        <v/>
      </c>
      <c r="I31" s="24">
        <f>IF($D31="Actual",V31,IFERROR(J31*AD31,0))</f>
        <v/>
      </c>
      <c r="J31" s="24">
        <f>IF($D31="Actual",U31+V31,E31*X31)</f>
        <v/>
      </c>
      <c r="K31" s="28">
        <f>IFERROR(F31/G31,0)</f>
        <v/>
      </c>
      <c r="L31" s="29">
        <f>IFERROR(H31/G31,0)</f>
        <v/>
      </c>
      <c r="M31" s="30">
        <f>IFERROR(J31/F31,0)</f>
        <v/>
      </c>
      <c r="N31" s="10">
        <f>IFERROR(J31/E31,0)</f>
        <v/>
      </c>
      <c r="O31" s="10">
        <f>IFERROR(I31/J31,0)</f>
        <v/>
      </c>
      <c r="R31" s="42">
        <f>IF($D31="Actual",SUMIFS(Data_Actuals!$C$2:$C$5000,Data_Actuals!$A$2:$A$5000,$A31,Data_Actuals!$B$2:$B$5000,$B$2),"")</f>
        <v/>
      </c>
      <c r="S31" s="42">
        <f>IF($D31="Actual",SUMIFS(Data_Actuals!$D$2:$D$5000,Data_Actuals!$A$2:$A$5000,$A31,Data_Actuals!$B$2:$B$5000,$B$2),"")</f>
        <v/>
      </c>
      <c r="T31" s="42">
        <f>IF($D31="Actual",SUMIFS(Data_Actuals!$E$2:$E$5000,Data_Actuals!$A$2:$A$5000,$A31,Data_Actuals!$B$2:$B$5000,$B$2),"")</f>
        <v/>
      </c>
      <c r="U31" s="42">
        <f>IF($D31="Actual",SUMIFS(Data_Actuals!$F$2:$F$5000,Data_Actuals!$A$2:$A$5000,$A31,Data_Actuals!$B$2:$B$5000,$B$2),"")</f>
        <v/>
      </c>
      <c r="V31" s="42">
        <f>IF($D31="Actual",SUMIFS(Data_Actuals!$G$2:$G$5000,Data_Actuals!$A$2:$A$5000,$A31,Data_Actuals!$B$2:$B$5000,$B$2),"")</f>
        <v/>
      </c>
      <c r="W31" s="42">
        <f>SUMIFS(Plan_Inputs!$C$2:$C$5000,Plan_Inputs!$A$2:$A$5000,$A31,Plan_Inputs!$B$2:$B$5000,$B$2)</f>
        <v/>
      </c>
      <c r="X31" s="43">
        <f>SUMIFS(Plan_Inputs!$D$2:$D$5000,Plan_Inputs!$A$2:$A$5000,$A31,Plan_Inputs!$B$2:$B$5000,$B$2)</f>
        <v/>
      </c>
      <c r="Y31" s="42">
        <f>E31</f>
        <v/>
      </c>
      <c r="Z31" s="44">
        <f>INDEX(Calendar!$H$5:$L$52,MATCH($A31,Calendar!$A$5:$A$52,0),MATCH($D$2,Calendar!$H$4:$L$4,0))</f>
        <v/>
      </c>
      <c r="AA31" s="44">
        <f>INDEX(Calendar!$M$5:$M$52,MATCH($A31,Calendar!$A$5:$A$52,0))</f>
        <v/>
      </c>
      <c r="AB31" s="45">
        <f>IF($D31="Actual",IFERROR(S31/Y31,""),AB19)</f>
        <v/>
      </c>
      <c r="AC31" s="46">
        <f>IF($D31="Actual",IFERROR(U31/T31/Z31/AA31,""),AC19)</f>
        <v/>
      </c>
      <c r="AD31" s="43">
        <f>IF($D31="Actual",IFERROR(V31/(U31+V31),""),AD19)</f>
        <v/>
      </c>
      <c r="AE31" s="46">
        <f>IFERROR(AC31*Z31*AA31,"")</f>
        <v/>
      </c>
      <c r="AF31" s="47">
        <f>K19</f>
        <v/>
      </c>
      <c r="AG31" s="43">
        <f>IF($D31="Forecast",IFERROR(K31/AF31-1,""),"")</f>
        <v/>
      </c>
    </row>
    <row r="32">
      <c r="A32" s="8" t="n">
        <v>46174</v>
      </c>
      <c r="B32" s="26">
        <f>YEAR(A32)</f>
        <v/>
      </c>
      <c r="C32" s="26">
        <f>MONTH(A32)</f>
        <v/>
      </c>
      <c r="D32">
        <f>IF(A32&lt;=LastActual,"Actual","Forecast")</f>
        <v/>
      </c>
      <c r="E32" s="24">
        <f>IF($D32="Actual",R32,W32)</f>
        <v/>
      </c>
      <c r="F32" s="27">
        <f>IF($D32="Actual",S32,Cases_Forecast!AL25)</f>
        <v/>
      </c>
      <c r="G32" s="9">
        <f>IF($D32="Actual",T32,IFERROR(H32/AE32,0))</f>
        <v/>
      </c>
      <c r="H32" s="24">
        <f>IF($D32="Actual",U32,J32-I32)</f>
        <v/>
      </c>
      <c r="I32" s="24">
        <f>IF($D32="Actual",V32,IFERROR(J32*AD32,0))</f>
        <v/>
      </c>
      <c r="J32" s="24">
        <f>IF($D32="Actual",U32+V32,E32*X32)</f>
        <v/>
      </c>
      <c r="K32" s="28">
        <f>IFERROR(F32/G32,0)</f>
        <v/>
      </c>
      <c r="L32" s="29">
        <f>IFERROR(H32/G32,0)</f>
        <v/>
      </c>
      <c r="M32" s="30">
        <f>IFERROR(J32/F32,0)</f>
        <v/>
      </c>
      <c r="N32" s="10">
        <f>IFERROR(J32/E32,0)</f>
        <v/>
      </c>
      <c r="O32" s="10">
        <f>IFERROR(I32/J32,0)</f>
        <v/>
      </c>
      <c r="R32" s="42">
        <f>IF($D32="Actual",SUMIFS(Data_Actuals!$C$2:$C$5000,Data_Actuals!$A$2:$A$5000,$A32,Data_Actuals!$B$2:$B$5000,$B$2),"")</f>
        <v/>
      </c>
      <c r="S32" s="42">
        <f>IF($D32="Actual",SUMIFS(Data_Actuals!$D$2:$D$5000,Data_Actuals!$A$2:$A$5000,$A32,Data_Actuals!$B$2:$B$5000,$B$2),"")</f>
        <v/>
      </c>
      <c r="T32" s="42">
        <f>IF($D32="Actual",SUMIFS(Data_Actuals!$E$2:$E$5000,Data_Actuals!$A$2:$A$5000,$A32,Data_Actuals!$B$2:$B$5000,$B$2),"")</f>
        <v/>
      </c>
      <c r="U32" s="42">
        <f>IF($D32="Actual",SUMIFS(Data_Actuals!$F$2:$F$5000,Data_Actuals!$A$2:$A$5000,$A32,Data_Actuals!$B$2:$B$5000,$B$2),"")</f>
        <v/>
      </c>
      <c r="V32" s="42">
        <f>IF($D32="Actual",SUMIFS(Data_Actuals!$G$2:$G$5000,Data_Actuals!$A$2:$A$5000,$A32,Data_Actuals!$B$2:$B$5000,$B$2),"")</f>
        <v/>
      </c>
      <c r="W32" s="42">
        <f>SUMIFS(Plan_Inputs!$C$2:$C$5000,Plan_Inputs!$A$2:$A$5000,$A32,Plan_Inputs!$B$2:$B$5000,$B$2)</f>
        <v/>
      </c>
      <c r="X32" s="43">
        <f>SUMIFS(Plan_Inputs!$D$2:$D$5000,Plan_Inputs!$A$2:$A$5000,$A32,Plan_Inputs!$B$2:$B$5000,$B$2)</f>
        <v/>
      </c>
      <c r="Y32" s="42">
        <f>E32</f>
        <v/>
      </c>
      <c r="Z32" s="44">
        <f>INDEX(Calendar!$H$5:$L$52,MATCH($A32,Calendar!$A$5:$A$52,0),MATCH($D$2,Calendar!$H$4:$L$4,0))</f>
        <v/>
      </c>
      <c r="AA32" s="44">
        <f>INDEX(Calendar!$M$5:$M$52,MATCH($A32,Calendar!$A$5:$A$52,0))</f>
        <v/>
      </c>
      <c r="AB32" s="45">
        <f>IF($D32="Actual",IFERROR(S32/Y32,""),AB20)</f>
        <v/>
      </c>
      <c r="AC32" s="46">
        <f>IF($D32="Actual",IFERROR(U32/T32/Z32/AA32,""),AC20)</f>
        <v/>
      </c>
      <c r="AD32" s="43">
        <f>IF($D32="Actual",IFERROR(V32/(U32+V32),""),AD20)</f>
        <v/>
      </c>
      <c r="AE32" s="46">
        <f>IFERROR(AC32*Z32*AA32,"")</f>
        <v/>
      </c>
      <c r="AF32" s="47">
        <f>K20</f>
        <v/>
      </c>
      <c r="AG32" s="43">
        <f>IF($D32="Forecast",IFERROR(K32/AF32-1,""),"")</f>
        <v/>
      </c>
    </row>
    <row r="33">
      <c r="A33" s="8" t="n">
        <v>46204</v>
      </c>
      <c r="B33" s="26">
        <f>YEAR(A33)</f>
        <v/>
      </c>
      <c r="C33" s="26">
        <f>MONTH(A33)</f>
        <v/>
      </c>
      <c r="D33">
        <f>IF(A33&lt;=LastActual,"Actual","Forecast")</f>
        <v/>
      </c>
      <c r="E33" s="24">
        <f>IF($D33="Actual",R33,W33)</f>
        <v/>
      </c>
      <c r="F33" s="27">
        <f>IF($D33="Actual",S33,Cases_Forecast!AL26)</f>
        <v/>
      </c>
      <c r="G33" s="9">
        <f>IF($D33="Actual",T33,IFERROR(H33/AE33,0))</f>
        <v/>
      </c>
      <c r="H33" s="24">
        <f>IF($D33="Actual",U33,J33-I33)</f>
        <v/>
      </c>
      <c r="I33" s="24">
        <f>IF($D33="Actual",V33,IFERROR(J33*AD33,0))</f>
        <v/>
      </c>
      <c r="J33" s="24">
        <f>IF($D33="Actual",U33+V33,E33*X33)</f>
        <v/>
      </c>
      <c r="K33" s="28">
        <f>IFERROR(F33/G33,0)</f>
        <v/>
      </c>
      <c r="L33" s="29">
        <f>IFERROR(H33/G33,0)</f>
        <v/>
      </c>
      <c r="M33" s="30">
        <f>IFERROR(J33/F33,0)</f>
        <v/>
      </c>
      <c r="N33" s="10">
        <f>IFERROR(J33/E33,0)</f>
        <v/>
      </c>
      <c r="O33" s="10">
        <f>IFERROR(I33/J33,0)</f>
        <v/>
      </c>
      <c r="R33" s="42">
        <f>IF($D33="Actual",SUMIFS(Data_Actuals!$C$2:$C$5000,Data_Actuals!$A$2:$A$5000,$A33,Data_Actuals!$B$2:$B$5000,$B$2),"")</f>
        <v/>
      </c>
      <c r="S33" s="42">
        <f>IF($D33="Actual",SUMIFS(Data_Actuals!$D$2:$D$5000,Data_Actuals!$A$2:$A$5000,$A33,Data_Actuals!$B$2:$B$5000,$B$2),"")</f>
        <v/>
      </c>
      <c r="T33" s="42">
        <f>IF($D33="Actual",SUMIFS(Data_Actuals!$E$2:$E$5000,Data_Actuals!$A$2:$A$5000,$A33,Data_Actuals!$B$2:$B$5000,$B$2),"")</f>
        <v/>
      </c>
      <c r="U33" s="42">
        <f>IF($D33="Actual",SUMIFS(Data_Actuals!$F$2:$F$5000,Data_Actuals!$A$2:$A$5000,$A33,Data_Actuals!$B$2:$B$5000,$B$2),"")</f>
        <v/>
      </c>
      <c r="V33" s="42">
        <f>IF($D33="Actual",SUMIFS(Data_Actuals!$G$2:$G$5000,Data_Actuals!$A$2:$A$5000,$A33,Data_Actuals!$B$2:$B$5000,$B$2),"")</f>
        <v/>
      </c>
      <c r="W33" s="42">
        <f>SUMIFS(Plan_Inputs!$C$2:$C$5000,Plan_Inputs!$A$2:$A$5000,$A33,Plan_Inputs!$B$2:$B$5000,$B$2)</f>
        <v/>
      </c>
      <c r="X33" s="43">
        <f>SUMIFS(Plan_Inputs!$D$2:$D$5000,Plan_Inputs!$A$2:$A$5000,$A33,Plan_Inputs!$B$2:$B$5000,$B$2)</f>
        <v/>
      </c>
      <c r="Y33" s="42">
        <f>E33</f>
        <v/>
      </c>
      <c r="Z33" s="44">
        <f>INDEX(Calendar!$H$5:$L$52,MATCH($A33,Calendar!$A$5:$A$52,0),MATCH($D$2,Calendar!$H$4:$L$4,0))</f>
        <v/>
      </c>
      <c r="AA33" s="44">
        <f>INDEX(Calendar!$M$5:$M$52,MATCH($A33,Calendar!$A$5:$A$52,0))</f>
        <v/>
      </c>
      <c r="AB33" s="45">
        <f>IF($D33="Actual",IFERROR(S33/Y33,""),AB21)</f>
        <v/>
      </c>
      <c r="AC33" s="46">
        <f>IF($D33="Actual",IFERROR(U33/T33/Z33/AA33,""),AC21)</f>
        <v/>
      </c>
      <c r="AD33" s="43">
        <f>IF($D33="Actual",IFERROR(V33/(U33+V33),""),AD21)</f>
        <v/>
      </c>
      <c r="AE33" s="46">
        <f>IFERROR(AC33*Z33*AA33,"")</f>
        <v/>
      </c>
      <c r="AF33" s="47">
        <f>K21</f>
        <v/>
      </c>
      <c r="AG33" s="43">
        <f>IF($D33="Forecast",IFERROR(K33/AF33-1,""),"")</f>
        <v/>
      </c>
    </row>
    <row r="34">
      <c r="A34" s="8" t="n">
        <v>46235</v>
      </c>
      <c r="B34" s="26">
        <f>YEAR(A34)</f>
        <v/>
      </c>
      <c r="C34" s="26">
        <f>MONTH(A34)</f>
        <v/>
      </c>
      <c r="D34">
        <f>IF(A34&lt;=LastActual,"Actual","Forecast")</f>
        <v/>
      </c>
      <c r="E34" s="24">
        <f>IF($D34="Actual",R34,W34)</f>
        <v/>
      </c>
      <c r="F34" s="27">
        <f>IF($D34="Actual",S34,Cases_Forecast!AL27)</f>
        <v/>
      </c>
      <c r="G34" s="9">
        <f>IF($D34="Actual",T34,IFERROR(H34/AE34,0))</f>
        <v/>
      </c>
      <c r="H34" s="24">
        <f>IF($D34="Actual",U34,J34-I34)</f>
        <v/>
      </c>
      <c r="I34" s="24">
        <f>IF($D34="Actual",V34,IFERROR(J34*AD34,0))</f>
        <v/>
      </c>
      <c r="J34" s="24">
        <f>IF($D34="Actual",U34+V34,E34*X34)</f>
        <v/>
      </c>
      <c r="K34" s="28">
        <f>IFERROR(F34/G34,0)</f>
        <v/>
      </c>
      <c r="L34" s="29">
        <f>IFERROR(H34/G34,0)</f>
        <v/>
      </c>
      <c r="M34" s="30">
        <f>IFERROR(J34/F34,0)</f>
        <v/>
      </c>
      <c r="N34" s="10">
        <f>IFERROR(J34/E34,0)</f>
        <v/>
      </c>
      <c r="O34" s="10">
        <f>IFERROR(I34/J34,0)</f>
        <v/>
      </c>
      <c r="R34" s="42">
        <f>IF($D34="Actual",SUMIFS(Data_Actuals!$C$2:$C$5000,Data_Actuals!$A$2:$A$5000,$A34,Data_Actuals!$B$2:$B$5000,$B$2),"")</f>
        <v/>
      </c>
      <c r="S34" s="42">
        <f>IF($D34="Actual",SUMIFS(Data_Actuals!$D$2:$D$5000,Data_Actuals!$A$2:$A$5000,$A34,Data_Actuals!$B$2:$B$5000,$B$2),"")</f>
        <v/>
      </c>
      <c r="T34" s="42">
        <f>IF($D34="Actual",SUMIFS(Data_Actuals!$E$2:$E$5000,Data_Actuals!$A$2:$A$5000,$A34,Data_Actuals!$B$2:$B$5000,$B$2),"")</f>
        <v/>
      </c>
      <c r="U34" s="42">
        <f>IF($D34="Actual",SUMIFS(Data_Actuals!$F$2:$F$5000,Data_Actuals!$A$2:$A$5000,$A34,Data_Actuals!$B$2:$B$5000,$B$2),"")</f>
        <v/>
      </c>
      <c r="V34" s="42">
        <f>IF($D34="Actual",SUMIFS(Data_Actuals!$G$2:$G$5000,Data_Actuals!$A$2:$A$5000,$A34,Data_Actuals!$B$2:$B$5000,$B$2),"")</f>
        <v/>
      </c>
      <c r="W34" s="42">
        <f>SUMIFS(Plan_Inputs!$C$2:$C$5000,Plan_Inputs!$A$2:$A$5000,$A34,Plan_Inputs!$B$2:$B$5000,$B$2)</f>
        <v/>
      </c>
      <c r="X34" s="43">
        <f>SUMIFS(Plan_Inputs!$D$2:$D$5000,Plan_Inputs!$A$2:$A$5000,$A34,Plan_Inputs!$B$2:$B$5000,$B$2)</f>
        <v/>
      </c>
      <c r="Y34" s="42">
        <f>E34</f>
        <v/>
      </c>
      <c r="Z34" s="44">
        <f>INDEX(Calendar!$H$5:$L$52,MATCH($A34,Calendar!$A$5:$A$52,0),MATCH($D$2,Calendar!$H$4:$L$4,0))</f>
        <v/>
      </c>
      <c r="AA34" s="44">
        <f>INDEX(Calendar!$M$5:$M$52,MATCH($A34,Calendar!$A$5:$A$52,0))</f>
        <v/>
      </c>
      <c r="AB34" s="45">
        <f>IF($D34="Actual",IFERROR(S34/Y34,""),AB22)</f>
        <v/>
      </c>
      <c r="AC34" s="46">
        <f>IF($D34="Actual",IFERROR(U34/T34/Z34/AA34,""),AC22)</f>
        <v/>
      </c>
      <c r="AD34" s="43">
        <f>IF($D34="Actual",IFERROR(V34/(U34+V34),""),AD22)</f>
        <v/>
      </c>
      <c r="AE34" s="46">
        <f>IFERROR(AC34*Z34*AA34,"")</f>
        <v/>
      </c>
      <c r="AF34" s="47">
        <f>K22</f>
        <v/>
      </c>
      <c r="AG34" s="43">
        <f>IF($D34="Forecast",IFERROR(K34/AF34-1,""),"")</f>
        <v/>
      </c>
    </row>
    <row r="35">
      <c r="A35" s="8" t="n">
        <v>46266</v>
      </c>
      <c r="B35" s="26">
        <f>YEAR(A35)</f>
        <v/>
      </c>
      <c r="C35" s="26">
        <f>MONTH(A35)</f>
        <v/>
      </c>
      <c r="D35">
        <f>IF(A35&lt;=LastActual,"Actual","Forecast")</f>
        <v/>
      </c>
      <c r="E35" s="24">
        <f>IF($D35="Actual",R35,W35)</f>
        <v/>
      </c>
      <c r="F35" s="27">
        <f>IF($D35="Actual",S35,Cases_Forecast!AL28)</f>
        <v/>
      </c>
      <c r="G35" s="9">
        <f>IF($D35="Actual",T35,IFERROR(H35/AE35,0))</f>
        <v/>
      </c>
      <c r="H35" s="24">
        <f>IF($D35="Actual",U35,J35-I35)</f>
        <v/>
      </c>
      <c r="I35" s="24">
        <f>IF($D35="Actual",V35,IFERROR(J35*AD35,0))</f>
        <v/>
      </c>
      <c r="J35" s="24">
        <f>IF($D35="Actual",U35+V35,E35*X35)</f>
        <v/>
      </c>
      <c r="K35" s="28">
        <f>IFERROR(F35/G35,0)</f>
        <v/>
      </c>
      <c r="L35" s="29">
        <f>IFERROR(H35/G35,0)</f>
        <v/>
      </c>
      <c r="M35" s="30">
        <f>IFERROR(J35/F35,0)</f>
        <v/>
      </c>
      <c r="N35" s="10">
        <f>IFERROR(J35/E35,0)</f>
        <v/>
      </c>
      <c r="O35" s="10">
        <f>IFERROR(I35/J35,0)</f>
        <v/>
      </c>
      <c r="R35" s="42">
        <f>IF($D35="Actual",SUMIFS(Data_Actuals!$C$2:$C$5000,Data_Actuals!$A$2:$A$5000,$A35,Data_Actuals!$B$2:$B$5000,$B$2),"")</f>
        <v/>
      </c>
      <c r="S35" s="42">
        <f>IF($D35="Actual",SUMIFS(Data_Actuals!$D$2:$D$5000,Data_Actuals!$A$2:$A$5000,$A35,Data_Actuals!$B$2:$B$5000,$B$2),"")</f>
        <v/>
      </c>
      <c r="T35" s="42">
        <f>IF($D35="Actual",SUMIFS(Data_Actuals!$E$2:$E$5000,Data_Actuals!$A$2:$A$5000,$A35,Data_Actuals!$B$2:$B$5000,$B$2),"")</f>
        <v/>
      </c>
      <c r="U35" s="42">
        <f>IF($D35="Actual",SUMIFS(Data_Actuals!$F$2:$F$5000,Data_Actuals!$A$2:$A$5000,$A35,Data_Actuals!$B$2:$B$5000,$B$2),"")</f>
        <v/>
      </c>
      <c r="V35" s="42">
        <f>IF($D35="Actual",SUMIFS(Data_Actuals!$G$2:$G$5000,Data_Actuals!$A$2:$A$5000,$A35,Data_Actuals!$B$2:$B$5000,$B$2),"")</f>
        <v/>
      </c>
      <c r="W35" s="42">
        <f>SUMIFS(Plan_Inputs!$C$2:$C$5000,Plan_Inputs!$A$2:$A$5000,$A35,Plan_Inputs!$B$2:$B$5000,$B$2)</f>
        <v/>
      </c>
      <c r="X35" s="43">
        <f>SUMIFS(Plan_Inputs!$D$2:$D$5000,Plan_Inputs!$A$2:$A$5000,$A35,Plan_Inputs!$B$2:$B$5000,$B$2)</f>
        <v/>
      </c>
      <c r="Y35" s="42">
        <f>E35</f>
        <v/>
      </c>
      <c r="Z35" s="44">
        <f>INDEX(Calendar!$H$5:$L$52,MATCH($A35,Calendar!$A$5:$A$52,0),MATCH($D$2,Calendar!$H$4:$L$4,0))</f>
        <v/>
      </c>
      <c r="AA35" s="44">
        <f>INDEX(Calendar!$M$5:$M$52,MATCH($A35,Calendar!$A$5:$A$52,0))</f>
        <v/>
      </c>
      <c r="AB35" s="45">
        <f>IF($D35="Actual",IFERROR(S35/Y35,""),AB23)</f>
        <v/>
      </c>
      <c r="AC35" s="46">
        <f>IF($D35="Actual",IFERROR(U35/T35/Z35/AA35,""),AC23)</f>
        <v/>
      </c>
      <c r="AD35" s="43">
        <f>IF($D35="Actual",IFERROR(V35/(U35+V35),""),AD23)</f>
        <v/>
      </c>
      <c r="AE35" s="46">
        <f>IFERROR(AC35*Z35*AA35,"")</f>
        <v/>
      </c>
      <c r="AF35" s="47">
        <f>K23</f>
        <v/>
      </c>
      <c r="AG35" s="43">
        <f>IF($D35="Forecast",IFERROR(K35/AF35-1,""),"")</f>
        <v/>
      </c>
    </row>
    <row r="36">
      <c r="A36" s="8" t="n">
        <v>46296</v>
      </c>
      <c r="B36" s="26">
        <f>YEAR(A36)</f>
        <v/>
      </c>
      <c r="C36" s="26">
        <f>MONTH(A36)</f>
        <v/>
      </c>
      <c r="D36">
        <f>IF(A36&lt;=LastActual,"Actual","Forecast")</f>
        <v/>
      </c>
      <c r="E36" s="24">
        <f>IF($D36="Actual",R36,W36)</f>
        <v/>
      </c>
      <c r="F36" s="27">
        <f>IF($D36="Actual",S36,Cases_Forecast!AL29)</f>
        <v/>
      </c>
      <c r="G36" s="9">
        <f>IF($D36="Actual",T36,IFERROR(H36/AE36,0))</f>
        <v/>
      </c>
      <c r="H36" s="24">
        <f>IF($D36="Actual",U36,J36-I36)</f>
        <v/>
      </c>
      <c r="I36" s="24">
        <f>IF($D36="Actual",V36,IFERROR(J36*AD36,0))</f>
        <v/>
      </c>
      <c r="J36" s="24">
        <f>IF($D36="Actual",U36+V36,E36*X36)</f>
        <v/>
      </c>
      <c r="K36" s="28">
        <f>IFERROR(F36/G36,0)</f>
        <v/>
      </c>
      <c r="L36" s="29">
        <f>IFERROR(H36/G36,0)</f>
        <v/>
      </c>
      <c r="M36" s="30">
        <f>IFERROR(J36/F36,0)</f>
        <v/>
      </c>
      <c r="N36" s="10">
        <f>IFERROR(J36/E36,0)</f>
        <v/>
      </c>
      <c r="O36" s="10">
        <f>IFERROR(I36/J36,0)</f>
        <v/>
      </c>
      <c r="R36" s="42">
        <f>IF($D36="Actual",SUMIFS(Data_Actuals!$C$2:$C$5000,Data_Actuals!$A$2:$A$5000,$A36,Data_Actuals!$B$2:$B$5000,$B$2),"")</f>
        <v/>
      </c>
      <c r="S36" s="42">
        <f>IF($D36="Actual",SUMIFS(Data_Actuals!$D$2:$D$5000,Data_Actuals!$A$2:$A$5000,$A36,Data_Actuals!$B$2:$B$5000,$B$2),"")</f>
        <v/>
      </c>
      <c r="T36" s="42">
        <f>IF($D36="Actual",SUMIFS(Data_Actuals!$E$2:$E$5000,Data_Actuals!$A$2:$A$5000,$A36,Data_Actuals!$B$2:$B$5000,$B$2),"")</f>
        <v/>
      </c>
      <c r="U36" s="42">
        <f>IF($D36="Actual",SUMIFS(Data_Actuals!$F$2:$F$5000,Data_Actuals!$A$2:$A$5000,$A36,Data_Actuals!$B$2:$B$5000,$B$2),"")</f>
        <v/>
      </c>
      <c r="V36" s="42">
        <f>IF($D36="Actual",SUMIFS(Data_Actuals!$G$2:$G$5000,Data_Actuals!$A$2:$A$5000,$A36,Data_Actuals!$B$2:$B$5000,$B$2),"")</f>
        <v/>
      </c>
      <c r="W36" s="42">
        <f>SUMIFS(Plan_Inputs!$C$2:$C$5000,Plan_Inputs!$A$2:$A$5000,$A36,Plan_Inputs!$B$2:$B$5000,$B$2)</f>
        <v/>
      </c>
      <c r="X36" s="43">
        <f>SUMIFS(Plan_Inputs!$D$2:$D$5000,Plan_Inputs!$A$2:$A$5000,$A36,Plan_Inputs!$B$2:$B$5000,$B$2)</f>
        <v/>
      </c>
      <c r="Y36" s="42">
        <f>E36</f>
        <v/>
      </c>
      <c r="Z36" s="44">
        <f>INDEX(Calendar!$H$5:$L$52,MATCH($A36,Calendar!$A$5:$A$52,0),MATCH($D$2,Calendar!$H$4:$L$4,0))</f>
        <v/>
      </c>
      <c r="AA36" s="44">
        <f>INDEX(Calendar!$M$5:$M$52,MATCH($A36,Calendar!$A$5:$A$52,0))</f>
        <v/>
      </c>
      <c r="AB36" s="45">
        <f>IF($D36="Actual",IFERROR(S36/Y36,""),AB24)</f>
        <v/>
      </c>
      <c r="AC36" s="46">
        <f>IF($D36="Actual",IFERROR(U36/T36/Z36/AA36,""),AC24)</f>
        <v/>
      </c>
      <c r="AD36" s="43">
        <f>IF($D36="Actual",IFERROR(V36/(U36+V36),""),AD24)</f>
        <v/>
      </c>
      <c r="AE36" s="46">
        <f>IFERROR(AC36*Z36*AA36,"")</f>
        <v/>
      </c>
      <c r="AF36" s="47">
        <f>K24</f>
        <v/>
      </c>
      <c r="AG36" s="43">
        <f>IF($D36="Forecast",IFERROR(K36/AF36-1,""),"")</f>
        <v/>
      </c>
    </row>
    <row r="37">
      <c r="A37" s="8" t="n">
        <v>46327</v>
      </c>
      <c r="B37" s="26">
        <f>YEAR(A37)</f>
        <v/>
      </c>
      <c r="C37" s="26">
        <f>MONTH(A37)</f>
        <v/>
      </c>
      <c r="D37">
        <f>IF(A37&lt;=LastActual,"Actual","Forecast")</f>
        <v/>
      </c>
      <c r="E37" s="24">
        <f>IF($D37="Actual",R37,W37)</f>
        <v/>
      </c>
      <c r="F37" s="27">
        <f>IF($D37="Actual",S37,Cases_Forecast!AL30)</f>
        <v/>
      </c>
      <c r="G37" s="9">
        <f>IF($D37="Actual",T37,IFERROR(H37/AE37,0))</f>
        <v/>
      </c>
      <c r="H37" s="24">
        <f>IF($D37="Actual",U37,J37-I37)</f>
        <v/>
      </c>
      <c r="I37" s="24">
        <f>IF($D37="Actual",V37,IFERROR(J37*AD37,0))</f>
        <v/>
      </c>
      <c r="J37" s="24">
        <f>IF($D37="Actual",U37+V37,E37*X37)</f>
        <v/>
      </c>
      <c r="K37" s="28">
        <f>IFERROR(F37/G37,0)</f>
        <v/>
      </c>
      <c r="L37" s="29">
        <f>IFERROR(H37/G37,0)</f>
        <v/>
      </c>
      <c r="M37" s="30">
        <f>IFERROR(J37/F37,0)</f>
        <v/>
      </c>
      <c r="N37" s="10">
        <f>IFERROR(J37/E37,0)</f>
        <v/>
      </c>
      <c r="O37" s="10">
        <f>IFERROR(I37/J37,0)</f>
        <v/>
      </c>
      <c r="R37" s="42">
        <f>IF($D37="Actual",SUMIFS(Data_Actuals!$C$2:$C$5000,Data_Actuals!$A$2:$A$5000,$A37,Data_Actuals!$B$2:$B$5000,$B$2),"")</f>
        <v/>
      </c>
      <c r="S37" s="42">
        <f>IF($D37="Actual",SUMIFS(Data_Actuals!$D$2:$D$5000,Data_Actuals!$A$2:$A$5000,$A37,Data_Actuals!$B$2:$B$5000,$B$2),"")</f>
        <v/>
      </c>
      <c r="T37" s="42">
        <f>IF($D37="Actual",SUMIFS(Data_Actuals!$E$2:$E$5000,Data_Actuals!$A$2:$A$5000,$A37,Data_Actuals!$B$2:$B$5000,$B$2),"")</f>
        <v/>
      </c>
      <c r="U37" s="42">
        <f>IF($D37="Actual",SUMIFS(Data_Actuals!$F$2:$F$5000,Data_Actuals!$A$2:$A$5000,$A37,Data_Actuals!$B$2:$B$5000,$B$2),"")</f>
        <v/>
      </c>
      <c r="V37" s="42">
        <f>IF($D37="Actual",SUMIFS(Data_Actuals!$G$2:$G$5000,Data_Actuals!$A$2:$A$5000,$A37,Data_Actuals!$B$2:$B$5000,$B$2),"")</f>
        <v/>
      </c>
      <c r="W37" s="42">
        <f>SUMIFS(Plan_Inputs!$C$2:$C$5000,Plan_Inputs!$A$2:$A$5000,$A37,Plan_Inputs!$B$2:$B$5000,$B$2)</f>
        <v/>
      </c>
      <c r="X37" s="43">
        <f>SUMIFS(Plan_Inputs!$D$2:$D$5000,Plan_Inputs!$A$2:$A$5000,$A37,Plan_Inputs!$B$2:$B$5000,$B$2)</f>
        <v/>
      </c>
      <c r="Y37" s="42">
        <f>E37</f>
        <v/>
      </c>
      <c r="Z37" s="44">
        <f>INDEX(Calendar!$H$5:$L$52,MATCH($A37,Calendar!$A$5:$A$52,0),MATCH($D$2,Calendar!$H$4:$L$4,0))</f>
        <v/>
      </c>
      <c r="AA37" s="44">
        <f>INDEX(Calendar!$M$5:$M$52,MATCH($A37,Calendar!$A$5:$A$52,0))</f>
        <v/>
      </c>
      <c r="AB37" s="45">
        <f>IF($D37="Actual",IFERROR(S37/Y37,""),AB25)</f>
        <v/>
      </c>
      <c r="AC37" s="46">
        <f>IF($D37="Actual",IFERROR(U37/T37/Z37/AA37,""),AC25)</f>
        <v/>
      </c>
      <c r="AD37" s="43">
        <f>IF($D37="Actual",IFERROR(V37/(U37+V37),""),AD25)</f>
        <v/>
      </c>
      <c r="AE37" s="46">
        <f>IFERROR(AC37*Z37*AA37,"")</f>
        <v/>
      </c>
      <c r="AF37" s="47">
        <f>K25</f>
        <v/>
      </c>
      <c r="AG37" s="43">
        <f>IF($D37="Forecast",IFERROR(K37/AF37-1,""),"")</f>
        <v/>
      </c>
    </row>
    <row r="38">
      <c r="A38" s="31" t="n">
        <v>46357</v>
      </c>
      <c r="B38" s="32">
        <f>YEAR(A38)</f>
        <v/>
      </c>
      <c r="C38" s="32">
        <f>MONTH(A38)</f>
        <v/>
      </c>
      <c r="D38" s="33">
        <f>IF(A38&lt;=LastActual,"Actual","Forecast")</f>
        <v/>
      </c>
      <c r="E38" s="34">
        <f>IF($D38="Actual",R38,W38)</f>
        <v/>
      </c>
      <c r="F38" s="35">
        <f>IF($D38="Actual",S38,Cases_Forecast!AL31)</f>
        <v/>
      </c>
      <c r="G38" s="36">
        <f>IF($D38="Actual",T38,IFERROR(H38/AE38,0))</f>
        <v/>
      </c>
      <c r="H38" s="34">
        <f>IF($D38="Actual",U38,J38-I38)</f>
        <v/>
      </c>
      <c r="I38" s="34">
        <f>IF($D38="Actual",V38,IFERROR(J38*AD38,0))</f>
        <v/>
      </c>
      <c r="J38" s="34">
        <f>IF($D38="Actual",U38+V38,E38*X38)</f>
        <v/>
      </c>
      <c r="K38" s="37">
        <f>IFERROR(F38/G38,0)</f>
        <v/>
      </c>
      <c r="L38" s="38">
        <f>IFERROR(H38/G38,0)</f>
        <v/>
      </c>
      <c r="M38" s="39">
        <f>IFERROR(J38/F38,0)</f>
        <v/>
      </c>
      <c r="N38" s="40">
        <f>IFERROR(J38/E38,0)</f>
        <v/>
      </c>
      <c r="O38" s="40">
        <f>IFERROR(I38/J38,0)</f>
        <v/>
      </c>
      <c r="R38" s="42">
        <f>IF($D38="Actual",SUMIFS(Data_Actuals!$C$2:$C$5000,Data_Actuals!$A$2:$A$5000,$A38,Data_Actuals!$B$2:$B$5000,$B$2),"")</f>
        <v/>
      </c>
      <c r="S38" s="42">
        <f>IF($D38="Actual",SUMIFS(Data_Actuals!$D$2:$D$5000,Data_Actuals!$A$2:$A$5000,$A38,Data_Actuals!$B$2:$B$5000,$B$2),"")</f>
        <v/>
      </c>
      <c r="T38" s="42">
        <f>IF($D38="Actual",SUMIFS(Data_Actuals!$E$2:$E$5000,Data_Actuals!$A$2:$A$5000,$A38,Data_Actuals!$B$2:$B$5000,$B$2),"")</f>
        <v/>
      </c>
      <c r="U38" s="42">
        <f>IF($D38="Actual",SUMIFS(Data_Actuals!$F$2:$F$5000,Data_Actuals!$A$2:$A$5000,$A38,Data_Actuals!$B$2:$B$5000,$B$2),"")</f>
        <v/>
      </c>
      <c r="V38" s="42">
        <f>IF($D38="Actual",SUMIFS(Data_Actuals!$G$2:$G$5000,Data_Actuals!$A$2:$A$5000,$A38,Data_Actuals!$B$2:$B$5000,$B$2),"")</f>
        <v/>
      </c>
      <c r="W38" s="42">
        <f>SUMIFS(Plan_Inputs!$C$2:$C$5000,Plan_Inputs!$A$2:$A$5000,$A38,Plan_Inputs!$B$2:$B$5000,$B$2)</f>
        <v/>
      </c>
      <c r="X38" s="43">
        <f>SUMIFS(Plan_Inputs!$D$2:$D$5000,Plan_Inputs!$A$2:$A$5000,$A38,Plan_Inputs!$B$2:$B$5000,$B$2)</f>
        <v/>
      </c>
      <c r="Y38" s="42">
        <f>E38</f>
        <v/>
      </c>
      <c r="Z38" s="44">
        <f>INDEX(Calendar!$H$5:$L$52,MATCH($A38,Calendar!$A$5:$A$52,0),MATCH($D$2,Calendar!$H$4:$L$4,0))</f>
        <v/>
      </c>
      <c r="AA38" s="44">
        <f>INDEX(Calendar!$M$5:$M$52,MATCH($A38,Calendar!$A$5:$A$52,0))</f>
        <v/>
      </c>
      <c r="AB38" s="45">
        <f>IF($D38="Actual",IFERROR(S38/Y38,""),AB26)</f>
        <v/>
      </c>
      <c r="AC38" s="46">
        <f>IF($D38="Actual",IFERROR(U38/T38/Z38/AA38,""),AC26)</f>
        <v/>
      </c>
      <c r="AD38" s="43">
        <f>IF($D38="Actual",IFERROR(V38/(U38+V38),""),AD26)</f>
        <v/>
      </c>
      <c r="AE38" s="46">
        <f>IFERROR(AC38*Z38*AA38,"")</f>
        <v/>
      </c>
      <c r="AF38" s="47">
        <f>K26</f>
        <v/>
      </c>
      <c r="AG38" s="43">
        <f>IF($D38="Forecast",IFERROR(K38/AF38-1,""),"")</f>
        <v/>
      </c>
    </row>
    <row r="39">
      <c r="A39" s="8" t="n">
        <v>46388</v>
      </c>
      <c r="B39" s="26">
        <f>YEAR(A39)</f>
        <v/>
      </c>
      <c r="C39" s="26">
        <f>MONTH(A39)</f>
        <v/>
      </c>
      <c r="D39">
        <f>IF(A39&lt;=LastActual,"Actual","Forecast")</f>
        <v/>
      </c>
      <c r="E39" s="24">
        <f>IF($D39="Actual",R39,W39)</f>
        <v/>
      </c>
      <c r="F39" s="27">
        <f>IF($D39="Actual",S39,Cases_Forecast!AL32)</f>
        <v/>
      </c>
      <c r="G39" s="9">
        <f>IF($D39="Actual",T39,IFERROR(H39/AE39,0))</f>
        <v/>
      </c>
      <c r="H39" s="24">
        <f>IF($D39="Actual",U39,J39-I39)</f>
        <v/>
      </c>
      <c r="I39" s="24">
        <f>IF($D39="Actual",V39,IFERROR(J39*AD39,0))</f>
        <v/>
      </c>
      <c r="J39" s="24">
        <f>IF($D39="Actual",U39+V39,E39*X39)</f>
        <v/>
      </c>
      <c r="K39" s="28">
        <f>IFERROR(F39/G39,0)</f>
        <v/>
      </c>
      <c r="L39" s="29">
        <f>IFERROR(H39/G39,0)</f>
        <v/>
      </c>
      <c r="M39" s="30">
        <f>IFERROR(J39/F39,0)</f>
        <v/>
      </c>
      <c r="N39" s="10">
        <f>IFERROR(J39/E39,0)</f>
        <v/>
      </c>
      <c r="O39" s="10">
        <f>IFERROR(I39/J39,0)</f>
        <v/>
      </c>
      <c r="R39" s="42">
        <f>IF($D39="Actual",SUMIFS(Data_Actuals!$C$2:$C$5000,Data_Actuals!$A$2:$A$5000,$A39,Data_Actuals!$B$2:$B$5000,$B$2),"")</f>
        <v/>
      </c>
      <c r="S39" s="42">
        <f>IF($D39="Actual",SUMIFS(Data_Actuals!$D$2:$D$5000,Data_Actuals!$A$2:$A$5000,$A39,Data_Actuals!$B$2:$B$5000,$B$2),"")</f>
        <v/>
      </c>
      <c r="T39" s="42">
        <f>IF($D39="Actual",SUMIFS(Data_Actuals!$E$2:$E$5000,Data_Actuals!$A$2:$A$5000,$A39,Data_Actuals!$B$2:$B$5000,$B$2),"")</f>
        <v/>
      </c>
      <c r="U39" s="42">
        <f>IF($D39="Actual",SUMIFS(Data_Actuals!$F$2:$F$5000,Data_Actuals!$A$2:$A$5000,$A39,Data_Actuals!$B$2:$B$5000,$B$2),"")</f>
        <v/>
      </c>
      <c r="V39" s="42">
        <f>IF($D39="Actual",SUMIFS(Data_Actuals!$G$2:$G$5000,Data_Actuals!$A$2:$A$5000,$A39,Data_Actuals!$B$2:$B$5000,$B$2),"")</f>
        <v/>
      </c>
      <c r="W39" s="42">
        <f>SUMIFS(Plan_Inputs!$C$2:$C$5000,Plan_Inputs!$A$2:$A$5000,$A39,Plan_Inputs!$B$2:$B$5000,$B$2)</f>
        <v/>
      </c>
      <c r="X39" s="43">
        <f>SUMIFS(Plan_Inputs!$D$2:$D$5000,Plan_Inputs!$A$2:$A$5000,$A39,Plan_Inputs!$B$2:$B$5000,$B$2)</f>
        <v/>
      </c>
      <c r="Y39" s="42">
        <f>E39</f>
        <v/>
      </c>
      <c r="Z39" s="44">
        <f>INDEX(Calendar!$H$5:$L$52,MATCH($A39,Calendar!$A$5:$A$52,0),MATCH($D$2,Calendar!$H$4:$L$4,0))</f>
        <v/>
      </c>
      <c r="AA39" s="44">
        <f>INDEX(Calendar!$M$5:$M$52,MATCH($A39,Calendar!$A$5:$A$52,0))</f>
        <v/>
      </c>
      <c r="AB39" s="45">
        <f>IF($D39="Actual",IFERROR(S39/Y39,""),AB27)</f>
        <v/>
      </c>
      <c r="AC39" s="46">
        <f>IF($D39="Actual",IFERROR(U39/T39/Z39/AA39,""),AC27)</f>
        <v/>
      </c>
      <c r="AD39" s="43">
        <f>IF($D39="Actual",IFERROR(V39/(U39+V39),""),AD27)</f>
        <v/>
      </c>
      <c r="AE39" s="46">
        <f>IFERROR(AC39*Z39*AA39,"")</f>
        <v/>
      </c>
      <c r="AF39" s="47">
        <f>K27</f>
        <v/>
      </c>
      <c r="AG39" s="43">
        <f>IF($D39="Forecast",IFERROR(K39/AF39-1,""),"")</f>
        <v/>
      </c>
    </row>
    <row r="40">
      <c r="A40" s="8" t="n">
        <v>46419</v>
      </c>
      <c r="B40" s="26">
        <f>YEAR(A40)</f>
        <v/>
      </c>
      <c r="C40" s="26">
        <f>MONTH(A40)</f>
        <v/>
      </c>
      <c r="D40">
        <f>IF(A40&lt;=LastActual,"Actual","Forecast")</f>
        <v/>
      </c>
      <c r="E40" s="24">
        <f>IF($D40="Actual",R40,W40)</f>
        <v/>
      </c>
      <c r="F40" s="27">
        <f>IF($D40="Actual",S40,Cases_Forecast!AL33)</f>
        <v/>
      </c>
      <c r="G40" s="9">
        <f>IF($D40="Actual",T40,IFERROR(H40/AE40,0))</f>
        <v/>
      </c>
      <c r="H40" s="24">
        <f>IF($D40="Actual",U40,J40-I40)</f>
        <v/>
      </c>
      <c r="I40" s="24">
        <f>IF($D40="Actual",V40,IFERROR(J40*AD40,0))</f>
        <v/>
      </c>
      <c r="J40" s="24">
        <f>IF($D40="Actual",U40+V40,E40*X40)</f>
        <v/>
      </c>
      <c r="K40" s="28">
        <f>IFERROR(F40/G40,0)</f>
        <v/>
      </c>
      <c r="L40" s="29">
        <f>IFERROR(H40/G40,0)</f>
        <v/>
      </c>
      <c r="M40" s="30">
        <f>IFERROR(J40/F40,0)</f>
        <v/>
      </c>
      <c r="N40" s="10">
        <f>IFERROR(J40/E40,0)</f>
        <v/>
      </c>
      <c r="O40" s="10">
        <f>IFERROR(I40/J40,0)</f>
        <v/>
      </c>
      <c r="R40" s="42">
        <f>IF($D40="Actual",SUMIFS(Data_Actuals!$C$2:$C$5000,Data_Actuals!$A$2:$A$5000,$A40,Data_Actuals!$B$2:$B$5000,$B$2),"")</f>
        <v/>
      </c>
      <c r="S40" s="42">
        <f>IF($D40="Actual",SUMIFS(Data_Actuals!$D$2:$D$5000,Data_Actuals!$A$2:$A$5000,$A40,Data_Actuals!$B$2:$B$5000,$B$2),"")</f>
        <v/>
      </c>
      <c r="T40" s="42">
        <f>IF($D40="Actual",SUMIFS(Data_Actuals!$E$2:$E$5000,Data_Actuals!$A$2:$A$5000,$A40,Data_Actuals!$B$2:$B$5000,$B$2),"")</f>
        <v/>
      </c>
      <c r="U40" s="42">
        <f>IF($D40="Actual",SUMIFS(Data_Actuals!$F$2:$F$5000,Data_Actuals!$A$2:$A$5000,$A40,Data_Actuals!$B$2:$B$5000,$B$2),"")</f>
        <v/>
      </c>
      <c r="V40" s="42">
        <f>IF($D40="Actual",SUMIFS(Data_Actuals!$G$2:$G$5000,Data_Actuals!$A$2:$A$5000,$A40,Data_Actuals!$B$2:$B$5000,$B$2),"")</f>
        <v/>
      </c>
      <c r="W40" s="42">
        <f>SUMIFS(Plan_Inputs!$C$2:$C$5000,Plan_Inputs!$A$2:$A$5000,$A40,Plan_Inputs!$B$2:$B$5000,$B$2)</f>
        <v/>
      </c>
      <c r="X40" s="43">
        <f>SUMIFS(Plan_Inputs!$D$2:$D$5000,Plan_Inputs!$A$2:$A$5000,$A40,Plan_Inputs!$B$2:$B$5000,$B$2)</f>
        <v/>
      </c>
      <c r="Y40" s="42">
        <f>E40</f>
        <v/>
      </c>
      <c r="Z40" s="44">
        <f>INDEX(Calendar!$H$5:$L$52,MATCH($A40,Calendar!$A$5:$A$52,0),MATCH($D$2,Calendar!$H$4:$L$4,0))</f>
        <v/>
      </c>
      <c r="AA40" s="44">
        <f>INDEX(Calendar!$M$5:$M$52,MATCH($A40,Calendar!$A$5:$A$52,0))</f>
        <v/>
      </c>
      <c r="AB40" s="45">
        <f>IF($D40="Actual",IFERROR(S40/Y40,""),AB28)</f>
        <v/>
      </c>
      <c r="AC40" s="46">
        <f>IF($D40="Actual",IFERROR(U40/T40/Z40/AA40,""),AC28)</f>
        <v/>
      </c>
      <c r="AD40" s="43">
        <f>IF($D40="Actual",IFERROR(V40/(U40+V40),""),AD28)</f>
        <v/>
      </c>
      <c r="AE40" s="46">
        <f>IFERROR(AC40*Z40*AA40,"")</f>
        <v/>
      </c>
      <c r="AF40" s="47">
        <f>K28</f>
        <v/>
      </c>
      <c r="AG40" s="43">
        <f>IF($D40="Forecast",IFERROR(K40/AF40-1,""),"")</f>
        <v/>
      </c>
    </row>
    <row r="41">
      <c r="A41" s="8" t="n">
        <v>46447</v>
      </c>
      <c r="B41" s="26">
        <f>YEAR(A41)</f>
        <v/>
      </c>
      <c r="C41" s="26">
        <f>MONTH(A41)</f>
        <v/>
      </c>
      <c r="D41">
        <f>IF(A41&lt;=LastActual,"Actual","Forecast")</f>
        <v/>
      </c>
      <c r="E41" s="24">
        <f>IF($D41="Actual",R41,W41)</f>
        <v/>
      </c>
      <c r="F41" s="27">
        <f>IF($D41="Actual",S41,Cases_Forecast!AL34)</f>
        <v/>
      </c>
      <c r="G41" s="9">
        <f>IF($D41="Actual",T41,IFERROR(H41/AE41,0))</f>
        <v/>
      </c>
      <c r="H41" s="24">
        <f>IF($D41="Actual",U41,J41-I41)</f>
        <v/>
      </c>
      <c r="I41" s="24">
        <f>IF($D41="Actual",V41,IFERROR(J41*AD41,0))</f>
        <v/>
      </c>
      <c r="J41" s="24">
        <f>IF($D41="Actual",U41+V41,E41*X41)</f>
        <v/>
      </c>
      <c r="K41" s="28">
        <f>IFERROR(F41/G41,0)</f>
        <v/>
      </c>
      <c r="L41" s="29">
        <f>IFERROR(H41/G41,0)</f>
        <v/>
      </c>
      <c r="M41" s="30">
        <f>IFERROR(J41/F41,0)</f>
        <v/>
      </c>
      <c r="N41" s="10">
        <f>IFERROR(J41/E41,0)</f>
        <v/>
      </c>
      <c r="O41" s="10">
        <f>IFERROR(I41/J41,0)</f>
        <v/>
      </c>
      <c r="R41" s="42">
        <f>IF($D41="Actual",SUMIFS(Data_Actuals!$C$2:$C$5000,Data_Actuals!$A$2:$A$5000,$A41,Data_Actuals!$B$2:$B$5000,$B$2),"")</f>
        <v/>
      </c>
      <c r="S41" s="42">
        <f>IF($D41="Actual",SUMIFS(Data_Actuals!$D$2:$D$5000,Data_Actuals!$A$2:$A$5000,$A41,Data_Actuals!$B$2:$B$5000,$B$2),"")</f>
        <v/>
      </c>
      <c r="T41" s="42">
        <f>IF($D41="Actual",SUMIFS(Data_Actuals!$E$2:$E$5000,Data_Actuals!$A$2:$A$5000,$A41,Data_Actuals!$B$2:$B$5000,$B$2),"")</f>
        <v/>
      </c>
      <c r="U41" s="42">
        <f>IF($D41="Actual",SUMIFS(Data_Actuals!$F$2:$F$5000,Data_Actuals!$A$2:$A$5000,$A41,Data_Actuals!$B$2:$B$5000,$B$2),"")</f>
        <v/>
      </c>
      <c r="V41" s="42">
        <f>IF($D41="Actual",SUMIFS(Data_Actuals!$G$2:$G$5000,Data_Actuals!$A$2:$A$5000,$A41,Data_Actuals!$B$2:$B$5000,$B$2),"")</f>
        <v/>
      </c>
      <c r="W41" s="42">
        <f>SUMIFS(Plan_Inputs!$C$2:$C$5000,Plan_Inputs!$A$2:$A$5000,$A41,Plan_Inputs!$B$2:$B$5000,$B$2)</f>
        <v/>
      </c>
      <c r="X41" s="43">
        <f>SUMIFS(Plan_Inputs!$D$2:$D$5000,Plan_Inputs!$A$2:$A$5000,$A41,Plan_Inputs!$B$2:$B$5000,$B$2)</f>
        <v/>
      </c>
      <c r="Y41" s="42">
        <f>E41</f>
        <v/>
      </c>
      <c r="Z41" s="44">
        <f>INDEX(Calendar!$H$5:$L$52,MATCH($A41,Calendar!$A$5:$A$52,0),MATCH($D$2,Calendar!$H$4:$L$4,0))</f>
        <v/>
      </c>
      <c r="AA41" s="44">
        <f>INDEX(Calendar!$M$5:$M$52,MATCH($A41,Calendar!$A$5:$A$52,0))</f>
        <v/>
      </c>
      <c r="AB41" s="45">
        <f>IF($D41="Actual",IFERROR(S41/Y41,""),AB29)</f>
        <v/>
      </c>
      <c r="AC41" s="46">
        <f>IF($D41="Actual",IFERROR(U41/T41/Z41/AA41,""),AC29)</f>
        <v/>
      </c>
      <c r="AD41" s="43">
        <f>IF($D41="Actual",IFERROR(V41/(U41+V41),""),AD29)</f>
        <v/>
      </c>
      <c r="AE41" s="46">
        <f>IFERROR(AC41*Z41*AA41,"")</f>
        <v/>
      </c>
      <c r="AF41" s="47">
        <f>K29</f>
        <v/>
      </c>
      <c r="AG41" s="43">
        <f>IF($D41="Forecast",IFERROR(K41/AF41-1,""),"")</f>
        <v/>
      </c>
    </row>
    <row r="42">
      <c r="A42" s="8" t="n">
        <v>46478</v>
      </c>
      <c r="B42" s="26">
        <f>YEAR(A42)</f>
        <v/>
      </c>
      <c r="C42" s="26">
        <f>MONTH(A42)</f>
        <v/>
      </c>
      <c r="D42">
        <f>IF(A42&lt;=LastActual,"Actual","Forecast")</f>
        <v/>
      </c>
      <c r="E42" s="24">
        <f>IF($D42="Actual",R42,W42)</f>
        <v/>
      </c>
      <c r="F42" s="27">
        <f>IF($D42="Actual",S42,Cases_Forecast!AL35)</f>
        <v/>
      </c>
      <c r="G42" s="9">
        <f>IF($D42="Actual",T42,IFERROR(H42/AE42,0))</f>
        <v/>
      </c>
      <c r="H42" s="24">
        <f>IF($D42="Actual",U42,J42-I42)</f>
        <v/>
      </c>
      <c r="I42" s="24">
        <f>IF($D42="Actual",V42,IFERROR(J42*AD42,0))</f>
        <v/>
      </c>
      <c r="J42" s="24">
        <f>IF($D42="Actual",U42+V42,E42*X42)</f>
        <v/>
      </c>
      <c r="K42" s="28">
        <f>IFERROR(F42/G42,0)</f>
        <v/>
      </c>
      <c r="L42" s="29">
        <f>IFERROR(H42/G42,0)</f>
        <v/>
      </c>
      <c r="M42" s="30">
        <f>IFERROR(J42/F42,0)</f>
        <v/>
      </c>
      <c r="N42" s="10">
        <f>IFERROR(J42/E42,0)</f>
        <v/>
      </c>
      <c r="O42" s="10">
        <f>IFERROR(I42/J42,0)</f>
        <v/>
      </c>
      <c r="R42" s="42">
        <f>IF($D42="Actual",SUMIFS(Data_Actuals!$C$2:$C$5000,Data_Actuals!$A$2:$A$5000,$A42,Data_Actuals!$B$2:$B$5000,$B$2),"")</f>
        <v/>
      </c>
      <c r="S42" s="42">
        <f>IF($D42="Actual",SUMIFS(Data_Actuals!$D$2:$D$5000,Data_Actuals!$A$2:$A$5000,$A42,Data_Actuals!$B$2:$B$5000,$B$2),"")</f>
        <v/>
      </c>
      <c r="T42" s="42">
        <f>IF($D42="Actual",SUMIFS(Data_Actuals!$E$2:$E$5000,Data_Actuals!$A$2:$A$5000,$A42,Data_Actuals!$B$2:$B$5000,$B$2),"")</f>
        <v/>
      </c>
      <c r="U42" s="42">
        <f>IF($D42="Actual",SUMIFS(Data_Actuals!$F$2:$F$5000,Data_Actuals!$A$2:$A$5000,$A42,Data_Actuals!$B$2:$B$5000,$B$2),"")</f>
        <v/>
      </c>
      <c r="V42" s="42">
        <f>IF($D42="Actual",SUMIFS(Data_Actuals!$G$2:$G$5000,Data_Actuals!$A$2:$A$5000,$A42,Data_Actuals!$B$2:$B$5000,$B$2),"")</f>
        <v/>
      </c>
      <c r="W42" s="42">
        <f>SUMIFS(Plan_Inputs!$C$2:$C$5000,Plan_Inputs!$A$2:$A$5000,$A42,Plan_Inputs!$B$2:$B$5000,$B$2)</f>
        <v/>
      </c>
      <c r="X42" s="43">
        <f>SUMIFS(Plan_Inputs!$D$2:$D$5000,Plan_Inputs!$A$2:$A$5000,$A42,Plan_Inputs!$B$2:$B$5000,$B$2)</f>
        <v/>
      </c>
      <c r="Y42" s="42">
        <f>E42</f>
        <v/>
      </c>
      <c r="Z42" s="44">
        <f>INDEX(Calendar!$H$5:$L$52,MATCH($A42,Calendar!$A$5:$A$52,0),MATCH($D$2,Calendar!$H$4:$L$4,0))</f>
        <v/>
      </c>
      <c r="AA42" s="44">
        <f>INDEX(Calendar!$M$5:$M$52,MATCH($A42,Calendar!$A$5:$A$52,0))</f>
        <v/>
      </c>
      <c r="AB42" s="45">
        <f>IF($D42="Actual",IFERROR(S42/Y42,""),AB30)</f>
        <v/>
      </c>
      <c r="AC42" s="46">
        <f>IF($D42="Actual",IFERROR(U42/T42/Z42/AA42,""),AC30)</f>
        <v/>
      </c>
      <c r="AD42" s="43">
        <f>IF($D42="Actual",IFERROR(V42/(U42+V42),""),AD30)</f>
        <v/>
      </c>
      <c r="AE42" s="46">
        <f>IFERROR(AC42*Z42*AA42,"")</f>
        <v/>
      </c>
      <c r="AF42" s="47">
        <f>K30</f>
        <v/>
      </c>
      <c r="AG42" s="43">
        <f>IF($D42="Forecast",IFERROR(K42/AF42-1,""),"")</f>
        <v/>
      </c>
    </row>
    <row r="43">
      <c r="A43" s="8" t="n">
        <v>46508</v>
      </c>
      <c r="B43" s="26">
        <f>YEAR(A43)</f>
        <v/>
      </c>
      <c r="C43" s="26">
        <f>MONTH(A43)</f>
        <v/>
      </c>
      <c r="D43">
        <f>IF(A43&lt;=LastActual,"Actual","Forecast")</f>
        <v/>
      </c>
      <c r="E43" s="24">
        <f>IF($D43="Actual",R43,W43)</f>
        <v/>
      </c>
      <c r="F43" s="27">
        <f>IF($D43="Actual",S43,Cases_Forecast!AL36)</f>
        <v/>
      </c>
      <c r="G43" s="9">
        <f>IF($D43="Actual",T43,IFERROR(H43/AE43,0))</f>
        <v/>
      </c>
      <c r="H43" s="24">
        <f>IF($D43="Actual",U43,J43-I43)</f>
        <v/>
      </c>
      <c r="I43" s="24">
        <f>IF($D43="Actual",V43,IFERROR(J43*AD43,0))</f>
        <v/>
      </c>
      <c r="J43" s="24">
        <f>IF($D43="Actual",U43+V43,E43*X43)</f>
        <v/>
      </c>
      <c r="K43" s="28">
        <f>IFERROR(F43/G43,0)</f>
        <v/>
      </c>
      <c r="L43" s="29">
        <f>IFERROR(H43/G43,0)</f>
        <v/>
      </c>
      <c r="M43" s="30">
        <f>IFERROR(J43/F43,0)</f>
        <v/>
      </c>
      <c r="N43" s="10">
        <f>IFERROR(J43/E43,0)</f>
        <v/>
      </c>
      <c r="O43" s="10">
        <f>IFERROR(I43/J43,0)</f>
        <v/>
      </c>
      <c r="R43" s="42">
        <f>IF($D43="Actual",SUMIFS(Data_Actuals!$C$2:$C$5000,Data_Actuals!$A$2:$A$5000,$A43,Data_Actuals!$B$2:$B$5000,$B$2),"")</f>
        <v/>
      </c>
      <c r="S43" s="42">
        <f>IF($D43="Actual",SUMIFS(Data_Actuals!$D$2:$D$5000,Data_Actuals!$A$2:$A$5000,$A43,Data_Actuals!$B$2:$B$5000,$B$2),"")</f>
        <v/>
      </c>
      <c r="T43" s="42">
        <f>IF($D43="Actual",SUMIFS(Data_Actuals!$E$2:$E$5000,Data_Actuals!$A$2:$A$5000,$A43,Data_Actuals!$B$2:$B$5000,$B$2),"")</f>
        <v/>
      </c>
      <c r="U43" s="42">
        <f>IF($D43="Actual",SUMIFS(Data_Actuals!$F$2:$F$5000,Data_Actuals!$A$2:$A$5000,$A43,Data_Actuals!$B$2:$B$5000,$B$2),"")</f>
        <v/>
      </c>
      <c r="V43" s="42">
        <f>IF($D43="Actual",SUMIFS(Data_Actuals!$G$2:$G$5000,Data_Actuals!$A$2:$A$5000,$A43,Data_Actuals!$B$2:$B$5000,$B$2),"")</f>
        <v/>
      </c>
      <c r="W43" s="42">
        <f>SUMIFS(Plan_Inputs!$C$2:$C$5000,Plan_Inputs!$A$2:$A$5000,$A43,Plan_Inputs!$B$2:$B$5000,$B$2)</f>
        <v/>
      </c>
      <c r="X43" s="43">
        <f>SUMIFS(Plan_Inputs!$D$2:$D$5000,Plan_Inputs!$A$2:$A$5000,$A43,Plan_Inputs!$B$2:$B$5000,$B$2)</f>
        <v/>
      </c>
      <c r="Y43" s="42">
        <f>E43</f>
        <v/>
      </c>
      <c r="Z43" s="44">
        <f>INDEX(Calendar!$H$5:$L$52,MATCH($A43,Calendar!$A$5:$A$52,0),MATCH($D$2,Calendar!$H$4:$L$4,0))</f>
        <v/>
      </c>
      <c r="AA43" s="44">
        <f>INDEX(Calendar!$M$5:$M$52,MATCH($A43,Calendar!$A$5:$A$52,0))</f>
        <v/>
      </c>
      <c r="AB43" s="45">
        <f>IF($D43="Actual",IFERROR(S43/Y43,""),AB31)</f>
        <v/>
      </c>
      <c r="AC43" s="46">
        <f>IF($D43="Actual",IFERROR(U43/T43/Z43/AA43,""),AC31)</f>
        <v/>
      </c>
      <c r="AD43" s="43">
        <f>IF($D43="Actual",IFERROR(V43/(U43+V43),""),AD31)</f>
        <v/>
      </c>
      <c r="AE43" s="46">
        <f>IFERROR(AC43*Z43*AA43,"")</f>
        <v/>
      </c>
      <c r="AF43" s="47">
        <f>K31</f>
        <v/>
      </c>
      <c r="AG43" s="43">
        <f>IF($D43="Forecast",IFERROR(K43/AF43-1,""),"")</f>
        <v/>
      </c>
    </row>
    <row r="44">
      <c r="A44" s="8" t="n">
        <v>46539</v>
      </c>
      <c r="B44" s="26">
        <f>YEAR(A44)</f>
        <v/>
      </c>
      <c r="C44" s="26">
        <f>MONTH(A44)</f>
        <v/>
      </c>
      <c r="D44">
        <f>IF(A44&lt;=LastActual,"Actual","Forecast")</f>
        <v/>
      </c>
      <c r="E44" s="24">
        <f>IF($D44="Actual",R44,W44)</f>
        <v/>
      </c>
      <c r="F44" s="27">
        <f>IF($D44="Actual",S44,Cases_Forecast!AL37)</f>
        <v/>
      </c>
      <c r="G44" s="9">
        <f>IF($D44="Actual",T44,IFERROR(H44/AE44,0))</f>
        <v/>
      </c>
      <c r="H44" s="24">
        <f>IF($D44="Actual",U44,J44-I44)</f>
        <v/>
      </c>
      <c r="I44" s="24">
        <f>IF($D44="Actual",V44,IFERROR(J44*AD44,0))</f>
        <v/>
      </c>
      <c r="J44" s="24">
        <f>IF($D44="Actual",U44+V44,E44*X44)</f>
        <v/>
      </c>
      <c r="K44" s="28">
        <f>IFERROR(F44/G44,0)</f>
        <v/>
      </c>
      <c r="L44" s="29">
        <f>IFERROR(H44/G44,0)</f>
        <v/>
      </c>
      <c r="M44" s="30">
        <f>IFERROR(J44/F44,0)</f>
        <v/>
      </c>
      <c r="N44" s="10">
        <f>IFERROR(J44/E44,0)</f>
        <v/>
      </c>
      <c r="O44" s="10">
        <f>IFERROR(I44/J44,0)</f>
        <v/>
      </c>
      <c r="R44" s="42">
        <f>IF($D44="Actual",SUMIFS(Data_Actuals!$C$2:$C$5000,Data_Actuals!$A$2:$A$5000,$A44,Data_Actuals!$B$2:$B$5000,$B$2),"")</f>
        <v/>
      </c>
      <c r="S44" s="42">
        <f>IF($D44="Actual",SUMIFS(Data_Actuals!$D$2:$D$5000,Data_Actuals!$A$2:$A$5000,$A44,Data_Actuals!$B$2:$B$5000,$B$2),"")</f>
        <v/>
      </c>
      <c r="T44" s="42">
        <f>IF($D44="Actual",SUMIFS(Data_Actuals!$E$2:$E$5000,Data_Actuals!$A$2:$A$5000,$A44,Data_Actuals!$B$2:$B$5000,$B$2),"")</f>
        <v/>
      </c>
      <c r="U44" s="42">
        <f>IF($D44="Actual",SUMIFS(Data_Actuals!$F$2:$F$5000,Data_Actuals!$A$2:$A$5000,$A44,Data_Actuals!$B$2:$B$5000,$B$2),"")</f>
        <v/>
      </c>
      <c r="V44" s="42">
        <f>IF($D44="Actual",SUMIFS(Data_Actuals!$G$2:$G$5000,Data_Actuals!$A$2:$A$5000,$A44,Data_Actuals!$B$2:$B$5000,$B$2),"")</f>
        <v/>
      </c>
      <c r="W44" s="42">
        <f>SUMIFS(Plan_Inputs!$C$2:$C$5000,Plan_Inputs!$A$2:$A$5000,$A44,Plan_Inputs!$B$2:$B$5000,$B$2)</f>
        <v/>
      </c>
      <c r="X44" s="43">
        <f>SUMIFS(Plan_Inputs!$D$2:$D$5000,Plan_Inputs!$A$2:$A$5000,$A44,Plan_Inputs!$B$2:$B$5000,$B$2)</f>
        <v/>
      </c>
      <c r="Y44" s="42">
        <f>E44</f>
        <v/>
      </c>
      <c r="Z44" s="44">
        <f>INDEX(Calendar!$H$5:$L$52,MATCH($A44,Calendar!$A$5:$A$52,0),MATCH($D$2,Calendar!$H$4:$L$4,0))</f>
        <v/>
      </c>
      <c r="AA44" s="44">
        <f>INDEX(Calendar!$M$5:$M$52,MATCH($A44,Calendar!$A$5:$A$52,0))</f>
        <v/>
      </c>
      <c r="AB44" s="45">
        <f>IF($D44="Actual",IFERROR(S44/Y44,""),AB32)</f>
        <v/>
      </c>
      <c r="AC44" s="46">
        <f>IF($D44="Actual",IFERROR(U44/T44/Z44/AA44,""),AC32)</f>
        <v/>
      </c>
      <c r="AD44" s="43">
        <f>IF($D44="Actual",IFERROR(V44/(U44+V44),""),AD32)</f>
        <v/>
      </c>
      <c r="AE44" s="46">
        <f>IFERROR(AC44*Z44*AA44,"")</f>
        <v/>
      </c>
      <c r="AF44" s="47">
        <f>K32</f>
        <v/>
      </c>
      <c r="AG44" s="43">
        <f>IF($D44="Forecast",IFERROR(K44/AF44-1,""),"")</f>
        <v/>
      </c>
    </row>
    <row r="45">
      <c r="A45" s="8" t="n">
        <v>46569</v>
      </c>
      <c r="B45" s="26">
        <f>YEAR(A45)</f>
        <v/>
      </c>
      <c r="C45" s="26">
        <f>MONTH(A45)</f>
        <v/>
      </c>
      <c r="D45">
        <f>IF(A45&lt;=LastActual,"Actual","Forecast")</f>
        <v/>
      </c>
      <c r="E45" s="24">
        <f>IF($D45="Actual",R45,W45)</f>
        <v/>
      </c>
      <c r="F45" s="27">
        <f>IF($D45="Actual",S45,Cases_Forecast!AL38)</f>
        <v/>
      </c>
      <c r="G45" s="9">
        <f>IF($D45="Actual",T45,IFERROR(H45/AE45,0))</f>
        <v/>
      </c>
      <c r="H45" s="24">
        <f>IF($D45="Actual",U45,J45-I45)</f>
        <v/>
      </c>
      <c r="I45" s="24">
        <f>IF($D45="Actual",V45,IFERROR(J45*AD45,0))</f>
        <v/>
      </c>
      <c r="J45" s="24">
        <f>IF($D45="Actual",U45+V45,E45*X45)</f>
        <v/>
      </c>
      <c r="K45" s="28">
        <f>IFERROR(F45/G45,0)</f>
        <v/>
      </c>
      <c r="L45" s="29">
        <f>IFERROR(H45/G45,0)</f>
        <v/>
      </c>
      <c r="M45" s="30">
        <f>IFERROR(J45/F45,0)</f>
        <v/>
      </c>
      <c r="N45" s="10">
        <f>IFERROR(J45/E45,0)</f>
        <v/>
      </c>
      <c r="O45" s="10">
        <f>IFERROR(I45/J45,0)</f>
        <v/>
      </c>
      <c r="R45" s="42">
        <f>IF($D45="Actual",SUMIFS(Data_Actuals!$C$2:$C$5000,Data_Actuals!$A$2:$A$5000,$A45,Data_Actuals!$B$2:$B$5000,$B$2),"")</f>
        <v/>
      </c>
      <c r="S45" s="42">
        <f>IF($D45="Actual",SUMIFS(Data_Actuals!$D$2:$D$5000,Data_Actuals!$A$2:$A$5000,$A45,Data_Actuals!$B$2:$B$5000,$B$2),"")</f>
        <v/>
      </c>
      <c r="T45" s="42">
        <f>IF($D45="Actual",SUMIFS(Data_Actuals!$E$2:$E$5000,Data_Actuals!$A$2:$A$5000,$A45,Data_Actuals!$B$2:$B$5000,$B$2),"")</f>
        <v/>
      </c>
      <c r="U45" s="42">
        <f>IF($D45="Actual",SUMIFS(Data_Actuals!$F$2:$F$5000,Data_Actuals!$A$2:$A$5000,$A45,Data_Actuals!$B$2:$B$5000,$B$2),"")</f>
        <v/>
      </c>
      <c r="V45" s="42">
        <f>IF($D45="Actual",SUMIFS(Data_Actuals!$G$2:$G$5000,Data_Actuals!$A$2:$A$5000,$A45,Data_Actuals!$B$2:$B$5000,$B$2),"")</f>
        <v/>
      </c>
      <c r="W45" s="42">
        <f>SUMIFS(Plan_Inputs!$C$2:$C$5000,Plan_Inputs!$A$2:$A$5000,$A45,Plan_Inputs!$B$2:$B$5000,$B$2)</f>
        <v/>
      </c>
      <c r="X45" s="43">
        <f>SUMIFS(Plan_Inputs!$D$2:$D$5000,Plan_Inputs!$A$2:$A$5000,$A45,Plan_Inputs!$B$2:$B$5000,$B$2)</f>
        <v/>
      </c>
      <c r="Y45" s="42">
        <f>E45</f>
        <v/>
      </c>
      <c r="Z45" s="44">
        <f>INDEX(Calendar!$H$5:$L$52,MATCH($A45,Calendar!$A$5:$A$52,0),MATCH($D$2,Calendar!$H$4:$L$4,0))</f>
        <v/>
      </c>
      <c r="AA45" s="44">
        <f>INDEX(Calendar!$M$5:$M$52,MATCH($A45,Calendar!$A$5:$A$52,0))</f>
        <v/>
      </c>
      <c r="AB45" s="45">
        <f>IF($D45="Actual",IFERROR(S45/Y45,""),AB33)</f>
        <v/>
      </c>
      <c r="AC45" s="46">
        <f>IF($D45="Actual",IFERROR(U45/T45/Z45/AA45,""),AC33)</f>
        <v/>
      </c>
      <c r="AD45" s="43">
        <f>IF($D45="Actual",IFERROR(V45/(U45+V45),""),AD33)</f>
        <v/>
      </c>
      <c r="AE45" s="46">
        <f>IFERROR(AC45*Z45*AA45,"")</f>
        <v/>
      </c>
      <c r="AF45" s="47">
        <f>K33</f>
        <v/>
      </c>
      <c r="AG45" s="43">
        <f>IF($D45="Forecast",IFERROR(K45/AF45-1,""),"")</f>
        <v/>
      </c>
    </row>
    <row r="46">
      <c r="A46" s="8" t="n">
        <v>46600</v>
      </c>
      <c r="B46" s="26">
        <f>YEAR(A46)</f>
        <v/>
      </c>
      <c r="C46" s="26">
        <f>MONTH(A46)</f>
        <v/>
      </c>
      <c r="D46">
        <f>IF(A46&lt;=LastActual,"Actual","Forecast")</f>
        <v/>
      </c>
      <c r="E46" s="24">
        <f>IF($D46="Actual",R46,W46)</f>
        <v/>
      </c>
      <c r="F46" s="27">
        <f>IF($D46="Actual",S46,Cases_Forecast!AL39)</f>
        <v/>
      </c>
      <c r="G46" s="9">
        <f>IF($D46="Actual",T46,IFERROR(H46/AE46,0))</f>
        <v/>
      </c>
      <c r="H46" s="24">
        <f>IF($D46="Actual",U46,J46-I46)</f>
        <v/>
      </c>
      <c r="I46" s="24">
        <f>IF($D46="Actual",V46,IFERROR(J46*AD46,0))</f>
        <v/>
      </c>
      <c r="J46" s="24">
        <f>IF($D46="Actual",U46+V46,E46*X46)</f>
        <v/>
      </c>
      <c r="K46" s="28">
        <f>IFERROR(F46/G46,0)</f>
        <v/>
      </c>
      <c r="L46" s="29">
        <f>IFERROR(H46/G46,0)</f>
        <v/>
      </c>
      <c r="M46" s="30">
        <f>IFERROR(J46/F46,0)</f>
        <v/>
      </c>
      <c r="N46" s="10">
        <f>IFERROR(J46/E46,0)</f>
        <v/>
      </c>
      <c r="O46" s="10">
        <f>IFERROR(I46/J46,0)</f>
        <v/>
      </c>
      <c r="R46" s="42">
        <f>IF($D46="Actual",SUMIFS(Data_Actuals!$C$2:$C$5000,Data_Actuals!$A$2:$A$5000,$A46,Data_Actuals!$B$2:$B$5000,$B$2),"")</f>
        <v/>
      </c>
      <c r="S46" s="42">
        <f>IF($D46="Actual",SUMIFS(Data_Actuals!$D$2:$D$5000,Data_Actuals!$A$2:$A$5000,$A46,Data_Actuals!$B$2:$B$5000,$B$2),"")</f>
        <v/>
      </c>
      <c r="T46" s="42">
        <f>IF($D46="Actual",SUMIFS(Data_Actuals!$E$2:$E$5000,Data_Actuals!$A$2:$A$5000,$A46,Data_Actuals!$B$2:$B$5000,$B$2),"")</f>
        <v/>
      </c>
      <c r="U46" s="42">
        <f>IF($D46="Actual",SUMIFS(Data_Actuals!$F$2:$F$5000,Data_Actuals!$A$2:$A$5000,$A46,Data_Actuals!$B$2:$B$5000,$B$2),"")</f>
        <v/>
      </c>
      <c r="V46" s="42">
        <f>IF($D46="Actual",SUMIFS(Data_Actuals!$G$2:$G$5000,Data_Actuals!$A$2:$A$5000,$A46,Data_Actuals!$B$2:$B$5000,$B$2),"")</f>
        <v/>
      </c>
      <c r="W46" s="42">
        <f>SUMIFS(Plan_Inputs!$C$2:$C$5000,Plan_Inputs!$A$2:$A$5000,$A46,Plan_Inputs!$B$2:$B$5000,$B$2)</f>
        <v/>
      </c>
      <c r="X46" s="43">
        <f>SUMIFS(Plan_Inputs!$D$2:$D$5000,Plan_Inputs!$A$2:$A$5000,$A46,Plan_Inputs!$B$2:$B$5000,$B$2)</f>
        <v/>
      </c>
      <c r="Y46" s="42">
        <f>E46</f>
        <v/>
      </c>
      <c r="Z46" s="44">
        <f>INDEX(Calendar!$H$5:$L$52,MATCH($A46,Calendar!$A$5:$A$52,0),MATCH($D$2,Calendar!$H$4:$L$4,0))</f>
        <v/>
      </c>
      <c r="AA46" s="44">
        <f>INDEX(Calendar!$M$5:$M$52,MATCH($A46,Calendar!$A$5:$A$52,0))</f>
        <v/>
      </c>
      <c r="AB46" s="45">
        <f>IF($D46="Actual",IFERROR(S46/Y46,""),AB34)</f>
        <v/>
      </c>
      <c r="AC46" s="46">
        <f>IF($D46="Actual",IFERROR(U46/T46/Z46/AA46,""),AC34)</f>
        <v/>
      </c>
      <c r="AD46" s="43">
        <f>IF($D46="Actual",IFERROR(V46/(U46+V46),""),AD34)</f>
        <v/>
      </c>
      <c r="AE46" s="46">
        <f>IFERROR(AC46*Z46*AA46,"")</f>
        <v/>
      </c>
      <c r="AF46" s="47">
        <f>K34</f>
        <v/>
      </c>
      <c r="AG46" s="43">
        <f>IF($D46="Forecast",IFERROR(K46/AF46-1,""),"")</f>
        <v/>
      </c>
    </row>
    <row r="47">
      <c r="A47" s="8" t="n">
        <v>46631</v>
      </c>
      <c r="B47" s="26">
        <f>YEAR(A47)</f>
        <v/>
      </c>
      <c r="C47" s="26">
        <f>MONTH(A47)</f>
        <v/>
      </c>
      <c r="D47">
        <f>IF(A47&lt;=LastActual,"Actual","Forecast")</f>
        <v/>
      </c>
      <c r="E47" s="24">
        <f>IF($D47="Actual",R47,W47)</f>
        <v/>
      </c>
      <c r="F47" s="27">
        <f>IF($D47="Actual",S47,Cases_Forecast!AL40)</f>
        <v/>
      </c>
      <c r="G47" s="9">
        <f>IF($D47="Actual",T47,IFERROR(H47/AE47,0))</f>
        <v/>
      </c>
      <c r="H47" s="24">
        <f>IF($D47="Actual",U47,J47-I47)</f>
        <v/>
      </c>
      <c r="I47" s="24">
        <f>IF($D47="Actual",V47,IFERROR(J47*AD47,0))</f>
        <v/>
      </c>
      <c r="J47" s="24">
        <f>IF($D47="Actual",U47+V47,E47*X47)</f>
        <v/>
      </c>
      <c r="K47" s="28">
        <f>IFERROR(F47/G47,0)</f>
        <v/>
      </c>
      <c r="L47" s="29">
        <f>IFERROR(H47/G47,0)</f>
        <v/>
      </c>
      <c r="M47" s="30">
        <f>IFERROR(J47/F47,0)</f>
        <v/>
      </c>
      <c r="N47" s="10">
        <f>IFERROR(J47/E47,0)</f>
        <v/>
      </c>
      <c r="O47" s="10">
        <f>IFERROR(I47/J47,0)</f>
        <v/>
      </c>
      <c r="R47" s="42">
        <f>IF($D47="Actual",SUMIFS(Data_Actuals!$C$2:$C$5000,Data_Actuals!$A$2:$A$5000,$A47,Data_Actuals!$B$2:$B$5000,$B$2),"")</f>
        <v/>
      </c>
      <c r="S47" s="42">
        <f>IF($D47="Actual",SUMIFS(Data_Actuals!$D$2:$D$5000,Data_Actuals!$A$2:$A$5000,$A47,Data_Actuals!$B$2:$B$5000,$B$2),"")</f>
        <v/>
      </c>
      <c r="T47" s="42">
        <f>IF($D47="Actual",SUMIFS(Data_Actuals!$E$2:$E$5000,Data_Actuals!$A$2:$A$5000,$A47,Data_Actuals!$B$2:$B$5000,$B$2),"")</f>
        <v/>
      </c>
      <c r="U47" s="42">
        <f>IF($D47="Actual",SUMIFS(Data_Actuals!$F$2:$F$5000,Data_Actuals!$A$2:$A$5000,$A47,Data_Actuals!$B$2:$B$5000,$B$2),"")</f>
        <v/>
      </c>
      <c r="V47" s="42">
        <f>IF($D47="Actual",SUMIFS(Data_Actuals!$G$2:$G$5000,Data_Actuals!$A$2:$A$5000,$A47,Data_Actuals!$B$2:$B$5000,$B$2),"")</f>
        <v/>
      </c>
      <c r="W47" s="42">
        <f>SUMIFS(Plan_Inputs!$C$2:$C$5000,Plan_Inputs!$A$2:$A$5000,$A47,Plan_Inputs!$B$2:$B$5000,$B$2)</f>
        <v/>
      </c>
      <c r="X47" s="43">
        <f>SUMIFS(Plan_Inputs!$D$2:$D$5000,Plan_Inputs!$A$2:$A$5000,$A47,Plan_Inputs!$B$2:$B$5000,$B$2)</f>
        <v/>
      </c>
      <c r="Y47" s="42">
        <f>E47</f>
        <v/>
      </c>
      <c r="Z47" s="44">
        <f>INDEX(Calendar!$H$5:$L$52,MATCH($A47,Calendar!$A$5:$A$52,0),MATCH($D$2,Calendar!$H$4:$L$4,0))</f>
        <v/>
      </c>
      <c r="AA47" s="44">
        <f>INDEX(Calendar!$M$5:$M$52,MATCH($A47,Calendar!$A$5:$A$52,0))</f>
        <v/>
      </c>
      <c r="AB47" s="45">
        <f>IF($D47="Actual",IFERROR(S47/Y47,""),AB35)</f>
        <v/>
      </c>
      <c r="AC47" s="46">
        <f>IF($D47="Actual",IFERROR(U47/T47/Z47/AA47,""),AC35)</f>
        <v/>
      </c>
      <c r="AD47" s="43">
        <f>IF($D47="Actual",IFERROR(V47/(U47+V47),""),AD35)</f>
        <v/>
      </c>
      <c r="AE47" s="46">
        <f>IFERROR(AC47*Z47*AA47,"")</f>
        <v/>
      </c>
      <c r="AF47" s="47">
        <f>K35</f>
        <v/>
      </c>
      <c r="AG47" s="43">
        <f>IF($D47="Forecast",IFERROR(K47/AF47-1,""),"")</f>
        <v/>
      </c>
    </row>
    <row r="48">
      <c r="A48" s="8" t="n">
        <v>46661</v>
      </c>
      <c r="B48" s="26">
        <f>YEAR(A48)</f>
        <v/>
      </c>
      <c r="C48" s="26">
        <f>MONTH(A48)</f>
        <v/>
      </c>
      <c r="D48">
        <f>IF(A48&lt;=LastActual,"Actual","Forecast")</f>
        <v/>
      </c>
      <c r="E48" s="24">
        <f>IF($D48="Actual",R48,W48)</f>
        <v/>
      </c>
      <c r="F48" s="27">
        <f>IF($D48="Actual",S48,Cases_Forecast!AL41)</f>
        <v/>
      </c>
      <c r="G48" s="9">
        <f>IF($D48="Actual",T48,IFERROR(H48/AE48,0))</f>
        <v/>
      </c>
      <c r="H48" s="24">
        <f>IF($D48="Actual",U48,J48-I48)</f>
        <v/>
      </c>
      <c r="I48" s="24">
        <f>IF($D48="Actual",V48,IFERROR(J48*AD48,0))</f>
        <v/>
      </c>
      <c r="J48" s="24">
        <f>IF($D48="Actual",U48+V48,E48*X48)</f>
        <v/>
      </c>
      <c r="K48" s="28">
        <f>IFERROR(F48/G48,0)</f>
        <v/>
      </c>
      <c r="L48" s="29">
        <f>IFERROR(H48/G48,0)</f>
        <v/>
      </c>
      <c r="M48" s="30">
        <f>IFERROR(J48/F48,0)</f>
        <v/>
      </c>
      <c r="N48" s="10">
        <f>IFERROR(J48/E48,0)</f>
        <v/>
      </c>
      <c r="O48" s="10">
        <f>IFERROR(I48/J48,0)</f>
        <v/>
      </c>
      <c r="R48" s="42">
        <f>IF($D48="Actual",SUMIFS(Data_Actuals!$C$2:$C$5000,Data_Actuals!$A$2:$A$5000,$A48,Data_Actuals!$B$2:$B$5000,$B$2),"")</f>
        <v/>
      </c>
      <c r="S48" s="42">
        <f>IF($D48="Actual",SUMIFS(Data_Actuals!$D$2:$D$5000,Data_Actuals!$A$2:$A$5000,$A48,Data_Actuals!$B$2:$B$5000,$B$2),"")</f>
        <v/>
      </c>
      <c r="T48" s="42">
        <f>IF($D48="Actual",SUMIFS(Data_Actuals!$E$2:$E$5000,Data_Actuals!$A$2:$A$5000,$A48,Data_Actuals!$B$2:$B$5000,$B$2),"")</f>
        <v/>
      </c>
      <c r="U48" s="42">
        <f>IF($D48="Actual",SUMIFS(Data_Actuals!$F$2:$F$5000,Data_Actuals!$A$2:$A$5000,$A48,Data_Actuals!$B$2:$B$5000,$B$2),"")</f>
        <v/>
      </c>
      <c r="V48" s="42">
        <f>IF($D48="Actual",SUMIFS(Data_Actuals!$G$2:$G$5000,Data_Actuals!$A$2:$A$5000,$A48,Data_Actuals!$B$2:$B$5000,$B$2),"")</f>
        <v/>
      </c>
      <c r="W48" s="42">
        <f>SUMIFS(Plan_Inputs!$C$2:$C$5000,Plan_Inputs!$A$2:$A$5000,$A48,Plan_Inputs!$B$2:$B$5000,$B$2)</f>
        <v/>
      </c>
      <c r="X48" s="43">
        <f>SUMIFS(Plan_Inputs!$D$2:$D$5000,Plan_Inputs!$A$2:$A$5000,$A48,Plan_Inputs!$B$2:$B$5000,$B$2)</f>
        <v/>
      </c>
      <c r="Y48" s="42">
        <f>E48</f>
        <v/>
      </c>
      <c r="Z48" s="44">
        <f>INDEX(Calendar!$H$5:$L$52,MATCH($A48,Calendar!$A$5:$A$52,0),MATCH($D$2,Calendar!$H$4:$L$4,0))</f>
        <v/>
      </c>
      <c r="AA48" s="44">
        <f>INDEX(Calendar!$M$5:$M$52,MATCH($A48,Calendar!$A$5:$A$52,0))</f>
        <v/>
      </c>
      <c r="AB48" s="45">
        <f>IF($D48="Actual",IFERROR(S48/Y48,""),AB36)</f>
        <v/>
      </c>
      <c r="AC48" s="46">
        <f>IF($D48="Actual",IFERROR(U48/T48/Z48/AA48,""),AC36)</f>
        <v/>
      </c>
      <c r="AD48" s="43">
        <f>IF($D48="Actual",IFERROR(V48/(U48+V48),""),AD36)</f>
        <v/>
      </c>
      <c r="AE48" s="46">
        <f>IFERROR(AC48*Z48*AA48,"")</f>
        <v/>
      </c>
      <c r="AF48" s="47">
        <f>K36</f>
        <v/>
      </c>
      <c r="AG48" s="43">
        <f>IF($D48="Forecast",IFERROR(K48/AF48-1,""),"")</f>
        <v/>
      </c>
    </row>
    <row r="49">
      <c r="A49" s="8" t="n">
        <v>46692</v>
      </c>
      <c r="B49" s="26">
        <f>YEAR(A49)</f>
        <v/>
      </c>
      <c r="C49" s="26">
        <f>MONTH(A49)</f>
        <v/>
      </c>
      <c r="D49">
        <f>IF(A49&lt;=LastActual,"Actual","Forecast")</f>
        <v/>
      </c>
      <c r="E49" s="24">
        <f>IF($D49="Actual",R49,W49)</f>
        <v/>
      </c>
      <c r="F49" s="27">
        <f>IF($D49="Actual",S49,Cases_Forecast!AL42)</f>
        <v/>
      </c>
      <c r="G49" s="9">
        <f>IF($D49="Actual",T49,IFERROR(H49/AE49,0))</f>
        <v/>
      </c>
      <c r="H49" s="24">
        <f>IF($D49="Actual",U49,J49-I49)</f>
        <v/>
      </c>
      <c r="I49" s="24">
        <f>IF($D49="Actual",V49,IFERROR(J49*AD49,0))</f>
        <v/>
      </c>
      <c r="J49" s="24">
        <f>IF($D49="Actual",U49+V49,E49*X49)</f>
        <v/>
      </c>
      <c r="K49" s="28">
        <f>IFERROR(F49/G49,0)</f>
        <v/>
      </c>
      <c r="L49" s="29">
        <f>IFERROR(H49/G49,0)</f>
        <v/>
      </c>
      <c r="M49" s="30">
        <f>IFERROR(J49/F49,0)</f>
        <v/>
      </c>
      <c r="N49" s="10">
        <f>IFERROR(J49/E49,0)</f>
        <v/>
      </c>
      <c r="O49" s="10">
        <f>IFERROR(I49/J49,0)</f>
        <v/>
      </c>
      <c r="R49" s="42">
        <f>IF($D49="Actual",SUMIFS(Data_Actuals!$C$2:$C$5000,Data_Actuals!$A$2:$A$5000,$A49,Data_Actuals!$B$2:$B$5000,$B$2),"")</f>
        <v/>
      </c>
      <c r="S49" s="42">
        <f>IF($D49="Actual",SUMIFS(Data_Actuals!$D$2:$D$5000,Data_Actuals!$A$2:$A$5000,$A49,Data_Actuals!$B$2:$B$5000,$B$2),"")</f>
        <v/>
      </c>
      <c r="T49" s="42">
        <f>IF($D49="Actual",SUMIFS(Data_Actuals!$E$2:$E$5000,Data_Actuals!$A$2:$A$5000,$A49,Data_Actuals!$B$2:$B$5000,$B$2),"")</f>
        <v/>
      </c>
      <c r="U49" s="42">
        <f>IF($D49="Actual",SUMIFS(Data_Actuals!$F$2:$F$5000,Data_Actuals!$A$2:$A$5000,$A49,Data_Actuals!$B$2:$B$5000,$B$2),"")</f>
        <v/>
      </c>
      <c r="V49" s="42">
        <f>IF($D49="Actual",SUMIFS(Data_Actuals!$G$2:$G$5000,Data_Actuals!$A$2:$A$5000,$A49,Data_Actuals!$B$2:$B$5000,$B$2),"")</f>
        <v/>
      </c>
      <c r="W49" s="42">
        <f>SUMIFS(Plan_Inputs!$C$2:$C$5000,Plan_Inputs!$A$2:$A$5000,$A49,Plan_Inputs!$B$2:$B$5000,$B$2)</f>
        <v/>
      </c>
      <c r="X49" s="43">
        <f>SUMIFS(Plan_Inputs!$D$2:$D$5000,Plan_Inputs!$A$2:$A$5000,$A49,Plan_Inputs!$B$2:$B$5000,$B$2)</f>
        <v/>
      </c>
      <c r="Y49" s="42">
        <f>E49</f>
        <v/>
      </c>
      <c r="Z49" s="44">
        <f>INDEX(Calendar!$H$5:$L$52,MATCH($A49,Calendar!$A$5:$A$52,0),MATCH($D$2,Calendar!$H$4:$L$4,0))</f>
        <v/>
      </c>
      <c r="AA49" s="44">
        <f>INDEX(Calendar!$M$5:$M$52,MATCH($A49,Calendar!$A$5:$A$52,0))</f>
        <v/>
      </c>
      <c r="AB49" s="45">
        <f>IF($D49="Actual",IFERROR(S49/Y49,""),AB37)</f>
        <v/>
      </c>
      <c r="AC49" s="46">
        <f>IF($D49="Actual",IFERROR(U49/T49/Z49/AA49,""),AC37)</f>
        <v/>
      </c>
      <c r="AD49" s="43">
        <f>IF($D49="Actual",IFERROR(V49/(U49+V49),""),AD37)</f>
        <v/>
      </c>
      <c r="AE49" s="46">
        <f>IFERROR(AC49*Z49*AA49,"")</f>
        <v/>
      </c>
      <c r="AF49" s="47">
        <f>K37</f>
        <v/>
      </c>
      <c r="AG49" s="43">
        <f>IF($D49="Forecast",IFERROR(K49/AF49-1,""),"")</f>
        <v/>
      </c>
    </row>
    <row r="50">
      <c r="A50" s="31" t="n">
        <v>46722</v>
      </c>
      <c r="B50" s="32">
        <f>YEAR(A50)</f>
        <v/>
      </c>
      <c r="C50" s="32">
        <f>MONTH(A50)</f>
        <v/>
      </c>
      <c r="D50" s="33">
        <f>IF(A50&lt;=LastActual,"Actual","Forecast")</f>
        <v/>
      </c>
      <c r="E50" s="34">
        <f>IF($D50="Actual",R50,W50)</f>
        <v/>
      </c>
      <c r="F50" s="35">
        <f>IF($D50="Actual",S50,Cases_Forecast!AL43)</f>
        <v/>
      </c>
      <c r="G50" s="36">
        <f>IF($D50="Actual",T50,IFERROR(H50/AE50,0))</f>
        <v/>
      </c>
      <c r="H50" s="34">
        <f>IF($D50="Actual",U50,J50-I50)</f>
        <v/>
      </c>
      <c r="I50" s="34">
        <f>IF($D50="Actual",V50,IFERROR(J50*AD50,0))</f>
        <v/>
      </c>
      <c r="J50" s="34">
        <f>IF($D50="Actual",U50+V50,E50*X50)</f>
        <v/>
      </c>
      <c r="K50" s="37">
        <f>IFERROR(F50/G50,0)</f>
        <v/>
      </c>
      <c r="L50" s="38">
        <f>IFERROR(H50/G50,0)</f>
        <v/>
      </c>
      <c r="M50" s="39">
        <f>IFERROR(J50/F50,0)</f>
        <v/>
      </c>
      <c r="N50" s="40">
        <f>IFERROR(J50/E50,0)</f>
        <v/>
      </c>
      <c r="O50" s="40">
        <f>IFERROR(I50/J50,0)</f>
        <v/>
      </c>
      <c r="R50" s="42">
        <f>IF($D50="Actual",SUMIFS(Data_Actuals!$C$2:$C$5000,Data_Actuals!$A$2:$A$5000,$A50,Data_Actuals!$B$2:$B$5000,$B$2),"")</f>
        <v/>
      </c>
      <c r="S50" s="42">
        <f>IF($D50="Actual",SUMIFS(Data_Actuals!$D$2:$D$5000,Data_Actuals!$A$2:$A$5000,$A50,Data_Actuals!$B$2:$B$5000,$B$2),"")</f>
        <v/>
      </c>
      <c r="T50" s="42">
        <f>IF($D50="Actual",SUMIFS(Data_Actuals!$E$2:$E$5000,Data_Actuals!$A$2:$A$5000,$A50,Data_Actuals!$B$2:$B$5000,$B$2),"")</f>
        <v/>
      </c>
      <c r="U50" s="42">
        <f>IF($D50="Actual",SUMIFS(Data_Actuals!$F$2:$F$5000,Data_Actuals!$A$2:$A$5000,$A50,Data_Actuals!$B$2:$B$5000,$B$2),"")</f>
        <v/>
      </c>
      <c r="V50" s="42">
        <f>IF($D50="Actual",SUMIFS(Data_Actuals!$G$2:$G$5000,Data_Actuals!$A$2:$A$5000,$A50,Data_Actuals!$B$2:$B$5000,$B$2),"")</f>
        <v/>
      </c>
      <c r="W50" s="42">
        <f>SUMIFS(Plan_Inputs!$C$2:$C$5000,Plan_Inputs!$A$2:$A$5000,$A50,Plan_Inputs!$B$2:$B$5000,$B$2)</f>
        <v/>
      </c>
      <c r="X50" s="43">
        <f>SUMIFS(Plan_Inputs!$D$2:$D$5000,Plan_Inputs!$A$2:$A$5000,$A50,Plan_Inputs!$B$2:$B$5000,$B$2)</f>
        <v/>
      </c>
      <c r="Y50" s="42">
        <f>E50</f>
        <v/>
      </c>
      <c r="Z50" s="44">
        <f>INDEX(Calendar!$H$5:$L$52,MATCH($A50,Calendar!$A$5:$A$52,0),MATCH($D$2,Calendar!$H$4:$L$4,0))</f>
        <v/>
      </c>
      <c r="AA50" s="44">
        <f>INDEX(Calendar!$M$5:$M$52,MATCH($A50,Calendar!$A$5:$A$52,0))</f>
        <v/>
      </c>
      <c r="AB50" s="45">
        <f>IF($D50="Actual",IFERROR(S50/Y50,""),AB38)</f>
        <v/>
      </c>
      <c r="AC50" s="46">
        <f>IF($D50="Actual",IFERROR(U50/T50/Z50/AA50,""),AC38)</f>
        <v/>
      </c>
      <c r="AD50" s="43">
        <f>IF($D50="Actual",IFERROR(V50/(U50+V50),""),AD38)</f>
        <v/>
      </c>
      <c r="AE50" s="46">
        <f>IFERROR(AC50*Z50*AA50,"")</f>
        <v/>
      </c>
      <c r="AF50" s="47">
        <f>K38</f>
        <v/>
      </c>
      <c r="AG50" s="43">
        <f>IF($D50="Forecast",IFERROR(K50/AF50-1,""),"")</f>
        <v/>
      </c>
    </row>
    <row r="51">
      <c r="A51" s="8" t="n">
        <v>46753</v>
      </c>
      <c r="B51" s="26">
        <f>YEAR(A51)</f>
        <v/>
      </c>
      <c r="C51" s="26">
        <f>MONTH(A51)</f>
        <v/>
      </c>
      <c r="D51">
        <f>IF(A51&lt;=LastActual,"Actual","Forecast")</f>
        <v/>
      </c>
      <c r="E51" s="24">
        <f>IF($D51="Actual",R51,W51)</f>
        <v/>
      </c>
      <c r="F51" s="27">
        <f>IF($D51="Actual",S51,Cases_Forecast!AL44)</f>
        <v/>
      </c>
      <c r="G51" s="9">
        <f>IF($D51="Actual",T51,IFERROR(H51/AE51,0))</f>
        <v/>
      </c>
      <c r="H51" s="24">
        <f>IF($D51="Actual",U51,J51-I51)</f>
        <v/>
      </c>
      <c r="I51" s="24">
        <f>IF($D51="Actual",V51,IFERROR(J51*AD51,0))</f>
        <v/>
      </c>
      <c r="J51" s="24">
        <f>IF($D51="Actual",U51+V51,E51*X51)</f>
        <v/>
      </c>
      <c r="K51" s="28">
        <f>IFERROR(F51/G51,0)</f>
        <v/>
      </c>
      <c r="L51" s="29">
        <f>IFERROR(H51/G51,0)</f>
        <v/>
      </c>
      <c r="M51" s="30">
        <f>IFERROR(J51/F51,0)</f>
        <v/>
      </c>
      <c r="N51" s="10">
        <f>IFERROR(J51/E51,0)</f>
        <v/>
      </c>
      <c r="O51" s="10">
        <f>IFERROR(I51/J51,0)</f>
        <v/>
      </c>
      <c r="R51" s="42">
        <f>IF($D51="Actual",SUMIFS(Data_Actuals!$C$2:$C$5000,Data_Actuals!$A$2:$A$5000,$A51,Data_Actuals!$B$2:$B$5000,$B$2),"")</f>
        <v/>
      </c>
      <c r="S51" s="42">
        <f>IF($D51="Actual",SUMIFS(Data_Actuals!$D$2:$D$5000,Data_Actuals!$A$2:$A$5000,$A51,Data_Actuals!$B$2:$B$5000,$B$2),"")</f>
        <v/>
      </c>
      <c r="T51" s="42">
        <f>IF($D51="Actual",SUMIFS(Data_Actuals!$E$2:$E$5000,Data_Actuals!$A$2:$A$5000,$A51,Data_Actuals!$B$2:$B$5000,$B$2),"")</f>
        <v/>
      </c>
      <c r="U51" s="42">
        <f>IF($D51="Actual",SUMIFS(Data_Actuals!$F$2:$F$5000,Data_Actuals!$A$2:$A$5000,$A51,Data_Actuals!$B$2:$B$5000,$B$2),"")</f>
        <v/>
      </c>
      <c r="V51" s="42">
        <f>IF($D51="Actual",SUMIFS(Data_Actuals!$G$2:$G$5000,Data_Actuals!$A$2:$A$5000,$A51,Data_Actuals!$B$2:$B$5000,$B$2),"")</f>
        <v/>
      </c>
      <c r="W51" s="42">
        <f>SUMIFS(Plan_Inputs!$C$2:$C$5000,Plan_Inputs!$A$2:$A$5000,$A51,Plan_Inputs!$B$2:$B$5000,$B$2)</f>
        <v/>
      </c>
      <c r="X51" s="43">
        <f>SUMIFS(Plan_Inputs!$D$2:$D$5000,Plan_Inputs!$A$2:$A$5000,$A51,Plan_Inputs!$B$2:$B$5000,$B$2)</f>
        <v/>
      </c>
      <c r="Y51" s="42">
        <f>E51</f>
        <v/>
      </c>
      <c r="Z51" s="44">
        <f>INDEX(Calendar!$H$5:$L$52,MATCH($A51,Calendar!$A$5:$A$52,0),MATCH($D$2,Calendar!$H$4:$L$4,0))</f>
        <v/>
      </c>
      <c r="AA51" s="44">
        <f>INDEX(Calendar!$M$5:$M$52,MATCH($A51,Calendar!$A$5:$A$52,0))</f>
        <v/>
      </c>
      <c r="AB51" s="45">
        <f>IF($D51="Actual",IFERROR(S51/Y51,""),AB39)</f>
        <v/>
      </c>
      <c r="AC51" s="46">
        <f>IF($D51="Actual",IFERROR(U51/T51/Z51/AA51,""),AC39)</f>
        <v/>
      </c>
      <c r="AD51" s="43">
        <f>IF($D51="Actual",IFERROR(V51/(U51+V51),""),AD39)</f>
        <v/>
      </c>
      <c r="AE51" s="46">
        <f>IFERROR(AC51*Z51*AA51,"")</f>
        <v/>
      </c>
      <c r="AF51" s="47">
        <f>K39</f>
        <v/>
      </c>
      <c r="AG51" s="43">
        <f>IF($D51="Forecast",IFERROR(K51/AF51-1,""),"")</f>
        <v/>
      </c>
    </row>
    <row r="52">
      <c r="A52" s="8" t="n">
        <v>46784</v>
      </c>
      <c r="B52" s="26">
        <f>YEAR(A52)</f>
        <v/>
      </c>
      <c r="C52" s="26">
        <f>MONTH(A52)</f>
        <v/>
      </c>
      <c r="D52">
        <f>IF(A52&lt;=LastActual,"Actual","Forecast")</f>
        <v/>
      </c>
      <c r="E52" s="24">
        <f>IF($D52="Actual",R52,W52)</f>
        <v/>
      </c>
      <c r="F52" s="27">
        <f>IF($D52="Actual",S52,Cases_Forecast!AL45)</f>
        <v/>
      </c>
      <c r="G52" s="9">
        <f>IF($D52="Actual",T52,IFERROR(H52/AE52,0))</f>
        <v/>
      </c>
      <c r="H52" s="24">
        <f>IF($D52="Actual",U52,J52-I52)</f>
        <v/>
      </c>
      <c r="I52" s="24">
        <f>IF($D52="Actual",V52,IFERROR(J52*AD52,0))</f>
        <v/>
      </c>
      <c r="J52" s="24">
        <f>IF($D52="Actual",U52+V52,E52*X52)</f>
        <v/>
      </c>
      <c r="K52" s="28">
        <f>IFERROR(F52/G52,0)</f>
        <v/>
      </c>
      <c r="L52" s="29">
        <f>IFERROR(H52/G52,0)</f>
        <v/>
      </c>
      <c r="M52" s="30">
        <f>IFERROR(J52/F52,0)</f>
        <v/>
      </c>
      <c r="N52" s="10">
        <f>IFERROR(J52/E52,0)</f>
        <v/>
      </c>
      <c r="O52" s="10">
        <f>IFERROR(I52/J52,0)</f>
        <v/>
      </c>
      <c r="R52" s="42">
        <f>IF($D52="Actual",SUMIFS(Data_Actuals!$C$2:$C$5000,Data_Actuals!$A$2:$A$5000,$A52,Data_Actuals!$B$2:$B$5000,$B$2),"")</f>
        <v/>
      </c>
      <c r="S52" s="42">
        <f>IF($D52="Actual",SUMIFS(Data_Actuals!$D$2:$D$5000,Data_Actuals!$A$2:$A$5000,$A52,Data_Actuals!$B$2:$B$5000,$B$2),"")</f>
        <v/>
      </c>
      <c r="T52" s="42">
        <f>IF($D52="Actual",SUMIFS(Data_Actuals!$E$2:$E$5000,Data_Actuals!$A$2:$A$5000,$A52,Data_Actuals!$B$2:$B$5000,$B$2),"")</f>
        <v/>
      </c>
      <c r="U52" s="42">
        <f>IF($D52="Actual",SUMIFS(Data_Actuals!$F$2:$F$5000,Data_Actuals!$A$2:$A$5000,$A52,Data_Actuals!$B$2:$B$5000,$B$2),"")</f>
        <v/>
      </c>
      <c r="V52" s="42">
        <f>IF($D52="Actual",SUMIFS(Data_Actuals!$G$2:$G$5000,Data_Actuals!$A$2:$A$5000,$A52,Data_Actuals!$B$2:$B$5000,$B$2),"")</f>
        <v/>
      </c>
      <c r="W52" s="42">
        <f>SUMIFS(Plan_Inputs!$C$2:$C$5000,Plan_Inputs!$A$2:$A$5000,$A52,Plan_Inputs!$B$2:$B$5000,$B$2)</f>
        <v/>
      </c>
      <c r="X52" s="43">
        <f>SUMIFS(Plan_Inputs!$D$2:$D$5000,Plan_Inputs!$A$2:$A$5000,$A52,Plan_Inputs!$B$2:$B$5000,$B$2)</f>
        <v/>
      </c>
      <c r="Y52" s="42">
        <f>E52</f>
        <v/>
      </c>
      <c r="Z52" s="44">
        <f>INDEX(Calendar!$H$5:$L$52,MATCH($A52,Calendar!$A$5:$A$52,0),MATCH($D$2,Calendar!$H$4:$L$4,0))</f>
        <v/>
      </c>
      <c r="AA52" s="44">
        <f>INDEX(Calendar!$M$5:$M$52,MATCH($A52,Calendar!$A$5:$A$52,0))</f>
        <v/>
      </c>
      <c r="AB52" s="45">
        <f>IF($D52="Actual",IFERROR(S52/Y52,""),AB40)</f>
        <v/>
      </c>
      <c r="AC52" s="46">
        <f>IF($D52="Actual",IFERROR(U52/T52/Z52/AA52,""),AC40)</f>
        <v/>
      </c>
      <c r="AD52" s="43">
        <f>IF($D52="Actual",IFERROR(V52/(U52+V52),""),AD40)</f>
        <v/>
      </c>
      <c r="AE52" s="46">
        <f>IFERROR(AC52*Z52*AA52,"")</f>
        <v/>
      </c>
      <c r="AF52" s="47">
        <f>K40</f>
        <v/>
      </c>
      <c r="AG52" s="43">
        <f>IF($D52="Forecast",IFERROR(K52/AF52-1,""),"")</f>
        <v/>
      </c>
    </row>
    <row r="53">
      <c r="A53" s="8" t="n">
        <v>46813</v>
      </c>
      <c r="B53" s="26">
        <f>YEAR(A53)</f>
        <v/>
      </c>
      <c r="C53" s="26">
        <f>MONTH(A53)</f>
        <v/>
      </c>
      <c r="D53">
        <f>IF(A53&lt;=LastActual,"Actual","Forecast")</f>
        <v/>
      </c>
      <c r="E53" s="24">
        <f>IF($D53="Actual",R53,W53)</f>
        <v/>
      </c>
      <c r="F53" s="27">
        <f>IF($D53="Actual",S53,Cases_Forecast!AL46)</f>
        <v/>
      </c>
      <c r="G53" s="9">
        <f>IF($D53="Actual",T53,IFERROR(H53/AE53,0))</f>
        <v/>
      </c>
      <c r="H53" s="24">
        <f>IF($D53="Actual",U53,J53-I53)</f>
        <v/>
      </c>
      <c r="I53" s="24">
        <f>IF($D53="Actual",V53,IFERROR(J53*AD53,0))</f>
        <v/>
      </c>
      <c r="J53" s="24">
        <f>IF($D53="Actual",U53+V53,E53*X53)</f>
        <v/>
      </c>
      <c r="K53" s="28">
        <f>IFERROR(F53/G53,0)</f>
        <v/>
      </c>
      <c r="L53" s="29">
        <f>IFERROR(H53/G53,0)</f>
        <v/>
      </c>
      <c r="M53" s="30">
        <f>IFERROR(J53/F53,0)</f>
        <v/>
      </c>
      <c r="N53" s="10">
        <f>IFERROR(J53/E53,0)</f>
        <v/>
      </c>
      <c r="O53" s="10">
        <f>IFERROR(I53/J53,0)</f>
        <v/>
      </c>
      <c r="R53" s="42">
        <f>IF($D53="Actual",SUMIFS(Data_Actuals!$C$2:$C$5000,Data_Actuals!$A$2:$A$5000,$A53,Data_Actuals!$B$2:$B$5000,$B$2),"")</f>
        <v/>
      </c>
      <c r="S53" s="42">
        <f>IF($D53="Actual",SUMIFS(Data_Actuals!$D$2:$D$5000,Data_Actuals!$A$2:$A$5000,$A53,Data_Actuals!$B$2:$B$5000,$B$2),"")</f>
        <v/>
      </c>
      <c r="T53" s="42">
        <f>IF($D53="Actual",SUMIFS(Data_Actuals!$E$2:$E$5000,Data_Actuals!$A$2:$A$5000,$A53,Data_Actuals!$B$2:$B$5000,$B$2),"")</f>
        <v/>
      </c>
      <c r="U53" s="42">
        <f>IF($D53="Actual",SUMIFS(Data_Actuals!$F$2:$F$5000,Data_Actuals!$A$2:$A$5000,$A53,Data_Actuals!$B$2:$B$5000,$B$2),"")</f>
        <v/>
      </c>
      <c r="V53" s="42">
        <f>IF($D53="Actual",SUMIFS(Data_Actuals!$G$2:$G$5000,Data_Actuals!$A$2:$A$5000,$A53,Data_Actuals!$B$2:$B$5000,$B$2),"")</f>
        <v/>
      </c>
      <c r="W53" s="42">
        <f>SUMIFS(Plan_Inputs!$C$2:$C$5000,Plan_Inputs!$A$2:$A$5000,$A53,Plan_Inputs!$B$2:$B$5000,$B$2)</f>
        <v/>
      </c>
      <c r="X53" s="43">
        <f>SUMIFS(Plan_Inputs!$D$2:$D$5000,Plan_Inputs!$A$2:$A$5000,$A53,Plan_Inputs!$B$2:$B$5000,$B$2)</f>
        <v/>
      </c>
      <c r="Y53" s="42">
        <f>E53</f>
        <v/>
      </c>
      <c r="Z53" s="44">
        <f>INDEX(Calendar!$H$5:$L$52,MATCH($A53,Calendar!$A$5:$A$52,0),MATCH($D$2,Calendar!$H$4:$L$4,0))</f>
        <v/>
      </c>
      <c r="AA53" s="44">
        <f>INDEX(Calendar!$M$5:$M$52,MATCH($A53,Calendar!$A$5:$A$52,0))</f>
        <v/>
      </c>
      <c r="AB53" s="45">
        <f>IF($D53="Actual",IFERROR(S53/Y53,""),AB41)</f>
        <v/>
      </c>
      <c r="AC53" s="46">
        <f>IF($D53="Actual",IFERROR(U53/T53/Z53/AA53,""),AC41)</f>
        <v/>
      </c>
      <c r="AD53" s="43">
        <f>IF($D53="Actual",IFERROR(V53/(U53+V53),""),AD41)</f>
        <v/>
      </c>
      <c r="AE53" s="46">
        <f>IFERROR(AC53*Z53*AA53,"")</f>
        <v/>
      </c>
      <c r="AF53" s="47">
        <f>K41</f>
        <v/>
      </c>
      <c r="AG53" s="43">
        <f>IF($D53="Forecast",IFERROR(K53/AF53-1,""),"")</f>
        <v/>
      </c>
    </row>
    <row r="54">
      <c r="A54" s="8" t="n">
        <v>46844</v>
      </c>
      <c r="B54" s="26">
        <f>YEAR(A54)</f>
        <v/>
      </c>
      <c r="C54" s="26">
        <f>MONTH(A54)</f>
        <v/>
      </c>
      <c r="D54">
        <f>IF(A54&lt;=LastActual,"Actual","Forecast")</f>
        <v/>
      </c>
      <c r="E54" s="24">
        <f>IF($D54="Actual",R54,W54)</f>
        <v/>
      </c>
      <c r="F54" s="27">
        <f>IF($D54="Actual",S54,Cases_Forecast!AL47)</f>
        <v/>
      </c>
      <c r="G54" s="9">
        <f>IF($D54="Actual",T54,IFERROR(H54/AE54,0))</f>
        <v/>
      </c>
      <c r="H54" s="24">
        <f>IF($D54="Actual",U54,J54-I54)</f>
        <v/>
      </c>
      <c r="I54" s="24">
        <f>IF($D54="Actual",V54,IFERROR(J54*AD54,0))</f>
        <v/>
      </c>
      <c r="J54" s="24">
        <f>IF($D54="Actual",U54+V54,E54*X54)</f>
        <v/>
      </c>
      <c r="K54" s="28">
        <f>IFERROR(F54/G54,0)</f>
        <v/>
      </c>
      <c r="L54" s="29">
        <f>IFERROR(H54/G54,0)</f>
        <v/>
      </c>
      <c r="M54" s="30">
        <f>IFERROR(J54/F54,0)</f>
        <v/>
      </c>
      <c r="N54" s="10">
        <f>IFERROR(J54/E54,0)</f>
        <v/>
      </c>
      <c r="O54" s="10">
        <f>IFERROR(I54/J54,0)</f>
        <v/>
      </c>
      <c r="R54" s="42">
        <f>IF($D54="Actual",SUMIFS(Data_Actuals!$C$2:$C$5000,Data_Actuals!$A$2:$A$5000,$A54,Data_Actuals!$B$2:$B$5000,$B$2),"")</f>
        <v/>
      </c>
      <c r="S54" s="42">
        <f>IF($D54="Actual",SUMIFS(Data_Actuals!$D$2:$D$5000,Data_Actuals!$A$2:$A$5000,$A54,Data_Actuals!$B$2:$B$5000,$B$2),"")</f>
        <v/>
      </c>
      <c r="T54" s="42">
        <f>IF($D54="Actual",SUMIFS(Data_Actuals!$E$2:$E$5000,Data_Actuals!$A$2:$A$5000,$A54,Data_Actuals!$B$2:$B$5000,$B$2),"")</f>
        <v/>
      </c>
      <c r="U54" s="42">
        <f>IF($D54="Actual",SUMIFS(Data_Actuals!$F$2:$F$5000,Data_Actuals!$A$2:$A$5000,$A54,Data_Actuals!$B$2:$B$5000,$B$2),"")</f>
        <v/>
      </c>
      <c r="V54" s="42">
        <f>IF($D54="Actual",SUMIFS(Data_Actuals!$G$2:$G$5000,Data_Actuals!$A$2:$A$5000,$A54,Data_Actuals!$B$2:$B$5000,$B$2),"")</f>
        <v/>
      </c>
      <c r="W54" s="42">
        <f>SUMIFS(Plan_Inputs!$C$2:$C$5000,Plan_Inputs!$A$2:$A$5000,$A54,Plan_Inputs!$B$2:$B$5000,$B$2)</f>
        <v/>
      </c>
      <c r="X54" s="43">
        <f>SUMIFS(Plan_Inputs!$D$2:$D$5000,Plan_Inputs!$A$2:$A$5000,$A54,Plan_Inputs!$B$2:$B$5000,$B$2)</f>
        <v/>
      </c>
      <c r="Y54" s="42">
        <f>E54</f>
        <v/>
      </c>
      <c r="Z54" s="44">
        <f>INDEX(Calendar!$H$5:$L$52,MATCH($A54,Calendar!$A$5:$A$52,0),MATCH($D$2,Calendar!$H$4:$L$4,0))</f>
        <v/>
      </c>
      <c r="AA54" s="44">
        <f>INDEX(Calendar!$M$5:$M$52,MATCH($A54,Calendar!$A$5:$A$52,0))</f>
        <v/>
      </c>
      <c r="AB54" s="45">
        <f>IF($D54="Actual",IFERROR(S54/Y54,""),AB42)</f>
        <v/>
      </c>
      <c r="AC54" s="46">
        <f>IF($D54="Actual",IFERROR(U54/T54/Z54/AA54,""),AC42)</f>
        <v/>
      </c>
      <c r="AD54" s="43">
        <f>IF($D54="Actual",IFERROR(V54/(U54+V54),""),AD42)</f>
        <v/>
      </c>
      <c r="AE54" s="46">
        <f>IFERROR(AC54*Z54*AA54,"")</f>
        <v/>
      </c>
      <c r="AF54" s="47">
        <f>K42</f>
        <v/>
      </c>
      <c r="AG54" s="43">
        <f>IF($D54="Forecast",IFERROR(K54/AF54-1,""),"")</f>
        <v/>
      </c>
    </row>
    <row r="55">
      <c r="A55" s="8" t="n">
        <v>46874</v>
      </c>
      <c r="B55" s="26">
        <f>YEAR(A55)</f>
        <v/>
      </c>
      <c r="C55" s="26">
        <f>MONTH(A55)</f>
        <v/>
      </c>
      <c r="D55">
        <f>IF(A55&lt;=LastActual,"Actual","Forecast")</f>
        <v/>
      </c>
      <c r="E55" s="24">
        <f>IF($D55="Actual",R55,W55)</f>
        <v/>
      </c>
      <c r="F55" s="27">
        <f>IF($D55="Actual",S55,Cases_Forecast!AL48)</f>
        <v/>
      </c>
      <c r="G55" s="9">
        <f>IF($D55="Actual",T55,IFERROR(H55/AE55,0))</f>
        <v/>
      </c>
      <c r="H55" s="24">
        <f>IF($D55="Actual",U55,J55-I55)</f>
        <v/>
      </c>
      <c r="I55" s="24">
        <f>IF($D55="Actual",V55,IFERROR(J55*AD55,0))</f>
        <v/>
      </c>
      <c r="J55" s="24">
        <f>IF($D55="Actual",U55+V55,E55*X55)</f>
        <v/>
      </c>
      <c r="K55" s="28">
        <f>IFERROR(F55/G55,0)</f>
        <v/>
      </c>
      <c r="L55" s="29">
        <f>IFERROR(H55/G55,0)</f>
        <v/>
      </c>
      <c r="M55" s="30">
        <f>IFERROR(J55/F55,0)</f>
        <v/>
      </c>
      <c r="N55" s="10">
        <f>IFERROR(J55/E55,0)</f>
        <v/>
      </c>
      <c r="O55" s="10">
        <f>IFERROR(I55/J55,0)</f>
        <v/>
      </c>
      <c r="R55" s="42">
        <f>IF($D55="Actual",SUMIFS(Data_Actuals!$C$2:$C$5000,Data_Actuals!$A$2:$A$5000,$A55,Data_Actuals!$B$2:$B$5000,$B$2),"")</f>
        <v/>
      </c>
      <c r="S55" s="42">
        <f>IF($D55="Actual",SUMIFS(Data_Actuals!$D$2:$D$5000,Data_Actuals!$A$2:$A$5000,$A55,Data_Actuals!$B$2:$B$5000,$B$2),"")</f>
        <v/>
      </c>
      <c r="T55" s="42">
        <f>IF($D55="Actual",SUMIFS(Data_Actuals!$E$2:$E$5000,Data_Actuals!$A$2:$A$5000,$A55,Data_Actuals!$B$2:$B$5000,$B$2),"")</f>
        <v/>
      </c>
      <c r="U55" s="42">
        <f>IF($D55="Actual",SUMIFS(Data_Actuals!$F$2:$F$5000,Data_Actuals!$A$2:$A$5000,$A55,Data_Actuals!$B$2:$B$5000,$B$2),"")</f>
        <v/>
      </c>
      <c r="V55" s="42">
        <f>IF($D55="Actual",SUMIFS(Data_Actuals!$G$2:$G$5000,Data_Actuals!$A$2:$A$5000,$A55,Data_Actuals!$B$2:$B$5000,$B$2),"")</f>
        <v/>
      </c>
      <c r="W55" s="42">
        <f>SUMIFS(Plan_Inputs!$C$2:$C$5000,Plan_Inputs!$A$2:$A$5000,$A55,Plan_Inputs!$B$2:$B$5000,$B$2)</f>
        <v/>
      </c>
      <c r="X55" s="43">
        <f>SUMIFS(Plan_Inputs!$D$2:$D$5000,Plan_Inputs!$A$2:$A$5000,$A55,Plan_Inputs!$B$2:$B$5000,$B$2)</f>
        <v/>
      </c>
      <c r="Y55" s="42">
        <f>E55</f>
        <v/>
      </c>
      <c r="Z55" s="44">
        <f>INDEX(Calendar!$H$5:$L$52,MATCH($A55,Calendar!$A$5:$A$52,0),MATCH($D$2,Calendar!$H$4:$L$4,0))</f>
        <v/>
      </c>
      <c r="AA55" s="44">
        <f>INDEX(Calendar!$M$5:$M$52,MATCH($A55,Calendar!$A$5:$A$52,0))</f>
        <v/>
      </c>
      <c r="AB55" s="45">
        <f>IF($D55="Actual",IFERROR(S55/Y55,""),AB43)</f>
        <v/>
      </c>
      <c r="AC55" s="46">
        <f>IF($D55="Actual",IFERROR(U55/T55/Z55/AA55,""),AC43)</f>
        <v/>
      </c>
      <c r="AD55" s="43">
        <f>IF($D55="Actual",IFERROR(V55/(U55+V55),""),AD43)</f>
        <v/>
      </c>
      <c r="AE55" s="46">
        <f>IFERROR(AC55*Z55*AA55,"")</f>
        <v/>
      </c>
      <c r="AF55" s="47">
        <f>K43</f>
        <v/>
      </c>
      <c r="AG55" s="43">
        <f>IF($D55="Forecast",IFERROR(K55/AF55-1,""),"")</f>
        <v/>
      </c>
    </row>
    <row r="56">
      <c r="A56" s="8" t="n">
        <v>46905</v>
      </c>
      <c r="B56" s="26">
        <f>YEAR(A56)</f>
        <v/>
      </c>
      <c r="C56" s="26">
        <f>MONTH(A56)</f>
        <v/>
      </c>
      <c r="D56">
        <f>IF(A56&lt;=LastActual,"Actual","Forecast")</f>
        <v/>
      </c>
      <c r="E56" s="24">
        <f>IF($D56="Actual",R56,W56)</f>
        <v/>
      </c>
      <c r="F56" s="27">
        <f>IF($D56="Actual",S56,Cases_Forecast!AL49)</f>
        <v/>
      </c>
      <c r="G56" s="9">
        <f>IF($D56="Actual",T56,IFERROR(H56/AE56,0))</f>
        <v/>
      </c>
      <c r="H56" s="24">
        <f>IF($D56="Actual",U56,J56-I56)</f>
        <v/>
      </c>
      <c r="I56" s="24">
        <f>IF($D56="Actual",V56,IFERROR(J56*AD56,0))</f>
        <v/>
      </c>
      <c r="J56" s="24">
        <f>IF($D56="Actual",U56+V56,E56*X56)</f>
        <v/>
      </c>
      <c r="K56" s="28">
        <f>IFERROR(F56/G56,0)</f>
        <v/>
      </c>
      <c r="L56" s="29">
        <f>IFERROR(H56/G56,0)</f>
        <v/>
      </c>
      <c r="M56" s="30">
        <f>IFERROR(J56/F56,0)</f>
        <v/>
      </c>
      <c r="N56" s="10">
        <f>IFERROR(J56/E56,0)</f>
        <v/>
      </c>
      <c r="O56" s="10">
        <f>IFERROR(I56/J56,0)</f>
        <v/>
      </c>
      <c r="R56" s="42">
        <f>IF($D56="Actual",SUMIFS(Data_Actuals!$C$2:$C$5000,Data_Actuals!$A$2:$A$5000,$A56,Data_Actuals!$B$2:$B$5000,$B$2),"")</f>
        <v/>
      </c>
      <c r="S56" s="42">
        <f>IF($D56="Actual",SUMIFS(Data_Actuals!$D$2:$D$5000,Data_Actuals!$A$2:$A$5000,$A56,Data_Actuals!$B$2:$B$5000,$B$2),"")</f>
        <v/>
      </c>
      <c r="T56" s="42">
        <f>IF($D56="Actual",SUMIFS(Data_Actuals!$E$2:$E$5000,Data_Actuals!$A$2:$A$5000,$A56,Data_Actuals!$B$2:$B$5000,$B$2),"")</f>
        <v/>
      </c>
      <c r="U56" s="42">
        <f>IF($D56="Actual",SUMIFS(Data_Actuals!$F$2:$F$5000,Data_Actuals!$A$2:$A$5000,$A56,Data_Actuals!$B$2:$B$5000,$B$2),"")</f>
        <v/>
      </c>
      <c r="V56" s="42">
        <f>IF($D56="Actual",SUMIFS(Data_Actuals!$G$2:$G$5000,Data_Actuals!$A$2:$A$5000,$A56,Data_Actuals!$B$2:$B$5000,$B$2),"")</f>
        <v/>
      </c>
      <c r="W56" s="42">
        <f>SUMIFS(Plan_Inputs!$C$2:$C$5000,Plan_Inputs!$A$2:$A$5000,$A56,Plan_Inputs!$B$2:$B$5000,$B$2)</f>
        <v/>
      </c>
      <c r="X56" s="43">
        <f>SUMIFS(Plan_Inputs!$D$2:$D$5000,Plan_Inputs!$A$2:$A$5000,$A56,Plan_Inputs!$B$2:$B$5000,$B$2)</f>
        <v/>
      </c>
      <c r="Y56" s="42">
        <f>E56</f>
        <v/>
      </c>
      <c r="Z56" s="44">
        <f>INDEX(Calendar!$H$5:$L$52,MATCH($A56,Calendar!$A$5:$A$52,0),MATCH($D$2,Calendar!$H$4:$L$4,0))</f>
        <v/>
      </c>
      <c r="AA56" s="44">
        <f>INDEX(Calendar!$M$5:$M$52,MATCH($A56,Calendar!$A$5:$A$52,0))</f>
        <v/>
      </c>
      <c r="AB56" s="45">
        <f>IF($D56="Actual",IFERROR(S56/Y56,""),AB44)</f>
        <v/>
      </c>
      <c r="AC56" s="46">
        <f>IF($D56="Actual",IFERROR(U56/T56/Z56/AA56,""),AC44)</f>
        <v/>
      </c>
      <c r="AD56" s="43">
        <f>IF($D56="Actual",IFERROR(V56/(U56+V56),""),AD44)</f>
        <v/>
      </c>
      <c r="AE56" s="46">
        <f>IFERROR(AC56*Z56*AA56,"")</f>
        <v/>
      </c>
      <c r="AF56" s="47">
        <f>K44</f>
        <v/>
      </c>
      <c r="AG56" s="43">
        <f>IF($D56="Forecast",IFERROR(K56/AF56-1,""),"")</f>
        <v/>
      </c>
    </row>
    <row r="57">
      <c r="A57" s="8" t="n">
        <v>46935</v>
      </c>
      <c r="B57" s="26">
        <f>YEAR(A57)</f>
        <v/>
      </c>
      <c r="C57" s="26">
        <f>MONTH(A57)</f>
        <v/>
      </c>
      <c r="D57">
        <f>IF(A57&lt;=LastActual,"Actual","Forecast")</f>
        <v/>
      </c>
      <c r="E57" s="24">
        <f>IF($D57="Actual",R57,W57)</f>
        <v/>
      </c>
      <c r="F57" s="27">
        <f>IF($D57="Actual",S57,Cases_Forecast!AL50)</f>
        <v/>
      </c>
      <c r="G57" s="9">
        <f>IF($D57="Actual",T57,IFERROR(H57/AE57,0))</f>
        <v/>
      </c>
      <c r="H57" s="24">
        <f>IF($D57="Actual",U57,J57-I57)</f>
        <v/>
      </c>
      <c r="I57" s="24">
        <f>IF($D57="Actual",V57,IFERROR(J57*AD57,0))</f>
        <v/>
      </c>
      <c r="J57" s="24">
        <f>IF($D57="Actual",U57+V57,E57*X57)</f>
        <v/>
      </c>
      <c r="K57" s="28">
        <f>IFERROR(F57/G57,0)</f>
        <v/>
      </c>
      <c r="L57" s="29">
        <f>IFERROR(H57/G57,0)</f>
        <v/>
      </c>
      <c r="M57" s="30">
        <f>IFERROR(J57/F57,0)</f>
        <v/>
      </c>
      <c r="N57" s="10">
        <f>IFERROR(J57/E57,0)</f>
        <v/>
      </c>
      <c r="O57" s="10">
        <f>IFERROR(I57/J57,0)</f>
        <v/>
      </c>
      <c r="R57" s="42">
        <f>IF($D57="Actual",SUMIFS(Data_Actuals!$C$2:$C$5000,Data_Actuals!$A$2:$A$5000,$A57,Data_Actuals!$B$2:$B$5000,$B$2),"")</f>
        <v/>
      </c>
      <c r="S57" s="42">
        <f>IF($D57="Actual",SUMIFS(Data_Actuals!$D$2:$D$5000,Data_Actuals!$A$2:$A$5000,$A57,Data_Actuals!$B$2:$B$5000,$B$2),"")</f>
        <v/>
      </c>
      <c r="T57" s="42">
        <f>IF($D57="Actual",SUMIFS(Data_Actuals!$E$2:$E$5000,Data_Actuals!$A$2:$A$5000,$A57,Data_Actuals!$B$2:$B$5000,$B$2),"")</f>
        <v/>
      </c>
      <c r="U57" s="42">
        <f>IF($D57="Actual",SUMIFS(Data_Actuals!$F$2:$F$5000,Data_Actuals!$A$2:$A$5000,$A57,Data_Actuals!$B$2:$B$5000,$B$2),"")</f>
        <v/>
      </c>
      <c r="V57" s="42">
        <f>IF($D57="Actual",SUMIFS(Data_Actuals!$G$2:$G$5000,Data_Actuals!$A$2:$A$5000,$A57,Data_Actuals!$B$2:$B$5000,$B$2),"")</f>
        <v/>
      </c>
      <c r="W57" s="42">
        <f>SUMIFS(Plan_Inputs!$C$2:$C$5000,Plan_Inputs!$A$2:$A$5000,$A57,Plan_Inputs!$B$2:$B$5000,$B$2)</f>
        <v/>
      </c>
      <c r="X57" s="43">
        <f>SUMIFS(Plan_Inputs!$D$2:$D$5000,Plan_Inputs!$A$2:$A$5000,$A57,Plan_Inputs!$B$2:$B$5000,$B$2)</f>
        <v/>
      </c>
      <c r="Y57" s="42">
        <f>E57</f>
        <v/>
      </c>
      <c r="Z57" s="44">
        <f>INDEX(Calendar!$H$5:$L$52,MATCH($A57,Calendar!$A$5:$A$52,0),MATCH($D$2,Calendar!$H$4:$L$4,0))</f>
        <v/>
      </c>
      <c r="AA57" s="44">
        <f>INDEX(Calendar!$M$5:$M$52,MATCH($A57,Calendar!$A$5:$A$52,0))</f>
        <v/>
      </c>
      <c r="AB57" s="45">
        <f>IF($D57="Actual",IFERROR(S57/Y57,""),AB45)</f>
        <v/>
      </c>
      <c r="AC57" s="46">
        <f>IF($D57="Actual",IFERROR(U57/T57/Z57/AA57,""),AC45)</f>
        <v/>
      </c>
      <c r="AD57" s="43">
        <f>IF($D57="Actual",IFERROR(V57/(U57+V57),""),AD45)</f>
        <v/>
      </c>
      <c r="AE57" s="46">
        <f>IFERROR(AC57*Z57*AA57,"")</f>
        <v/>
      </c>
      <c r="AF57" s="47">
        <f>K45</f>
        <v/>
      </c>
      <c r="AG57" s="43">
        <f>IF($D57="Forecast",IFERROR(K57/AF57-1,""),"")</f>
        <v/>
      </c>
    </row>
    <row r="58">
      <c r="A58" s="8" t="n">
        <v>46966</v>
      </c>
      <c r="B58" s="26">
        <f>YEAR(A58)</f>
        <v/>
      </c>
      <c r="C58" s="26">
        <f>MONTH(A58)</f>
        <v/>
      </c>
      <c r="D58">
        <f>IF(A58&lt;=LastActual,"Actual","Forecast")</f>
        <v/>
      </c>
      <c r="E58" s="24">
        <f>IF($D58="Actual",R58,W58)</f>
        <v/>
      </c>
      <c r="F58" s="27">
        <f>IF($D58="Actual",S58,Cases_Forecast!AL51)</f>
        <v/>
      </c>
      <c r="G58" s="9">
        <f>IF($D58="Actual",T58,IFERROR(H58/AE58,0))</f>
        <v/>
      </c>
      <c r="H58" s="24">
        <f>IF($D58="Actual",U58,J58-I58)</f>
        <v/>
      </c>
      <c r="I58" s="24">
        <f>IF($D58="Actual",V58,IFERROR(J58*AD58,0))</f>
        <v/>
      </c>
      <c r="J58" s="24">
        <f>IF($D58="Actual",U58+V58,E58*X58)</f>
        <v/>
      </c>
      <c r="K58" s="28">
        <f>IFERROR(F58/G58,0)</f>
        <v/>
      </c>
      <c r="L58" s="29">
        <f>IFERROR(H58/G58,0)</f>
        <v/>
      </c>
      <c r="M58" s="30">
        <f>IFERROR(J58/F58,0)</f>
        <v/>
      </c>
      <c r="N58" s="10">
        <f>IFERROR(J58/E58,0)</f>
        <v/>
      </c>
      <c r="O58" s="10">
        <f>IFERROR(I58/J58,0)</f>
        <v/>
      </c>
      <c r="R58" s="42">
        <f>IF($D58="Actual",SUMIFS(Data_Actuals!$C$2:$C$5000,Data_Actuals!$A$2:$A$5000,$A58,Data_Actuals!$B$2:$B$5000,$B$2),"")</f>
        <v/>
      </c>
      <c r="S58" s="42">
        <f>IF($D58="Actual",SUMIFS(Data_Actuals!$D$2:$D$5000,Data_Actuals!$A$2:$A$5000,$A58,Data_Actuals!$B$2:$B$5000,$B$2),"")</f>
        <v/>
      </c>
      <c r="T58" s="42">
        <f>IF($D58="Actual",SUMIFS(Data_Actuals!$E$2:$E$5000,Data_Actuals!$A$2:$A$5000,$A58,Data_Actuals!$B$2:$B$5000,$B$2),"")</f>
        <v/>
      </c>
      <c r="U58" s="42">
        <f>IF($D58="Actual",SUMIFS(Data_Actuals!$F$2:$F$5000,Data_Actuals!$A$2:$A$5000,$A58,Data_Actuals!$B$2:$B$5000,$B$2),"")</f>
        <v/>
      </c>
      <c r="V58" s="42">
        <f>IF($D58="Actual",SUMIFS(Data_Actuals!$G$2:$G$5000,Data_Actuals!$A$2:$A$5000,$A58,Data_Actuals!$B$2:$B$5000,$B$2),"")</f>
        <v/>
      </c>
      <c r="W58" s="42">
        <f>SUMIFS(Plan_Inputs!$C$2:$C$5000,Plan_Inputs!$A$2:$A$5000,$A58,Plan_Inputs!$B$2:$B$5000,$B$2)</f>
        <v/>
      </c>
      <c r="X58" s="43">
        <f>SUMIFS(Plan_Inputs!$D$2:$D$5000,Plan_Inputs!$A$2:$A$5000,$A58,Plan_Inputs!$B$2:$B$5000,$B$2)</f>
        <v/>
      </c>
      <c r="Y58" s="42">
        <f>E58</f>
        <v/>
      </c>
      <c r="Z58" s="44">
        <f>INDEX(Calendar!$H$5:$L$52,MATCH($A58,Calendar!$A$5:$A$52,0),MATCH($D$2,Calendar!$H$4:$L$4,0))</f>
        <v/>
      </c>
      <c r="AA58" s="44">
        <f>INDEX(Calendar!$M$5:$M$52,MATCH($A58,Calendar!$A$5:$A$52,0))</f>
        <v/>
      </c>
      <c r="AB58" s="45">
        <f>IF($D58="Actual",IFERROR(S58/Y58,""),AB46)</f>
        <v/>
      </c>
      <c r="AC58" s="46">
        <f>IF($D58="Actual",IFERROR(U58/T58/Z58/AA58,""),AC46)</f>
        <v/>
      </c>
      <c r="AD58" s="43">
        <f>IF($D58="Actual",IFERROR(V58/(U58+V58),""),AD46)</f>
        <v/>
      </c>
      <c r="AE58" s="46">
        <f>IFERROR(AC58*Z58*AA58,"")</f>
        <v/>
      </c>
      <c r="AF58" s="47">
        <f>K46</f>
        <v/>
      </c>
      <c r="AG58" s="43">
        <f>IF($D58="Forecast",IFERROR(K58/AF58-1,""),"")</f>
        <v/>
      </c>
    </row>
    <row r="59">
      <c r="A59" s="8" t="n">
        <v>46997</v>
      </c>
      <c r="B59" s="26">
        <f>YEAR(A59)</f>
        <v/>
      </c>
      <c r="C59" s="26">
        <f>MONTH(A59)</f>
        <v/>
      </c>
      <c r="D59">
        <f>IF(A59&lt;=LastActual,"Actual","Forecast")</f>
        <v/>
      </c>
      <c r="E59" s="24">
        <f>IF($D59="Actual",R59,W59)</f>
        <v/>
      </c>
      <c r="F59" s="27">
        <f>IF($D59="Actual",S59,Cases_Forecast!AL52)</f>
        <v/>
      </c>
      <c r="G59" s="9">
        <f>IF($D59="Actual",T59,IFERROR(H59/AE59,0))</f>
        <v/>
      </c>
      <c r="H59" s="24">
        <f>IF($D59="Actual",U59,J59-I59)</f>
        <v/>
      </c>
      <c r="I59" s="24">
        <f>IF($D59="Actual",V59,IFERROR(J59*AD59,0))</f>
        <v/>
      </c>
      <c r="J59" s="24">
        <f>IF($D59="Actual",U59+V59,E59*X59)</f>
        <v/>
      </c>
      <c r="K59" s="28">
        <f>IFERROR(F59/G59,0)</f>
        <v/>
      </c>
      <c r="L59" s="29">
        <f>IFERROR(H59/G59,0)</f>
        <v/>
      </c>
      <c r="M59" s="30">
        <f>IFERROR(J59/F59,0)</f>
        <v/>
      </c>
      <c r="N59" s="10">
        <f>IFERROR(J59/E59,0)</f>
        <v/>
      </c>
      <c r="O59" s="10">
        <f>IFERROR(I59/J59,0)</f>
        <v/>
      </c>
      <c r="R59" s="42">
        <f>IF($D59="Actual",SUMIFS(Data_Actuals!$C$2:$C$5000,Data_Actuals!$A$2:$A$5000,$A59,Data_Actuals!$B$2:$B$5000,$B$2),"")</f>
        <v/>
      </c>
      <c r="S59" s="42">
        <f>IF($D59="Actual",SUMIFS(Data_Actuals!$D$2:$D$5000,Data_Actuals!$A$2:$A$5000,$A59,Data_Actuals!$B$2:$B$5000,$B$2),"")</f>
        <v/>
      </c>
      <c r="T59" s="42">
        <f>IF($D59="Actual",SUMIFS(Data_Actuals!$E$2:$E$5000,Data_Actuals!$A$2:$A$5000,$A59,Data_Actuals!$B$2:$B$5000,$B$2),"")</f>
        <v/>
      </c>
      <c r="U59" s="42">
        <f>IF($D59="Actual",SUMIFS(Data_Actuals!$F$2:$F$5000,Data_Actuals!$A$2:$A$5000,$A59,Data_Actuals!$B$2:$B$5000,$B$2),"")</f>
        <v/>
      </c>
      <c r="V59" s="42">
        <f>IF($D59="Actual",SUMIFS(Data_Actuals!$G$2:$G$5000,Data_Actuals!$A$2:$A$5000,$A59,Data_Actuals!$B$2:$B$5000,$B$2),"")</f>
        <v/>
      </c>
      <c r="W59" s="42">
        <f>SUMIFS(Plan_Inputs!$C$2:$C$5000,Plan_Inputs!$A$2:$A$5000,$A59,Plan_Inputs!$B$2:$B$5000,$B$2)</f>
        <v/>
      </c>
      <c r="X59" s="43">
        <f>SUMIFS(Plan_Inputs!$D$2:$D$5000,Plan_Inputs!$A$2:$A$5000,$A59,Plan_Inputs!$B$2:$B$5000,$B$2)</f>
        <v/>
      </c>
      <c r="Y59" s="42">
        <f>E59</f>
        <v/>
      </c>
      <c r="Z59" s="44">
        <f>INDEX(Calendar!$H$5:$L$52,MATCH($A59,Calendar!$A$5:$A$52,0),MATCH($D$2,Calendar!$H$4:$L$4,0))</f>
        <v/>
      </c>
      <c r="AA59" s="44">
        <f>INDEX(Calendar!$M$5:$M$52,MATCH($A59,Calendar!$A$5:$A$52,0))</f>
        <v/>
      </c>
      <c r="AB59" s="45">
        <f>IF($D59="Actual",IFERROR(S59/Y59,""),AB47)</f>
        <v/>
      </c>
      <c r="AC59" s="46">
        <f>IF($D59="Actual",IFERROR(U59/T59/Z59/AA59,""),AC47)</f>
        <v/>
      </c>
      <c r="AD59" s="43">
        <f>IF($D59="Actual",IFERROR(V59/(U59+V59),""),AD47)</f>
        <v/>
      </c>
      <c r="AE59" s="46">
        <f>IFERROR(AC59*Z59*AA59,"")</f>
        <v/>
      </c>
      <c r="AF59" s="47">
        <f>K47</f>
        <v/>
      </c>
      <c r="AG59" s="43">
        <f>IF($D59="Forecast",IFERROR(K59/AF59-1,""),"")</f>
        <v/>
      </c>
    </row>
    <row r="60">
      <c r="A60" s="8" t="n">
        <v>47027</v>
      </c>
      <c r="B60" s="26">
        <f>YEAR(A60)</f>
        <v/>
      </c>
      <c r="C60" s="26">
        <f>MONTH(A60)</f>
        <v/>
      </c>
      <c r="D60">
        <f>IF(A60&lt;=LastActual,"Actual","Forecast")</f>
        <v/>
      </c>
      <c r="E60" s="24">
        <f>IF($D60="Actual",R60,W60)</f>
        <v/>
      </c>
      <c r="F60" s="27">
        <f>IF($D60="Actual",S60,Cases_Forecast!AL53)</f>
        <v/>
      </c>
      <c r="G60" s="9">
        <f>IF($D60="Actual",T60,IFERROR(H60/AE60,0))</f>
        <v/>
      </c>
      <c r="H60" s="24">
        <f>IF($D60="Actual",U60,J60-I60)</f>
        <v/>
      </c>
      <c r="I60" s="24">
        <f>IF($D60="Actual",V60,IFERROR(J60*AD60,0))</f>
        <v/>
      </c>
      <c r="J60" s="24">
        <f>IF($D60="Actual",U60+V60,E60*X60)</f>
        <v/>
      </c>
      <c r="K60" s="28">
        <f>IFERROR(F60/G60,0)</f>
        <v/>
      </c>
      <c r="L60" s="29">
        <f>IFERROR(H60/G60,0)</f>
        <v/>
      </c>
      <c r="M60" s="30">
        <f>IFERROR(J60/F60,0)</f>
        <v/>
      </c>
      <c r="N60" s="10">
        <f>IFERROR(J60/E60,0)</f>
        <v/>
      </c>
      <c r="O60" s="10">
        <f>IFERROR(I60/J60,0)</f>
        <v/>
      </c>
      <c r="R60" s="42">
        <f>IF($D60="Actual",SUMIFS(Data_Actuals!$C$2:$C$5000,Data_Actuals!$A$2:$A$5000,$A60,Data_Actuals!$B$2:$B$5000,$B$2),"")</f>
        <v/>
      </c>
      <c r="S60" s="42">
        <f>IF($D60="Actual",SUMIFS(Data_Actuals!$D$2:$D$5000,Data_Actuals!$A$2:$A$5000,$A60,Data_Actuals!$B$2:$B$5000,$B$2),"")</f>
        <v/>
      </c>
      <c r="T60" s="42">
        <f>IF($D60="Actual",SUMIFS(Data_Actuals!$E$2:$E$5000,Data_Actuals!$A$2:$A$5000,$A60,Data_Actuals!$B$2:$B$5000,$B$2),"")</f>
        <v/>
      </c>
      <c r="U60" s="42">
        <f>IF($D60="Actual",SUMIFS(Data_Actuals!$F$2:$F$5000,Data_Actuals!$A$2:$A$5000,$A60,Data_Actuals!$B$2:$B$5000,$B$2),"")</f>
        <v/>
      </c>
      <c r="V60" s="42">
        <f>IF($D60="Actual",SUMIFS(Data_Actuals!$G$2:$G$5000,Data_Actuals!$A$2:$A$5000,$A60,Data_Actuals!$B$2:$B$5000,$B$2),"")</f>
        <v/>
      </c>
      <c r="W60" s="42">
        <f>SUMIFS(Plan_Inputs!$C$2:$C$5000,Plan_Inputs!$A$2:$A$5000,$A60,Plan_Inputs!$B$2:$B$5000,$B$2)</f>
        <v/>
      </c>
      <c r="X60" s="43">
        <f>SUMIFS(Plan_Inputs!$D$2:$D$5000,Plan_Inputs!$A$2:$A$5000,$A60,Plan_Inputs!$B$2:$B$5000,$B$2)</f>
        <v/>
      </c>
      <c r="Y60" s="42">
        <f>E60</f>
        <v/>
      </c>
      <c r="Z60" s="44">
        <f>INDEX(Calendar!$H$5:$L$52,MATCH($A60,Calendar!$A$5:$A$52,0),MATCH($D$2,Calendar!$H$4:$L$4,0))</f>
        <v/>
      </c>
      <c r="AA60" s="44">
        <f>INDEX(Calendar!$M$5:$M$52,MATCH($A60,Calendar!$A$5:$A$52,0))</f>
        <v/>
      </c>
      <c r="AB60" s="45">
        <f>IF($D60="Actual",IFERROR(S60/Y60,""),AB48)</f>
        <v/>
      </c>
      <c r="AC60" s="46">
        <f>IF($D60="Actual",IFERROR(U60/T60/Z60/AA60,""),AC48)</f>
        <v/>
      </c>
      <c r="AD60" s="43">
        <f>IF($D60="Actual",IFERROR(V60/(U60+V60),""),AD48)</f>
        <v/>
      </c>
      <c r="AE60" s="46">
        <f>IFERROR(AC60*Z60*AA60,"")</f>
        <v/>
      </c>
      <c r="AF60" s="47">
        <f>K48</f>
        <v/>
      </c>
      <c r="AG60" s="43">
        <f>IF($D60="Forecast",IFERROR(K60/AF60-1,""),"")</f>
        <v/>
      </c>
    </row>
    <row r="61">
      <c r="A61" s="8" t="n">
        <v>47058</v>
      </c>
      <c r="B61" s="26">
        <f>YEAR(A61)</f>
        <v/>
      </c>
      <c r="C61" s="26">
        <f>MONTH(A61)</f>
        <v/>
      </c>
      <c r="D61">
        <f>IF(A61&lt;=LastActual,"Actual","Forecast")</f>
        <v/>
      </c>
      <c r="E61" s="24">
        <f>IF($D61="Actual",R61,W61)</f>
        <v/>
      </c>
      <c r="F61" s="27">
        <f>IF($D61="Actual",S61,Cases_Forecast!AL54)</f>
        <v/>
      </c>
      <c r="G61" s="9">
        <f>IF($D61="Actual",T61,IFERROR(H61/AE61,0))</f>
        <v/>
      </c>
      <c r="H61" s="24">
        <f>IF($D61="Actual",U61,J61-I61)</f>
        <v/>
      </c>
      <c r="I61" s="24">
        <f>IF($D61="Actual",V61,IFERROR(J61*AD61,0))</f>
        <v/>
      </c>
      <c r="J61" s="24">
        <f>IF($D61="Actual",U61+V61,E61*X61)</f>
        <v/>
      </c>
      <c r="K61" s="28">
        <f>IFERROR(F61/G61,0)</f>
        <v/>
      </c>
      <c r="L61" s="29">
        <f>IFERROR(H61/G61,0)</f>
        <v/>
      </c>
      <c r="M61" s="30">
        <f>IFERROR(J61/F61,0)</f>
        <v/>
      </c>
      <c r="N61" s="10">
        <f>IFERROR(J61/E61,0)</f>
        <v/>
      </c>
      <c r="O61" s="10">
        <f>IFERROR(I61/J61,0)</f>
        <v/>
      </c>
      <c r="R61" s="42">
        <f>IF($D61="Actual",SUMIFS(Data_Actuals!$C$2:$C$5000,Data_Actuals!$A$2:$A$5000,$A61,Data_Actuals!$B$2:$B$5000,$B$2),"")</f>
        <v/>
      </c>
      <c r="S61" s="42">
        <f>IF($D61="Actual",SUMIFS(Data_Actuals!$D$2:$D$5000,Data_Actuals!$A$2:$A$5000,$A61,Data_Actuals!$B$2:$B$5000,$B$2),"")</f>
        <v/>
      </c>
      <c r="T61" s="42">
        <f>IF($D61="Actual",SUMIFS(Data_Actuals!$E$2:$E$5000,Data_Actuals!$A$2:$A$5000,$A61,Data_Actuals!$B$2:$B$5000,$B$2),"")</f>
        <v/>
      </c>
      <c r="U61" s="42">
        <f>IF($D61="Actual",SUMIFS(Data_Actuals!$F$2:$F$5000,Data_Actuals!$A$2:$A$5000,$A61,Data_Actuals!$B$2:$B$5000,$B$2),"")</f>
        <v/>
      </c>
      <c r="V61" s="42">
        <f>IF($D61="Actual",SUMIFS(Data_Actuals!$G$2:$G$5000,Data_Actuals!$A$2:$A$5000,$A61,Data_Actuals!$B$2:$B$5000,$B$2),"")</f>
        <v/>
      </c>
      <c r="W61" s="42">
        <f>SUMIFS(Plan_Inputs!$C$2:$C$5000,Plan_Inputs!$A$2:$A$5000,$A61,Plan_Inputs!$B$2:$B$5000,$B$2)</f>
        <v/>
      </c>
      <c r="X61" s="43">
        <f>SUMIFS(Plan_Inputs!$D$2:$D$5000,Plan_Inputs!$A$2:$A$5000,$A61,Plan_Inputs!$B$2:$B$5000,$B$2)</f>
        <v/>
      </c>
      <c r="Y61" s="42">
        <f>E61</f>
        <v/>
      </c>
      <c r="Z61" s="44">
        <f>INDEX(Calendar!$H$5:$L$52,MATCH($A61,Calendar!$A$5:$A$52,0),MATCH($D$2,Calendar!$H$4:$L$4,0))</f>
        <v/>
      </c>
      <c r="AA61" s="44">
        <f>INDEX(Calendar!$M$5:$M$52,MATCH($A61,Calendar!$A$5:$A$52,0))</f>
        <v/>
      </c>
      <c r="AB61" s="45">
        <f>IF($D61="Actual",IFERROR(S61/Y61,""),AB49)</f>
        <v/>
      </c>
      <c r="AC61" s="46">
        <f>IF($D61="Actual",IFERROR(U61/T61/Z61/AA61,""),AC49)</f>
        <v/>
      </c>
      <c r="AD61" s="43">
        <f>IF($D61="Actual",IFERROR(V61/(U61+V61),""),AD49)</f>
        <v/>
      </c>
      <c r="AE61" s="46">
        <f>IFERROR(AC61*Z61*AA61,"")</f>
        <v/>
      </c>
      <c r="AF61" s="47">
        <f>K49</f>
        <v/>
      </c>
      <c r="AG61" s="43">
        <f>IF($D61="Forecast",IFERROR(K61/AF61-1,""),"")</f>
        <v/>
      </c>
    </row>
    <row r="62">
      <c r="A62" s="31" t="n">
        <v>47088</v>
      </c>
      <c r="B62" s="32">
        <f>YEAR(A62)</f>
        <v/>
      </c>
      <c r="C62" s="32">
        <f>MONTH(A62)</f>
        <v/>
      </c>
      <c r="D62" s="33">
        <f>IF(A62&lt;=LastActual,"Actual","Forecast")</f>
        <v/>
      </c>
      <c r="E62" s="34">
        <f>IF($D62="Actual",R62,W62)</f>
        <v/>
      </c>
      <c r="F62" s="35">
        <f>IF($D62="Actual",S62,Cases_Forecast!AL55)</f>
        <v/>
      </c>
      <c r="G62" s="36">
        <f>IF($D62="Actual",T62,IFERROR(H62/AE62,0))</f>
        <v/>
      </c>
      <c r="H62" s="34">
        <f>IF($D62="Actual",U62,J62-I62)</f>
        <v/>
      </c>
      <c r="I62" s="34">
        <f>IF($D62="Actual",V62,IFERROR(J62*AD62,0))</f>
        <v/>
      </c>
      <c r="J62" s="34">
        <f>IF($D62="Actual",U62+V62,E62*X62)</f>
        <v/>
      </c>
      <c r="K62" s="37">
        <f>IFERROR(F62/G62,0)</f>
        <v/>
      </c>
      <c r="L62" s="38">
        <f>IFERROR(H62/G62,0)</f>
        <v/>
      </c>
      <c r="M62" s="39">
        <f>IFERROR(J62/F62,0)</f>
        <v/>
      </c>
      <c r="N62" s="40">
        <f>IFERROR(J62/E62,0)</f>
        <v/>
      </c>
      <c r="O62" s="40">
        <f>IFERROR(I62/J62,0)</f>
        <v/>
      </c>
      <c r="R62" s="42">
        <f>IF($D62="Actual",SUMIFS(Data_Actuals!$C$2:$C$5000,Data_Actuals!$A$2:$A$5000,$A62,Data_Actuals!$B$2:$B$5000,$B$2),"")</f>
        <v/>
      </c>
      <c r="S62" s="42">
        <f>IF($D62="Actual",SUMIFS(Data_Actuals!$D$2:$D$5000,Data_Actuals!$A$2:$A$5000,$A62,Data_Actuals!$B$2:$B$5000,$B$2),"")</f>
        <v/>
      </c>
      <c r="T62" s="42">
        <f>IF($D62="Actual",SUMIFS(Data_Actuals!$E$2:$E$5000,Data_Actuals!$A$2:$A$5000,$A62,Data_Actuals!$B$2:$B$5000,$B$2),"")</f>
        <v/>
      </c>
      <c r="U62" s="42">
        <f>IF($D62="Actual",SUMIFS(Data_Actuals!$F$2:$F$5000,Data_Actuals!$A$2:$A$5000,$A62,Data_Actuals!$B$2:$B$5000,$B$2),"")</f>
        <v/>
      </c>
      <c r="V62" s="42">
        <f>IF($D62="Actual",SUMIFS(Data_Actuals!$G$2:$G$5000,Data_Actuals!$A$2:$A$5000,$A62,Data_Actuals!$B$2:$B$5000,$B$2),"")</f>
        <v/>
      </c>
      <c r="W62" s="42">
        <f>SUMIFS(Plan_Inputs!$C$2:$C$5000,Plan_Inputs!$A$2:$A$5000,$A62,Plan_Inputs!$B$2:$B$5000,$B$2)</f>
        <v/>
      </c>
      <c r="X62" s="43">
        <f>SUMIFS(Plan_Inputs!$D$2:$D$5000,Plan_Inputs!$A$2:$A$5000,$A62,Plan_Inputs!$B$2:$B$5000,$B$2)</f>
        <v/>
      </c>
      <c r="Y62" s="42">
        <f>E62</f>
        <v/>
      </c>
      <c r="Z62" s="44">
        <f>INDEX(Calendar!$H$5:$L$52,MATCH($A62,Calendar!$A$5:$A$52,0),MATCH($D$2,Calendar!$H$4:$L$4,0))</f>
        <v/>
      </c>
      <c r="AA62" s="44">
        <f>INDEX(Calendar!$M$5:$M$52,MATCH($A62,Calendar!$A$5:$A$52,0))</f>
        <v/>
      </c>
      <c r="AB62" s="45">
        <f>IF($D62="Actual",IFERROR(S62/Y62,""),AB50)</f>
        <v/>
      </c>
      <c r="AC62" s="46">
        <f>IF($D62="Actual",IFERROR(U62/T62/Z62/AA62,""),AC50)</f>
        <v/>
      </c>
      <c r="AD62" s="43">
        <f>IF($D62="Actual",IFERROR(V62/(U62+V62),""),AD50)</f>
        <v/>
      </c>
      <c r="AE62" s="46">
        <f>IFERROR(AC62*Z62*AA62,"")</f>
        <v/>
      </c>
      <c r="AF62" s="47">
        <f>K50</f>
        <v/>
      </c>
      <c r="AG62" s="43">
        <f>IF($D62="Forecast",IFERROR(K62/AF62-1,""),"")</f>
        <v/>
      </c>
    </row>
  </sheetData>
  <mergeCells count="3">
    <mergeCell ref="K12:O12"/>
    <mergeCell ref="R12:AG12"/>
    <mergeCell ref="E12:J12"/>
  </mergeCells>
  <conditionalFormatting sqref="A15:O62">
    <cfRule type="expression" priority="1" dxfId="4">
      <formula>$D15="Forecast"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1F3864"/>
    <outlinePr summaryBelow="1" summaryRight="1"/>
    <pageSetUpPr/>
  </sheetPr>
  <dimension ref="A1:AG62"/>
  <sheetViews>
    <sheetView workbookViewId="0">
      <pane xSplit="4" ySplit="14" topLeftCell="E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" customWidth="1" min="2" max="2"/>
    <col width="5" customWidth="1" min="3" max="3"/>
    <col width="9" customWidth="1" min="4" max="4"/>
    <col width="10" customWidth="1" min="5" max="5"/>
    <col width="10" customWidth="1" min="6" max="6"/>
    <col width="11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1" customWidth="1" min="15" max="15"/>
    <col width="2" customWidth="1" min="17" max="17"/>
    <col width="11" customWidth="1" min="18" max="18"/>
    <col width="11" customWidth="1" min="19" max="19"/>
    <col width="10" customWidth="1" min="20" max="20"/>
    <col width="11" customWidth="1" min="21" max="21"/>
    <col width="11" customWidth="1" min="22" max="22"/>
    <col width="12" customWidth="1" min="23" max="23"/>
    <col width="9" customWidth="1" min="24" max="24"/>
    <col width="12" customWidth="1" min="25" max="25"/>
    <col width="8" customWidth="1" min="26" max="26"/>
    <col width="8" customWidth="1" min="27" max="27"/>
    <col width="11" customWidth="1" min="28" max="28"/>
    <col width="12" customWidth="1" min="29" max="29"/>
    <col width="12" customWidth="1" min="30" max="30"/>
    <col width="11" customWidth="1" min="31" max="31"/>
    <col width="9" customWidth="1" min="32" max="32"/>
    <col width="9" customWidth="1" min="33" max="33"/>
  </cols>
  <sheetData>
    <row r="1">
      <c r="A1" s="2">
        <f>$B$2&amp;"  |  Region  |  NSW"</f>
        <v/>
      </c>
    </row>
    <row r="2">
      <c r="A2" t="inlineStr">
        <is>
          <t>Code</t>
        </is>
      </c>
      <c r="B2" s="1">
        <f>Inputs!$A$39</f>
        <v/>
      </c>
      <c r="C2" t="inlineStr">
        <is>
          <t>State</t>
        </is>
      </c>
      <c r="D2" s="1" t="inlineStr">
        <is>
          <t>NSW</t>
        </is>
      </c>
    </row>
    <row r="5" ht="45" customHeight="1">
      <c r="A5" s="5" t="inlineStr">
        <is>
          <t>FY</t>
        </is>
      </c>
      <c r="D5" s="5" t="inlineStr">
        <is>
          <t>Status</t>
        </is>
      </c>
      <c r="E5" s="5" t="inlineStr">
        <is>
          <t>Sales</t>
        </is>
      </c>
      <c r="F5" s="5" t="inlineStr">
        <is>
          <t>Cases picked</t>
        </is>
      </c>
      <c r="G5" s="5" t="inlineStr">
        <is>
          <t>WH hours worked</t>
        </is>
      </c>
      <c r="H5" s="5" t="inlineStr">
        <is>
          <t>Staff payroll</t>
        </is>
      </c>
      <c r="I5" s="5" t="inlineStr">
        <is>
          <t>Leadership payroll</t>
        </is>
      </c>
      <c r="J5" s="5" t="inlineStr">
        <is>
          <t>Total payroll</t>
        </is>
      </c>
      <c r="K5" s="5" t="inlineStr">
        <is>
          <t>CPLH (cases / hr)</t>
        </is>
      </c>
      <c r="L5" s="5" t="inlineStr">
        <is>
          <t>Cost per hour (staff)</t>
        </is>
      </c>
      <c r="M5" s="5" t="inlineStr">
        <is>
          <t>Cost per case (total payroll)</t>
        </is>
      </c>
      <c r="N5" s="5" t="inlineStr">
        <is>
          <t>Total payroll % sales</t>
        </is>
      </c>
      <c r="O5" s="5" t="inlineStr">
        <is>
          <t>Leadership % of total payroll</t>
        </is>
      </c>
    </row>
    <row r="6">
      <c r="A6" s="15" t="n">
        <v>2025</v>
      </c>
      <c r="D6" s="16">
        <f>IF(DATE(A6,12,1)&lt;=LastActual,"Actual",IF(DATE(A6,1,1)&gt;LastActual,"Forecast","Blended"))</f>
        <v/>
      </c>
      <c r="E6" s="17">
        <f>SUMIFS($E$15:$E$62,$B$15:$B$62,$A6)</f>
        <v/>
      </c>
      <c r="F6" s="18">
        <f>SUMIFS($F$15:$F$62,$B$15:$B$62,$A6)</f>
        <v/>
      </c>
      <c r="G6" s="19">
        <f>SUMIFS($G$15:$G$62,$B$15:$B$62,$A6)</f>
        <v/>
      </c>
      <c r="H6" s="17">
        <f>SUMIFS($H$15:$H$62,$B$15:$B$62,$A6)</f>
        <v/>
      </c>
      <c r="I6" s="17">
        <f>SUMIFS($I$15:$I$62,$B$15:$B$62,$A6)</f>
        <v/>
      </c>
      <c r="J6" s="17">
        <f>SUMIFS($J$15:$J$62,$B$15:$B$62,$A6)</f>
        <v/>
      </c>
      <c r="K6" s="20">
        <f>IFERROR(F6/G6,0)</f>
        <v/>
      </c>
      <c r="L6" s="21">
        <f>IFERROR(H6/G6,0)</f>
        <v/>
      </c>
      <c r="M6" s="22">
        <f>IFERROR(J6/F6,0)</f>
        <v/>
      </c>
      <c r="N6" s="23">
        <f>IFERROR(J6/E6,0)</f>
        <v/>
      </c>
      <c r="O6" s="23">
        <f>IFERROR(I6/J6,0)</f>
        <v/>
      </c>
    </row>
    <row r="7">
      <c r="A7" s="15" t="n">
        <v>2026</v>
      </c>
      <c r="D7" s="16">
        <f>IF(DATE(A7,12,1)&lt;=LastActual,"Actual",IF(DATE(A7,1,1)&gt;LastActual,"Forecast","Blended"))</f>
        <v/>
      </c>
      <c r="E7" s="17">
        <f>SUMIFS($E$15:$E$62,$B$15:$B$62,$A7)</f>
        <v/>
      </c>
      <c r="F7" s="18">
        <f>SUMIFS($F$15:$F$62,$B$15:$B$62,$A7)</f>
        <v/>
      </c>
      <c r="G7" s="19">
        <f>SUMIFS($G$15:$G$62,$B$15:$B$62,$A7)</f>
        <v/>
      </c>
      <c r="H7" s="17">
        <f>SUMIFS($H$15:$H$62,$B$15:$B$62,$A7)</f>
        <v/>
      </c>
      <c r="I7" s="17">
        <f>SUMIFS($I$15:$I$62,$B$15:$B$62,$A7)</f>
        <v/>
      </c>
      <c r="J7" s="17">
        <f>SUMIFS($J$15:$J$62,$B$15:$B$62,$A7)</f>
        <v/>
      </c>
      <c r="K7" s="20">
        <f>IFERROR(F7/G7,0)</f>
        <v/>
      </c>
      <c r="L7" s="21">
        <f>IFERROR(H7/G7,0)</f>
        <v/>
      </c>
      <c r="M7" s="22">
        <f>IFERROR(J7/F7,0)</f>
        <v/>
      </c>
      <c r="N7" s="23">
        <f>IFERROR(J7/E7,0)</f>
        <v/>
      </c>
      <c r="O7" s="23">
        <f>IFERROR(I7/J7,0)</f>
        <v/>
      </c>
    </row>
    <row r="8">
      <c r="A8" s="15" t="n">
        <v>2027</v>
      </c>
      <c r="D8" s="16">
        <f>IF(DATE(A8,12,1)&lt;=LastActual,"Actual",IF(DATE(A8,1,1)&gt;LastActual,"Forecast","Blended"))</f>
        <v/>
      </c>
      <c r="E8" s="17">
        <f>SUMIFS($E$15:$E$62,$B$15:$B$62,$A8)</f>
        <v/>
      </c>
      <c r="F8" s="18">
        <f>SUMIFS($F$15:$F$62,$B$15:$B$62,$A8)</f>
        <v/>
      </c>
      <c r="G8" s="19">
        <f>SUMIFS($G$15:$G$62,$B$15:$B$62,$A8)</f>
        <v/>
      </c>
      <c r="H8" s="17">
        <f>SUMIFS($H$15:$H$62,$B$15:$B$62,$A8)</f>
        <v/>
      </c>
      <c r="I8" s="17">
        <f>SUMIFS($I$15:$I$62,$B$15:$B$62,$A8)</f>
        <v/>
      </c>
      <c r="J8" s="17">
        <f>SUMIFS($J$15:$J$62,$B$15:$B$62,$A8)</f>
        <v/>
      </c>
      <c r="K8" s="20">
        <f>IFERROR(F8/G8,0)</f>
        <v/>
      </c>
      <c r="L8" s="21">
        <f>IFERROR(H8/G8,0)</f>
        <v/>
      </c>
      <c r="M8" s="22">
        <f>IFERROR(J8/F8,0)</f>
        <v/>
      </c>
      <c r="N8" s="23">
        <f>IFERROR(J8/E8,0)</f>
        <v/>
      </c>
      <c r="O8" s="23">
        <f>IFERROR(I8/J8,0)</f>
        <v/>
      </c>
    </row>
    <row r="9">
      <c r="A9" s="15" t="n">
        <v>2028</v>
      </c>
      <c r="D9" s="16">
        <f>IF(DATE(A9,12,1)&lt;=LastActual,"Actual",IF(DATE(A9,1,1)&gt;LastActual,"Forecast","Blended"))</f>
        <v/>
      </c>
      <c r="E9" s="17">
        <f>SUMIFS($E$15:$E$62,$B$15:$B$62,$A9)</f>
        <v/>
      </c>
      <c r="F9" s="18">
        <f>SUMIFS($F$15:$F$62,$B$15:$B$62,$A9)</f>
        <v/>
      </c>
      <c r="G9" s="19">
        <f>SUMIFS($G$15:$G$62,$B$15:$B$62,$A9)</f>
        <v/>
      </c>
      <c r="H9" s="17">
        <f>SUMIFS($H$15:$H$62,$B$15:$B$62,$A9)</f>
        <v/>
      </c>
      <c r="I9" s="17">
        <f>SUMIFS($I$15:$I$62,$B$15:$B$62,$A9)</f>
        <v/>
      </c>
      <c r="J9" s="17">
        <f>SUMIFS($J$15:$J$62,$B$15:$B$62,$A9)</f>
        <v/>
      </c>
      <c r="K9" s="20">
        <f>IFERROR(F9/G9,0)</f>
        <v/>
      </c>
      <c r="L9" s="21">
        <f>IFERROR(H9/G9,0)</f>
        <v/>
      </c>
      <c r="M9" s="22">
        <f>IFERROR(J9/F9,0)</f>
        <v/>
      </c>
      <c r="N9" s="23">
        <f>IFERROR(J9/E9,0)</f>
        <v/>
      </c>
      <c r="O9" s="23">
        <f>IFERROR(I9/J9,0)</f>
        <v/>
      </c>
    </row>
    <row r="12">
      <c r="E12" s="5" t="inlineStr">
        <is>
          <t>Drivers</t>
        </is>
      </c>
      <c r="K12" s="5" t="inlineStr">
        <is>
          <t>Metrics</t>
        </is>
      </c>
      <c r="R12" s="5" t="inlineStr">
        <is>
          <t>Helper calculations (actuals, plan, same-month-last-year rates)</t>
        </is>
      </c>
    </row>
    <row r="13" ht="60" customHeight="1">
      <c r="A13" s="5" t="inlineStr">
        <is>
          <t>Month</t>
        </is>
      </c>
      <c r="B13" s="5" t="inlineStr">
        <is>
          <t>Year</t>
        </is>
      </c>
      <c r="C13" s="5" t="inlineStr">
        <is>
          <t>Mth</t>
        </is>
      </c>
      <c r="D13" s="5" t="inlineStr">
        <is>
          <t>Status</t>
        </is>
      </c>
      <c r="E13" s="5" t="inlineStr">
        <is>
          <t>Sales</t>
        </is>
      </c>
      <c r="F13" s="5" t="inlineStr">
        <is>
          <t>Cases picked</t>
        </is>
      </c>
      <c r="G13" s="5" t="inlineStr">
        <is>
          <t>WH hours worked</t>
        </is>
      </c>
      <c r="H13" s="5" t="inlineStr">
        <is>
          <t>Staff payroll</t>
        </is>
      </c>
      <c r="I13" s="5" t="inlineStr">
        <is>
          <t>Leadership payroll</t>
        </is>
      </c>
      <c r="J13" s="5" t="inlineStr">
        <is>
          <t>Total payroll</t>
        </is>
      </c>
      <c r="K13" s="5" t="inlineStr">
        <is>
          <t>CPLH (cases / hr)</t>
        </is>
      </c>
      <c r="L13" s="5" t="inlineStr">
        <is>
          <t>Cost per hour (staff)</t>
        </is>
      </c>
      <c r="M13" s="5" t="inlineStr">
        <is>
          <t>Cost per case (total payroll)</t>
        </is>
      </c>
      <c r="N13" s="5" t="inlineStr">
        <is>
          <t>Total payroll % sales</t>
        </is>
      </c>
      <c r="O13" s="5" t="inlineStr">
        <is>
          <t>Leadership % of total payroll</t>
        </is>
      </c>
      <c r="R13" s="41" t="inlineStr">
        <is>
          <t>Act sales</t>
        </is>
      </c>
      <c r="S13" s="41" t="inlineStr">
        <is>
          <t>Act cases</t>
        </is>
      </c>
      <c r="T13" s="41" t="inlineStr">
        <is>
          <t>Act hours</t>
        </is>
      </c>
      <c r="U13" s="41" t="inlineStr">
        <is>
          <t>Act staff $</t>
        </is>
      </c>
      <c r="V13" s="41" t="inlineStr">
        <is>
          <t>Act leadership $</t>
        </is>
      </c>
      <c r="W13" s="41" t="inlineStr">
        <is>
          <t>Plan sales</t>
        </is>
      </c>
      <c r="X13" s="41" t="inlineStr">
        <is>
          <t>Plan payroll %</t>
        </is>
      </c>
      <c r="Y13" s="41" t="inlineStr">
        <is>
          <t>Volume driver sales</t>
        </is>
      </c>
      <c r="Z13" s="41" t="inlineStr">
        <is>
          <t>PH factor</t>
        </is>
      </c>
      <c r="AA13" s="41" t="inlineStr">
        <is>
          <t>Wage index</t>
        </is>
      </c>
      <c r="AB13" s="41" t="inlineStr">
        <is>
          <t>Cases per $ (actual, else same month LY)</t>
        </is>
      </c>
      <c r="AC13" s="41" t="inlineStr">
        <is>
          <t>Cost per hour ex PH &amp; wage (actual, else same month LY)</t>
        </is>
      </c>
      <c r="AD13" s="41" t="inlineStr">
        <is>
          <t>Leadership share of total payroll (actual, else same month LY)</t>
        </is>
      </c>
      <c r="AE13" s="41" t="inlineStr">
        <is>
          <t>Fcst cost per hour (AC x PH x wage)</t>
        </is>
      </c>
      <c r="AF13" s="41" t="inlineStr">
        <is>
          <t>LY CPLH (same month)</t>
        </is>
      </c>
      <c r="AG13" s="41" t="inlineStr">
        <is>
          <t>Fcst CPLH vs LY</t>
        </is>
      </c>
    </row>
    <row r="14">
      <c r="E14" s="25" t="inlineStr">
        <is>
          <t>$m</t>
        </is>
      </c>
      <c r="F14" s="25" t="inlineStr">
        <is>
          <t>m</t>
        </is>
      </c>
      <c r="G14" s="25" t="inlineStr">
        <is>
          <t>#</t>
        </is>
      </c>
      <c r="H14" s="25" t="inlineStr">
        <is>
          <t>$m</t>
        </is>
      </c>
      <c r="I14" s="25" t="inlineStr">
        <is>
          <t>$m</t>
        </is>
      </c>
      <c r="J14" s="25" t="inlineStr">
        <is>
          <t>$m</t>
        </is>
      </c>
      <c r="K14" s="25" t="inlineStr">
        <is>
          <t>#</t>
        </is>
      </c>
      <c r="L14" s="25" t="inlineStr">
        <is>
          <t>$</t>
        </is>
      </c>
      <c r="M14" s="25" t="inlineStr">
        <is>
          <t>$</t>
        </is>
      </c>
      <c r="N14" s="25" t="inlineStr">
        <is>
          <t>%</t>
        </is>
      </c>
      <c r="O14" s="25" t="inlineStr">
        <is>
          <t>%</t>
        </is>
      </c>
    </row>
    <row r="15">
      <c r="A15" s="8" t="n">
        <v>45658</v>
      </c>
      <c r="B15" s="26">
        <f>YEAR(A15)</f>
        <v/>
      </c>
      <c r="C15" s="26">
        <f>MONTH(A15)</f>
        <v/>
      </c>
      <c r="D15">
        <f>IF(A15&lt;=LastActual,"Actual","Forecast")</f>
        <v/>
      </c>
      <c r="E15" s="24">
        <f>IF($D15="Actual",R15,W15)</f>
        <v/>
      </c>
      <c r="F15" s="27">
        <f>IF($D15="Actual",S15,Cases_Forecast!AM8)</f>
        <v/>
      </c>
      <c r="G15" s="9">
        <f>IF($D15="Actual",T15,IFERROR(H15/AE15,0))</f>
        <v/>
      </c>
      <c r="H15" s="24">
        <f>IF($D15="Actual",U15,J15-I15)</f>
        <v/>
      </c>
      <c r="I15" s="24">
        <f>IF($D15="Actual",V15,IFERROR(J15*AD15,0))</f>
        <v/>
      </c>
      <c r="J15" s="24">
        <f>IF($D15="Actual",U15+V15,E15*X15)</f>
        <v/>
      </c>
      <c r="K15" s="28">
        <f>IFERROR(F15/G15,0)</f>
        <v/>
      </c>
      <c r="L15" s="29">
        <f>IFERROR(H15/G15,0)</f>
        <v/>
      </c>
      <c r="M15" s="30">
        <f>IFERROR(J15/F15,0)</f>
        <v/>
      </c>
      <c r="N15" s="10">
        <f>IFERROR(J15/E15,0)</f>
        <v/>
      </c>
      <c r="O15" s="10">
        <f>IFERROR(I15/J15,0)</f>
        <v/>
      </c>
      <c r="R15" s="42">
        <f>IF($D15="Actual",SUMIFS(Data_Actuals!$C$2:$C$5000,Data_Actuals!$A$2:$A$5000,$A15,Data_Actuals!$B$2:$B$5000,$B$2),"")</f>
        <v/>
      </c>
      <c r="S15" s="42">
        <f>IF($D15="Actual",SUMIFS(Data_Actuals!$D$2:$D$5000,Data_Actuals!$A$2:$A$5000,$A15,Data_Actuals!$B$2:$B$5000,$B$2),"")</f>
        <v/>
      </c>
      <c r="T15" s="42">
        <f>IF($D15="Actual",SUMIFS(Data_Actuals!$E$2:$E$5000,Data_Actuals!$A$2:$A$5000,$A15,Data_Actuals!$B$2:$B$5000,$B$2),"")</f>
        <v/>
      </c>
      <c r="U15" s="42">
        <f>IF($D15="Actual",SUMIFS(Data_Actuals!$F$2:$F$5000,Data_Actuals!$A$2:$A$5000,$A15,Data_Actuals!$B$2:$B$5000,$B$2),"")</f>
        <v/>
      </c>
      <c r="V15" s="42">
        <f>IF($D15="Actual",SUMIFS(Data_Actuals!$G$2:$G$5000,Data_Actuals!$A$2:$A$5000,$A15,Data_Actuals!$B$2:$B$5000,$B$2),"")</f>
        <v/>
      </c>
      <c r="W15" s="42">
        <f>SUMIFS(Plan_Inputs!$C$2:$C$5000,Plan_Inputs!$A$2:$A$5000,$A15,Plan_Inputs!$B$2:$B$5000,$B$2)</f>
        <v/>
      </c>
      <c r="X15" s="43">
        <f>SUMIFS(Plan_Inputs!$D$2:$D$5000,Plan_Inputs!$A$2:$A$5000,$A15,Plan_Inputs!$B$2:$B$5000,$B$2)</f>
        <v/>
      </c>
      <c r="Y15" s="42">
        <f>E15</f>
        <v/>
      </c>
      <c r="Z15" s="44">
        <f>INDEX(Calendar!$H$5:$L$52,MATCH($A15,Calendar!$A$5:$A$52,0),MATCH($D$2,Calendar!$H$4:$L$4,0))</f>
        <v/>
      </c>
      <c r="AA15" s="44">
        <f>INDEX(Calendar!$M$5:$M$52,MATCH($A15,Calendar!$A$5:$A$52,0))</f>
        <v/>
      </c>
      <c r="AB15" s="45">
        <f>IF($D15="Actual",IFERROR(S15/Y15,""),"")</f>
        <v/>
      </c>
      <c r="AC15" s="46">
        <f>IF($D15="Actual",IFERROR(U15/T15/Z15/AA15,""),"")</f>
        <v/>
      </c>
      <c r="AD15" s="43">
        <f>IF($D15="Actual",IFERROR(V15/(U15+V15),""),"")</f>
        <v/>
      </c>
      <c r="AE15" s="46">
        <f>IFERROR(AC15*Z15*AA15,"")</f>
        <v/>
      </c>
      <c r="AF15" s="47" t="n"/>
      <c r="AG15" s="43">
        <f>IF($D15="Forecast",IFERROR(K15/AF15-1,""),"")</f>
        <v/>
      </c>
    </row>
    <row r="16">
      <c r="A16" s="8" t="n">
        <v>45689</v>
      </c>
      <c r="B16" s="26">
        <f>YEAR(A16)</f>
        <v/>
      </c>
      <c r="C16" s="26">
        <f>MONTH(A16)</f>
        <v/>
      </c>
      <c r="D16">
        <f>IF(A16&lt;=LastActual,"Actual","Forecast")</f>
        <v/>
      </c>
      <c r="E16" s="24">
        <f>IF($D16="Actual",R16,W16)</f>
        <v/>
      </c>
      <c r="F16" s="27">
        <f>IF($D16="Actual",S16,Cases_Forecast!AM9)</f>
        <v/>
      </c>
      <c r="G16" s="9">
        <f>IF($D16="Actual",T16,IFERROR(H16/AE16,0))</f>
        <v/>
      </c>
      <c r="H16" s="24">
        <f>IF($D16="Actual",U16,J16-I16)</f>
        <v/>
      </c>
      <c r="I16" s="24">
        <f>IF($D16="Actual",V16,IFERROR(J16*AD16,0))</f>
        <v/>
      </c>
      <c r="J16" s="24">
        <f>IF($D16="Actual",U16+V16,E16*X16)</f>
        <v/>
      </c>
      <c r="K16" s="28">
        <f>IFERROR(F16/G16,0)</f>
        <v/>
      </c>
      <c r="L16" s="29">
        <f>IFERROR(H16/G16,0)</f>
        <v/>
      </c>
      <c r="M16" s="30">
        <f>IFERROR(J16/F16,0)</f>
        <v/>
      </c>
      <c r="N16" s="10">
        <f>IFERROR(J16/E16,0)</f>
        <v/>
      </c>
      <c r="O16" s="10">
        <f>IFERROR(I16/J16,0)</f>
        <v/>
      </c>
      <c r="R16" s="42">
        <f>IF($D16="Actual",SUMIFS(Data_Actuals!$C$2:$C$5000,Data_Actuals!$A$2:$A$5000,$A16,Data_Actuals!$B$2:$B$5000,$B$2),"")</f>
        <v/>
      </c>
      <c r="S16" s="42">
        <f>IF($D16="Actual",SUMIFS(Data_Actuals!$D$2:$D$5000,Data_Actuals!$A$2:$A$5000,$A16,Data_Actuals!$B$2:$B$5000,$B$2),"")</f>
        <v/>
      </c>
      <c r="T16" s="42">
        <f>IF($D16="Actual",SUMIFS(Data_Actuals!$E$2:$E$5000,Data_Actuals!$A$2:$A$5000,$A16,Data_Actuals!$B$2:$B$5000,$B$2),"")</f>
        <v/>
      </c>
      <c r="U16" s="42">
        <f>IF($D16="Actual",SUMIFS(Data_Actuals!$F$2:$F$5000,Data_Actuals!$A$2:$A$5000,$A16,Data_Actuals!$B$2:$B$5000,$B$2),"")</f>
        <v/>
      </c>
      <c r="V16" s="42">
        <f>IF($D16="Actual",SUMIFS(Data_Actuals!$G$2:$G$5000,Data_Actuals!$A$2:$A$5000,$A16,Data_Actuals!$B$2:$B$5000,$B$2),"")</f>
        <v/>
      </c>
      <c r="W16" s="42">
        <f>SUMIFS(Plan_Inputs!$C$2:$C$5000,Plan_Inputs!$A$2:$A$5000,$A16,Plan_Inputs!$B$2:$B$5000,$B$2)</f>
        <v/>
      </c>
      <c r="X16" s="43">
        <f>SUMIFS(Plan_Inputs!$D$2:$D$5000,Plan_Inputs!$A$2:$A$5000,$A16,Plan_Inputs!$B$2:$B$5000,$B$2)</f>
        <v/>
      </c>
      <c r="Y16" s="42">
        <f>E16</f>
        <v/>
      </c>
      <c r="Z16" s="44">
        <f>INDEX(Calendar!$H$5:$L$52,MATCH($A16,Calendar!$A$5:$A$52,0),MATCH($D$2,Calendar!$H$4:$L$4,0))</f>
        <v/>
      </c>
      <c r="AA16" s="44">
        <f>INDEX(Calendar!$M$5:$M$52,MATCH($A16,Calendar!$A$5:$A$52,0))</f>
        <v/>
      </c>
      <c r="AB16" s="45">
        <f>IF($D16="Actual",IFERROR(S16/Y16,""),"")</f>
        <v/>
      </c>
      <c r="AC16" s="46">
        <f>IF($D16="Actual",IFERROR(U16/T16/Z16/AA16,""),"")</f>
        <v/>
      </c>
      <c r="AD16" s="43">
        <f>IF($D16="Actual",IFERROR(V16/(U16+V16),""),"")</f>
        <v/>
      </c>
      <c r="AE16" s="46">
        <f>IFERROR(AC16*Z16*AA16,"")</f>
        <v/>
      </c>
      <c r="AF16" s="47" t="n"/>
      <c r="AG16" s="43">
        <f>IF($D16="Forecast",IFERROR(K16/AF16-1,""),"")</f>
        <v/>
      </c>
    </row>
    <row r="17">
      <c r="A17" s="8" t="n">
        <v>45717</v>
      </c>
      <c r="B17" s="26">
        <f>YEAR(A17)</f>
        <v/>
      </c>
      <c r="C17" s="26">
        <f>MONTH(A17)</f>
        <v/>
      </c>
      <c r="D17">
        <f>IF(A17&lt;=LastActual,"Actual","Forecast")</f>
        <v/>
      </c>
      <c r="E17" s="24">
        <f>IF($D17="Actual",R17,W17)</f>
        <v/>
      </c>
      <c r="F17" s="27">
        <f>IF($D17="Actual",S17,Cases_Forecast!AM10)</f>
        <v/>
      </c>
      <c r="G17" s="9">
        <f>IF($D17="Actual",T17,IFERROR(H17/AE17,0))</f>
        <v/>
      </c>
      <c r="H17" s="24">
        <f>IF($D17="Actual",U17,J17-I17)</f>
        <v/>
      </c>
      <c r="I17" s="24">
        <f>IF($D17="Actual",V17,IFERROR(J17*AD17,0))</f>
        <v/>
      </c>
      <c r="J17" s="24">
        <f>IF($D17="Actual",U17+V17,E17*X17)</f>
        <v/>
      </c>
      <c r="K17" s="28">
        <f>IFERROR(F17/G17,0)</f>
        <v/>
      </c>
      <c r="L17" s="29">
        <f>IFERROR(H17/G17,0)</f>
        <v/>
      </c>
      <c r="M17" s="30">
        <f>IFERROR(J17/F17,0)</f>
        <v/>
      </c>
      <c r="N17" s="10">
        <f>IFERROR(J17/E17,0)</f>
        <v/>
      </c>
      <c r="O17" s="10">
        <f>IFERROR(I17/J17,0)</f>
        <v/>
      </c>
      <c r="R17" s="42">
        <f>IF($D17="Actual",SUMIFS(Data_Actuals!$C$2:$C$5000,Data_Actuals!$A$2:$A$5000,$A17,Data_Actuals!$B$2:$B$5000,$B$2),"")</f>
        <v/>
      </c>
      <c r="S17" s="42">
        <f>IF($D17="Actual",SUMIFS(Data_Actuals!$D$2:$D$5000,Data_Actuals!$A$2:$A$5000,$A17,Data_Actuals!$B$2:$B$5000,$B$2),"")</f>
        <v/>
      </c>
      <c r="T17" s="42">
        <f>IF($D17="Actual",SUMIFS(Data_Actuals!$E$2:$E$5000,Data_Actuals!$A$2:$A$5000,$A17,Data_Actuals!$B$2:$B$5000,$B$2),"")</f>
        <v/>
      </c>
      <c r="U17" s="42">
        <f>IF($D17="Actual",SUMIFS(Data_Actuals!$F$2:$F$5000,Data_Actuals!$A$2:$A$5000,$A17,Data_Actuals!$B$2:$B$5000,$B$2),"")</f>
        <v/>
      </c>
      <c r="V17" s="42">
        <f>IF($D17="Actual",SUMIFS(Data_Actuals!$G$2:$G$5000,Data_Actuals!$A$2:$A$5000,$A17,Data_Actuals!$B$2:$B$5000,$B$2),"")</f>
        <v/>
      </c>
      <c r="W17" s="42">
        <f>SUMIFS(Plan_Inputs!$C$2:$C$5000,Plan_Inputs!$A$2:$A$5000,$A17,Plan_Inputs!$B$2:$B$5000,$B$2)</f>
        <v/>
      </c>
      <c r="X17" s="43">
        <f>SUMIFS(Plan_Inputs!$D$2:$D$5000,Plan_Inputs!$A$2:$A$5000,$A17,Plan_Inputs!$B$2:$B$5000,$B$2)</f>
        <v/>
      </c>
      <c r="Y17" s="42">
        <f>E17</f>
        <v/>
      </c>
      <c r="Z17" s="44">
        <f>INDEX(Calendar!$H$5:$L$52,MATCH($A17,Calendar!$A$5:$A$52,0),MATCH($D$2,Calendar!$H$4:$L$4,0))</f>
        <v/>
      </c>
      <c r="AA17" s="44">
        <f>INDEX(Calendar!$M$5:$M$52,MATCH($A17,Calendar!$A$5:$A$52,0))</f>
        <v/>
      </c>
      <c r="AB17" s="45">
        <f>IF($D17="Actual",IFERROR(S17/Y17,""),"")</f>
        <v/>
      </c>
      <c r="AC17" s="46">
        <f>IF($D17="Actual",IFERROR(U17/T17/Z17/AA17,""),"")</f>
        <v/>
      </c>
      <c r="AD17" s="43">
        <f>IF($D17="Actual",IFERROR(V17/(U17+V17),""),"")</f>
        <v/>
      </c>
      <c r="AE17" s="46">
        <f>IFERROR(AC17*Z17*AA17,"")</f>
        <v/>
      </c>
      <c r="AF17" s="47" t="n"/>
      <c r="AG17" s="43">
        <f>IF($D17="Forecast",IFERROR(K17/AF17-1,""),"")</f>
        <v/>
      </c>
    </row>
    <row r="18">
      <c r="A18" s="8" t="n">
        <v>45748</v>
      </c>
      <c r="B18" s="26">
        <f>YEAR(A18)</f>
        <v/>
      </c>
      <c r="C18" s="26">
        <f>MONTH(A18)</f>
        <v/>
      </c>
      <c r="D18">
        <f>IF(A18&lt;=LastActual,"Actual","Forecast")</f>
        <v/>
      </c>
      <c r="E18" s="24">
        <f>IF($D18="Actual",R18,W18)</f>
        <v/>
      </c>
      <c r="F18" s="27">
        <f>IF($D18="Actual",S18,Cases_Forecast!AM11)</f>
        <v/>
      </c>
      <c r="G18" s="9">
        <f>IF($D18="Actual",T18,IFERROR(H18/AE18,0))</f>
        <v/>
      </c>
      <c r="H18" s="24">
        <f>IF($D18="Actual",U18,J18-I18)</f>
        <v/>
      </c>
      <c r="I18" s="24">
        <f>IF($D18="Actual",V18,IFERROR(J18*AD18,0))</f>
        <v/>
      </c>
      <c r="J18" s="24">
        <f>IF($D18="Actual",U18+V18,E18*X18)</f>
        <v/>
      </c>
      <c r="K18" s="28">
        <f>IFERROR(F18/G18,0)</f>
        <v/>
      </c>
      <c r="L18" s="29">
        <f>IFERROR(H18/G18,0)</f>
        <v/>
      </c>
      <c r="M18" s="30">
        <f>IFERROR(J18/F18,0)</f>
        <v/>
      </c>
      <c r="N18" s="10">
        <f>IFERROR(J18/E18,0)</f>
        <v/>
      </c>
      <c r="O18" s="10">
        <f>IFERROR(I18/J18,0)</f>
        <v/>
      </c>
      <c r="R18" s="42">
        <f>IF($D18="Actual",SUMIFS(Data_Actuals!$C$2:$C$5000,Data_Actuals!$A$2:$A$5000,$A18,Data_Actuals!$B$2:$B$5000,$B$2),"")</f>
        <v/>
      </c>
      <c r="S18" s="42">
        <f>IF($D18="Actual",SUMIFS(Data_Actuals!$D$2:$D$5000,Data_Actuals!$A$2:$A$5000,$A18,Data_Actuals!$B$2:$B$5000,$B$2),"")</f>
        <v/>
      </c>
      <c r="T18" s="42">
        <f>IF($D18="Actual",SUMIFS(Data_Actuals!$E$2:$E$5000,Data_Actuals!$A$2:$A$5000,$A18,Data_Actuals!$B$2:$B$5000,$B$2),"")</f>
        <v/>
      </c>
      <c r="U18" s="42">
        <f>IF($D18="Actual",SUMIFS(Data_Actuals!$F$2:$F$5000,Data_Actuals!$A$2:$A$5000,$A18,Data_Actuals!$B$2:$B$5000,$B$2),"")</f>
        <v/>
      </c>
      <c r="V18" s="42">
        <f>IF($D18="Actual",SUMIFS(Data_Actuals!$G$2:$G$5000,Data_Actuals!$A$2:$A$5000,$A18,Data_Actuals!$B$2:$B$5000,$B$2),"")</f>
        <v/>
      </c>
      <c r="W18" s="42">
        <f>SUMIFS(Plan_Inputs!$C$2:$C$5000,Plan_Inputs!$A$2:$A$5000,$A18,Plan_Inputs!$B$2:$B$5000,$B$2)</f>
        <v/>
      </c>
      <c r="X18" s="43">
        <f>SUMIFS(Plan_Inputs!$D$2:$D$5000,Plan_Inputs!$A$2:$A$5000,$A18,Plan_Inputs!$B$2:$B$5000,$B$2)</f>
        <v/>
      </c>
      <c r="Y18" s="42">
        <f>E18</f>
        <v/>
      </c>
      <c r="Z18" s="44">
        <f>INDEX(Calendar!$H$5:$L$52,MATCH($A18,Calendar!$A$5:$A$52,0),MATCH($D$2,Calendar!$H$4:$L$4,0))</f>
        <v/>
      </c>
      <c r="AA18" s="44">
        <f>INDEX(Calendar!$M$5:$M$52,MATCH($A18,Calendar!$A$5:$A$52,0))</f>
        <v/>
      </c>
      <c r="AB18" s="45">
        <f>IF($D18="Actual",IFERROR(S18/Y18,""),"")</f>
        <v/>
      </c>
      <c r="AC18" s="46">
        <f>IF($D18="Actual",IFERROR(U18/T18/Z18/AA18,""),"")</f>
        <v/>
      </c>
      <c r="AD18" s="43">
        <f>IF($D18="Actual",IFERROR(V18/(U18+V18),""),"")</f>
        <v/>
      </c>
      <c r="AE18" s="46">
        <f>IFERROR(AC18*Z18*AA18,"")</f>
        <v/>
      </c>
      <c r="AF18" s="47" t="n"/>
      <c r="AG18" s="43">
        <f>IF($D18="Forecast",IFERROR(K18/AF18-1,""),"")</f>
        <v/>
      </c>
    </row>
    <row r="19">
      <c r="A19" s="8" t="n">
        <v>45778</v>
      </c>
      <c r="B19" s="26">
        <f>YEAR(A19)</f>
        <v/>
      </c>
      <c r="C19" s="26">
        <f>MONTH(A19)</f>
        <v/>
      </c>
      <c r="D19">
        <f>IF(A19&lt;=LastActual,"Actual","Forecast")</f>
        <v/>
      </c>
      <c r="E19" s="24">
        <f>IF($D19="Actual",R19,W19)</f>
        <v/>
      </c>
      <c r="F19" s="27">
        <f>IF($D19="Actual",S19,Cases_Forecast!AM12)</f>
        <v/>
      </c>
      <c r="G19" s="9">
        <f>IF($D19="Actual",T19,IFERROR(H19/AE19,0))</f>
        <v/>
      </c>
      <c r="H19" s="24">
        <f>IF($D19="Actual",U19,J19-I19)</f>
        <v/>
      </c>
      <c r="I19" s="24">
        <f>IF($D19="Actual",V19,IFERROR(J19*AD19,0))</f>
        <v/>
      </c>
      <c r="J19" s="24">
        <f>IF($D19="Actual",U19+V19,E19*X19)</f>
        <v/>
      </c>
      <c r="K19" s="28">
        <f>IFERROR(F19/G19,0)</f>
        <v/>
      </c>
      <c r="L19" s="29">
        <f>IFERROR(H19/G19,0)</f>
        <v/>
      </c>
      <c r="M19" s="30">
        <f>IFERROR(J19/F19,0)</f>
        <v/>
      </c>
      <c r="N19" s="10">
        <f>IFERROR(J19/E19,0)</f>
        <v/>
      </c>
      <c r="O19" s="10">
        <f>IFERROR(I19/J19,0)</f>
        <v/>
      </c>
      <c r="R19" s="42">
        <f>IF($D19="Actual",SUMIFS(Data_Actuals!$C$2:$C$5000,Data_Actuals!$A$2:$A$5000,$A19,Data_Actuals!$B$2:$B$5000,$B$2),"")</f>
        <v/>
      </c>
      <c r="S19" s="42">
        <f>IF($D19="Actual",SUMIFS(Data_Actuals!$D$2:$D$5000,Data_Actuals!$A$2:$A$5000,$A19,Data_Actuals!$B$2:$B$5000,$B$2),"")</f>
        <v/>
      </c>
      <c r="T19" s="42">
        <f>IF($D19="Actual",SUMIFS(Data_Actuals!$E$2:$E$5000,Data_Actuals!$A$2:$A$5000,$A19,Data_Actuals!$B$2:$B$5000,$B$2),"")</f>
        <v/>
      </c>
      <c r="U19" s="42">
        <f>IF($D19="Actual",SUMIFS(Data_Actuals!$F$2:$F$5000,Data_Actuals!$A$2:$A$5000,$A19,Data_Actuals!$B$2:$B$5000,$B$2),"")</f>
        <v/>
      </c>
      <c r="V19" s="42">
        <f>IF($D19="Actual",SUMIFS(Data_Actuals!$G$2:$G$5000,Data_Actuals!$A$2:$A$5000,$A19,Data_Actuals!$B$2:$B$5000,$B$2),"")</f>
        <v/>
      </c>
      <c r="W19" s="42">
        <f>SUMIFS(Plan_Inputs!$C$2:$C$5000,Plan_Inputs!$A$2:$A$5000,$A19,Plan_Inputs!$B$2:$B$5000,$B$2)</f>
        <v/>
      </c>
      <c r="X19" s="43">
        <f>SUMIFS(Plan_Inputs!$D$2:$D$5000,Plan_Inputs!$A$2:$A$5000,$A19,Plan_Inputs!$B$2:$B$5000,$B$2)</f>
        <v/>
      </c>
      <c r="Y19" s="42">
        <f>E19</f>
        <v/>
      </c>
      <c r="Z19" s="44">
        <f>INDEX(Calendar!$H$5:$L$52,MATCH($A19,Calendar!$A$5:$A$52,0),MATCH($D$2,Calendar!$H$4:$L$4,0))</f>
        <v/>
      </c>
      <c r="AA19" s="44">
        <f>INDEX(Calendar!$M$5:$M$52,MATCH($A19,Calendar!$A$5:$A$52,0))</f>
        <v/>
      </c>
      <c r="AB19" s="45">
        <f>IF($D19="Actual",IFERROR(S19/Y19,""),"")</f>
        <v/>
      </c>
      <c r="AC19" s="46">
        <f>IF($D19="Actual",IFERROR(U19/T19/Z19/AA19,""),"")</f>
        <v/>
      </c>
      <c r="AD19" s="43">
        <f>IF($D19="Actual",IFERROR(V19/(U19+V19),""),"")</f>
        <v/>
      </c>
      <c r="AE19" s="46">
        <f>IFERROR(AC19*Z19*AA19,"")</f>
        <v/>
      </c>
      <c r="AF19" s="47" t="n"/>
      <c r="AG19" s="43">
        <f>IF($D19="Forecast",IFERROR(K19/AF19-1,""),"")</f>
        <v/>
      </c>
    </row>
    <row r="20">
      <c r="A20" s="8" t="n">
        <v>45809</v>
      </c>
      <c r="B20" s="26">
        <f>YEAR(A20)</f>
        <v/>
      </c>
      <c r="C20" s="26">
        <f>MONTH(A20)</f>
        <v/>
      </c>
      <c r="D20">
        <f>IF(A20&lt;=LastActual,"Actual","Forecast")</f>
        <v/>
      </c>
      <c r="E20" s="24">
        <f>IF($D20="Actual",R20,W20)</f>
        <v/>
      </c>
      <c r="F20" s="27">
        <f>IF($D20="Actual",S20,Cases_Forecast!AM13)</f>
        <v/>
      </c>
      <c r="G20" s="9">
        <f>IF($D20="Actual",T20,IFERROR(H20/AE20,0))</f>
        <v/>
      </c>
      <c r="H20" s="24">
        <f>IF($D20="Actual",U20,J20-I20)</f>
        <v/>
      </c>
      <c r="I20" s="24">
        <f>IF($D20="Actual",V20,IFERROR(J20*AD20,0))</f>
        <v/>
      </c>
      <c r="J20" s="24">
        <f>IF($D20="Actual",U20+V20,E20*X20)</f>
        <v/>
      </c>
      <c r="K20" s="28">
        <f>IFERROR(F20/G20,0)</f>
        <v/>
      </c>
      <c r="L20" s="29">
        <f>IFERROR(H20/G20,0)</f>
        <v/>
      </c>
      <c r="M20" s="30">
        <f>IFERROR(J20/F20,0)</f>
        <v/>
      </c>
      <c r="N20" s="10">
        <f>IFERROR(J20/E20,0)</f>
        <v/>
      </c>
      <c r="O20" s="10">
        <f>IFERROR(I20/J20,0)</f>
        <v/>
      </c>
      <c r="R20" s="42">
        <f>IF($D20="Actual",SUMIFS(Data_Actuals!$C$2:$C$5000,Data_Actuals!$A$2:$A$5000,$A20,Data_Actuals!$B$2:$B$5000,$B$2),"")</f>
        <v/>
      </c>
      <c r="S20" s="42">
        <f>IF($D20="Actual",SUMIFS(Data_Actuals!$D$2:$D$5000,Data_Actuals!$A$2:$A$5000,$A20,Data_Actuals!$B$2:$B$5000,$B$2),"")</f>
        <v/>
      </c>
      <c r="T20" s="42">
        <f>IF($D20="Actual",SUMIFS(Data_Actuals!$E$2:$E$5000,Data_Actuals!$A$2:$A$5000,$A20,Data_Actuals!$B$2:$B$5000,$B$2),"")</f>
        <v/>
      </c>
      <c r="U20" s="42">
        <f>IF($D20="Actual",SUMIFS(Data_Actuals!$F$2:$F$5000,Data_Actuals!$A$2:$A$5000,$A20,Data_Actuals!$B$2:$B$5000,$B$2),"")</f>
        <v/>
      </c>
      <c r="V20" s="42">
        <f>IF($D20="Actual",SUMIFS(Data_Actuals!$G$2:$G$5000,Data_Actuals!$A$2:$A$5000,$A20,Data_Actuals!$B$2:$B$5000,$B$2),"")</f>
        <v/>
      </c>
      <c r="W20" s="42">
        <f>SUMIFS(Plan_Inputs!$C$2:$C$5000,Plan_Inputs!$A$2:$A$5000,$A20,Plan_Inputs!$B$2:$B$5000,$B$2)</f>
        <v/>
      </c>
      <c r="X20" s="43">
        <f>SUMIFS(Plan_Inputs!$D$2:$D$5000,Plan_Inputs!$A$2:$A$5000,$A20,Plan_Inputs!$B$2:$B$5000,$B$2)</f>
        <v/>
      </c>
      <c r="Y20" s="42">
        <f>E20</f>
        <v/>
      </c>
      <c r="Z20" s="44">
        <f>INDEX(Calendar!$H$5:$L$52,MATCH($A20,Calendar!$A$5:$A$52,0),MATCH($D$2,Calendar!$H$4:$L$4,0))</f>
        <v/>
      </c>
      <c r="AA20" s="44">
        <f>INDEX(Calendar!$M$5:$M$52,MATCH($A20,Calendar!$A$5:$A$52,0))</f>
        <v/>
      </c>
      <c r="AB20" s="45">
        <f>IF($D20="Actual",IFERROR(S20/Y20,""),"")</f>
        <v/>
      </c>
      <c r="AC20" s="46">
        <f>IF($D20="Actual",IFERROR(U20/T20/Z20/AA20,""),"")</f>
        <v/>
      </c>
      <c r="AD20" s="43">
        <f>IF($D20="Actual",IFERROR(V20/(U20+V20),""),"")</f>
        <v/>
      </c>
      <c r="AE20" s="46">
        <f>IFERROR(AC20*Z20*AA20,"")</f>
        <v/>
      </c>
      <c r="AF20" s="47" t="n"/>
      <c r="AG20" s="43">
        <f>IF($D20="Forecast",IFERROR(K20/AF20-1,""),"")</f>
        <v/>
      </c>
    </row>
    <row r="21">
      <c r="A21" s="8" t="n">
        <v>45839</v>
      </c>
      <c r="B21" s="26">
        <f>YEAR(A21)</f>
        <v/>
      </c>
      <c r="C21" s="26">
        <f>MONTH(A21)</f>
        <v/>
      </c>
      <c r="D21">
        <f>IF(A21&lt;=LastActual,"Actual","Forecast")</f>
        <v/>
      </c>
      <c r="E21" s="24">
        <f>IF($D21="Actual",R21,W21)</f>
        <v/>
      </c>
      <c r="F21" s="27">
        <f>IF($D21="Actual",S21,Cases_Forecast!AM14)</f>
        <v/>
      </c>
      <c r="G21" s="9">
        <f>IF($D21="Actual",T21,IFERROR(H21/AE21,0))</f>
        <v/>
      </c>
      <c r="H21" s="24">
        <f>IF($D21="Actual",U21,J21-I21)</f>
        <v/>
      </c>
      <c r="I21" s="24">
        <f>IF($D21="Actual",V21,IFERROR(J21*AD21,0))</f>
        <v/>
      </c>
      <c r="J21" s="24">
        <f>IF($D21="Actual",U21+V21,E21*X21)</f>
        <v/>
      </c>
      <c r="K21" s="28">
        <f>IFERROR(F21/G21,0)</f>
        <v/>
      </c>
      <c r="L21" s="29">
        <f>IFERROR(H21/G21,0)</f>
        <v/>
      </c>
      <c r="M21" s="30">
        <f>IFERROR(J21/F21,0)</f>
        <v/>
      </c>
      <c r="N21" s="10">
        <f>IFERROR(J21/E21,0)</f>
        <v/>
      </c>
      <c r="O21" s="10">
        <f>IFERROR(I21/J21,0)</f>
        <v/>
      </c>
      <c r="R21" s="42">
        <f>IF($D21="Actual",SUMIFS(Data_Actuals!$C$2:$C$5000,Data_Actuals!$A$2:$A$5000,$A21,Data_Actuals!$B$2:$B$5000,$B$2),"")</f>
        <v/>
      </c>
      <c r="S21" s="42">
        <f>IF($D21="Actual",SUMIFS(Data_Actuals!$D$2:$D$5000,Data_Actuals!$A$2:$A$5000,$A21,Data_Actuals!$B$2:$B$5000,$B$2),"")</f>
        <v/>
      </c>
      <c r="T21" s="42">
        <f>IF($D21="Actual",SUMIFS(Data_Actuals!$E$2:$E$5000,Data_Actuals!$A$2:$A$5000,$A21,Data_Actuals!$B$2:$B$5000,$B$2),"")</f>
        <v/>
      </c>
      <c r="U21" s="42">
        <f>IF($D21="Actual",SUMIFS(Data_Actuals!$F$2:$F$5000,Data_Actuals!$A$2:$A$5000,$A21,Data_Actuals!$B$2:$B$5000,$B$2),"")</f>
        <v/>
      </c>
      <c r="V21" s="42">
        <f>IF($D21="Actual",SUMIFS(Data_Actuals!$G$2:$G$5000,Data_Actuals!$A$2:$A$5000,$A21,Data_Actuals!$B$2:$B$5000,$B$2),"")</f>
        <v/>
      </c>
      <c r="W21" s="42">
        <f>SUMIFS(Plan_Inputs!$C$2:$C$5000,Plan_Inputs!$A$2:$A$5000,$A21,Plan_Inputs!$B$2:$B$5000,$B$2)</f>
        <v/>
      </c>
      <c r="X21" s="43">
        <f>SUMIFS(Plan_Inputs!$D$2:$D$5000,Plan_Inputs!$A$2:$A$5000,$A21,Plan_Inputs!$B$2:$B$5000,$B$2)</f>
        <v/>
      </c>
      <c r="Y21" s="42">
        <f>E21</f>
        <v/>
      </c>
      <c r="Z21" s="44">
        <f>INDEX(Calendar!$H$5:$L$52,MATCH($A21,Calendar!$A$5:$A$52,0),MATCH($D$2,Calendar!$H$4:$L$4,0))</f>
        <v/>
      </c>
      <c r="AA21" s="44">
        <f>INDEX(Calendar!$M$5:$M$52,MATCH($A21,Calendar!$A$5:$A$52,0))</f>
        <v/>
      </c>
      <c r="AB21" s="45">
        <f>IF($D21="Actual",IFERROR(S21/Y21,""),"")</f>
        <v/>
      </c>
      <c r="AC21" s="46">
        <f>IF($D21="Actual",IFERROR(U21/T21/Z21/AA21,""),"")</f>
        <v/>
      </c>
      <c r="AD21" s="43">
        <f>IF($D21="Actual",IFERROR(V21/(U21+V21),""),"")</f>
        <v/>
      </c>
      <c r="AE21" s="46">
        <f>IFERROR(AC21*Z21*AA21,"")</f>
        <v/>
      </c>
      <c r="AF21" s="47" t="n"/>
      <c r="AG21" s="43">
        <f>IF($D21="Forecast",IFERROR(K21/AF21-1,""),"")</f>
        <v/>
      </c>
    </row>
    <row r="22">
      <c r="A22" s="8" t="n">
        <v>45870</v>
      </c>
      <c r="B22" s="26">
        <f>YEAR(A22)</f>
        <v/>
      </c>
      <c r="C22" s="26">
        <f>MONTH(A22)</f>
        <v/>
      </c>
      <c r="D22">
        <f>IF(A22&lt;=LastActual,"Actual","Forecast")</f>
        <v/>
      </c>
      <c r="E22" s="24">
        <f>IF($D22="Actual",R22,W22)</f>
        <v/>
      </c>
      <c r="F22" s="27">
        <f>IF($D22="Actual",S22,Cases_Forecast!AM15)</f>
        <v/>
      </c>
      <c r="G22" s="9">
        <f>IF($D22="Actual",T22,IFERROR(H22/AE22,0))</f>
        <v/>
      </c>
      <c r="H22" s="24">
        <f>IF($D22="Actual",U22,J22-I22)</f>
        <v/>
      </c>
      <c r="I22" s="24">
        <f>IF($D22="Actual",V22,IFERROR(J22*AD22,0))</f>
        <v/>
      </c>
      <c r="J22" s="24">
        <f>IF($D22="Actual",U22+V22,E22*X22)</f>
        <v/>
      </c>
      <c r="K22" s="28">
        <f>IFERROR(F22/G22,0)</f>
        <v/>
      </c>
      <c r="L22" s="29">
        <f>IFERROR(H22/G22,0)</f>
        <v/>
      </c>
      <c r="M22" s="30">
        <f>IFERROR(J22/F22,0)</f>
        <v/>
      </c>
      <c r="N22" s="10">
        <f>IFERROR(J22/E22,0)</f>
        <v/>
      </c>
      <c r="O22" s="10">
        <f>IFERROR(I22/J22,0)</f>
        <v/>
      </c>
      <c r="R22" s="42">
        <f>IF($D22="Actual",SUMIFS(Data_Actuals!$C$2:$C$5000,Data_Actuals!$A$2:$A$5000,$A22,Data_Actuals!$B$2:$B$5000,$B$2),"")</f>
        <v/>
      </c>
      <c r="S22" s="42">
        <f>IF($D22="Actual",SUMIFS(Data_Actuals!$D$2:$D$5000,Data_Actuals!$A$2:$A$5000,$A22,Data_Actuals!$B$2:$B$5000,$B$2),"")</f>
        <v/>
      </c>
      <c r="T22" s="42">
        <f>IF($D22="Actual",SUMIFS(Data_Actuals!$E$2:$E$5000,Data_Actuals!$A$2:$A$5000,$A22,Data_Actuals!$B$2:$B$5000,$B$2),"")</f>
        <v/>
      </c>
      <c r="U22" s="42">
        <f>IF($D22="Actual",SUMIFS(Data_Actuals!$F$2:$F$5000,Data_Actuals!$A$2:$A$5000,$A22,Data_Actuals!$B$2:$B$5000,$B$2),"")</f>
        <v/>
      </c>
      <c r="V22" s="42">
        <f>IF($D22="Actual",SUMIFS(Data_Actuals!$G$2:$G$5000,Data_Actuals!$A$2:$A$5000,$A22,Data_Actuals!$B$2:$B$5000,$B$2),"")</f>
        <v/>
      </c>
      <c r="W22" s="42">
        <f>SUMIFS(Plan_Inputs!$C$2:$C$5000,Plan_Inputs!$A$2:$A$5000,$A22,Plan_Inputs!$B$2:$B$5000,$B$2)</f>
        <v/>
      </c>
      <c r="X22" s="43">
        <f>SUMIFS(Plan_Inputs!$D$2:$D$5000,Plan_Inputs!$A$2:$A$5000,$A22,Plan_Inputs!$B$2:$B$5000,$B$2)</f>
        <v/>
      </c>
      <c r="Y22" s="42">
        <f>E22</f>
        <v/>
      </c>
      <c r="Z22" s="44">
        <f>INDEX(Calendar!$H$5:$L$52,MATCH($A22,Calendar!$A$5:$A$52,0),MATCH($D$2,Calendar!$H$4:$L$4,0))</f>
        <v/>
      </c>
      <c r="AA22" s="44">
        <f>INDEX(Calendar!$M$5:$M$52,MATCH($A22,Calendar!$A$5:$A$52,0))</f>
        <v/>
      </c>
      <c r="AB22" s="45">
        <f>IF($D22="Actual",IFERROR(S22/Y22,""),"")</f>
        <v/>
      </c>
      <c r="AC22" s="46">
        <f>IF($D22="Actual",IFERROR(U22/T22/Z22/AA22,""),"")</f>
        <v/>
      </c>
      <c r="AD22" s="43">
        <f>IF($D22="Actual",IFERROR(V22/(U22+V22),""),"")</f>
        <v/>
      </c>
      <c r="AE22" s="46">
        <f>IFERROR(AC22*Z22*AA22,"")</f>
        <v/>
      </c>
      <c r="AF22" s="47" t="n"/>
      <c r="AG22" s="43">
        <f>IF($D22="Forecast",IFERROR(K22/AF22-1,""),"")</f>
        <v/>
      </c>
    </row>
    <row r="23">
      <c r="A23" s="8" t="n">
        <v>45901</v>
      </c>
      <c r="B23" s="26">
        <f>YEAR(A23)</f>
        <v/>
      </c>
      <c r="C23" s="26">
        <f>MONTH(A23)</f>
        <v/>
      </c>
      <c r="D23">
        <f>IF(A23&lt;=LastActual,"Actual","Forecast")</f>
        <v/>
      </c>
      <c r="E23" s="24">
        <f>IF($D23="Actual",R23,W23)</f>
        <v/>
      </c>
      <c r="F23" s="27">
        <f>IF($D23="Actual",S23,Cases_Forecast!AM16)</f>
        <v/>
      </c>
      <c r="G23" s="9">
        <f>IF($D23="Actual",T23,IFERROR(H23/AE23,0))</f>
        <v/>
      </c>
      <c r="H23" s="24">
        <f>IF($D23="Actual",U23,J23-I23)</f>
        <v/>
      </c>
      <c r="I23" s="24">
        <f>IF($D23="Actual",V23,IFERROR(J23*AD23,0))</f>
        <v/>
      </c>
      <c r="J23" s="24">
        <f>IF($D23="Actual",U23+V23,E23*X23)</f>
        <v/>
      </c>
      <c r="K23" s="28">
        <f>IFERROR(F23/G23,0)</f>
        <v/>
      </c>
      <c r="L23" s="29">
        <f>IFERROR(H23/G23,0)</f>
        <v/>
      </c>
      <c r="M23" s="30">
        <f>IFERROR(J23/F23,0)</f>
        <v/>
      </c>
      <c r="N23" s="10">
        <f>IFERROR(J23/E23,0)</f>
        <v/>
      </c>
      <c r="O23" s="10">
        <f>IFERROR(I23/J23,0)</f>
        <v/>
      </c>
      <c r="R23" s="42">
        <f>IF($D23="Actual",SUMIFS(Data_Actuals!$C$2:$C$5000,Data_Actuals!$A$2:$A$5000,$A23,Data_Actuals!$B$2:$B$5000,$B$2),"")</f>
        <v/>
      </c>
      <c r="S23" s="42">
        <f>IF($D23="Actual",SUMIFS(Data_Actuals!$D$2:$D$5000,Data_Actuals!$A$2:$A$5000,$A23,Data_Actuals!$B$2:$B$5000,$B$2),"")</f>
        <v/>
      </c>
      <c r="T23" s="42">
        <f>IF($D23="Actual",SUMIFS(Data_Actuals!$E$2:$E$5000,Data_Actuals!$A$2:$A$5000,$A23,Data_Actuals!$B$2:$B$5000,$B$2),"")</f>
        <v/>
      </c>
      <c r="U23" s="42">
        <f>IF($D23="Actual",SUMIFS(Data_Actuals!$F$2:$F$5000,Data_Actuals!$A$2:$A$5000,$A23,Data_Actuals!$B$2:$B$5000,$B$2),"")</f>
        <v/>
      </c>
      <c r="V23" s="42">
        <f>IF($D23="Actual",SUMIFS(Data_Actuals!$G$2:$G$5000,Data_Actuals!$A$2:$A$5000,$A23,Data_Actuals!$B$2:$B$5000,$B$2),"")</f>
        <v/>
      </c>
      <c r="W23" s="42">
        <f>SUMIFS(Plan_Inputs!$C$2:$C$5000,Plan_Inputs!$A$2:$A$5000,$A23,Plan_Inputs!$B$2:$B$5000,$B$2)</f>
        <v/>
      </c>
      <c r="X23" s="43">
        <f>SUMIFS(Plan_Inputs!$D$2:$D$5000,Plan_Inputs!$A$2:$A$5000,$A23,Plan_Inputs!$B$2:$B$5000,$B$2)</f>
        <v/>
      </c>
      <c r="Y23" s="42">
        <f>E23</f>
        <v/>
      </c>
      <c r="Z23" s="44">
        <f>INDEX(Calendar!$H$5:$L$52,MATCH($A23,Calendar!$A$5:$A$52,0),MATCH($D$2,Calendar!$H$4:$L$4,0))</f>
        <v/>
      </c>
      <c r="AA23" s="44">
        <f>INDEX(Calendar!$M$5:$M$52,MATCH($A23,Calendar!$A$5:$A$52,0))</f>
        <v/>
      </c>
      <c r="AB23" s="45">
        <f>IF($D23="Actual",IFERROR(S23/Y23,""),"")</f>
        <v/>
      </c>
      <c r="AC23" s="46">
        <f>IF($D23="Actual",IFERROR(U23/T23/Z23/AA23,""),"")</f>
        <v/>
      </c>
      <c r="AD23" s="43">
        <f>IF($D23="Actual",IFERROR(V23/(U23+V23),""),"")</f>
        <v/>
      </c>
      <c r="AE23" s="46">
        <f>IFERROR(AC23*Z23*AA23,"")</f>
        <v/>
      </c>
      <c r="AF23" s="47" t="n"/>
      <c r="AG23" s="43">
        <f>IF($D23="Forecast",IFERROR(K23/AF23-1,""),"")</f>
        <v/>
      </c>
    </row>
    <row r="24">
      <c r="A24" s="8" t="n">
        <v>45931</v>
      </c>
      <c r="B24" s="26">
        <f>YEAR(A24)</f>
        <v/>
      </c>
      <c r="C24" s="26">
        <f>MONTH(A24)</f>
        <v/>
      </c>
      <c r="D24">
        <f>IF(A24&lt;=LastActual,"Actual","Forecast")</f>
        <v/>
      </c>
      <c r="E24" s="24">
        <f>IF($D24="Actual",R24,W24)</f>
        <v/>
      </c>
      <c r="F24" s="27">
        <f>IF($D24="Actual",S24,Cases_Forecast!AM17)</f>
        <v/>
      </c>
      <c r="G24" s="9">
        <f>IF($D24="Actual",T24,IFERROR(H24/AE24,0))</f>
        <v/>
      </c>
      <c r="H24" s="24">
        <f>IF($D24="Actual",U24,J24-I24)</f>
        <v/>
      </c>
      <c r="I24" s="24">
        <f>IF($D24="Actual",V24,IFERROR(J24*AD24,0))</f>
        <v/>
      </c>
      <c r="J24" s="24">
        <f>IF($D24="Actual",U24+V24,E24*X24)</f>
        <v/>
      </c>
      <c r="K24" s="28">
        <f>IFERROR(F24/G24,0)</f>
        <v/>
      </c>
      <c r="L24" s="29">
        <f>IFERROR(H24/G24,0)</f>
        <v/>
      </c>
      <c r="M24" s="30">
        <f>IFERROR(J24/F24,0)</f>
        <v/>
      </c>
      <c r="N24" s="10">
        <f>IFERROR(J24/E24,0)</f>
        <v/>
      </c>
      <c r="O24" s="10">
        <f>IFERROR(I24/J24,0)</f>
        <v/>
      </c>
      <c r="R24" s="42">
        <f>IF($D24="Actual",SUMIFS(Data_Actuals!$C$2:$C$5000,Data_Actuals!$A$2:$A$5000,$A24,Data_Actuals!$B$2:$B$5000,$B$2),"")</f>
        <v/>
      </c>
      <c r="S24" s="42">
        <f>IF($D24="Actual",SUMIFS(Data_Actuals!$D$2:$D$5000,Data_Actuals!$A$2:$A$5000,$A24,Data_Actuals!$B$2:$B$5000,$B$2),"")</f>
        <v/>
      </c>
      <c r="T24" s="42">
        <f>IF($D24="Actual",SUMIFS(Data_Actuals!$E$2:$E$5000,Data_Actuals!$A$2:$A$5000,$A24,Data_Actuals!$B$2:$B$5000,$B$2),"")</f>
        <v/>
      </c>
      <c r="U24" s="42">
        <f>IF($D24="Actual",SUMIFS(Data_Actuals!$F$2:$F$5000,Data_Actuals!$A$2:$A$5000,$A24,Data_Actuals!$B$2:$B$5000,$B$2),"")</f>
        <v/>
      </c>
      <c r="V24" s="42">
        <f>IF($D24="Actual",SUMIFS(Data_Actuals!$G$2:$G$5000,Data_Actuals!$A$2:$A$5000,$A24,Data_Actuals!$B$2:$B$5000,$B$2),"")</f>
        <v/>
      </c>
      <c r="W24" s="42">
        <f>SUMIFS(Plan_Inputs!$C$2:$C$5000,Plan_Inputs!$A$2:$A$5000,$A24,Plan_Inputs!$B$2:$B$5000,$B$2)</f>
        <v/>
      </c>
      <c r="X24" s="43">
        <f>SUMIFS(Plan_Inputs!$D$2:$D$5000,Plan_Inputs!$A$2:$A$5000,$A24,Plan_Inputs!$B$2:$B$5000,$B$2)</f>
        <v/>
      </c>
      <c r="Y24" s="42">
        <f>E24</f>
        <v/>
      </c>
      <c r="Z24" s="44">
        <f>INDEX(Calendar!$H$5:$L$52,MATCH($A24,Calendar!$A$5:$A$52,0),MATCH($D$2,Calendar!$H$4:$L$4,0))</f>
        <v/>
      </c>
      <c r="AA24" s="44">
        <f>INDEX(Calendar!$M$5:$M$52,MATCH($A24,Calendar!$A$5:$A$52,0))</f>
        <v/>
      </c>
      <c r="AB24" s="45">
        <f>IF($D24="Actual",IFERROR(S24/Y24,""),"")</f>
        <v/>
      </c>
      <c r="AC24" s="46">
        <f>IF($D24="Actual",IFERROR(U24/T24/Z24/AA24,""),"")</f>
        <v/>
      </c>
      <c r="AD24" s="43">
        <f>IF($D24="Actual",IFERROR(V24/(U24+V24),""),"")</f>
        <v/>
      </c>
      <c r="AE24" s="46">
        <f>IFERROR(AC24*Z24*AA24,"")</f>
        <v/>
      </c>
      <c r="AF24" s="47" t="n"/>
      <c r="AG24" s="43">
        <f>IF($D24="Forecast",IFERROR(K24/AF24-1,""),"")</f>
        <v/>
      </c>
    </row>
    <row r="25">
      <c r="A25" s="8" t="n">
        <v>45962</v>
      </c>
      <c r="B25" s="26">
        <f>YEAR(A25)</f>
        <v/>
      </c>
      <c r="C25" s="26">
        <f>MONTH(A25)</f>
        <v/>
      </c>
      <c r="D25">
        <f>IF(A25&lt;=LastActual,"Actual","Forecast")</f>
        <v/>
      </c>
      <c r="E25" s="24">
        <f>IF($D25="Actual",R25,W25)</f>
        <v/>
      </c>
      <c r="F25" s="27">
        <f>IF($D25="Actual",S25,Cases_Forecast!AM18)</f>
        <v/>
      </c>
      <c r="G25" s="9">
        <f>IF($D25="Actual",T25,IFERROR(H25/AE25,0))</f>
        <v/>
      </c>
      <c r="H25" s="24">
        <f>IF($D25="Actual",U25,J25-I25)</f>
        <v/>
      </c>
      <c r="I25" s="24">
        <f>IF($D25="Actual",V25,IFERROR(J25*AD25,0))</f>
        <v/>
      </c>
      <c r="J25" s="24">
        <f>IF($D25="Actual",U25+V25,E25*X25)</f>
        <v/>
      </c>
      <c r="K25" s="28">
        <f>IFERROR(F25/G25,0)</f>
        <v/>
      </c>
      <c r="L25" s="29">
        <f>IFERROR(H25/G25,0)</f>
        <v/>
      </c>
      <c r="M25" s="30">
        <f>IFERROR(J25/F25,0)</f>
        <v/>
      </c>
      <c r="N25" s="10">
        <f>IFERROR(J25/E25,0)</f>
        <v/>
      </c>
      <c r="O25" s="10">
        <f>IFERROR(I25/J25,0)</f>
        <v/>
      </c>
      <c r="R25" s="42">
        <f>IF($D25="Actual",SUMIFS(Data_Actuals!$C$2:$C$5000,Data_Actuals!$A$2:$A$5000,$A25,Data_Actuals!$B$2:$B$5000,$B$2),"")</f>
        <v/>
      </c>
      <c r="S25" s="42">
        <f>IF($D25="Actual",SUMIFS(Data_Actuals!$D$2:$D$5000,Data_Actuals!$A$2:$A$5000,$A25,Data_Actuals!$B$2:$B$5000,$B$2),"")</f>
        <v/>
      </c>
      <c r="T25" s="42">
        <f>IF($D25="Actual",SUMIFS(Data_Actuals!$E$2:$E$5000,Data_Actuals!$A$2:$A$5000,$A25,Data_Actuals!$B$2:$B$5000,$B$2),"")</f>
        <v/>
      </c>
      <c r="U25" s="42">
        <f>IF($D25="Actual",SUMIFS(Data_Actuals!$F$2:$F$5000,Data_Actuals!$A$2:$A$5000,$A25,Data_Actuals!$B$2:$B$5000,$B$2),"")</f>
        <v/>
      </c>
      <c r="V25" s="42">
        <f>IF($D25="Actual",SUMIFS(Data_Actuals!$G$2:$G$5000,Data_Actuals!$A$2:$A$5000,$A25,Data_Actuals!$B$2:$B$5000,$B$2),"")</f>
        <v/>
      </c>
      <c r="W25" s="42">
        <f>SUMIFS(Plan_Inputs!$C$2:$C$5000,Plan_Inputs!$A$2:$A$5000,$A25,Plan_Inputs!$B$2:$B$5000,$B$2)</f>
        <v/>
      </c>
      <c r="X25" s="43">
        <f>SUMIFS(Plan_Inputs!$D$2:$D$5000,Plan_Inputs!$A$2:$A$5000,$A25,Plan_Inputs!$B$2:$B$5000,$B$2)</f>
        <v/>
      </c>
      <c r="Y25" s="42">
        <f>E25</f>
        <v/>
      </c>
      <c r="Z25" s="44">
        <f>INDEX(Calendar!$H$5:$L$52,MATCH($A25,Calendar!$A$5:$A$52,0),MATCH($D$2,Calendar!$H$4:$L$4,0))</f>
        <v/>
      </c>
      <c r="AA25" s="44">
        <f>INDEX(Calendar!$M$5:$M$52,MATCH($A25,Calendar!$A$5:$A$52,0))</f>
        <v/>
      </c>
      <c r="AB25" s="45">
        <f>IF($D25="Actual",IFERROR(S25/Y25,""),"")</f>
        <v/>
      </c>
      <c r="AC25" s="46">
        <f>IF($D25="Actual",IFERROR(U25/T25/Z25/AA25,""),"")</f>
        <v/>
      </c>
      <c r="AD25" s="43">
        <f>IF($D25="Actual",IFERROR(V25/(U25+V25),""),"")</f>
        <v/>
      </c>
      <c r="AE25" s="46">
        <f>IFERROR(AC25*Z25*AA25,"")</f>
        <v/>
      </c>
      <c r="AF25" s="47" t="n"/>
      <c r="AG25" s="43">
        <f>IF($D25="Forecast",IFERROR(K25/AF25-1,""),"")</f>
        <v/>
      </c>
    </row>
    <row r="26">
      <c r="A26" s="31" t="n">
        <v>45992</v>
      </c>
      <c r="B26" s="32">
        <f>YEAR(A26)</f>
        <v/>
      </c>
      <c r="C26" s="32">
        <f>MONTH(A26)</f>
        <v/>
      </c>
      <c r="D26" s="33">
        <f>IF(A26&lt;=LastActual,"Actual","Forecast")</f>
        <v/>
      </c>
      <c r="E26" s="34">
        <f>IF($D26="Actual",R26,W26)</f>
        <v/>
      </c>
      <c r="F26" s="35">
        <f>IF($D26="Actual",S26,Cases_Forecast!AM19)</f>
        <v/>
      </c>
      <c r="G26" s="36">
        <f>IF($D26="Actual",T26,IFERROR(H26/AE26,0))</f>
        <v/>
      </c>
      <c r="H26" s="34">
        <f>IF($D26="Actual",U26,J26-I26)</f>
        <v/>
      </c>
      <c r="I26" s="34">
        <f>IF($D26="Actual",V26,IFERROR(J26*AD26,0))</f>
        <v/>
      </c>
      <c r="J26" s="34">
        <f>IF($D26="Actual",U26+V26,E26*X26)</f>
        <v/>
      </c>
      <c r="K26" s="37">
        <f>IFERROR(F26/G26,0)</f>
        <v/>
      </c>
      <c r="L26" s="38">
        <f>IFERROR(H26/G26,0)</f>
        <v/>
      </c>
      <c r="M26" s="39">
        <f>IFERROR(J26/F26,0)</f>
        <v/>
      </c>
      <c r="N26" s="40">
        <f>IFERROR(J26/E26,0)</f>
        <v/>
      </c>
      <c r="O26" s="40">
        <f>IFERROR(I26/J26,0)</f>
        <v/>
      </c>
      <c r="R26" s="42">
        <f>IF($D26="Actual",SUMIFS(Data_Actuals!$C$2:$C$5000,Data_Actuals!$A$2:$A$5000,$A26,Data_Actuals!$B$2:$B$5000,$B$2),"")</f>
        <v/>
      </c>
      <c r="S26" s="42">
        <f>IF($D26="Actual",SUMIFS(Data_Actuals!$D$2:$D$5000,Data_Actuals!$A$2:$A$5000,$A26,Data_Actuals!$B$2:$B$5000,$B$2),"")</f>
        <v/>
      </c>
      <c r="T26" s="42">
        <f>IF($D26="Actual",SUMIFS(Data_Actuals!$E$2:$E$5000,Data_Actuals!$A$2:$A$5000,$A26,Data_Actuals!$B$2:$B$5000,$B$2),"")</f>
        <v/>
      </c>
      <c r="U26" s="42">
        <f>IF($D26="Actual",SUMIFS(Data_Actuals!$F$2:$F$5000,Data_Actuals!$A$2:$A$5000,$A26,Data_Actuals!$B$2:$B$5000,$B$2),"")</f>
        <v/>
      </c>
      <c r="V26" s="42">
        <f>IF($D26="Actual",SUMIFS(Data_Actuals!$G$2:$G$5000,Data_Actuals!$A$2:$A$5000,$A26,Data_Actuals!$B$2:$B$5000,$B$2),"")</f>
        <v/>
      </c>
      <c r="W26" s="42">
        <f>SUMIFS(Plan_Inputs!$C$2:$C$5000,Plan_Inputs!$A$2:$A$5000,$A26,Plan_Inputs!$B$2:$B$5000,$B$2)</f>
        <v/>
      </c>
      <c r="X26" s="43">
        <f>SUMIFS(Plan_Inputs!$D$2:$D$5000,Plan_Inputs!$A$2:$A$5000,$A26,Plan_Inputs!$B$2:$B$5000,$B$2)</f>
        <v/>
      </c>
      <c r="Y26" s="42">
        <f>E26</f>
        <v/>
      </c>
      <c r="Z26" s="44">
        <f>INDEX(Calendar!$H$5:$L$52,MATCH($A26,Calendar!$A$5:$A$52,0),MATCH($D$2,Calendar!$H$4:$L$4,0))</f>
        <v/>
      </c>
      <c r="AA26" s="44">
        <f>INDEX(Calendar!$M$5:$M$52,MATCH($A26,Calendar!$A$5:$A$52,0))</f>
        <v/>
      </c>
      <c r="AB26" s="45">
        <f>IF($D26="Actual",IFERROR(S26/Y26,""),"")</f>
        <v/>
      </c>
      <c r="AC26" s="46">
        <f>IF($D26="Actual",IFERROR(U26/T26/Z26/AA26,""),"")</f>
        <v/>
      </c>
      <c r="AD26" s="43">
        <f>IF($D26="Actual",IFERROR(V26/(U26+V26),""),"")</f>
        <v/>
      </c>
      <c r="AE26" s="46">
        <f>IFERROR(AC26*Z26*AA26,"")</f>
        <v/>
      </c>
      <c r="AF26" s="47" t="n"/>
      <c r="AG26" s="43">
        <f>IF($D26="Forecast",IFERROR(K26/AF26-1,""),"")</f>
        <v/>
      </c>
    </row>
    <row r="27">
      <c r="A27" s="8" t="n">
        <v>46023</v>
      </c>
      <c r="B27" s="26">
        <f>YEAR(A27)</f>
        <v/>
      </c>
      <c r="C27" s="26">
        <f>MONTH(A27)</f>
        <v/>
      </c>
      <c r="D27">
        <f>IF(A27&lt;=LastActual,"Actual","Forecast")</f>
        <v/>
      </c>
      <c r="E27" s="24">
        <f>IF($D27="Actual",R27,W27)</f>
        <v/>
      </c>
      <c r="F27" s="27">
        <f>IF($D27="Actual",S27,Cases_Forecast!AM20)</f>
        <v/>
      </c>
      <c r="G27" s="9">
        <f>IF($D27="Actual",T27,IFERROR(H27/AE27,0))</f>
        <v/>
      </c>
      <c r="H27" s="24">
        <f>IF($D27="Actual",U27,J27-I27)</f>
        <v/>
      </c>
      <c r="I27" s="24">
        <f>IF($D27="Actual",V27,IFERROR(J27*AD27,0))</f>
        <v/>
      </c>
      <c r="J27" s="24">
        <f>IF($D27="Actual",U27+V27,E27*X27)</f>
        <v/>
      </c>
      <c r="K27" s="28">
        <f>IFERROR(F27/G27,0)</f>
        <v/>
      </c>
      <c r="L27" s="29">
        <f>IFERROR(H27/G27,0)</f>
        <v/>
      </c>
      <c r="M27" s="30">
        <f>IFERROR(J27/F27,0)</f>
        <v/>
      </c>
      <c r="N27" s="10">
        <f>IFERROR(J27/E27,0)</f>
        <v/>
      </c>
      <c r="O27" s="10">
        <f>IFERROR(I27/J27,0)</f>
        <v/>
      </c>
      <c r="R27" s="42">
        <f>IF($D27="Actual",SUMIFS(Data_Actuals!$C$2:$C$5000,Data_Actuals!$A$2:$A$5000,$A27,Data_Actuals!$B$2:$B$5000,$B$2),"")</f>
        <v/>
      </c>
      <c r="S27" s="42">
        <f>IF($D27="Actual",SUMIFS(Data_Actuals!$D$2:$D$5000,Data_Actuals!$A$2:$A$5000,$A27,Data_Actuals!$B$2:$B$5000,$B$2),"")</f>
        <v/>
      </c>
      <c r="T27" s="42">
        <f>IF($D27="Actual",SUMIFS(Data_Actuals!$E$2:$E$5000,Data_Actuals!$A$2:$A$5000,$A27,Data_Actuals!$B$2:$B$5000,$B$2),"")</f>
        <v/>
      </c>
      <c r="U27" s="42">
        <f>IF($D27="Actual",SUMIFS(Data_Actuals!$F$2:$F$5000,Data_Actuals!$A$2:$A$5000,$A27,Data_Actuals!$B$2:$B$5000,$B$2),"")</f>
        <v/>
      </c>
      <c r="V27" s="42">
        <f>IF($D27="Actual",SUMIFS(Data_Actuals!$G$2:$G$5000,Data_Actuals!$A$2:$A$5000,$A27,Data_Actuals!$B$2:$B$5000,$B$2),"")</f>
        <v/>
      </c>
      <c r="W27" s="42">
        <f>SUMIFS(Plan_Inputs!$C$2:$C$5000,Plan_Inputs!$A$2:$A$5000,$A27,Plan_Inputs!$B$2:$B$5000,$B$2)</f>
        <v/>
      </c>
      <c r="X27" s="43">
        <f>SUMIFS(Plan_Inputs!$D$2:$D$5000,Plan_Inputs!$A$2:$A$5000,$A27,Plan_Inputs!$B$2:$B$5000,$B$2)</f>
        <v/>
      </c>
      <c r="Y27" s="42">
        <f>E27</f>
        <v/>
      </c>
      <c r="Z27" s="44">
        <f>INDEX(Calendar!$H$5:$L$52,MATCH($A27,Calendar!$A$5:$A$52,0),MATCH($D$2,Calendar!$H$4:$L$4,0))</f>
        <v/>
      </c>
      <c r="AA27" s="44">
        <f>INDEX(Calendar!$M$5:$M$52,MATCH($A27,Calendar!$A$5:$A$52,0))</f>
        <v/>
      </c>
      <c r="AB27" s="45">
        <f>IF($D27="Actual",IFERROR(S27/Y27,""),AB15)</f>
        <v/>
      </c>
      <c r="AC27" s="46">
        <f>IF($D27="Actual",IFERROR(U27/T27/Z27/AA27,""),AC15)</f>
        <v/>
      </c>
      <c r="AD27" s="43">
        <f>IF($D27="Actual",IFERROR(V27/(U27+V27),""),AD15)</f>
        <v/>
      </c>
      <c r="AE27" s="46">
        <f>IFERROR(AC27*Z27*AA27,"")</f>
        <v/>
      </c>
      <c r="AF27" s="47">
        <f>K15</f>
        <v/>
      </c>
      <c r="AG27" s="43">
        <f>IF($D27="Forecast",IFERROR(K27/AF27-1,""),"")</f>
        <v/>
      </c>
    </row>
    <row r="28">
      <c r="A28" s="8" t="n">
        <v>46054</v>
      </c>
      <c r="B28" s="26">
        <f>YEAR(A28)</f>
        <v/>
      </c>
      <c r="C28" s="26">
        <f>MONTH(A28)</f>
        <v/>
      </c>
      <c r="D28">
        <f>IF(A28&lt;=LastActual,"Actual","Forecast")</f>
        <v/>
      </c>
      <c r="E28" s="24">
        <f>IF($D28="Actual",R28,W28)</f>
        <v/>
      </c>
      <c r="F28" s="27">
        <f>IF($D28="Actual",S28,Cases_Forecast!AM21)</f>
        <v/>
      </c>
      <c r="G28" s="9">
        <f>IF($D28="Actual",T28,IFERROR(H28/AE28,0))</f>
        <v/>
      </c>
      <c r="H28" s="24">
        <f>IF($D28="Actual",U28,J28-I28)</f>
        <v/>
      </c>
      <c r="I28" s="24">
        <f>IF($D28="Actual",V28,IFERROR(J28*AD28,0))</f>
        <v/>
      </c>
      <c r="J28" s="24">
        <f>IF($D28="Actual",U28+V28,E28*X28)</f>
        <v/>
      </c>
      <c r="K28" s="28">
        <f>IFERROR(F28/G28,0)</f>
        <v/>
      </c>
      <c r="L28" s="29">
        <f>IFERROR(H28/G28,0)</f>
        <v/>
      </c>
      <c r="M28" s="30">
        <f>IFERROR(J28/F28,0)</f>
        <v/>
      </c>
      <c r="N28" s="10">
        <f>IFERROR(J28/E28,0)</f>
        <v/>
      </c>
      <c r="O28" s="10">
        <f>IFERROR(I28/J28,0)</f>
        <v/>
      </c>
      <c r="R28" s="42">
        <f>IF($D28="Actual",SUMIFS(Data_Actuals!$C$2:$C$5000,Data_Actuals!$A$2:$A$5000,$A28,Data_Actuals!$B$2:$B$5000,$B$2),"")</f>
        <v/>
      </c>
      <c r="S28" s="42">
        <f>IF($D28="Actual",SUMIFS(Data_Actuals!$D$2:$D$5000,Data_Actuals!$A$2:$A$5000,$A28,Data_Actuals!$B$2:$B$5000,$B$2),"")</f>
        <v/>
      </c>
      <c r="T28" s="42">
        <f>IF($D28="Actual",SUMIFS(Data_Actuals!$E$2:$E$5000,Data_Actuals!$A$2:$A$5000,$A28,Data_Actuals!$B$2:$B$5000,$B$2),"")</f>
        <v/>
      </c>
      <c r="U28" s="42">
        <f>IF($D28="Actual",SUMIFS(Data_Actuals!$F$2:$F$5000,Data_Actuals!$A$2:$A$5000,$A28,Data_Actuals!$B$2:$B$5000,$B$2),"")</f>
        <v/>
      </c>
      <c r="V28" s="42">
        <f>IF($D28="Actual",SUMIFS(Data_Actuals!$G$2:$G$5000,Data_Actuals!$A$2:$A$5000,$A28,Data_Actuals!$B$2:$B$5000,$B$2),"")</f>
        <v/>
      </c>
      <c r="W28" s="42">
        <f>SUMIFS(Plan_Inputs!$C$2:$C$5000,Plan_Inputs!$A$2:$A$5000,$A28,Plan_Inputs!$B$2:$B$5000,$B$2)</f>
        <v/>
      </c>
      <c r="X28" s="43">
        <f>SUMIFS(Plan_Inputs!$D$2:$D$5000,Plan_Inputs!$A$2:$A$5000,$A28,Plan_Inputs!$B$2:$B$5000,$B$2)</f>
        <v/>
      </c>
      <c r="Y28" s="42">
        <f>E28</f>
        <v/>
      </c>
      <c r="Z28" s="44">
        <f>INDEX(Calendar!$H$5:$L$52,MATCH($A28,Calendar!$A$5:$A$52,0),MATCH($D$2,Calendar!$H$4:$L$4,0))</f>
        <v/>
      </c>
      <c r="AA28" s="44">
        <f>INDEX(Calendar!$M$5:$M$52,MATCH($A28,Calendar!$A$5:$A$52,0))</f>
        <v/>
      </c>
      <c r="AB28" s="45">
        <f>IF($D28="Actual",IFERROR(S28/Y28,""),AB16)</f>
        <v/>
      </c>
      <c r="AC28" s="46">
        <f>IF($D28="Actual",IFERROR(U28/T28/Z28/AA28,""),AC16)</f>
        <v/>
      </c>
      <c r="AD28" s="43">
        <f>IF($D28="Actual",IFERROR(V28/(U28+V28),""),AD16)</f>
        <v/>
      </c>
      <c r="AE28" s="46">
        <f>IFERROR(AC28*Z28*AA28,"")</f>
        <v/>
      </c>
      <c r="AF28" s="47">
        <f>K16</f>
        <v/>
      </c>
      <c r="AG28" s="43">
        <f>IF($D28="Forecast",IFERROR(K28/AF28-1,""),"")</f>
        <v/>
      </c>
    </row>
    <row r="29">
      <c r="A29" s="8" t="n">
        <v>46082</v>
      </c>
      <c r="B29" s="26">
        <f>YEAR(A29)</f>
        <v/>
      </c>
      <c r="C29" s="26">
        <f>MONTH(A29)</f>
        <v/>
      </c>
      <c r="D29">
        <f>IF(A29&lt;=LastActual,"Actual","Forecast")</f>
        <v/>
      </c>
      <c r="E29" s="24">
        <f>IF($D29="Actual",R29,W29)</f>
        <v/>
      </c>
      <c r="F29" s="27">
        <f>IF($D29="Actual",S29,Cases_Forecast!AM22)</f>
        <v/>
      </c>
      <c r="G29" s="9">
        <f>IF($D29="Actual",T29,IFERROR(H29/AE29,0))</f>
        <v/>
      </c>
      <c r="H29" s="24">
        <f>IF($D29="Actual",U29,J29-I29)</f>
        <v/>
      </c>
      <c r="I29" s="24">
        <f>IF($D29="Actual",V29,IFERROR(J29*AD29,0))</f>
        <v/>
      </c>
      <c r="J29" s="24">
        <f>IF($D29="Actual",U29+V29,E29*X29)</f>
        <v/>
      </c>
      <c r="K29" s="28">
        <f>IFERROR(F29/G29,0)</f>
        <v/>
      </c>
      <c r="L29" s="29">
        <f>IFERROR(H29/G29,0)</f>
        <v/>
      </c>
      <c r="M29" s="30">
        <f>IFERROR(J29/F29,0)</f>
        <v/>
      </c>
      <c r="N29" s="10">
        <f>IFERROR(J29/E29,0)</f>
        <v/>
      </c>
      <c r="O29" s="10">
        <f>IFERROR(I29/J29,0)</f>
        <v/>
      </c>
      <c r="R29" s="42">
        <f>IF($D29="Actual",SUMIFS(Data_Actuals!$C$2:$C$5000,Data_Actuals!$A$2:$A$5000,$A29,Data_Actuals!$B$2:$B$5000,$B$2),"")</f>
        <v/>
      </c>
      <c r="S29" s="42">
        <f>IF($D29="Actual",SUMIFS(Data_Actuals!$D$2:$D$5000,Data_Actuals!$A$2:$A$5000,$A29,Data_Actuals!$B$2:$B$5000,$B$2),"")</f>
        <v/>
      </c>
      <c r="T29" s="42">
        <f>IF($D29="Actual",SUMIFS(Data_Actuals!$E$2:$E$5000,Data_Actuals!$A$2:$A$5000,$A29,Data_Actuals!$B$2:$B$5000,$B$2),"")</f>
        <v/>
      </c>
      <c r="U29" s="42">
        <f>IF($D29="Actual",SUMIFS(Data_Actuals!$F$2:$F$5000,Data_Actuals!$A$2:$A$5000,$A29,Data_Actuals!$B$2:$B$5000,$B$2),"")</f>
        <v/>
      </c>
      <c r="V29" s="42">
        <f>IF($D29="Actual",SUMIFS(Data_Actuals!$G$2:$G$5000,Data_Actuals!$A$2:$A$5000,$A29,Data_Actuals!$B$2:$B$5000,$B$2),"")</f>
        <v/>
      </c>
      <c r="W29" s="42">
        <f>SUMIFS(Plan_Inputs!$C$2:$C$5000,Plan_Inputs!$A$2:$A$5000,$A29,Plan_Inputs!$B$2:$B$5000,$B$2)</f>
        <v/>
      </c>
      <c r="X29" s="43">
        <f>SUMIFS(Plan_Inputs!$D$2:$D$5000,Plan_Inputs!$A$2:$A$5000,$A29,Plan_Inputs!$B$2:$B$5000,$B$2)</f>
        <v/>
      </c>
      <c r="Y29" s="42">
        <f>E29</f>
        <v/>
      </c>
      <c r="Z29" s="44">
        <f>INDEX(Calendar!$H$5:$L$52,MATCH($A29,Calendar!$A$5:$A$52,0),MATCH($D$2,Calendar!$H$4:$L$4,0))</f>
        <v/>
      </c>
      <c r="AA29" s="44">
        <f>INDEX(Calendar!$M$5:$M$52,MATCH($A29,Calendar!$A$5:$A$52,0))</f>
        <v/>
      </c>
      <c r="AB29" s="45">
        <f>IF($D29="Actual",IFERROR(S29/Y29,""),AB17)</f>
        <v/>
      </c>
      <c r="AC29" s="46">
        <f>IF($D29="Actual",IFERROR(U29/T29/Z29/AA29,""),AC17)</f>
        <v/>
      </c>
      <c r="AD29" s="43">
        <f>IF($D29="Actual",IFERROR(V29/(U29+V29),""),AD17)</f>
        <v/>
      </c>
      <c r="AE29" s="46">
        <f>IFERROR(AC29*Z29*AA29,"")</f>
        <v/>
      </c>
      <c r="AF29" s="47">
        <f>K17</f>
        <v/>
      </c>
      <c r="AG29" s="43">
        <f>IF($D29="Forecast",IFERROR(K29/AF29-1,""),"")</f>
        <v/>
      </c>
    </row>
    <row r="30">
      <c r="A30" s="8" t="n">
        <v>46113</v>
      </c>
      <c r="B30" s="26">
        <f>YEAR(A30)</f>
        <v/>
      </c>
      <c r="C30" s="26">
        <f>MONTH(A30)</f>
        <v/>
      </c>
      <c r="D30">
        <f>IF(A30&lt;=LastActual,"Actual","Forecast")</f>
        <v/>
      </c>
      <c r="E30" s="24">
        <f>IF($D30="Actual",R30,W30)</f>
        <v/>
      </c>
      <c r="F30" s="27">
        <f>IF($D30="Actual",S30,Cases_Forecast!AM23)</f>
        <v/>
      </c>
      <c r="G30" s="9">
        <f>IF($D30="Actual",T30,IFERROR(H30/AE30,0))</f>
        <v/>
      </c>
      <c r="H30" s="24">
        <f>IF($D30="Actual",U30,J30-I30)</f>
        <v/>
      </c>
      <c r="I30" s="24">
        <f>IF($D30="Actual",V30,IFERROR(J30*AD30,0))</f>
        <v/>
      </c>
      <c r="J30" s="24">
        <f>IF($D30="Actual",U30+V30,E30*X30)</f>
        <v/>
      </c>
      <c r="K30" s="28">
        <f>IFERROR(F30/G30,0)</f>
        <v/>
      </c>
      <c r="L30" s="29">
        <f>IFERROR(H30/G30,0)</f>
        <v/>
      </c>
      <c r="M30" s="30">
        <f>IFERROR(J30/F30,0)</f>
        <v/>
      </c>
      <c r="N30" s="10">
        <f>IFERROR(J30/E30,0)</f>
        <v/>
      </c>
      <c r="O30" s="10">
        <f>IFERROR(I30/J30,0)</f>
        <v/>
      </c>
      <c r="R30" s="42">
        <f>IF($D30="Actual",SUMIFS(Data_Actuals!$C$2:$C$5000,Data_Actuals!$A$2:$A$5000,$A30,Data_Actuals!$B$2:$B$5000,$B$2),"")</f>
        <v/>
      </c>
      <c r="S30" s="42">
        <f>IF($D30="Actual",SUMIFS(Data_Actuals!$D$2:$D$5000,Data_Actuals!$A$2:$A$5000,$A30,Data_Actuals!$B$2:$B$5000,$B$2),"")</f>
        <v/>
      </c>
      <c r="T30" s="42">
        <f>IF($D30="Actual",SUMIFS(Data_Actuals!$E$2:$E$5000,Data_Actuals!$A$2:$A$5000,$A30,Data_Actuals!$B$2:$B$5000,$B$2),"")</f>
        <v/>
      </c>
      <c r="U30" s="42">
        <f>IF($D30="Actual",SUMIFS(Data_Actuals!$F$2:$F$5000,Data_Actuals!$A$2:$A$5000,$A30,Data_Actuals!$B$2:$B$5000,$B$2),"")</f>
        <v/>
      </c>
      <c r="V30" s="42">
        <f>IF($D30="Actual",SUMIFS(Data_Actuals!$G$2:$G$5000,Data_Actuals!$A$2:$A$5000,$A30,Data_Actuals!$B$2:$B$5000,$B$2),"")</f>
        <v/>
      </c>
      <c r="W30" s="42">
        <f>SUMIFS(Plan_Inputs!$C$2:$C$5000,Plan_Inputs!$A$2:$A$5000,$A30,Plan_Inputs!$B$2:$B$5000,$B$2)</f>
        <v/>
      </c>
      <c r="X30" s="43">
        <f>SUMIFS(Plan_Inputs!$D$2:$D$5000,Plan_Inputs!$A$2:$A$5000,$A30,Plan_Inputs!$B$2:$B$5000,$B$2)</f>
        <v/>
      </c>
      <c r="Y30" s="42">
        <f>E30</f>
        <v/>
      </c>
      <c r="Z30" s="44">
        <f>INDEX(Calendar!$H$5:$L$52,MATCH($A30,Calendar!$A$5:$A$52,0),MATCH($D$2,Calendar!$H$4:$L$4,0))</f>
        <v/>
      </c>
      <c r="AA30" s="44">
        <f>INDEX(Calendar!$M$5:$M$52,MATCH($A30,Calendar!$A$5:$A$52,0))</f>
        <v/>
      </c>
      <c r="AB30" s="45">
        <f>IF($D30="Actual",IFERROR(S30/Y30,""),AB18)</f>
        <v/>
      </c>
      <c r="AC30" s="46">
        <f>IF($D30="Actual",IFERROR(U30/T30/Z30/AA30,""),AC18)</f>
        <v/>
      </c>
      <c r="AD30" s="43">
        <f>IF($D30="Actual",IFERROR(V30/(U30+V30),""),AD18)</f>
        <v/>
      </c>
      <c r="AE30" s="46">
        <f>IFERROR(AC30*Z30*AA30,"")</f>
        <v/>
      </c>
      <c r="AF30" s="47">
        <f>K18</f>
        <v/>
      </c>
      <c r="AG30" s="43">
        <f>IF($D30="Forecast",IFERROR(K30/AF30-1,""),"")</f>
        <v/>
      </c>
    </row>
    <row r="31">
      <c r="A31" s="8" t="n">
        <v>46143</v>
      </c>
      <c r="B31" s="26">
        <f>YEAR(A31)</f>
        <v/>
      </c>
      <c r="C31" s="26">
        <f>MONTH(A31)</f>
        <v/>
      </c>
      <c r="D31">
        <f>IF(A31&lt;=LastActual,"Actual","Forecast")</f>
        <v/>
      </c>
      <c r="E31" s="24">
        <f>IF($D31="Actual",R31,W31)</f>
        <v/>
      </c>
      <c r="F31" s="27">
        <f>IF($D31="Actual",S31,Cases_Forecast!AM24)</f>
        <v/>
      </c>
      <c r="G31" s="9">
        <f>IF($D31="Actual",T31,IFERROR(H31/AE31,0))</f>
        <v/>
      </c>
      <c r="H31" s="24">
        <f>IF($D31="Actual",U31,J31-I31)</f>
        <v/>
      </c>
      <c r="I31" s="24">
        <f>IF($D31="Actual",V31,IFERROR(J31*AD31,0))</f>
        <v/>
      </c>
      <c r="J31" s="24">
        <f>IF($D31="Actual",U31+V31,E31*X31)</f>
        <v/>
      </c>
      <c r="K31" s="28">
        <f>IFERROR(F31/G31,0)</f>
        <v/>
      </c>
      <c r="L31" s="29">
        <f>IFERROR(H31/G31,0)</f>
        <v/>
      </c>
      <c r="M31" s="30">
        <f>IFERROR(J31/F31,0)</f>
        <v/>
      </c>
      <c r="N31" s="10">
        <f>IFERROR(J31/E31,0)</f>
        <v/>
      </c>
      <c r="O31" s="10">
        <f>IFERROR(I31/J31,0)</f>
        <v/>
      </c>
      <c r="R31" s="42">
        <f>IF($D31="Actual",SUMIFS(Data_Actuals!$C$2:$C$5000,Data_Actuals!$A$2:$A$5000,$A31,Data_Actuals!$B$2:$B$5000,$B$2),"")</f>
        <v/>
      </c>
      <c r="S31" s="42">
        <f>IF($D31="Actual",SUMIFS(Data_Actuals!$D$2:$D$5000,Data_Actuals!$A$2:$A$5000,$A31,Data_Actuals!$B$2:$B$5000,$B$2),"")</f>
        <v/>
      </c>
      <c r="T31" s="42">
        <f>IF($D31="Actual",SUMIFS(Data_Actuals!$E$2:$E$5000,Data_Actuals!$A$2:$A$5000,$A31,Data_Actuals!$B$2:$B$5000,$B$2),"")</f>
        <v/>
      </c>
      <c r="U31" s="42">
        <f>IF($D31="Actual",SUMIFS(Data_Actuals!$F$2:$F$5000,Data_Actuals!$A$2:$A$5000,$A31,Data_Actuals!$B$2:$B$5000,$B$2),"")</f>
        <v/>
      </c>
      <c r="V31" s="42">
        <f>IF($D31="Actual",SUMIFS(Data_Actuals!$G$2:$G$5000,Data_Actuals!$A$2:$A$5000,$A31,Data_Actuals!$B$2:$B$5000,$B$2),"")</f>
        <v/>
      </c>
      <c r="W31" s="42">
        <f>SUMIFS(Plan_Inputs!$C$2:$C$5000,Plan_Inputs!$A$2:$A$5000,$A31,Plan_Inputs!$B$2:$B$5000,$B$2)</f>
        <v/>
      </c>
      <c r="X31" s="43">
        <f>SUMIFS(Plan_Inputs!$D$2:$D$5000,Plan_Inputs!$A$2:$A$5000,$A31,Plan_Inputs!$B$2:$B$5000,$B$2)</f>
        <v/>
      </c>
      <c r="Y31" s="42">
        <f>E31</f>
        <v/>
      </c>
      <c r="Z31" s="44">
        <f>INDEX(Calendar!$H$5:$L$52,MATCH($A31,Calendar!$A$5:$A$52,0),MATCH($D$2,Calendar!$H$4:$L$4,0))</f>
        <v/>
      </c>
      <c r="AA31" s="44">
        <f>INDEX(Calendar!$M$5:$M$52,MATCH($A31,Calendar!$A$5:$A$52,0))</f>
        <v/>
      </c>
      <c r="AB31" s="45">
        <f>IF($D31="Actual",IFERROR(S31/Y31,""),AB19)</f>
        <v/>
      </c>
      <c r="AC31" s="46">
        <f>IF($D31="Actual",IFERROR(U31/T31/Z31/AA31,""),AC19)</f>
        <v/>
      </c>
      <c r="AD31" s="43">
        <f>IF($D31="Actual",IFERROR(V31/(U31+V31),""),AD19)</f>
        <v/>
      </c>
      <c r="AE31" s="46">
        <f>IFERROR(AC31*Z31*AA31,"")</f>
        <v/>
      </c>
      <c r="AF31" s="47">
        <f>K19</f>
        <v/>
      </c>
      <c r="AG31" s="43">
        <f>IF($D31="Forecast",IFERROR(K31/AF31-1,""),"")</f>
        <v/>
      </c>
    </row>
    <row r="32">
      <c r="A32" s="8" t="n">
        <v>46174</v>
      </c>
      <c r="B32" s="26">
        <f>YEAR(A32)</f>
        <v/>
      </c>
      <c r="C32" s="26">
        <f>MONTH(A32)</f>
        <v/>
      </c>
      <c r="D32">
        <f>IF(A32&lt;=LastActual,"Actual","Forecast")</f>
        <v/>
      </c>
      <c r="E32" s="24">
        <f>IF($D32="Actual",R32,W32)</f>
        <v/>
      </c>
      <c r="F32" s="27">
        <f>IF($D32="Actual",S32,Cases_Forecast!AM25)</f>
        <v/>
      </c>
      <c r="G32" s="9">
        <f>IF($D32="Actual",T32,IFERROR(H32/AE32,0))</f>
        <v/>
      </c>
      <c r="H32" s="24">
        <f>IF($D32="Actual",U32,J32-I32)</f>
        <v/>
      </c>
      <c r="I32" s="24">
        <f>IF($D32="Actual",V32,IFERROR(J32*AD32,0))</f>
        <v/>
      </c>
      <c r="J32" s="24">
        <f>IF($D32="Actual",U32+V32,E32*X32)</f>
        <v/>
      </c>
      <c r="K32" s="28">
        <f>IFERROR(F32/G32,0)</f>
        <v/>
      </c>
      <c r="L32" s="29">
        <f>IFERROR(H32/G32,0)</f>
        <v/>
      </c>
      <c r="M32" s="30">
        <f>IFERROR(J32/F32,0)</f>
        <v/>
      </c>
      <c r="N32" s="10">
        <f>IFERROR(J32/E32,0)</f>
        <v/>
      </c>
      <c r="O32" s="10">
        <f>IFERROR(I32/J32,0)</f>
        <v/>
      </c>
      <c r="R32" s="42">
        <f>IF($D32="Actual",SUMIFS(Data_Actuals!$C$2:$C$5000,Data_Actuals!$A$2:$A$5000,$A32,Data_Actuals!$B$2:$B$5000,$B$2),"")</f>
        <v/>
      </c>
      <c r="S32" s="42">
        <f>IF($D32="Actual",SUMIFS(Data_Actuals!$D$2:$D$5000,Data_Actuals!$A$2:$A$5000,$A32,Data_Actuals!$B$2:$B$5000,$B$2),"")</f>
        <v/>
      </c>
      <c r="T32" s="42">
        <f>IF($D32="Actual",SUMIFS(Data_Actuals!$E$2:$E$5000,Data_Actuals!$A$2:$A$5000,$A32,Data_Actuals!$B$2:$B$5000,$B$2),"")</f>
        <v/>
      </c>
      <c r="U32" s="42">
        <f>IF($D32="Actual",SUMIFS(Data_Actuals!$F$2:$F$5000,Data_Actuals!$A$2:$A$5000,$A32,Data_Actuals!$B$2:$B$5000,$B$2),"")</f>
        <v/>
      </c>
      <c r="V32" s="42">
        <f>IF($D32="Actual",SUMIFS(Data_Actuals!$G$2:$G$5000,Data_Actuals!$A$2:$A$5000,$A32,Data_Actuals!$B$2:$B$5000,$B$2),"")</f>
        <v/>
      </c>
      <c r="W32" s="42">
        <f>SUMIFS(Plan_Inputs!$C$2:$C$5000,Plan_Inputs!$A$2:$A$5000,$A32,Plan_Inputs!$B$2:$B$5000,$B$2)</f>
        <v/>
      </c>
      <c r="X32" s="43">
        <f>SUMIFS(Plan_Inputs!$D$2:$D$5000,Plan_Inputs!$A$2:$A$5000,$A32,Plan_Inputs!$B$2:$B$5000,$B$2)</f>
        <v/>
      </c>
      <c r="Y32" s="42">
        <f>E32</f>
        <v/>
      </c>
      <c r="Z32" s="44">
        <f>INDEX(Calendar!$H$5:$L$52,MATCH($A32,Calendar!$A$5:$A$52,0),MATCH($D$2,Calendar!$H$4:$L$4,0))</f>
        <v/>
      </c>
      <c r="AA32" s="44">
        <f>INDEX(Calendar!$M$5:$M$52,MATCH($A32,Calendar!$A$5:$A$52,0))</f>
        <v/>
      </c>
      <c r="AB32" s="45">
        <f>IF($D32="Actual",IFERROR(S32/Y32,""),AB20)</f>
        <v/>
      </c>
      <c r="AC32" s="46">
        <f>IF($D32="Actual",IFERROR(U32/T32/Z32/AA32,""),AC20)</f>
        <v/>
      </c>
      <c r="AD32" s="43">
        <f>IF($D32="Actual",IFERROR(V32/(U32+V32),""),AD20)</f>
        <v/>
      </c>
      <c r="AE32" s="46">
        <f>IFERROR(AC32*Z32*AA32,"")</f>
        <v/>
      </c>
      <c r="AF32" s="47">
        <f>K20</f>
        <v/>
      </c>
      <c r="AG32" s="43">
        <f>IF($D32="Forecast",IFERROR(K32/AF32-1,""),"")</f>
        <v/>
      </c>
    </row>
    <row r="33">
      <c r="A33" s="8" t="n">
        <v>46204</v>
      </c>
      <c r="B33" s="26">
        <f>YEAR(A33)</f>
        <v/>
      </c>
      <c r="C33" s="26">
        <f>MONTH(A33)</f>
        <v/>
      </c>
      <c r="D33">
        <f>IF(A33&lt;=LastActual,"Actual","Forecast")</f>
        <v/>
      </c>
      <c r="E33" s="24">
        <f>IF($D33="Actual",R33,W33)</f>
        <v/>
      </c>
      <c r="F33" s="27">
        <f>IF($D33="Actual",S33,Cases_Forecast!AM26)</f>
        <v/>
      </c>
      <c r="G33" s="9">
        <f>IF($D33="Actual",T33,IFERROR(H33/AE33,0))</f>
        <v/>
      </c>
      <c r="H33" s="24">
        <f>IF($D33="Actual",U33,J33-I33)</f>
        <v/>
      </c>
      <c r="I33" s="24">
        <f>IF($D33="Actual",V33,IFERROR(J33*AD33,0))</f>
        <v/>
      </c>
      <c r="J33" s="24">
        <f>IF($D33="Actual",U33+V33,E33*X33)</f>
        <v/>
      </c>
      <c r="K33" s="28">
        <f>IFERROR(F33/G33,0)</f>
        <v/>
      </c>
      <c r="L33" s="29">
        <f>IFERROR(H33/G33,0)</f>
        <v/>
      </c>
      <c r="M33" s="30">
        <f>IFERROR(J33/F33,0)</f>
        <v/>
      </c>
      <c r="N33" s="10">
        <f>IFERROR(J33/E33,0)</f>
        <v/>
      </c>
      <c r="O33" s="10">
        <f>IFERROR(I33/J33,0)</f>
        <v/>
      </c>
      <c r="R33" s="42">
        <f>IF($D33="Actual",SUMIFS(Data_Actuals!$C$2:$C$5000,Data_Actuals!$A$2:$A$5000,$A33,Data_Actuals!$B$2:$B$5000,$B$2),"")</f>
        <v/>
      </c>
      <c r="S33" s="42">
        <f>IF($D33="Actual",SUMIFS(Data_Actuals!$D$2:$D$5000,Data_Actuals!$A$2:$A$5000,$A33,Data_Actuals!$B$2:$B$5000,$B$2),"")</f>
        <v/>
      </c>
      <c r="T33" s="42">
        <f>IF($D33="Actual",SUMIFS(Data_Actuals!$E$2:$E$5000,Data_Actuals!$A$2:$A$5000,$A33,Data_Actuals!$B$2:$B$5000,$B$2),"")</f>
        <v/>
      </c>
      <c r="U33" s="42">
        <f>IF($D33="Actual",SUMIFS(Data_Actuals!$F$2:$F$5000,Data_Actuals!$A$2:$A$5000,$A33,Data_Actuals!$B$2:$B$5000,$B$2),"")</f>
        <v/>
      </c>
      <c r="V33" s="42">
        <f>IF($D33="Actual",SUMIFS(Data_Actuals!$G$2:$G$5000,Data_Actuals!$A$2:$A$5000,$A33,Data_Actuals!$B$2:$B$5000,$B$2),"")</f>
        <v/>
      </c>
      <c r="W33" s="42">
        <f>SUMIFS(Plan_Inputs!$C$2:$C$5000,Plan_Inputs!$A$2:$A$5000,$A33,Plan_Inputs!$B$2:$B$5000,$B$2)</f>
        <v/>
      </c>
      <c r="X33" s="43">
        <f>SUMIFS(Plan_Inputs!$D$2:$D$5000,Plan_Inputs!$A$2:$A$5000,$A33,Plan_Inputs!$B$2:$B$5000,$B$2)</f>
        <v/>
      </c>
      <c r="Y33" s="42">
        <f>E33</f>
        <v/>
      </c>
      <c r="Z33" s="44">
        <f>INDEX(Calendar!$H$5:$L$52,MATCH($A33,Calendar!$A$5:$A$52,0),MATCH($D$2,Calendar!$H$4:$L$4,0))</f>
        <v/>
      </c>
      <c r="AA33" s="44">
        <f>INDEX(Calendar!$M$5:$M$52,MATCH($A33,Calendar!$A$5:$A$52,0))</f>
        <v/>
      </c>
      <c r="AB33" s="45">
        <f>IF($D33="Actual",IFERROR(S33/Y33,""),AB21)</f>
        <v/>
      </c>
      <c r="AC33" s="46">
        <f>IF($D33="Actual",IFERROR(U33/T33/Z33/AA33,""),AC21)</f>
        <v/>
      </c>
      <c r="AD33" s="43">
        <f>IF($D33="Actual",IFERROR(V33/(U33+V33),""),AD21)</f>
        <v/>
      </c>
      <c r="AE33" s="46">
        <f>IFERROR(AC33*Z33*AA33,"")</f>
        <v/>
      </c>
      <c r="AF33" s="47">
        <f>K21</f>
        <v/>
      </c>
      <c r="AG33" s="43">
        <f>IF($D33="Forecast",IFERROR(K33/AF33-1,""),"")</f>
        <v/>
      </c>
    </row>
    <row r="34">
      <c r="A34" s="8" t="n">
        <v>46235</v>
      </c>
      <c r="B34" s="26">
        <f>YEAR(A34)</f>
        <v/>
      </c>
      <c r="C34" s="26">
        <f>MONTH(A34)</f>
        <v/>
      </c>
      <c r="D34">
        <f>IF(A34&lt;=LastActual,"Actual","Forecast")</f>
        <v/>
      </c>
      <c r="E34" s="24">
        <f>IF($D34="Actual",R34,W34)</f>
        <v/>
      </c>
      <c r="F34" s="27">
        <f>IF($D34="Actual",S34,Cases_Forecast!AM27)</f>
        <v/>
      </c>
      <c r="G34" s="9">
        <f>IF($D34="Actual",T34,IFERROR(H34/AE34,0))</f>
        <v/>
      </c>
      <c r="H34" s="24">
        <f>IF($D34="Actual",U34,J34-I34)</f>
        <v/>
      </c>
      <c r="I34" s="24">
        <f>IF($D34="Actual",V34,IFERROR(J34*AD34,0))</f>
        <v/>
      </c>
      <c r="J34" s="24">
        <f>IF($D34="Actual",U34+V34,E34*X34)</f>
        <v/>
      </c>
      <c r="K34" s="28">
        <f>IFERROR(F34/G34,0)</f>
        <v/>
      </c>
      <c r="L34" s="29">
        <f>IFERROR(H34/G34,0)</f>
        <v/>
      </c>
      <c r="M34" s="30">
        <f>IFERROR(J34/F34,0)</f>
        <v/>
      </c>
      <c r="N34" s="10">
        <f>IFERROR(J34/E34,0)</f>
        <v/>
      </c>
      <c r="O34" s="10">
        <f>IFERROR(I34/J34,0)</f>
        <v/>
      </c>
      <c r="R34" s="42">
        <f>IF($D34="Actual",SUMIFS(Data_Actuals!$C$2:$C$5000,Data_Actuals!$A$2:$A$5000,$A34,Data_Actuals!$B$2:$B$5000,$B$2),"")</f>
        <v/>
      </c>
      <c r="S34" s="42">
        <f>IF($D34="Actual",SUMIFS(Data_Actuals!$D$2:$D$5000,Data_Actuals!$A$2:$A$5000,$A34,Data_Actuals!$B$2:$B$5000,$B$2),"")</f>
        <v/>
      </c>
      <c r="T34" s="42">
        <f>IF($D34="Actual",SUMIFS(Data_Actuals!$E$2:$E$5000,Data_Actuals!$A$2:$A$5000,$A34,Data_Actuals!$B$2:$B$5000,$B$2),"")</f>
        <v/>
      </c>
      <c r="U34" s="42">
        <f>IF($D34="Actual",SUMIFS(Data_Actuals!$F$2:$F$5000,Data_Actuals!$A$2:$A$5000,$A34,Data_Actuals!$B$2:$B$5000,$B$2),"")</f>
        <v/>
      </c>
      <c r="V34" s="42">
        <f>IF($D34="Actual",SUMIFS(Data_Actuals!$G$2:$G$5000,Data_Actuals!$A$2:$A$5000,$A34,Data_Actuals!$B$2:$B$5000,$B$2),"")</f>
        <v/>
      </c>
      <c r="W34" s="42">
        <f>SUMIFS(Plan_Inputs!$C$2:$C$5000,Plan_Inputs!$A$2:$A$5000,$A34,Plan_Inputs!$B$2:$B$5000,$B$2)</f>
        <v/>
      </c>
      <c r="X34" s="43">
        <f>SUMIFS(Plan_Inputs!$D$2:$D$5000,Plan_Inputs!$A$2:$A$5000,$A34,Plan_Inputs!$B$2:$B$5000,$B$2)</f>
        <v/>
      </c>
      <c r="Y34" s="42">
        <f>E34</f>
        <v/>
      </c>
      <c r="Z34" s="44">
        <f>INDEX(Calendar!$H$5:$L$52,MATCH($A34,Calendar!$A$5:$A$52,0),MATCH($D$2,Calendar!$H$4:$L$4,0))</f>
        <v/>
      </c>
      <c r="AA34" s="44">
        <f>INDEX(Calendar!$M$5:$M$52,MATCH($A34,Calendar!$A$5:$A$52,0))</f>
        <v/>
      </c>
      <c r="AB34" s="45">
        <f>IF($D34="Actual",IFERROR(S34/Y34,""),AB22)</f>
        <v/>
      </c>
      <c r="AC34" s="46">
        <f>IF($D34="Actual",IFERROR(U34/T34/Z34/AA34,""),AC22)</f>
        <v/>
      </c>
      <c r="AD34" s="43">
        <f>IF($D34="Actual",IFERROR(V34/(U34+V34),""),AD22)</f>
        <v/>
      </c>
      <c r="AE34" s="46">
        <f>IFERROR(AC34*Z34*AA34,"")</f>
        <v/>
      </c>
      <c r="AF34" s="47">
        <f>K22</f>
        <v/>
      </c>
      <c r="AG34" s="43">
        <f>IF($D34="Forecast",IFERROR(K34/AF34-1,""),"")</f>
        <v/>
      </c>
    </row>
    <row r="35">
      <c r="A35" s="8" t="n">
        <v>46266</v>
      </c>
      <c r="B35" s="26">
        <f>YEAR(A35)</f>
        <v/>
      </c>
      <c r="C35" s="26">
        <f>MONTH(A35)</f>
        <v/>
      </c>
      <c r="D35">
        <f>IF(A35&lt;=LastActual,"Actual","Forecast")</f>
        <v/>
      </c>
      <c r="E35" s="24">
        <f>IF($D35="Actual",R35,W35)</f>
        <v/>
      </c>
      <c r="F35" s="27">
        <f>IF($D35="Actual",S35,Cases_Forecast!AM28)</f>
        <v/>
      </c>
      <c r="G35" s="9">
        <f>IF($D35="Actual",T35,IFERROR(H35/AE35,0))</f>
        <v/>
      </c>
      <c r="H35" s="24">
        <f>IF($D35="Actual",U35,J35-I35)</f>
        <v/>
      </c>
      <c r="I35" s="24">
        <f>IF($D35="Actual",V35,IFERROR(J35*AD35,0))</f>
        <v/>
      </c>
      <c r="J35" s="24">
        <f>IF($D35="Actual",U35+V35,E35*X35)</f>
        <v/>
      </c>
      <c r="K35" s="28">
        <f>IFERROR(F35/G35,0)</f>
        <v/>
      </c>
      <c r="L35" s="29">
        <f>IFERROR(H35/G35,0)</f>
        <v/>
      </c>
      <c r="M35" s="30">
        <f>IFERROR(J35/F35,0)</f>
        <v/>
      </c>
      <c r="N35" s="10">
        <f>IFERROR(J35/E35,0)</f>
        <v/>
      </c>
      <c r="O35" s="10">
        <f>IFERROR(I35/J35,0)</f>
        <v/>
      </c>
      <c r="R35" s="42">
        <f>IF($D35="Actual",SUMIFS(Data_Actuals!$C$2:$C$5000,Data_Actuals!$A$2:$A$5000,$A35,Data_Actuals!$B$2:$B$5000,$B$2),"")</f>
        <v/>
      </c>
      <c r="S35" s="42">
        <f>IF($D35="Actual",SUMIFS(Data_Actuals!$D$2:$D$5000,Data_Actuals!$A$2:$A$5000,$A35,Data_Actuals!$B$2:$B$5000,$B$2),"")</f>
        <v/>
      </c>
      <c r="T35" s="42">
        <f>IF($D35="Actual",SUMIFS(Data_Actuals!$E$2:$E$5000,Data_Actuals!$A$2:$A$5000,$A35,Data_Actuals!$B$2:$B$5000,$B$2),"")</f>
        <v/>
      </c>
      <c r="U35" s="42">
        <f>IF($D35="Actual",SUMIFS(Data_Actuals!$F$2:$F$5000,Data_Actuals!$A$2:$A$5000,$A35,Data_Actuals!$B$2:$B$5000,$B$2),"")</f>
        <v/>
      </c>
      <c r="V35" s="42">
        <f>IF($D35="Actual",SUMIFS(Data_Actuals!$G$2:$G$5000,Data_Actuals!$A$2:$A$5000,$A35,Data_Actuals!$B$2:$B$5000,$B$2),"")</f>
        <v/>
      </c>
      <c r="W35" s="42">
        <f>SUMIFS(Plan_Inputs!$C$2:$C$5000,Plan_Inputs!$A$2:$A$5000,$A35,Plan_Inputs!$B$2:$B$5000,$B$2)</f>
        <v/>
      </c>
      <c r="X35" s="43">
        <f>SUMIFS(Plan_Inputs!$D$2:$D$5000,Plan_Inputs!$A$2:$A$5000,$A35,Plan_Inputs!$B$2:$B$5000,$B$2)</f>
        <v/>
      </c>
      <c r="Y35" s="42">
        <f>E35</f>
        <v/>
      </c>
      <c r="Z35" s="44">
        <f>INDEX(Calendar!$H$5:$L$52,MATCH($A35,Calendar!$A$5:$A$52,0),MATCH($D$2,Calendar!$H$4:$L$4,0))</f>
        <v/>
      </c>
      <c r="AA35" s="44">
        <f>INDEX(Calendar!$M$5:$M$52,MATCH($A35,Calendar!$A$5:$A$52,0))</f>
        <v/>
      </c>
      <c r="AB35" s="45">
        <f>IF($D35="Actual",IFERROR(S35/Y35,""),AB23)</f>
        <v/>
      </c>
      <c r="AC35" s="46">
        <f>IF($D35="Actual",IFERROR(U35/T35/Z35/AA35,""),AC23)</f>
        <v/>
      </c>
      <c r="AD35" s="43">
        <f>IF($D35="Actual",IFERROR(V35/(U35+V35),""),AD23)</f>
        <v/>
      </c>
      <c r="AE35" s="46">
        <f>IFERROR(AC35*Z35*AA35,"")</f>
        <v/>
      </c>
      <c r="AF35" s="47">
        <f>K23</f>
        <v/>
      </c>
      <c r="AG35" s="43">
        <f>IF($D35="Forecast",IFERROR(K35/AF35-1,""),"")</f>
        <v/>
      </c>
    </row>
    <row r="36">
      <c r="A36" s="8" t="n">
        <v>46296</v>
      </c>
      <c r="B36" s="26">
        <f>YEAR(A36)</f>
        <v/>
      </c>
      <c r="C36" s="26">
        <f>MONTH(A36)</f>
        <v/>
      </c>
      <c r="D36">
        <f>IF(A36&lt;=LastActual,"Actual","Forecast")</f>
        <v/>
      </c>
      <c r="E36" s="24">
        <f>IF($D36="Actual",R36,W36)</f>
        <v/>
      </c>
      <c r="F36" s="27">
        <f>IF($D36="Actual",S36,Cases_Forecast!AM29)</f>
        <v/>
      </c>
      <c r="G36" s="9">
        <f>IF($D36="Actual",T36,IFERROR(H36/AE36,0))</f>
        <v/>
      </c>
      <c r="H36" s="24">
        <f>IF($D36="Actual",U36,J36-I36)</f>
        <v/>
      </c>
      <c r="I36" s="24">
        <f>IF($D36="Actual",V36,IFERROR(J36*AD36,0))</f>
        <v/>
      </c>
      <c r="J36" s="24">
        <f>IF($D36="Actual",U36+V36,E36*X36)</f>
        <v/>
      </c>
      <c r="K36" s="28">
        <f>IFERROR(F36/G36,0)</f>
        <v/>
      </c>
      <c r="L36" s="29">
        <f>IFERROR(H36/G36,0)</f>
        <v/>
      </c>
      <c r="M36" s="30">
        <f>IFERROR(J36/F36,0)</f>
        <v/>
      </c>
      <c r="N36" s="10">
        <f>IFERROR(J36/E36,0)</f>
        <v/>
      </c>
      <c r="O36" s="10">
        <f>IFERROR(I36/J36,0)</f>
        <v/>
      </c>
      <c r="R36" s="42">
        <f>IF($D36="Actual",SUMIFS(Data_Actuals!$C$2:$C$5000,Data_Actuals!$A$2:$A$5000,$A36,Data_Actuals!$B$2:$B$5000,$B$2),"")</f>
        <v/>
      </c>
      <c r="S36" s="42">
        <f>IF($D36="Actual",SUMIFS(Data_Actuals!$D$2:$D$5000,Data_Actuals!$A$2:$A$5000,$A36,Data_Actuals!$B$2:$B$5000,$B$2),"")</f>
        <v/>
      </c>
      <c r="T36" s="42">
        <f>IF($D36="Actual",SUMIFS(Data_Actuals!$E$2:$E$5000,Data_Actuals!$A$2:$A$5000,$A36,Data_Actuals!$B$2:$B$5000,$B$2),"")</f>
        <v/>
      </c>
      <c r="U36" s="42">
        <f>IF($D36="Actual",SUMIFS(Data_Actuals!$F$2:$F$5000,Data_Actuals!$A$2:$A$5000,$A36,Data_Actuals!$B$2:$B$5000,$B$2),"")</f>
        <v/>
      </c>
      <c r="V36" s="42">
        <f>IF($D36="Actual",SUMIFS(Data_Actuals!$G$2:$G$5000,Data_Actuals!$A$2:$A$5000,$A36,Data_Actuals!$B$2:$B$5000,$B$2),"")</f>
        <v/>
      </c>
      <c r="W36" s="42">
        <f>SUMIFS(Plan_Inputs!$C$2:$C$5000,Plan_Inputs!$A$2:$A$5000,$A36,Plan_Inputs!$B$2:$B$5000,$B$2)</f>
        <v/>
      </c>
      <c r="X36" s="43">
        <f>SUMIFS(Plan_Inputs!$D$2:$D$5000,Plan_Inputs!$A$2:$A$5000,$A36,Plan_Inputs!$B$2:$B$5000,$B$2)</f>
        <v/>
      </c>
      <c r="Y36" s="42">
        <f>E36</f>
        <v/>
      </c>
      <c r="Z36" s="44">
        <f>INDEX(Calendar!$H$5:$L$52,MATCH($A36,Calendar!$A$5:$A$52,0),MATCH($D$2,Calendar!$H$4:$L$4,0))</f>
        <v/>
      </c>
      <c r="AA36" s="44">
        <f>INDEX(Calendar!$M$5:$M$52,MATCH($A36,Calendar!$A$5:$A$52,0))</f>
        <v/>
      </c>
      <c r="AB36" s="45">
        <f>IF($D36="Actual",IFERROR(S36/Y36,""),AB24)</f>
        <v/>
      </c>
      <c r="AC36" s="46">
        <f>IF($D36="Actual",IFERROR(U36/T36/Z36/AA36,""),AC24)</f>
        <v/>
      </c>
      <c r="AD36" s="43">
        <f>IF($D36="Actual",IFERROR(V36/(U36+V36),""),AD24)</f>
        <v/>
      </c>
      <c r="AE36" s="46">
        <f>IFERROR(AC36*Z36*AA36,"")</f>
        <v/>
      </c>
      <c r="AF36" s="47">
        <f>K24</f>
        <v/>
      </c>
      <c r="AG36" s="43">
        <f>IF($D36="Forecast",IFERROR(K36/AF36-1,""),"")</f>
        <v/>
      </c>
    </row>
    <row r="37">
      <c r="A37" s="8" t="n">
        <v>46327</v>
      </c>
      <c r="B37" s="26">
        <f>YEAR(A37)</f>
        <v/>
      </c>
      <c r="C37" s="26">
        <f>MONTH(A37)</f>
        <v/>
      </c>
      <c r="D37">
        <f>IF(A37&lt;=LastActual,"Actual","Forecast")</f>
        <v/>
      </c>
      <c r="E37" s="24">
        <f>IF($D37="Actual",R37,W37)</f>
        <v/>
      </c>
      <c r="F37" s="27">
        <f>IF($D37="Actual",S37,Cases_Forecast!AM30)</f>
        <v/>
      </c>
      <c r="G37" s="9">
        <f>IF($D37="Actual",T37,IFERROR(H37/AE37,0))</f>
        <v/>
      </c>
      <c r="H37" s="24">
        <f>IF($D37="Actual",U37,J37-I37)</f>
        <v/>
      </c>
      <c r="I37" s="24">
        <f>IF($D37="Actual",V37,IFERROR(J37*AD37,0))</f>
        <v/>
      </c>
      <c r="J37" s="24">
        <f>IF($D37="Actual",U37+V37,E37*X37)</f>
        <v/>
      </c>
      <c r="K37" s="28">
        <f>IFERROR(F37/G37,0)</f>
        <v/>
      </c>
      <c r="L37" s="29">
        <f>IFERROR(H37/G37,0)</f>
        <v/>
      </c>
      <c r="M37" s="30">
        <f>IFERROR(J37/F37,0)</f>
        <v/>
      </c>
      <c r="N37" s="10">
        <f>IFERROR(J37/E37,0)</f>
        <v/>
      </c>
      <c r="O37" s="10">
        <f>IFERROR(I37/J37,0)</f>
        <v/>
      </c>
      <c r="R37" s="42">
        <f>IF($D37="Actual",SUMIFS(Data_Actuals!$C$2:$C$5000,Data_Actuals!$A$2:$A$5000,$A37,Data_Actuals!$B$2:$B$5000,$B$2),"")</f>
        <v/>
      </c>
      <c r="S37" s="42">
        <f>IF($D37="Actual",SUMIFS(Data_Actuals!$D$2:$D$5000,Data_Actuals!$A$2:$A$5000,$A37,Data_Actuals!$B$2:$B$5000,$B$2),"")</f>
        <v/>
      </c>
      <c r="T37" s="42">
        <f>IF($D37="Actual",SUMIFS(Data_Actuals!$E$2:$E$5000,Data_Actuals!$A$2:$A$5000,$A37,Data_Actuals!$B$2:$B$5000,$B$2),"")</f>
        <v/>
      </c>
      <c r="U37" s="42">
        <f>IF($D37="Actual",SUMIFS(Data_Actuals!$F$2:$F$5000,Data_Actuals!$A$2:$A$5000,$A37,Data_Actuals!$B$2:$B$5000,$B$2),"")</f>
        <v/>
      </c>
      <c r="V37" s="42">
        <f>IF($D37="Actual",SUMIFS(Data_Actuals!$G$2:$G$5000,Data_Actuals!$A$2:$A$5000,$A37,Data_Actuals!$B$2:$B$5000,$B$2),"")</f>
        <v/>
      </c>
      <c r="W37" s="42">
        <f>SUMIFS(Plan_Inputs!$C$2:$C$5000,Plan_Inputs!$A$2:$A$5000,$A37,Plan_Inputs!$B$2:$B$5000,$B$2)</f>
        <v/>
      </c>
      <c r="X37" s="43">
        <f>SUMIFS(Plan_Inputs!$D$2:$D$5000,Plan_Inputs!$A$2:$A$5000,$A37,Plan_Inputs!$B$2:$B$5000,$B$2)</f>
        <v/>
      </c>
      <c r="Y37" s="42">
        <f>E37</f>
        <v/>
      </c>
      <c r="Z37" s="44">
        <f>INDEX(Calendar!$H$5:$L$52,MATCH($A37,Calendar!$A$5:$A$52,0),MATCH($D$2,Calendar!$H$4:$L$4,0))</f>
        <v/>
      </c>
      <c r="AA37" s="44">
        <f>INDEX(Calendar!$M$5:$M$52,MATCH($A37,Calendar!$A$5:$A$52,0))</f>
        <v/>
      </c>
      <c r="AB37" s="45">
        <f>IF($D37="Actual",IFERROR(S37/Y37,""),AB25)</f>
        <v/>
      </c>
      <c r="AC37" s="46">
        <f>IF($D37="Actual",IFERROR(U37/T37/Z37/AA37,""),AC25)</f>
        <v/>
      </c>
      <c r="AD37" s="43">
        <f>IF($D37="Actual",IFERROR(V37/(U37+V37),""),AD25)</f>
        <v/>
      </c>
      <c r="AE37" s="46">
        <f>IFERROR(AC37*Z37*AA37,"")</f>
        <v/>
      </c>
      <c r="AF37" s="47">
        <f>K25</f>
        <v/>
      </c>
      <c r="AG37" s="43">
        <f>IF($D37="Forecast",IFERROR(K37/AF37-1,""),"")</f>
        <v/>
      </c>
    </row>
    <row r="38">
      <c r="A38" s="31" t="n">
        <v>46357</v>
      </c>
      <c r="B38" s="32">
        <f>YEAR(A38)</f>
        <v/>
      </c>
      <c r="C38" s="32">
        <f>MONTH(A38)</f>
        <v/>
      </c>
      <c r="D38" s="33">
        <f>IF(A38&lt;=LastActual,"Actual","Forecast")</f>
        <v/>
      </c>
      <c r="E38" s="34">
        <f>IF($D38="Actual",R38,W38)</f>
        <v/>
      </c>
      <c r="F38" s="35">
        <f>IF($D38="Actual",S38,Cases_Forecast!AM31)</f>
        <v/>
      </c>
      <c r="G38" s="36">
        <f>IF($D38="Actual",T38,IFERROR(H38/AE38,0))</f>
        <v/>
      </c>
      <c r="H38" s="34">
        <f>IF($D38="Actual",U38,J38-I38)</f>
        <v/>
      </c>
      <c r="I38" s="34">
        <f>IF($D38="Actual",V38,IFERROR(J38*AD38,0))</f>
        <v/>
      </c>
      <c r="J38" s="34">
        <f>IF($D38="Actual",U38+V38,E38*X38)</f>
        <v/>
      </c>
      <c r="K38" s="37">
        <f>IFERROR(F38/G38,0)</f>
        <v/>
      </c>
      <c r="L38" s="38">
        <f>IFERROR(H38/G38,0)</f>
        <v/>
      </c>
      <c r="M38" s="39">
        <f>IFERROR(J38/F38,0)</f>
        <v/>
      </c>
      <c r="N38" s="40">
        <f>IFERROR(J38/E38,0)</f>
        <v/>
      </c>
      <c r="O38" s="40">
        <f>IFERROR(I38/J38,0)</f>
        <v/>
      </c>
      <c r="R38" s="42">
        <f>IF($D38="Actual",SUMIFS(Data_Actuals!$C$2:$C$5000,Data_Actuals!$A$2:$A$5000,$A38,Data_Actuals!$B$2:$B$5000,$B$2),"")</f>
        <v/>
      </c>
      <c r="S38" s="42">
        <f>IF($D38="Actual",SUMIFS(Data_Actuals!$D$2:$D$5000,Data_Actuals!$A$2:$A$5000,$A38,Data_Actuals!$B$2:$B$5000,$B$2),"")</f>
        <v/>
      </c>
      <c r="T38" s="42">
        <f>IF($D38="Actual",SUMIFS(Data_Actuals!$E$2:$E$5000,Data_Actuals!$A$2:$A$5000,$A38,Data_Actuals!$B$2:$B$5000,$B$2),"")</f>
        <v/>
      </c>
      <c r="U38" s="42">
        <f>IF($D38="Actual",SUMIFS(Data_Actuals!$F$2:$F$5000,Data_Actuals!$A$2:$A$5000,$A38,Data_Actuals!$B$2:$B$5000,$B$2),"")</f>
        <v/>
      </c>
      <c r="V38" s="42">
        <f>IF($D38="Actual",SUMIFS(Data_Actuals!$G$2:$G$5000,Data_Actuals!$A$2:$A$5000,$A38,Data_Actuals!$B$2:$B$5000,$B$2),"")</f>
        <v/>
      </c>
      <c r="W38" s="42">
        <f>SUMIFS(Plan_Inputs!$C$2:$C$5000,Plan_Inputs!$A$2:$A$5000,$A38,Plan_Inputs!$B$2:$B$5000,$B$2)</f>
        <v/>
      </c>
      <c r="X38" s="43">
        <f>SUMIFS(Plan_Inputs!$D$2:$D$5000,Plan_Inputs!$A$2:$A$5000,$A38,Plan_Inputs!$B$2:$B$5000,$B$2)</f>
        <v/>
      </c>
      <c r="Y38" s="42">
        <f>E38</f>
        <v/>
      </c>
      <c r="Z38" s="44">
        <f>INDEX(Calendar!$H$5:$L$52,MATCH($A38,Calendar!$A$5:$A$52,0),MATCH($D$2,Calendar!$H$4:$L$4,0))</f>
        <v/>
      </c>
      <c r="AA38" s="44">
        <f>INDEX(Calendar!$M$5:$M$52,MATCH($A38,Calendar!$A$5:$A$52,0))</f>
        <v/>
      </c>
      <c r="AB38" s="45">
        <f>IF($D38="Actual",IFERROR(S38/Y38,""),AB26)</f>
        <v/>
      </c>
      <c r="AC38" s="46">
        <f>IF($D38="Actual",IFERROR(U38/T38/Z38/AA38,""),AC26)</f>
        <v/>
      </c>
      <c r="AD38" s="43">
        <f>IF($D38="Actual",IFERROR(V38/(U38+V38),""),AD26)</f>
        <v/>
      </c>
      <c r="AE38" s="46">
        <f>IFERROR(AC38*Z38*AA38,"")</f>
        <v/>
      </c>
      <c r="AF38" s="47">
        <f>K26</f>
        <v/>
      </c>
      <c r="AG38" s="43">
        <f>IF($D38="Forecast",IFERROR(K38/AF38-1,""),"")</f>
        <v/>
      </c>
    </row>
    <row r="39">
      <c r="A39" s="8" t="n">
        <v>46388</v>
      </c>
      <c r="B39" s="26">
        <f>YEAR(A39)</f>
        <v/>
      </c>
      <c r="C39" s="26">
        <f>MONTH(A39)</f>
        <v/>
      </c>
      <c r="D39">
        <f>IF(A39&lt;=LastActual,"Actual","Forecast")</f>
        <v/>
      </c>
      <c r="E39" s="24">
        <f>IF($D39="Actual",R39,W39)</f>
        <v/>
      </c>
      <c r="F39" s="27">
        <f>IF($D39="Actual",S39,Cases_Forecast!AM32)</f>
        <v/>
      </c>
      <c r="G39" s="9">
        <f>IF($D39="Actual",T39,IFERROR(H39/AE39,0))</f>
        <v/>
      </c>
      <c r="H39" s="24">
        <f>IF($D39="Actual",U39,J39-I39)</f>
        <v/>
      </c>
      <c r="I39" s="24">
        <f>IF($D39="Actual",V39,IFERROR(J39*AD39,0))</f>
        <v/>
      </c>
      <c r="J39" s="24">
        <f>IF($D39="Actual",U39+V39,E39*X39)</f>
        <v/>
      </c>
      <c r="K39" s="28">
        <f>IFERROR(F39/G39,0)</f>
        <v/>
      </c>
      <c r="L39" s="29">
        <f>IFERROR(H39/G39,0)</f>
        <v/>
      </c>
      <c r="M39" s="30">
        <f>IFERROR(J39/F39,0)</f>
        <v/>
      </c>
      <c r="N39" s="10">
        <f>IFERROR(J39/E39,0)</f>
        <v/>
      </c>
      <c r="O39" s="10">
        <f>IFERROR(I39/J39,0)</f>
        <v/>
      </c>
      <c r="R39" s="42">
        <f>IF($D39="Actual",SUMIFS(Data_Actuals!$C$2:$C$5000,Data_Actuals!$A$2:$A$5000,$A39,Data_Actuals!$B$2:$B$5000,$B$2),"")</f>
        <v/>
      </c>
      <c r="S39" s="42">
        <f>IF($D39="Actual",SUMIFS(Data_Actuals!$D$2:$D$5000,Data_Actuals!$A$2:$A$5000,$A39,Data_Actuals!$B$2:$B$5000,$B$2),"")</f>
        <v/>
      </c>
      <c r="T39" s="42">
        <f>IF($D39="Actual",SUMIFS(Data_Actuals!$E$2:$E$5000,Data_Actuals!$A$2:$A$5000,$A39,Data_Actuals!$B$2:$B$5000,$B$2),"")</f>
        <v/>
      </c>
      <c r="U39" s="42">
        <f>IF($D39="Actual",SUMIFS(Data_Actuals!$F$2:$F$5000,Data_Actuals!$A$2:$A$5000,$A39,Data_Actuals!$B$2:$B$5000,$B$2),"")</f>
        <v/>
      </c>
      <c r="V39" s="42">
        <f>IF($D39="Actual",SUMIFS(Data_Actuals!$G$2:$G$5000,Data_Actuals!$A$2:$A$5000,$A39,Data_Actuals!$B$2:$B$5000,$B$2),"")</f>
        <v/>
      </c>
      <c r="W39" s="42">
        <f>SUMIFS(Plan_Inputs!$C$2:$C$5000,Plan_Inputs!$A$2:$A$5000,$A39,Plan_Inputs!$B$2:$B$5000,$B$2)</f>
        <v/>
      </c>
      <c r="X39" s="43">
        <f>SUMIFS(Plan_Inputs!$D$2:$D$5000,Plan_Inputs!$A$2:$A$5000,$A39,Plan_Inputs!$B$2:$B$5000,$B$2)</f>
        <v/>
      </c>
      <c r="Y39" s="42">
        <f>E39</f>
        <v/>
      </c>
      <c r="Z39" s="44">
        <f>INDEX(Calendar!$H$5:$L$52,MATCH($A39,Calendar!$A$5:$A$52,0),MATCH($D$2,Calendar!$H$4:$L$4,0))</f>
        <v/>
      </c>
      <c r="AA39" s="44">
        <f>INDEX(Calendar!$M$5:$M$52,MATCH($A39,Calendar!$A$5:$A$52,0))</f>
        <v/>
      </c>
      <c r="AB39" s="45">
        <f>IF($D39="Actual",IFERROR(S39/Y39,""),AB27)</f>
        <v/>
      </c>
      <c r="AC39" s="46">
        <f>IF($D39="Actual",IFERROR(U39/T39/Z39/AA39,""),AC27)</f>
        <v/>
      </c>
      <c r="AD39" s="43">
        <f>IF($D39="Actual",IFERROR(V39/(U39+V39),""),AD27)</f>
        <v/>
      </c>
      <c r="AE39" s="46">
        <f>IFERROR(AC39*Z39*AA39,"")</f>
        <v/>
      </c>
      <c r="AF39" s="47">
        <f>K27</f>
        <v/>
      </c>
      <c r="AG39" s="43">
        <f>IF($D39="Forecast",IFERROR(K39/AF39-1,""),"")</f>
        <v/>
      </c>
    </row>
    <row r="40">
      <c r="A40" s="8" t="n">
        <v>46419</v>
      </c>
      <c r="B40" s="26">
        <f>YEAR(A40)</f>
        <v/>
      </c>
      <c r="C40" s="26">
        <f>MONTH(A40)</f>
        <v/>
      </c>
      <c r="D40">
        <f>IF(A40&lt;=LastActual,"Actual","Forecast")</f>
        <v/>
      </c>
      <c r="E40" s="24">
        <f>IF($D40="Actual",R40,W40)</f>
        <v/>
      </c>
      <c r="F40" s="27">
        <f>IF($D40="Actual",S40,Cases_Forecast!AM33)</f>
        <v/>
      </c>
      <c r="G40" s="9">
        <f>IF($D40="Actual",T40,IFERROR(H40/AE40,0))</f>
        <v/>
      </c>
      <c r="H40" s="24">
        <f>IF($D40="Actual",U40,J40-I40)</f>
        <v/>
      </c>
      <c r="I40" s="24">
        <f>IF($D40="Actual",V40,IFERROR(J40*AD40,0))</f>
        <v/>
      </c>
      <c r="J40" s="24">
        <f>IF($D40="Actual",U40+V40,E40*X40)</f>
        <v/>
      </c>
      <c r="K40" s="28">
        <f>IFERROR(F40/G40,0)</f>
        <v/>
      </c>
      <c r="L40" s="29">
        <f>IFERROR(H40/G40,0)</f>
        <v/>
      </c>
      <c r="M40" s="30">
        <f>IFERROR(J40/F40,0)</f>
        <v/>
      </c>
      <c r="N40" s="10">
        <f>IFERROR(J40/E40,0)</f>
        <v/>
      </c>
      <c r="O40" s="10">
        <f>IFERROR(I40/J40,0)</f>
        <v/>
      </c>
      <c r="R40" s="42">
        <f>IF($D40="Actual",SUMIFS(Data_Actuals!$C$2:$C$5000,Data_Actuals!$A$2:$A$5000,$A40,Data_Actuals!$B$2:$B$5000,$B$2),"")</f>
        <v/>
      </c>
      <c r="S40" s="42">
        <f>IF($D40="Actual",SUMIFS(Data_Actuals!$D$2:$D$5000,Data_Actuals!$A$2:$A$5000,$A40,Data_Actuals!$B$2:$B$5000,$B$2),"")</f>
        <v/>
      </c>
      <c r="T40" s="42">
        <f>IF($D40="Actual",SUMIFS(Data_Actuals!$E$2:$E$5000,Data_Actuals!$A$2:$A$5000,$A40,Data_Actuals!$B$2:$B$5000,$B$2),"")</f>
        <v/>
      </c>
      <c r="U40" s="42">
        <f>IF($D40="Actual",SUMIFS(Data_Actuals!$F$2:$F$5000,Data_Actuals!$A$2:$A$5000,$A40,Data_Actuals!$B$2:$B$5000,$B$2),"")</f>
        <v/>
      </c>
      <c r="V40" s="42">
        <f>IF($D40="Actual",SUMIFS(Data_Actuals!$G$2:$G$5000,Data_Actuals!$A$2:$A$5000,$A40,Data_Actuals!$B$2:$B$5000,$B$2),"")</f>
        <v/>
      </c>
      <c r="W40" s="42">
        <f>SUMIFS(Plan_Inputs!$C$2:$C$5000,Plan_Inputs!$A$2:$A$5000,$A40,Plan_Inputs!$B$2:$B$5000,$B$2)</f>
        <v/>
      </c>
      <c r="X40" s="43">
        <f>SUMIFS(Plan_Inputs!$D$2:$D$5000,Plan_Inputs!$A$2:$A$5000,$A40,Plan_Inputs!$B$2:$B$5000,$B$2)</f>
        <v/>
      </c>
      <c r="Y40" s="42">
        <f>E40</f>
        <v/>
      </c>
      <c r="Z40" s="44">
        <f>INDEX(Calendar!$H$5:$L$52,MATCH($A40,Calendar!$A$5:$A$52,0),MATCH($D$2,Calendar!$H$4:$L$4,0))</f>
        <v/>
      </c>
      <c r="AA40" s="44">
        <f>INDEX(Calendar!$M$5:$M$52,MATCH($A40,Calendar!$A$5:$A$52,0))</f>
        <v/>
      </c>
      <c r="AB40" s="45">
        <f>IF($D40="Actual",IFERROR(S40/Y40,""),AB28)</f>
        <v/>
      </c>
      <c r="AC40" s="46">
        <f>IF($D40="Actual",IFERROR(U40/T40/Z40/AA40,""),AC28)</f>
        <v/>
      </c>
      <c r="AD40" s="43">
        <f>IF($D40="Actual",IFERROR(V40/(U40+V40),""),AD28)</f>
        <v/>
      </c>
      <c r="AE40" s="46">
        <f>IFERROR(AC40*Z40*AA40,"")</f>
        <v/>
      </c>
      <c r="AF40" s="47">
        <f>K28</f>
        <v/>
      </c>
      <c r="AG40" s="43">
        <f>IF($D40="Forecast",IFERROR(K40/AF40-1,""),"")</f>
        <v/>
      </c>
    </row>
    <row r="41">
      <c r="A41" s="8" t="n">
        <v>46447</v>
      </c>
      <c r="B41" s="26">
        <f>YEAR(A41)</f>
        <v/>
      </c>
      <c r="C41" s="26">
        <f>MONTH(A41)</f>
        <v/>
      </c>
      <c r="D41">
        <f>IF(A41&lt;=LastActual,"Actual","Forecast")</f>
        <v/>
      </c>
      <c r="E41" s="24">
        <f>IF($D41="Actual",R41,W41)</f>
        <v/>
      </c>
      <c r="F41" s="27">
        <f>IF($D41="Actual",S41,Cases_Forecast!AM34)</f>
        <v/>
      </c>
      <c r="G41" s="9">
        <f>IF($D41="Actual",T41,IFERROR(H41/AE41,0))</f>
        <v/>
      </c>
      <c r="H41" s="24">
        <f>IF($D41="Actual",U41,J41-I41)</f>
        <v/>
      </c>
      <c r="I41" s="24">
        <f>IF($D41="Actual",V41,IFERROR(J41*AD41,0))</f>
        <v/>
      </c>
      <c r="J41" s="24">
        <f>IF($D41="Actual",U41+V41,E41*X41)</f>
        <v/>
      </c>
      <c r="K41" s="28">
        <f>IFERROR(F41/G41,0)</f>
        <v/>
      </c>
      <c r="L41" s="29">
        <f>IFERROR(H41/G41,0)</f>
        <v/>
      </c>
      <c r="M41" s="30">
        <f>IFERROR(J41/F41,0)</f>
        <v/>
      </c>
      <c r="N41" s="10">
        <f>IFERROR(J41/E41,0)</f>
        <v/>
      </c>
      <c r="O41" s="10">
        <f>IFERROR(I41/J41,0)</f>
        <v/>
      </c>
      <c r="R41" s="42">
        <f>IF($D41="Actual",SUMIFS(Data_Actuals!$C$2:$C$5000,Data_Actuals!$A$2:$A$5000,$A41,Data_Actuals!$B$2:$B$5000,$B$2),"")</f>
        <v/>
      </c>
      <c r="S41" s="42">
        <f>IF($D41="Actual",SUMIFS(Data_Actuals!$D$2:$D$5000,Data_Actuals!$A$2:$A$5000,$A41,Data_Actuals!$B$2:$B$5000,$B$2),"")</f>
        <v/>
      </c>
      <c r="T41" s="42">
        <f>IF($D41="Actual",SUMIFS(Data_Actuals!$E$2:$E$5000,Data_Actuals!$A$2:$A$5000,$A41,Data_Actuals!$B$2:$B$5000,$B$2),"")</f>
        <v/>
      </c>
      <c r="U41" s="42">
        <f>IF($D41="Actual",SUMIFS(Data_Actuals!$F$2:$F$5000,Data_Actuals!$A$2:$A$5000,$A41,Data_Actuals!$B$2:$B$5000,$B$2),"")</f>
        <v/>
      </c>
      <c r="V41" s="42">
        <f>IF($D41="Actual",SUMIFS(Data_Actuals!$G$2:$G$5000,Data_Actuals!$A$2:$A$5000,$A41,Data_Actuals!$B$2:$B$5000,$B$2),"")</f>
        <v/>
      </c>
      <c r="W41" s="42">
        <f>SUMIFS(Plan_Inputs!$C$2:$C$5000,Plan_Inputs!$A$2:$A$5000,$A41,Plan_Inputs!$B$2:$B$5000,$B$2)</f>
        <v/>
      </c>
      <c r="X41" s="43">
        <f>SUMIFS(Plan_Inputs!$D$2:$D$5000,Plan_Inputs!$A$2:$A$5000,$A41,Plan_Inputs!$B$2:$B$5000,$B$2)</f>
        <v/>
      </c>
      <c r="Y41" s="42">
        <f>E41</f>
        <v/>
      </c>
      <c r="Z41" s="44">
        <f>INDEX(Calendar!$H$5:$L$52,MATCH($A41,Calendar!$A$5:$A$52,0),MATCH($D$2,Calendar!$H$4:$L$4,0))</f>
        <v/>
      </c>
      <c r="AA41" s="44">
        <f>INDEX(Calendar!$M$5:$M$52,MATCH($A41,Calendar!$A$5:$A$52,0))</f>
        <v/>
      </c>
      <c r="AB41" s="45">
        <f>IF($D41="Actual",IFERROR(S41/Y41,""),AB29)</f>
        <v/>
      </c>
      <c r="AC41" s="46">
        <f>IF($D41="Actual",IFERROR(U41/T41/Z41/AA41,""),AC29)</f>
        <v/>
      </c>
      <c r="AD41" s="43">
        <f>IF($D41="Actual",IFERROR(V41/(U41+V41),""),AD29)</f>
        <v/>
      </c>
      <c r="AE41" s="46">
        <f>IFERROR(AC41*Z41*AA41,"")</f>
        <v/>
      </c>
      <c r="AF41" s="47">
        <f>K29</f>
        <v/>
      </c>
      <c r="AG41" s="43">
        <f>IF($D41="Forecast",IFERROR(K41/AF41-1,""),"")</f>
        <v/>
      </c>
    </row>
    <row r="42">
      <c r="A42" s="8" t="n">
        <v>46478</v>
      </c>
      <c r="B42" s="26">
        <f>YEAR(A42)</f>
        <v/>
      </c>
      <c r="C42" s="26">
        <f>MONTH(A42)</f>
        <v/>
      </c>
      <c r="D42">
        <f>IF(A42&lt;=LastActual,"Actual","Forecast")</f>
        <v/>
      </c>
      <c r="E42" s="24">
        <f>IF($D42="Actual",R42,W42)</f>
        <v/>
      </c>
      <c r="F42" s="27">
        <f>IF($D42="Actual",S42,Cases_Forecast!AM35)</f>
        <v/>
      </c>
      <c r="G42" s="9">
        <f>IF($D42="Actual",T42,IFERROR(H42/AE42,0))</f>
        <v/>
      </c>
      <c r="H42" s="24">
        <f>IF($D42="Actual",U42,J42-I42)</f>
        <v/>
      </c>
      <c r="I42" s="24">
        <f>IF($D42="Actual",V42,IFERROR(J42*AD42,0))</f>
        <v/>
      </c>
      <c r="J42" s="24">
        <f>IF($D42="Actual",U42+V42,E42*X42)</f>
        <v/>
      </c>
      <c r="K42" s="28">
        <f>IFERROR(F42/G42,0)</f>
        <v/>
      </c>
      <c r="L42" s="29">
        <f>IFERROR(H42/G42,0)</f>
        <v/>
      </c>
      <c r="M42" s="30">
        <f>IFERROR(J42/F42,0)</f>
        <v/>
      </c>
      <c r="N42" s="10">
        <f>IFERROR(J42/E42,0)</f>
        <v/>
      </c>
      <c r="O42" s="10">
        <f>IFERROR(I42/J42,0)</f>
        <v/>
      </c>
      <c r="R42" s="42">
        <f>IF($D42="Actual",SUMIFS(Data_Actuals!$C$2:$C$5000,Data_Actuals!$A$2:$A$5000,$A42,Data_Actuals!$B$2:$B$5000,$B$2),"")</f>
        <v/>
      </c>
      <c r="S42" s="42">
        <f>IF($D42="Actual",SUMIFS(Data_Actuals!$D$2:$D$5000,Data_Actuals!$A$2:$A$5000,$A42,Data_Actuals!$B$2:$B$5000,$B$2),"")</f>
        <v/>
      </c>
      <c r="T42" s="42">
        <f>IF($D42="Actual",SUMIFS(Data_Actuals!$E$2:$E$5000,Data_Actuals!$A$2:$A$5000,$A42,Data_Actuals!$B$2:$B$5000,$B$2),"")</f>
        <v/>
      </c>
      <c r="U42" s="42">
        <f>IF($D42="Actual",SUMIFS(Data_Actuals!$F$2:$F$5000,Data_Actuals!$A$2:$A$5000,$A42,Data_Actuals!$B$2:$B$5000,$B$2),"")</f>
        <v/>
      </c>
      <c r="V42" s="42">
        <f>IF($D42="Actual",SUMIFS(Data_Actuals!$G$2:$G$5000,Data_Actuals!$A$2:$A$5000,$A42,Data_Actuals!$B$2:$B$5000,$B$2),"")</f>
        <v/>
      </c>
      <c r="W42" s="42">
        <f>SUMIFS(Plan_Inputs!$C$2:$C$5000,Plan_Inputs!$A$2:$A$5000,$A42,Plan_Inputs!$B$2:$B$5000,$B$2)</f>
        <v/>
      </c>
      <c r="X42" s="43">
        <f>SUMIFS(Plan_Inputs!$D$2:$D$5000,Plan_Inputs!$A$2:$A$5000,$A42,Plan_Inputs!$B$2:$B$5000,$B$2)</f>
        <v/>
      </c>
      <c r="Y42" s="42">
        <f>E42</f>
        <v/>
      </c>
      <c r="Z42" s="44">
        <f>INDEX(Calendar!$H$5:$L$52,MATCH($A42,Calendar!$A$5:$A$52,0),MATCH($D$2,Calendar!$H$4:$L$4,0))</f>
        <v/>
      </c>
      <c r="AA42" s="44">
        <f>INDEX(Calendar!$M$5:$M$52,MATCH($A42,Calendar!$A$5:$A$52,0))</f>
        <v/>
      </c>
      <c r="AB42" s="45">
        <f>IF($D42="Actual",IFERROR(S42/Y42,""),AB30)</f>
        <v/>
      </c>
      <c r="AC42" s="46">
        <f>IF($D42="Actual",IFERROR(U42/T42/Z42/AA42,""),AC30)</f>
        <v/>
      </c>
      <c r="AD42" s="43">
        <f>IF($D42="Actual",IFERROR(V42/(U42+V42),""),AD30)</f>
        <v/>
      </c>
      <c r="AE42" s="46">
        <f>IFERROR(AC42*Z42*AA42,"")</f>
        <v/>
      </c>
      <c r="AF42" s="47">
        <f>K30</f>
        <v/>
      </c>
      <c r="AG42" s="43">
        <f>IF($D42="Forecast",IFERROR(K42/AF42-1,""),"")</f>
        <v/>
      </c>
    </row>
    <row r="43">
      <c r="A43" s="8" t="n">
        <v>46508</v>
      </c>
      <c r="B43" s="26">
        <f>YEAR(A43)</f>
        <v/>
      </c>
      <c r="C43" s="26">
        <f>MONTH(A43)</f>
        <v/>
      </c>
      <c r="D43">
        <f>IF(A43&lt;=LastActual,"Actual","Forecast")</f>
        <v/>
      </c>
      <c r="E43" s="24">
        <f>IF($D43="Actual",R43,W43)</f>
        <v/>
      </c>
      <c r="F43" s="27">
        <f>IF($D43="Actual",S43,Cases_Forecast!AM36)</f>
        <v/>
      </c>
      <c r="G43" s="9">
        <f>IF($D43="Actual",T43,IFERROR(H43/AE43,0))</f>
        <v/>
      </c>
      <c r="H43" s="24">
        <f>IF($D43="Actual",U43,J43-I43)</f>
        <v/>
      </c>
      <c r="I43" s="24">
        <f>IF($D43="Actual",V43,IFERROR(J43*AD43,0))</f>
        <v/>
      </c>
      <c r="J43" s="24">
        <f>IF($D43="Actual",U43+V43,E43*X43)</f>
        <v/>
      </c>
      <c r="K43" s="28">
        <f>IFERROR(F43/G43,0)</f>
        <v/>
      </c>
      <c r="L43" s="29">
        <f>IFERROR(H43/G43,0)</f>
        <v/>
      </c>
      <c r="M43" s="30">
        <f>IFERROR(J43/F43,0)</f>
        <v/>
      </c>
      <c r="N43" s="10">
        <f>IFERROR(J43/E43,0)</f>
        <v/>
      </c>
      <c r="O43" s="10">
        <f>IFERROR(I43/J43,0)</f>
        <v/>
      </c>
      <c r="R43" s="42">
        <f>IF($D43="Actual",SUMIFS(Data_Actuals!$C$2:$C$5000,Data_Actuals!$A$2:$A$5000,$A43,Data_Actuals!$B$2:$B$5000,$B$2),"")</f>
        <v/>
      </c>
      <c r="S43" s="42">
        <f>IF($D43="Actual",SUMIFS(Data_Actuals!$D$2:$D$5000,Data_Actuals!$A$2:$A$5000,$A43,Data_Actuals!$B$2:$B$5000,$B$2),"")</f>
        <v/>
      </c>
      <c r="T43" s="42">
        <f>IF($D43="Actual",SUMIFS(Data_Actuals!$E$2:$E$5000,Data_Actuals!$A$2:$A$5000,$A43,Data_Actuals!$B$2:$B$5000,$B$2),"")</f>
        <v/>
      </c>
      <c r="U43" s="42">
        <f>IF($D43="Actual",SUMIFS(Data_Actuals!$F$2:$F$5000,Data_Actuals!$A$2:$A$5000,$A43,Data_Actuals!$B$2:$B$5000,$B$2),"")</f>
        <v/>
      </c>
      <c r="V43" s="42">
        <f>IF($D43="Actual",SUMIFS(Data_Actuals!$G$2:$G$5000,Data_Actuals!$A$2:$A$5000,$A43,Data_Actuals!$B$2:$B$5000,$B$2),"")</f>
        <v/>
      </c>
      <c r="W43" s="42">
        <f>SUMIFS(Plan_Inputs!$C$2:$C$5000,Plan_Inputs!$A$2:$A$5000,$A43,Plan_Inputs!$B$2:$B$5000,$B$2)</f>
        <v/>
      </c>
      <c r="X43" s="43">
        <f>SUMIFS(Plan_Inputs!$D$2:$D$5000,Plan_Inputs!$A$2:$A$5000,$A43,Plan_Inputs!$B$2:$B$5000,$B$2)</f>
        <v/>
      </c>
      <c r="Y43" s="42">
        <f>E43</f>
        <v/>
      </c>
      <c r="Z43" s="44">
        <f>INDEX(Calendar!$H$5:$L$52,MATCH($A43,Calendar!$A$5:$A$52,0),MATCH($D$2,Calendar!$H$4:$L$4,0))</f>
        <v/>
      </c>
      <c r="AA43" s="44">
        <f>INDEX(Calendar!$M$5:$M$52,MATCH($A43,Calendar!$A$5:$A$52,0))</f>
        <v/>
      </c>
      <c r="AB43" s="45">
        <f>IF($D43="Actual",IFERROR(S43/Y43,""),AB31)</f>
        <v/>
      </c>
      <c r="AC43" s="46">
        <f>IF($D43="Actual",IFERROR(U43/T43/Z43/AA43,""),AC31)</f>
        <v/>
      </c>
      <c r="AD43" s="43">
        <f>IF($D43="Actual",IFERROR(V43/(U43+V43),""),AD31)</f>
        <v/>
      </c>
      <c r="AE43" s="46">
        <f>IFERROR(AC43*Z43*AA43,"")</f>
        <v/>
      </c>
      <c r="AF43" s="47">
        <f>K31</f>
        <v/>
      </c>
      <c r="AG43" s="43">
        <f>IF($D43="Forecast",IFERROR(K43/AF43-1,""),"")</f>
        <v/>
      </c>
    </row>
    <row r="44">
      <c r="A44" s="8" t="n">
        <v>46539</v>
      </c>
      <c r="B44" s="26">
        <f>YEAR(A44)</f>
        <v/>
      </c>
      <c r="C44" s="26">
        <f>MONTH(A44)</f>
        <v/>
      </c>
      <c r="D44">
        <f>IF(A44&lt;=LastActual,"Actual","Forecast")</f>
        <v/>
      </c>
      <c r="E44" s="24">
        <f>IF($D44="Actual",R44,W44)</f>
        <v/>
      </c>
      <c r="F44" s="27">
        <f>IF($D44="Actual",S44,Cases_Forecast!AM37)</f>
        <v/>
      </c>
      <c r="G44" s="9">
        <f>IF($D44="Actual",T44,IFERROR(H44/AE44,0))</f>
        <v/>
      </c>
      <c r="H44" s="24">
        <f>IF($D44="Actual",U44,J44-I44)</f>
        <v/>
      </c>
      <c r="I44" s="24">
        <f>IF($D44="Actual",V44,IFERROR(J44*AD44,0))</f>
        <v/>
      </c>
      <c r="J44" s="24">
        <f>IF($D44="Actual",U44+V44,E44*X44)</f>
        <v/>
      </c>
      <c r="K44" s="28">
        <f>IFERROR(F44/G44,0)</f>
        <v/>
      </c>
      <c r="L44" s="29">
        <f>IFERROR(H44/G44,0)</f>
        <v/>
      </c>
      <c r="M44" s="30">
        <f>IFERROR(J44/F44,0)</f>
        <v/>
      </c>
      <c r="N44" s="10">
        <f>IFERROR(J44/E44,0)</f>
        <v/>
      </c>
      <c r="O44" s="10">
        <f>IFERROR(I44/J44,0)</f>
        <v/>
      </c>
      <c r="R44" s="42">
        <f>IF($D44="Actual",SUMIFS(Data_Actuals!$C$2:$C$5000,Data_Actuals!$A$2:$A$5000,$A44,Data_Actuals!$B$2:$B$5000,$B$2),"")</f>
        <v/>
      </c>
      <c r="S44" s="42">
        <f>IF($D44="Actual",SUMIFS(Data_Actuals!$D$2:$D$5000,Data_Actuals!$A$2:$A$5000,$A44,Data_Actuals!$B$2:$B$5000,$B$2),"")</f>
        <v/>
      </c>
      <c r="T44" s="42">
        <f>IF($D44="Actual",SUMIFS(Data_Actuals!$E$2:$E$5000,Data_Actuals!$A$2:$A$5000,$A44,Data_Actuals!$B$2:$B$5000,$B$2),"")</f>
        <v/>
      </c>
      <c r="U44" s="42">
        <f>IF($D44="Actual",SUMIFS(Data_Actuals!$F$2:$F$5000,Data_Actuals!$A$2:$A$5000,$A44,Data_Actuals!$B$2:$B$5000,$B$2),"")</f>
        <v/>
      </c>
      <c r="V44" s="42">
        <f>IF($D44="Actual",SUMIFS(Data_Actuals!$G$2:$G$5000,Data_Actuals!$A$2:$A$5000,$A44,Data_Actuals!$B$2:$B$5000,$B$2),"")</f>
        <v/>
      </c>
      <c r="W44" s="42">
        <f>SUMIFS(Plan_Inputs!$C$2:$C$5000,Plan_Inputs!$A$2:$A$5000,$A44,Plan_Inputs!$B$2:$B$5000,$B$2)</f>
        <v/>
      </c>
      <c r="X44" s="43">
        <f>SUMIFS(Plan_Inputs!$D$2:$D$5000,Plan_Inputs!$A$2:$A$5000,$A44,Plan_Inputs!$B$2:$B$5000,$B$2)</f>
        <v/>
      </c>
      <c r="Y44" s="42">
        <f>E44</f>
        <v/>
      </c>
      <c r="Z44" s="44">
        <f>INDEX(Calendar!$H$5:$L$52,MATCH($A44,Calendar!$A$5:$A$52,0),MATCH($D$2,Calendar!$H$4:$L$4,0))</f>
        <v/>
      </c>
      <c r="AA44" s="44">
        <f>INDEX(Calendar!$M$5:$M$52,MATCH($A44,Calendar!$A$5:$A$52,0))</f>
        <v/>
      </c>
      <c r="AB44" s="45">
        <f>IF($D44="Actual",IFERROR(S44/Y44,""),AB32)</f>
        <v/>
      </c>
      <c r="AC44" s="46">
        <f>IF($D44="Actual",IFERROR(U44/T44/Z44/AA44,""),AC32)</f>
        <v/>
      </c>
      <c r="AD44" s="43">
        <f>IF($D44="Actual",IFERROR(V44/(U44+V44),""),AD32)</f>
        <v/>
      </c>
      <c r="AE44" s="46">
        <f>IFERROR(AC44*Z44*AA44,"")</f>
        <v/>
      </c>
      <c r="AF44" s="47">
        <f>K32</f>
        <v/>
      </c>
      <c r="AG44" s="43">
        <f>IF($D44="Forecast",IFERROR(K44/AF44-1,""),"")</f>
        <v/>
      </c>
    </row>
    <row r="45">
      <c r="A45" s="8" t="n">
        <v>46569</v>
      </c>
      <c r="B45" s="26">
        <f>YEAR(A45)</f>
        <v/>
      </c>
      <c r="C45" s="26">
        <f>MONTH(A45)</f>
        <v/>
      </c>
      <c r="D45">
        <f>IF(A45&lt;=LastActual,"Actual","Forecast")</f>
        <v/>
      </c>
      <c r="E45" s="24">
        <f>IF($D45="Actual",R45,W45)</f>
        <v/>
      </c>
      <c r="F45" s="27">
        <f>IF($D45="Actual",S45,Cases_Forecast!AM38)</f>
        <v/>
      </c>
      <c r="G45" s="9">
        <f>IF($D45="Actual",T45,IFERROR(H45/AE45,0))</f>
        <v/>
      </c>
      <c r="H45" s="24">
        <f>IF($D45="Actual",U45,J45-I45)</f>
        <v/>
      </c>
      <c r="I45" s="24">
        <f>IF($D45="Actual",V45,IFERROR(J45*AD45,0))</f>
        <v/>
      </c>
      <c r="J45" s="24">
        <f>IF($D45="Actual",U45+V45,E45*X45)</f>
        <v/>
      </c>
      <c r="K45" s="28">
        <f>IFERROR(F45/G45,0)</f>
        <v/>
      </c>
      <c r="L45" s="29">
        <f>IFERROR(H45/G45,0)</f>
        <v/>
      </c>
      <c r="M45" s="30">
        <f>IFERROR(J45/F45,0)</f>
        <v/>
      </c>
      <c r="N45" s="10">
        <f>IFERROR(J45/E45,0)</f>
        <v/>
      </c>
      <c r="O45" s="10">
        <f>IFERROR(I45/J45,0)</f>
        <v/>
      </c>
      <c r="R45" s="42">
        <f>IF($D45="Actual",SUMIFS(Data_Actuals!$C$2:$C$5000,Data_Actuals!$A$2:$A$5000,$A45,Data_Actuals!$B$2:$B$5000,$B$2),"")</f>
        <v/>
      </c>
      <c r="S45" s="42">
        <f>IF($D45="Actual",SUMIFS(Data_Actuals!$D$2:$D$5000,Data_Actuals!$A$2:$A$5000,$A45,Data_Actuals!$B$2:$B$5000,$B$2),"")</f>
        <v/>
      </c>
      <c r="T45" s="42">
        <f>IF($D45="Actual",SUMIFS(Data_Actuals!$E$2:$E$5000,Data_Actuals!$A$2:$A$5000,$A45,Data_Actuals!$B$2:$B$5000,$B$2),"")</f>
        <v/>
      </c>
      <c r="U45" s="42">
        <f>IF($D45="Actual",SUMIFS(Data_Actuals!$F$2:$F$5000,Data_Actuals!$A$2:$A$5000,$A45,Data_Actuals!$B$2:$B$5000,$B$2),"")</f>
        <v/>
      </c>
      <c r="V45" s="42">
        <f>IF($D45="Actual",SUMIFS(Data_Actuals!$G$2:$G$5000,Data_Actuals!$A$2:$A$5000,$A45,Data_Actuals!$B$2:$B$5000,$B$2),"")</f>
        <v/>
      </c>
      <c r="W45" s="42">
        <f>SUMIFS(Plan_Inputs!$C$2:$C$5000,Plan_Inputs!$A$2:$A$5000,$A45,Plan_Inputs!$B$2:$B$5000,$B$2)</f>
        <v/>
      </c>
      <c r="X45" s="43">
        <f>SUMIFS(Plan_Inputs!$D$2:$D$5000,Plan_Inputs!$A$2:$A$5000,$A45,Plan_Inputs!$B$2:$B$5000,$B$2)</f>
        <v/>
      </c>
      <c r="Y45" s="42">
        <f>E45</f>
        <v/>
      </c>
      <c r="Z45" s="44">
        <f>INDEX(Calendar!$H$5:$L$52,MATCH($A45,Calendar!$A$5:$A$52,0),MATCH($D$2,Calendar!$H$4:$L$4,0))</f>
        <v/>
      </c>
      <c r="AA45" s="44">
        <f>INDEX(Calendar!$M$5:$M$52,MATCH($A45,Calendar!$A$5:$A$52,0))</f>
        <v/>
      </c>
      <c r="AB45" s="45">
        <f>IF($D45="Actual",IFERROR(S45/Y45,""),AB33)</f>
        <v/>
      </c>
      <c r="AC45" s="46">
        <f>IF($D45="Actual",IFERROR(U45/T45/Z45/AA45,""),AC33)</f>
        <v/>
      </c>
      <c r="AD45" s="43">
        <f>IF($D45="Actual",IFERROR(V45/(U45+V45),""),AD33)</f>
        <v/>
      </c>
      <c r="AE45" s="46">
        <f>IFERROR(AC45*Z45*AA45,"")</f>
        <v/>
      </c>
      <c r="AF45" s="47">
        <f>K33</f>
        <v/>
      </c>
      <c r="AG45" s="43">
        <f>IF($D45="Forecast",IFERROR(K45/AF45-1,""),"")</f>
        <v/>
      </c>
    </row>
    <row r="46">
      <c r="A46" s="8" t="n">
        <v>46600</v>
      </c>
      <c r="B46" s="26">
        <f>YEAR(A46)</f>
        <v/>
      </c>
      <c r="C46" s="26">
        <f>MONTH(A46)</f>
        <v/>
      </c>
      <c r="D46">
        <f>IF(A46&lt;=LastActual,"Actual","Forecast")</f>
        <v/>
      </c>
      <c r="E46" s="24">
        <f>IF($D46="Actual",R46,W46)</f>
        <v/>
      </c>
      <c r="F46" s="27">
        <f>IF($D46="Actual",S46,Cases_Forecast!AM39)</f>
        <v/>
      </c>
      <c r="G46" s="9">
        <f>IF($D46="Actual",T46,IFERROR(H46/AE46,0))</f>
        <v/>
      </c>
      <c r="H46" s="24">
        <f>IF($D46="Actual",U46,J46-I46)</f>
        <v/>
      </c>
      <c r="I46" s="24">
        <f>IF($D46="Actual",V46,IFERROR(J46*AD46,0))</f>
        <v/>
      </c>
      <c r="J46" s="24">
        <f>IF($D46="Actual",U46+V46,E46*X46)</f>
        <v/>
      </c>
      <c r="K46" s="28">
        <f>IFERROR(F46/G46,0)</f>
        <v/>
      </c>
      <c r="L46" s="29">
        <f>IFERROR(H46/G46,0)</f>
        <v/>
      </c>
      <c r="M46" s="30">
        <f>IFERROR(J46/F46,0)</f>
        <v/>
      </c>
      <c r="N46" s="10">
        <f>IFERROR(J46/E46,0)</f>
        <v/>
      </c>
      <c r="O46" s="10">
        <f>IFERROR(I46/J46,0)</f>
        <v/>
      </c>
      <c r="R46" s="42">
        <f>IF($D46="Actual",SUMIFS(Data_Actuals!$C$2:$C$5000,Data_Actuals!$A$2:$A$5000,$A46,Data_Actuals!$B$2:$B$5000,$B$2),"")</f>
        <v/>
      </c>
      <c r="S46" s="42">
        <f>IF($D46="Actual",SUMIFS(Data_Actuals!$D$2:$D$5000,Data_Actuals!$A$2:$A$5000,$A46,Data_Actuals!$B$2:$B$5000,$B$2),"")</f>
        <v/>
      </c>
      <c r="T46" s="42">
        <f>IF($D46="Actual",SUMIFS(Data_Actuals!$E$2:$E$5000,Data_Actuals!$A$2:$A$5000,$A46,Data_Actuals!$B$2:$B$5000,$B$2),"")</f>
        <v/>
      </c>
      <c r="U46" s="42">
        <f>IF($D46="Actual",SUMIFS(Data_Actuals!$F$2:$F$5000,Data_Actuals!$A$2:$A$5000,$A46,Data_Actuals!$B$2:$B$5000,$B$2),"")</f>
        <v/>
      </c>
      <c r="V46" s="42">
        <f>IF($D46="Actual",SUMIFS(Data_Actuals!$G$2:$G$5000,Data_Actuals!$A$2:$A$5000,$A46,Data_Actuals!$B$2:$B$5000,$B$2),"")</f>
        <v/>
      </c>
      <c r="W46" s="42">
        <f>SUMIFS(Plan_Inputs!$C$2:$C$5000,Plan_Inputs!$A$2:$A$5000,$A46,Plan_Inputs!$B$2:$B$5000,$B$2)</f>
        <v/>
      </c>
      <c r="X46" s="43">
        <f>SUMIFS(Plan_Inputs!$D$2:$D$5000,Plan_Inputs!$A$2:$A$5000,$A46,Plan_Inputs!$B$2:$B$5000,$B$2)</f>
        <v/>
      </c>
      <c r="Y46" s="42">
        <f>E46</f>
        <v/>
      </c>
      <c r="Z46" s="44">
        <f>INDEX(Calendar!$H$5:$L$52,MATCH($A46,Calendar!$A$5:$A$52,0),MATCH($D$2,Calendar!$H$4:$L$4,0))</f>
        <v/>
      </c>
      <c r="AA46" s="44">
        <f>INDEX(Calendar!$M$5:$M$52,MATCH($A46,Calendar!$A$5:$A$52,0))</f>
        <v/>
      </c>
      <c r="AB46" s="45">
        <f>IF($D46="Actual",IFERROR(S46/Y46,""),AB34)</f>
        <v/>
      </c>
      <c r="AC46" s="46">
        <f>IF($D46="Actual",IFERROR(U46/T46/Z46/AA46,""),AC34)</f>
        <v/>
      </c>
      <c r="AD46" s="43">
        <f>IF($D46="Actual",IFERROR(V46/(U46+V46),""),AD34)</f>
        <v/>
      </c>
      <c r="AE46" s="46">
        <f>IFERROR(AC46*Z46*AA46,"")</f>
        <v/>
      </c>
      <c r="AF46" s="47">
        <f>K34</f>
        <v/>
      </c>
      <c r="AG46" s="43">
        <f>IF($D46="Forecast",IFERROR(K46/AF46-1,""),"")</f>
        <v/>
      </c>
    </row>
    <row r="47">
      <c r="A47" s="8" t="n">
        <v>46631</v>
      </c>
      <c r="B47" s="26">
        <f>YEAR(A47)</f>
        <v/>
      </c>
      <c r="C47" s="26">
        <f>MONTH(A47)</f>
        <v/>
      </c>
      <c r="D47">
        <f>IF(A47&lt;=LastActual,"Actual","Forecast")</f>
        <v/>
      </c>
      <c r="E47" s="24">
        <f>IF($D47="Actual",R47,W47)</f>
        <v/>
      </c>
      <c r="F47" s="27">
        <f>IF($D47="Actual",S47,Cases_Forecast!AM40)</f>
        <v/>
      </c>
      <c r="G47" s="9">
        <f>IF($D47="Actual",T47,IFERROR(H47/AE47,0))</f>
        <v/>
      </c>
      <c r="H47" s="24">
        <f>IF($D47="Actual",U47,J47-I47)</f>
        <v/>
      </c>
      <c r="I47" s="24">
        <f>IF($D47="Actual",V47,IFERROR(J47*AD47,0))</f>
        <v/>
      </c>
      <c r="J47" s="24">
        <f>IF($D47="Actual",U47+V47,E47*X47)</f>
        <v/>
      </c>
      <c r="K47" s="28">
        <f>IFERROR(F47/G47,0)</f>
        <v/>
      </c>
      <c r="L47" s="29">
        <f>IFERROR(H47/G47,0)</f>
        <v/>
      </c>
      <c r="M47" s="30">
        <f>IFERROR(J47/F47,0)</f>
        <v/>
      </c>
      <c r="N47" s="10">
        <f>IFERROR(J47/E47,0)</f>
        <v/>
      </c>
      <c r="O47" s="10">
        <f>IFERROR(I47/J47,0)</f>
        <v/>
      </c>
      <c r="R47" s="42">
        <f>IF($D47="Actual",SUMIFS(Data_Actuals!$C$2:$C$5000,Data_Actuals!$A$2:$A$5000,$A47,Data_Actuals!$B$2:$B$5000,$B$2),"")</f>
        <v/>
      </c>
      <c r="S47" s="42">
        <f>IF($D47="Actual",SUMIFS(Data_Actuals!$D$2:$D$5000,Data_Actuals!$A$2:$A$5000,$A47,Data_Actuals!$B$2:$B$5000,$B$2),"")</f>
        <v/>
      </c>
      <c r="T47" s="42">
        <f>IF($D47="Actual",SUMIFS(Data_Actuals!$E$2:$E$5000,Data_Actuals!$A$2:$A$5000,$A47,Data_Actuals!$B$2:$B$5000,$B$2),"")</f>
        <v/>
      </c>
      <c r="U47" s="42">
        <f>IF($D47="Actual",SUMIFS(Data_Actuals!$F$2:$F$5000,Data_Actuals!$A$2:$A$5000,$A47,Data_Actuals!$B$2:$B$5000,$B$2),"")</f>
        <v/>
      </c>
      <c r="V47" s="42">
        <f>IF($D47="Actual",SUMIFS(Data_Actuals!$G$2:$G$5000,Data_Actuals!$A$2:$A$5000,$A47,Data_Actuals!$B$2:$B$5000,$B$2),"")</f>
        <v/>
      </c>
      <c r="W47" s="42">
        <f>SUMIFS(Plan_Inputs!$C$2:$C$5000,Plan_Inputs!$A$2:$A$5000,$A47,Plan_Inputs!$B$2:$B$5000,$B$2)</f>
        <v/>
      </c>
      <c r="X47" s="43">
        <f>SUMIFS(Plan_Inputs!$D$2:$D$5000,Plan_Inputs!$A$2:$A$5000,$A47,Plan_Inputs!$B$2:$B$5000,$B$2)</f>
        <v/>
      </c>
      <c r="Y47" s="42">
        <f>E47</f>
        <v/>
      </c>
      <c r="Z47" s="44">
        <f>INDEX(Calendar!$H$5:$L$52,MATCH($A47,Calendar!$A$5:$A$52,0),MATCH($D$2,Calendar!$H$4:$L$4,0))</f>
        <v/>
      </c>
      <c r="AA47" s="44">
        <f>INDEX(Calendar!$M$5:$M$52,MATCH($A47,Calendar!$A$5:$A$52,0))</f>
        <v/>
      </c>
      <c r="AB47" s="45">
        <f>IF($D47="Actual",IFERROR(S47/Y47,""),AB35)</f>
        <v/>
      </c>
      <c r="AC47" s="46">
        <f>IF($D47="Actual",IFERROR(U47/T47/Z47/AA47,""),AC35)</f>
        <v/>
      </c>
      <c r="AD47" s="43">
        <f>IF($D47="Actual",IFERROR(V47/(U47+V47),""),AD35)</f>
        <v/>
      </c>
      <c r="AE47" s="46">
        <f>IFERROR(AC47*Z47*AA47,"")</f>
        <v/>
      </c>
      <c r="AF47" s="47">
        <f>K35</f>
        <v/>
      </c>
      <c r="AG47" s="43">
        <f>IF($D47="Forecast",IFERROR(K47/AF47-1,""),"")</f>
        <v/>
      </c>
    </row>
    <row r="48">
      <c r="A48" s="8" t="n">
        <v>46661</v>
      </c>
      <c r="B48" s="26">
        <f>YEAR(A48)</f>
        <v/>
      </c>
      <c r="C48" s="26">
        <f>MONTH(A48)</f>
        <v/>
      </c>
      <c r="D48">
        <f>IF(A48&lt;=LastActual,"Actual","Forecast")</f>
        <v/>
      </c>
      <c r="E48" s="24">
        <f>IF($D48="Actual",R48,W48)</f>
        <v/>
      </c>
      <c r="F48" s="27">
        <f>IF($D48="Actual",S48,Cases_Forecast!AM41)</f>
        <v/>
      </c>
      <c r="G48" s="9">
        <f>IF($D48="Actual",T48,IFERROR(H48/AE48,0))</f>
        <v/>
      </c>
      <c r="H48" s="24">
        <f>IF($D48="Actual",U48,J48-I48)</f>
        <v/>
      </c>
      <c r="I48" s="24">
        <f>IF($D48="Actual",V48,IFERROR(J48*AD48,0))</f>
        <v/>
      </c>
      <c r="J48" s="24">
        <f>IF($D48="Actual",U48+V48,E48*X48)</f>
        <v/>
      </c>
      <c r="K48" s="28">
        <f>IFERROR(F48/G48,0)</f>
        <v/>
      </c>
      <c r="L48" s="29">
        <f>IFERROR(H48/G48,0)</f>
        <v/>
      </c>
      <c r="M48" s="30">
        <f>IFERROR(J48/F48,0)</f>
        <v/>
      </c>
      <c r="N48" s="10">
        <f>IFERROR(J48/E48,0)</f>
        <v/>
      </c>
      <c r="O48" s="10">
        <f>IFERROR(I48/J48,0)</f>
        <v/>
      </c>
      <c r="R48" s="42">
        <f>IF($D48="Actual",SUMIFS(Data_Actuals!$C$2:$C$5000,Data_Actuals!$A$2:$A$5000,$A48,Data_Actuals!$B$2:$B$5000,$B$2),"")</f>
        <v/>
      </c>
      <c r="S48" s="42">
        <f>IF($D48="Actual",SUMIFS(Data_Actuals!$D$2:$D$5000,Data_Actuals!$A$2:$A$5000,$A48,Data_Actuals!$B$2:$B$5000,$B$2),"")</f>
        <v/>
      </c>
      <c r="T48" s="42">
        <f>IF($D48="Actual",SUMIFS(Data_Actuals!$E$2:$E$5000,Data_Actuals!$A$2:$A$5000,$A48,Data_Actuals!$B$2:$B$5000,$B$2),"")</f>
        <v/>
      </c>
      <c r="U48" s="42">
        <f>IF($D48="Actual",SUMIFS(Data_Actuals!$F$2:$F$5000,Data_Actuals!$A$2:$A$5000,$A48,Data_Actuals!$B$2:$B$5000,$B$2),"")</f>
        <v/>
      </c>
      <c r="V48" s="42">
        <f>IF($D48="Actual",SUMIFS(Data_Actuals!$G$2:$G$5000,Data_Actuals!$A$2:$A$5000,$A48,Data_Actuals!$B$2:$B$5000,$B$2),"")</f>
        <v/>
      </c>
      <c r="W48" s="42">
        <f>SUMIFS(Plan_Inputs!$C$2:$C$5000,Plan_Inputs!$A$2:$A$5000,$A48,Plan_Inputs!$B$2:$B$5000,$B$2)</f>
        <v/>
      </c>
      <c r="X48" s="43">
        <f>SUMIFS(Plan_Inputs!$D$2:$D$5000,Plan_Inputs!$A$2:$A$5000,$A48,Plan_Inputs!$B$2:$B$5000,$B$2)</f>
        <v/>
      </c>
      <c r="Y48" s="42">
        <f>E48</f>
        <v/>
      </c>
      <c r="Z48" s="44">
        <f>INDEX(Calendar!$H$5:$L$52,MATCH($A48,Calendar!$A$5:$A$52,0),MATCH($D$2,Calendar!$H$4:$L$4,0))</f>
        <v/>
      </c>
      <c r="AA48" s="44">
        <f>INDEX(Calendar!$M$5:$M$52,MATCH($A48,Calendar!$A$5:$A$52,0))</f>
        <v/>
      </c>
      <c r="AB48" s="45">
        <f>IF($D48="Actual",IFERROR(S48/Y48,""),AB36)</f>
        <v/>
      </c>
      <c r="AC48" s="46">
        <f>IF($D48="Actual",IFERROR(U48/T48/Z48/AA48,""),AC36)</f>
        <v/>
      </c>
      <c r="AD48" s="43">
        <f>IF($D48="Actual",IFERROR(V48/(U48+V48),""),AD36)</f>
        <v/>
      </c>
      <c r="AE48" s="46">
        <f>IFERROR(AC48*Z48*AA48,"")</f>
        <v/>
      </c>
      <c r="AF48" s="47">
        <f>K36</f>
        <v/>
      </c>
      <c r="AG48" s="43">
        <f>IF($D48="Forecast",IFERROR(K48/AF48-1,""),"")</f>
        <v/>
      </c>
    </row>
    <row r="49">
      <c r="A49" s="8" t="n">
        <v>46692</v>
      </c>
      <c r="B49" s="26">
        <f>YEAR(A49)</f>
        <v/>
      </c>
      <c r="C49" s="26">
        <f>MONTH(A49)</f>
        <v/>
      </c>
      <c r="D49">
        <f>IF(A49&lt;=LastActual,"Actual","Forecast")</f>
        <v/>
      </c>
      <c r="E49" s="24">
        <f>IF($D49="Actual",R49,W49)</f>
        <v/>
      </c>
      <c r="F49" s="27">
        <f>IF($D49="Actual",S49,Cases_Forecast!AM42)</f>
        <v/>
      </c>
      <c r="G49" s="9">
        <f>IF($D49="Actual",T49,IFERROR(H49/AE49,0))</f>
        <v/>
      </c>
      <c r="H49" s="24">
        <f>IF($D49="Actual",U49,J49-I49)</f>
        <v/>
      </c>
      <c r="I49" s="24">
        <f>IF($D49="Actual",V49,IFERROR(J49*AD49,0))</f>
        <v/>
      </c>
      <c r="J49" s="24">
        <f>IF($D49="Actual",U49+V49,E49*X49)</f>
        <v/>
      </c>
      <c r="K49" s="28">
        <f>IFERROR(F49/G49,0)</f>
        <v/>
      </c>
      <c r="L49" s="29">
        <f>IFERROR(H49/G49,0)</f>
        <v/>
      </c>
      <c r="M49" s="30">
        <f>IFERROR(J49/F49,0)</f>
        <v/>
      </c>
      <c r="N49" s="10">
        <f>IFERROR(J49/E49,0)</f>
        <v/>
      </c>
      <c r="O49" s="10">
        <f>IFERROR(I49/J49,0)</f>
        <v/>
      </c>
      <c r="R49" s="42">
        <f>IF($D49="Actual",SUMIFS(Data_Actuals!$C$2:$C$5000,Data_Actuals!$A$2:$A$5000,$A49,Data_Actuals!$B$2:$B$5000,$B$2),"")</f>
        <v/>
      </c>
      <c r="S49" s="42">
        <f>IF($D49="Actual",SUMIFS(Data_Actuals!$D$2:$D$5000,Data_Actuals!$A$2:$A$5000,$A49,Data_Actuals!$B$2:$B$5000,$B$2),"")</f>
        <v/>
      </c>
      <c r="T49" s="42">
        <f>IF($D49="Actual",SUMIFS(Data_Actuals!$E$2:$E$5000,Data_Actuals!$A$2:$A$5000,$A49,Data_Actuals!$B$2:$B$5000,$B$2),"")</f>
        <v/>
      </c>
      <c r="U49" s="42">
        <f>IF($D49="Actual",SUMIFS(Data_Actuals!$F$2:$F$5000,Data_Actuals!$A$2:$A$5000,$A49,Data_Actuals!$B$2:$B$5000,$B$2),"")</f>
        <v/>
      </c>
      <c r="V49" s="42">
        <f>IF($D49="Actual",SUMIFS(Data_Actuals!$G$2:$G$5000,Data_Actuals!$A$2:$A$5000,$A49,Data_Actuals!$B$2:$B$5000,$B$2),"")</f>
        <v/>
      </c>
      <c r="W49" s="42">
        <f>SUMIFS(Plan_Inputs!$C$2:$C$5000,Plan_Inputs!$A$2:$A$5000,$A49,Plan_Inputs!$B$2:$B$5000,$B$2)</f>
        <v/>
      </c>
      <c r="X49" s="43">
        <f>SUMIFS(Plan_Inputs!$D$2:$D$5000,Plan_Inputs!$A$2:$A$5000,$A49,Plan_Inputs!$B$2:$B$5000,$B$2)</f>
        <v/>
      </c>
      <c r="Y49" s="42">
        <f>E49</f>
        <v/>
      </c>
      <c r="Z49" s="44">
        <f>INDEX(Calendar!$H$5:$L$52,MATCH($A49,Calendar!$A$5:$A$52,0),MATCH($D$2,Calendar!$H$4:$L$4,0))</f>
        <v/>
      </c>
      <c r="AA49" s="44">
        <f>INDEX(Calendar!$M$5:$M$52,MATCH($A49,Calendar!$A$5:$A$52,0))</f>
        <v/>
      </c>
      <c r="AB49" s="45">
        <f>IF($D49="Actual",IFERROR(S49/Y49,""),AB37)</f>
        <v/>
      </c>
      <c r="AC49" s="46">
        <f>IF($D49="Actual",IFERROR(U49/T49/Z49/AA49,""),AC37)</f>
        <v/>
      </c>
      <c r="AD49" s="43">
        <f>IF($D49="Actual",IFERROR(V49/(U49+V49),""),AD37)</f>
        <v/>
      </c>
      <c r="AE49" s="46">
        <f>IFERROR(AC49*Z49*AA49,"")</f>
        <v/>
      </c>
      <c r="AF49" s="47">
        <f>K37</f>
        <v/>
      </c>
      <c r="AG49" s="43">
        <f>IF($D49="Forecast",IFERROR(K49/AF49-1,""),"")</f>
        <v/>
      </c>
    </row>
    <row r="50">
      <c r="A50" s="31" t="n">
        <v>46722</v>
      </c>
      <c r="B50" s="32">
        <f>YEAR(A50)</f>
        <v/>
      </c>
      <c r="C50" s="32">
        <f>MONTH(A50)</f>
        <v/>
      </c>
      <c r="D50" s="33">
        <f>IF(A50&lt;=LastActual,"Actual","Forecast")</f>
        <v/>
      </c>
      <c r="E50" s="34">
        <f>IF($D50="Actual",R50,W50)</f>
        <v/>
      </c>
      <c r="F50" s="35">
        <f>IF($D50="Actual",S50,Cases_Forecast!AM43)</f>
        <v/>
      </c>
      <c r="G50" s="36">
        <f>IF($D50="Actual",T50,IFERROR(H50/AE50,0))</f>
        <v/>
      </c>
      <c r="H50" s="34">
        <f>IF($D50="Actual",U50,J50-I50)</f>
        <v/>
      </c>
      <c r="I50" s="34">
        <f>IF($D50="Actual",V50,IFERROR(J50*AD50,0))</f>
        <v/>
      </c>
      <c r="J50" s="34">
        <f>IF($D50="Actual",U50+V50,E50*X50)</f>
        <v/>
      </c>
      <c r="K50" s="37">
        <f>IFERROR(F50/G50,0)</f>
        <v/>
      </c>
      <c r="L50" s="38">
        <f>IFERROR(H50/G50,0)</f>
        <v/>
      </c>
      <c r="M50" s="39">
        <f>IFERROR(J50/F50,0)</f>
        <v/>
      </c>
      <c r="N50" s="40">
        <f>IFERROR(J50/E50,0)</f>
        <v/>
      </c>
      <c r="O50" s="40">
        <f>IFERROR(I50/J50,0)</f>
        <v/>
      </c>
      <c r="R50" s="42">
        <f>IF($D50="Actual",SUMIFS(Data_Actuals!$C$2:$C$5000,Data_Actuals!$A$2:$A$5000,$A50,Data_Actuals!$B$2:$B$5000,$B$2),"")</f>
        <v/>
      </c>
      <c r="S50" s="42">
        <f>IF($D50="Actual",SUMIFS(Data_Actuals!$D$2:$D$5000,Data_Actuals!$A$2:$A$5000,$A50,Data_Actuals!$B$2:$B$5000,$B$2),"")</f>
        <v/>
      </c>
      <c r="T50" s="42">
        <f>IF($D50="Actual",SUMIFS(Data_Actuals!$E$2:$E$5000,Data_Actuals!$A$2:$A$5000,$A50,Data_Actuals!$B$2:$B$5000,$B$2),"")</f>
        <v/>
      </c>
      <c r="U50" s="42">
        <f>IF($D50="Actual",SUMIFS(Data_Actuals!$F$2:$F$5000,Data_Actuals!$A$2:$A$5000,$A50,Data_Actuals!$B$2:$B$5000,$B$2),"")</f>
        <v/>
      </c>
      <c r="V50" s="42">
        <f>IF($D50="Actual",SUMIFS(Data_Actuals!$G$2:$G$5000,Data_Actuals!$A$2:$A$5000,$A50,Data_Actuals!$B$2:$B$5000,$B$2),"")</f>
        <v/>
      </c>
      <c r="W50" s="42">
        <f>SUMIFS(Plan_Inputs!$C$2:$C$5000,Plan_Inputs!$A$2:$A$5000,$A50,Plan_Inputs!$B$2:$B$5000,$B$2)</f>
        <v/>
      </c>
      <c r="X50" s="43">
        <f>SUMIFS(Plan_Inputs!$D$2:$D$5000,Plan_Inputs!$A$2:$A$5000,$A50,Plan_Inputs!$B$2:$B$5000,$B$2)</f>
        <v/>
      </c>
      <c r="Y50" s="42">
        <f>E50</f>
        <v/>
      </c>
      <c r="Z50" s="44">
        <f>INDEX(Calendar!$H$5:$L$52,MATCH($A50,Calendar!$A$5:$A$52,0),MATCH($D$2,Calendar!$H$4:$L$4,0))</f>
        <v/>
      </c>
      <c r="AA50" s="44">
        <f>INDEX(Calendar!$M$5:$M$52,MATCH($A50,Calendar!$A$5:$A$52,0))</f>
        <v/>
      </c>
      <c r="AB50" s="45">
        <f>IF($D50="Actual",IFERROR(S50/Y50,""),AB38)</f>
        <v/>
      </c>
      <c r="AC50" s="46">
        <f>IF($D50="Actual",IFERROR(U50/T50/Z50/AA50,""),AC38)</f>
        <v/>
      </c>
      <c r="AD50" s="43">
        <f>IF($D50="Actual",IFERROR(V50/(U50+V50),""),AD38)</f>
        <v/>
      </c>
      <c r="AE50" s="46">
        <f>IFERROR(AC50*Z50*AA50,"")</f>
        <v/>
      </c>
      <c r="AF50" s="47">
        <f>K38</f>
        <v/>
      </c>
      <c r="AG50" s="43">
        <f>IF($D50="Forecast",IFERROR(K50/AF50-1,""),"")</f>
        <v/>
      </c>
    </row>
    <row r="51">
      <c r="A51" s="8" t="n">
        <v>46753</v>
      </c>
      <c r="B51" s="26">
        <f>YEAR(A51)</f>
        <v/>
      </c>
      <c r="C51" s="26">
        <f>MONTH(A51)</f>
        <v/>
      </c>
      <c r="D51">
        <f>IF(A51&lt;=LastActual,"Actual","Forecast")</f>
        <v/>
      </c>
      <c r="E51" s="24">
        <f>IF($D51="Actual",R51,W51)</f>
        <v/>
      </c>
      <c r="F51" s="27">
        <f>IF($D51="Actual",S51,Cases_Forecast!AM44)</f>
        <v/>
      </c>
      <c r="G51" s="9">
        <f>IF($D51="Actual",T51,IFERROR(H51/AE51,0))</f>
        <v/>
      </c>
      <c r="H51" s="24">
        <f>IF($D51="Actual",U51,J51-I51)</f>
        <v/>
      </c>
      <c r="I51" s="24">
        <f>IF($D51="Actual",V51,IFERROR(J51*AD51,0))</f>
        <v/>
      </c>
      <c r="J51" s="24">
        <f>IF($D51="Actual",U51+V51,E51*X51)</f>
        <v/>
      </c>
      <c r="K51" s="28">
        <f>IFERROR(F51/G51,0)</f>
        <v/>
      </c>
      <c r="L51" s="29">
        <f>IFERROR(H51/G51,0)</f>
        <v/>
      </c>
      <c r="M51" s="30">
        <f>IFERROR(J51/F51,0)</f>
        <v/>
      </c>
      <c r="N51" s="10">
        <f>IFERROR(J51/E51,0)</f>
        <v/>
      </c>
      <c r="O51" s="10">
        <f>IFERROR(I51/J51,0)</f>
        <v/>
      </c>
      <c r="R51" s="42">
        <f>IF($D51="Actual",SUMIFS(Data_Actuals!$C$2:$C$5000,Data_Actuals!$A$2:$A$5000,$A51,Data_Actuals!$B$2:$B$5000,$B$2),"")</f>
        <v/>
      </c>
      <c r="S51" s="42">
        <f>IF($D51="Actual",SUMIFS(Data_Actuals!$D$2:$D$5000,Data_Actuals!$A$2:$A$5000,$A51,Data_Actuals!$B$2:$B$5000,$B$2),"")</f>
        <v/>
      </c>
      <c r="T51" s="42">
        <f>IF($D51="Actual",SUMIFS(Data_Actuals!$E$2:$E$5000,Data_Actuals!$A$2:$A$5000,$A51,Data_Actuals!$B$2:$B$5000,$B$2),"")</f>
        <v/>
      </c>
      <c r="U51" s="42">
        <f>IF($D51="Actual",SUMIFS(Data_Actuals!$F$2:$F$5000,Data_Actuals!$A$2:$A$5000,$A51,Data_Actuals!$B$2:$B$5000,$B$2),"")</f>
        <v/>
      </c>
      <c r="V51" s="42">
        <f>IF($D51="Actual",SUMIFS(Data_Actuals!$G$2:$G$5000,Data_Actuals!$A$2:$A$5000,$A51,Data_Actuals!$B$2:$B$5000,$B$2),"")</f>
        <v/>
      </c>
      <c r="W51" s="42">
        <f>SUMIFS(Plan_Inputs!$C$2:$C$5000,Plan_Inputs!$A$2:$A$5000,$A51,Plan_Inputs!$B$2:$B$5000,$B$2)</f>
        <v/>
      </c>
      <c r="X51" s="43">
        <f>SUMIFS(Plan_Inputs!$D$2:$D$5000,Plan_Inputs!$A$2:$A$5000,$A51,Plan_Inputs!$B$2:$B$5000,$B$2)</f>
        <v/>
      </c>
      <c r="Y51" s="42">
        <f>E51</f>
        <v/>
      </c>
      <c r="Z51" s="44">
        <f>INDEX(Calendar!$H$5:$L$52,MATCH($A51,Calendar!$A$5:$A$52,0),MATCH($D$2,Calendar!$H$4:$L$4,0))</f>
        <v/>
      </c>
      <c r="AA51" s="44">
        <f>INDEX(Calendar!$M$5:$M$52,MATCH($A51,Calendar!$A$5:$A$52,0))</f>
        <v/>
      </c>
      <c r="AB51" s="45">
        <f>IF($D51="Actual",IFERROR(S51/Y51,""),AB39)</f>
        <v/>
      </c>
      <c r="AC51" s="46">
        <f>IF($D51="Actual",IFERROR(U51/T51/Z51/AA51,""),AC39)</f>
        <v/>
      </c>
      <c r="AD51" s="43">
        <f>IF($D51="Actual",IFERROR(V51/(U51+V51),""),AD39)</f>
        <v/>
      </c>
      <c r="AE51" s="46">
        <f>IFERROR(AC51*Z51*AA51,"")</f>
        <v/>
      </c>
      <c r="AF51" s="47">
        <f>K39</f>
        <v/>
      </c>
      <c r="AG51" s="43">
        <f>IF($D51="Forecast",IFERROR(K51/AF51-1,""),"")</f>
        <v/>
      </c>
    </row>
    <row r="52">
      <c r="A52" s="8" t="n">
        <v>46784</v>
      </c>
      <c r="B52" s="26">
        <f>YEAR(A52)</f>
        <v/>
      </c>
      <c r="C52" s="26">
        <f>MONTH(A52)</f>
        <v/>
      </c>
      <c r="D52">
        <f>IF(A52&lt;=LastActual,"Actual","Forecast")</f>
        <v/>
      </c>
      <c r="E52" s="24">
        <f>IF($D52="Actual",R52,W52)</f>
        <v/>
      </c>
      <c r="F52" s="27">
        <f>IF($D52="Actual",S52,Cases_Forecast!AM45)</f>
        <v/>
      </c>
      <c r="G52" s="9">
        <f>IF($D52="Actual",T52,IFERROR(H52/AE52,0))</f>
        <v/>
      </c>
      <c r="H52" s="24">
        <f>IF($D52="Actual",U52,J52-I52)</f>
        <v/>
      </c>
      <c r="I52" s="24">
        <f>IF($D52="Actual",V52,IFERROR(J52*AD52,0))</f>
        <v/>
      </c>
      <c r="J52" s="24">
        <f>IF($D52="Actual",U52+V52,E52*X52)</f>
        <v/>
      </c>
      <c r="K52" s="28">
        <f>IFERROR(F52/G52,0)</f>
        <v/>
      </c>
      <c r="L52" s="29">
        <f>IFERROR(H52/G52,0)</f>
        <v/>
      </c>
      <c r="M52" s="30">
        <f>IFERROR(J52/F52,0)</f>
        <v/>
      </c>
      <c r="N52" s="10">
        <f>IFERROR(J52/E52,0)</f>
        <v/>
      </c>
      <c r="O52" s="10">
        <f>IFERROR(I52/J52,0)</f>
        <v/>
      </c>
      <c r="R52" s="42">
        <f>IF($D52="Actual",SUMIFS(Data_Actuals!$C$2:$C$5000,Data_Actuals!$A$2:$A$5000,$A52,Data_Actuals!$B$2:$B$5000,$B$2),"")</f>
        <v/>
      </c>
      <c r="S52" s="42">
        <f>IF($D52="Actual",SUMIFS(Data_Actuals!$D$2:$D$5000,Data_Actuals!$A$2:$A$5000,$A52,Data_Actuals!$B$2:$B$5000,$B$2),"")</f>
        <v/>
      </c>
      <c r="T52" s="42">
        <f>IF($D52="Actual",SUMIFS(Data_Actuals!$E$2:$E$5000,Data_Actuals!$A$2:$A$5000,$A52,Data_Actuals!$B$2:$B$5000,$B$2),"")</f>
        <v/>
      </c>
      <c r="U52" s="42">
        <f>IF($D52="Actual",SUMIFS(Data_Actuals!$F$2:$F$5000,Data_Actuals!$A$2:$A$5000,$A52,Data_Actuals!$B$2:$B$5000,$B$2),"")</f>
        <v/>
      </c>
      <c r="V52" s="42">
        <f>IF($D52="Actual",SUMIFS(Data_Actuals!$G$2:$G$5000,Data_Actuals!$A$2:$A$5000,$A52,Data_Actuals!$B$2:$B$5000,$B$2),"")</f>
        <v/>
      </c>
      <c r="W52" s="42">
        <f>SUMIFS(Plan_Inputs!$C$2:$C$5000,Plan_Inputs!$A$2:$A$5000,$A52,Plan_Inputs!$B$2:$B$5000,$B$2)</f>
        <v/>
      </c>
      <c r="X52" s="43">
        <f>SUMIFS(Plan_Inputs!$D$2:$D$5000,Plan_Inputs!$A$2:$A$5000,$A52,Plan_Inputs!$B$2:$B$5000,$B$2)</f>
        <v/>
      </c>
      <c r="Y52" s="42">
        <f>E52</f>
        <v/>
      </c>
      <c r="Z52" s="44">
        <f>INDEX(Calendar!$H$5:$L$52,MATCH($A52,Calendar!$A$5:$A$52,0),MATCH($D$2,Calendar!$H$4:$L$4,0))</f>
        <v/>
      </c>
      <c r="AA52" s="44">
        <f>INDEX(Calendar!$M$5:$M$52,MATCH($A52,Calendar!$A$5:$A$52,0))</f>
        <v/>
      </c>
      <c r="AB52" s="45">
        <f>IF($D52="Actual",IFERROR(S52/Y52,""),AB40)</f>
        <v/>
      </c>
      <c r="AC52" s="46">
        <f>IF($D52="Actual",IFERROR(U52/T52/Z52/AA52,""),AC40)</f>
        <v/>
      </c>
      <c r="AD52" s="43">
        <f>IF($D52="Actual",IFERROR(V52/(U52+V52),""),AD40)</f>
        <v/>
      </c>
      <c r="AE52" s="46">
        <f>IFERROR(AC52*Z52*AA52,"")</f>
        <v/>
      </c>
      <c r="AF52" s="47">
        <f>K40</f>
        <v/>
      </c>
      <c r="AG52" s="43">
        <f>IF($D52="Forecast",IFERROR(K52/AF52-1,""),"")</f>
        <v/>
      </c>
    </row>
    <row r="53">
      <c r="A53" s="8" t="n">
        <v>46813</v>
      </c>
      <c r="B53" s="26">
        <f>YEAR(A53)</f>
        <v/>
      </c>
      <c r="C53" s="26">
        <f>MONTH(A53)</f>
        <v/>
      </c>
      <c r="D53">
        <f>IF(A53&lt;=LastActual,"Actual","Forecast")</f>
        <v/>
      </c>
      <c r="E53" s="24">
        <f>IF($D53="Actual",R53,W53)</f>
        <v/>
      </c>
      <c r="F53" s="27">
        <f>IF($D53="Actual",S53,Cases_Forecast!AM46)</f>
        <v/>
      </c>
      <c r="G53" s="9">
        <f>IF($D53="Actual",T53,IFERROR(H53/AE53,0))</f>
        <v/>
      </c>
      <c r="H53" s="24">
        <f>IF($D53="Actual",U53,J53-I53)</f>
        <v/>
      </c>
      <c r="I53" s="24">
        <f>IF($D53="Actual",V53,IFERROR(J53*AD53,0))</f>
        <v/>
      </c>
      <c r="J53" s="24">
        <f>IF($D53="Actual",U53+V53,E53*X53)</f>
        <v/>
      </c>
      <c r="K53" s="28">
        <f>IFERROR(F53/G53,0)</f>
        <v/>
      </c>
      <c r="L53" s="29">
        <f>IFERROR(H53/G53,0)</f>
        <v/>
      </c>
      <c r="M53" s="30">
        <f>IFERROR(J53/F53,0)</f>
        <v/>
      </c>
      <c r="N53" s="10">
        <f>IFERROR(J53/E53,0)</f>
        <v/>
      </c>
      <c r="O53" s="10">
        <f>IFERROR(I53/J53,0)</f>
        <v/>
      </c>
      <c r="R53" s="42">
        <f>IF($D53="Actual",SUMIFS(Data_Actuals!$C$2:$C$5000,Data_Actuals!$A$2:$A$5000,$A53,Data_Actuals!$B$2:$B$5000,$B$2),"")</f>
        <v/>
      </c>
      <c r="S53" s="42">
        <f>IF($D53="Actual",SUMIFS(Data_Actuals!$D$2:$D$5000,Data_Actuals!$A$2:$A$5000,$A53,Data_Actuals!$B$2:$B$5000,$B$2),"")</f>
        <v/>
      </c>
      <c r="T53" s="42">
        <f>IF($D53="Actual",SUMIFS(Data_Actuals!$E$2:$E$5000,Data_Actuals!$A$2:$A$5000,$A53,Data_Actuals!$B$2:$B$5000,$B$2),"")</f>
        <v/>
      </c>
      <c r="U53" s="42">
        <f>IF($D53="Actual",SUMIFS(Data_Actuals!$F$2:$F$5000,Data_Actuals!$A$2:$A$5000,$A53,Data_Actuals!$B$2:$B$5000,$B$2),"")</f>
        <v/>
      </c>
      <c r="V53" s="42">
        <f>IF($D53="Actual",SUMIFS(Data_Actuals!$G$2:$G$5000,Data_Actuals!$A$2:$A$5000,$A53,Data_Actuals!$B$2:$B$5000,$B$2),"")</f>
        <v/>
      </c>
      <c r="W53" s="42">
        <f>SUMIFS(Plan_Inputs!$C$2:$C$5000,Plan_Inputs!$A$2:$A$5000,$A53,Plan_Inputs!$B$2:$B$5000,$B$2)</f>
        <v/>
      </c>
      <c r="X53" s="43">
        <f>SUMIFS(Plan_Inputs!$D$2:$D$5000,Plan_Inputs!$A$2:$A$5000,$A53,Plan_Inputs!$B$2:$B$5000,$B$2)</f>
        <v/>
      </c>
      <c r="Y53" s="42">
        <f>E53</f>
        <v/>
      </c>
      <c r="Z53" s="44">
        <f>INDEX(Calendar!$H$5:$L$52,MATCH($A53,Calendar!$A$5:$A$52,0),MATCH($D$2,Calendar!$H$4:$L$4,0))</f>
        <v/>
      </c>
      <c r="AA53" s="44">
        <f>INDEX(Calendar!$M$5:$M$52,MATCH($A53,Calendar!$A$5:$A$52,0))</f>
        <v/>
      </c>
      <c r="AB53" s="45">
        <f>IF($D53="Actual",IFERROR(S53/Y53,""),AB41)</f>
        <v/>
      </c>
      <c r="AC53" s="46">
        <f>IF($D53="Actual",IFERROR(U53/T53/Z53/AA53,""),AC41)</f>
        <v/>
      </c>
      <c r="AD53" s="43">
        <f>IF($D53="Actual",IFERROR(V53/(U53+V53),""),AD41)</f>
        <v/>
      </c>
      <c r="AE53" s="46">
        <f>IFERROR(AC53*Z53*AA53,"")</f>
        <v/>
      </c>
      <c r="AF53" s="47">
        <f>K41</f>
        <v/>
      </c>
      <c r="AG53" s="43">
        <f>IF($D53="Forecast",IFERROR(K53/AF53-1,""),"")</f>
        <v/>
      </c>
    </row>
    <row r="54">
      <c r="A54" s="8" t="n">
        <v>46844</v>
      </c>
      <c r="B54" s="26">
        <f>YEAR(A54)</f>
        <v/>
      </c>
      <c r="C54" s="26">
        <f>MONTH(A54)</f>
        <v/>
      </c>
      <c r="D54">
        <f>IF(A54&lt;=LastActual,"Actual","Forecast")</f>
        <v/>
      </c>
      <c r="E54" s="24">
        <f>IF($D54="Actual",R54,W54)</f>
        <v/>
      </c>
      <c r="F54" s="27">
        <f>IF($D54="Actual",S54,Cases_Forecast!AM47)</f>
        <v/>
      </c>
      <c r="G54" s="9">
        <f>IF($D54="Actual",T54,IFERROR(H54/AE54,0))</f>
        <v/>
      </c>
      <c r="H54" s="24">
        <f>IF($D54="Actual",U54,J54-I54)</f>
        <v/>
      </c>
      <c r="I54" s="24">
        <f>IF($D54="Actual",V54,IFERROR(J54*AD54,0))</f>
        <v/>
      </c>
      <c r="J54" s="24">
        <f>IF($D54="Actual",U54+V54,E54*X54)</f>
        <v/>
      </c>
      <c r="K54" s="28">
        <f>IFERROR(F54/G54,0)</f>
        <v/>
      </c>
      <c r="L54" s="29">
        <f>IFERROR(H54/G54,0)</f>
        <v/>
      </c>
      <c r="M54" s="30">
        <f>IFERROR(J54/F54,0)</f>
        <v/>
      </c>
      <c r="N54" s="10">
        <f>IFERROR(J54/E54,0)</f>
        <v/>
      </c>
      <c r="O54" s="10">
        <f>IFERROR(I54/J54,0)</f>
        <v/>
      </c>
      <c r="R54" s="42">
        <f>IF($D54="Actual",SUMIFS(Data_Actuals!$C$2:$C$5000,Data_Actuals!$A$2:$A$5000,$A54,Data_Actuals!$B$2:$B$5000,$B$2),"")</f>
        <v/>
      </c>
      <c r="S54" s="42">
        <f>IF($D54="Actual",SUMIFS(Data_Actuals!$D$2:$D$5000,Data_Actuals!$A$2:$A$5000,$A54,Data_Actuals!$B$2:$B$5000,$B$2),"")</f>
        <v/>
      </c>
      <c r="T54" s="42">
        <f>IF($D54="Actual",SUMIFS(Data_Actuals!$E$2:$E$5000,Data_Actuals!$A$2:$A$5000,$A54,Data_Actuals!$B$2:$B$5000,$B$2),"")</f>
        <v/>
      </c>
      <c r="U54" s="42">
        <f>IF($D54="Actual",SUMIFS(Data_Actuals!$F$2:$F$5000,Data_Actuals!$A$2:$A$5000,$A54,Data_Actuals!$B$2:$B$5000,$B$2),"")</f>
        <v/>
      </c>
      <c r="V54" s="42">
        <f>IF($D54="Actual",SUMIFS(Data_Actuals!$G$2:$G$5000,Data_Actuals!$A$2:$A$5000,$A54,Data_Actuals!$B$2:$B$5000,$B$2),"")</f>
        <v/>
      </c>
      <c r="W54" s="42">
        <f>SUMIFS(Plan_Inputs!$C$2:$C$5000,Plan_Inputs!$A$2:$A$5000,$A54,Plan_Inputs!$B$2:$B$5000,$B$2)</f>
        <v/>
      </c>
      <c r="X54" s="43">
        <f>SUMIFS(Plan_Inputs!$D$2:$D$5000,Plan_Inputs!$A$2:$A$5000,$A54,Plan_Inputs!$B$2:$B$5000,$B$2)</f>
        <v/>
      </c>
      <c r="Y54" s="42">
        <f>E54</f>
        <v/>
      </c>
      <c r="Z54" s="44">
        <f>INDEX(Calendar!$H$5:$L$52,MATCH($A54,Calendar!$A$5:$A$52,0),MATCH($D$2,Calendar!$H$4:$L$4,0))</f>
        <v/>
      </c>
      <c r="AA54" s="44">
        <f>INDEX(Calendar!$M$5:$M$52,MATCH($A54,Calendar!$A$5:$A$52,0))</f>
        <v/>
      </c>
      <c r="AB54" s="45">
        <f>IF($D54="Actual",IFERROR(S54/Y54,""),AB42)</f>
        <v/>
      </c>
      <c r="AC54" s="46">
        <f>IF($D54="Actual",IFERROR(U54/T54/Z54/AA54,""),AC42)</f>
        <v/>
      </c>
      <c r="AD54" s="43">
        <f>IF($D54="Actual",IFERROR(V54/(U54+V54),""),AD42)</f>
        <v/>
      </c>
      <c r="AE54" s="46">
        <f>IFERROR(AC54*Z54*AA54,"")</f>
        <v/>
      </c>
      <c r="AF54" s="47">
        <f>K42</f>
        <v/>
      </c>
      <c r="AG54" s="43">
        <f>IF($D54="Forecast",IFERROR(K54/AF54-1,""),"")</f>
        <v/>
      </c>
    </row>
    <row r="55">
      <c r="A55" s="8" t="n">
        <v>46874</v>
      </c>
      <c r="B55" s="26">
        <f>YEAR(A55)</f>
        <v/>
      </c>
      <c r="C55" s="26">
        <f>MONTH(A55)</f>
        <v/>
      </c>
      <c r="D55">
        <f>IF(A55&lt;=LastActual,"Actual","Forecast")</f>
        <v/>
      </c>
      <c r="E55" s="24">
        <f>IF($D55="Actual",R55,W55)</f>
        <v/>
      </c>
      <c r="F55" s="27">
        <f>IF($D55="Actual",S55,Cases_Forecast!AM48)</f>
        <v/>
      </c>
      <c r="G55" s="9">
        <f>IF($D55="Actual",T55,IFERROR(H55/AE55,0))</f>
        <v/>
      </c>
      <c r="H55" s="24">
        <f>IF($D55="Actual",U55,J55-I55)</f>
        <v/>
      </c>
      <c r="I55" s="24">
        <f>IF($D55="Actual",V55,IFERROR(J55*AD55,0))</f>
        <v/>
      </c>
      <c r="J55" s="24">
        <f>IF($D55="Actual",U55+V55,E55*X55)</f>
        <v/>
      </c>
      <c r="K55" s="28">
        <f>IFERROR(F55/G55,0)</f>
        <v/>
      </c>
      <c r="L55" s="29">
        <f>IFERROR(H55/G55,0)</f>
        <v/>
      </c>
      <c r="M55" s="30">
        <f>IFERROR(J55/F55,0)</f>
        <v/>
      </c>
      <c r="N55" s="10">
        <f>IFERROR(J55/E55,0)</f>
        <v/>
      </c>
      <c r="O55" s="10">
        <f>IFERROR(I55/J55,0)</f>
        <v/>
      </c>
      <c r="R55" s="42">
        <f>IF($D55="Actual",SUMIFS(Data_Actuals!$C$2:$C$5000,Data_Actuals!$A$2:$A$5000,$A55,Data_Actuals!$B$2:$B$5000,$B$2),"")</f>
        <v/>
      </c>
      <c r="S55" s="42">
        <f>IF($D55="Actual",SUMIFS(Data_Actuals!$D$2:$D$5000,Data_Actuals!$A$2:$A$5000,$A55,Data_Actuals!$B$2:$B$5000,$B$2),"")</f>
        <v/>
      </c>
      <c r="T55" s="42">
        <f>IF($D55="Actual",SUMIFS(Data_Actuals!$E$2:$E$5000,Data_Actuals!$A$2:$A$5000,$A55,Data_Actuals!$B$2:$B$5000,$B$2),"")</f>
        <v/>
      </c>
      <c r="U55" s="42">
        <f>IF($D55="Actual",SUMIFS(Data_Actuals!$F$2:$F$5000,Data_Actuals!$A$2:$A$5000,$A55,Data_Actuals!$B$2:$B$5000,$B$2),"")</f>
        <v/>
      </c>
      <c r="V55" s="42">
        <f>IF($D55="Actual",SUMIFS(Data_Actuals!$G$2:$G$5000,Data_Actuals!$A$2:$A$5000,$A55,Data_Actuals!$B$2:$B$5000,$B$2),"")</f>
        <v/>
      </c>
      <c r="W55" s="42">
        <f>SUMIFS(Plan_Inputs!$C$2:$C$5000,Plan_Inputs!$A$2:$A$5000,$A55,Plan_Inputs!$B$2:$B$5000,$B$2)</f>
        <v/>
      </c>
      <c r="X55" s="43">
        <f>SUMIFS(Plan_Inputs!$D$2:$D$5000,Plan_Inputs!$A$2:$A$5000,$A55,Plan_Inputs!$B$2:$B$5000,$B$2)</f>
        <v/>
      </c>
      <c r="Y55" s="42">
        <f>E55</f>
        <v/>
      </c>
      <c r="Z55" s="44">
        <f>INDEX(Calendar!$H$5:$L$52,MATCH($A55,Calendar!$A$5:$A$52,0),MATCH($D$2,Calendar!$H$4:$L$4,0))</f>
        <v/>
      </c>
      <c r="AA55" s="44">
        <f>INDEX(Calendar!$M$5:$M$52,MATCH($A55,Calendar!$A$5:$A$52,0))</f>
        <v/>
      </c>
      <c r="AB55" s="45">
        <f>IF($D55="Actual",IFERROR(S55/Y55,""),AB43)</f>
        <v/>
      </c>
      <c r="AC55" s="46">
        <f>IF($D55="Actual",IFERROR(U55/T55/Z55/AA55,""),AC43)</f>
        <v/>
      </c>
      <c r="AD55" s="43">
        <f>IF($D55="Actual",IFERROR(V55/(U55+V55),""),AD43)</f>
        <v/>
      </c>
      <c r="AE55" s="46">
        <f>IFERROR(AC55*Z55*AA55,"")</f>
        <v/>
      </c>
      <c r="AF55" s="47">
        <f>K43</f>
        <v/>
      </c>
      <c r="AG55" s="43">
        <f>IF($D55="Forecast",IFERROR(K55/AF55-1,""),"")</f>
        <v/>
      </c>
    </row>
    <row r="56">
      <c r="A56" s="8" t="n">
        <v>46905</v>
      </c>
      <c r="B56" s="26">
        <f>YEAR(A56)</f>
        <v/>
      </c>
      <c r="C56" s="26">
        <f>MONTH(A56)</f>
        <v/>
      </c>
      <c r="D56">
        <f>IF(A56&lt;=LastActual,"Actual","Forecast")</f>
        <v/>
      </c>
      <c r="E56" s="24">
        <f>IF($D56="Actual",R56,W56)</f>
        <v/>
      </c>
      <c r="F56" s="27">
        <f>IF($D56="Actual",S56,Cases_Forecast!AM49)</f>
        <v/>
      </c>
      <c r="G56" s="9">
        <f>IF($D56="Actual",T56,IFERROR(H56/AE56,0))</f>
        <v/>
      </c>
      <c r="H56" s="24">
        <f>IF($D56="Actual",U56,J56-I56)</f>
        <v/>
      </c>
      <c r="I56" s="24">
        <f>IF($D56="Actual",V56,IFERROR(J56*AD56,0))</f>
        <v/>
      </c>
      <c r="J56" s="24">
        <f>IF($D56="Actual",U56+V56,E56*X56)</f>
        <v/>
      </c>
      <c r="K56" s="28">
        <f>IFERROR(F56/G56,0)</f>
        <v/>
      </c>
      <c r="L56" s="29">
        <f>IFERROR(H56/G56,0)</f>
        <v/>
      </c>
      <c r="M56" s="30">
        <f>IFERROR(J56/F56,0)</f>
        <v/>
      </c>
      <c r="N56" s="10">
        <f>IFERROR(J56/E56,0)</f>
        <v/>
      </c>
      <c r="O56" s="10">
        <f>IFERROR(I56/J56,0)</f>
        <v/>
      </c>
      <c r="R56" s="42">
        <f>IF($D56="Actual",SUMIFS(Data_Actuals!$C$2:$C$5000,Data_Actuals!$A$2:$A$5000,$A56,Data_Actuals!$B$2:$B$5000,$B$2),"")</f>
        <v/>
      </c>
      <c r="S56" s="42">
        <f>IF($D56="Actual",SUMIFS(Data_Actuals!$D$2:$D$5000,Data_Actuals!$A$2:$A$5000,$A56,Data_Actuals!$B$2:$B$5000,$B$2),"")</f>
        <v/>
      </c>
      <c r="T56" s="42">
        <f>IF($D56="Actual",SUMIFS(Data_Actuals!$E$2:$E$5000,Data_Actuals!$A$2:$A$5000,$A56,Data_Actuals!$B$2:$B$5000,$B$2),"")</f>
        <v/>
      </c>
      <c r="U56" s="42">
        <f>IF($D56="Actual",SUMIFS(Data_Actuals!$F$2:$F$5000,Data_Actuals!$A$2:$A$5000,$A56,Data_Actuals!$B$2:$B$5000,$B$2),"")</f>
        <v/>
      </c>
      <c r="V56" s="42">
        <f>IF($D56="Actual",SUMIFS(Data_Actuals!$G$2:$G$5000,Data_Actuals!$A$2:$A$5000,$A56,Data_Actuals!$B$2:$B$5000,$B$2),"")</f>
        <v/>
      </c>
      <c r="W56" s="42">
        <f>SUMIFS(Plan_Inputs!$C$2:$C$5000,Plan_Inputs!$A$2:$A$5000,$A56,Plan_Inputs!$B$2:$B$5000,$B$2)</f>
        <v/>
      </c>
      <c r="X56" s="43">
        <f>SUMIFS(Plan_Inputs!$D$2:$D$5000,Plan_Inputs!$A$2:$A$5000,$A56,Plan_Inputs!$B$2:$B$5000,$B$2)</f>
        <v/>
      </c>
      <c r="Y56" s="42">
        <f>E56</f>
        <v/>
      </c>
      <c r="Z56" s="44">
        <f>INDEX(Calendar!$H$5:$L$52,MATCH($A56,Calendar!$A$5:$A$52,0),MATCH($D$2,Calendar!$H$4:$L$4,0))</f>
        <v/>
      </c>
      <c r="AA56" s="44">
        <f>INDEX(Calendar!$M$5:$M$52,MATCH($A56,Calendar!$A$5:$A$52,0))</f>
        <v/>
      </c>
      <c r="AB56" s="45">
        <f>IF($D56="Actual",IFERROR(S56/Y56,""),AB44)</f>
        <v/>
      </c>
      <c r="AC56" s="46">
        <f>IF($D56="Actual",IFERROR(U56/T56/Z56/AA56,""),AC44)</f>
        <v/>
      </c>
      <c r="AD56" s="43">
        <f>IF($D56="Actual",IFERROR(V56/(U56+V56),""),AD44)</f>
        <v/>
      </c>
      <c r="AE56" s="46">
        <f>IFERROR(AC56*Z56*AA56,"")</f>
        <v/>
      </c>
      <c r="AF56" s="47">
        <f>K44</f>
        <v/>
      </c>
      <c r="AG56" s="43">
        <f>IF($D56="Forecast",IFERROR(K56/AF56-1,""),"")</f>
        <v/>
      </c>
    </row>
    <row r="57">
      <c r="A57" s="8" t="n">
        <v>46935</v>
      </c>
      <c r="B57" s="26">
        <f>YEAR(A57)</f>
        <v/>
      </c>
      <c r="C57" s="26">
        <f>MONTH(A57)</f>
        <v/>
      </c>
      <c r="D57">
        <f>IF(A57&lt;=LastActual,"Actual","Forecast")</f>
        <v/>
      </c>
      <c r="E57" s="24">
        <f>IF($D57="Actual",R57,W57)</f>
        <v/>
      </c>
      <c r="F57" s="27">
        <f>IF($D57="Actual",S57,Cases_Forecast!AM50)</f>
        <v/>
      </c>
      <c r="G57" s="9">
        <f>IF($D57="Actual",T57,IFERROR(H57/AE57,0))</f>
        <v/>
      </c>
      <c r="H57" s="24">
        <f>IF($D57="Actual",U57,J57-I57)</f>
        <v/>
      </c>
      <c r="I57" s="24">
        <f>IF($D57="Actual",V57,IFERROR(J57*AD57,0))</f>
        <v/>
      </c>
      <c r="J57" s="24">
        <f>IF($D57="Actual",U57+V57,E57*X57)</f>
        <v/>
      </c>
      <c r="K57" s="28">
        <f>IFERROR(F57/G57,0)</f>
        <v/>
      </c>
      <c r="L57" s="29">
        <f>IFERROR(H57/G57,0)</f>
        <v/>
      </c>
      <c r="M57" s="30">
        <f>IFERROR(J57/F57,0)</f>
        <v/>
      </c>
      <c r="N57" s="10">
        <f>IFERROR(J57/E57,0)</f>
        <v/>
      </c>
      <c r="O57" s="10">
        <f>IFERROR(I57/J57,0)</f>
        <v/>
      </c>
      <c r="R57" s="42">
        <f>IF($D57="Actual",SUMIFS(Data_Actuals!$C$2:$C$5000,Data_Actuals!$A$2:$A$5000,$A57,Data_Actuals!$B$2:$B$5000,$B$2),"")</f>
        <v/>
      </c>
      <c r="S57" s="42">
        <f>IF($D57="Actual",SUMIFS(Data_Actuals!$D$2:$D$5000,Data_Actuals!$A$2:$A$5000,$A57,Data_Actuals!$B$2:$B$5000,$B$2),"")</f>
        <v/>
      </c>
      <c r="T57" s="42">
        <f>IF($D57="Actual",SUMIFS(Data_Actuals!$E$2:$E$5000,Data_Actuals!$A$2:$A$5000,$A57,Data_Actuals!$B$2:$B$5000,$B$2),"")</f>
        <v/>
      </c>
      <c r="U57" s="42">
        <f>IF($D57="Actual",SUMIFS(Data_Actuals!$F$2:$F$5000,Data_Actuals!$A$2:$A$5000,$A57,Data_Actuals!$B$2:$B$5000,$B$2),"")</f>
        <v/>
      </c>
      <c r="V57" s="42">
        <f>IF($D57="Actual",SUMIFS(Data_Actuals!$G$2:$G$5000,Data_Actuals!$A$2:$A$5000,$A57,Data_Actuals!$B$2:$B$5000,$B$2),"")</f>
        <v/>
      </c>
      <c r="W57" s="42">
        <f>SUMIFS(Plan_Inputs!$C$2:$C$5000,Plan_Inputs!$A$2:$A$5000,$A57,Plan_Inputs!$B$2:$B$5000,$B$2)</f>
        <v/>
      </c>
      <c r="X57" s="43">
        <f>SUMIFS(Plan_Inputs!$D$2:$D$5000,Plan_Inputs!$A$2:$A$5000,$A57,Plan_Inputs!$B$2:$B$5000,$B$2)</f>
        <v/>
      </c>
      <c r="Y57" s="42">
        <f>E57</f>
        <v/>
      </c>
      <c r="Z57" s="44">
        <f>INDEX(Calendar!$H$5:$L$52,MATCH($A57,Calendar!$A$5:$A$52,0),MATCH($D$2,Calendar!$H$4:$L$4,0))</f>
        <v/>
      </c>
      <c r="AA57" s="44">
        <f>INDEX(Calendar!$M$5:$M$52,MATCH($A57,Calendar!$A$5:$A$52,0))</f>
        <v/>
      </c>
      <c r="AB57" s="45">
        <f>IF($D57="Actual",IFERROR(S57/Y57,""),AB45)</f>
        <v/>
      </c>
      <c r="AC57" s="46">
        <f>IF($D57="Actual",IFERROR(U57/T57/Z57/AA57,""),AC45)</f>
        <v/>
      </c>
      <c r="AD57" s="43">
        <f>IF($D57="Actual",IFERROR(V57/(U57+V57),""),AD45)</f>
        <v/>
      </c>
      <c r="AE57" s="46">
        <f>IFERROR(AC57*Z57*AA57,"")</f>
        <v/>
      </c>
      <c r="AF57" s="47">
        <f>K45</f>
        <v/>
      </c>
      <c r="AG57" s="43">
        <f>IF($D57="Forecast",IFERROR(K57/AF57-1,""),"")</f>
        <v/>
      </c>
    </row>
    <row r="58">
      <c r="A58" s="8" t="n">
        <v>46966</v>
      </c>
      <c r="B58" s="26">
        <f>YEAR(A58)</f>
        <v/>
      </c>
      <c r="C58" s="26">
        <f>MONTH(A58)</f>
        <v/>
      </c>
      <c r="D58">
        <f>IF(A58&lt;=LastActual,"Actual","Forecast")</f>
        <v/>
      </c>
      <c r="E58" s="24">
        <f>IF($D58="Actual",R58,W58)</f>
        <v/>
      </c>
      <c r="F58" s="27">
        <f>IF($D58="Actual",S58,Cases_Forecast!AM51)</f>
        <v/>
      </c>
      <c r="G58" s="9">
        <f>IF($D58="Actual",T58,IFERROR(H58/AE58,0))</f>
        <v/>
      </c>
      <c r="H58" s="24">
        <f>IF($D58="Actual",U58,J58-I58)</f>
        <v/>
      </c>
      <c r="I58" s="24">
        <f>IF($D58="Actual",V58,IFERROR(J58*AD58,0))</f>
        <v/>
      </c>
      <c r="J58" s="24">
        <f>IF($D58="Actual",U58+V58,E58*X58)</f>
        <v/>
      </c>
      <c r="K58" s="28">
        <f>IFERROR(F58/G58,0)</f>
        <v/>
      </c>
      <c r="L58" s="29">
        <f>IFERROR(H58/G58,0)</f>
        <v/>
      </c>
      <c r="M58" s="30">
        <f>IFERROR(J58/F58,0)</f>
        <v/>
      </c>
      <c r="N58" s="10">
        <f>IFERROR(J58/E58,0)</f>
        <v/>
      </c>
      <c r="O58" s="10">
        <f>IFERROR(I58/J58,0)</f>
        <v/>
      </c>
      <c r="R58" s="42">
        <f>IF($D58="Actual",SUMIFS(Data_Actuals!$C$2:$C$5000,Data_Actuals!$A$2:$A$5000,$A58,Data_Actuals!$B$2:$B$5000,$B$2),"")</f>
        <v/>
      </c>
      <c r="S58" s="42">
        <f>IF($D58="Actual",SUMIFS(Data_Actuals!$D$2:$D$5000,Data_Actuals!$A$2:$A$5000,$A58,Data_Actuals!$B$2:$B$5000,$B$2),"")</f>
        <v/>
      </c>
      <c r="T58" s="42">
        <f>IF($D58="Actual",SUMIFS(Data_Actuals!$E$2:$E$5000,Data_Actuals!$A$2:$A$5000,$A58,Data_Actuals!$B$2:$B$5000,$B$2),"")</f>
        <v/>
      </c>
      <c r="U58" s="42">
        <f>IF($D58="Actual",SUMIFS(Data_Actuals!$F$2:$F$5000,Data_Actuals!$A$2:$A$5000,$A58,Data_Actuals!$B$2:$B$5000,$B$2),"")</f>
        <v/>
      </c>
      <c r="V58" s="42">
        <f>IF($D58="Actual",SUMIFS(Data_Actuals!$G$2:$G$5000,Data_Actuals!$A$2:$A$5000,$A58,Data_Actuals!$B$2:$B$5000,$B$2),"")</f>
        <v/>
      </c>
      <c r="W58" s="42">
        <f>SUMIFS(Plan_Inputs!$C$2:$C$5000,Plan_Inputs!$A$2:$A$5000,$A58,Plan_Inputs!$B$2:$B$5000,$B$2)</f>
        <v/>
      </c>
      <c r="X58" s="43">
        <f>SUMIFS(Plan_Inputs!$D$2:$D$5000,Plan_Inputs!$A$2:$A$5000,$A58,Plan_Inputs!$B$2:$B$5000,$B$2)</f>
        <v/>
      </c>
      <c r="Y58" s="42">
        <f>E58</f>
        <v/>
      </c>
      <c r="Z58" s="44">
        <f>INDEX(Calendar!$H$5:$L$52,MATCH($A58,Calendar!$A$5:$A$52,0),MATCH($D$2,Calendar!$H$4:$L$4,0))</f>
        <v/>
      </c>
      <c r="AA58" s="44">
        <f>INDEX(Calendar!$M$5:$M$52,MATCH($A58,Calendar!$A$5:$A$52,0))</f>
        <v/>
      </c>
      <c r="AB58" s="45">
        <f>IF($D58="Actual",IFERROR(S58/Y58,""),AB46)</f>
        <v/>
      </c>
      <c r="AC58" s="46">
        <f>IF($D58="Actual",IFERROR(U58/T58/Z58/AA58,""),AC46)</f>
        <v/>
      </c>
      <c r="AD58" s="43">
        <f>IF($D58="Actual",IFERROR(V58/(U58+V58),""),AD46)</f>
        <v/>
      </c>
      <c r="AE58" s="46">
        <f>IFERROR(AC58*Z58*AA58,"")</f>
        <v/>
      </c>
      <c r="AF58" s="47">
        <f>K46</f>
        <v/>
      </c>
      <c r="AG58" s="43">
        <f>IF($D58="Forecast",IFERROR(K58/AF58-1,""),"")</f>
        <v/>
      </c>
    </row>
    <row r="59">
      <c r="A59" s="8" t="n">
        <v>46997</v>
      </c>
      <c r="B59" s="26">
        <f>YEAR(A59)</f>
        <v/>
      </c>
      <c r="C59" s="26">
        <f>MONTH(A59)</f>
        <v/>
      </c>
      <c r="D59">
        <f>IF(A59&lt;=LastActual,"Actual","Forecast")</f>
        <v/>
      </c>
      <c r="E59" s="24">
        <f>IF($D59="Actual",R59,W59)</f>
        <v/>
      </c>
      <c r="F59" s="27">
        <f>IF($D59="Actual",S59,Cases_Forecast!AM52)</f>
        <v/>
      </c>
      <c r="G59" s="9">
        <f>IF($D59="Actual",T59,IFERROR(H59/AE59,0))</f>
        <v/>
      </c>
      <c r="H59" s="24">
        <f>IF($D59="Actual",U59,J59-I59)</f>
        <v/>
      </c>
      <c r="I59" s="24">
        <f>IF($D59="Actual",V59,IFERROR(J59*AD59,0))</f>
        <v/>
      </c>
      <c r="J59" s="24">
        <f>IF($D59="Actual",U59+V59,E59*X59)</f>
        <v/>
      </c>
      <c r="K59" s="28">
        <f>IFERROR(F59/G59,0)</f>
        <v/>
      </c>
      <c r="L59" s="29">
        <f>IFERROR(H59/G59,0)</f>
        <v/>
      </c>
      <c r="M59" s="30">
        <f>IFERROR(J59/F59,0)</f>
        <v/>
      </c>
      <c r="N59" s="10">
        <f>IFERROR(J59/E59,0)</f>
        <v/>
      </c>
      <c r="O59" s="10">
        <f>IFERROR(I59/J59,0)</f>
        <v/>
      </c>
      <c r="R59" s="42">
        <f>IF($D59="Actual",SUMIFS(Data_Actuals!$C$2:$C$5000,Data_Actuals!$A$2:$A$5000,$A59,Data_Actuals!$B$2:$B$5000,$B$2),"")</f>
        <v/>
      </c>
      <c r="S59" s="42">
        <f>IF($D59="Actual",SUMIFS(Data_Actuals!$D$2:$D$5000,Data_Actuals!$A$2:$A$5000,$A59,Data_Actuals!$B$2:$B$5000,$B$2),"")</f>
        <v/>
      </c>
      <c r="T59" s="42">
        <f>IF($D59="Actual",SUMIFS(Data_Actuals!$E$2:$E$5000,Data_Actuals!$A$2:$A$5000,$A59,Data_Actuals!$B$2:$B$5000,$B$2),"")</f>
        <v/>
      </c>
      <c r="U59" s="42">
        <f>IF($D59="Actual",SUMIFS(Data_Actuals!$F$2:$F$5000,Data_Actuals!$A$2:$A$5000,$A59,Data_Actuals!$B$2:$B$5000,$B$2),"")</f>
        <v/>
      </c>
      <c r="V59" s="42">
        <f>IF($D59="Actual",SUMIFS(Data_Actuals!$G$2:$G$5000,Data_Actuals!$A$2:$A$5000,$A59,Data_Actuals!$B$2:$B$5000,$B$2),"")</f>
        <v/>
      </c>
      <c r="W59" s="42">
        <f>SUMIFS(Plan_Inputs!$C$2:$C$5000,Plan_Inputs!$A$2:$A$5000,$A59,Plan_Inputs!$B$2:$B$5000,$B$2)</f>
        <v/>
      </c>
      <c r="X59" s="43">
        <f>SUMIFS(Plan_Inputs!$D$2:$D$5000,Plan_Inputs!$A$2:$A$5000,$A59,Plan_Inputs!$B$2:$B$5000,$B$2)</f>
        <v/>
      </c>
      <c r="Y59" s="42">
        <f>E59</f>
        <v/>
      </c>
      <c r="Z59" s="44">
        <f>INDEX(Calendar!$H$5:$L$52,MATCH($A59,Calendar!$A$5:$A$52,0),MATCH($D$2,Calendar!$H$4:$L$4,0))</f>
        <v/>
      </c>
      <c r="AA59" s="44">
        <f>INDEX(Calendar!$M$5:$M$52,MATCH($A59,Calendar!$A$5:$A$52,0))</f>
        <v/>
      </c>
      <c r="AB59" s="45">
        <f>IF($D59="Actual",IFERROR(S59/Y59,""),AB47)</f>
        <v/>
      </c>
      <c r="AC59" s="46">
        <f>IF($D59="Actual",IFERROR(U59/T59/Z59/AA59,""),AC47)</f>
        <v/>
      </c>
      <c r="AD59" s="43">
        <f>IF($D59="Actual",IFERROR(V59/(U59+V59),""),AD47)</f>
        <v/>
      </c>
      <c r="AE59" s="46">
        <f>IFERROR(AC59*Z59*AA59,"")</f>
        <v/>
      </c>
      <c r="AF59" s="47">
        <f>K47</f>
        <v/>
      </c>
      <c r="AG59" s="43">
        <f>IF($D59="Forecast",IFERROR(K59/AF59-1,""),"")</f>
        <v/>
      </c>
    </row>
    <row r="60">
      <c r="A60" s="8" t="n">
        <v>47027</v>
      </c>
      <c r="B60" s="26">
        <f>YEAR(A60)</f>
        <v/>
      </c>
      <c r="C60" s="26">
        <f>MONTH(A60)</f>
        <v/>
      </c>
      <c r="D60">
        <f>IF(A60&lt;=LastActual,"Actual","Forecast")</f>
        <v/>
      </c>
      <c r="E60" s="24">
        <f>IF($D60="Actual",R60,W60)</f>
        <v/>
      </c>
      <c r="F60" s="27">
        <f>IF($D60="Actual",S60,Cases_Forecast!AM53)</f>
        <v/>
      </c>
      <c r="G60" s="9">
        <f>IF($D60="Actual",T60,IFERROR(H60/AE60,0))</f>
        <v/>
      </c>
      <c r="H60" s="24">
        <f>IF($D60="Actual",U60,J60-I60)</f>
        <v/>
      </c>
      <c r="I60" s="24">
        <f>IF($D60="Actual",V60,IFERROR(J60*AD60,0))</f>
        <v/>
      </c>
      <c r="J60" s="24">
        <f>IF($D60="Actual",U60+V60,E60*X60)</f>
        <v/>
      </c>
      <c r="K60" s="28">
        <f>IFERROR(F60/G60,0)</f>
        <v/>
      </c>
      <c r="L60" s="29">
        <f>IFERROR(H60/G60,0)</f>
        <v/>
      </c>
      <c r="M60" s="30">
        <f>IFERROR(J60/F60,0)</f>
        <v/>
      </c>
      <c r="N60" s="10">
        <f>IFERROR(J60/E60,0)</f>
        <v/>
      </c>
      <c r="O60" s="10">
        <f>IFERROR(I60/J60,0)</f>
        <v/>
      </c>
      <c r="R60" s="42">
        <f>IF($D60="Actual",SUMIFS(Data_Actuals!$C$2:$C$5000,Data_Actuals!$A$2:$A$5000,$A60,Data_Actuals!$B$2:$B$5000,$B$2),"")</f>
        <v/>
      </c>
      <c r="S60" s="42">
        <f>IF($D60="Actual",SUMIFS(Data_Actuals!$D$2:$D$5000,Data_Actuals!$A$2:$A$5000,$A60,Data_Actuals!$B$2:$B$5000,$B$2),"")</f>
        <v/>
      </c>
      <c r="T60" s="42">
        <f>IF($D60="Actual",SUMIFS(Data_Actuals!$E$2:$E$5000,Data_Actuals!$A$2:$A$5000,$A60,Data_Actuals!$B$2:$B$5000,$B$2),"")</f>
        <v/>
      </c>
      <c r="U60" s="42">
        <f>IF($D60="Actual",SUMIFS(Data_Actuals!$F$2:$F$5000,Data_Actuals!$A$2:$A$5000,$A60,Data_Actuals!$B$2:$B$5000,$B$2),"")</f>
        <v/>
      </c>
      <c r="V60" s="42">
        <f>IF($D60="Actual",SUMIFS(Data_Actuals!$G$2:$G$5000,Data_Actuals!$A$2:$A$5000,$A60,Data_Actuals!$B$2:$B$5000,$B$2),"")</f>
        <v/>
      </c>
      <c r="W60" s="42">
        <f>SUMIFS(Plan_Inputs!$C$2:$C$5000,Plan_Inputs!$A$2:$A$5000,$A60,Plan_Inputs!$B$2:$B$5000,$B$2)</f>
        <v/>
      </c>
      <c r="X60" s="43">
        <f>SUMIFS(Plan_Inputs!$D$2:$D$5000,Plan_Inputs!$A$2:$A$5000,$A60,Plan_Inputs!$B$2:$B$5000,$B$2)</f>
        <v/>
      </c>
      <c r="Y60" s="42">
        <f>E60</f>
        <v/>
      </c>
      <c r="Z60" s="44">
        <f>INDEX(Calendar!$H$5:$L$52,MATCH($A60,Calendar!$A$5:$A$52,0),MATCH($D$2,Calendar!$H$4:$L$4,0))</f>
        <v/>
      </c>
      <c r="AA60" s="44">
        <f>INDEX(Calendar!$M$5:$M$52,MATCH($A60,Calendar!$A$5:$A$52,0))</f>
        <v/>
      </c>
      <c r="AB60" s="45">
        <f>IF($D60="Actual",IFERROR(S60/Y60,""),AB48)</f>
        <v/>
      </c>
      <c r="AC60" s="46">
        <f>IF($D60="Actual",IFERROR(U60/T60/Z60/AA60,""),AC48)</f>
        <v/>
      </c>
      <c r="AD60" s="43">
        <f>IF($D60="Actual",IFERROR(V60/(U60+V60),""),AD48)</f>
        <v/>
      </c>
      <c r="AE60" s="46">
        <f>IFERROR(AC60*Z60*AA60,"")</f>
        <v/>
      </c>
      <c r="AF60" s="47">
        <f>K48</f>
        <v/>
      </c>
      <c r="AG60" s="43">
        <f>IF($D60="Forecast",IFERROR(K60/AF60-1,""),"")</f>
        <v/>
      </c>
    </row>
    <row r="61">
      <c r="A61" s="8" t="n">
        <v>47058</v>
      </c>
      <c r="B61" s="26">
        <f>YEAR(A61)</f>
        <v/>
      </c>
      <c r="C61" s="26">
        <f>MONTH(A61)</f>
        <v/>
      </c>
      <c r="D61">
        <f>IF(A61&lt;=LastActual,"Actual","Forecast")</f>
        <v/>
      </c>
      <c r="E61" s="24">
        <f>IF($D61="Actual",R61,W61)</f>
        <v/>
      </c>
      <c r="F61" s="27">
        <f>IF($D61="Actual",S61,Cases_Forecast!AM54)</f>
        <v/>
      </c>
      <c r="G61" s="9">
        <f>IF($D61="Actual",T61,IFERROR(H61/AE61,0))</f>
        <v/>
      </c>
      <c r="H61" s="24">
        <f>IF($D61="Actual",U61,J61-I61)</f>
        <v/>
      </c>
      <c r="I61" s="24">
        <f>IF($D61="Actual",V61,IFERROR(J61*AD61,0))</f>
        <v/>
      </c>
      <c r="J61" s="24">
        <f>IF($D61="Actual",U61+V61,E61*X61)</f>
        <v/>
      </c>
      <c r="K61" s="28">
        <f>IFERROR(F61/G61,0)</f>
        <v/>
      </c>
      <c r="L61" s="29">
        <f>IFERROR(H61/G61,0)</f>
        <v/>
      </c>
      <c r="M61" s="30">
        <f>IFERROR(J61/F61,0)</f>
        <v/>
      </c>
      <c r="N61" s="10">
        <f>IFERROR(J61/E61,0)</f>
        <v/>
      </c>
      <c r="O61" s="10">
        <f>IFERROR(I61/J61,0)</f>
        <v/>
      </c>
      <c r="R61" s="42">
        <f>IF($D61="Actual",SUMIFS(Data_Actuals!$C$2:$C$5000,Data_Actuals!$A$2:$A$5000,$A61,Data_Actuals!$B$2:$B$5000,$B$2),"")</f>
        <v/>
      </c>
      <c r="S61" s="42">
        <f>IF($D61="Actual",SUMIFS(Data_Actuals!$D$2:$D$5000,Data_Actuals!$A$2:$A$5000,$A61,Data_Actuals!$B$2:$B$5000,$B$2),"")</f>
        <v/>
      </c>
      <c r="T61" s="42">
        <f>IF($D61="Actual",SUMIFS(Data_Actuals!$E$2:$E$5000,Data_Actuals!$A$2:$A$5000,$A61,Data_Actuals!$B$2:$B$5000,$B$2),"")</f>
        <v/>
      </c>
      <c r="U61" s="42">
        <f>IF($D61="Actual",SUMIFS(Data_Actuals!$F$2:$F$5000,Data_Actuals!$A$2:$A$5000,$A61,Data_Actuals!$B$2:$B$5000,$B$2),"")</f>
        <v/>
      </c>
      <c r="V61" s="42">
        <f>IF($D61="Actual",SUMIFS(Data_Actuals!$G$2:$G$5000,Data_Actuals!$A$2:$A$5000,$A61,Data_Actuals!$B$2:$B$5000,$B$2),"")</f>
        <v/>
      </c>
      <c r="W61" s="42">
        <f>SUMIFS(Plan_Inputs!$C$2:$C$5000,Plan_Inputs!$A$2:$A$5000,$A61,Plan_Inputs!$B$2:$B$5000,$B$2)</f>
        <v/>
      </c>
      <c r="X61" s="43">
        <f>SUMIFS(Plan_Inputs!$D$2:$D$5000,Plan_Inputs!$A$2:$A$5000,$A61,Plan_Inputs!$B$2:$B$5000,$B$2)</f>
        <v/>
      </c>
      <c r="Y61" s="42">
        <f>E61</f>
        <v/>
      </c>
      <c r="Z61" s="44">
        <f>INDEX(Calendar!$H$5:$L$52,MATCH($A61,Calendar!$A$5:$A$52,0),MATCH($D$2,Calendar!$H$4:$L$4,0))</f>
        <v/>
      </c>
      <c r="AA61" s="44">
        <f>INDEX(Calendar!$M$5:$M$52,MATCH($A61,Calendar!$A$5:$A$52,0))</f>
        <v/>
      </c>
      <c r="AB61" s="45">
        <f>IF($D61="Actual",IFERROR(S61/Y61,""),AB49)</f>
        <v/>
      </c>
      <c r="AC61" s="46">
        <f>IF($D61="Actual",IFERROR(U61/T61/Z61/AA61,""),AC49)</f>
        <v/>
      </c>
      <c r="AD61" s="43">
        <f>IF($D61="Actual",IFERROR(V61/(U61+V61),""),AD49)</f>
        <v/>
      </c>
      <c r="AE61" s="46">
        <f>IFERROR(AC61*Z61*AA61,"")</f>
        <v/>
      </c>
      <c r="AF61" s="47">
        <f>K49</f>
        <v/>
      </c>
      <c r="AG61" s="43">
        <f>IF($D61="Forecast",IFERROR(K61/AF61-1,""),"")</f>
        <v/>
      </c>
    </row>
    <row r="62">
      <c r="A62" s="31" t="n">
        <v>47088</v>
      </c>
      <c r="B62" s="32">
        <f>YEAR(A62)</f>
        <v/>
      </c>
      <c r="C62" s="32">
        <f>MONTH(A62)</f>
        <v/>
      </c>
      <c r="D62" s="33">
        <f>IF(A62&lt;=LastActual,"Actual","Forecast")</f>
        <v/>
      </c>
      <c r="E62" s="34">
        <f>IF($D62="Actual",R62,W62)</f>
        <v/>
      </c>
      <c r="F62" s="35">
        <f>IF($D62="Actual",S62,Cases_Forecast!AM55)</f>
        <v/>
      </c>
      <c r="G62" s="36">
        <f>IF($D62="Actual",T62,IFERROR(H62/AE62,0))</f>
        <v/>
      </c>
      <c r="H62" s="34">
        <f>IF($D62="Actual",U62,J62-I62)</f>
        <v/>
      </c>
      <c r="I62" s="34">
        <f>IF($D62="Actual",V62,IFERROR(J62*AD62,0))</f>
        <v/>
      </c>
      <c r="J62" s="34">
        <f>IF($D62="Actual",U62+V62,E62*X62)</f>
        <v/>
      </c>
      <c r="K62" s="37">
        <f>IFERROR(F62/G62,0)</f>
        <v/>
      </c>
      <c r="L62" s="38">
        <f>IFERROR(H62/G62,0)</f>
        <v/>
      </c>
      <c r="M62" s="39">
        <f>IFERROR(J62/F62,0)</f>
        <v/>
      </c>
      <c r="N62" s="40">
        <f>IFERROR(J62/E62,0)</f>
        <v/>
      </c>
      <c r="O62" s="40">
        <f>IFERROR(I62/J62,0)</f>
        <v/>
      </c>
      <c r="R62" s="42">
        <f>IF($D62="Actual",SUMIFS(Data_Actuals!$C$2:$C$5000,Data_Actuals!$A$2:$A$5000,$A62,Data_Actuals!$B$2:$B$5000,$B$2),"")</f>
        <v/>
      </c>
      <c r="S62" s="42">
        <f>IF($D62="Actual",SUMIFS(Data_Actuals!$D$2:$D$5000,Data_Actuals!$A$2:$A$5000,$A62,Data_Actuals!$B$2:$B$5000,$B$2),"")</f>
        <v/>
      </c>
      <c r="T62" s="42">
        <f>IF($D62="Actual",SUMIFS(Data_Actuals!$E$2:$E$5000,Data_Actuals!$A$2:$A$5000,$A62,Data_Actuals!$B$2:$B$5000,$B$2),"")</f>
        <v/>
      </c>
      <c r="U62" s="42">
        <f>IF($D62="Actual",SUMIFS(Data_Actuals!$F$2:$F$5000,Data_Actuals!$A$2:$A$5000,$A62,Data_Actuals!$B$2:$B$5000,$B$2),"")</f>
        <v/>
      </c>
      <c r="V62" s="42">
        <f>IF($D62="Actual",SUMIFS(Data_Actuals!$G$2:$G$5000,Data_Actuals!$A$2:$A$5000,$A62,Data_Actuals!$B$2:$B$5000,$B$2),"")</f>
        <v/>
      </c>
      <c r="W62" s="42">
        <f>SUMIFS(Plan_Inputs!$C$2:$C$5000,Plan_Inputs!$A$2:$A$5000,$A62,Plan_Inputs!$B$2:$B$5000,$B$2)</f>
        <v/>
      </c>
      <c r="X62" s="43">
        <f>SUMIFS(Plan_Inputs!$D$2:$D$5000,Plan_Inputs!$A$2:$A$5000,$A62,Plan_Inputs!$B$2:$B$5000,$B$2)</f>
        <v/>
      </c>
      <c r="Y62" s="42">
        <f>E62</f>
        <v/>
      </c>
      <c r="Z62" s="44">
        <f>INDEX(Calendar!$H$5:$L$52,MATCH($A62,Calendar!$A$5:$A$52,0),MATCH($D$2,Calendar!$H$4:$L$4,0))</f>
        <v/>
      </c>
      <c r="AA62" s="44">
        <f>INDEX(Calendar!$M$5:$M$52,MATCH($A62,Calendar!$A$5:$A$52,0))</f>
        <v/>
      </c>
      <c r="AB62" s="45">
        <f>IF($D62="Actual",IFERROR(S62/Y62,""),AB50)</f>
        <v/>
      </c>
      <c r="AC62" s="46">
        <f>IF($D62="Actual",IFERROR(U62/T62/Z62/AA62,""),AC50)</f>
        <v/>
      </c>
      <c r="AD62" s="43">
        <f>IF($D62="Actual",IFERROR(V62/(U62+V62),""),AD50)</f>
        <v/>
      </c>
      <c r="AE62" s="46">
        <f>IFERROR(AC62*Z62*AA62,"")</f>
        <v/>
      </c>
      <c r="AF62" s="47">
        <f>K50</f>
        <v/>
      </c>
      <c r="AG62" s="43">
        <f>IF($D62="Forecast",IFERROR(K62/AF62-1,""),"")</f>
        <v/>
      </c>
    </row>
  </sheetData>
  <mergeCells count="3">
    <mergeCell ref="K12:O12"/>
    <mergeCell ref="R12:AG12"/>
    <mergeCell ref="E12:J12"/>
  </mergeCells>
  <conditionalFormatting sqref="A15:O62">
    <cfRule type="expression" priority="1" dxfId="4">
      <formula>$D15="Forecast"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1F3864"/>
    <outlinePr summaryBelow="1" summaryRight="1"/>
    <pageSetUpPr/>
  </sheetPr>
  <dimension ref="A1:AG62"/>
  <sheetViews>
    <sheetView workbookViewId="0">
      <pane xSplit="4" ySplit="14" topLeftCell="E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" customWidth="1" min="2" max="2"/>
    <col width="5" customWidth="1" min="3" max="3"/>
    <col width="9" customWidth="1" min="4" max="4"/>
    <col width="10" customWidth="1" min="5" max="5"/>
    <col width="10" customWidth="1" min="6" max="6"/>
    <col width="11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1" customWidth="1" min="15" max="15"/>
    <col width="2" customWidth="1" min="17" max="17"/>
    <col width="11" customWidth="1" min="18" max="18"/>
    <col width="11" customWidth="1" min="19" max="19"/>
    <col width="10" customWidth="1" min="20" max="20"/>
    <col width="11" customWidth="1" min="21" max="21"/>
    <col width="11" customWidth="1" min="22" max="22"/>
    <col width="12" customWidth="1" min="23" max="23"/>
    <col width="9" customWidth="1" min="24" max="24"/>
    <col width="12" customWidth="1" min="25" max="25"/>
    <col width="8" customWidth="1" min="26" max="26"/>
    <col width="8" customWidth="1" min="27" max="27"/>
    <col width="11" customWidth="1" min="28" max="28"/>
    <col width="12" customWidth="1" min="29" max="29"/>
    <col width="12" customWidth="1" min="30" max="30"/>
    <col width="11" customWidth="1" min="31" max="31"/>
    <col width="9" customWidth="1" min="32" max="32"/>
    <col width="9" customWidth="1" min="33" max="33"/>
  </cols>
  <sheetData>
    <row r="1">
      <c r="A1" s="2">
        <f>$B$2&amp;"  |  Region  |  VIC"</f>
        <v/>
      </c>
    </row>
    <row r="2">
      <c r="A2" t="inlineStr">
        <is>
          <t>Code</t>
        </is>
      </c>
      <c r="B2" s="1">
        <f>Inputs!$A$40</f>
        <v/>
      </c>
      <c r="C2" t="inlineStr">
        <is>
          <t>State</t>
        </is>
      </c>
      <c r="D2" s="1" t="inlineStr">
        <is>
          <t>VIC</t>
        </is>
      </c>
    </row>
    <row r="5" ht="45" customHeight="1">
      <c r="A5" s="5" t="inlineStr">
        <is>
          <t>FY</t>
        </is>
      </c>
      <c r="D5" s="5" t="inlineStr">
        <is>
          <t>Status</t>
        </is>
      </c>
      <c r="E5" s="5" t="inlineStr">
        <is>
          <t>Sales</t>
        </is>
      </c>
      <c r="F5" s="5" t="inlineStr">
        <is>
          <t>Cases picked</t>
        </is>
      </c>
      <c r="G5" s="5" t="inlineStr">
        <is>
          <t>WH hours worked</t>
        </is>
      </c>
      <c r="H5" s="5" t="inlineStr">
        <is>
          <t>Staff payroll</t>
        </is>
      </c>
      <c r="I5" s="5" t="inlineStr">
        <is>
          <t>Leadership payroll</t>
        </is>
      </c>
      <c r="J5" s="5" t="inlineStr">
        <is>
          <t>Total payroll</t>
        </is>
      </c>
      <c r="K5" s="5" t="inlineStr">
        <is>
          <t>CPLH (cases / hr)</t>
        </is>
      </c>
      <c r="L5" s="5" t="inlineStr">
        <is>
          <t>Cost per hour (staff)</t>
        </is>
      </c>
      <c r="M5" s="5" t="inlineStr">
        <is>
          <t>Cost per case (total payroll)</t>
        </is>
      </c>
      <c r="N5" s="5" t="inlineStr">
        <is>
          <t>Total payroll % sales</t>
        </is>
      </c>
      <c r="O5" s="5" t="inlineStr">
        <is>
          <t>Leadership % of total payroll</t>
        </is>
      </c>
    </row>
    <row r="6">
      <c r="A6" s="15" t="n">
        <v>2025</v>
      </c>
      <c r="D6" s="16">
        <f>IF(DATE(A6,12,1)&lt;=LastActual,"Actual",IF(DATE(A6,1,1)&gt;LastActual,"Forecast","Blended"))</f>
        <v/>
      </c>
      <c r="E6" s="17">
        <f>SUMIFS($E$15:$E$62,$B$15:$B$62,$A6)</f>
        <v/>
      </c>
      <c r="F6" s="18">
        <f>SUMIFS($F$15:$F$62,$B$15:$B$62,$A6)</f>
        <v/>
      </c>
      <c r="G6" s="19">
        <f>SUMIFS($G$15:$G$62,$B$15:$B$62,$A6)</f>
        <v/>
      </c>
      <c r="H6" s="17">
        <f>SUMIFS($H$15:$H$62,$B$15:$B$62,$A6)</f>
        <v/>
      </c>
      <c r="I6" s="17">
        <f>SUMIFS($I$15:$I$62,$B$15:$B$62,$A6)</f>
        <v/>
      </c>
      <c r="J6" s="17">
        <f>SUMIFS($J$15:$J$62,$B$15:$B$62,$A6)</f>
        <v/>
      </c>
      <c r="K6" s="20">
        <f>IFERROR(F6/G6,0)</f>
        <v/>
      </c>
      <c r="L6" s="21">
        <f>IFERROR(H6/G6,0)</f>
        <v/>
      </c>
      <c r="M6" s="22">
        <f>IFERROR(J6/F6,0)</f>
        <v/>
      </c>
      <c r="N6" s="23">
        <f>IFERROR(J6/E6,0)</f>
        <v/>
      </c>
      <c r="O6" s="23">
        <f>IFERROR(I6/J6,0)</f>
        <v/>
      </c>
    </row>
    <row r="7">
      <c r="A7" s="15" t="n">
        <v>2026</v>
      </c>
      <c r="D7" s="16">
        <f>IF(DATE(A7,12,1)&lt;=LastActual,"Actual",IF(DATE(A7,1,1)&gt;LastActual,"Forecast","Blended"))</f>
        <v/>
      </c>
      <c r="E7" s="17">
        <f>SUMIFS($E$15:$E$62,$B$15:$B$62,$A7)</f>
        <v/>
      </c>
      <c r="F7" s="18">
        <f>SUMIFS($F$15:$F$62,$B$15:$B$62,$A7)</f>
        <v/>
      </c>
      <c r="G7" s="19">
        <f>SUMIFS($G$15:$G$62,$B$15:$B$62,$A7)</f>
        <v/>
      </c>
      <c r="H7" s="17">
        <f>SUMIFS($H$15:$H$62,$B$15:$B$62,$A7)</f>
        <v/>
      </c>
      <c r="I7" s="17">
        <f>SUMIFS($I$15:$I$62,$B$15:$B$62,$A7)</f>
        <v/>
      </c>
      <c r="J7" s="17">
        <f>SUMIFS($J$15:$J$62,$B$15:$B$62,$A7)</f>
        <v/>
      </c>
      <c r="K7" s="20">
        <f>IFERROR(F7/G7,0)</f>
        <v/>
      </c>
      <c r="L7" s="21">
        <f>IFERROR(H7/G7,0)</f>
        <v/>
      </c>
      <c r="M7" s="22">
        <f>IFERROR(J7/F7,0)</f>
        <v/>
      </c>
      <c r="N7" s="23">
        <f>IFERROR(J7/E7,0)</f>
        <v/>
      </c>
      <c r="O7" s="23">
        <f>IFERROR(I7/J7,0)</f>
        <v/>
      </c>
    </row>
    <row r="8">
      <c r="A8" s="15" t="n">
        <v>2027</v>
      </c>
      <c r="D8" s="16">
        <f>IF(DATE(A8,12,1)&lt;=LastActual,"Actual",IF(DATE(A8,1,1)&gt;LastActual,"Forecast","Blended"))</f>
        <v/>
      </c>
      <c r="E8" s="17">
        <f>SUMIFS($E$15:$E$62,$B$15:$B$62,$A8)</f>
        <v/>
      </c>
      <c r="F8" s="18">
        <f>SUMIFS($F$15:$F$62,$B$15:$B$62,$A8)</f>
        <v/>
      </c>
      <c r="G8" s="19">
        <f>SUMIFS($G$15:$G$62,$B$15:$B$62,$A8)</f>
        <v/>
      </c>
      <c r="H8" s="17">
        <f>SUMIFS($H$15:$H$62,$B$15:$B$62,$A8)</f>
        <v/>
      </c>
      <c r="I8" s="17">
        <f>SUMIFS($I$15:$I$62,$B$15:$B$62,$A8)</f>
        <v/>
      </c>
      <c r="J8" s="17">
        <f>SUMIFS($J$15:$J$62,$B$15:$B$62,$A8)</f>
        <v/>
      </c>
      <c r="K8" s="20">
        <f>IFERROR(F8/G8,0)</f>
        <v/>
      </c>
      <c r="L8" s="21">
        <f>IFERROR(H8/G8,0)</f>
        <v/>
      </c>
      <c r="M8" s="22">
        <f>IFERROR(J8/F8,0)</f>
        <v/>
      </c>
      <c r="N8" s="23">
        <f>IFERROR(J8/E8,0)</f>
        <v/>
      </c>
      <c r="O8" s="23">
        <f>IFERROR(I8/J8,0)</f>
        <v/>
      </c>
    </row>
    <row r="9">
      <c r="A9" s="15" t="n">
        <v>2028</v>
      </c>
      <c r="D9" s="16">
        <f>IF(DATE(A9,12,1)&lt;=LastActual,"Actual",IF(DATE(A9,1,1)&gt;LastActual,"Forecast","Blended"))</f>
        <v/>
      </c>
      <c r="E9" s="17">
        <f>SUMIFS($E$15:$E$62,$B$15:$B$62,$A9)</f>
        <v/>
      </c>
      <c r="F9" s="18">
        <f>SUMIFS($F$15:$F$62,$B$15:$B$62,$A9)</f>
        <v/>
      </c>
      <c r="G9" s="19">
        <f>SUMIFS($G$15:$G$62,$B$15:$B$62,$A9)</f>
        <v/>
      </c>
      <c r="H9" s="17">
        <f>SUMIFS($H$15:$H$62,$B$15:$B$62,$A9)</f>
        <v/>
      </c>
      <c r="I9" s="17">
        <f>SUMIFS($I$15:$I$62,$B$15:$B$62,$A9)</f>
        <v/>
      </c>
      <c r="J9" s="17">
        <f>SUMIFS($J$15:$J$62,$B$15:$B$62,$A9)</f>
        <v/>
      </c>
      <c r="K9" s="20">
        <f>IFERROR(F9/G9,0)</f>
        <v/>
      </c>
      <c r="L9" s="21">
        <f>IFERROR(H9/G9,0)</f>
        <v/>
      </c>
      <c r="M9" s="22">
        <f>IFERROR(J9/F9,0)</f>
        <v/>
      </c>
      <c r="N9" s="23">
        <f>IFERROR(J9/E9,0)</f>
        <v/>
      </c>
      <c r="O9" s="23">
        <f>IFERROR(I9/J9,0)</f>
        <v/>
      </c>
    </row>
    <row r="12">
      <c r="E12" s="5" t="inlineStr">
        <is>
          <t>Drivers</t>
        </is>
      </c>
      <c r="K12" s="5" t="inlineStr">
        <is>
          <t>Metrics</t>
        </is>
      </c>
      <c r="R12" s="5" t="inlineStr">
        <is>
          <t>Helper calculations (actuals, plan, same-month-last-year rates)</t>
        </is>
      </c>
    </row>
    <row r="13" ht="60" customHeight="1">
      <c r="A13" s="5" t="inlineStr">
        <is>
          <t>Month</t>
        </is>
      </c>
      <c r="B13" s="5" t="inlineStr">
        <is>
          <t>Year</t>
        </is>
      </c>
      <c r="C13" s="5" t="inlineStr">
        <is>
          <t>Mth</t>
        </is>
      </c>
      <c r="D13" s="5" t="inlineStr">
        <is>
          <t>Status</t>
        </is>
      </c>
      <c r="E13" s="5" t="inlineStr">
        <is>
          <t>Sales</t>
        </is>
      </c>
      <c r="F13" s="5" t="inlineStr">
        <is>
          <t>Cases picked</t>
        </is>
      </c>
      <c r="G13" s="5" t="inlineStr">
        <is>
          <t>WH hours worked</t>
        </is>
      </c>
      <c r="H13" s="5" t="inlineStr">
        <is>
          <t>Staff payroll</t>
        </is>
      </c>
      <c r="I13" s="5" t="inlineStr">
        <is>
          <t>Leadership payroll</t>
        </is>
      </c>
      <c r="J13" s="5" t="inlineStr">
        <is>
          <t>Total payroll</t>
        </is>
      </c>
      <c r="K13" s="5" t="inlineStr">
        <is>
          <t>CPLH (cases / hr)</t>
        </is>
      </c>
      <c r="L13" s="5" t="inlineStr">
        <is>
          <t>Cost per hour (staff)</t>
        </is>
      </c>
      <c r="M13" s="5" t="inlineStr">
        <is>
          <t>Cost per case (total payroll)</t>
        </is>
      </c>
      <c r="N13" s="5" t="inlineStr">
        <is>
          <t>Total payroll % sales</t>
        </is>
      </c>
      <c r="O13" s="5" t="inlineStr">
        <is>
          <t>Leadership % of total payroll</t>
        </is>
      </c>
      <c r="R13" s="41" t="inlineStr">
        <is>
          <t>Act sales</t>
        </is>
      </c>
      <c r="S13" s="41" t="inlineStr">
        <is>
          <t>Act cases</t>
        </is>
      </c>
      <c r="T13" s="41" t="inlineStr">
        <is>
          <t>Act hours</t>
        </is>
      </c>
      <c r="U13" s="41" t="inlineStr">
        <is>
          <t>Act staff $</t>
        </is>
      </c>
      <c r="V13" s="41" t="inlineStr">
        <is>
          <t>Act leadership $</t>
        </is>
      </c>
      <c r="W13" s="41" t="inlineStr">
        <is>
          <t>Plan sales</t>
        </is>
      </c>
      <c r="X13" s="41" t="inlineStr">
        <is>
          <t>Plan payroll %</t>
        </is>
      </c>
      <c r="Y13" s="41" t="inlineStr">
        <is>
          <t>Volume driver sales</t>
        </is>
      </c>
      <c r="Z13" s="41" t="inlineStr">
        <is>
          <t>PH factor</t>
        </is>
      </c>
      <c r="AA13" s="41" t="inlineStr">
        <is>
          <t>Wage index</t>
        </is>
      </c>
      <c r="AB13" s="41" t="inlineStr">
        <is>
          <t>Cases per $ (actual, else same month LY)</t>
        </is>
      </c>
      <c r="AC13" s="41" t="inlineStr">
        <is>
          <t>Cost per hour ex PH &amp; wage (actual, else same month LY)</t>
        </is>
      </c>
      <c r="AD13" s="41" t="inlineStr">
        <is>
          <t>Leadership share of total payroll (actual, else same month LY)</t>
        </is>
      </c>
      <c r="AE13" s="41" t="inlineStr">
        <is>
          <t>Fcst cost per hour (AC x PH x wage)</t>
        </is>
      </c>
      <c r="AF13" s="41" t="inlineStr">
        <is>
          <t>LY CPLH (same month)</t>
        </is>
      </c>
      <c r="AG13" s="41" t="inlineStr">
        <is>
          <t>Fcst CPLH vs LY</t>
        </is>
      </c>
    </row>
    <row r="14">
      <c r="E14" s="25" t="inlineStr">
        <is>
          <t>$m</t>
        </is>
      </c>
      <c r="F14" s="25" t="inlineStr">
        <is>
          <t>m</t>
        </is>
      </c>
      <c r="G14" s="25" t="inlineStr">
        <is>
          <t>#</t>
        </is>
      </c>
      <c r="H14" s="25" t="inlineStr">
        <is>
          <t>$m</t>
        </is>
      </c>
      <c r="I14" s="25" t="inlineStr">
        <is>
          <t>$m</t>
        </is>
      </c>
      <c r="J14" s="25" t="inlineStr">
        <is>
          <t>$m</t>
        </is>
      </c>
      <c r="K14" s="25" t="inlineStr">
        <is>
          <t>#</t>
        </is>
      </c>
      <c r="L14" s="25" t="inlineStr">
        <is>
          <t>$</t>
        </is>
      </c>
      <c r="M14" s="25" t="inlineStr">
        <is>
          <t>$</t>
        </is>
      </c>
      <c r="N14" s="25" t="inlineStr">
        <is>
          <t>%</t>
        </is>
      </c>
      <c r="O14" s="25" t="inlineStr">
        <is>
          <t>%</t>
        </is>
      </c>
    </row>
    <row r="15">
      <c r="A15" s="8" t="n">
        <v>45658</v>
      </c>
      <c r="B15" s="26">
        <f>YEAR(A15)</f>
        <v/>
      </c>
      <c r="C15" s="26">
        <f>MONTH(A15)</f>
        <v/>
      </c>
      <c r="D15">
        <f>IF(A15&lt;=LastActual,"Actual","Forecast")</f>
        <v/>
      </c>
      <c r="E15" s="24">
        <f>IF($D15="Actual",R15,W15)</f>
        <v/>
      </c>
      <c r="F15" s="27">
        <f>IF($D15="Actual",S15,Cases_Forecast!AN8)</f>
        <v/>
      </c>
      <c r="G15" s="9">
        <f>IF($D15="Actual",T15,IFERROR(H15/AE15,0))</f>
        <v/>
      </c>
      <c r="H15" s="24">
        <f>IF($D15="Actual",U15,J15-I15)</f>
        <v/>
      </c>
      <c r="I15" s="24">
        <f>IF($D15="Actual",V15,IFERROR(J15*AD15,0))</f>
        <v/>
      </c>
      <c r="J15" s="24">
        <f>IF($D15="Actual",U15+V15,E15*X15)</f>
        <v/>
      </c>
      <c r="K15" s="28">
        <f>IFERROR(F15/G15,0)</f>
        <v/>
      </c>
      <c r="L15" s="29">
        <f>IFERROR(H15/G15,0)</f>
        <v/>
      </c>
      <c r="M15" s="30">
        <f>IFERROR(J15/F15,0)</f>
        <v/>
      </c>
      <c r="N15" s="10">
        <f>IFERROR(J15/E15,0)</f>
        <v/>
      </c>
      <c r="O15" s="10">
        <f>IFERROR(I15/J15,0)</f>
        <v/>
      </c>
      <c r="R15" s="42">
        <f>IF($D15="Actual",SUMIFS(Data_Actuals!$C$2:$C$5000,Data_Actuals!$A$2:$A$5000,$A15,Data_Actuals!$B$2:$B$5000,$B$2),"")</f>
        <v/>
      </c>
      <c r="S15" s="42">
        <f>IF($D15="Actual",SUMIFS(Data_Actuals!$D$2:$D$5000,Data_Actuals!$A$2:$A$5000,$A15,Data_Actuals!$B$2:$B$5000,$B$2),"")</f>
        <v/>
      </c>
      <c r="T15" s="42">
        <f>IF($D15="Actual",SUMIFS(Data_Actuals!$E$2:$E$5000,Data_Actuals!$A$2:$A$5000,$A15,Data_Actuals!$B$2:$B$5000,$B$2),"")</f>
        <v/>
      </c>
      <c r="U15" s="42">
        <f>IF($D15="Actual",SUMIFS(Data_Actuals!$F$2:$F$5000,Data_Actuals!$A$2:$A$5000,$A15,Data_Actuals!$B$2:$B$5000,$B$2),"")</f>
        <v/>
      </c>
      <c r="V15" s="42">
        <f>IF($D15="Actual",SUMIFS(Data_Actuals!$G$2:$G$5000,Data_Actuals!$A$2:$A$5000,$A15,Data_Actuals!$B$2:$B$5000,$B$2),"")</f>
        <v/>
      </c>
      <c r="W15" s="42">
        <f>SUMIFS(Plan_Inputs!$C$2:$C$5000,Plan_Inputs!$A$2:$A$5000,$A15,Plan_Inputs!$B$2:$B$5000,$B$2)</f>
        <v/>
      </c>
      <c r="X15" s="43">
        <f>SUMIFS(Plan_Inputs!$D$2:$D$5000,Plan_Inputs!$A$2:$A$5000,$A15,Plan_Inputs!$B$2:$B$5000,$B$2)</f>
        <v/>
      </c>
      <c r="Y15" s="42">
        <f>E15</f>
        <v/>
      </c>
      <c r="Z15" s="44">
        <f>INDEX(Calendar!$H$5:$L$52,MATCH($A15,Calendar!$A$5:$A$52,0),MATCH($D$2,Calendar!$H$4:$L$4,0))</f>
        <v/>
      </c>
      <c r="AA15" s="44">
        <f>INDEX(Calendar!$M$5:$M$52,MATCH($A15,Calendar!$A$5:$A$52,0))</f>
        <v/>
      </c>
      <c r="AB15" s="45">
        <f>IF($D15="Actual",IFERROR(S15/Y15,""),"")</f>
        <v/>
      </c>
      <c r="AC15" s="46">
        <f>IF($D15="Actual",IFERROR(U15/T15/Z15/AA15,""),"")</f>
        <v/>
      </c>
      <c r="AD15" s="43">
        <f>IF($D15="Actual",IFERROR(V15/(U15+V15),""),"")</f>
        <v/>
      </c>
      <c r="AE15" s="46">
        <f>IFERROR(AC15*Z15*AA15,"")</f>
        <v/>
      </c>
      <c r="AF15" s="47" t="n"/>
      <c r="AG15" s="43">
        <f>IF($D15="Forecast",IFERROR(K15/AF15-1,""),"")</f>
        <v/>
      </c>
    </row>
    <row r="16">
      <c r="A16" s="8" t="n">
        <v>45689</v>
      </c>
      <c r="B16" s="26">
        <f>YEAR(A16)</f>
        <v/>
      </c>
      <c r="C16" s="26">
        <f>MONTH(A16)</f>
        <v/>
      </c>
      <c r="D16">
        <f>IF(A16&lt;=LastActual,"Actual","Forecast")</f>
        <v/>
      </c>
      <c r="E16" s="24">
        <f>IF($D16="Actual",R16,W16)</f>
        <v/>
      </c>
      <c r="F16" s="27">
        <f>IF($D16="Actual",S16,Cases_Forecast!AN9)</f>
        <v/>
      </c>
      <c r="G16" s="9">
        <f>IF($D16="Actual",T16,IFERROR(H16/AE16,0))</f>
        <v/>
      </c>
      <c r="H16" s="24">
        <f>IF($D16="Actual",U16,J16-I16)</f>
        <v/>
      </c>
      <c r="I16" s="24">
        <f>IF($D16="Actual",V16,IFERROR(J16*AD16,0))</f>
        <v/>
      </c>
      <c r="J16" s="24">
        <f>IF($D16="Actual",U16+V16,E16*X16)</f>
        <v/>
      </c>
      <c r="K16" s="28">
        <f>IFERROR(F16/G16,0)</f>
        <v/>
      </c>
      <c r="L16" s="29">
        <f>IFERROR(H16/G16,0)</f>
        <v/>
      </c>
      <c r="M16" s="30">
        <f>IFERROR(J16/F16,0)</f>
        <v/>
      </c>
      <c r="N16" s="10">
        <f>IFERROR(J16/E16,0)</f>
        <v/>
      </c>
      <c r="O16" s="10">
        <f>IFERROR(I16/J16,0)</f>
        <v/>
      </c>
      <c r="R16" s="42">
        <f>IF($D16="Actual",SUMIFS(Data_Actuals!$C$2:$C$5000,Data_Actuals!$A$2:$A$5000,$A16,Data_Actuals!$B$2:$B$5000,$B$2),"")</f>
        <v/>
      </c>
      <c r="S16" s="42">
        <f>IF($D16="Actual",SUMIFS(Data_Actuals!$D$2:$D$5000,Data_Actuals!$A$2:$A$5000,$A16,Data_Actuals!$B$2:$B$5000,$B$2),"")</f>
        <v/>
      </c>
      <c r="T16" s="42">
        <f>IF($D16="Actual",SUMIFS(Data_Actuals!$E$2:$E$5000,Data_Actuals!$A$2:$A$5000,$A16,Data_Actuals!$B$2:$B$5000,$B$2),"")</f>
        <v/>
      </c>
      <c r="U16" s="42">
        <f>IF($D16="Actual",SUMIFS(Data_Actuals!$F$2:$F$5000,Data_Actuals!$A$2:$A$5000,$A16,Data_Actuals!$B$2:$B$5000,$B$2),"")</f>
        <v/>
      </c>
      <c r="V16" s="42">
        <f>IF($D16="Actual",SUMIFS(Data_Actuals!$G$2:$G$5000,Data_Actuals!$A$2:$A$5000,$A16,Data_Actuals!$B$2:$B$5000,$B$2),"")</f>
        <v/>
      </c>
      <c r="W16" s="42">
        <f>SUMIFS(Plan_Inputs!$C$2:$C$5000,Plan_Inputs!$A$2:$A$5000,$A16,Plan_Inputs!$B$2:$B$5000,$B$2)</f>
        <v/>
      </c>
      <c r="X16" s="43">
        <f>SUMIFS(Plan_Inputs!$D$2:$D$5000,Plan_Inputs!$A$2:$A$5000,$A16,Plan_Inputs!$B$2:$B$5000,$B$2)</f>
        <v/>
      </c>
      <c r="Y16" s="42">
        <f>E16</f>
        <v/>
      </c>
      <c r="Z16" s="44">
        <f>INDEX(Calendar!$H$5:$L$52,MATCH($A16,Calendar!$A$5:$A$52,0),MATCH($D$2,Calendar!$H$4:$L$4,0))</f>
        <v/>
      </c>
      <c r="AA16" s="44">
        <f>INDEX(Calendar!$M$5:$M$52,MATCH($A16,Calendar!$A$5:$A$52,0))</f>
        <v/>
      </c>
      <c r="AB16" s="45">
        <f>IF($D16="Actual",IFERROR(S16/Y16,""),"")</f>
        <v/>
      </c>
      <c r="AC16" s="46">
        <f>IF($D16="Actual",IFERROR(U16/T16/Z16/AA16,""),"")</f>
        <v/>
      </c>
      <c r="AD16" s="43">
        <f>IF($D16="Actual",IFERROR(V16/(U16+V16),""),"")</f>
        <v/>
      </c>
      <c r="AE16" s="46">
        <f>IFERROR(AC16*Z16*AA16,"")</f>
        <v/>
      </c>
      <c r="AF16" s="47" t="n"/>
      <c r="AG16" s="43">
        <f>IF($D16="Forecast",IFERROR(K16/AF16-1,""),"")</f>
        <v/>
      </c>
    </row>
    <row r="17">
      <c r="A17" s="8" t="n">
        <v>45717</v>
      </c>
      <c r="B17" s="26">
        <f>YEAR(A17)</f>
        <v/>
      </c>
      <c r="C17" s="26">
        <f>MONTH(A17)</f>
        <v/>
      </c>
      <c r="D17">
        <f>IF(A17&lt;=LastActual,"Actual","Forecast")</f>
        <v/>
      </c>
      <c r="E17" s="24">
        <f>IF($D17="Actual",R17,W17)</f>
        <v/>
      </c>
      <c r="F17" s="27">
        <f>IF($D17="Actual",S17,Cases_Forecast!AN10)</f>
        <v/>
      </c>
      <c r="G17" s="9">
        <f>IF($D17="Actual",T17,IFERROR(H17/AE17,0))</f>
        <v/>
      </c>
      <c r="H17" s="24">
        <f>IF($D17="Actual",U17,J17-I17)</f>
        <v/>
      </c>
      <c r="I17" s="24">
        <f>IF($D17="Actual",V17,IFERROR(J17*AD17,0))</f>
        <v/>
      </c>
      <c r="J17" s="24">
        <f>IF($D17="Actual",U17+V17,E17*X17)</f>
        <v/>
      </c>
      <c r="K17" s="28">
        <f>IFERROR(F17/G17,0)</f>
        <v/>
      </c>
      <c r="L17" s="29">
        <f>IFERROR(H17/G17,0)</f>
        <v/>
      </c>
      <c r="M17" s="30">
        <f>IFERROR(J17/F17,0)</f>
        <v/>
      </c>
      <c r="N17" s="10">
        <f>IFERROR(J17/E17,0)</f>
        <v/>
      </c>
      <c r="O17" s="10">
        <f>IFERROR(I17/J17,0)</f>
        <v/>
      </c>
      <c r="R17" s="42">
        <f>IF($D17="Actual",SUMIFS(Data_Actuals!$C$2:$C$5000,Data_Actuals!$A$2:$A$5000,$A17,Data_Actuals!$B$2:$B$5000,$B$2),"")</f>
        <v/>
      </c>
      <c r="S17" s="42">
        <f>IF($D17="Actual",SUMIFS(Data_Actuals!$D$2:$D$5000,Data_Actuals!$A$2:$A$5000,$A17,Data_Actuals!$B$2:$B$5000,$B$2),"")</f>
        <v/>
      </c>
      <c r="T17" s="42">
        <f>IF($D17="Actual",SUMIFS(Data_Actuals!$E$2:$E$5000,Data_Actuals!$A$2:$A$5000,$A17,Data_Actuals!$B$2:$B$5000,$B$2),"")</f>
        <v/>
      </c>
      <c r="U17" s="42">
        <f>IF($D17="Actual",SUMIFS(Data_Actuals!$F$2:$F$5000,Data_Actuals!$A$2:$A$5000,$A17,Data_Actuals!$B$2:$B$5000,$B$2),"")</f>
        <v/>
      </c>
      <c r="V17" s="42">
        <f>IF($D17="Actual",SUMIFS(Data_Actuals!$G$2:$G$5000,Data_Actuals!$A$2:$A$5000,$A17,Data_Actuals!$B$2:$B$5000,$B$2),"")</f>
        <v/>
      </c>
      <c r="W17" s="42">
        <f>SUMIFS(Plan_Inputs!$C$2:$C$5000,Plan_Inputs!$A$2:$A$5000,$A17,Plan_Inputs!$B$2:$B$5000,$B$2)</f>
        <v/>
      </c>
      <c r="X17" s="43">
        <f>SUMIFS(Plan_Inputs!$D$2:$D$5000,Plan_Inputs!$A$2:$A$5000,$A17,Plan_Inputs!$B$2:$B$5000,$B$2)</f>
        <v/>
      </c>
      <c r="Y17" s="42">
        <f>E17</f>
        <v/>
      </c>
      <c r="Z17" s="44">
        <f>INDEX(Calendar!$H$5:$L$52,MATCH($A17,Calendar!$A$5:$A$52,0),MATCH($D$2,Calendar!$H$4:$L$4,0))</f>
        <v/>
      </c>
      <c r="AA17" s="44">
        <f>INDEX(Calendar!$M$5:$M$52,MATCH($A17,Calendar!$A$5:$A$52,0))</f>
        <v/>
      </c>
      <c r="AB17" s="45">
        <f>IF($D17="Actual",IFERROR(S17/Y17,""),"")</f>
        <v/>
      </c>
      <c r="AC17" s="46">
        <f>IF($D17="Actual",IFERROR(U17/T17/Z17/AA17,""),"")</f>
        <v/>
      </c>
      <c r="AD17" s="43">
        <f>IF($D17="Actual",IFERROR(V17/(U17+V17),""),"")</f>
        <v/>
      </c>
      <c r="AE17" s="46">
        <f>IFERROR(AC17*Z17*AA17,"")</f>
        <v/>
      </c>
      <c r="AF17" s="47" t="n"/>
      <c r="AG17" s="43">
        <f>IF($D17="Forecast",IFERROR(K17/AF17-1,""),"")</f>
        <v/>
      </c>
    </row>
    <row r="18">
      <c r="A18" s="8" t="n">
        <v>45748</v>
      </c>
      <c r="B18" s="26">
        <f>YEAR(A18)</f>
        <v/>
      </c>
      <c r="C18" s="26">
        <f>MONTH(A18)</f>
        <v/>
      </c>
      <c r="D18">
        <f>IF(A18&lt;=LastActual,"Actual","Forecast")</f>
        <v/>
      </c>
      <c r="E18" s="24">
        <f>IF($D18="Actual",R18,W18)</f>
        <v/>
      </c>
      <c r="F18" s="27">
        <f>IF($D18="Actual",S18,Cases_Forecast!AN11)</f>
        <v/>
      </c>
      <c r="G18" s="9">
        <f>IF($D18="Actual",T18,IFERROR(H18/AE18,0))</f>
        <v/>
      </c>
      <c r="H18" s="24">
        <f>IF($D18="Actual",U18,J18-I18)</f>
        <v/>
      </c>
      <c r="I18" s="24">
        <f>IF($D18="Actual",V18,IFERROR(J18*AD18,0))</f>
        <v/>
      </c>
      <c r="J18" s="24">
        <f>IF($D18="Actual",U18+V18,E18*X18)</f>
        <v/>
      </c>
      <c r="K18" s="28">
        <f>IFERROR(F18/G18,0)</f>
        <v/>
      </c>
      <c r="L18" s="29">
        <f>IFERROR(H18/G18,0)</f>
        <v/>
      </c>
      <c r="M18" s="30">
        <f>IFERROR(J18/F18,0)</f>
        <v/>
      </c>
      <c r="N18" s="10">
        <f>IFERROR(J18/E18,0)</f>
        <v/>
      </c>
      <c r="O18" s="10">
        <f>IFERROR(I18/J18,0)</f>
        <v/>
      </c>
      <c r="R18" s="42">
        <f>IF($D18="Actual",SUMIFS(Data_Actuals!$C$2:$C$5000,Data_Actuals!$A$2:$A$5000,$A18,Data_Actuals!$B$2:$B$5000,$B$2),"")</f>
        <v/>
      </c>
      <c r="S18" s="42">
        <f>IF($D18="Actual",SUMIFS(Data_Actuals!$D$2:$D$5000,Data_Actuals!$A$2:$A$5000,$A18,Data_Actuals!$B$2:$B$5000,$B$2),"")</f>
        <v/>
      </c>
      <c r="T18" s="42">
        <f>IF($D18="Actual",SUMIFS(Data_Actuals!$E$2:$E$5000,Data_Actuals!$A$2:$A$5000,$A18,Data_Actuals!$B$2:$B$5000,$B$2),"")</f>
        <v/>
      </c>
      <c r="U18" s="42">
        <f>IF($D18="Actual",SUMIFS(Data_Actuals!$F$2:$F$5000,Data_Actuals!$A$2:$A$5000,$A18,Data_Actuals!$B$2:$B$5000,$B$2),"")</f>
        <v/>
      </c>
      <c r="V18" s="42">
        <f>IF($D18="Actual",SUMIFS(Data_Actuals!$G$2:$G$5000,Data_Actuals!$A$2:$A$5000,$A18,Data_Actuals!$B$2:$B$5000,$B$2),"")</f>
        <v/>
      </c>
      <c r="W18" s="42">
        <f>SUMIFS(Plan_Inputs!$C$2:$C$5000,Plan_Inputs!$A$2:$A$5000,$A18,Plan_Inputs!$B$2:$B$5000,$B$2)</f>
        <v/>
      </c>
      <c r="X18" s="43">
        <f>SUMIFS(Plan_Inputs!$D$2:$D$5000,Plan_Inputs!$A$2:$A$5000,$A18,Plan_Inputs!$B$2:$B$5000,$B$2)</f>
        <v/>
      </c>
      <c r="Y18" s="42">
        <f>E18</f>
        <v/>
      </c>
      <c r="Z18" s="44">
        <f>INDEX(Calendar!$H$5:$L$52,MATCH($A18,Calendar!$A$5:$A$52,0),MATCH($D$2,Calendar!$H$4:$L$4,0))</f>
        <v/>
      </c>
      <c r="AA18" s="44">
        <f>INDEX(Calendar!$M$5:$M$52,MATCH($A18,Calendar!$A$5:$A$52,0))</f>
        <v/>
      </c>
      <c r="AB18" s="45">
        <f>IF($D18="Actual",IFERROR(S18/Y18,""),"")</f>
        <v/>
      </c>
      <c r="AC18" s="46">
        <f>IF($D18="Actual",IFERROR(U18/T18/Z18/AA18,""),"")</f>
        <v/>
      </c>
      <c r="AD18" s="43">
        <f>IF($D18="Actual",IFERROR(V18/(U18+V18),""),"")</f>
        <v/>
      </c>
      <c r="AE18" s="46">
        <f>IFERROR(AC18*Z18*AA18,"")</f>
        <v/>
      </c>
      <c r="AF18" s="47" t="n"/>
      <c r="AG18" s="43">
        <f>IF($D18="Forecast",IFERROR(K18/AF18-1,""),"")</f>
        <v/>
      </c>
    </row>
    <row r="19">
      <c r="A19" s="8" t="n">
        <v>45778</v>
      </c>
      <c r="B19" s="26">
        <f>YEAR(A19)</f>
        <v/>
      </c>
      <c r="C19" s="26">
        <f>MONTH(A19)</f>
        <v/>
      </c>
      <c r="D19">
        <f>IF(A19&lt;=LastActual,"Actual","Forecast")</f>
        <v/>
      </c>
      <c r="E19" s="24">
        <f>IF($D19="Actual",R19,W19)</f>
        <v/>
      </c>
      <c r="F19" s="27">
        <f>IF($D19="Actual",S19,Cases_Forecast!AN12)</f>
        <v/>
      </c>
      <c r="G19" s="9">
        <f>IF($D19="Actual",T19,IFERROR(H19/AE19,0))</f>
        <v/>
      </c>
      <c r="H19" s="24">
        <f>IF($D19="Actual",U19,J19-I19)</f>
        <v/>
      </c>
      <c r="I19" s="24">
        <f>IF($D19="Actual",V19,IFERROR(J19*AD19,0))</f>
        <v/>
      </c>
      <c r="J19" s="24">
        <f>IF($D19="Actual",U19+V19,E19*X19)</f>
        <v/>
      </c>
      <c r="K19" s="28">
        <f>IFERROR(F19/G19,0)</f>
        <v/>
      </c>
      <c r="L19" s="29">
        <f>IFERROR(H19/G19,0)</f>
        <v/>
      </c>
      <c r="M19" s="30">
        <f>IFERROR(J19/F19,0)</f>
        <v/>
      </c>
      <c r="N19" s="10">
        <f>IFERROR(J19/E19,0)</f>
        <v/>
      </c>
      <c r="O19" s="10">
        <f>IFERROR(I19/J19,0)</f>
        <v/>
      </c>
      <c r="R19" s="42">
        <f>IF($D19="Actual",SUMIFS(Data_Actuals!$C$2:$C$5000,Data_Actuals!$A$2:$A$5000,$A19,Data_Actuals!$B$2:$B$5000,$B$2),"")</f>
        <v/>
      </c>
      <c r="S19" s="42">
        <f>IF($D19="Actual",SUMIFS(Data_Actuals!$D$2:$D$5000,Data_Actuals!$A$2:$A$5000,$A19,Data_Actuals!$B$2:$B$5000,$B$2),"")</f>
        <v/>
      </c>
      <c r="T19" s="42">
        <f>IF($D19="Actual",SUMIFS(Data_Actuals!$E$2:$E$5000,Data_Actuals!$A$2:$A$5000,$A19,Data_Actuals!$B$2:$B$5000,$B$2),"")</f>
        <v/>
      </c>
      <c r="U19" s="42">
        <f>IF($D19="Actual",SUMIFS(Data_Actuals!$F$2:$F$5000,Data_Actuals!$A$2:$A$5000,$A19,Data_Actuals!$B$2:$B$5000,$B$2),"")</f>
        <v/>
      </c>
      <c r="V19" s="42">
        <f>IF($D19="Actual",SUMIFS(Data_Actuals!$G$2:$G$5000,Data_Actuals!$A$2:$A$5000,$A19,Data_Actuals!$B$2:$B$5000,$B$2),"")</f>
        <v/>
      </c>
      <c r="W19" s="42">
        <f>SUMIFS(Plan_Inputs!$C$2:$C$5000,Plan_Inputs!$A$2:$A$5000,$A19,Plan_Inputs!$B$2:$B$5000,$B$2)</f>
        <v/>
      </c>
      <c r="X19" s="43">
        <f>SUMIFS(Plan_Inputs!$D$2:$D$5000,Plan_Inputs!$A$2:$A$5000,$A19,Plan_Inputs!$B$2:$B$5000,$B$2)</f>
        <v/>
      </c>
      <c r="Y19" s="42">
        <f>E19</f>
        <v/>
      </c>
      <c r="Z19" s="44">
        <f>INDEX(Calendar!$H$5:$L$52,MATCH($A19,Calendar!$A$5:$A$52,0),MATCH($D$2,Calendar!$H$4:$L$4,0))</f>
        <v/>
      </c>
      <c r="AA19" s="44">
        <f>INDEX(Calendar!$M$5:$M$52,MATCH($A19,Calendar!$A$5:$A$52,0))</f>
        <v/>
      </c>
      <c r="AB19" s="45">
        <f>IF($D19="Actual",IFERROR(S19/Y19,""),"")</f>
        <v/>
      </c>
      <c r="AC19" s="46">
        <f>IF($D19="Actual",IFERROR(U19/T19/Z19/AA19,""),"")</f>
        <v/>
      </c>
      <c r="AD19" s="43">
        <f>IF($D19="Actual",IFERROR(V19/(U19+V19),""),"")</f>
        <v/>
      </c>
      <c r="AE19" s="46">
        <f>IFERROR(AC19*Z19*AA19,"")</f>
        <v/>
      </c>
      <c r="AF19" s="47" t="n"/>
      <c r="AG19" s="43">
        <f>IF($D19="Forecast",IFERROR(K19/AF19-1,""),"")</f>
        <v/>
      </c>
    </row>
    <row r="20">
      <c r="A20" s="8" t="n">
        <v>45809</v>
      </c>
      <c r="B20" s="26">
        <f>YEAR(A20)</f>
        <v/>
      </c>
      <c r="C20" s="26">
        <f>MONTH(A20)</f>
        <v/>
      </c>
      <c r="D20">
        <f>IF(A20&lt;=LastActual,"Actual","Forecast")</f>
        <v/>
      </c>
      <c r="E20" s="24">
        <f>IF($D20="Actual",R20,W20)</f>
        <v/>
      </c>
      <c r="F20" s="27">
        <f>IF($D20="Actual",S20,Cases_Forecast!AN13)</f>
        <v/>
      </c>
      <c r="G20" s="9">
        <f>IF($D20="Actual",T20,IFERROR(H20/AE20,0))</f>
        <v/>
      </c>
      <c r="H20" s="24">
        <f>IF($D20="Actual",U20,J20-I20)</f>
        <v/>
      </c>
      <c r="I20" s="24">
        <f>IF($D20="Actual",V20,IFERROR(J20*AD20,0))</f>
        <v/>
      </c>
      <c r="J20" s="24">
        <f>IF($D20="Actual",U20+V20,E20*X20)</f>
        <v/>
      </c>
      <c r="K20" s="28">
        <f>IFERROR(F20/G20,0)</f>
        <v/>
      </c>
      <c r="L20" s="29">
        <f>IFERROR(H20/G20,0)</f>
        <v/>
      </c>
      <c r="M20" s="30">
        <f>IFERROR(J20/F20,0)</f>
        <v/>
      </c>
      <c r="N20" s="10">
        <f>IFERROR(J20/E20,0)</f>
        <v/>
      </c>
      <c r="O20" s="10">
        <f>IFERROR(I20/J20,0)</f>
        <v/>
      </c>
      <c r="R20" s="42">
        <f>IF($D20="Actual",SUMIFS(Data_Actuals!$C$2:$C$5000,Data_Actuals!$A$2:$A$5000,$A20,Data_Actuals!$B$2:$B$5000,$B$2),"")</f>
        <v/>
      </c>
      <c r="S20" s="42">
        <f>IF($D20="Actual",SUMIFS(Data_Actuals!$D$2:$D$5000,Data_Actuals!$A$2:$A$5000,$A20,Data_Actuals!$B$2:$B$5000,$B$2),"")</f>
        <v/>
      </c>
      <c r="T20" s="42">
        <f>IF($D20="Actual",SUMIFS(Data_Actuals!$E$2:$E$5000,Data_Actuals!$A$2:$A$5000,$A20,Data_Actuals!$B$2:$B$5000,$B$2),"")</f>
        <v/>
      </c>
      <c r="U20" s="42">
        <f>IF($D20="Actual",SUMIFS(Data_Actuals!$F$2:$F$5000,Data_Actuals!$A$2:$A$5000,$A20,Data_Actuals!$B$2:$B$5000,$B$2),"")</f>
        <v/>
      </c>
      <c r="V20" s="42">
        <f>IF($D20="Actual",SUMIFS(Data_Actuals!$G$2:$G$5000,Data_Actuals!$A$2:$A$5000,$A20,Data_Actuals!$B$2:$B$5000,$B$2),"")</f>
        <v/>
      </c>
      <c r="W20" s="42">
        <f>SUMIFS(Plan_Inputs!$C$2:$C$5000,Plan_Inputs!$A$2:$A$5000,$A20,Plan_Inputs!$B$2:$B$5000,$B$2)</f>
        <v/>
      </c>
      <c r="X20" s="43">
        <f>SUMIFS(Plan_Inputs!$D$2:$D$5000,Plan_Inputs!$A$2:$A$5000,$A20,Plan_Inputs!$B$2:$B$5000,$B$2)</f>
        <v/>
      </c>
      <c r="Y20" s="42">
        <f>E20</f>
        <v/>
      </c>
      <c r="Z20" s="44">
        <f>INDEX(Calendar!$H$5:$L$52,MATCH($A20,Calendar!$A$5:$A$52,0),MATCH($D$2,Calendar!$H$4:$L$4,0))</f>
        <v/>
      </c>
      <c r="AA20" s="44">
        <f>INDEX(Calendar!$M$5:$M$52,MATCH($A20,Calendar!$A$5:$A$52,0))</f>
        <v/>
      </c>
      <c r="AB20" s="45">
        <f>IF($D20="Actual",IFERROR(S20/Y20,""),"")</f>
        <v/>
      </c>
      <c r="AC20" s="46">
        <f>IF($D20="Actual",IFERROR(U20/T20/Z20/AA20,""),"")</f>
        <v/>
      </c>
      <c r="AD20" s="43">
        <f>IF($D20="Actual",IFERROR(V20/(U20+V20),""),"")</f>
        <v/>
      </c>
      <c r="AE20" s="46">
        <f>IFERROR(AC20*Z20*AA20,"")</f>
        <v/>
      </c>
      <c r="AF20" s="47" t="n"/>
      <c r="AG20" s="43">
        <f>IF($D20="Forecast",IFERROR(K20/AF20-1,""),"")</f>
        <v/>
      </c>
    </row>
    <row r="21">
      <c r="A21" s="8" t="n">
        <v>45839</v>
      </c>
      <c r="B21" s="26">
        <f>YEAR(A21)</f>
        <v/>
      </c>
      <c r="C21" s="26">
        <f>MONTH(A21)</f>
        <v/>
      </c>
      <c r="D21">
        <f>IF(A21&lt;=LastActual,"Actual","Forecast")</f>
        <v/>
      </c>
      <c r="E21" s="24">
        <f>IF($D21="Actual",R21,W21)</f>
        <v/>
      </c>
      <c r="F21" s="27">
        <f>IF($D21="Actual",S21,Cases_Forecast!AN14)</f>
        <v/>
      </c>
      <c r="G21" s="9">
        <f>IF($D21="Actual",T21,IFERROR(H21/AE21,0))</f>
        <v/>
      </c>
      <c r="H21" s="24">
        <f>IF($D21="Actual",U21,J21-I21)</f>
        <v/>
      </c>
      <c r="I21" s="24">
        <f>IF($D21="Actual",V21,IFERROR(J21*AD21,0))</f>
        <v/>
      </c>
      <c r="J21" s="24">
        <f>IF($D21="Actual",U21+V21,E21*X21)</f>
        <v/>
      </c>
      <c r="K21" s="28">
        <f>IFERROR(F21/G21,0)</f>
        <v/>
      </c>
      <c r="L21" s="29">
        <f>IFERROR(H21/G21,0)</f>
        <v/>
      </c>
      <c r="M21" s="30">
        <f>IFERROR(J21/F21,0)</f>
        <v/>
      </c>
      <c r="N21" s="10">
        <f>IFERROR(J21/E21,0)</f>
        <v/>
      </c>
      <c r="O21" s="10">
        <f>IFERROR(I21/J21,0)</f>
        <v/>
      </c>
      <c r="R21" s="42">
        <f>IF($D21="Actual",SUMIFS(Data_Actuals!$C$2:$C$5000,Data_Actuals!$A$2:$A$5000,$A21,Data_Actuals!$B$2:$B$5000,$B$2),"")</f>
        <v/>
      </c>
      <c r="S21" s="42">
        <f>IF($D21="Actual",SUMIFS(Data_Actuals!$D$2:$D$5000,Data_Actuals!$A$2:$A$5000,$A21,Data_Actuals!$B$2:$B$5000,$B$2),"")</f>
        <v/>
      </c>
      <c r="T21" s="42">
        <f>IF($D21="Actual",SUMIFS(Data_Actuals!$E$2:$E$5000,Data_Actuals!$A$2:$A$5000,$A21,Data_Actuals!$B$2:$B$5000,$B$2),"")</f>
        <v/>
      </c>
      <c r="U21" s="42">
        <f>IF($D21="Actual",SUMIFS(Data_Actuals!$F$2:$F$5000,Data_Actuals!$A$2:$A$5000,$A21,Data_Actuals!$B$2:$B$5000,$B$2),"")</f>
        <v/>
      </c>
      <c r="V21" s="42">
        <f>IF($D21="Actual",SUMIFS(Data_Actuals!$G$2:$G$5000,Data_Actuals!$A$2:$A$5000,$A21,Data_Actuals!$B$2:$B$5000,$B$2),"")</f>
        <v/>
      </c>
      <c r="W21" s="42">
        <f>SUMIFS(Plan_Inputs!$C$2:$C$5000,Plan_Inputs!$A$2:$A$5000,$A21,Plan_Inputs!$B$2:$B$5000,$B$2)</f>
        <v/>
      </c>
      <c r="X21" s="43">
        <f>SUMIFS(Plan_Inputs!$D$2:$D$5000,Plan_Inputs!$A$2:$A$5000,$A21,Plan_Inputs!$B$2:$B$5000,$B$2)</f>
        <v/>
      </c>
      <c r="Y21" s="42">
        <f>E21</f>
        <v/>
      </c>
      <c r="Z21" s="44">
        <f>INDEX(Calendar!$H$5:$L$52,MATCH($A21,Calendar!$A$5:$A$52,0),MATCH($D$2,Calendar!$H$4:$L$4,0))</f>
        <v/>
      </c>
      <c r="AA21" s="44">
        <f>INDEX(Calendar!$M$5:$M$52,MATCH($A21,Calendar!$A$5:$A$52,0))</f>
        <v/>
      </c>
      <c r="AB21" s="45">
        <f>IF($D21="Actual",IFERROR(S21/Y21,""),"")</f>
        <v/>
      </c>
      <c r="AC21" s="46">
        <f>IF($D21="Actual",IFERROR(U21/T21/Z21/AA21,""),"")</f>
        <v/>
      </c>
      <c r="AD21" s="43">
        <f>IF($D21="Actual",IFERROR(V21/(U21+V21),""),"")</f>
        <v/>
      </c>
      <c r="AE21" s="46">
        <f>IFERROR(AC21*Z21*AA21,"")</f>
        <v/>
      </c>
      <c r="AF21" s="47" t="n"/>
      <c r="AG21" s="43">
        <f>IF($D21="Forecast",IFERROR(K21/AF21-1,""),"")</f>
        <v/>
      </c>
    </row>
    <row r="22">
      <c r="A22" s="8" t="n">
        <v>45870</v>
      </c>
      <c r="B22" s="26">
        <f>YEAR(A22)</f>
        <v/>
      </c>
      <c r="C22" s="26">
        <f>MONTH(A22)</f>
        <v/>
      </c>
      <c r="D22">
        <f>IF(A22&lt;=LastActual,"Actual","Forecast")</f>
        <v/>
      </c>
      <c r="E22" s="24">
        <f>IF($D22="Actual",R22,W22)</f>
        <v/>
      </c>
      <c r="F22" s="27">
        <f>IF($D22="Actual",S22,Cases_Forecast!AN15)</f>
        <v/>
      </c>
      <c r="G22" s="9">
        <f>IF($D22="Actual",T22,IFERROR(H22/AE22,0))</f>
        <v/>
      </c>
      <c r="H22" s="24">
        <f>IF($D22="Actual",U22,J22-I22)</f>
        <v/>
      </c>
      <c r="I22" s="24">
        <f>IF($D22="Actual",V22,IFERROR(J22*AD22,0))</f>
        <v/>
      </c>
      <c r="J22" s="24">
        <f>IF($D22="Actual",U22+V22,E22*X22)</f>
        <v/>
      </c>
      <c r="K22" s="28">
        <f>IFERROR(F22/G22,0)</f>
        <v/>
      </c>
      <c r="L22" s="29">
        <f>IFERROR(H22/G22,0)</f>
        <v/>
      </c>
      <c r="M22" s="30">
        <f>IFERROR(J22/F22,0)</f>
        <v/>
      </c>
      <c r="N22" s="10">
        <f>IFERROR(J22/E22,0)</f>
        <v/>
      </c>
      <c r="O22" s="10">
        <f>IFERROR(I22/J22,0)</f>
        <v/>
      </c>
      <c r="R22" s="42">
        <f>IF($D22="Actual",SUMIFS(Data_Actuals!$C$2:$C$5000,Data_Actuals!$A$2:$A$5000,$A22,Data_Actuals!$B$2:$B$5000,$B$2),"")</f>
        <v/>
      </c>
      <c r="S22" s="42">
        <f>IF($D22="Actual",SUMIFS(Data_Actuals!$D$2:$D$5000,Data_Actuals!$A$2:$A$5000,$A22,Data_Actuals!$B$2:$B$5000,$B$2),"")</f>
        <v/>
      </c>
      <c r="T22" s="42">
        <f>IF($D22="Actual",SUMIFS(Data_Actuals!$E$2:$E$5000,Data_Actuals!$A$2:$A$5000,$A22,Data_Actuals!$B$2:$B$5000,$B$2),"")</f>
        <v/>
      </c>
      <c r="U22" s="42">
        <f>IF($D22="Actual",SUMIFS(Data_Actuals!$F$2:$F$5000,Data_Actuals!$A$2:$A$5000,$A22,Data_Actuals!$B$2:$B$5000,$B$2),"")</f>
        <v/>
      </c>
      <c r="V22" s="42">
        <f>IF($D22="Actual",SUMIFS(Data_Actuals!$G$2:$G$5000,Data_Actuals!$A$2:$A$5000,$A22,Data_Actuals!$B$2:$B$5000,$B$2),"")</f>
        <v/>
      </c>
      <c r="W22" s="42">
        <f>SUMIFS(Plan_Inputs!$C$2:$C$5000,Plan_Inputs!$A$2:$A$5000,$A22,Plan_Inputs!$B$2:$B$5000,$B$2)</f>
        <v/>
      </c>
      <c r="X22" s="43">
        <f>SUMIFS(Plan_Inputs!$D$2:$D$5000,Plan_Inputs!$A$2:$A$5000,$A22,Plan_Inputs!$B$2:$B$5000,$B$2)</f>
        <v/>
      </c>
      <c r="Y22" s="42">
        <f>E22</f>
        <v/>
      </c>
      <c r="Z22" s="44">
        <f>INDEX(Calendar!$H$5:$L$52,MATCH($A22,Calendar!$A$5:$A$52,0),MATCH($D$2,Calendar!$H$4:$L$4,0))</f>
        <v/>
      </c>
      <c r="AA22" s="44">
        <f>INDEX(Calendar!$M$5:$M$52,MATCH($A22,Calendar!$A$5:$A$52,0))</f>
        <v/>
      </c>
      <c r="AB22" s="45">
        <f>IF($D22="Actual",IFERROR(S22/Y22,""),"")</f>
        <v/>
      </c>
      <c r="AC22" s="46">
        <f>IF($D22="Actual",IFERROR(U22/T22/Z22/AA22,""),"")</f>
        <v/>
      </c>
      <c r="AD22" s="43">
        <f>IF($D22="Actual",IFERROR(V22/(U22+V22),""),"")</f>
        <v/>
      </c>
      <c r="AE22" s="46">
        <f>IFERROR(AC22*Z22*AA22,"")</f>
        <v/>
      </c>
      <c r="AF22" s="47" t="n"/>
      <c r="AG22" s="43">
        <f>IF($D22="Forecast",IFERROR(K22/AF22-1,""),"")</f>
        <v/>
      </c>
    </row>
    <row r="23">
      <c r="A23" s="8" t="n">
        <v>45901</v>
      </c>
      <c r="B23" s="26">
        <f>YEAR(A23)</f>
        <v/>
      </c>
      <c r="C23" s="26">
        <f>MONTH(A23)</f>
        <v/>
      </c>
      <c r="D23">
        <f>IF(A23&lt;=LastActual,"Actual","Forecast")</f>
        <v/>
      </c>
      <c r="E23" s="24">
        <f>IF($D23="Actual",R23,W23)</f>
        <v/>
      </c>
      <c r="F23" s="27">
        <f>IF($D23="Actual",S23,Cases_Forecast!AN16)</f>
        <v/>
      </c>
      <c r="G23" s="9">
        <f>IF($D23="Actual",T23,IFERROR(H23/AE23,0))</f>
        <v/>
      </c>
      <c r="H23" s="24">
        <f>IF($D23="Actual",U23,J23-I23)</f>
        <v/>
      </c>
      <c r="I23" s="24">
        <f>IF($D23="Actual",V23,IFERROR(J23*AD23,0))</f>
        <v/>
      </c>
      <c r="J23" s="24">
        <f>IF($D23="Actual",U23+V23,E23*X23)</f>
        <v/>
      </c>
      <c r="K23" s="28">
        <f>IFERROR(F23/G23,0)</f>
        <v/>
      </c>
      <c r="L23" s="29">
        <f>IFERROR(H23/G23,0)</f>
        <v/>
      </c>
      <c r="M23" s="30">
        <f>IFERROR(J23/F23,0)</f>
        <v/>
      </c>
      <c r="N23" s="10">
        <f>IFERROR(J23/E23,0)</f>
        <v/>
      </c>
      <c r="O23" s="10">
        <f>IFERROR(I23/J23,0)</f>
        <v/>
      </c>
      <c r="R23" s="42">
        <f>IF($D23="Actual",SUMIFS(Data_Actuals!$C$2:$C$5000,Data_Actuals!$A$2:$A$5000,$A23,Data_Actuals!$B$2:$B$5000,$B$2),"")</f>
        <v/>
      </c>
      <c r="S23" s="42">
        <f>IF($D23="Actual",SUMIFS(Data_Actuals!$D$2:$D$5000,Data_Actuals!$A$2:$A$5000,$A23,Data_Actuals!$B$2:$B$5000,$B$2),"")</f>
        <v/>
      </c>
      <c r="T23" s="42">
        <f>IF($D23="Actual",SUMIFS(Data_Actuals!$E$2:$E$5000,Data_Actuals!$A$2:$A$5000,$A23,Data_Actuals!$B$2:$B$5000,$B$2),"")</f>
        <v/>
      </c>
      <c r="U23" s="42">
        <f>IF($D23="Actual",SUMIFS(Data_Actuals!$F$2:$F$5000,Data_Actuals!$A$2:$A$5000,$A23,Data_Actuals!$B$2:$B$5000,$B$2),"")</f>
        <v/>
      </c>
      <c r="V23" s="42">
        <f>IF($D23="Actual",SUMIFS(Data_Actuals!$G$2:$G$5000,Data_Actuals!$A$2:$A$5000,$A23,Data_Actuals!$B$2:$B$5000,$B$2),"")</f>
        <v/>
      </c>
      <c r="W23" s="42">
        <f>SUMIFS(Plan_Inputs!$C$2:$C$5000,Plan_Inputs!$A$2:$A$5000,$A23,Plan_Inputs!$B$2:$B$5000,$B$2)</f>
        <v/>
      </c>
      <c r="X23" s="43">
        <f>SUMIFS(Plan_Inputs!$D$2:$D$5000,Plan_Inputs!$A$2:$A$5000,$A23,Plan_Inputs!$B$2:$B$5000,$B$2)</f>
        <v/>
      </c>
      <c r="Y23" s="42">
        <f>E23</f>
        <v/>
      </c>
      <c r="Z23" s="44">
        <f>INDEX(Calendar!$H$5:$L$52,MATCH($A23,Calendar!$A$5:$A$52,0),MATCH($D$2,Calendar!$H$4:$L$4,0))</f>
        <v/>
      </c>
      <c r="AA23" s="44">
        <f>INDEX(Calendar!$M$5:$M$52,MATCH($A23,Calendar!$A$5:$A$52,0))</f>
        <v/>
      </c>
      <c r="AB23" s="45">
        <f>IF($D23="Actual",IFERROR(S23/Y23,""),"")</f>
        <v/>
      </c>
      <c r="AC23" s="46">
        <f>IF($D23="Actual",IFERROR(U23/T23/Z23/AA23,""),"")</f>
        <v/>
      </c>
      <c r="AD23" s="43">
        <f>IF($D23="Actual",IFERROR(V23/(U23+V23),""),"")</f>
        <v/>
      </c>
      <c r="AE23" s="46">
        <f>IFERROR(AC23*Z23*AA23,"")</f>
        <v/>
      </c>
      <c r="AF23" s="47" t="n"/>
      <c r="AG23" s="43">
        <f>IF($D23="Forecast",IFERROR(K23/AF23-1,""),"")</f>
        <v/>
      </c>
    </row>
    <row r="24">
      <c r="A24" s="8" t="n">
        <v>45931</v>
      </c>
      <c r="B24" s="26">
        <f>YEAR(A24)</f>
        <v/>
      </c>
      <c r="C24" s="26">
        <f>MONTH(A24)</f>
        <v/>
      </c>
      <c r="D24">
        <f>IF(A24&lt;=LastActual,"Actual","Forecast")</f>
        <v/>
      </c>
      <c r="E24" s="24">
        <f>IF($D24="Actual",R24,W24)</f>
        <v/>
      </c>
      <c r="F24" s="27">
        <f>IF($D24="Actual",S24,Cases_Forecast!AN17)</f>
        <v/>
      </c>
      <c r="G24" s="9">
        <f>IF($D24="Actual",T24,IFERROR(H24/AE24,0))</f>
        <v/>
      </c>
      <c r="H24" s="24">
        <f>IF($D24="Actual",U24,J24-I24)</f>
        <v/>
      </c>
      <c r="I24" s="24">
        <f>IF($D24="Actual",V24,IFERROR(J24*AD24,0))</f>
        <v/>
      </c>
      <c r="J24" s="24">
        <f>IF($D24="Actual",U24+V24,E24*X24)</f>
        <v/>
      </c>
      <c r="K24" s="28">
        <f>IFERROR(F24/G24,0)</f>
        <v/>
      </c>
      <c r="L24" s="29">
        <f>IFERROR(H24/G24,0)</f>
        <v/>
      </c>
      <c r="M24" s="30">
        <f>IFERROR(J24/F24,0)</f>
        <v/>
      </c>
      <c r="N24" s="10">
        <f>IFERROR(J24/E24,0)</f>
        <v/>
      </c>
      <c r="O24" s="10">
        <f>IFERROR(I24/J24,0)</f>
        <v/>
      </c>
      <c r="R24" s="42">
        <f>IF($D24="Actual",SUMIFS(Data_Actuals!$C$2:$C$5000,Data_Actuals!$A$2:$A$5000,$A24,Data_Actuals!$B$2:$B$5000,$B$2),"")</f>
        <v/>
      </c>
      <c r="S24" s="42">
        <f>IF($D24="Actual",SUMIFS(Data_Actuals!$D$2:$D$5000,Data_Actuals!$A$2:$A$5000,$A24,Data_Actuals!$B$2:$B$5000,$B$2),"")</f>
        <v/>
      </c>
      <c r="T24" s="42">
        <f>IF($D24="Actual",SUMIFS(Data_Actuals!$E$2:$E$5000,Data_Actuals!$A$2:$A$5000,$A24,Data_Actuals!$B$2:$B$5000,$B$2),"")</f>
        <v/>
      </c>
      <c r="U24" s="42">
        <f>IF($D24="Actual",SUMIFS(Data_Actuals!$F$2:$F$5000,Data_Actuals!$A$2:$A$5000,$A24,Data_Actuals!$B$2:$B$5000,$B$2),"")</f>
        <v/>
      </c>
      <c r="V24" s="42">
        <f>IF($D24="Actual",SUMIFS(Data_Actuals!$G$2:$G$5000,Data_Actuals!$A$2:$A$5000,$A24,Data_Actuals!$B$2:$B$5000,$B$2),"")</f>
        <v/>
      </c>
      <c r="W24" s="42">
        <f>SUMIFS(Plan_Inputs!$C$2:$C$5000,Plan_Inputs!$A$2:$A$5000,$A24,Plan_Inputs!$B$2:$B$5000,$B$2)</f>
        <v/>
      </c>
      <c r="X24" s="43">
        <f>SUMIFS(Plan_Inputs!$D$2:$D$5000,Plan_Inputs!$A$2:$A$5000,$A24,Plan_Inputs!$B$2:$B$5000,$B$2)</f>
        <v/>
      </c>
      <c r="Y24" s="42">
        <f>E24</f>
        <v/>
      </c>
      <c r="Z24" s="44">
        <f>INDEX(Calendar!$H$5:$L$52,MATCH($A24,Calendar!$A$5:$A$52,0),MATCH($D$2,Calendar!$H$4:$L$4,0))</f>
        <v/>
      </c>
      <c r="AA24" s="44">
        <f>INDEX(Calendar!$M$5:$M$52,MATCH($A24,Calendar!$A$5:$A$52,0))</f>
        <v/>
      </c>
      <c r="AB24" s="45">
        <f>IF($D24="Actual",IFERROR(S24/Y24,""),"")</f>
        <v/>
      </c>
      <c r="AC24" s="46">
        <f>IF($D24="Actual",IFERROR(U24/T24/Z24/AA24,""),"")</f>
        <v/>
      </c>
      <c r="AD24" s="43">
        <f>IF($D24="Actual",IFERROR(V24/(U24+V24),""),"")</f>
        <v/>
      </c>
      <c r="AE24" s="46">
        <f>IFERROR(AC24*Z24*AA24,"")</f>
        <v/>
      </c>
      <c r="AF24" s="47" t="n"/>
      <c r="AG24" s="43">
        <f>IF($D24="Forecast",IFERROR(K24/AF24-1,""),"")</f>
        <v/>
      </c>
    </row>
    <row r="25">
      <c r="A25" s="8" t="n">
        <v>45962</v>
      </c>
      <c r="B25" s="26">
        <f>YEAR(A25)</f>
        <v/>
      </c>
      <c r="C25" s="26">
        <f>MONTH(A25)</f>
        <v/>
      </c>
      <c r="D25">
        <f>IF(A25&lt;=LastActual,"Actual","Forecast")</f>
        <v/>
      </c>
      <c r="E25" s="24">
        <f>IF($D25="Actual",R25,W25)</f>
        <v/>
      </c>
      <c r="F25" s="27">
        <f>IF($D25="Actual",S25,Cases_Forecast!AN18)</f>
        <v/>
      </c>
      <c r="G25" s="9">
        <f>IF($D25="Actual",T25,IFERROR(H25/AE25,0))</f>
        <v/>
      </c>
      <c r="H25" s="24">
        <f>IF($D25="Actual",U25,J25-I25)</f>
        <v/>
      </c>
      <c r="I25" s="24">
        <f>IF($D25="Actual",V25,IFERROR(J25*AD25,0))</f>
        <v/>
      </c>
      <c r="J25" s="24">
        <f>IF($D25="Actual",U25+V25,E25*X25)</f>
        <v/>
      </c>
      <c r="K25" s="28">
        <f>IFERROR(F25/G25,0)</f>
        <v/>
      </c>
      <c r="L25" s="29">
        <f>IFERROR(H25/G25,0)</f>
        <v/>
      </c>
      <c r="M25" s="30">
        <f>IFERROR(J25/F25,0)</f>
        <v/>
      </c>
      <c r="N25" s="10">
        <f>IFERROR(J25/E25,0)</f>
        <v/>
      </c>
      <c r="O25" s="10">
        <f>IFERROR(I25/J25,0)</f>
        <v/>
      </c>
      <c r="R25" s="42">
        <f>IF($D25="Actual",SUMIFS(Data_Actuals!$C$2:$C$5000,Data_Actuals!$A$2:$A$5000,$A25,Data_Actuals!$B$2:$B$5000,$B$2),"")</f>
        <v/>
      </c>
      <c r="S25" s="42">
        <f>IF($D25="Actual",SUMIFS(Data_Actuals!$D$2:$D$5000,Data_Actuals!$A$2:$A$5000,$A25,Data_Actuals!$B$2:$B$5000,$B$2),"")</f>
        <v/>
      </c>
      <c r="T25" s="42">
        <f>IF($D25="Actual",SUMIFS(Data_Actuals!$E$2:$E$5000,Data_Actuals!$A$2:$A$5000,$A25,Data_Actuals!$B$2:$B$5000,$B$2),"")</f>
        <v/>
      </c>
      <c r="U25" s="42">
        <f>IF($D25="Actual",SUMIFS(Data_Actuals!$F$2:$F$5000,Data_Actuals!$A$2:$A$5000,$A25,Data_Actuals!$B$2:$B$5000,$B$2),"")</f>
        <v/>
      </c>
      <c r="V25" s="42">
        <f>IF($D25="Actual",SUMIFS(Data_Actuals!$G$2:$G$5000,Data_Actuals!$A$2:$A$5000,$A25,Data_Actuals!$B$2:$B$5000,$B$2),"")</f>
        <v/>
      </c>
      <c r="W25" s="42">
        <f>SUMIFS(Plan_Inputs!$C$2:$C$5000,Plan_Inputs!$A$2:$A$5000,$A25,Plan_Inputs!$B$2:$B$5000,$B$2)</f>
        <v/>
      </c>
      <c r="X25" s="43">
        <f>SUMIFS(Plan_Inputs!$D$2:$D$5000,Plan_Inputs!$A$2:$A$5000,$A25,Plan_Inputs!$B$2:$B$5000,$B$2)</f>
        <v/>
      </c>
      <c r="Y25" s="42">
        <f>E25</f>
        <v/>
      </c>
      <c r="Z25" s="44">
        <f>INDEX(Calendar!$H$5:$L$52,MATCH($A25,Calendar!$A$5:$A$52,0),MATCH($D$2,Calendar!$H$4:$L$4,0))</f>
        <v/>
      </c>
      <c r="AA25" s="44">
        <f>INDEX(Calendar!$M$5:$M$52,MATCH($A25,Calendar!$A$5:$A$52,0))</f>
        <v/>
      </c>
      <c r="AB25" s="45">
        <f>IF($D25="Actual",IFERROR(S25/Y25,""),"")</f>
        <v/>
      </c>
      <c r="AC25" s="46">
        <f>IF($D25="Actual",IFERROR(U25/T25/Z25/AA25,""),"")</f>
        <v/>
      </c>
      <c r="AD25" s="43">
        <f>IF($D25="Actual",IFERROR(V25/(U25+V25),""),"")</f>
        <v/>
      </c>
      <c r="AE25" s="46">
        <f>IFERROR(AC25*Z25*AA25,"")</f>
        <v/>
      </c>
      <c r="AF25" s="47" t="n"/>
      <c r="AG25" s="43">
        <f>IF($D25="Forecast",IFERROR(K25/AF25-1,""),"")</f>
        <v/>
      </c>
    </row>
    <row r="26">
      <c r="A26" s="31" t="n">
        <v>45992</v>
      </c>
      <c r="B26" s="32">
        <f>YEAR(A26)</f>
        <v/>
      </c>
      <c r="C26" s="32">
        <f>MONTH(A26)</f>
        <v/>
      </c>
      <c r="D26" s="33">
        <f>IF(A26&lt;=LastActual,"Actual","Forecast")</f>
        <v/>
      </c>
      <c r="E26" s="34">
        <f>IF($D26="Actual",R26,W26)</f>
        <v/>
      </c>
      <c r="F26" s="35">
        <f>IF($D26="Actual",S26,Cases_Forecast!AN19)</f>
        <v/>
      </c>
      <c r="G26" s="36">
        <f>IF($D26="Actual",T26,IFERROR(H26/AE26,0))</f>
        <v/>
      </c>
      <c r="H26" s="34">
        <f>IF($D26="Actual",U26,J26-I26)</f>
        <v/>
      </c>
      <c r="I26" s="34">
        <f>IF($D26="Actual",V26,IFERROR(J26*AD26,0))</f>
        <v/>
      </c>
      <c r="J26" s="34">
        <f>IF($D26="Actual",U26+V26,E26*X26)</f>
        <v/>
      </c>
      <c r="K26" s="37">
        <f>IFERROR(F26/G26,0)</f>
        <v/>
      </c>
      <c r="L26" s="38">
        <f>IFERROR(H26/G26,0)</f>
        <v/>
      </c>
      <c r="M26" s="39">
        <f>IFERROR(J26/F26,0)</f>
        <v/>
      </c>
      <c r="N26" s="40">
        <f>IFERROR(J26/E26,0)</f>
        <v/>
      </c>
      <c r="O26" s="40">
        <f>IFERROR(I26/J26,0)</f>
        <v/>
      </c>
      <c r="R26" s="42">
        <f>IF($D26="Actual",SUMIFS(Data_Actuals!$C$2:$C$5000,Data_Actuals!$A$2:$A$5000,$A26,Data_Actuals!$B$2:$B$5000,$B$2),"")</f>
        <v/>
      </c>
      <c r="S26" s="42">
        <f>IF($D26="Actual",SUMIFS(Data_Actuals!$D$2:$D$5000,Data_Actuals!$A$2:$A$5000,$A26,Data_Actuals!$B$2:$B$5000,$B$2),"")</f>
        <v/>
      </c>
      <c r="T26" s="42">
        <f>IF($D26="Actual",SUMIFS(Data_Actuals!$E$2:$E$5000,Data_Actuals!$A$2:$A$5000,$A26,Data_Actuals!$B$2:$B$5000,$B$2),"")</f>
        <v/>
      </c>
      <c r="U26" s="42">
        <f>IF($D26="Actual",SUMIFS(Data_Actuals!$F$2:$F$5000,Data_Actuals!$A$2:$A$5000,$A26,Data_Actuals!$B$2:$B$5000,$B$2),"")</f>
        <v/>
      </c>
      <c r="V26" s="42">
        <f>IF($D26="Actual",SUMIFS(Data_Actuals!$G$2:$G$5000,Data_Actuals!$A$2:$A$5000,$A26,Data_Actuals!$B$2:$B$5000,$B$2),"")</f>
        <v/>
      </c>
      <c r="W26" s="42">
        <f>SUMIFS(Plan_Inputs!$C$2:$C$5000,Plan_Inputs!$A$2:$A$5000,$A26,Plan_Inputs!$B$2:$B$5000,$B$2)</f>
        <v/>
      </c>
      <c r="X26" s="43">
        <f>SUMIFS(Plan_Inputs!$D$2:$D$5000,Plan_Inputs!$A$2:$A$5000,$A26,Plan_Inputs!$B$2:$B$5000,$B$2)</f>
        <v/>
      </c>
      <c r="Y26" s="42">
        <f>E26</f>
        <v/>
      </c>
      <c r="Z26" s="44">
        <f>INDEX(Calendar!$H$5:$L$52,MATCH($A26,Calendar!$A$5:$A$52,0),MATCH($D$2,Calendar!$H$4:$L$4,0))</f>
        <v/>
      </c>
      <c r="AA26" s="44">
        <f>INDEX(Calendar!$M$5:$M$52,MATCH($A26,Calendar!$A$5:$A$52,0))</f>
        <v/>
      </c>
      <c r="AB26" s="45">
        <f>IF($D26="Actual",IFERROR(S26/Y26,""),"")</f>
        <v/>
      </c>
      <c r="AC26" s="46">
        <f>IF($D26="Actual",IFERROR(U26/T26/Z26/AA26,""),"")</f>
        <v/>
      </c>
      <c r="AD26" s="43">
        <f>IF($D26="Actual",IFERROR(V26/(U26+V26),""),"")</f>
        <v/>
      </c>
      <c r="AE26" s="46">
        <f>IFERROR(AC26*Z26*AA26,"")</f>
        <v/>
      </c>
      <c r="AF26" s="47" t="n"/>
      <c r="AG26" s="43">
        <f>IF($D26="Forecast",IFERROR(K26/AF26-1,""),"")</f>
        <v/>
      </c>
    </row>
    <row r="27">
      <c r="A27" s="8" t="n">
        <v>46023</v>
      </c>
      <c r="B27" s="26">
        <f>YEAR(A27)</f>
        <v/>
      </c>
      <c r="C27" s="26">
        <f>MONTH(A27)</f>
        <v/>
      </c>
      <c r="D27">
        <f>IF(A27&lt;=LastActual,"Actual","Forecast")</f>
        <v/>
      </c>
      <c r="E27" s="24">
        <f>IF($D27="Actual",R27,W27)</f>
        <v/>
      </c>
      <c r="F27" s="27">
        <f>IF($D27="Actual",S27,Cases_Forecast!AN20)</f>
        <v/>
      </c>
      <c r="G27" s="9">
        <f>IF($D27="Actual",T27,IFERROR(H27/AE27,0))</f>
        <v/>
      </c>
      <c r="H27" s="24">
        <f>IF($D27="Actual",U27,J27-I27)</f>
        <v/>
      </c>
      <c r="I27" s="24">
        <f>IF($D27="Actual",V27,IFERROR(J27*AD27,0))</f>
        <v/>
      </c>
      <c r="J27" s="24">
        <f>IF($D27="Actual",U27+V27,E27*X27)</f>
        <v/>
      </c>
      <c r="K27" s="28">
        <f>IFERROR(F27/G27,0)</f>
        <v/>
      </c>
      <c r="L27" s="29">
        <f>IFERROR(H27/G27,0)</f>
        <v/>
      </c>
      <c r="M27" s="30">
        <f>IFERROR(J27/F27,0)</f>
        <v/>
      </c>
      <c r="N27" s="10">
        <f>IFERROR(J27/E27,0)</f>
        <v/>
      </c>
      <c r="O27" s="10">
        <f>IFERROR(I27/J27,0)</f>
        <v/>
      </c>
      <c r="R27" s="42">
        <f>IF($D27="Actual",SUMIFS(Data_Actuals!$C$2:$C$5000,Data_Actuals!$A$2:$A$5000,$A27,Data_Actuals!$B$2:$B$5000,$B$2),"")</f>
        <v/>
      </c>
      <c r="S27" s="42">
        <f>IF($D27="Actual",SUMIFS(Data_Actuals!$D$2:$D$5000,Data_Actuals!$A$2:$A$5000,$A27,Data_Actuals!$B$2:$B$5000,$B$2),"")</f>
        <v/>
      </c>
      <c r="T27" s="42">
        <f>IF($D27="Actual",SUMIFS(Data_Actuals!$E$2:$E$5000,Data_Actuals!$A$2:$A$5000,$A27,Data_Actuals!$B$2:$B$5000,$B$2),"")</f>
        <v/>
      </c>
      <c r="U27" s="42">
        <f>IF($D27="Actual",SUMIFS(Data_Actuals!$F$2:$F$5000,Data_Actuals!$A$2:$A$5000,$A27,Data_Actuals!$B$2:$B$5000,$B$2),"")</f>
        <v/>
      </c>
      <c r="V27" s="42">
        <f>IF($D27="Actual",SUMIFS(Data_Actuals!$G$2:$G$5000,Data_Actuals!$A$2:$A$5000,$A27,Data_Actuals!$B$2:$B$5000,$B$2),"")</f>
        <v/>
      </c>
      <c r="W27" s="42">
        <f>SUMIFS(Plan_Inputs!$C$2:$C$5000,Plan_Inputs!$A$2:$A$5000,$A27,Plan_Inputs!$B$2:$B$5000,$B$2)</f>
        <v/>
      </c>
      <c r="X27" s="43">
        <f>SUMIFS(Plan_Inputs!$D$2:$D$5000,Plan_Inputs!$A$2:$A$5000,$A27,Plan_Inputs!$B$2:$B$5000,$B$2)</f>
        <v/>
      </c>
      <c r="Y27" s="42">
        <f>E27</f>
        <v/>
      </c>
      <c r="Z27" s="44">
        <f>INDEX(Calendar!$H$5:$L$52,MATCH($A27,Calendar!$A$5:$A$52,0),MATCH($D$2,Calendar!$H$4:$L$4,0))</f>
        <v/>
      </c>
      <c r="AA27" s="44">
        <f>INDEX(Calendar!$M$5:$M$52,MATCH($A27,Calendar!$A$5:$A$52,0))</f>
        <v/>
      </c>
      <c r="AB27" s="45">
        <f>IF($D27="Actual",IFERROR(S27/Y27,""),AB15)</f>
        <v/>
      </c>
      <c r="AC27" s="46">
        <f>IF($D27="Actual",IFERROR(U27/T27/Z27/AA27,""),AC15)</f>
        <v/>
      </c>
      <c r="AD27" s="43">
        <f>IF($D27="Actual",IFERROR(V27/(U27+V27),""),AD15)</f>
        <v/>
      </c>
      <c r="AE27" s="46">
        <f>IFERROR(AC27*Z27*AA27,"")</f>
        <v/>
      </c>
      <c r="AF27" s="47">
        <f>K15</f>
        <v/>
      </c>
      <c r="AG27" s="43">
        <f>IF($D27="Forecast",IFERROR(K27/AF27-1,""),"")</f>
        <v/>
      </c>
    </row>
    <row r="28">
      <c r="A28" s="8" t="n">
        <v>46054</v>
      </c>
      <c r="B28" s="26">
        <f>YEAR(A28)</f>
        <v/>
      </c>
      <c r="C28" s="26">
        <f>MONTH(A28)</f>
        <v/>
      </c>
      <c r="D28">
        <f>IF(A28&lt;=LastActual,"Actual","Forecast")</f>
        <v/>
      </c>
      <c r="E28" s="24">
        <f>IF($D28="Actual",R28,W28)</f>
        <v/>
      </c>
      <c r="F28" s="27">
        <f>IF($D28="Actual",S28,Cases_Forecast!AN21)</f>
        <v/>
      </c>
      <c r="G28" s="9">
        <f>IF($D28="Actual",T28,IFERROR(H28/AE28,0))</f>
        <v/>
      </c>
      <c r="H28" s="24">
        <f>IF($D28="Actual",U28,J28-I28)</f>
        <v/>
      </c>
      <c r="I28" s="24">
        <f>IF($D28="Actual",V28,IFERROR(J28*AD28,0))</f>
        <v/>
      </c>
      <c r="J28" s="24">
        <f>IF($D28="Actual",U28+V28,E28*X28)</f>
        <v/>
      </c>
      <c r="K28" s="28">
        <f>IFERROR(F28/G28,0)</f>
        <v/>
      </c>
      <c r="L28" s="29">
        <f>IFERROR(H28/G28,0)</f>
        <v/>
      </c>
      <c r="M28" s="30">
        <f>IFERROR(J28/F28,0)</f>
        <v/>
      </c>
      <c r="N28" s="10">
        <f>IFERROR(J28/E28,0)</f>
        <v/>
      </c>
      <c r="O28" s="10">
        <f>IFERROR(I28/J28,0)</f>
        <v/>
      </c>
      <c r="R28" s="42">
        <f>IF($D28="Actual",SUMIFS(Data_Actuals!$C$2:$C$5000,Data_Actuals!$A$2:$A$5000,$A28,Data_Actuals!$B$2:$B$5000,$B$2),"")</f>
        <v/>
      </c>
      <c r="S28" s="42">
        <f>IF($D28="Actual",SUMIFS(Data_Actuals!$D$2:$D$5000,Data_Actuals!$A$2:$A$5000,$A28,Data_Actuals!$B$2:$B$5000,$B$2),"")</f>
        <v/>
      </c>
      <c r="T28" s="42">
        <f>IF($D28="Actual",SUMIFS(Data_Actuals!$E$2:$E$5000,Data_Actuals!$A$2:$A$5000,$A28,Data_Actuals!$B$2:$B$5000,$B$2),"")</f>
        <v/>
      </c>
      <c r="U28" s="42">
        <f>IF($D28="Actual",SUMIFS(Data_Actuals!$F$2:$F$5000,Data_Actuals!$A$2:$A$5000,$A28,Data_Actuals!$B$2:$B$5000,$B$2),"")</f>
        <v/>
      </c>
      <c r="V28" s="42">
        <f>IF($D28="Actual",SUMIFS(Data_Actuals!$G$2:$G$5000,Data_Actuals!$A$2:$A$5000,$A28,Data_Actuals!$B$2:$B$5000,$B$2),"")</f>
        <v/>
      </c>
      <c r="W28" s="42">
        <f>SUMIFS(Plan_Inputs!$C$2:$C$5000,Plan_Inputs!$A$2:$A$5000,$A28,Plan_Inputs!$B$2:$B$5000,$B$2)</f>
        <v/>
      </c>
      <c r="X28" s="43">
        <f>SUMIFS(Plan_Inputs!$D$2:$D$5000,Plan_Inputs!$A$2:$A$5000,$A28,Plan_Inputs!$B$2:$B$5000,$B$2)</f>
        <v/>
      </c>
      <c r="Y28" s="42">
        <f>E28</f>
        <v/>
      </c>
      <c r="Z28" s="44">
        <f>INDEX(Calendar!$H$5:$L$52,MATCH($A28,Calendar!$A$5:$A$52,0),MATCH($D$2,Calendar!$H$4:$L$4,0))</f>
        <v/>
      </c>
      <c r="AA28" s="44">
        <f>INDEX(Calendar!$M$5:$M$52,MATCH($A28,Calendar!$A$5:$A$52,0))</f>
        <v/>
      </c>
      <c r="AB28" s="45">
        <f>IF($D28="Actual",IFERROR(S28/Y28,""),AB16)</f>
        <v/>
      </c>
      <c r="AC28" s="46">
        <f>IF($D28="Actual",IFERROR(U28/T28/Z28/AA28,""),AC16)</f>
        <v/>
      </c>
      <c r="AD28" s="43">
        <f>IF($D28="Actual",IFERROR(V28/(U28+V28),""),AD16)</f>
        <v/>
      </c>
      <c r="AE28" s="46">
        <f>IFERROR(AC28*Z28*AA28,"")</f>
        <v/>
      </c>
      <c r="AF28" s="47">
        <f>K16</f>
        <v/>
      </c>
      <c r="AG28" s="43">
        <f>IF($D28="Forecast",IFERROR(K28/AF28-1,""),"")</f>
        <v/>
      </c>
    </row>
    <row r="29">
      <c r="A29" s="8" t="n">
        <v>46082</v>
      </c>
      <c r="B29" s="26">
        <f>YEAR(A29)</f>
        <v/>
      </c>
      <c r="C29" s="26">
        <f>MONTH(A29)</f>
        <v/>
      </c>
      <c r="D29">
        <f>IF(A29&lt;=LastActual,"Actual","Forecast")</f>
        <v/>
      </c>
      <c r="E29" s="24">
        <f>IF($D29="Actual",R29,W29)</f>
        <v/>
      </c>
      <c r="F29" s="27">
        <f>IF($D29="Actual",S29,Cases_Forecast!AN22)</f>
        <v/>
      </c>
      <c r="G29" s="9">
        <f>IF($D29="Actual",T29,IFERROR(H29/AE29,0))</f>
        <v/>
      </c>
      <c r="H29" s="24">
        <f>IF($D29="Actual",U29,J29-I29)</f>
        <v/>
      </c>
      <c r="I29" s="24">
        <f>IF($D29="Actual",V29,IFERROR(J29*AD29,0))</f>
        <v/>
      </c>
      <c r="J29" s="24">
        <f>IF($D29="Actual",U29+V29,E29*X29)</f>
        <v/>
      </c>
      <c r="K29" s="28">
        <f>IFERROR(F29/G29,0)</f>
        <v/>
      </c>
      <c r="L29" s="29">
        <f>IFERROR(H29/G29,0)</f>
        <v/>
      </c>
      <c r="M29" s="30">
        <f>IFERROR(J29/F29,0)</f>
        <v/>
      </c>
      <c r="N29" s="10">
        <f>IFERROR(J29/E29,0)</f>
        <v/>
      </c>
      <c r="O29" s="10">
        <f>IFERROR(I29/J29,0)</f>
        <v/>
      </c>
      <c r="R29" s="42">
        <f>IF($D29="Actual",SUMIFS(Data_Actuals!$C$2:$C$5000,Data_Actuals!$A$2:$A$5000,$A29,Data_Actuals!$B$2:$B$5000,$B$2),"")</f>
        <v/>
      </c>
      <c r="S29" s="42">
        <f>IF($D29="Actual",SUMIFS(Data_Actuals!$D$2:$D$5000,Data_Actuals!$A$2:$A$5000,$A29,Data_Actuals!$B$2:$B$5000,$B$2),"")</f>
        <v/>
      </c>
      <c r="T29" s="42">
        <f>IF($D29="Actual",SUMIFS(Data_Actuals!$E$2:$E$5000,Data_Actuals!$A$2:$A$5000,$A29,Data_Actuals!$B$2:$B$5000,$B$2),"")</f>
        <v/>
      </c>
      <c r="U29" s="42">
        <f>IF($D29="Actual",SUMIFS(Data_Actuals!$F$2:$F$5000,Data_Actuals!$A$2:$A$5000,$A29,Data_Actuals!$B$2:$B$5000,$B$2),"")</f>
        <v/>
      </c>
      <c r="V29" s="42">
        <f>IF($D29="Actual",SUMIFS(Data_Actuals!$G$2:$G$5000,Data_Actuals!$A$2:$A$5000,$A29,Data_Actuals!$B$2:$B$5000,$B$2),"")</f>
        <v/>
      </c>
      <c r="W29" s="42">
        <f>SUMIFS(Plan_Inputs!$C$2:$C$5000,Plan_Inputs!$A$2:$A$5000,$A29,Plan_Inputs!$B$2:$B$5000,$B$2)</f>
        <v/>
      </c>
      <c r="X29" s="43">
        <f>SUMIFS(Plan_Inputs!$D$2:$D$5000,Plan_Inputs!$A$2:$A$5000,$A29,Plan_Inputs!$B$2:$B$5000,$B$2)</f>
        <v/>
      </c>
      <c r="Y29" s="42">
        <f>E29</f>
        <v/>
      </c>
      <c r="Z29" s="44">
        <f>INDEX(Calendar!$H$5:$L$52,MATCH($A29,Calendar!$A$5:$A$52,0),MATCH($D$2,Calendar!$H$4:$L$4,0))</f>
        <v/>
      </c>
      <c r="AA29" s="44">
        <f>INDEX(Calendar!$M$5:$M$52,MATCH($A29,Calendar!$A$5:$A$52,0))</f>
        <v/>
      </c>
      <c r="AB29" s="45">
        <f>IF($D29="Actual",IFERROR(S29/Y29,""),AB17)</f>
        <v/>
      </c>
      <c r="AC29" s="46">
        <f>IF($D29="Actual",IFERROR(U29/T29/Z29/AA29,""),AC17)</f>
        <v/>
      </c>
      <c r="AD29" s="43">
        <f>IF($D29="Actual",IFERROR(V29/(U29+V29),""),AD17)</f>
        <v/>
      </c>
      <c r="AE29" s="46">
        <f>IFERROR(AC29*Z29*AA29,"")</f>
        <v/>
      </c>
      <c r="AF29" s="47">
        <f>K17</f>
        <v/>
      </c>
      <c r="AG29" s="43">
        <f>IF($D29="Forecast",IFERROR(K29/AF29-1,""),"")</f>
        <v/>
      </c>
    </row>
    <row r="30">
      <c r="A30" s="8" t="n">
        <v>46113</v>
      </c>
      <c r="B30" s="26">
        <f>YEAR(A30)</f>
        <v/>
      </c>
      <c r="C30" s="26">
        <f>MONTH(A30)</f>
        <v/>
      </c>
      <c r="D30">
        <f>IF(A30&lt;=LastActual,"Actual","Forecast")</f>
        <v/>
      </c>
      <c r="E30" s="24">
        <f>IF($D30="Actual",R30,W30)</f>
        <v/>
      </c>
      <c r="F30" s="27">
        <f>IF($D30="Actual",S30,Cases_Forecast!AN23)</f>
        <v/>
      </c>
      <c r="G30" s="9">
        <f>IF($D30="Actual",T30,IFERROR(H30/AE30,0))</f>
        <v/>
      </c>
      <c r="H30" s="24">
        <f>IF($D30="Actual",U30,J30-I30)</f>
        <v/>
      </c>
      <c r="I30" s="24">
        <f>IF($D30="Actual",V30,IFERROR(J30*AD30,0))</f>
        <v/>
      </c>
      <c r="J30" s="24">
        <f>IF($D30="Actual",U30+V30,E30*X30)</f>
        <v/>
      </c>
      <c r="K30" s="28">
        <f>IFERROR(F30/G30,0)</f>
        <v/>
      </c>
      <c r="L30" s="29">
        <f>IFERROR(H30/G30,0)</f>
        <v/>
      </c>
      <c r="M30" s="30">
        <f>IFERROR(J30/F30,0)</f>
        <v/>
      </c>
      <c r="N30" s="10">
        <f>IFERROR(J30/E30,0)</f>
        <v/>
      </c>
      <c r="O30" s="10">
        <f>IFERROR(I30/J30,0)</f>
        <v/>
      </c>
      <c r="R30" s="42">
        <f>IF($D30="Actual",SUMIFS(Data_Actuals!$C$2:$C$5000,Data_Actuals!$A$2:$A$5000,$A30,Data_Actuals!$B$2:$B$5000,$B$2),"")</f>
        <v/>
      </c>
      <c r="S30" s="42">
        <f>IF($D30="Actual",SUMIFS(Data_Actuals!$D$2:$D$5000,Data_Actuals!$A$2:$A$5000,$A30,Data_Actuals!$B$2:$B$5000,$B$2),"")</f>
        <v/>
      </c>
      <c r="T30" s="42">
        <f>IF($D30="Actual",SUMIFS(Data_Actuals!$E$2:$E$5000,Data_Actuals!$A$2:$A$5000,$A30,Data_Actuals!$B$2:$B$5000,$B$2),"")</f>
        <v/>
      </c>
      <c r="U30" s="42">
        <f>IF($D30="Actual",SUMIFS(Data_Actuals!$F$2:$F$5000,Data_Actuals!$A$2:$A$5000,$A30,Data_Actuals!$B$2:$B$5000,$B$2),"")</f>
        <v/>
      </c>
      <c r="V30" s="42">
        <f>IF($D30="Actual",SUMIFS(Data_Actuals!$G$2:$G$5000,Data_Actuals!$A$2:$A$5000,$A30,Data_Actuals!$B$2:$B$5000,$B$2),"")</f>
        <v/>
      </c>
      <c r="W30" s="42">
        <f>SUMIFS(Plan_Inputs!$C$2:$C$5000,Plan_Inputs!$A$2:$A$5000,$A30,Plan_Inputs!$B$2:$B$5000,$B$2)</f>
        <v/>
      </c>
      <c r="X30" s="43">
        <f>SUMIFS(Plan_Inputs!$D$2:$D$5000,Plan_Inputs!$A$2:$A$5000,$A30,Plan_Inputs!$B$2:$B$5000,$B$2)</f>
        <v/>
      </c>
      <c r="Y30" s="42">
        <f>E30</f>
        <v/>
      </c>
      <c r="Z30" s="44">
        <f>INDEX(Calendar!$H$5:$L$52,MATCH($A30,Calendar!$A$5:$A$52,0),MATCH($D$2,Calendar!$H$4:$L$4,0))</f>
        <v/>
      </c>
      <c r="AA30" s="44">
        <f>INDEX(Calendar!$M$5:$M$52,MATCH($A30,Calendar!$A$5:$A$52,0))</f>
        <v/>
      </c>
      <c r="AB30" s="45">
        <f>IF($D30="Actual",IFERROR(S30/Y30,""),AB18)</f>
        <v/>
      </c>
      <c r="AC30" s="46">
        <f>IF($D30="Actual",IFERROR(U30/T30/Z30/AA30,""),AC18)</f>
        <v/>
      </c>
      <c r="AD30" s="43">
        <f>IF($D30="Actual",IFERROR(V30/(U30+V30),""),AD18)</f>
        <v/>
      </c>
      <c r="AE30" s="46">
        <f>IFERROR(AC30*Z30*AA30,"")</f>
        <v/>
      </c>
      <c r="AF30" s="47">
        <f>K18</f>
        <v/>
      </c>
      <c r="AG30" s="43">
        <f>IF($D30="Forecast",IFERROR(K30/AF30-1,""),"")</f>
        <v/>
      </c>
    </row>
    <row r="31">
      <c r="A31" s="8" t="n">
        <v>46143</v>
      </c>
      <c r="B31" s="26">
        <f>YEAR(A31)</f>
        <v/>
      </c>
      <c r="C31" s="26">
        <f>MONTH(A31)</f>
        <v/>
      </c>
      <c r="D31">
        <f>IF(A31&lt;=LastActual,"Actual","Forecast")</f>
        <v/>
      </c>
      <c r="E31" s="24">
        <f>IF($D31="Actual",R31,W31)</f>
        <v/>
      </c>
      <c r="F31" s="27">
        <f>IF($D31="Actual",S31,Cases_Forecast!AN24)</f>
        <v/>
      </c>
      <c r="G31" s="9">
        <f>IF($D31="Actual",T31,IFERROR(H31/AE31,0))</f>
        <v/>
      </c>
      <c r="H31" s="24">
        <f>IF($D31="Actual",U31,J31-I31)</f>
        <v/>
      </c>
      <c r="I31" s="24">
        <f>IF($D31="Actual",V31,IFERROR(J31*AD31,0))</f>
        <v/>
      </c>
      <c r="J31" s="24">
        <f>IF($D31="Actual",U31+V31,E31*X31)</f>
        <v/>
      </c>
      <c r="K31" s="28">
        <f>IFERROR(F31/G31,0)</f>
        <v/>
      </c>
      <c r="L31" s="29">
        <f>IFERROR(H31/G31,0)</f>
        <v/>
      </c>
      <c r="M31" s="30">
        <f>IFERROR(J31/F31,0)</f>
        <v/>
      </c>
      <c r="N31" s="10">
        <f>IFERROR(J31/E31,0)</f>
        <v/>
      </c>
      <c r="O31" s="10">
        <f>IFERROR(I31/J31,0)</f>
        <v/>
      </c>
      <c r="R31" s="42">
        <f>IF($D31="Actual",SUMIFS(Data_Actuals!$C$2:$C$5000,Data_Actuals!$A$2:$A$5000,$A31,Data_Actuals!$B$2:$B$5000,$B$2),"")</f>
        <v/>
      </c>
      <c r="S31" s="42">
        <f>IF($D31="Actual",SUMIFS(Data_Actuals!$D$2:$D$5000,Data_Actuals!$A$2:$A$5000,$A31,Data_Actuals!$B$2:$B$5000,$B$2),"")</f>
        <v/>
      </c>
      <c r="T31" s="42">
        <f>IF($D31="Actual",SUMIFS(Data_Actuals!$E$2:$E$5000,Data_Actuals!$A$2:$A$5000,$A31,Data_Actuals!$B$2:$B$5000,$B$2),"")</f>
        <v/>
      </c>
      <c r="U31" s="42">
        <f>IF($D31="Actual",SUMIFS(Data_Actuals!$F$2:$F$5000,Data_Actuals!$A$2:$A$5000,$A31,Data_Actuals!$B$2:$B$5000,$B$2),"")</f>
        <v/>
      </c>
      <c r="V31" s="42">
        <f>IF($D31="Actual",SUMIFS(Data_Actuals!$G$2:$G$5000,Data_Actuals!$A$2:$A$5000,$A31,Data_Actuals!$B$2:$B$5000,$B$2),"")</f>
        <v/>
      </c>
      <c r="W31" s="42">
        <f>SUMIFS(Plan_Inputs!$C$2:$C$5000,Plan_Inputs!$A$2:$A$5000,$A31,Plan_Inputs!$B$2:$B$5000,$B$2)</f>
        <v/>
      </c>
      <c r="X31" s="43">
        <f>SUMIFS(Plan_Inputs!$D$2:$D$5000,Plan_Inputs!$A$2:$A$5000,$A31,Plan_Inputs!$B$2:$B$5000,$B$2)</f>
        <v/>
      </c>
      <c r="Y31" s="42">
        <f>E31</f>
        <v/>
      </c>
      <c r="Z31" s="44">
        <f>INDEX(Calendar!$H$5:$L$52,MATCH($A31,Calendar!$A$5:$A$52,0),MATCH($D$2,Calendar!$H$4:$L$4,0))</f>
        <v/>
      </c>
      <c r="AA31" s="44">
        <f>INDEX(Calendar!$M$5:$M$52,MATCH($A31,Calendar!$A$5:$A$52,0))</f>
        <v/>
      </c>
      <c r="AB31" s="45">
        <f>IF($D31="Actual",IFERROR(S31/Y31,""),AB19)</f>
        <v/>
      </c>
      <c r="AC31" s="46">
        <f>IF($D31="Actual",IFERROR(U31/T31/Z31/AA31,""),AC19)</f>
        <v/>
      </c>
      <c r="AD31" s="43">
        <f>IF($D31="Actual",IFERROR(V31/(U31+V31),""),AD19)</f>
        <v/>
      </c>
      <c r="AE31" s="46">
        <f>IFERROR(AC31*Z31*AA31,"")</f>
        <v/>
      </c>
      <c r="AF31" s="47">
        <f>K19</f>
        <v/>
      </c>
      <c r="AG31" s="43">
        <f>IF($D31="Forecast",IFERROR(K31/AF31-1,""),"")</f>
        <v/>
      </c>
    </row>
    <row r="32">
      <c r="A32" s="8" t="n">
        <v>46174</v>
      </c>
      <c r="B32" s="26">
        <f>YEAR(A32)</f>
        <v/>
      </c>
      <c r="C32" s="26">
        <f>MONTH(A32)</f>
        <v/>
      </c>
      <c r="D32">
        <f>IF(A32&lt;=LastActual,"Actual","Forecast")</f>
        <v/>
      </c>
      <c r="E32" s="24">
        <f>IF($D32="Actual",R32,W32)</f>
        <v/>
      </c>
      <c r="F32" s="27">
        <f>IF($D32="Actual",S32,Cases_Forecast!AN25)</f>
        <v/>
      </c>
      <c r="G32" s="9">
        <f>IF($D32="Actual",T32,IFERROR(H32/AE32,0))</f>
        <v/>
      </c>
      <c r="H32" s="24">
        <f>IF($D32="Actual",U32,J32-I32)</f>
        <v/>
      </c>
      <c r="I32" s="24">
        <f>IF($D32="Actual",V32,IFERROR(J32*AD32,0))</f>
        <v/>
      </c>
      <c r="J32" s="24">
        <f>IF($D32="Actual",U32+V32,E32*X32)</f>
        <v/>
      </c>
      <c r="K32" s="28">
        <f>IFERROR(F32/G32,0)</f>
        <v/>
      </c>
      <c r="L32" s="29">
        <f>IFERROR(H32/G32,0)</f>
        <v/>
      </c>
      <c r="M32" s="30">
        <f>IFERROR(J32/F32,0)</f>
        <v/>
      </c>
      <c r="N32" s="10">
        <f>IFERROR(J32/E32,0)</f>
        <v/>
      </c>
      <c r="O32" s="10">
        <f>IFERROR(I32/J32,0)</f>
        <v/>
      </c>
      <c r="R32" s="42">
        <f>IF($D32="Actual",SUMIFS(Data_Actuals!$C$2:$C$5000,Data_Actuals!$A$2:$A$5000,$A32,Data_Actuals!$B$2:$B$5000,$B$2),"")</f>
        <v/>
      </c>
      <c r="S32" s="42">
        <f>IF($D32="Actual",SUMIFS(Data_Actuals!$D$2:$D$5000,Data_Actuals!$A$2:$A$5000,$A32,Data_Actuals!$B$2:$B$5000,$B$2),"")</f>
        <v/>
      </c>
      <c r="T32" s="42">
        <f>IF($D32="Actual",SUMIFS(Data_Actuals!$E$2:$E$5000,Data_Actuals!$A$2:$A$5000,$A32,Data_Actuals!$B$2:$B$5000,$B$2),"")</f>
        <v/>
      </c>
      <c r="U32" s="42">
        <f>IF($D32="Actual",SUMIFS(Data_Actuals!$F$2:$F$5000,Data_Actuals!$A$2:$A$5000,$A32,Data_Actuals!$B$2:$B$5000,$B$2),"")</f>
        <v/>
      </c>
      <c r="V32" s="42">
        <f>IF($D32="Actual",SUMIFS(Data_Actuals!$G$2:$G$5000,Data_Actuals!$A$2:$A$5000,$A32,Data_Actuals!$B$2:$B$5000,$B$2),"")</f>
        <v/>
      </c>
      <c r="W32" s="42">
        <f>SUMIFS(Plan_Inputs!$C$2:$C$5000,Plan_Inputs!$A$2:$A$5000,$A32,Plan_Inputs!$B$2:$B$5000,$B$2)</f>
        <v/>
      </c>
      <c r="X32" s="43">
        <f>SUMIFS(Plan_Inputs!$D$2:$D$5000,Plan_Inputs!$A$2:$A$5000,$A32,Plan_Inputs!$B$2:$B$5000,$B$2)</f>
        <v/>
      </c>
      <c r="Y32" s="42">
        <f>E32</f>
        <v/>
      </c>
      <c r="Z32" s="44">
        <f>INDEX(Calendar!$H$5:$L$52,MATCH($A32,Calendar!$A$5:$A$52,0),MATCH($D$2,Calendar!$H$4:$L$4,0))</f>
        <v/>
      </c>
      <c r="AA32" s="44">
        <f>INDEX(Calendar!$M$5:$M$52,MATCH($A32,Calendar!$A$5:$A$52,0))</f>
        <v/>
      </c>
      <c r="AB32" s="45">
        <f>IF($D32="Actual",IFERROR(S32/Y32,""),AB20)</f>
        <v/>
      </c>
      <c r="AC32" s="46">
        <f>IF($D32="Actual",IFERROR(U32/T32/Z32/AA32,""),AC20)</f>
        <v/>
      </c>
      <c r="AD32" s="43">
        <f>IF($D32="Actual",IFERROR(V32/(U32+V32),""),AD20)</f>
        <v/>
      </c>
      <c r="AE32" s="46">
        <f>IFERROR(AC32*Z32*AA32,"")</f>
        <v/>
      </c>
      <c r="AF32" s="47">
        <f>K20</f>
        <v/>
      </c>
      <c r="AG32" s="43">
        <f>IF($D32="Forecast",IFERROR(K32/AF32-1,""),"")</f>
        <v/>
      </c>
    </row>
    <row r="33">
      <c r="A33" s="8" t="n">
        <v>46204</v>
      </c>
      <c r="B33" s="26">
        <f>YEAR(A33)</f>
        <v/>
      </c>
      <c r="C33" s="26">
        <f>MONTH(A33)</f>
        <v/>
      </c>
      <c r="D33">
        <f>IF(A33&lt;=LastActual,"Actual","Forecast")</f>
        <v/>
      </c>
      <c r="E33" s="24">
        <f>IF($D33="Actual",R33,W33)</f>
        <v/>
      </c>
      <c r="F33" s="27">
        <f>IF($D33="Actual",S33,Cases_Forecast!AN26)</f>
        <v/>
      </c>
      <c r="G33" s="9">
        <f>IF($D33="Actual",T33,IFERROR(H33/AE33,0))</f>
        <v/>
      </c>
      <c r="H33" s="24">
        <f>IF($D33="Actual",U33,J33-I33)</f>
        <v/>
      </c>
      <c r="I33" s="24">
        <f>IF($D33="Actual",V33,IFERROR(J33*AD33,0))</f>
        <v/>
      </c>
      <c r="J33" s="24">
        <f>IF($D33="Actual",U33+V33,E33*X33)</f>
        <v/>
      </c>
      <c r="K33" s="28">
        <f>IFERROR(F33/G33,0)</f>
        <v/>
      </c>
      <c r="L33" s="29">
        <f>IFERROR(H33/G33,0)</f>
        <v/>
      </c>
      <c r="M33" s="30">
        <f>IFERROR(J33/F33,0)</f>
        <v/>
      </c>
      <c r="N33" s="10">
        <f>IFERROR(J33/E33,0)</f>
        <v/>
      </c>
      <c r="O33" s="10">
        <f>IFERROR(I33/J33,0)</f>
        <v/>
      </c>
      <c r="R33" s="42">
        <f>IF($D33="Actual",SUMIFS(Data_Actuals!$C$2:$C$5000,Data_Actuals!$A$2:$A$5000,$A33,Data_Actuals!$B$2:$B$5000,$B$2),"")</f>
        <v/>
      </c>
      <c r="S33" s="42">
        <f>IF($D33="Actual",SUMIFS(Data_Actuals!$D$2:$D$5000,Data_Actuals!$A$2:$A$5000,$A33,Data_Actuals!$B$2:$B$5000,$B$2),"")</f>
        <v/>
      </c>
      <c r="T33" s="42">
        <f>IF($D33="Actual",SUMIFS(Data_Actuals!$E$2:$E$5000,Data_Actuals!$A$2:$A$5000,$A33,Data_Actuals!$B$2:$B$5000,$B$2),"")</f>
        <v/>
      </c>
      <c r="U33" s="42">
        <f>IF($D33="Actual",SUMIFS(Data_Actuals!$F$2:$F$5000,Data_Actuals!$A$2:$A$5000,$A33,Data_Actuals!$B$2:$B$5000,$B$2),"")</f>
        <v/>
      </c>
      <c r="V33" s="42">
        <f>IF($D33="Actual",SUMIFS(Data_Actuals!$G$2:$G$5000,Data_Actuals!$A$2:$A$5000,$A33,Data_Actuals!$B$2:$B$5000,$B$2),"")</f>
        <v/>
      </c>
      <c r="W33" s="42">
        <f>SUMIFS(Plan_Inputs!$C$2:$C$5000,Plan_Inputs!$A$2:$A$5000,$A33,Plan_Inputs!$B$2:$B$5000,$B$2)</f>
        <v/>
      </c>
      <c r="X33" s="43">
        <f>SUMIFS(Plan_Inputs!$D$2:$D$5000,Plan_Inputs!$A$2:$A$5000,$A33,Plan_Inputs!$B$2:$B$5000,$B$2)</f>
        <v/>
      </c>
      <c r="Y33" s="42">
        <f>E33</f>
        <v/>
      </c>
      <c r="Z33" s="44">
        <f>INDEX(Calendar!$H$5:$L$52,MATCH($A33,Calendar!$A$5:$A$52,0),MATCH($D$2,Calendar!$H$4:$L$4,0))</f>
        <v/>
      </c>
      <c r="AA33" s="44">
        <f>INDEX(Calendar!$M$5:$M$52,MATCH($A33,Calendar!$A$5:$A$52,0))</f>
        <v/>
      </c>
      <c r="AB33" s="45">
        <f>IF($D33="Actual",IFERROR(S33/Y33,""),AB21)</f>
        <v/>
      </c>
      <c r="AC33" s="46">
        <f>IF($D33="Actual",IFERROR(U33/T33/Z33/AA33,""),AC21)</f>
        <v/>
      </c>
      <c r="AD33" s="43">
        <f>IF($D33="Actual",IFERROR(V33/(U33+V33),""),AD21)</f>
        <v/>
      </c>
      <c r="AE33" s="46">
        <f>IFERROR(AC33*Z33*AA33,"")</f>
        <v/>
      </c>
      <c r="AF33" s="47">
        <f>K21</f>
        <v/>
      </c>
      <c r="AG33" s="43">
        <f>IF($D33="Forecast",IFERROR(K33/AF33-1,""),"")</f>
        <v/>
      </c>
    </row>
    <row r="34">
      <c r="A34" s="8" t="n">
        <v>46235</v>
      </c>
      <c r="B34" s="26">
        <f>YEAR(A34)</f>
        <v/>
      </c>
      <c r="C34" s="26">
        <f>MONTH(A34)</f>
        <v/>
      </c>
      <c r="D34">
        <f>IF(A34&lt;=LastActual,"Actual","Forecast")</f>
        <v/>
      </c>
      <c r="E34" s="24">
        <f>IF($D34="Actual",R34,W34)</f>
        <v/>
      </c>
      <c r="F34" s="27">
        <f>IF($D34="Actual",S34,Cases_Forecast!AN27)</f>
        <v/>
      </c>
      <c r="G34" s="9">
        <f>IF($D34="Actual",T34,IFERROR(H34/AE34,0))</f>
        <v/>
      </c>
      <c r="H34" s="24">
        <f>IF($D34="Actual",U34,J34-I34)</f>
        <v/>
      </c>
      <c r="I34" s="24">
        <f>IF($D34="Actual",V34,IFERROR(J34*AD34,0))</f>
        <v/>
      </c>
      <c r="J34" s="24">
        <f>IF($D34="Actual",U34+V34,E34*X34)</f>
        <v/>
      </c>
      <c r="K34" s="28">
        <f>IFERROR(F34/G34,0)</f>
        <v/>
      </c>
      <c r="L34" s="29">
        <f>IFERROR(H34/G34,0)</f>
        <v/>
      </c>
      <c r="M34" s="30">
        <f>IFERROR(J34/F34,0)</f>
        <v/>
      </c>
      <c r="N34" s="10">
        <f>IFERROR(J34/E34,0)</f>
        <v/>
      </c>
      <c r="O34" s="10">
        <f>IFERROR(I34/J34,0)</f>
        <v/>
      </c>
      <c r="R34" s="42">
        <f>IF($D34="Actual",SUMIFS(Data_Actuals!$C$2:$C$5000,Data_Actuals!$A$2:$A$5000,$A34,Data_Actuals!$B$2:$B$5000,$B$2),"")</f>
        <v/>
      </c>
      <c r="S34" s="42">
        <f>IF($D34="Actual",SUMIFS(Data_Actuals!$D$2:$D$5000,Data_Actuals!$A$2:$A$5000,$A34,Data_Actuals!$B$2:$B$5000,$B$2),"")</f>
        <v/>
      </c>
      <c r="T34" s="42">
        <f>IF($D34="Actual",SUMIFS(Data_Actuals!$E$2:$E$5000,Data_Actuals!$A$2:$A$5000,$A34,Data_Actuals!$B$2:$B$5000,$B$2),"")</f>
        <v/>
      </c>
      <c r="U34" s="42">
        <f>IF($D34="Actual",SUMIFS(Data_Actuals!$F$2:$F$5000,Data_Actuals!$A$2:$A$5000,$A34,Data_Actuals!$B$2:$B$5000,$B$2),"")</f>
        <v/>
      </c>
      <c r="V34" s="42">
        <f>IF($D34="Actual",SUMIFS(Data_Actuals!$G$2:$G$5000,Data_Actuals!$A$2:$A$5000,$A34,Data_Actuals!$B$2:$B$5000,$B$2),"")</f>
        <v/>
      </c>
      <c r="W34" s="42">
        <f>SUMIFS(Plan_Inputs!$C$2:$C$5000,Plan_Inputs!$A$2:$A$5000,$A34,Plan_Inputs!$B$2:$B$5000,$B$2)</f>
        <v/>
      </c>
      <c r="X34" s="43">
        <f>SUMIFS(Plan_Inputs!$D$2:$D$5000,Plan_Inputs!$A$2:$A$5000,$A34,Plan_Inputs!$B$2:$B$5000,$B$2)</f>
        <v/>
      </c>
      <c r="Y34" s="42">
        <f>E34</f>
        <v/>
      </c>
      <c r="Z34" s="44">
        <f>INDEX(Calendar!$H$5:$L$52,MATCH($A34,Calendar!$A$5:$A$52,0),MATCH($D$2,Calendar!$H$4:$L$4,0))</f>
        <v/>
      </c>
      <c r="AA34" s="44">
        <f>INDEX(Calendar!$M$5:$M$52,MATCH($A34,Calendar!$A$5:$A$52,0))</f>
        <v/>
      </c>
      <c r="AB34" s="45">
        <f>IF($D34="Actual",IFERROR(S34/Y34,""),AB22)</f>
        <v/>
      </c>
      <c r="AC34" s="46">
        <f>IF($D34="Actual",IFERROR(U34/T34/Z34/AA34,""),AC22)</f>
        <v/>
      </c>
      <c r="AD34" s="43">
        <f>IF($D34="Actual",IFERROR(V34/(U34+V34),""),AD22)</f>
        <v/>
      </c>
      <c r="AE34" s="46">
        <f>IFERROR(AC34*Z34*AA34,"")</f>
        <v/>
      </c>
      <c r="AF34" s="47">
        <f>K22</f>
        <v/>
      </c>
      <c r="AG34" s="43">
        <f>IF($D34="Forecast",IFERROR(K34/AF34-1,""),"")</f>
        <v/>
      </c>
    </row>
    <row r="35">
      <c r="A35" s="8" t="n">
        <v>46266</v>
      </c>
      <c r="B35" s="26">
        <f>YEAR(A35)</f>
        <v/>
      </c>
      <c r="C35" s="26">
        <f>MONTH(A35)</f>
        <v/>
      </c>
      <c r="D35">
        <f>IF(A35&lt;=LastActual,"Actual","Forecast")</f>
        <v/>
      </c>
      <c r="E35" s="24">
        <f>IF($D35="Actual",R35,W35)</f>
        <v/>
      </c>
      <c r="F35" s="27">
        <f>IF($D35="Actual",S35,Cases_Forecast!AN28)</f>
        <v/>
      </c>
      <c r="G35" s="9">
        <f>IF($D35="Actual",T35,IFERROR(H35/AE35,0))</f>
        <v/>
      </c>
      <c r="H35" s="24">
        <f>IF($D35="Actual",U35,J35-I35)</f>
        <v/>
      </c>
      <c r="I35" s="24">
        <f>IF($D35="Actual",V35,IFERROR(J35*AD35,0))</f>
        <v/>
      </c>
      <c r="J35" s="24">
        <f>IF($D35="Actual",U35+V35,E35*X35)</f>
        <v/>
      </c>
      <c r="K35" s="28">
        <f>IFERROR(F35/G35,0)</f>
        <v/>
      </c>
      <c r="L35" s="29">
        <f>IFERROR(H35/G35,0)</f>
        <v/>
      </c>
      <c r="M35" s="30">
        <f>IFERROR(J35/F35,0)</f>
        <v/>
      </c>
      <c r="N35" s="10">
        <f>IFERROR(J35/E35,0)</f>
        <v/>
      </c>
      <c r="O35" s="10">
        <f>IFERROR(I35/J35,0)</f>
        <v/>
      </c>
      <c r="R35" s="42">
        <f>IF($D35="Actual",SUMIFS(Data_Actuals!$C$2:$C$5000,Data_Actuals!$A$2:$A$5000,$A35,Data_Actuals!$B$2:$B$5000,$B$2),"")</f>
        <v/>
      </c>
      <c r="S35" s="42">
        <f>IF($D35="Actual",SUMIFS(Data_Actuals!$D$2:$D$5000,Data_Actuals!$A$2:$A$5000,$A35,Data_Actuals!$B$2:$B$5000,$B$2),"")</f>
        <v/>
      </c>
      <c r="T35" s="42">
        <f>IF($D35="Actual",SUMIFS(Data_Actuals!$E$2:$E$5000,Data_Actuals!$A$2:$A$5000,$A35,Data_Actuals!$B$2:$B$5000,$B$2),"")</f>
        <v/>
      </c>
      <c r="U35" s="42">
        <f>IF($D35="Actual",SUMIFS(Data_Actuals!$F$2:$F$5000,Data_Actuals!$A$2:$A$5000,$A35,Data_Actuals!$B$2:$B$5000,$B$2),"")</f>
        <v/>
      </c>
      <c r="V35" s="42">
        <f>IF($D35="Actual",SUMIFS(Data_Actuals!$G$2:$G$5000,Data_Actuals!$A$2:$A$5000,$A35,Data_Actuals!$B$2:$B$5000,$B$2),"")</f>
        <v/>
      </c>
      <c r="W35" s="42">
        <f>SUMIFS(Plan_Inputs!$C$2:$C$5000,Plan_Inputs!$A$2:$A$5000,$A35,Plan_Inputs!$B$2:$B$5000,$B$2)</f>
        <v/>
      </c>
      <c r="X35" s="43">
        <f>SUMIFS(Plan_Inputs!$D$2:$D$5000,Plan_Inputs!$A$2:$A$5000,$A35,Plan_Inputs!$B$2:$B$5000,$B$2)</f>
        <v/>
      </c>
      <c r="Y35" s="42">
        <f>E35</f>
        <v/>
      </c>
      <c r="Z35" s="44">
        <f>INDEX(Calendar!$H$5:$L$52,MATCH($A35,Calendar!$A$5:$A$52,0),MATCH($D$2,Calendar!$H$4:$L$4,0))</f>
        <v/>
      </c>
      <c r="AA35" s="44">
        <f>INDEX(Calendar!$M$5:$M$52,MATCH($A35,Calendar!$A$5:$A$52,0))</f>
        <v/>
      </c>
      <c r="AB35" s="45">
        <f>IF($D35="Actual",IFERROR(S35/Y35,""),AB23)</f>
        <v/>
      </c>
      <c r="AC35" s="46">
        <f>IF($D35="Actual",IFERROR(U35/T35/Z35/AA35,""),AC23)</f>
        <v/>
      </c>
      <c r="AD35" s="43">
        <f>IF($D35="Actual",IFERROR(V35/(U35+V35),""),AD23)</f>
        <v/>
      </c>
      <c r="AE35" s="46">
        <f>IFERROR(AC35*Z35*AA35,"")</f>
        <v/>
      </c>
      <c r="AF35" s="47">
        <f>K23</f>
        <v/>
      </c>
      <c r="AG35" s="43">
        <f>IF($D35="Forecast",IFERROR(K35/AF35-1,""),"")</f>
        <v/>
      </c>
    </row>
    <row r="36">
      <c r="A36" s="8" t="n">
        <v>46296</v>
      </c>
      <c r="B36" s="26">
        <f>YEAR(A36)</f>
        <v/>
      </c>
      <c r="C36" s="26">
        <f>MONTH(A36)</f>
        <v/>
      </c>
      <c r="D36">
        <f>IF(A36&lt;=LastActual,"Actual","Forecast")</f>
        <v/>
      </c>
      <c r="E36" s="24">
        <f>IF($D36="Actual",R36,W36)</f>
        <v/>
      </c>
      <c r="F36" s="27">
        <f>IF($D36="Actual",S36,Cases_Forecast!AN29)</f>
        <v/>
      </c>
      <c r="G36" s="9">
        <f>IF($D36="Actual",T36,IFERROR(H36/AE36,0))</f>
        <v/>
      </c>
      <c r="H36" s="24">
        <f>IF($D36="Actual",U36,J36-I36)</f>
        <v/>
      </c>
      <c r="I36" s="24">
        <f>IF($D36="Actual",V36,IFERROR(J36*AD36,0))</f>
        <v/>
      </c>
      <c r="J36" s="24">
        <f>IF($D36="Actual",U36+V36,E36*X36)</f>
        <v/>
      </c>
      <c r="K36" s="28">
        <f>IFERROR(F36/G36,0)</f>
        <v/>
      </c>
      <c r="L36" s="29">
        <f>IFERROR(H36/G36,0)</f>
        <v/>
      </c>
      <c r="M36" s="30">
        <f>IFERROR(J36/F36,0)</f>
        <v/>
      </c>
      <c r="N36" s="10">
        <f>IFERROR(J36/E36,0)</f>
        <v/>
      </c>
      <c r="O36" s="10">
        <f>IFERROR(I36/J36,0)</f>
        <v/>
      </c>
      <c r="R36" s="42">
        <f>IF($D36="Actual",SUMIFS(Data_Actuals!$C$2:$C$5000,Data_Actuals!$A$2:$A$5000,$A36,Data_Actuals!$B$2:$B$5000,$B$2),"")</f>
        <v/>
      </c>
      <c r="S36" s="42">
        <f>IF($D36="Actual",SUMIFS(Data_Actuals!$D$2:$D$5000,Data_Actuals!$A$2:$A$5000,$A36,Data_Actuals!$B$2:$B$5000,$B$2),"")</f>
        <v/>
      </c>
      <c r="T36" s="42">
        <f>IF($D36="Actual",SUMIFS(Data_Actuals!$E$2:$E$5000,Data_Actuals!$A$2:$A$5000,$A36,Data_Actuals!$B$2:$B$5000,$B$2),"")</f>
        <v/>
      </c>
      <c r="U36" s="42">
        <f>IF($D36="Actual",SUMIFS(Data_Actuals!$F$2:$F$5000,Data_Actuals!$A$2:$A$5000,$A36,Data_Actuals!$B$2:$B$5000,$B$2),"")</f>
        <v/>
      </c>
      <c r="V36" s="42">
        <f>IF($D36="Actual",SUMIFS(Data_Actuals!$G$2:$G$5000,Data_Actuals!$A$2:$A$5000,$A36,Data_Actuals!$B$2:$B$5000,$B$2),"")</f>
        <v/>
      </c>
      <c r="W36" s="42">
        <f>SUMIFS(Plan_Inputs!$C$2:$C$5000,Plan_Inputs!$A$2:$A$5000,$A36,Plan_Inputs!$B$2:$B$5000,$B$2)</f>
        <v/>
      </c>
      <c r="X36" s="43">
        <f>SUMIFS(Plan_Inputs!$D$2:$D$5000,Plan_Inputs!$A$2:$A$5000,$A36,Plan_Inputs!$B$2:$B$5000,$B$2)</f>
        <v/>
      </c>
      <c r="Y36" s="42">
        <f>E36</f>
        <v/>
      </c>
      <c r="Z36" s="44">
        <f>INDEX(Calendar!$H$5:$L$52,MATCH($A36,Calendar!$A$5:$A$52,0),MATCH($D$2,Calendar!$H$4:$L$4,0))</f>
        <v/>
      </c>
      <c r="AA36" s="44">
        <f>INDEX(Calendar!$M$5:$M$52,MATCH($A36,Calendar!$A$5:$A$52,0))</f>
        <v/>
      </c>
      <c r="AB36" s="45">
        <f>IF($D36="Actual",IFERROR(S36/Y36,""),AB24)</f>
        <v/>
      </c>
      <c r="AC36" s="46">
        <f>IF($D36="Actual",IFERROR(U36/T36/Z36/AA36,""),AC24)</f>
        <v/>
      </c>
      <c r="AD36" s="43">
        <f>IF($D36="Actual",IFERROR(V36/(U36+V36),""),AD24)</f>
        <v/>
      </c>
      <c r="AE36" s="46">
        <f>IFERROR(AC36*Z36*AA36,"")</f>
        <v/>
      </c>
      <c r="AF36" s="47">
        <f>K24</f>
        <v/>
      </c>
      <c r="AG36" s="43">
        <f>IF($D36="Forecast",IFERROR(K36/AF36-1,""),"")</f>
        <v/>
      </c>
    </row>
    <row r="37">
      <c r="A37" s="8" t="n">
        <v>46327</v>
      </c>
      <c r="B37" s="26">
        <f>YEAR(A37)</f>
        <v/>
      </c>
      <c r="C37" s="26">
        <f>MONTH(A37)</f>
        <v/>
      </c>
      <c r="D37">
        <f>IF(A37&lt;=LastActual,"Actual","Forecast")</f>
        <v/>
      </c>
      <c r="E37" s="24">
        <f>IF($D37="Actual",R37,W37)</f>
        <v/>
      </c>
      <c r="F37" s="27">
        <f>IF($D37="Actual",S37,Cases_Forecast!AN30)</f>
        <v/>
      </c>
      <c r="G37" s="9">
        <f>IF($D37="Actual",T37,IFERROR(H37/AE37,0))</f>
        <v/>
      </c>
      <c r="H37" s="24">
        <f>IF($D37="Actual",U37,J37-I37)</f>
        <v/>
      </c>
      <c r="I37" s="24">
        <f>IF($D37="Actual",V37,IFERROR(J37*AD37,0))</f>
        <v/>
      </c>
      <c r="J37" s="24">
        <f>IF($D37="Actual",U37+V37,E37*X37)</f>
        <v/>
      </c>
      <c r="K37" s="28">
        <f>IFERROR(F37/G37,0)</f>
        <v/>
      </c>
      <c r="L37" s="29">
        <f>IFERROR(H37/G37,0)</f>
        <v/>
      </c>
      <c r="M37" s="30">
        <f>IFERROR(J37/F37,0)</f>
        <v/>
      </c>
      <c r="N37" s="10">
        <f>IFERROR(J37/E37,0)</f>
        <v/>
      </c>
      <c r="O37" s="10">
        <f>IFERROR(I37/J37,0)</f>
        <v/>
      </c>
      <c r="R37" s="42">
        <f>IF($D37="Actual",SUMIFS(Data_Actuals!$C$2:$C$5000,Data_Actuals!$A$2:$A$5000,$A37,Data_Actuals!$B$2:$B$5000,$B$2),"")</f>
        <v/>
      </c>
      <c r="S37" s="42">
        <f>IF($D37="Actual",SUMIFS(Data_Actuals!$D$2:$D$5000,Data_Actuals!$A$2:$A$5000,$A37,Data_Actuals!$B$2:$B$5000,$B$2),"")</f>
        <v/>
      </c>
      <c r="T37" s="42">
        <f>IF($D37="Actual",SUMIFS(Data_Actuals!$E$2:$E$5000,Data_Actuals!$A$2:$A$5000,$A37,Data_Actuals!$B$2:$B$5000,$B$2),"")</f>
        <v/>
      </c>
      <c r="U37" s="42">
        <f>IF($D37="Actual",SUMIFS(Data_Actuals!$F$2:$F$5000,Data_Actuals!$A$2:$A$5000,$A37,Data_Actuals!$B$2:$B$5000,$B$2),"")</f>
        <v/>
      </c>
      <c r="V37" s="42">
        <f>IF($D37="Actual",SUMIFS(Data_Actuals!$G$2:$G$5000,Data_Actuals!$A$2:$A$5000,$A37,Data_Actuals!$B$2:$B$5000,$B$2),"")</f>
        <v/>
      </c>
      <c r="W37" s="42">
        <f>SUMIFS(Plan_Inputs!$C$2:$C$5000,Plan_Inputs!$A$2:$A$5000,$A37,Plan_Inputs!$B$2:$B$5000,$B$2)</f>
        <v/>
      </c>
      <c r="X37" s="43">
        <f>SUMIFS(Plan_Inputs!$D$2:$D$5000,Plan_Inputs!$A$2:$A$5000,$A37,Plan_Inputs!$B$2:$B$5000,$B$2)</f>
        <v/>
      </c>
      <c r="Y37" s="42">
        <f>E37</f>
        <v/>
      </c>
      <c r="Z37" s="44">
        <f>INDEX(Calendar!$H$5:$L$52,MATCH($A37,Calendar!$A$5:$A$52,0),MATCH($D$2,Calendar!$H$4:$L$4,0))</f>
        <v/>
      </c>
      <c r="AA37" s="44">
        <f>INDEX(Calendar!$M$5:$M$52,MATCH($A37,Calendar!$A$5:$A$52,0))</f>
        <v/>
      </c>
      <c r="AB37" s="45">
        <f>IF($D37="Actual",IFERROR(S37/Y37,""),AB25)</f>
        <v/>
      </c>
      <c r="AC37" s="46">
        <f>IF($D37="Actual",IFERROR(U37/T37/Z37/AA37,""),AC25)</f>
        <v/>
      </c>
      <c r="AD37" s="43">
        <f>IF($D37="Actual",IFERROR(V37/(U37+V37),""),AD25)</f>
        <v/>
      </c>
      <c r="AE37" s="46">
        <f>IFERROR(AC37*Z37*AA37,"")</f>
        <v/>
      </c>
      <c r="AF37" s="47">
        <f>K25</f>
        <v/>
      </c>
      <c r="AG37" s="43">
        <f>IF($D37="Forecast",IFERROR(K37/AF37-1,""),"")</f>
        <v/>
      </c>
    </row>
    <row r="38">
      <c r="A38" s="31" t="n">
        <v>46357</v>
      </c>
      <c r="B38" s="32">
        <f>YEAR(A38)</f>
        <v/>
      </c>
      <c r="C38" s="32">
        <f>MONTH(A38)</f>
        <v/>
      </c>
      <c r="D38" s="33">
        <f>IF(A38&lt;=LastActual,"Actual","Forecast")</f>
        <v/>
      </c>
      <c r="E38" s="34">
        <f>IF($D38="Actual",R38,W38)</f>
        <v/>
      </c>
      <c r="F38" s="35">
        <f>IF($D38="Actual",S38,Cases_Forecast!AN31)</f>
        <v/>
      </c>
      <c r="G38" s="36">
        <f>IF($D38="Actual",T38,IFERROR(H38/AE38,0))</f>
        <v/>
      </c>
      <c r="H38" s="34">
        <f>IF($D38="Actual",U38,J38-I38)</f>
        <v/>
      </c>
      <c r="I38" s="34">
        <f>IF($D38="Actual",V38,IFERROR(J38*AD38,0))</f>
        <v/>
      </c>
      <c r="J38" s="34">
        <f>IF($D38="Actual",U38+V38,E38*X38)</f>
        <v/>
      </c>
      <c r="K38" s="37">
        <f>IFERROR(F38/G38,0)</f>
        <v/>
      </c>
      <c r="L38" s="38">
        <f>IFERROR(H38/G38,0)</f>
        <v/>
      </c>
      <c r="M38" s="39">
        <f>IFERROR(J38/F38,0)</f>
        <v/>
      </c>
      <c r="N38" s="40">
        <f>IFERROR(J38/E38,0)</f>
        <v/>
      </c>
      <c r="O38" s="40">
        <f>IFERROR(I38/J38,0)</f>
        <v/>
      </c>
      <c r="R38" s="42">
        <f>IF($D38="Actual",SUMIFS(Data_Actuals!$C$2:$C$5000,Data_Actuals!$A$2:$A$5000,$A38,Data_Actuals!$B$2:$B$5000,$B$2),"")</f>
        <v/>
      </c>
      <c r="S38" s="42">
        <f>IF($D38="Actual",SUMIFS(Data_Actuals!$D$2:$D$5000,Data_Actuals!$A$2:$A$5000,$A38,Data_Actuals!$B$2:$B$5000,$B$2),"")</f>
        <v/>
      </c>
      <c r="T38" s="42">
        <f>IF($D38="Actual",SUMIFS(Data_Actuals!$E$2:$E$5000,Data_Actuals!$A$2:$A$5000,$A38,Data_Actuals!$B$2:$B$5000,$B$2),"")</f>
        <v/>
      </c>
      <c r="U38" s="42">
        <f>IF($D38="Actual",SUMIFS(Data_Actuals!$F$2:$F$5000,Data_Actuals!$A$2:$A$5000,$A38,Data_Actuals!$B$2:$B$5000,$B$2),"")</f>
        <v/>
      </c>
      <c r="V38" s="42">
        <f>IF($D38="Actual",SUMIFS(Data_Actuals!$G$2:$G$5000,Data_Actuals!$A$2:$A$5000,$A38,Data_Actuals!$B$2:$B$5000,$B$2),"")</f>
        <v/>
      </c>
      <c r="W38" s="42">
        <f>SUMIFS(Plan_Inputs!$C$2:$C$5000,Plan_Inputs!$A$2:$A$5000,$A38,Plan_Inputs!$B$2:$B$5000,$B$2)</f>
        <v/>
      </c>
      <c r="X38" s="43">
        <f>SUMIFS(Plan_Inputs!$D$2:$D$5000,Plan_Inputs!$A$2:$A$5000,$A38,Plan_Inputs!$B$2:$B$5000,$B$2)</f>
        <v/>
      </c>
      <c r="Y38" s="42">
        <f>E38</f>
        <v/>
      </c>
      <c r="Z38" s="44">
        <f>INDEX(Calendar!$H$5:$L$52,MATCH($A38,Calendar!$A$5:$A$52,0),MATCH($D$2,Calendar!$H$4:$L$4,0))</f>
        <v/>
      </c>
      <c r="AA38" s="44">
        <f>INDEX(Calendar!$M$5:$M$52,MATCH($A38,Calendar!$A$5:$A$52,0))</f>
        <v/>
      </c>
      <c r="AB38" s="45">
        <f>IF($D38="Actual",IFERROR(S38/Y38,""),AB26)</f>
        <v/>
      </c>
      <c r="AC38" s="46">
        <f>IF($D38="Actual",IFERROR(U38/T38/Z38/AA38,""),AC26)</f>
        <v/>
      </c>
      <c r="AD38" s="43">
        <f>IF($D38="Actual",IFERROR(V38/(U38+V38),""),AD26)</f>
        <v/>
      </c>
      <c r="AE38" s="46">
        <f>IFERROR(AC38*Z38*AA38,"")</f>
        <v/>
      </c>
      <c r="AF38" s="47">
        <f>K26</f>
        <v/>
      </c>
      <c r="AG38" s="43">
        <f>IF($D38="Forecast",IFERROR(K38/AF38-1,""),"")</f>
        <v/>
      </c>
    </row>
    <row r="39">
      <c r="A39" s="8" t="n">
        <v>46388</v>
      </c>
      <c r="B39" s="26">
        <f>YEAR(A39)</f>
        <v/>
      </c>
      <c r="C39" s="26">
        <f>MONTH(A39)</f>
        <v/>
      </c>
      <c r="D39">
        <f>IF(A39&lt;=LastActual,"Actual","Forecast")</f>
        <v/>
      </c>
      <c r="E39" s="24">
        <f>IF($D39="Actual",R39,W39)</f>
        <v/>
      </c>
      <c r="F39" s="27">
        <f>IF($D39="Actual",S39,Cases_Forecast!AN32)</f>
        <v/>
      </c>
      <c r="G39" s="9">
        <f>IF($D39="Actual",T39,IFERROR(H39/AE39,0))</f>
        <v/>
      </c>
      <c r="H39" s="24">
        <f>IF($D39="Actual",U39,J39-I39)</f>
        <v/>
      </c>
      <c r="I39" s="24">
        <f>IF($D39="Actual",V39,IFERROR(J39*AD39,0))</f>
        <v/>
      </c>
      <c r="J39" s="24">
        <f>IF($D39="Actual",U39+V39,E39*X39)</f>
        <v/>
      </c>
      <c r="K39" s="28">
        <f>IFERROR(F39/G39,0)</f>
        <v/>
      </c>
      <c r="L39" s="29">
        <f>IFERROR(H39/G39,0)</f>
        <v/>
      </c>
      <c r="M39" s="30">
        <f>IFERROR(J39/F39,0)</f>
        <v/>
      </c>
      <c r="N39" s="10">
        <f>IFERROR(J39/E39,0)</f>
        <v/>
      </c>
      <c r="O39" s="10">
        <f>IFERROR(I39/J39,0)</f>
        <v/>
      </c>
      <c r="R39" s="42">
        <f>IF($D39="Actual",SUMIFS(Data_Actuals!$C$2:$C$5000,Data_Actuals!$A$2:$A$5000,$A39,Data_Actuals!$B$2:$B$5000,$B$2),"")</f>
        <v/>
      </c>
      <c r="S39" s="42">
        <f>IF($D39="Actual",SUMIFS(Data_Actuals!$D$2:$D$5000,Data_Actuals!$A$2:$A$5000,$A39,Data_Actuals!$B$2:$B$5000,$B$2),"")</f>
        <v/>
      </c>
      <c r="T39" s="42">
        <f>IF($D39="Actual",SUMIFS(Data_Actuals!$E$2:$E$5000,Data_Actuals!$A$2:$A$5000,$A39,Data_Actuals!$B$2:$B$5000,$B$2),"")</f>
        <v/>
      </c>
      <c r="U39" s="42">
        <f>IF($D39="Actual",SUMIFS(Data_Actuals!$F$2:$F$5000,Data_Actuals!$A$2:$A$5000,$A39,Data_Actuals!$B$2:$B$5000,$B$2),"")</f>
        <v/>
      </c>
      <c r="V39" s="42">
        <f>IF($D39="Actual",SUMIFS(Data_Actuals!$G$2:$G$5000,Data_Actuals!$A$2:$A$5000,$A39,Data_Actuals!$B$2:$B$5000,$B$2),"")</f>
        <v/>
      </c>
      <c r="W39" s="42">
        <f>SUMIFS(Plan_Inputs!$C$2:$C$5000,Plan_Inputs!$A$2:$A$5000,$A39,Plan_Inputs!$B$2:$B$5000,$B$2)</f>
        <v/>
      </c>
      <c r="X39" s="43">
        <f>SUMIFS(Plan_Inputs!$D$2:$D$5000,Plan_Inputs!$A$2:$A$5000,$A39,Plan_Inputs!$B$2:$B$5000,$B$2)</f>
        <v/>
      </c>
      <c r="Y39" s="42">
        <f>E39</f>
        <v/>
      </c>
      <c r="Z39" s="44">
        <f>INDEX(Calendar!$H$5:$L$52,MATCH($A39,Calendar!$A$5:$A$52,0),MATCH($D$2,Calendar!$H$4:$L$4,0))</f>
        <v/>
      </c>
      <c r="AA39" s="44">
        <f>INDEX(Calendar!$M$5:$M$52,MATCH($A39,Calendar!$A$5:$A$52,0))</f>
        <v/>
      </c>
      <c r="AB39" s="45">
        <f>IF($D39="Actual",IFERROR(S39/Y39,""),AB27)</f>
        <v/>
      </c>
      <c r="AC39" s="46">
        <f>IF($D39="Actual",IFERROR(U39/T39/Z39/AA39,""),AC27)</f>
        <v/>
      </c>
      <c r="AD39" s="43">
        <f>IF($D39="Actual",IFERROR(V39/(U39+V39),""),AD27)</f>
        <v/>
      </c>
      <c r="AE39" s="46">
        <f>IFERROR(AC39*Z39*AA39,"")</f>
        <v/>
      </c>
      <c r="AF39" s="47">
        <f>K27</f>
        <v/>
      </c>
      <c r="AG39" s="43">
        <f>IF($D39="Forecast",IFERROR(K39/AF39-1,""),"")</f>
        <v/>
      </c>
    </row>
    <row r="40">
      <c r="A40" s="8" t="n">
        <v>46419</v>
      </c>
      <c r="B40" s="26">
        <f>YEAR(A40)</f>
        <v/>
      </c>
      <c r="C40" s="26">
        <f>MONTH(A40)</f>
        <v/>
      </c>
      <c r="D40">
        <f>IF(A40&lt;=LastActual,"Actual","Forecast")</f>
        <v/>
      </c>
      <c r="E40" s="24">
        <f>IF($D40="Actual",R40,W40)</f>
        <v/>
      </c>
      <c r="F40" s="27">
        <f>IF($D40="Actual",S40,Cases_Forecast!AN33)</f>
        <v/>
      </c>
      <c r="G40" s="9">
        <f>IF($D40="Actual",T40,IFERROR(H40/AE40,0))</f>
        <v/>
      </c>
      <c r="H40" s="24">
        <f>IF($D40="Actual",U40,J40-I40)</f>
        <v/>
      </c>
      <c r="I40" s="24">
        <f>IF($D40="Actual",V40,IFERROR(J40*AD40,0))</f>
        <v/>
      </c>
      <c r="J40" s="24">
        <f>IF($D40="Actual",U40+V40,E40*X40)</f>
        <v/>
      </c>
      <c r="K40" s="28">
        <f>IFERROR(F40/G40,0)</f>
        <v/>
      </c>
      <c r="L40" s="29">
        <f>IFERROR(H40/G40,0)</f>
        <v/>
      </c>
      <c r="M40" s="30">
        <f>IFERROR(J40/F40,0)</f>
        <v/>
      </c>
      <c r="N40" s="10">
        <f>IFERROR(J40/E40,0)</f>
        <v/>
      </c>
      <c r="O40" s="10">
        <f>IFERROR(I40/J40,0)</f>
        <v/>
      </c>
      <c r="R40" s="42">
        <f>IF($D40="Actual",SUMIFS(Data_Actuals!$C$2:$C$5000,Data_Actuals!$A$2:$A$5000,$A40,Data_Actuals!$B$2:$B$5000,$B$2),"")</f>
        <v/>
      </c>
      <c r="S40" s="42">
        <f>IF($D40="Actual",SUMIFS(Data_Actuals!$D$2:$D$5000,Data_Actuals!$A$2:$A$5000,$A40,Data_Actuals!$B$2:$B$5000,$B$2),"")</f>
        <v/>
      </c>
      <c r="T40" s="42">
        <f>IF($D40="Actual",SUMIFS(Data_Actuals!$E$2:$E$5000,Data_Actuals!$A$2:$A$5000,$A40,Data_Actuals!$B$2:$B$5000,$B$2),"")</f>
        <v/>
      </c>
      <c r="U40" s="42">
        <f>IF($D40="Actual",SUMIFS(Data_Actuals!$F$2:$F$5000,Data_Actuals!$A$2:$A$5000,$A40,Data_Actuals!$B$2:$B$5000,$B$2),"")</f>
        <v/>
      </c>
      <c r="V40" s="42">
        <f>IF($D40="Actual",SUMIFS(Data_Actuals!$G$2:$G$5000,Data_Actuals!$A$2:$A$5000,$A40,Data_Actuals!$B$2:$B$5000,$B$2),"")</f>
        <v/>
      </c>
      <c r="W40" s="42">
        <f>SUMIFS(Plan_Inputs!$C$2:$C$5000,Plan_Inputs!$A$2:$A$5000,$A40,Plan_Inputs!$B$2:$B$5000,$B$2)</f>
        <v/>
      </c>
      <c r="X40" s="43">
        <f>SUMIFS(Plan_Inputs!$D$2:$D$5000,Plan_Inputs!$A$2:$A$5000,$A40,Plan_Inputs!$B$2:$B$5000,$B$2)</f>
        <v/>
      </c>
      <c r="Y40" s="42">
        <f>E40</f>
        <v/>
      </c>
      <c r="Z40" s="44">
        <f>INDEX(Calendar!$H$5:$L$52,MATCH($A40,Calendar!$A$5:$A$52,0),MATCH($D$2,Calendar!$H$4:$L$4,0))</f>
        <v/>
      </c>
      <c r="AA40" s="44">
        <f>INDEX(Calendar!$M$5:$M$52,MATCH($A40,Calendar!$A$5:$A$52,0))</f>
        <v/>
      </c>
      <c r="AB40" s="45">
        <f>IF($D40="Actual",IFERROR(S40/Y40,""),AB28)</f>
        <v/>
      </c>
      <c r="AC40" s="46">
        <f>IF($D40="Actual",IFERROR(U40/T40/Z40/AA40,""),AC28)</f>
        <v/>
      </c>
      <c r="AD40" s="43">
        <f>IF($D40="Actual",IFERROR(V40/(U40+V40),""),AD28)</f>
        <v/>
      </c>
      <c r="AE40" s="46">
        <f>IFERROR(AC40*Z40*AA40,"")</f>
        <v/>
      </c>
      <c r="AF40" s="47">
        <f>K28</f>
        <v/>
      </c>
      <c r="AG40" s="43">
        <f>IF($D40="Forecast",IFERROR(K40/AF40-1,""),"")</f>
        <v/>
      </c>
    </row>
    <row r="41">
      <c r="A41" s="8" t="n">
        <v>46447</v>
      </c>
      <c r="B41" s="26">
        <f>YEAR(A41)</f>
        <v/>
      </c>
      <c r="C41" s="26">
        <f>MONTH(A41)</f>
        <v/>
      </c>
      <c r="D41">
        <f>IF(A41&lt;=LastActual,"Actual","Forecast")</f>
        <v/>
      </c>
      <c r="E41" s="24">
        <f>IF($D41="Actual",R41,W41)</f>
        <v/>
      </c>
      <c r="F41" s="27">
        <f>IF($D41="Actual",S41,Cases_Forecast!AN34)</f>
        <v/>
      </c>
      <c r="G41" s="9">
        <f>IF($D41="Actual",T41,IFERROR(H41/AE41,0))</f>
        <v/>
      </c>
      <c r="H41" s="24">
        <f>IF($D41="Actual",U41,J41-I41)</f>
        <v/>
      </c>
      <c r="I41" s="24">
        <f>IF($D41="Actual",V41,IFERROR(J41*AD41,0))</f>
        <v/>
      </c>
      <c r="J41" s="24">
        <f>IF($D41="Actual",U41+V41,E41*X41)</f>
        <v/>
      </c>
      <c r="K41" s="28">
        <f>IFERROR(F41/G41,0)</f>
        <v/>
      </c>
      <c r="L41" s="29">
        <f>IFERROR(H41/G41,0)</f>
        <v/>
      </c>
      <c r="M41" s="30">
        <f>IFERROR(J41/F41,0)</f>
        <v/>
      </c>
      <c r="N41" s="10">
        <f>IFERROR(J41/E41,0)</f>
        <v/>
      </c>
      <c r="O41" s="10">
        <f>IFERROR(I41/J41,0)</f>
        <v/>
      </c>
      <c r="R41" s="42">
        <f>IF($D41="Actual",SUMIFS(Data_Actuals!$C$2:$C$5000,Data_Actuals!$A$2:$A$5000,$A41,Data_Actuals!$B$2:$B$5000,$B$2),"")</f>
        <v/>
      </c>
      <c r="S41" s="42">
        <f>IF($D41="Actual",SUMIFS(Data_Actuals!$D$2:$D$5000,Data_Actuals!$A$2:$A$5000,$A41,Data_Actuals!$B$2:$B$5000,$B$2),"")</f>
        <v/>
      </c>
      <c r="T41" s="42">
        <f>IF($D41="Actual",SUMIFS(Data_Actuals!$E$2:$E$5000,Data_Actuals!$A$2:$A$5000,$A41,Data_Actuals!$B$2:$B$5000,$B$2),"")</f>
        <v/>
      </c>
      <c r="U41" s="42">
        <f>IF($D41="Actual",SUMIFS(Data_Actuals!$F$2:$F$5000,Data_Actuals!$A$2:$A$5000,$A41,Data_Actuals!$B$2:$B$5000,$B$2),"")</f>
        <v/>
      </c>
      <c r="V41" s="42">
        <f>IF($D41="Actual",SUMIFS(Data_Actuals!$G$2:$G$5000,Data_Actuals!$A$2:$A$5000,$A41,Data_Actuals!$B$2:$B$5000,$B$2),"")</f>
        <v/>
      </c>
      <c r="W41" s="42">
        <f>SUMIFS(Plan_Inputs!$C$2:$C$5000,Plan_Inputs!$A$2:$A$5000,$A41,Plan_Inputs!$B$2:$B$5000,$B$2)</f>
        <v/>
      </c>
      <c r="X41" s="43">
        <f>SUMIFS(Plan_Inputs!$D$2:$D$5000,Plan_Inputs!$A$2:$A$5000,$A41,Plan_Inputs!$B$2:$B$5000,$B$2)</f>
        <v/>
      </c>
      <c r="Y41" s="42">
        <f>E41</f>
        <v/>
      </c>
      <c r="Z41" s="44">
        <f>INDEX(Calendar!$H$5:$L$52,MATCH($A41,Calendar!$A$5:$A$52,0),MATCH($D$2,Calendar!$H$4:$L$4,0))</f>
        <v/>
      </c>
      <c r="AA41" s="44">
        <f>INDEX(Calendar!$M$5:$M$52,MATCH($A41,Calendar!$A$5:$A$52,0))</f>
        <v/>
      </c>
      <c r="AB41" s="45">
        <f>IF($D41="Actual",IFERROR(S41/Y41,""),AB29)</f>
        <v/>
      </c>
      <c r="AC41" s="46">
        <f>IF($D41="Actual",IFERROR(U41/T41/Z41/AA41,""),AC29)</f>
        <v/>
      </c>
      <c r="AD41" s="43">
        <f>IF($D41="Actual",IFERROR(V41/(U41+V41),""),AD29)</f>
        <v/>
      </c>
      <c r="AE41" s="46">
        <f>IFERROR(AC41*Z41*AA41,"")</f>
        <v/>
      </c>
      <c r="AF41" s="47">
        <f>K29</f>
        <v/>
      </c>
      <c r="AG41" s="43">
        <f>IF($D41="Forecast",IFERROR(K41/AF41-1,""),"")</f>
        <v/>
      </c>
    </row>
    <row r="42">
      <c r="A42" s="8" t="n">
        <v>46478</v>
      </c>
      <c r="B42" s="26">
        <f>YEAR(A42)</f>
        <v/>
      </c>
      <c r="C42" s="26">
        <f>MONTH(A42)</f>
        <v/>
      </c>
      <c r="D42">
        <f>IF(A42&lt;=LastActual,"Actual","Forecast")</f>
        <v/>
      </c>
      <c r="E42" s="24">
        <f>IF($D42="Actual",R42,W42)</f>
        <v/>
      </c>
      <c r="F42" s="27">
        <f>IF($D42="Actual",S42,Cases_Forecast!AN35)</f>
        <v/>
      </c>
      <c r="G42" s="9">
        <f>IF($D42="Actual",T42,IFERROR(H42/AE42,0))</f>
        <v/>
      </c>
      <c r="H42" s="24">
        <f>IF($D42="Actual",U42,J42-I42)</f>
        <v/>
      </c>
      <c r="I42" s="24">
        <f>IF($D42="Actual",V42,IFERROR(J42*AD42,0))</f>
        <v/>
      </c>
      <c r="J42" s="24">
        <f>IF($D42="Actual",U42+V42,E42*X42)</f>
        <v/>
      </c>
      <c r="K42" s="28">
        <f>IFERROR(F42/G42,0)</f>
        <v/>
      </c>
      <c r="L42" s="29">
        <f>IFERROR(H42/G42,0)</f>
        <v/>
      </c>
      <c r="M42" s="30">
        <f>IFERROR(J42/F42,0)</f>
        <v/>
      </c>
      <c r="N42" s="10">
        <f>IFERROR(J42/E42,0)</f>
        <v/>
      </c>
      <c r="O42" s="10">
        <f>IFERROR(I42/J42,0)</f>
        <v/>
      </c>
      <c r="R42" s="42">
        <f>IF($D42="Actual",SUMIFS(Data_Actuals!$C$2:$C$5000,Data_Actuals!$A$2:$A$5000,$A42,Data_Actuals!$B$2:$B$5000,$B$2),"")</f>
        <v/>
      </c>
      <c r="S42" s="42">
        <f>IF($D42="Actual",SUMIFS(Data_Actuals!$D$2:$D$5000,Data_Actuals!$A$2:$A$5000,$A42,Data_Actuals!$B$2:$B$5000,$B$2),"")</f>
        <v/>
      </c>
      <c r="T42" s="42">
        <f>IF($D42="Actual",SUMIFS(Data_Actuals!$E$2:$E$5000,Data_Actuals!$A$2:$A$5000,$A42,Data_Actuals!$B$2:$B$5000,$B$2),"")</f>
        <v/>
      </c>
      <c r="U42" s="42">
        <f>IF($D42="Actual",SUMIFS(Data_Actuals!$F$2:$F$5000,Data_Actuals!$A$2:$A$5000,$A42,Data_Actuals!$B$2:$B$5000,$B$2),"")</f>
        <v/>
      </c>
      <c r="V42" s="42">
        <f>IF($D42="Actual",SUMIFS(Data_Actuals!$G$2:$G$5000,Data_Actuals!$A$2:$A$5000,$A42,Data_Actuals!$B$2:$B$5000,$B$2),"")</f>
        <v/>
      </c>
      <c r="W42" s="42">
        <f>SUMIFS(Plan_Inputs!$C$2:$C$5000,Plan_Inputs!$A$2:$A$5000,$A42,Plan_Inputs!$B$2:$B$5000,$B$2)</f>
        <v/>
      </c>
      <c r="X42" s="43">
        <f>SUMIFS(Plan_Inputs!$D$2:$D$5000,Plan_Inputs!$A$2:$A$5000,$A42,Plan_Inputs!$B$2:$B$5000,$B$2)</f>
        <v/>
      </c>
      <c r="Y42" s="42">
        <f>E42</f>
        <v/>
      </c>
      <c r="Z42" s="44">
        <f>INDEX(Calendar!$H$5:$L$52,MATCH($A42,Calendar!$A$5:$A$52,0),MATCH($D$2,Calendar!$H$4:$L$4,0))</f>
        <v/>
      </c>
      <c r="AA42" s="44">
        <f>INDEX(Calendar!$M$5:$M$52,MATCH($A42,Calendar!$A$5:$A$52,0))</f>
        <v/>
      </c>
      <c r="AB42" s="45">
        <f>IF($D42="Actual",IFERROR(S42/Y42,""),AB30)</f>
        <v/>
      </c>
      <c r="AC42" s="46">
        <f>IF($D42="Actual",IFERROR(U42/T42/Z42/AA42,""),AC30)</f>
        <v/>
      </c>
      <c r="AD42" s="43">
        <f>IF($D42="Actual",IFERROR(V42/(U42+V42),""),AD30)</f>
        <v/>
      </c>
      <c r="AE42" s="46">
        <f>IFERROR(AC42*Z42*AA42,"")</f>
        <v/>
      </c>
      <c r="AF42" s="47">
        <f>K30</f>
        <v/>
      </c>
      <c r="AG42" s="43">
        <f>IF($D42="Forecast",IFERROR(K42/AF42-1,""),"")</f>
        <v/>
      </c>
    </row>
    <row r="43">
      <c r="A43" s="8" t="n">
        <v>46508</v>
      </c>
      <c r="B43" s="26">
        <f>YEAR(A43)</f>
        <v/>
      </c>
      <c r="C43" s="26">
        <f>MONTH(A43)</f>
        <v/>
      </c>
      <c r="D43">
        <f>IF(A43&lt;=LastActual,"Actual","Forecast")</f>
        <v/>
      </c>
      <c r="E43" s="24">
        <f>IF($D43="Actual",R43,W43)</f>
        <v/>
      </c>
      <c r="F43" s="27">
        <f>IF($D43="Actual",S43,Cases_Forecast!AN36)</f>
        <v/>
      </c>
      <c r="G43" s="9">
        <f>IF($D43="Actual",T43,IFERROR(H43/AE43,0))</f>
        <v/>
      </c>
      <c r="H43" s="24">
        <f>IF($D43="Actual",U43,J43-I43)</f>
        <v/>
      </c>
      <c r="I43" s="24">
        <f>IF($D43="Actual",V43,IFERROR(J43*AD43,0))</f>
        <v/>
      </c>
      <c r="J43" s="24">
        <f>IF($D43="Actual",U43+V43,E43*X43)</f>
        <v/>
      </c>
      <c r="K43" s="28">
        <f>IFERROR(F43/G43,0)</f>
        <v/>
      </c>
      <c r="L43" s="29">
        <f>IFERROR(H43/G43,0)</f>
        <v/>
      </c>
      <c r="M43" s="30">
        <f>IFERROR(J43/F43,0)</f>
        <v/>
      </c>
      <c r="N43" s="10">
        <f>IFERROR(J43/E43,0)</f>
        <v/>
      </c>
      <c r="O43" s="10">
        <f>IFERROR(I43/J43,0)</f>
        <v/>
      </c>
      <c r="R43" s="42">
        <f>IF($D43="Actual",SUMIFS(Data_Actuals!$C$2:$C$5000,Data_Actuals!$A$2:$A$5000,$A43,Data_Actuals!$B$2:$B$5000,$B$2),"")</f>
        <v/>
      </c>
      <c r="S43" s="42">
        <f>IF($D43="Actual",SUMIFS(Data_Actuals!$D$2:$D$5000,Data_Actuals!$A$2:$A$5000,$A43,Data_Actuals!$B$2:$B$5000,$B$2),"")</f>
        <v/>
      </c>
      <c r="T43" s="42">
        <f>IF($D43="Actual",SUMIFS(Data_Actuals!$E$2:$E$5000,Data_Actuals!$A$2:$A$5000,$A43,Data_Actuals!$B$2:$B$5000,$B$2),"")</f>
        <v/>
      </c>
      <c r="U43" s="42">
        <f>IF($D43="Actual",SUMIFS(Data_Actuals!$F$2:$F$5000,Data_Actuals!$A$2:$A$5000,$A43,Data_Actuals!$B$2:$B$5000,$B$2),"")</f>
        <v/>
      </c>
      <c r="V43" s="42">
        <f>IF($D43="Actual",SUMIFS(Data_Actuals!$G$2:$G$5000,Data_Actuals!$A$2:$A$5000,$A43,Data_Actuals!$B$2:$B$5000,$B$2),"")</f>
        <v/>
      </c>
      <c r="W43" s="42">
        <f>SUMIFS(Plan_Inputs!$C$2:$C$5000,Plan_Inputs!$A$2:$A$5000,$A43,Plan_Inputs!$B$2:$B$5000,$B$2)</f>
        <v/>
      </c>
      <c r="X43" s="43">
        <f>SUMIFS(Plan_Inputs!$D$2:$D$5000,Plan_Inputs!$A$2:$A$5000,$A43,Plan_Inputs!$B$2:$B$5000,$B$2)</f>
        <v/>
      </c>
      <c r="Y43" s="42">
        <f>E43</f>
        <v/>
      </c>
      <c r="Z43" s="44">
        <f>INDEX(Calendar!$H$5:$L$52,MATCH($A43,Calendar!$A$5:$A$52,0),MATCH($D$2,Calendar!$H$4:$L$4,0))</f>
        <v/>
      </c>
      <c r="AA43" s="44">
        <f>INDEX(Calendar!$M$5:$M$52,MATCH($A43,Calendar!$A$5:$A$52,0))</f>
        <v/>
      </c>
      <c r="AB43" s="45">
        <f>IF($D43="Actual",IFERROR(S43/Y43,""),AB31)</f>
        <v/>
      </c>
      <c r="AC43" s="46">
        <f>IF($D43="Actual",IFERROR(U43/T43/Z43/AA43,""),AC31)</f>
        <v/>
      </c>
      <c r="AD43" s="43">
        <f>IF($D43="Actual",IFERROR(V43/(U43+V43),""),AD31)</f>
        <v/>
      </c>
      <c r="AE43" s="46">
        <f>IFERROR(AC43*Z43*AA43,"")</f>
        <v/>
      </c>
      <c r="AF43" s="47">
        <f>K31</f>
        <v/>
      </c>
      <c r="AG43" s="43">
        <f>IF($D43="Forecast",IFERROR(K43/AF43-1,""),"")</f>
        <v/>
      </c>
    </row>
    <row r="44">
      <c r="A44" s="8" t="n">
        <v>46539</v>
      </c>
      <c r="B44" s="26">
        <f>YEAR(A44)</f>
        <v/>
      </c>
      <c r="C44" s="26">
        <f>MONTH(A44)</f>
        <v/>
      </c>
      <c r="D44">
        <f>IF(A44&lt;=LastActual,"Actual","Forecast")</f>
        <v/>
      </c>
      <c r="E44" s="24">
        <f>IF($D44="Actual",R44,W44)</f>
        <v/>
      </c>
      <c r="F44" s="27">
        <f>IF($D44="Actual",S44,Cases_Forecast!AN37)</f>
        <v/>
      </c>
      <c r="G44" s="9">
        <f>IF($D44="Actual",T44,IFERROR(H44/AE44,0))</f>
        <v/>
      </c>
      <c r="H44" s="24">
        <f>IF($D44="Actual",U44,J44-I44)</f>
        <v/>
      </c>
      <c r="I44" s="24">
        <f>IF($D44="Actual",V44,IFERROR(J44*AD44,0))</f>
        <v/>
      </c>
      <c r="J44" s="24">
        <f>IF($D44="Actual",U44+V44,E44*X44)</f>
        <v/>
      </c>
      <c r="K44" s="28">
        <f>IFERROR(F44/G44,0)</f>
        <v/>
      </c>
      <c r="L44" s="29">
        <f>IFERROR(H44/G44,0)</f>
        <v/>
      </c>
      <c r="M44" s="30">
        <f>IFERROR(J44/F44,0)</f>
        <v/>
      </c>
      <c r="N44" s="10">
        <f>IFERROR(J44/E44,0)</f>
        <v/>
      </c>
      <c r="O44" s="10">
        <f>IFERROR(I44/J44,0)</f>
        <v/>
      </c>
      <c r="R44" s="42">
        <f>IF($D44="Actual",SUMIFS(Data_Actuals!$C$2:$C$5000,Data_Actuals!$A$2:$A$5000,$A44,Data_Actuals!$B$2:$B$5000,$B$2),"")</f>
        <v/>
      </c>
      <c r="S44" s="42">
        <f>IF($D44="Actual",SUMIFS(Data_Actuals!$D$2:$D$5000,Data_Actuals!$A$2:$A$5000,$A44,Data_Actuals!$B$2:$B$5000,$B$2),"")</f>
        <v/>
      </c>
      <c r="T44" s="42">
        <f>IF($D44="Actual",SUMIFS(Data_Actuals!$E$2:$E$5000,Data_Actuals!$A$2:$A$5000,$A44,Data_Actuals!$B$2:$B$5000,$B$2),"")</f>
        <v/>
      </c>
      <c r="U44" s="42">
        <f>IF($D44="Actual",SUMIFS(Data_Actuals!$F$2:$F$5000,Data_Actuals!$A$2:$A$5000,$A44,Data_Actuals!$B$2:$B$5000,$B$2),"")</f>
        <v/>
      </c>
      <c r="V44" s="42">
        <f>IF($D44="Actual",SUMIFS(Data_Actuals!$G$2:$G$5000,Data_Actuals!$A$2:$A$5000,$A44,Data_Actuals!$B$2:$B$5000,$B$2),"")</f>
        <v/>
      </c>
      <c r="W44" s="42">
        <f>SUMIFS(Plan_Inputs!$C$2:$C$5000,Plan_Inputs!$A$2:$A$5000,$A44,Plan_Inputs!$B$2:$B$5000,$B$2)</f>
        <v/>
      </c>
      <c r="X44" s="43">
        <f>SUMIFS(Plan_Inputs!$D$2:$D$5000,Plan_Inputs!$A$2:$A$5000,$A44,Plan_Inputs!$B$2:$B$5000,$B$2)</f>
        <v/>
      </c>
      <c r="Y44" s="42">
        <f>E44</f>
        <v/>
      </c>
      <c r="Z44" s="44">
        <f>INDEX(Calendar!$H$5:$L$52,MATCH($A44,Calendar!$A$5:$A$52,0),MATCH($D$2,Calendar!$H$4:$L$4,0))</f>
        <v/>
      </c>
      <c r="AA44" s="44">
        <f>INDEX(Calendar!$M$5:$M$52,MATCH($A44,Calendar!$A$5:$A$52,0))</f>
        <v/>
      </c>
      <c r="AB44" s="45">
        <f>IF($D44="Actual",IFERROR(S44/Y44,""),AB32)</f>
        <v/>
      </c>
      <c r="AC44" s="46">
        <f>IF($D44="Actual",IFERROR(U44/T44/Z44/AA44,""),AC32)</f>
        <v/>
      </c>
      <c r="AD44" s="43">
        <f>IF($D44="Actual",IFERROR(V44/(U44+V44),""),AD32)</f>
        <v/>
      </c>
      <c r="AE44" s="46">
        <f>IFERROR(AC44*Z44*AA44,"")</f>
        <v/>
      </c>
      <c r="AF44" s="47">
        <f>K32</f>
        <v/>
      </c>
      <c r="AG44" s="43">
        <f>IF($D44="Forecast",IFERROR(K44/AF44-1,""),"")</f>
        <v/>
      </c>
    </row>
    <row r="45">
      <c r="A45" s="8" t="n">
        <v>46569</v>
      </c>
      <c r="B45" s="26">
        <f>YEAR(A45)</f>
        <v/>
      </c>
      <c r="C45" s="26">
        <f>MONTH(A45)</f>
        <v/>
      </c>
      <c r="D45">
        <f>IF(A45&lt;=LastActual,"Actual","Forecast")</f>
        <v/>
      </c>
      <c r="E45" s="24">
        <f>IF($D45="Actual",R45,W45)</f>
        <v/>
      </c>
      <c r="F45" s="27">
        <f>IF($D45="Actual",S45,Cases_Forecast!AN38)</f>
        <v/>
      </c>
      <c r="G45" s="9">
        <f>IF($D45="Actual",T45,IFERROR(H45/AE45,0))</f>
        <v/>
      </c>
      <c r="H45" s="24">
        <f>IF($D45="Actual",U45,J45-I45)</f>
        <v/>
      </c>
      <c r="I45" s="24">
        <f>IF($D45="Actual",V45,IFERROR(J45*AD45,0))</f>
        <v/>
      </c>
      <c r="J45" s="24">
        <f>IF($D45="Actual",U45+V45,E45*X45)</f>
        <v/>
      </c>
      <c r="K45" s="28">
        <f>IFERROR(F45/G45,0)</f>
        <v/>
      </c>
      <c r="L45" s="29">
        <f>IFERROR(H45/G45,0)</f>
        <v/>
      </c>
      <c r="M45" s="30">
        <f>IFERROR(J45/F45,0)</f>
        <v/>
      </c>
      <c r="N45" s="10">
        <f>IFERROR(J45/E45,0)</f>
        <v/>
      </c>
      <c r="O45" s="10">
        <f>IFERROR(I45/J45,0)</f>
        <v/>
      </c>
      <c r="R45" s="42">
        <f>IF($D45="Actual",SUMIFS(Data_Actuals!$C$2:$C$5000,Data_Actuals!$A$2:$A$5000,$A45,Data_Actuals!$B$2:$B$5000,$B$2),"")</f>
        <v/>
      </c>
      <c r="S45" s="42">
        <f>IF($D45="Actual",SUMIFS(Data_Actuals!$D$2:$D$5000,Data_Actuals!$A$2:$A$5000,$A45,Data_Actuals!$B$2:$B$5000,$B$2),"")</f>
        <v/>
      </c>
      <c r="T45" s="42">
        <f>IF($D45="Actual",SUMIFS(Data_Actuals!$E$2:$E$5000,Data_Actuals!$A$2:$A$5000,$A45,Data_Actuals!$B$2:$B$5000,$B$2),"")</f>
        <v/>
      </c>
      <c r="U45" s="42">
        <f>IF($D45="Actual",SUMIFS(Data_Actuals!$F$2:$F$5000,Data_Actuals!$A$2:$A$5000,$A45,Data_Actuals!$B$2:$B$5000,$B$2),"")</f>
        <v/>
      </c>
      <c r="V45" s="42">
        <f>IF($D45="Actual",SUMIFS(Data_Actuals!$G$2:$G$5000,Data_Actuals!$A$2:$A$5000,$A45,Data_Actuals!$B$2:$B$5000,$B$2),"")</f>
        <v/>
      </c>
      <c r="W45" s="42">
        <f>SUMIFS(Plan_Inputs!$C$2:$C$5000,Plan_Inputs!$A$2:$A$5000,$A45,Plan_Inputs!$B$2:$B$5000,$B$2)</f>
        <v/>
      </c>
      <c r="X45" s="43">
        <f>SUMIFS(Plan_Inputs!$D$2:$D$5000,Plan_Inputs!$A$2:$A$5000,$A45,Plan_Inputs!$B$2:$B$5000,$B$2)</f>
        <v/>
      </c>
      <c r="Y45" s="42">
        <f>E45</f>
        <v/>
      </c>
      <c r="Z45" s="44">
        <f>INDEX(Calendar!$H$5:$L$52,MATCH($A45,Calendar!$A$5:$A$52,0),MATCH($D$2,Calendar!$H$4:$L$4,0))</f>
        <v/>
      </c>
      <c r="AA45" s="44">
        <f>INDEX(Calendar!$M$5:$M$52,MATCH($A45,Calendar!$A$5:$A$52,0))</f>
        <v/>
      </c>
      <c r="AB45" s="45">
        <f>IF($D45="Actual",IFERROR(S45/Y45,""),AB33)</f>
        <v/>
      </c>
      <c r="AC45" s="46">
        <f>IF($D45="Actual",IFERROR(U45/T45/Z45/AA45,""),AC33)</f>
        <v/>
      </c>
      <c r="AD45" s="43">
        <f>IF($D45="Actual",IFERROR(V45/(U45+V45),""),AD33)</f>
        <v/>
      </c>
      <c r="AE45" s="46">
        <f>IFERROR(AC45*Z45*AA45,"")</f>
        <v/>
      </c>
      <c r="AF45" s="47">
        <f>K33</f>
        <v/>
      </c>
      <c r="AG45" s="43">
        <f>IF($D45="Forecast",IFERROR(K45/AF45-1,""),"")</f>
        <v/>
      </c>
    </row>
    <row r="46">
      <c r="A46" s="8" t="n">
        <v>46600</v>
      </c>
      <c r="B46" s="26">
        <f>YEAR(A46)</f>
        <v/>
      </c>
      <c r="C46" s="26">
        <f>MONTH(A46)</f>
        <v/>
      </c>
      <c r="D46">
        <f>IF(A46&lt;=LastActual,"Actual","Forecast")</f>
        <v/>
      </c>
      <c r="E46" s="24">
        <f>IF($D46="Actual",R46,W46)</f>
        <v/>
      </c>
      <c r="F46" s="27">
        <f>IF($D46="Actual",S46,Cases_Forecast!AN39)</f>
        <v/>
      </c>
      <c r="G46" s="9">
        <f>IF($D46="Actual",T46,IFERROR(H46/AE46,0))</f>
        <v/>
      </c>
      <c r="H46" s="24">
        <f>IF($D46="Actual",U46,J46-I46)</f>
        <v/>
      </c>
      <c r="I46" s="24">
        <f>IF($D46="Actual",V46,IFERROR(J46*AD46,0))</f>
        <v/>
      </c>
      <c r="J46" s="24">
        <f>IF($D46="Actual",U46+V46,E46*X46)</f>
        <v/>
      </c>
      <c r="K46" s="28">
        <f>IFERROR(F46/G46,0)</f>
        <v/>
      </c>
      <c r="L46" s="29">
        <f>IFERROR(H46/G46,0)</f>
        <v/>
      </c>
      <c r="M46" s="30">
        <f>IFERROR(J46/F46,0)</f>
        <v/>
      </c>
      <c r="N46" s="10">
        <f>IFERROR(J46/E46,0)</f>
        <v/>
      </c>
      <c r="O46" s="10">
        <f>IFERROR(I46/J46,0)</f>
        <v/>
      </c>
      <c r="R46" s="42">
        <f>IF($D46="Actual",SUMIFS(Data_Actuals!$C$2:$C$5000,Data_Actuals!$A$2:$A$5000,$A46,Data_Actuals!$B$2:$B$5000,$B$2),"")</f>
        <v/>
      </c>
      <c r="S46" s="42">
        <f>IF($D46="Actual",SUMIFS(Data_Actuals!$D$2:$D$5000,Data_Actuals!$A$2:$A$5000,$A46,Data_Actuals!$B$2:$B$5000,$B$2),"")</f>
        <v/>
      </c>
      <c r="T46" s="42">
        <f>IF($D46="Actual",SUMIFS(Data_Actuals!$E$2:$E$5000,Data_Actuals!$A$2:$A$5000,$A46,Data_Actuals!$B$2:$B$5000,$B$2),"")</f>
        <v/>
      </c>
      <c r="U46" s="42">
        <f>IF($D46="Actual",SUMIFS(Data_Actuals!$F$2:$F$5000,Data_Actuals!$A$2:$A$5000,$A46,Data_Actuals!$B$2:$B$5000,$B$2),"")</f>
        <v/>
      </c>
      <c r="V46" s="42">
        <f>IF($D46="Actual",SUMIFS(Data_Actuals!$G$2:$G$5000,Data_Actuals!$A$2:$A$5000,$A46,Data_Actuals!$B$2:$B$5000,$B$2),"")</f>
        <v/>
      </c>
      <c r="W46" s="42">
        <f>SUMIFS(Plan_Inputs!$C$2:$C$5000,Plan_Inputs!$A$2:$A$5000,$A46,Plan_Inputs!$B$2:$B$5000,$B$2)</f>
        <v/>
      </c>
      <c r="X46" s="43">
        <f>SUMIFS(Plan_Inputs!$D$2:$D$5000,Plan_Inputs!$A$2:$A$5000,$A46,Plan_Inputs!$B$2:$B$5000,$B$2)</f>
        <v/>
      </c>
      <c r="Y46" s="42">
        <f>E46</f>
        <v/>
      </c>
      <c r="Z46" s="44">
        <f>INDEX(Calendar!$H$5:$L$52,MATCH($A46,Calendar!$A$5:$A$52,0),MATCH($D$2,Calendar!$H$4:$L$4,0))</f>
        <v/>
      </c>
      <c r="AA46" s="44">
        <f>INDEX(Calendar!$M$5:$M$52,MATCH($A46,Calendar!$A$5:$A$52,0))</f>
        <v/>
      </c>
      <c r="AB46" s="45">
        <f>IF($D46="Actual",IFERROR(S46/Y46,""),AB34)</f>
        <v/>
      </c>
      <c r="AC46" s="46">
        <f>IF($D46="Actual",IFERROR(U46/T46/Z46/AA46,""),AC34)</f>
        <v/>
      </c>
      <c r="AD46" s="43">
        <f>IF($D46="Actual",IFERROR(V46/(U46+V46),""),AD34)</f>
        <v/>
      </c>
      <c r="AE46" s="46">
        <f>IFERROR(AC46*Z46*AA46,"")</f>
        <v/>
      </c>
      <c r="AF46" s="47">
        <f>K34</f>
        <v/>
      </c>
      <c r="AG46" s="43">
        <f>IF($D46="Forecast",IFERROR(K46/AF46-1,""),"")</f>
        <v/>
      </c>
    </row>
    <row r="47">
      <c r="A47" s="8" t="n">
        <v>46631</v>
      </c>
      <c r="B47" s="26">
        <f>YEAR(A47)</f>
        <v/>
      </c>
      <c r="C47" s="26">
        <f>MONTH(A47)</f>
        <v/>
      </c>
      <c r="D47">
        <f>IF(A47&lt;=LastActual,"Actual","Forecast")</f>
        <v/>
      </c>
      <c r="E47" s="24">
        <f>IF($D47="Actual",R47,W47)</f>
        <v/>
      </c>
      <c r="F47" s="27">
        <f>IF($D47="Actual",S47,Cases_Forecast!AN40)</f>
        <v/>
      </c>
      <c r="G47" s="9">
        <f>IF($D47="Actual",T47,IFERROR(H47/AE47,0))</f>
        <v/>
      </c>
      <c r="H47" s="24">
        <f>IF($D47="Actual",U47,J47-I47)</f>
        <v/>
      </c>
      <c r="I47" s="24">
        <f>IF($D47="Actual",V47,IFERROR(J47*AD47,0))</f>
        <v/>
      </c>
      <c r="J47" s="24">
        <f>IF($D47="Actual",U47+V47,E47*X47)</f>
        <v/>
      </c>
      <c r="K47" s="28">
        <f>IFERROR(F47/G47,0)</f>
        <v/>
      </c>
      <c r="L47" s="29">
        <f>IFERROR(H47/G47,0)</f>
        <v/>
      </c>
      <c r="M47" s="30">
        <f>IFERROR(J47/F47,0)</f>
        <v/>
      </c>
      <c r="N47" s="10">
        <f>IFERROR(J47/E47,0)</f>
        <v/>
      </c>
      <c r="O47" s="10">
        <f>IFERROR(I47/J47,0)</f>
        <v/>
      </c>
      <c r="R47" s="42">
        <f>IF($D47="Actual",SUMIFS(Data_Actuals!$C$2:$C$5000,Data_Actuals!$A$2:$A$5000,$A47,Data_Actuals!$B$2:$B$5000,$B$2),"")</f>
        <v/>
      </c>
      <c r="S47" s="42">
        <f>IF($D47="Actual",SUMIFS(Data_Actuals!$D$2:$D$5000,Data_Actuals!$A$2:$A$5000,$A47,Data_Actuals!$B$2:$B$5000,$B$2),"")</f>
        <v/>
      </c>
      <c r="T47" s="42">
        <f>IF($D47="Actual",SUMIFS(Data_Actuals!$E$2:$E$5000,Data_Actuals!$A$2:$A$5000,$A47,Data_Actuals!$B$2:$B$5000,$B$2),"")</f>
        <v/>
      </c>
      <c r="U47" s="42">
        <f>IF($D47="Actual",SUMIFS(Data_Actuals!$F$2:$F$5000,Data_Actuals!$A$2:$A$5000,$A47,Data_Actuals!$B$2:$B$5000,$B$2),"")</f>
        <v/>
      </c>
      <c r="V47" s="42">
        <f>IF($D47="Actual",SUMIFS(Data_Actuals!$G$2:$G$5000,Data_Actuals!$A$2:$A$5000,$A47,Data_Actuals!$B$2:$B$5000,$B$2),"")</f>
        <v/>
      </c>
      <c r="W47" s="42">
        <f>SUMIFS(Plan_Inputs!$C$2:$C$5000,Plan_Inputs!$A$2:$A$5000,$A47,Plan_Inputs!$B$2:$B$5000,$B$2)</f>
        <v/>
      </c>
      <c r="X47" s="43">
        <f>SUMIFS(Plan_Inputs!$D$2:$D$5000,Plan_Inputs!$A$2:$A$5000,$A47,Plan_Inputs!$B$2:$B$5000,$B$2)</f>
        <v/>
      </c>
      <c r="Y47" s="42">
        <f>E47</f>
        <v/>
      </c>
      <c r="Z47" s="44">
        <f>INDEX(Calendar!$H$5:$L$52,MATCH($A47,Calendar!$A$5:$A$52,0),MATCH($D$2,Calendar!$H$4:$L$4,0))</f>
        <v/>
      </c>
      <c r="AA47" s="44">
        <f>INDEX(Calendar!$M$5:$M$52,MATCH($A47,Calendar!$A$5:$A$52,0))</f>
        <v/>
      </c>
      <c r="AB47" s="45">
        <f>IF($D47="Actual",IFERROR(S47/Y47,""),AB35)</f>
        <v/>
      </c>
      <c r="AC47" s="46">
        <f>IF($D47="Actual",IFERROR(U47/T47/Z47/AA47,""),AC35)</f>
        <v/>
      </c>
      <c r="AD47" s="43">
        <f>IF($D47="Actual",IFERROR(V47/(U47+V47),""),AD35)</f>
        <v/>
      </c>
      <c r="AE47" s="46">
        <f>IFERROR(AC47*Z47*AA47,"")</f>
        <v/>
      </c>
      <c r="AF47" s="47">
        <f>K35</f>
        <v/>
      </c>
      <c r="AG47" s="43">
        <f>IF($D47="Forecast",IFERROR(K47/AF47-1,""),"")</f>
        <v/>
      </c>
    </row>
    <row r="48">
      <c r="A48" s="8" t="n">
        <v>46661</v>
      </c>
      <c r="B48" s="26">
        <f>YEAR(A48)</f>
        <v/>
      </c>
      <c r="C48" s="26">
        <f>MONTH(A48)</f>
        <v/>
      </c>
      <c r="D48">
        <f>IF(A48&lt;=LastActual,"Actual","Forecast")</f>
        <v/>
      </c>
      <c r="E48" s="24">
        <f>IF($D48="Actual",R48,W48)</f>
        <v/>
      </c>
      <c r="F48" s="27">
        <f>IF($D48="Actual",S48,Cases_Forecast!AN41)</f>
        <v/>
      </c>
      <c r="G48" s="9">
        <f>IF($D48="Actual",T48,IFERROR(H48/AE48,0))</f>
        <v/>
      </c>
      <c r="H48" s="24">
        <f>IF($D48="Actual",U48,J48-I48)</f>
        <v/>
      </c>
      <c r="I48" s="24">
        <f>IF($D48="Actual",V48,IFERROR(J48*AD48,0))</f>
        <v/>
      </c>
      <c r="J48" s="24">
        <f>IF($D48="Actual",U48+V48,E48*X48)</f>
        <v/>
      </c>
      <c r="K48" s="28">
        <f>IFERROR(F48/G48,0)</f>
        <v/>
      </c>
      <c r="L48" s="29">
        <f>IFERROR(H48/G48,0)</f>
        <v/>
      </c>
      <c r="M48" s="30">
        <f>IFERROR(J48/F48,0)</f>
        <v/>
      </c>
      <c r="N48" s="10">
        <f>IFERROR(J48/E48,0)</f>
        <v/>
      </c>
      <c r="O48" s="10">
        <f>IFERROR(I48/J48,0)</f>
        <v/>
      </c>
      <c r="R48" s="42">
        <f>IF($D48="Actual",SUMIFS(Data_Actuals!$C$2:$C$5000,Data_Actuals!$A$2:$A$5000,$A48,Data_Actuals!$B$2:$B$5000,$B$2),"")</f>
        <v/>
      </c>
      <c r="S48" s="42">
        <f>IF($D48="Actual",SUMIFS(Data_Actuals!$D$2:$D$5000,Data_Actuals!$A$2:$A$5000,$A48,Data_Actuals!$B$2:$B$5000,$B$2),"")</f>
        <v/>
      </c>
      <c r="T48" s="42">
        <f>IF($D48="Actual",SUMIFS(Data_Actuals!$E$2:$E$5000,Data_Actuals!$A$2:$A$5000,$A48,Data_Actuals!$B$2:$B$5000,$B$2),"")</f>
        <v/>
      </c>
      <c r="U48" s="42">
        <f>IF($D48="Actual",SUMIFS(Data_Actuals!$F$2:$F$5000,Data_Actuals!$A$2:$A$5000,$A48,Data_Actuals!$B$2:$B$5000,$B$2),"")</f>
        <v/>
      </c>
      <c r="V48" s="42">
        <f>IF($D48="Actual",SUMIFS(Data_Actuals!$G$2:$G$5000,Data_Actuals!$A$2:$A$5000,$A48,Data_Actuals!$B$2:$B$5000,$B$2),"")</f>
        <v/>
      </c>
      <c r="W48" s="42">
        <f>SUMIFS(Plan_Inputs!$C$2:$C$5000,Plan_Inputs!$A$2:$A$5000,$A48,Plan_Inputs!$B$2:$B$5000,$B$2)</f>
        <v/>
      </c>
      <c r="X48" s="43">
        <f>SUMIFS(Plan_Inputs!$D$2:$D$5000,Plan_Inputs!$A$2:$A$5000,$A48,Plan_Inputs!$B$2:$B$5000,$B$2)</f>
        <v/>
      </c>
      <c r="Y48" s="42">
        <f>E48</f>
        <v/>
      </c>
      <c r="Z48" s="44">
        <f>INDEX(Calendar!$H$5:$L$52,MATCH($A48,Calendar!$A$5:$A$52,0),MATCH($D$2,Calendar!$H$4:$L$4,0))</f>
        <v/>
      </c>
      <c r="AA48" s="44">
        <f>INDEX(Calendar!$M$5:$M$52,MATCH($A48,Calendar!$A$5:$A$52,0))</f>
        <v/>
      </c>
      <c r="AB48" s="45">
        <f>IF($D48="Actual",IFERROR(S48/Y48,""),AB36)</f>
        <v/>
      </c>
      <c r="AC48" s="46">
        <f>IF($D48="Actual",IFERROR(U48/T48/Z48/AA48,""),AC36)</f>
        <v/>
      </c>
      <c r="AD48" s="43">
        <f>IF($D48="Actual",IFERROR(V48/(U48+V48),""),AD36)</f>
        <v/>
      </c>
      <c r="AE48" s="46">
        <f>IFERROR(AC48*Z48*AA48,"")</f>
        <v/>
      </c>
      <c r="AF48" s="47">
        <f>K36</f>
        <v/>
      </c>
      <c r="AG48" s="43">
        <f>IF($D48="Forecast",IFERROR(K48/AF48-1,""),"")</f>
        <v/>
      </c>
    </row>
    <row r="49">
      <c r="A49" s="8" t="n">
        <v>46692</v>
      </c>
      <c r="B49" s="26">
        <f>YEAR(A49)</f>
        <v/>
      </c>
      <c r="C49" s="26">
        <f>MONTH(A49)</f>
        <v/>
      </c>
      <c r="D49">
        <f>IF(A49&lt;=LastActual,"Actual","Forecast")</f>
        <v/>
      </c>
      <c r="E49" s="24">
        <f>IF($D49="Actual",R49,W49)</f>
        <v/>
      </c>
      <c r="F49" s="27">
        <f>IF($D49="Actual",S49,Cases_Forecast!AN42)</f>
        <v/>
      </c>
      <c r="G49" s="9">
        <f>IF($D49="Actual",T49,IFERROR(H49/AE49,0))</f>
        <v/>
      </c>
      <c r="H49" s="24">
        <f>IF($D49="Actual",U49,J49-I49)</f>
        <v/>
      </c>
      <c r="I49" s="24">
        <f>IF($D49="Actual",V49,IFERROR(J49*AD49,0))</f>
        <v/>
      </c>
      <c r="J49" s="24">
        <f>IF($D49="Actual",U49+V49,E49*X49)</f>
        <v/>
      </c>
      <c r="K49" s="28">
        <f>IFERROR(F49/G49,0)</f>
        <v/>
      </c>
      <c r="L49" s="29">
        <f>IFERROR(H49/G49,0)</f>
        <v/>
      </c>
      <c r="M49" s="30">
        <f>IFERROR(J49/F49,0)</f>
        <v/>
      </c>
      <c r="N49" s="10">
        <f>IFERROR(J49/E49,0)</f>
        <v/>
      </c>
      <c r="O49" s="10">
        <f>IFERROR(I49/J49,0)</f>
        <v/>
      </c>
      <c r="R49" s="42">
        <f>IF($D49="Actual",SUMIFS(Data_Actuals!$C$2:$C$5000,Data_Actuals!$A$2:$A$5000,$A49,Data_Actuals!$B$2:$B$5000,$B$2),"")</f>
        <v/>
      </c>
      <c r="S49" s="42">
        <f>IF($D49="Actual",SUMIFS(Data_Actuals!$D$2:$D$5000,Data_Actuals!$A$2:$A$5000,$A49,Data_Actuals!$B$2:$B$5000,$B$2),"")</f>
        <v/>
      </c>
      <c r="T49" s="42">
        <f>IF($D49="Actual",SUMIFS(Data_Actuals!$E$2:$E$5000,Data_Actuals!$A$2:$A$5000,$A49,Data_Actuals!$B$2:$B$5000,$B$2),"")</f>
        <v/>
      </c>
      <c r="U49" s="42">
        <f>IF($D49="Actual",SUMIFS(Data_Actuals!$F$2:$F$5000,Data_Actuals!$A$2:$A$5000,$A49,Data_Actuals!$B$2:$B$5000,$B$2),"")</f>
        <v/>
      </c>
      <c r="V49" s="42">
        <f>IF($D49="Actual",SUMIFS(Data_Actuals!$G$2:$G$5000,Data_Actuals!$A$2:$A$5000,$A49,Data_Actuals!$B$2:$B$5000,$B$2),"")</f>
        <v/>
      </c>
      <c r="W49" s="42">
        <f>SUMIFS(Plan_Inputs!$C$2:$C$5000,Plan_Inputs!$A$2:$A$5000,$A49,Plan_Inputs!$B$2:$B$5000,$B$2)</f>
        <v/>
      </c>
      <c r="X49" s="43">
        <f>SUMIFS(Plan_Inputs!$D$2:$D$5000,Plan_Inputs!$A$2:$A$5000,$A49,Plan_Inputs!$B$2:$B$5000,$B$2)</f>
        <v/>
      </c>
      <c r="Y49" s="42">
        <f>E49</f>
        <v/>
      </c>
      <c r="Z49" s="44">
        <f>INDEX(Calendar!$H$5:$L$52,MATCH($A49,Calendar!$A$5:$A$52,0),MATCH($D$2,Calendar!$H$4:$L$4,0))</f>
        <v/>
      </c>
      <c r="AA49" s="44">
        <f>INDEX(Calendar!$M$5:$M$52,MATCH($A49,Calendar!$A$5:$A$52,0))</f>
        <v/>
      </c>
      <c r="AB49" s="45">
        <f>IF($D49="Actual",IFERROR(S49/Y49,""),AB37)</f>
        <v/>
      </c>
      <c r="AC49" s="46">
        <f>IF($D49="Actual",IFERROR(U49/T49/Z49/AA49,""),AC37)</f>
        <v/>
      </c>
      <c r="AD49" s="43">
        <f>IF($D49="Actual",IFERROR(V49/(U49+V49),""),AD37)</f>
        <v/>
      </c>
      <c r="AE49" s="46">
        <f>IFERROR(AC49*Z49*AA49,"")</f>
        <v/>
      </c>
      <c r="AF49" s="47">
        <f>K37</f>
        <v/>
      </c>
      <c r="AG49" s="43">
        <f>IF($D49="Forecast",IFERROR(K49/AF49-1,""),"")</f>
        <v/>
      </c>
    </row>
    <row r="50">
      <c r="A50" s="31" t="n">
        <v>46722</v>
      </c>
      <c r="B50" s="32">
        <f>YEAR(A50)</f>
        <v/>
      </c>
      <c r="C50" s="32">
        <f>MONTH(A50)</f>
        <v/>
      </c>
      <c r="D50" s="33">
        <f>IF(A50&lt;=LastActual,"Actual","Forecast")</f>
        <v/>
      </c>
      <c r="E50" s="34">
        <f>IF($D50="Actual",R50,W50)</f>
        <v/>
      </c>
      <c r="F50" s="35">
        <f>IF($D50="Actual",S50,Cases_Forecast!AN43)</f>
        <v/>
      </c>
      <c r="G50" s="36">
        <f>IF($D50="Actual",T50,IFERROR(H50/AE50,0))</f>
        <v/>
      </c>
      <c r="H50" s="34">
        <f>IF($D50="Actual",U50,J50-I50)</f>
        <v/>
      </c>
      <c r="I50" s="34">
        <f>IF($D50="Actual",V50,IFERROR(J50*AD50,0))</f>
        <v/>
      </c>
      <c r="J50" s="34">
        <f>IF($D50="Actual",U50+V50,E50*X50)</f>
        <v/>
      </c>
      <c r="K50" s="37">
        <f>IFERROR(F50/G50,0)</f>
        <v/>
      </c>
      <c r="L50" s="38">
        <f>IFERROR(H50/G50,0)</f>
        <v/>
      </c>
      <c r="M50" s="39">
        <f>IFERROR(J50/F50,0)</f>
        <v/>
      </c>
      <c r="N50" s="40">
        <f>IFERROR(J50/E50,0)</f>
        <v/>
      </c>
      <c r="O50" s="40">
        <f>IFERROR(I50/J50,0)</f>
        <v/>
      </c>
      <c r="R50" s="42">
        <f>IF($D50="Actual",SUMIFS(Data_Actuals!$C$2:$C$5000,Data_Actuals!$A$2:$A$5000,$A50,Data_Actuals!$B$2:$B$5000,$B$2),"")</f>
        <v/>
      </c>
      <c r="S50" s="42">
        <f>IF($D50="Actual",SUMIFS(Data_Actuals!$D$2:$D$5000,Data_Actuals!$A$2:$A$5000,$A50,Data_Actuals!$B$2:$B$5000,$B$2),"")</f>
        <v/>
      </c>
      <c r="T50" s="42">
        <f>IF($D50="Actual",SUMIFS(Data_Actuals!$E$2:$E$5000,Data_Actuals!$A$2:$A$5000,$A50,Data_Actuals!$B$2:$B$5000,$B$2),"")</f>
        <v/>
      </c>
      <c r="U50" s="42">
        <f>IF($D50="Actual",SUMIFS(Data_Actuals!$F$2:$F$5000,Data_Actuals!$A$2:$A$5000,$A50,Data_Actuals!$B$2:$B$5000,$B$2),"")</f>
        <v/>
      </c>
      <c r="V50" s="42">
        <f>IF($D50="Actual",SUMIFS(Data_Actuals!$G$2:$G$5000,Data_Actuals!$A$2:$A$5000,$A50,Data_Actuals!$B$2:$B$5000,$B$2),"")</f>
        <v/>
      </c>
      <c r="W50" s="42">
        <f>SUMIFS(Plan_Inputs!$C$2:$C$5000,Plan_Inputs!$A$2:$A$5000,$A50,Plan_Inputs!$B$2:$B$5000,$B$2)</f>
        <v/>
      </c>
      <c r="X50" s="43">
        <f>SUMIFS(Plan_Inputs!$D$2:$D$5000,Plan_Inputs!$A$2:$A$5000,$A50,Plan_Inputs!$B$2:$B$5000,$B$2)</f>
        <v/>
      </c>
      <c r="Y50" s="42">
        <f>E50</f>
        <v/>
      </c>
      <c r="Z50" s="44">
        <f>INDEX(Calendar!$H$5:$L$52,MATCH($A50,Calendar!$A$5:$A$52,0),MATCH($D$2,Calendar!$H$4:$L$4,0))</f>
        <v/>
      </c>
      <c r="AA50" s="44">
        <f>INDEX(Calendar!$M$5:$M$52,MATCH($A50,Calendar!$A$5:$A$52,0))</f>
        <v/>
      </c>
      <c r="AB50" s="45">
        <f>IF($D50="Actual",IFERROR(S50/Y50,""),AB38)</f>
        <v/>
      </c>
      <c r="AC50" s="46">
        <f>IF($D50="Actual",IFERROR(U50/T50/Z50/AA50,""),AC38)</f>
        <v/>
      </c>
      <c r="AD50" s="43">
        <f>IF($D50="Actual",IFERROR(V50/(U50+V50),""),AD38)</f>
        <v/>
      </c>
      <c r="AE50" s="46">
        <f>IFERROR(AC50*Z50*AA50,"")</f>
        <v/>
      </c>
      <c r="AF50" s="47">
        <f>K38</f>
        <v/>
      </c>
      <c r="AG50" s="43">
        <f>IF($D50="Forecast",IFERROR(K50/AF50-1,""),"")</f>
        <v/>
      </c>
    </row>
    <row r="51">
      <c r="A51" s="8" t="n">
        <v>46753</v>
      </c>
      <c r="B51" s="26">
        <f>YEAR(A51)</f>
        <v/>
      </c>
      <c r="C51" s="26">
        <f>MONTH(A51)</f>
        <v/>
      </c>
      <c r="D51">
        <f>IF(A51&lt;=LastActual,"Actual","Forecast")</f>
        <v/>
      </c>
      <c r="E51" s="24">
        <f>IF($D51="Actual",R51,W51)</f>
        <v/>
      </c>
      <c r="F51" s="27">
        <f>IF($D51="Actual",S51,Cases_Forecast!AN44)</f>
        <v/>
      </c>
      <c r="G51" s="9">
        <f>IF($D51="Actual",T51,IFERROR(H51/AE51,0))</f>
        <v/>
      </c>
      <c r="H51" s="24">
        <f>IF($D51="Actual",U51,J51-I51)</f>
        <v/>
      </c>
      <c r="I51" s="24">
        <f>IF($D51="Actual",V51,IFERROR(J51*AD51,0))</f>
        <v/>
      </c>
      <c r="J51" s="24">
        <f>IF($D51="Actual",U51+V51,E51*X51)</f>
        <v/>
      </c>
      <c r="K51" s="28">
        <f>IFERROR(F51/G51,0)</f>
        <v/>
      </c>
      <c r="L51" s="29">
        <f>IFERROR(H51/G51,0)</f>
        <v/>
      </c>
      <c r="M51" s="30">
        <f>IFERROR(J51/F51,0)</f>
        <v/>
      </c>
      <c r="N51" s="10">
        <f>IFERROR(J51/E51,0)</f>
        <v/>
      </c>
      <c r="O51" s="10">
        <f>IFERROR(I51/J51,0)</f>
        <v/>
      </c>
      <c r="R51" s="42">
        <f>IF($D51="Actual",SUMIFS(Data_Actuals!$C$2:$C$5000,Data_Actuals!$A$2:$A$5000,$A51,Data_Actuals!$B$2:$B$5000,$B$2),"")</f>
        <v/>
      </c>
      <c r="S51" s="42">
        <f>IF($D51="Actual",SUMIFS(Data_Actuals!$D$2:$D$5000,Data_Actuals!$A$2:$A$5000,$A51,Data_Actuals!$B$2:$B$5000,$B$2),"")</f>
        <v/>
      </c>
      <c r="T51" s="42">
        <f>IF($D51="Actual",SUMIFS(Data_Actuals!$E$2:$E$5000,Data_Actuals!$A$2:$A$5000,$A51,Data_Actuals!$B$2:$B$5000,$B$2),"")</f>
        <v/>
      </c>
      <c r="U51" s="42">
        <f>IF($D51="Actual",SUMIFS(Data_Actuals!$F$2:$F$5000,Data_Actuals!$A$2:$A$5000,$A51,Data_Actuals!$B$2:$B$5000,$B$2),"")</f>
        <v/>
      </c>
      <c r="V51" s="42">
        <f>IF($D51="Actual",SUMIFS(Data_Actuals!$G$2:$G$5000,Data_Actuals!$A$2:$A$5000,$A51,Data_Actuals!$B$2:$B$5000,$B$2),"")</f>
        <v/>
      </c>
      <c r="W51" s="42">
        <f>SUMIFS(Plan_Inputs!$C$2:$C$5000,Plan_Inputs!$A$2:$A$5000,$A51,Plan_Inputs!$B$2:$B$5000,$B$2)</f>
        <v/>
      </c>
      <c r="X51" s="43">
        <f>SUMIFS(Plan_Inputs!$D$2:$D$5000,Plan_Inputs!$A$2:$A$5000,$A51,Plan_Inputs!$B$2:$B$5000,$B$2)</f>
        <v/>
      </c>
      <c r="Y51" s="42">
        <f>E51</f>
        <v/>
      </c>
      <c r="Z51" s="44">
        <f>INDEX(Calendar!$H$5:$L$52,MATCH($A51,Calendar!$A$5:$A$52,0),MATCH($D$2,Calendar!$H$4:$L$4,0))</f>
        <v/>
      </c>
      <c r="AA51" s="44">
        <f>INDEX(Calendar!$M$5:$M$52,MATCH($A51,Calendar!$A$5:$A$52,0))</f>
        <v/>
      </c>
      <c r="AB51" s="45">
        <f>IF($D51="Actual",IFERROR(S51/Y51,""),AB39)</f>
        <v/>
      </c>
      <c r="AC51" s="46">
        <f>IF($D51="Actual",IFERROR(U51/T51/Z51/AA51,""),AC39)</f>
        <v/>
      </c>
      <c r="AD51" s="43">
        <f>IF($D51="Actual",IFERROR(V51/(U51+V51),""),AD39)</f>
        <v/>
      </c>
      <c r="AE51" s="46">
        <f>IFERROR(AC51*Z51*AA51,"")</f>
        <v/>
      </c>
      <c r="AF51" s="47">
        <f>K39</f>
        <v/>
      </c>
      <c r="AG51" s="43">
        <f>IF($D51="Forecast",IFERROR(K51/AF51-1,""),"")</f>
        <v/>
      </c>
    </row>
    <row r="52">
      <c r="A52" s="8" t="n">
        <v>46784</v>
      </c>
      <c r="B52" s="26">
        <f>YEAR(A52)</f>
        <v/>
      </c>
      <c r="C52" s="26">
        <f>MONTH(A52)</f>
        <v/>
      </c>
      <c r="D52">
        <f>IF(A52&lt;=LastActual,"Actual","Forecast")</f>
        <v/>
      </c>
      <c r="E52" s="24">
        <f>IF($D52="Actual",R52,W52)</f>
        <v/>
      </c>
      <c r="F52" s="27">
        <f>IF($D52="Actual",S52,Cases_Forecast!AN45)</f>
        <v/>
      </c>
      <c r="G52" s="9">
        <f>IF($D52="Actual",T52,IFERROR(H52/AE52,0))</f>
        <v/>
      </c>
      <c r="H52" s="24">
        <f>IF($D52="Actual",U52,J52-I52)</f>
        <v/>
      </c>
      <c r="I52" s="24">
        <f>IF($D52="Actual",V52,IFERROR(J52*AD52,0))</f>
        <v/>
      </c>
      <c r="J52" s="24">
        <f>IF($D52="Actual",U52+V52,E52*X52)</f>
        <v/>
      </c>
      <c r="K52" s="28">
        <f>IFERROR(F52/G52,0)</f>
        <v/>
      </c>
      <c r="L52" s="29">
        <f>IFERROR(H52/G52,0)</f>
        <v/>
      </c>
      <c r="M52" s="30">
        <f>IFERROR(J52/F52,0)</f>
        <v/>
      </c>
      <c r="N52" s="10">
        <f>IFERROR(J52/E52,0)</f>
        <v/>
      </c>
      <c r="O52" s="10">
        <f>IFERROR(I52/J52,0)</f>
        <v/>
      </c>
      <c r="R52" s="42">
        <f>IF($D52="Actual",SUMIFS(Data_Actuals!$C$2:$C$5000,Data_Actuals!$A$2:$A$5000,$A52,Data_Actuals!$B$2:$B$5000,$B$2),"")</f>
        <v/>
      </c>
      <c r="S52" s="42">
        <f>IF($D52="Actual",SUMIFS(Data_Actuals!$D$2:$D$5000,Data_Actuals!$A$2:$A$5000,$A52,Data_Actuals!$B$2:$B$5000,$B$2),"")</f>
        <v/>
      </c>
      <c r="T52" s="42">
        <f>IF($D52="Actual",SUMIFS(Data_Actuals!$E$2:$E$5000,Data_Actuals!$A$2:$A$5000,$A52,Data_Actuals!$B$2:$B$5000,$B$2),"")</f>
        <v/>
      </c>
      <c r="U52" s="42">
        <f>IF($D52="Actual",SUMIFS(Data_Actuals!$F$2:$F$5000,Data_Actuals!$A$2:$A$5000,$A52,Data_Actuals!$B$2:$B$5000,$B$2),"")</f>
        <v/>
      </c>
      <c r="V52" s="42">
        <f>IF($D52="Actual",SUMIFS(Data_Actuals!$G$2:$G$5000,Data_Actuals!$A$2:$A$5000,$A52,Data_Actuals!$B$2:$B$5000,$B$2),"")</f>
        <v/>
      </c>
      <c r="W52" s="42">
        <f>SUMIFS(Plan_Inputs!$C$2:$C$5000,Plan_Inputs!$A$2:$A$5000,$A52,Plan_Inputs!$B$2:$B$5000,$B$2)</f>
        <v/>
      </c>
      <c r="X52" s="43">
        <f>SUMIFS(Plan_Inputs!$D$2:$D$5000,Plan_Inputs!$A$2:$A$5000,$A52,Plan_Inputs!$B$2:$B$5000,$B$2)</f>
        <v/>
      </c>
      <c r="Y52" s="42">
        <f>E52</f>
        <v/>
      </c>
      <c r="Z52" s="44">
        <f>INDEX(Calendar!$H$5:$L$52,MATCH($A52,Calendar!$A$5:$A$52,0),MATCH($D$2,Calendar!$H$4:$L$4,0))</f>
        <v/>
      </c>
      <c r="AA52" s="44">
        <f>INDEX(Calendar!$M$5:$M$52,MATCH($A52,Calendar!$A$5:$A$52,0))</f>
        <v/>
      </c>
      <c r="AB52" s="45">
        <f>IF($D52="Actual",IFERROR(S52/Y52,""),AB40)</f>
        <v/>
      </c>
      <c r="AC52" s="46">
        <f>IF($D52="Actual",IFERROR(U52/T52/Z52/AA52,""),AC40)</f>
        <v/>
      </c>
      <c r="AD52" s="43">
        <f>IF($D52="Actual",IFERROR(V52/(U52+V52),""),AD40)</f>
        <v/>
      </c>
      <c r="AE52" s="46">
        <f>IFERROR(AC52*Z52*AA52,"")</f>
        <v/>
      </c>
      <c r="AF52" s="47">
        <f>K40</f>
        <v/>
      </c>
      <c r="AG52" s="43">
        <f>IF($D52="Forecast",IFERROR(K52/AF52-1,""),"")</f>
        <v/>
      </c>
    </row>
    <row r="53">
      <c r="A53" s="8" t="n">
        <v>46813</v>
      </c>
      <c r="B53" s="26">
        <f>YEAR(A53)</f>
        <v/>
      </c>
      <c r="C53" s="26">
        <f>MONTH(A53)</f>
        <v/>
      </c>
      <c r="D53">
        <f>IF(A53&lt;=LastActual,"Actual","Forecast")</f>
        <v/>
      </c>
      <c r="E53" s="24">
        <f>IF($D53="Actual",R53,W53)</f>
        <v/>
      </c>
      <c r="F53" s="27">
        <f>IF($D53="Actual",S53,Cases_Forecast!AN46)</f>
        <v/>
      </c>
      <c r="G53" s="9">
        <f>IF($D53="Actual",T53,IFERROR(H53/AE53,0))</f>
        <v/>
      </c>
      <c r="H53" s="24">
        <f>IF($D53="Actual",U53,J53-I53)</f>
        <v/>
      </c>
      <c r="I53" s="24">
        <f>IF($D53="Actual",V53,IFERROR(J53*AD53,0))</f>
        <v/>
      </c>
      <c r="J53" s="24">
        <f>IF($D53="Actual",U53+V53,E53*X53)</f>
        <v/>
      </c>
      <c r="K53" s="28">
        <f>IFERROR(F53/G53,0)</f>
        <v/>
      </c>
      <c r="L53" s="29">
        <f>IFERROR(H53/G53,0)</f>
        <v/>
      </c>
      <c r="M53" s="30">
        <f>IFERROR(J53/F53,0)</f>
        <v/>
      </c>
      <c r="N53" s="10">
        <f>IFERROR(J53/E53,0)</f>
        <v/>
      </c>
      <c r="O53" s="10">
        <f>IFERROR(I53/J53,0)</f>
        <v/>
      </c>
      <c r="R53" s="42">
        <f>IF($D53="Actual",SUMIFS(Data_Actuals!$C$2:$C$5000,Data_Actuals!$A$2:$A$5000,$A53,Data_Actuals!$B$2:$B$5000,$B$2),"")</f>
        <v/>
      </c>
      <c r="S53" s="42">
        <f>IF($D53="Actual",SUMIFS(Data_Actuals!$D$2:$D$5000,Data_Actuals!$A$2:$A$5000,$A53,Data_Actuals!$B$2:$B$5000,$B$2),"")</f>
        <v/>
      </c>
      <c r="T53" s="42">
        <f>IF($D53="Actual",SUMIFS(Data_Actuals!$E$2:$E$5000,Data_Actuals!$A$2:$A$5000,$A53,Data_Actuals!$B$2:$B$5000,$B$2),"")</f>
        <v/>
      </c>
      <c r="U53" s="42">
        <f>IF($D53="Actual",SUMIFS(Data_Actuals!$F$2:$F$5000,Data_Actuals!$A$2:$A$5000,$A53,Data_Actuals!$B$2:$B$5000,$B$2),"")</f>
        <v/>
      </c>
      <c r="V53" s="42">
        <f>IF($D53="Actual",SUMIFS(Data_Actuals!$G$2:$G$5000,Data_Actuals!$A$2:$A$5000,$A53,Data_Actuals!$B$2:$B$5000,$B$2),"")</f>
        <v/>
      </c>
      <c r="W53" s="42">
        <f>SUMIFS(Plan_Inputs!$C$2:$C$5000,Plan_Inputs!$A$2:$A$5000,$A53,Plan_Inputs!$B$2:$B$5000,$B$2)</f>
        <v/>
      </c>
      <c r="X53" s="43">
        <f>SUMIFS(Plan_Inputs!$D$2:$D$5000,Plan_Inputs!$A$2:$A$5000,$A53,Plan_Inputs!$B$2:$B$5000,$B$2)</f>
        <v/>
      </c>
      <c r="Y53" s="42">
        <f>E53</f>
        <v/>
      </c>
      <c r="Z53" s="44">
        <f>INDEX(Calendar!$H$5:$L$52,MATCH($A53,Calendar!$A$5:$A$52,0),MATCH($D$2,Calendar!$H$4:$L$4,0))</f>
        <v/>
      </c>
      <c r="AA53" s="44">
        <f>INDEX(Calendar!$M$5:$M$52,MATCH($A53,Calendar!$A$5:$A$52,0))</f>
        <v/>
      </c>
      <c r="AB53" s="45">
        <f>IF($D53="Actual",IFERROR(S53/Y53,""),AB41)</f>
        <v/>
      </c>
      <c r="AC53" s="46">
        <f>IF($D53="Actual",IFERROR(U53/T53/Z53/AA53,""),AC41)</f>
        <v/>
      </c>
      <c r="AD53" s="43">
        <f>IF($D53="Actual",IFERROR(V53/(U53+V53),""),AD41)</f>
        <v/>
      </c>
      <c r="AE53" s="46">
        <f>IFERROR(AC53*Z53*AA53,"")</f>
        <v/>
      </c>
      <c r="AF53" s="47">
        <f>K41</f>
        <v/>
      </c>
      <c r="AG53" s="43">
        <f>IF($D53="Forecast",IFERROR(K53/AF53-1,""),"")</f>
        <v/>
      </c>
    </row>
    <row r="54">
      <c r="A54" s="8" t="n">
        <v>46844</v>
      </c>
      <c r="B54" s="26">
        <f>YEAR(A54)</f>
        <v/>
      </c>
      <c r="C54" s="26">
        <f>MONTH(A54)</f>
        <v/>
      </c>
      <c r="D54">
        <f>IF(A54&lt;=LastActual,"Actual","Forecast")</f>
        <v/>
      </c>
      <c r="E54" s="24">
        <f>IF($D54="Actual",R54,W54)</f>
        <v/>
      </c>
      <c r="F54" s="27">
        <f>IF($D54="Actual",S54,Cases_Forecast!AN47)</f>
        <v/>
      </c>
      <c r="G54" s="9">
        <f>IF($D54="Actual",T54,IFERROR(H54/AE54,0))</f>
        <v/>
      </c>
      <c r="H54" s="24">
        <f>IF($D54="Actual",U54,J54-I54)</f>
        <v/>
      </c>
      <c r="I54" s="24">
        <f>IF($D54="Actual",V54,IFERROR(J54*AD54,0))</f>
        <v/>
      </c>
      <c r="J54" s="24">
        <f>IF($D54="Actual",U54+V54,E54*X54)</f>
        <v/>
      </c>
      <c r="K54" s="28">
        <f>IFERROR(F54/G54,0)</f>
        <v/>
      </c>
      <c r="L54" s="29">
        <f>IFERROR(H54/G54,0)</f>
        <v/>
      </c>
      <c r="M54" s="30">
        <f>IFERROR(J54/F54,0)</f>
        <v/>
      </c>
      <c r="N54" s="10">
        <f>IFERROR(J54/E54,0)</f>
        <v/>
      </c>
      <c r="O54" s="10">
        <f>IFERROR(I54/J54,0)</f>
        <v/>
      </c>
      <c r="R54" s="42">
        <f>IF($D54="Actual",SUMIFS(Data_Actuals!$C$2:$C$5000,Data_Actuals!$A$2:$A$5000,$A54,Data_Actuals!$B$2:$B$5000,$B$2),"")</f>
        <v/>
      </c>
      <c r="S54" s="42">
        <f>IF($D54="Actual",SUMIFS(Data_Actuals!$D$2:$D$5000,Data_Actuals!$A$2:$A$5000,$A54,Data_Actuals!$B$2:$B$5000,$B$2),"")</f>
        <v/>
      </c>
      <c r="T54" s="42">
        <f>IF($D54="Actual",SUMIFS(Data_Actuals!$E$2:$E$5000,Data_Actuals!$A$2:$A$5000,$A54,Data_Actuals!$B$2:$B$5000,$B$2),"")</f>
        <v/>
      </c>
      <c r="U54" s="42">
        <f>IF($D54="Actual",SUMIFS(Data_Actuals!$F$2:$F$5000,Data_Actuals!$A$2:$A$5000,$A54,Data_Actuals!$B$2:$B$5000,$B$2),"")</f>
        <v/>
      </c>
      <c r="V54" s="42">
        <f>IF($D54="Actual",SUMIFS(Data_Actuals!$G$2:$G$5000,Data_Actuals!$A$2:$A$5000,$A54,Data_Actuals!$B$2:$B$5000,$B$2),"")</f>
        <v/>
      </c>
      <c r="W54" s="42">
        <f>SUMIFS(Plan_Inputs!$C$2:$C$5000,Plan_Inputs!$A$2:$A$5000,$A54,Plan_Inputs!$B$2:$B$5000,$B$2)</f>
        <v/>
      </c>
      <c r="X54" s="43">
        <f>SUMIFS(Plan_Inputs!$D$2:$D$5000,Plan_Inputs!$A$2:$A$5000,$A54,Plan_Inputs!$B$2:$B$5000,$B$2)</f>
        <v/>
      </c>
      <c r="Y54" s="42">
        <f>E54</f>
        <v/>
      </c>
      <c r="Z54" s="44">
        <f>INDEX(Calendar!$H$5:$L$52,MATCH($A54,Calendar!$A$5:$A$52,0),MATCH($D$2,Calendar!$H$4:$L$4,0))</f>
        <v/>
      </c>
      <c r="AA54" s="44">
        <f>INDEX(Calendar!$M$5:$M$52,MATCH($A54,Calendar!$A$5:$A$52,0))</f>
        <v/>
      </c>
      <c r="AB54" s="45">
        <f>IF($D54="Actual",IFERROR(S54/Y54,""),AB42)</f>
        <v/>
      </c>
      <c r="AC54" s="46">
        <f>IF($D54="Actual",IFERROR(U54/T54/Z54/AA54,""),AC42)</f>
        <v/>
      </c>
      <c r="AD54" s="43">
        <f>IF($D54="Actual",IFERROR(V54/(U54+V54),""),AD42)</f>
        <v/>
      </c>
      <c r="AE54" s="46">
        <f>IFERROR(AC54*Z54*AA54,"")</f>
        <v/>
      </c>
      <c r="AF54" s="47">
        <f>K42</f>
        <v/>
      </c>
      <c r="AG54" s="43">
        <f>IF($D54="Forecast",IFERROR(K54/AF54-1,""),"")</f>
        <v/>
      </c>
    </row>
    <row r="55">
      <c r="A55" s="8" t="n">
        <v>46874</v>
      </c>
      <c r="B55" s="26">
        <f>YEAR(A55)</f>
        <v/>
      </c>
      <c r="C55" s="26">
        <f>MONTH(A55)</f>
        <v/>
      </c>
      <c r="D55">
        <f>IF(A55&lt;=LastActual,"Actual","Forecast")</f>
        <v/>
      </c>
      <c r="E55" s="24">
        <f>IF($D55="Actual",R55,W55)</f>
        <v/>
      </c>
      <c r="F55" s="27">
        <f>IF($D55="Actual",S55,Cases_Forecast!AN48)</f>
        <v/>
      </c>
      <c r="G55" s="9">
        <f>IF($D55="Actual",T55,IFERROR(H55/AE55,0))</f>
        <v/>
      </c>
      <c r="H55" s="24">
        <f>IF($D55="Actual",U55,J55-I55)</f>
        <v/>
      </c>
      <c r="I55" s="24">
        <f>IF($D55="Actual",V55,IFERROR(J55*AD55,0))</f>
        <v/>
      </c>
      <c r="J55" s="24">
        <f>IF($D55="Actual",U55+V55,E55*X55)</f>
        <v/>
      </c>
      <c r="K55" s="28">
        <f>IFERROR(F55/G55,0)</f>
        <v/>
      </c>
      <c r="L55" s="29">
        <f>IFERROR(H55/G55,0)</f>
        <v/>
      </c>
      <c r="M55" s="30">
        <f>IFERROR(J55/F55,0)</f>
        <v/>
      </c>
      <c r="N55" s="10">
        <f>IFERROR(J55/E55,0)</f>
        <v/>
      </c>
      <c r="O55" s="10">
        <f>IFERROR(I55/J55,0)</f>
        <v/>
      </c>
      <c r="R55" s="42">
        <f>IF($D55="Actual",SUMIFS(Data_Actuals!$C$2:$C$5000,Data_Actuals!$A$2:$A$5000,$A55,Data_Actuals!$B$2:$B$5000,$B$2),"")</f>
        <v/>
      </c>
      <c r="S55" s="42">
        <f>IF($D55="Actual",SUMIFS(Data_Actuals!$D$2:$D$5000,Data_Actuals!$A$2:$A$5000,$A55,Data_Actuals!$B$2:$B$5000,$B$2),"")</f>
        <v/>
      </c>
      <c r="T55" s="42">
        <f>IF($D55="Actual",SUMIFS(Data_Actuals!$E$2:$E$5000,Data_Actuals!$A$2:$A$5000,$A55,Data_Actuals!$B$2:$B$5000,$B$2),"")</f>
        <v/>
      </c>
      <c r="U55" s="42">
        <f>IF($D55="Actual",SUMIFS(Data_Actuals!$F$2:$F$5000,Data_Actuals!$A$2:$A$5000,$A55,Data_Actuals!$B$2:$B$5000,$B$2),"")</f>
        <v/>
      </c>
      <c r="V55" s="42">
        <f>IF($D55="Actual",SUMIFS(Data_Actuals!$G$2:$G$5000,Data_Actuals!$A$2:$A$5000,$A55,Data_Actuals!$B$2:$B$5000,$B$2),"")</f>
        <v/>
      </c>
      <c r="W55" s="42">
        <f>SUMIFS(Plan_Inputs!$C$2:$C$5000,Plan_Inputs!$A$2:$A$5000,$A55,Plan_Inputs!$B$2:$B$5000,$B$2)</f>
        <v/>
      </c>
      <c r="X55" s="43">
        <f>SUMIFS(Plan_Inputs!$D$2:$D$5000,Plan_Inputs!$A$2:$A$5000,$A55,Plan_Inputs!$B$2:$B$5000,$B$2)</f>
        <v/>
      </c>
      <c r="Y55" s="42">
        <f>E55</f>
        <v/>
      </c>
      <c r="Z55" s="44">
        <f>INDEX(Calendar!$H$5:$L$52,MATCH($A55,Calendar!$A$5:$A$52,0),MATCH($D$2,Calendar!$H$4:$L$4,0))</f>
        <v/>
      </c>
      <c r="AA55" s="44">
        <f>INDEX(Calendar!$M$5:$M$52,MATCH($A55,Calendar!$A$5:$A$52,0))</f>
        <v/>
      </c>
      <c r="AB55" s="45">
        <f>IF($D55="Actual",IFERROR(S55/Y55,""),AB43)</f>
        <v/>
      </c>
      <c r="AC55" s="46">
        <f>IF($D55="Actual",IFERROR(U55/T55/Z55/AA55,""),AC43)</f>
        <v/>
      </c>
      <c r="AD55" s="43">
        <f>IF($D55="Actual",IFERROR(V55/(U55+V55),""),AD43)</f>
        <v/>
      </c>
      <c r="AE55" s="46">
        <f>IFERROR(AC55*Z55*AA55,"")</f>
        <v/>
      </c>
      <c r="AF55" s="47">
        <f>K43</f>
        <v/>
      </c>
      <c r="AG55" s="43">
        <f>IF($D55="Forecast",IFERROR(K55/AF55-1,""),"")</f>
        <v/>
      </c>
    </row>
    <row r="56">
      <c r="A56" s="8" t="n">
        <v>46905</v>
      </c>
      <c r="B56" s="26">
        <f>YEAR(A56)</f>
        <v/>
      </c>
      <c r="C56" s="26">
        <f>MONTH(A56)</f>
        <v/>
      </c>
      <c r="D56">
        <f>IF(A56&lt;=LastActual,"Actual","Forecast")</f>
        <v/>
      </c>
      <c r="E56" s="24">
        <f>IF($D56="Actual",R56,W56)</f>
        <v/>
      </c>
      <c r="F56" s="27">
        <f>IF($D56="Actual",S56,Cases_Forecast!AN49)</f>
        <v/>
      </c>
      <c r="G56" s="9">
        <f>IF($D56="Actual",T56,IFERROR(H56/AE56,0))</f>
        <v/>
      </c>
      <c r="H56" s="24">
        <f>IF($D56="Actual",U56,J56-I56)</f>
        <v/>
      </c>
      <c r="I56" s="24">
        <f>IF($D56="Actual",V56,IFERROR(J56*AD56,0))</f>
        <v/>
      </c>
      <c r="J56" s="24">
        <f>IF($D56="Actual",U56+V56,E56*X56)</f>
        <v/>
      </c>
      <c r="K56" s="28">
        <f>IFERROR(F56/G56,0)</f>
        <v/>
      </c>
      <c r="L56" s="29">
        <f>IFERROR(H56/G56,0)</f>
        <v/>
      </c>
      <c r="M56" s="30">
        <f>IFERROR(J56/F56,0)</f>
        <v/>
      </c>
      <c r="N56" s="10">
        <f>IFERROR(J56/E56,0)</f>
        <v/>
      </c>
      <c r="O56" s="10">
        <f>IFERROR(I56/J56,0)</f>
        <v/>
      </c>
      <c r="R56" s="42">
        <f>IF($D56="Actual",SUMIFS(Data_Actuals!$C$2:$C$5000,Data_Actuals!$A$2:$A$5000,$A56,Data_Actuals!$B$2:$B$5000,$B$2),"")</f>
        <v/>
      </c>
      <c r="S56" s="42">
        <f>IF($D56="Actual",SUMIFS(Data_Actuals!$D$2:$D$5000,Data_Actuals!$A$2:$A$5000,$A56,Data_Actuals!$B$2:$B$5000,$B$2),"")</f>
        <v/>
      </c>
      <c r="T56" s="42">
        <f>IF($D56="Actual",SUMIFS(Data_Actuals!$E$2:$E$5000,Data_Actuals!$A$2:$A$5000,$A56,Data_Actuals!$B$2:$B$5000,$B$2),"")</f>
        <v/>
      </c>
      <c r="U56" s="42">
        <f>IF($D56="Actual",SUMIFS(Data_Actuals!$F$2:$F$5000,Data_Actuals!$A$2:$A$5000,$A56,Data_Actuals!$B$2:$B$5000,$B$2),"")</f>
        <v/>
      </c>
      <c r="V56" s="42">
        <f>IF($D56="Actual",SUMIFS(Data_Actuals!$G$2:$G$5000,Data_Actuals!$A$2:$A$5000,$A56,Data_Actuals!$B$2:$B$5000,$B$2),"")</f>
        <v/>
      </c>
      <c r="W56" s="42">
        <f>SUMIFS(Plan_Inputs!$C$2:$C$5000,Plan_Inputs!$A$2:$A$5000,$A56,Plan_Inputs!$B$2:$B$5000,$B$2)</f>
        <v/>
      </c>
      <c r="X56" s="43">
        <f>SUMIFS(Plan_Inputs!$D$2:$D$5000,Plan_Inputs!$A$2:$A$5000,$A56,Plan_Inputs!$B$2:$B$5000,$B$2)</f>
        <v/>
      </c>
      <c r="Y56" s="42">
        <f>E56</f>
        <v/>
      </c>
      <c r="Z56" s="44">
        <f>INDEX(Calendar!$H$5:$L$52,MATCH($A56,Calendar!$A$5:$A$52,0),MATCH($D$2,Calendar!$H$4:$L$4,0))</f>
        <v/>
      </c>
      <c r="AA56" s="44">
        <f>INDEX(Calendar!$M$5:$M$52,MATCH($A56,Calendar!$A$5:$A$52,0))</f>
        <v/>
      </c>
      <c r="AB56" s="45">
        <f>IF($D56="Actual",IFERROR(S56/Y56,""),AB44)</f>
        <v/>
      </c>
      <c r="AC56" s="46">
        <f>IF($D56="Actual",IFERROR(U56/T56/Z56/AA56,""),AC44)</f>
        <v/>
      </c>
      <c r="AD56" s="43">
        <f>IF($D56="Actual",IFERROR(V56/(U56+V56),""),AD44)</f>
        <v/>
      </c>
      <c r="AE56" s="46">
        <f>IFERROR(AC56*Z56*AA56,"")</f>
        <v/>
      </c>
      <c r="AF56" s="47">
        <f>K44</f>
        <v/>
      </c>
      <c r="AG56" s="43">
        <f>IF($D56="Forecast",IFERROR(K56/AF56-1,""),"")</f>
        <v/>
      </c>
    </row>
    <row r="57">
      <c r="A57" s="8" t="n">
        <v>46935</v>
      </c>
      <c r="B57" s="26">
        <f>YEAR(A57)</f>
        <v/>
      </c>
      <c r="C57" s="26">
        <f>MONTH(A57)</f>
        <v/>
      </c>
      <c r="D57">
        <f>IF(A57&lt;=LastActual,"Actual","Forecast")</f>
        <v/>
      </c>
      <c r="E57" s="24">
        <f>IF($D57="Actual",R57,W57)</f>
        <v/>
      </c>
      <c r="F57" s="27">
        <f>IF($D57="Actual",S57,Cases_Forecast!AN50)</f>
        <v/>
      </c>
      <c r="G57" s="9">
        <f>IF($D57="Actual",T57,IFERROR(H57/AE57,0))</f>
        <v/>
      </c>
      <c r="H57" s="24">
        <f>IF($D57="Actual",U57,J57-I57)</f>
        <v/>
      </c>
      <c r="I57" s="24">
        <f>IF($D57="Actual",V57,IFERROR(J57*AD57,0))</f>
        <v/>
      </c>
      <c r="J57" s="24">
        <f>IF($D57="Actual",U57+V57,E57*X57)</f>
        <v/>
      </c>
      <c r="K57" s="28">
        <f>IFERROR(F57/G57,0)</f>
        <v/>
      </c>
      <c r="L57" s="29">
        <f>IFERROR(H57/G57,0)</f>
        <v/>
      </c>
      <c r="M57" s="30">
        <f>IFERROR(J57/F57,0)</f>
        <v/>
      </c>
      <c r="N57" s="10">
        <f>IFERROR(J57/E57,0)</f>
        <v/>
      </c>
      <c r="O57" s="10">
        <f>IFERROR(I57/J57,0)</f>
        <v/>
      </c>
      <c r="R57" s="42">
        <f>IF($D57="Actual",SUMIFS(Data_Actuals!$C$2:$C$5000,Data_Actuals!$A$2:$A$5000,$A57,Data_Actuals!$B$2:$B$5000,$B$2),"")</f>
        <v/>
      </c>
      <c r="S57" s="42">
        <f>IF($D57="Actual",SUMIFS(Data_Actuals!$D$2:$D$5000,Data_Actuals!$A$2:$A$5000,$A57,Data_Actuals!$B$2:$B$5000,$B$2),"")</f>
        <v/>
      </c>
      <c r="T57" s="42">
        <f>IF($D57="Actual",SUMIFS(Data_Actuals!$E$2:$E$5000,Data_Actuals!$A$2:$A$5000,$A57,Data_Actuals!$B$2:$B$5000,$B$2),"")</f>
        <v/>
      </c>
      <c r="U57" s="42">
        <f>IF($D57="Actual",SUMIFS(Data_Actuals!$F$2:$F$5000,Data_Actuals!$A$2:$A$5000,$A57,Data_Actuals!$B$2:$B$5000,$B$2),"")</f>
        <v/>
      </c>
      <c r="V57" s="42">
        <f>IF($D57="Actual",SUMIFS(Data_Actuals!$G$2:$G$5000,Data_Actuals!$A$2:$A$5000,$A57,Data_Actuals!$B$2:$B$5000,$B$2),"")</f>
        <v/>
      </c>
      <c r="W57" s="42">
        <f>SUMIFS(Plan_Inputs!$C$2:$C$5000,Plan_Inputs!$A$2:$A$5000,$A57,Plan_Inputs!$B$2:$B$5000,$B$2)</f>
        <v/>
      </c>
      <c r="X57" s="43">
        <f>SUMIFS(Plan_Inputs!$D$2:$D$5000,Plan_Inputs!$A$2:$A$5000,$A57,Plan_Inputs!$B$2:$B$5000,$B$2)</f>
        <v/>
      </c>
      <c r="Y57" s="42">
        <f>E57</f>
        <v/>
      </c>
      <c r="Z57" s="44">
        <f>INDEX(Calendar!$H$5:$L$52,MATCH($A57,Calendar!$A$5:$A$52,0),MATCH($D$2,Calendar!$H$4:$L$4,0))</f>
        <v/>
      </c>
      <c r="AA57" s="44">
        <f>INDEX(Calendar!$M$5:$M$52,MATCH($A57,Calendar!$A$5:$A$52,0))</f>
        <v/>
      </c>
      <c r="AB57" s="45">
        <f>IF($D57="Actual",IFERROR(S57/Y57,""),AB45)</f>
        <v/>
      </c>
      <c r="AC57" s="46">
        <f>IF($D57="Actual",IFERROR(U57/T57/Z57/AA57,""),AC45)</f>
        <v/>
      </c>
      <c r="AD57" s="43">
        <f>IF($D57="Actual",IFERROR(V57/(U57+V57),""),AD45)</f>
        <v/>
      </c>
      <c r="AE57" s="46">
        <f>IFERROR(AC57*Z57*AA57,"")</f>
        <v/>
      </c>
      <c r="AF57" s="47">
        <f>K45</f>
        <v/>
      </c>
      <c r="AG57" s="43">
        <f>IF($D57="Forecast",IFERROR(K57/AF57-1,""),"")</f>
        <v/>
      </c>
    </row>
    <row r="58">
      <c r="A58" s="8" t="n">
        <v>46966</v>
      </c>
      <c r="B58" s="26">
        <f>YEAR(A58)</f>
        <v/>
      </c>
      <c r="C58" s="26">
        <f>MONTH(A58)</f>
        <v/>
      </c>
      <c r="D58">
        <f>IF(A58&lt;=LastActual,"Actual","Forecast")</f>
        <v/>
      </c>
      <c r="E58" s="24">
        <f>IF($D58="Actual",R58,W58)</f>
        <v/>
      </c>
      <c r="F58" s="27">
        <f>IF($D58="Actual",S58,Cases_Forecast!AN51)</f>
        <v/>
      </c>
      <c r="G58" s="9">
        <f>IF($D58="Actual",T58,IFERROR(H58/AE58,0))</f>
        <v/>
      </c>
      <c r="H58" s="24">
        <f>IF($D58="Actual",U58,J58-I58)</f>
        <v/>
      </c>
      <c r="I58" s="24">
        <f>IF($D58="Actual",V58,IFERROR(J58*AD58,0))</f>
        <v/>
      </c>
      <c r="J58" s="24">
        <f>IF($D58="Actual",U58+V58,E58*X58)</f>
        <v/>
      </c>
      <c r="K58" s="28">
        <f>IFERROR(F58/G58,0)</f>
        <v/>
      </c>
      <c r="L58" s="29">
        <f>IFERROR(H58/G58,0)</f>
        <v/>
      </c>
      <c r="M58" s="30">
        <f>IFERROR(J58/F58,0)</f>
        <v/>
      </c>
      <c r="N58" s="10">
        <f>IFERROR(J58/E58,0)</f>
        <v/>
      </c>
      <c r="O58" s="10">
        <f>IFERROR(I58/J58,0)</f>
        <v/>
      </c>
      <c r="R58" s="42">
        <f>IF($D58="Actual",SUMIFS(Data_Actuals!$C$2:$C$5000,Data_Actuals!$A$2:$A$5000,$A58,Data_Actuals!$B$2:$B$5000,$B$2),"")</f>
        <v/>
      </c>
      <c r="S58" s="42">
        <f>IF($D58="Actual",SUMIFS(Data_Actuals!$D$2:$D$5000,Data_Actuals!$A$2:$A$5000,$A58,Data_Actuals!$B$2:$B$5000,$B$2),"")</f>
        <v/>
      </c>
      <c r="T58" s="42">
        <f>IF($D58="Actual",SUMIFS(Data_Actuals!$E$2:$E$5000,Data_Actuals!$A$2:$A$5000,$A58,Data_Actuals!$B$2:$B$5000,$B$2),"")</f>
        <v/>
      </c>
      <c r="U58" s="42">
        <f>IF($D58="Actual",SUMIFS(Data_Actuals!$F$2:$F$5000,Data_Actuals!$A$2:$A$5000,$A58,Data_Actuals!$B$2:$B$5000,$B$2),"")</f>
        <v/>
      </c>
      <c r="V58" s="42">
        <f>IF($D58="Actual",SUMIFS(Data_Actuals!$G$2:$G$5000,Data_Actuals!$A$2:$A$5000,$A58,Data_Actuals!$B$2:$B$5000,$B$2),"")</f>
        <v/>
      </c>
      <c r="W58" s="42">
        <f>SUMIFS(Plan_Inputs!$C$2:$C$5000,Plan_Inputs!$A$2:$A$5000,$A58,Plan_Inputs!$B$2:$B$5000,$B$2)</f>
        <v/>
      </c>
      <c r="X58" s="43">
        <f>SUMIFS(Plan_Inputs!$D$2:$D$5000,Plan_Inputs!$A$2:$A$5000,$A58,Plan_Inputs!$B$2:$B$5000,$B$2)</f>
        <v/>
      </c>
      <c r="Y58" s="42">
        <f>E58</f>
        <v/>
      </c>
      <c r="Z58" s="44">
        <f>INDEX(Calendar!$H$5:$L$52,MATCH($A58,Calendar!$A$5:$A$52,0),MATCH($D$2,Calendar!$H$4:$L$4,0))</f>
        <v/>
      </c>
      <c r="AA58" s="44">
        <f>INDEX(Calendar!$M$5:$M$52,MATCH($A58,Calendar!$A$5:$A$52,0))</f>
        <v/>
      </c>
      <c r="AB58" s="45">
        <f>IF($D58="Actual",IFERROR(S58/Y58,""),AB46)</f>
        <v/>
      </c>
      <c r="AC58" s="46">
        <f>IF($D58="Actual",IFERROR(U58/T58/Z58/AA58,""),AC46)</f>
        <v/>
      </c>
      <c r="AD58" s="43">
        <f>IF($D58="Actual",IFERROR(V58/(U58+V58),""),AD46)</f>
        <v/>
      </c>
      <c r="AE58" s="46">
        <f>IFERROR(AC58*Z58*AA58,"")</f>
        <v/>
      </c>
      <c r="AF58" s="47">
        <f>K46</f>
        <v/>
      </c>
      <c r="AG58" s="43">
        <f>IF($D58="Forecast",IFERROR(K58/AF58-1,""),"")</f>
        <v/>
      </c>
    </row>
    <row r="59">
      <c r="A59" s="8" t="n">
        <v>46997</v>
      </c>
      <c r="B59" s="26">
        <f>YEAR(A59)</f>
        <v/>
      </c>
      <c r="C59" s="26">
        <f>MONTH(A59)</f>
        <v/>
      </c>
      <c r="D59">
        <f>IF(A59&lt;=LastActual,"Actual","Forecast")</f>
        <v/>
      </c>
      <c r="E59" s="24">
        <f>IF($D59="Actual",R59,W59)</f>
        <v/>
      </c>
      <c r="F59" s="27">
        <f>IF($D59="Actual",S59,Cases_Forecast!AN52)</f>
        <v/>
      </c>
      <c r="G59" s="9">
        <f>IF($D59="Actual",T59,IFERROR(H59/AE59,0))</f>
        <v/>
      </c>
      <c r="H59" s="24">
        <f>IF($D59="Actual",U59,J59-I59)</f>
        <v/>
      </c>
      <c r="I59" s="24">
        <f>IF($D59="Actual",V59,IFERROR(J59*AD59,0))</f>
        <v/>
      </c>
      <c r="J59" s="24">
        <f>IF($D59="Actual",U59+V59,E59*X59)</f>
        <v/>
      </c>
      <c r="K59" s="28">
        <f>IFERROR(F59/G59,0)</f>
        <v/>
      </c>
      <c r="L59" s="29">
        <f>IFERROR(H59/G59,0)</f>
        <v/>
      </c>
      <c r="M59" s="30">
        <f>IFERROR(J59/F59,0)</f>
        <v/>
      </c>
      <c r="N59" s="10">
        <f>IFERROR(J59/E59,0)</f>
        <v/>
      </c>
      <c r="O59" s="10">
        <f>IFERROR(I59/J59,0)</f>
        <v/>
      </c>
      <c r="R59" s="42">
        <f>IF($D59="Actual",SUMIFS(Data_Actuals!$C$2:$C$5000,Data_Actuals!$A$2:$A$5000,$A59,Data_Actuals!$B$2:$B$5000,$B$2),"")</f>
        <v/>
      </c>
      <c r="S59" s="42">
        <f>IF($D59="Actual",SUMIFS(Data_Actuals!$D$2:$D$5000,Data_Actuals!$A$2:$A$5000,$A59,Data_Actuals!$B$2:$B$5000,$B$2),"")</f>
        <v/>
      </c>
      <c r="T59" s="42">
        <f>IF($D59="Actual",SUMIFS(Data_Actuals!$E$2:$E$5000,Data_Actuals!$A$2:$A$5000,$A59,Data_Actuals!$B$2:$B$5000,$B$2),"")</f>
        <v/>
      </c>
      <c r="U59" s="42">
        <f>IF($D59="Actual",SUMIFS(Data_Actuals!$F$2:$F$5000,Data_Actuals!$A$2:$A$5000,$A59,Data_Actuals!$B$2:$B$5000,$B$2),"")</f>
        <v/>
      </c>
      <c r="V59" s="42">
        <f>IF($D59="Actual",SUMIFS(Data_Actuals!$G$2:$G$5000,Data_Actuals!$A$2:$A$5000,$A59,Data_Actuals!$B$2:$B$5000,$B$2),"")</f>
        <v/>
      </c>
      <c r="W59" s="42">
        <f>SUMIFS(Plan_Inputs!$C$2:$C$5000,Plan_Inputs!$A$2:$A$5000,$A59,Plan_Inputs!$B$2:$B$5000,$B$2)</f>
        <v/>
      </c>
      <c r="X59" s="43">
        <f>SUMIFS(Plan_Inputs!$D$2:$D$5000,Plan_Inputs!$A$2:$A$5000,$A59,Plan_Inputs!$B$2:$B$5000,$B$2)</f>
        <v/>
      </c>
      <c r="Y59" s="42">
        <f>E59</f>
        <v/>
      </c>
      <c r="Z59" s="44">
        <f>INDEX(Calendar!$H$5:$L$52,MATCH($A59,Calendar!$A$5:$A$52,0),MATCH($D$2,Calendar!$H$4:$L$4,0))</f>
        <v/>
      </c>
      <c r="AA59" s="44">
        <f>INDEX(Calendar!$M$5:$M$52,MATCH($A59,Calendar!$A$5:$A$52,0))</f>
        <v/>
      </c>
      <c r="AB59" s="45">
        <f>IF($D59="Actual",IFERROR(S59/Y59,""),AB47)</f>
        <v/>
      </c>
      <c r="AC59" s="46">
        <f>IF($D59="Actual",IFERROR(U59/T59/Z59/AA59,""),AC47)</f>
        <v/>
      </c>
      <c r="AD59" s="43">
        <f>IF($D59="Actual",IFERROR(V59/(U59+V59),""),AD47)</f>
        <v/>
      </c>
      <c r="AE59" s="46">
        <f>IFERROR(AC59*Z59*AA59,"")</f>
        <v/>
      </c>
      <c r="AF59" s="47">
        <f>K47</f>
        <v/>
      </c>
      <c r="AG59" s="43">
        <f>IF($D59="Forecast",IFERROR(K59/AF59-1,""),"")</f>
        <v/>
      </c>
    </row>
    <row r="60">
      <c r="A60" s="8" t="n">
        <v>47027</v>
      </c>
      <c r="B60" s="26">
        <f>YEAR(A60)</f>
        <v/>
      </c>
      <c r="C60" s="26">
        <f>MONTH(A60)</f>
        <v/>
      </c>
      <c r="D60">
        <f>IF(A60&lt;=LastActual,"Actual","Forecast")</f>
        <v/>
      </c>
      <c r="E60" s="24">
        <f>IF($D60="Actual",R60,W60)</f>
        <v/>
      </c>
      <c r="F60" s="27">
        <f>IF($D60="Actual",S60,Cases_Forecast!AN53)</f>
        <v/>
      </c>
      <c r="G60" s="9">
        <f>IF($D60="Actual",T60,IFERROR(H60/AE60,0))</f>
        <v/>
      </c>
      <c r="H60" s="24">
        <f>IF($D60="Actual",U60,J60-I60)</f>
        <v/>
      </c>
      <c r="I60" s="24">
        <f>IF($D60="Actual",V60,IFERROR(J60*AD60,0))</f>
        <v/>
      </c>
      <c r="J60" s="24">
        <f>IF($D60="Actual",U60+V60,E60*X60)</f>
        <v/>
      </c>
      <c r="K60" s="28">
        <f>IFERROR(F60/G60,0)</f>
        <v/>
      </c>
      <c r="L60" s="29">
        <f>IFERROR(H60/G60,0)</f>
        <v/>
      </c>
      <c r="M60" s="30">
        <f>IFERROR(J60/F60,0)</f>
        <v/>
      </c>
      <c r="N60" s="10">
        <f>IFERROR(J60/E60,0)</f>
        <v/>
      </c>
      <c r="O60" s="10">
        <f>IFERROR(I60/J60,0)</f>
        <v/>
      </c>
      <c r="R60" s="42">
        <f>IF($D60="Actual",SUMIFS(Data_Actuals!$C$2:$C$5000,Data_Actuals!$A$2:$A$5000,$A60,Data_Actuals!$B$2:$B$5000,$B$2),"")</f>
        <v/>
      </c>
      <c r="S60" s="42">
        <f>IF($D60="Actual",SUMIFS(Data_Actuals!$D$2:$D$5000,Data_Actuals!$A$2:$A$5000,$A60,Data_Actuals!$B$2:$B$5000,$B$2),"")</f>
        <v/>
      </c>
      <c r="T60" s="42">
        <f>IF($D60="Actual",SUMIFS(Data_Actuals!$E$2:$E$5000,Data_Actuals!$A$2:$A$5000,$A60,Data_Actuals!$B$2:$B$5000,$B$2),"")</f>
        <v/>
      </c>
      <c r="U60" s="42">
        <f>IF($D60="Actual",SUMIFS(Data_Actuals!$F$2:$F$5000,Data_Actuals!$A$2:$A$5000,$A60,Data_Actuals!$B$2:$B$5000,$B$2),"")</f>
        <v/>
      </c>
      <c r="V60" s="42">
        <f>IF($D60="Actual",SUMIFS(Data_Actuals!$G$2:$G$5000,Data_Actuals!$A$2:$A$5000,$A60,Data_Actuals!$B$2:$B$5000,$B$2),"")</f>
        <v/>
      </c>
      <c r="W60" s="42">
        <f>SUMIFS(Plan_Inputs!$C$2:$C$5000,Plan_Inputs!$A$2:$A$5000,$A60,Plan_Inputs!$B$2:$B$5000,$B$2)</f>
        <v/>
      </c>
      <c r="X60" s="43">
        <f>SUMIFS(Plan_Inputs!$D$2:$D$5000,Plan_Inputs!$A$2:$A$5000,$A60,Plan_Inputs!$B$2:$B$5000,$B$2)</f>
        <v/>
      </c>
      <c r="Y60" s="42">
        <f>E60</f>
        <v/>
      </c>
      <c r="Z60" s="44">
        <f>INDEX(Calendar!$H$5:$L$52,MATCH($A60,Calendar!$A$5:$A$52,0),MATCH($D$2,Calendar!$H$4:$L$4,0))</f>
        <v/>
      </c>
      <c r="AA60" s="44">
        <f>INDEX(Calendar!$M$5:$M$52,MATCH($A60,Calendar!$A$5:$A$52,0))</f>
        <v/>
      </c>
      <c r="AB60" s="45">
        <f>IF($D60="Actual",IFERROR(S60/Y60,""),AB48)</f>
        <v/>
      </c>
      <c r="AC60" s="46">
        <f>IF($D60="Actual",IFERROR(U60/T60/Z60/AA60,""),AC48)</f>
        <v/>
      </c>
      <c r="AD60" s="43">
        <f>IF($D60="Actual",IFERROR(V60/(U60+V60),""),AD48)</f>
        <v/>
      </c>
      <c r="AE60" s="46">
        <f>IFERROR(AC60*Z60*AA60,"")</f>
        <v/>
      </c>
      <c r="AF60" s="47">
        <f>K48</f>
        <v/>
      </c>
      <c r="AG60" s="43">
        <f>IF($D60="Forecast",IFERROR(K60/AF60-1,""),"")</f>
        <v/>
      </c>
    </row>
    <row r="61">
      <c r="A61" s="8" t="n">
        <v>47058</v>
      </c>
      <c r="B61" s="26">
        <f>YEAR(A61)</f>
        <v/>
      </c>
      <c r="C61" s="26">
        <f>MONTH(A61)</f>
        <v/>
      </c>
      <c r="D61">
        <f>IF(A61&lt;=LastActual,"Actual","Forecast")</f>
        <v/>
      </c>
      <c r="E61" s="24">
        <f>IF($D61="Actual",R61,W61)</f>
        <v/>
      </c>
      <c r="F61" s="27">
        <f>IF($D61="Actual",S61,Cases_Forecast!AN54)</f>
        <v/>
      </c>
      <c r="G61" s="9">
        <f>IF($D61="Actual",T61,IFERROR(H61/AE61,0))</f>
        <v/>
      </c>
      <c r="H61" s="24">
        <f>IF($D61="Actual",U61,J61-I61)</f>
        <v/>
      </c>
      <c r="I61" s="24">
        <f>IF($D61="Actual",V61,IFERROR(J61*AD61,0))</f>
        <v/>
      </c>
      <c r="J61" s="24">
        <f>IF($D61="Actual",U61+V61,E61*X61)</f>
        <v/>
      </c>
      <c r="K61" s="28">
        <f>IFERROR(F61/G61,0)</f>
        <v/>
      </c>
      <c r="L61" s="29">
        <f>IFERROR(H61/G61,0)</f>
        <v/>
      </c>
      <c r="M61" s="30">
        <f>IFERROR(J61/F61,0)</f>
        <v/>
      </c>
      <c r="N61" s="10">
        <f>IFERROR(J61/E61,0)</f>
        <v/>
      </c>
      <c r="O61" s="10">
        <f>IFERROR(I61/J61,0)</f>
        <v/>
      </c>
      <c r="R61" s="42">
        <f>IF($D61="Actual",SUMIFS(Data_Actuals!$C$2:$C$5000,Data_Actuals!$A$2:$A$5000,$A61,Data_Actuals!$B$2:$B$5000,$B$2),"")</f>
        <v/>
      </c>
      <c r="S61" s="42">
        <f>IF($D61="Actual",SUMIFS(Data_Actuals!$D$2:$D$5000,Data_Actuals!$A$2:$A$5000,$A61,Data_Actuals!$B$2:$B$5000,$B$2),"")</f>
        <v/>
      </c>
      <c r="T61" s="42">
        <f>IF($D61="Actual",SUMIFS(Data_Actuals!$E$2:$E$5000,Data_Actuals!$A$2:$A$5000,$A61,Data_Actuals!$B$2:$B$5000,$B$2),"")</f>
        <v/>
      </c>
      <c r="U61" s="42">
        <f>IF($D61="Actual",SUMIFS(Data_Actuals!$F$2:$F$5000,Data_Actuals!$A$2:$A$5000,$A61,Data_Actuals!$B$2:$B$5000,$B$2),"")</f>
        <v/>
      </c>
      <c r="V61" s="42">
        <f>IF($D61="Actual",SUMIFS(Data_Actuals!$G$2:$G$5000,Data_Actuals!$A$2:$A$5000,$A61,Data_Actuals!$B$2:$B$5000,$B$2),"")</f>
        <v/>
      </c>
      <c r="W61" s="42">
        <f>SUMIFS(Plan_Inputs!$C$2:$C$5000,Plan_Inputs!$A$2:$A$5000,$A61,Plan_Inputs!$B$2:$B$5000,$B$2)</f>
        <v/>
      </c>
      <c r="X61" s="43">
        <f>SUMIFS(Plan_Inputs!$D$2:$D$5000,Plan_Inputs!$A$2:$A$5000,$A61,Plan_Inputs!$B$2:$B$5000,$B$2)</f>
        <v/>
      </c>
      <c r="Y61" s="42">
        <f>E61</f>
        <v/>
      </c>
      <c r="Z61" s="44">
        <f>INDEX(Calendar!$H$5:$L$52,MATCH($A61,Calendar!$A$5:$A$52,0),MATCH($D$2,Calendar!$H$4:$L$4,0))</f>
        <v/>
      </c>
      <c r="AA61" s="44">
        <f>INDEX(Calendar!$M$5:$M$52,MATCH($A61,Calendar!$A$5:$A$52,0))</f>
        <v/>
      </c>
      <c r="AB61" s="45">
        <f>IF($D61="Actual",IFERROR(S61/Y61,""),AB49)</f>
        <v/>
      </c>
      <c r="AC61" s="46">
        <f>IF($D61="Actual",IFERROR(U61/T61/Z61/AA61,""),AC49)</f>
        <v/>
      </c>
      <c r="AD61" s="43">
        <f>IF($D61="Actual",IFERROR(V61/(U61+V61),""),AD49)</f>
        <v/>
      </c>
      <c r="AE61" s="46">
        <f>IFERROR(AC61*Z61*AA61,"")</f>
        <v/>
      </c>
      <c r="AF61" s="47">
        <f>K49</f>
        <v/>
      </c>
      <c r="AG61" s="43">
        <f>IF($D61="Forecast",IFERROR(K61/AF61-1,""),"")</f>
        <v/>
      </c>
    </row>
    <row r="62">
      <c r="A62" s="31" t="n">
        <v>47088</v>
      </c>
      <c r="B62" s="32">
        <f>YEAR(A62)</f>
        <v/>
      </c>
      <c r="C62" s="32">
        <f>MONTH(A62)</f>
        <v/>
      </c>
      <c r="D62" s="33">
        <f>IF(A62&lt;=LastActual,"Actual","Forecast")</f>
        <v/>
      </c>
      <c r="E62" s="34">
        <f>IF($D62="Actual",R62,W62)</f>
        <v/>
      </c>
      <c r="F62" s="35">
        <f>IF($D62="Actual",S62,Cases_Forecast!AN55)</f>
        <v/>
      </c>
      <c r="G62" s="36">
        <f>IF($D62="Actual",T62,IFERROR(H62/AE62,0))</f>
        <v/>
      </c>
      <c r="H62" s="34">
        <f>IF($D62="Actual",U62,J62-I62)</f>
        <v/>
      </c>
      <c r="I62" s="34">
        <f>IF($D62="Actual",V62,IFERROR(J62*AD62,0))</f>
        <v/>
      </c>
      <c r="J62" s="34">
        <f>IF($D62="Actual",U62+V62,E62*X62)</f>
        <v/>
      </c>
      <c r="K62" s="37">
        <f>IFERROR(F62/G62,0)</f>
        <v/>
      </c>
      <c r="L62" s="38">
        <f>IFERROR(H62/G62,0)</f>
        <v/>
      </c>
      <c r="M62" s="39">
        <f>IFERROR(J62/F62,0)</f>
        <v/>
      </c>
      <c r="N62" s="40">
        <f>IFERROR(J62/E62,0)</f>
        <v/>
      </c>
      <c r="O62" s="40">
        <f>IFERROR(I62/J62,0)</f>
        <v/>
      </c>
      <c r="R62" s="42">
        <f>IF($D62="Actual",SUMIFS(Data_Actuals!$C$2:$C$5000,Data_Actuals!$A$2:$A$5000,$A62,Data_Actuals!$B$2:$B$5000,$B$2),"")</f>
        <v/>
      </c>
      <c r="S62" s="42">
        <f>IF($D62="Actual",SUMIFS(Data_Actuals!$D$2:$D$5000,Data_Actuals!$A$2:$A$5000,$A62,Data_Actuals!$B$2:$B$5000,$B$2),"")</f>
        <v/>
      </c>
      <c r="T62" s="42">
        <f>IF($D62="Actual",SUMIFS(Data_Actuals!$E$2:$E$5000,Data_Actuals!$A$2:$A$5000,$A62,Data_Actuals!$B$2:$B$5000,$B$2),"")</f>
        <v/>
      </c>
      <c r="U62" s="42">
        <f>IF($D62="Actual",SUMIFS(Data_Actuals!$F$2:$F$5000,Data_Actuals!$A$2:$A$5000,$A62,Data_Actuals!$B$2:$B$5000,$B$2),"")</f>
        <v/>
      </c>
      <c r="V62" s="42">
        <f>IF($D62="Actual",SUMIFS(Data_Actuals!$G$2:$G$5000,Data_Actuals!$A$2:$A$5000,$A62,Data_Actuals!$B$2:$B$5000,$B$2),"")</f>
        <v/>
      </c>
      <c r="W62" s="42">
        <f>SUMIFS(Plan_Inputs!$C$2:$C$5000,Plan_Inputs!$A$2:$A$5000,$A62,Plan_Inputs!$B$2:$B$5000,$B$2)</f>
        <v/>
      </c>
      <c r="X62" s="43">
        <f>SUMIFS(Plan_Inputs!$D$2:$D$5000,Plan_Inputs!$A$2:$A$5000,$A62,Plan_Inputs!$B$2:$B$5000,$B$2)</f>
        <v/>
      </c>
      <c r="Y62" s="42">
        <f>E62</f>
        <v/>
      </c>
      <c r="Z62" s="44">
        <f>INDEX(Calendar!$H$5:$L$52,MATCH($A62,Calendar!$A$5:$A$52,0),MATCH($D$2,Calendar!$H$4:$L$4,0))</f>
        <v/>
      </c>
      <c r="AA62" s="44">
        <f>INDEX(Calendar!$M$5:$M$52,MATCH($A62,Calendar!$A$5:$A$52,0))</f>
        <v/>
      </c>
      <c r="AB62" s="45">
        <f>IF($D62="Actual",IFERROR(S62/Y62,""),AB50)</f>
        <v/>
      </c>
      <c r="AC62" s="46">
        <f>IF($D62="Actual",IFERROR(U62/T62/Z62/AA62,""),AC50)</f>
        <v/>
      </c>
      <c r="AD62" s="43">
        <f>IF($D62="Actual",IFERROR(V62/(U62+V62),""),AD50)</f>
        <v/>
      </c>
      <c r="AE62" s="46">
        <f>IFERROR(AC62*Z62*AA62,"")</f>
        <v/>
      </c>
      <c r="AF62" s="47">
        <f>K50</f>
        <v/>
      </c>
      <c r="AG62" s="43">
        <f>IF($D62="Forecast",IFERROR(K62/AF62-1,""),"")</f>
        <v/>
      </c>
    </row>
  </sheetData>
  <mergeCells count="3">
    <mergeCell ref="K12:O12"/>
    <mergeCell ref="R12:AG12"/>
    <mergeCell ref="E12:J12"/>
  </mergeCells>
  <conditionalFormatting sqref="A15:O62">
    <cfRule type="expression" priority="1" dxfId="4">
      <formula>$D15="Forecast"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1F3864"/>
    <outlinePr summaryBelow="1" summaryRight="1"/>
    <pageSetUpPr/>
  </sheetPr>
  <dimension ref="A1:AG62"/>
  <sheetViews>
    <sheetView workbookViewId="0">
      <pane xSplit="4" ySplit="14" topLeftCell="E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" customWidth="1" min="2" max="2"/>
    <col width="5" customWidth="1" min="3" max="3"/>
    <col width="9" customWidth="1" min="4" max="4"/>
    <col width="10" customWidth="1" min="5" max="5"/>
    <col width="10" customWidth="1" min="6" max="6"/>
    <col width="11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1" customWidth="1" min="15" max="15"/>
    <col width="2" customWidth="1" min="17" max="17"/>
    <col width="11" customWidth="1" min="18" max="18"/>
    <col width="11" customWidth="1" min="19" max="19"/>
    <col width="10" customWidth="1" min="20" max="20"/>
    <col width="11" customWidth="1" min="21" max="21"/>
    <col width="11" customWidth="1" min="22" max="22"/>
    <col width="12" customWidth="1" min="23" max="23"/>
    <col width="9" customWidth="1" min="24" max="24"/>
    <col width="12" customWidth="1" min="25" max="25"/>
    <col width="8" customWidth="1" min="26" max="26"/>
    <col width="8" customWidth="1" min="27" max="27"/>
    <col width="11" customWidth="1" min="28" max="28"/>
    <col width="12" customWidth="1" min="29" max="29"/>
    <col width="12" customWidth="1" min="30" max="30"/>
    <col width="11" customWidth="1" min="31" max="31"/>
    <col width="9" customWidth="1" min="32" max="32"/>
    <col width="9" customWidth="1" min="33" max="33"/>
  </cols>
  <sheetData>
    <row r="1">
      <c r="A1" s="2">
        <f>$B$2&amp;"  |  Region  |  QLD"</f>
        <v/>
      </c>
    </row>
    <row r="2">
      <c r="A2" t="inlineStr">
        <is>
          <t>Code</t>
        </is>
      </c>
      <c r="B2" s="1">
        <f>Inputs!$A$41</f>
        <v/>
      </c>
      <c r="C2" t="inlineStr">
        <is>
          <t>State</t>
        </is>
      </c>
      <c r="D2" s="1" t="inlineStr">
        <is>
          <t>QLD</t>
        </is>
      </c>
    </row>
    <row r="5" ht="45" customHeight="1">
      <c r="A5" s="5" t="inlineStr">
        <is>
          <t>FY</t>
        </is>
      </c>
      <c r="D5" s="5" t="inlineStr">
        <is>
          <t>Status</t>
        </is>
      </c>
      <c r="E5" s="5" t="inlineStr">
        <is>
          <t>Sales</t>
        </is>
      </c>
      <c r="F5" s="5" t="inlineStr">
        <is>
          <t>Cases picked</t>
        </is>
      </c>
      <c r="G5" s="5" t="inlineStr">
        <is>
          <t>WH hours worked</t>
        </is>
      </c>
      <c r="H5" s="5" t="inlineStr">
        <is>
          <t>Staff payroll</t>
        </is>
      </c>
      <c r="I5" s="5" t="inlineStr">
        <is>
          <t>Leadership payroll</t>
        </is>
      </c>
      <c r="J5" s="5" t="inlineStr">
        <is>
          <t>Total payroll</t>
        </is>
      </c>
      <c r="K5" s="5" t="inlineStr">
        <is>
          <t>CPLH (cases / hr)</t>
        </is>
      </c>
      <c r="L5" s="5" t="inlineStr">
        <is>
          <t>Cost per hour (staff)</t>
        </is>
      </c>
      <c r="M5" s="5" t="inlineStr">
        <is>
          <t>Cost per case (total payroll)</t>
        </is>
      </c>
      <c r="N5" s="5" t="inlineStr">
        <is>
          <t>Total payroll % sales</t>
        </is>
      </c>
      <c r="O5" s="5" t="inlineStr">
        <is>
          <t>Leadership % of total payroll</t>
        </is>
      </c>
    </row>
    <row r="6">
      <c r="A6" s="15" t="n">
        <v>2025</v>
      </c>
      <c r="D6" s="16">
        <f>IF(DATE(A6,12,1)&lt;=LastActual,"Actual",IF(DATE(A6,1,1)&gt;LastActual,"Forecast","Blended"))</f>
        <v/>
      </c>
      <c r="E6" s="17">
        <f>SUMIFS($E$15:$E$62,$B$15:$B$62,$A6)</f>
        <v/>
      </c>
      <c r="F6" s="18">
        <f>SUMIFS($F$15:$F$62,$B$15:$B$62,$A6)</f>
        <v/>
      </c>
      <c r="G6" s="19">
        <f>SUMIFS($G$15:$G$62,$B$15:$B$62,$A6)</f>
        <v/>
      </c>
      <c r="H6" s="17">
        <f>SUMIFS($H$15:$H$62,$B$15:$B$62,$A6)</f>
        <v/>
      </c>
      <c r="I6" s="17">
        <f>SUMIFS($I$15:$I$62,$B$15:$B$62,$A6)</f>
        <v/>
      </c>
      <c r="J6" s="17">
        <f>SUMIFS($J$15:$J$62,$B$15:$B$62,$A6)</f>
        <v/>
      </c>
      <c r="K6" s="20">
        <f>IFERROR(F6/G6,0)</f>
        <v/>
      </c>
      <c r="L6" s="21">
        <f>IFERROR(H6/G6,0)</f>
        <v/>
      </c>
      <c r="M6" s="22">
        <f>IFERROR(J6/F6,0)</f>
        <v/>
      </c>
      <c r="N6" s="23">
        <f>IFERROR(J6/E6,0)</f>
        <v/>
      </c>
      <c r="O6" s="23">
        <f>IFERROR(I6/J6,0)</f>
        <v/>
      </c>
    </row>
    <row r="7">
      <c r="A7" s="15" t="n">
        <v>2026</v>
      </c>
      <c r="D7" s="16">
        <f>IF(DATE(A7,12,1)&lt;=LastActual,"Actual",IF(DATE(A7,1,1)&gt;LastActual,"Forecast","Blended"))</f>
        <v/>
      </c>
      <c r="E7" s="17">
        <f>SUMIFS($E$15:$E$62,$B$15:$B$62,$A7)</f>
        <v/>
      </c>
      <c r="F7" s="18">
        <f>SUMIFS($F$15:$F$62,$B$15:$B$62,$A7)</f>
        <v/>
      </c>
      <c r="G7" s="19">
        <f>SUMIFS($G$15:$G$62,$B$15:$B$62,$A7)</f>
        <v/>
      </c>
      <c r="H7" s="17">
        <f>SUMIFS($H$15:$H$62,$B$15:$B$62,$A7)</f>
        <v/>
      </c>
      <c r="I7" s="17">
        <f>SUMIFS($I$15:$I$62,$B$15:$B$62,$A7)</f>
        <v/>
      </c>
      <c r="J7" s="17">
        <f>SUMIFS($J$15:$J$62,$B$15:$B$62,$A7)</f>
        <v/>
      </c>
      <c r="K7" s="20">
        <f>IFERROR(F7/G7,0)</f>
        <v/>
      </c>
      <c r="L7" s="21">
        <f>IFERROR(H7/G7,0)</f>
        <v/>
      </c>
      <c r="M7" s="22">
        <f>IFERROR(J7/F7,0)</f>
        <v/>
      </c>
      <c r="N7" s="23">
        <f>IFERROR(J7/E7,0)</f>
        <v/>
      </c>
      <c r="O7" s="23">
        <f>IFERROR(I7/J7,0)</f>
        <v/>
      </c>
    </row>
    <row r="8">
      <c r="A8" s="15" t="n">
        <v>2027</v>
      </c>
      <c r="D8" s="16">
        <f>IF(DATE(A8,12,1)&lt;=LastActual,"Actual",IF(DATE(A8,1,1)&gt;LastActual,"Forecast","Blended"))</f>
        <v/>
      </c>
      <c r="E8" s="17">
        <f>SUMIFS($E$15:$E$62,$B$15:$B$62,$A8)</f>
        <v/>
      </c>
      <c r="F8" s="18">
        <f>SUMIFS($F$15:$F$62,$B$15:$B$62,$A8)</f>
        <v/>
      </c>
      <c r="G8" s="19">
        <f>SUMIFS($G$15:$G$62,$B$15:$B$62,$A8)</f>
        <v/>
      </c>
      <c r="H8" s="17">
        <f>SUMIFS($H$15:$H$62,$B$15:$B$62,$A8)</f>
        <v/>
      </c>
      <c r="I8" s="17">
        <f>SUMIFS($I$15:$I$62,$B$15:$B$62,$A8)</f>
        <v/>
      </c>
      <c r="J8" s="17">
        <f>SUMIFS($J$15:$J$62,$B$15:$B$62,$A8)</f>
        <v/>
      </c>
      <c r="K8" s="20">
        <f>IFERROR(F8/G8,0)</f>
        <v/>
      </c>
      <c r="L8" s="21">
        <f>IFERROR(H8/G8,0)</f>
        <v/>
      </c>
      <c r="M8" s="22">
        <f>IFERROR(J8/F8,0)</f>
        <v/>
      </c>
      <c r="N8" s="23">
        <f>IFERROR(J8/E8,0)</f>
        <v/>
      </c>
      <c r="O8" s="23">
        <f>IFERROR(I8/J8,0)</f>
        <v/>
      </c>
    </row>
    <row r="9">
      <c r="A9" s="15" t="n">
        <v>2028</v>
      </c>
      <c r="D9" s="16">
        <f>IF(DATE(A9,12,1)&lt;=LastActual,"Actual",IF(DATE(A9,1,1)&gt;LastActual,"Forecast","Blended"))</f>
        <v/>
      </c>
      <c r="E9" s="17">
        <f>SUMIFS($E$15:$E$62,$B$15:$B$62,$A9)</f>
        <v/>
      </c>
      <c r="F9" s="18">
        <f>SUMIFS($F$15:$F$62,$B$15:$B$62,$A9)</f>
        <v/>
      </c>
      <c r="G9" s="19">
        <f>SUMIFS($G$15:$G$62,$B$15:$B$62,$A9)</f>
        <v/>
      </c>
      <c r="H9" s="17">
        <f>SUMIFS($H$15:$H$62,$B$15:$B$62,$A9)</f>
        <v/>
      </c>
      <c r="I9" s="17">
        <f>SUMIFS($I$15:$I$62,$B$15:$B$62,$A9)</f>
        <v/>
      </c>
      <c r="J9" s="17">
        <f>SUMIFS($J$15:$J$62,$B$15:$B$62,$A9)</f>
        <v/>
      </c>
      <c r="K9" s="20">
        <f>IFERROR(F9/G9,0)</f>
        <v/>
      </c>
      <c r="L9" s="21">
        <f>IFERROR(H9/G9,0)</f>
        <v/>
      </c>
      <c r="M9" s="22">
        <f>IFERROR(J9/F9,0)</f>
        <v/>
      </c>
      <c r="N9" s="23">
        <f>IFERROR(J9/E9,0)</f>
        <v/>
      </c>
      <c r="O9" s="23">
        <f>IFERROR(I9/J9,0)</f>
        <v/>
      </c>
    </row>
    <row r="12">
      <c r="E12" s="5" t="inlineStr">
        <is>
          <t>Drivers</t>
        </is>
      </c>
      <c r="K12" s="5" t="inlineStr">
        <is>
          <t>Metrics</t>
        </is>
      </c>
      <c r="R12" s="5" t="inlineStr">
        <is>
          <t>Helper calculations (actuals, plan, same-month-last-year rates)</t>
        </is>
      </c>
    </row>
    <row r="13" ht="60" customHeight="1">
      <c r="A13" s="5" t="inlineStr">
        <is>
          <t>Month</t>
        </is>
      </c>
      <c r="B13" s="5" t="inlineStr">
        <is>
          <t>Year</t>
        </is>
      </c>
      <c r="C13" s="5" t="inlineStr">
        <is>
          <t>Mth</t>
        </is>
      </c>
      <c r="D13" s="5" t="inlineStr">
        <is>
          <t>Status</t>
        </is>
      </c>
      <c r="E13" s="5" t="inlineStr">
        <is>
          <t>Sales</t>
        </is>
      </c>
      <c r="F13" s="5" t="inlineStr">
        <is>
          <t>Cases picked</t>
        </is>
      </c>
      <c r="G13" s="5" t="inlineStr">
        <is>
          <t>WH hours worked</t>
        </is>
      </c>
      <c r="H13" s="5" t="inlineStr">
        <is>
          <t>Staff payroll</t>
        </is>
      </c>
      <c r="I13" s="5" t="inlineStr">
        <is>
          <t>Leadership payroll</t>
        </is>
      </c>
      <c r="J13" s="5" t="inlineStr">
        <is>
          <t>Total payroll</t>
        </is>
      </c>
      <c r="K13" s="5" t="inlineStr">
        <is>
          <t>CPLH (cases / hr)</t>
        </is>
      </c>
      <c r="L13" s="5" t="inlineStr">
        <is>
          <t>Cost per hour (staff)</t>
        </is>
      </c>
      <c r="M13" s="5" t="inlineStr">
        <is>
          <t>Cost per case (total payroll)</t>
        </is>
      </c>
      <c r="N13" s="5" t="inlineStr">
        <is>
          <t>Total payroll % sales</t>
        </is>
      </c>
      <c r="O13" s="5" t="inlineStr">
        <is>
          <t>Leadership % of total payroll</t>
        </is>
      </c>
      <c r="R13" s="41" t="inlineStr">
        <is>
          <t>Act sales</t>
        </is>
      </c>
      <c r="S13" s="41" t="inlineStr">
        <is>
          <t>Act cases</t>
        </is>
      </c>
      <c r="T13" s="41" t="inlineStr">
        <is>
          <t>Act hours</t>
        </is>
      </c>
      <c r="U13" s="41" t="inlineStr">
        <is>
          <t>Act staff $</t>
        </is>
      </c>
      <c r="V13" s="41" t="inlineStr">
        <is>
          <t>Act leadership $</t>
        </is>
      </c>
      <c r="W13" s="41" t="inlineStr">
        <is>
          <t>Plan sales</t>
        </is>
      </c>
      <c r="X13" s="41" t="inlineStr">
        <is>
          <t>Plan payroll %</t>
        </is>
      </c>
      <c r="Y13" s="41" t="inlineStr">
        <is>
          <t>Volume driver sales</t>
        </is>
      </c>
      <c r="Z13" s="41" t="inlineStr">
        <is>
          <t>PH factor</t>
        </is>
      </c>
      <c r="AA13" s="41" t="inlineStr">
        <is>
          <t>Wage index</t>
        </is>
      </c>
      <c r="AB13" s="41" t="inlineStr">
        <is>
          <t>Cases per $ (actual, else same month LY)</t>
        </is>
      </c>
      <c r="AC13" s="41" t="inlineStr">
        <is>
          <t>Cost per hour ex PH &amp; wage (actual, else same month LY)</t>
        </is>
      </c>
      <c r="AD13" s="41" t="inlineStr">
        <is>
          <t>Leadership share of total payroll (actual, else same month LY)</t>
        </is>
      </c>
      <c r="AE13" s="41" t="inlineStr">
        <is>
          <t>Fcst cost per hour (AC x PH x wage)</t>
        </is>
      </c>
      <c r="AF13" s="41" t="inlineStr">
        <is>
          <t>LY CPLH (same month)</t>
        </is>
      </c>
      <c r="AG13" s="41" t="inlineStr">
        <is>
          <t>Fcst CPLH vs LY</t>
        </is>
      </c>
    </row>
    <row r="14">
      <c r="E14" s="25" t="inlineStr">
        <is>
          <t>$m</t>
        </is>
      </c>
      <c r="F14" s="25" t="inlineStr">
        <is>
          <t>m</t>
        </is>
      </c>
      <c r="G14" s="25" t="inlineStr">
        <is>
          <t>#</t>
        </is>
      </c>
      <c r="H14" s="25" t="inlineStr">
        <is>
          <t>$m</t>
        </is>
      </c>
      <c r="I14" s="25" t="inlineStr">
        <is>
          <t>$m</t>
        </is>
      </c>
      <c r="J14" s="25" t="inlineStr">
        <is>
          <t>$m</t>
        </is>
      </c>
      <c r="K14" s="25" t="inlineStr">
        <is>
          <t>#</t>
        </is>
      </c>
      <c r="L14" s="25" t="inlineStr">
        <is>
          <t>$</t>
        </is>
      </c>
      <c r="M14" s="25" t="inlineStr">
        <is>
          <t>$</t>
        </is>
      </c>
      <c r="N14" s="25" t="inlineStr">
        <is>
          <t>%</t>
        </is>
      </c>
      <c r="O14" s="25" t="inlineStr">
        <is>
          <t>%</t>
        </is>
      </c>
    </row>
    <row r="15">
      <c r="A15" s="8" t="n">
        <v>45658</v>
      </c>
      <c r="B15" s="26">
        <f>YEAR(A15)</f>
        <v/>
      </c>
      <c r="C15" s="26">
        <f>MONTH(A15)</f>
        <v/>
      </c>
      <c r="D15">
        <f>IF(A15&lt;=LastActual,"Actual","Forecast")</f>
        <v/>
      </c>
      <c r="E15" s="24">
        <f>IF($D15="Actual",R15,W15)</f>
        <v/>
      </c>
      <c r="F15" s="27">
        <f>IF($D15="Actual",S15,Cases_Forecast!AO8)</f>
        <v/>
      </c>
      <c r="G15" s="9">
        <f>IF($D15="Actual",T15,IFERROR(H15/AE15,0))</f>
        <v/>
      </c>
      <c r="H15" s="24">
        <f>IF($D15="Actual",U15,J15-I15)</f>
        <v/>
      </c>
      <c r="I15" s="24">
        <f>IF($D15="Actual",V15,IFERROR(J15*AD15,0))</f>
        <v/>
      </c>
      <c r="J15" s="24">
        <f>IF($D15="Actual",U15+V15,E15*X15)</f>
        <v/>
      </c>
      <c r="K15" s="28">
        <f>IFERROR(F15/G15,0)</f>
        <v/>
      </c>
      <c r="L15" s="29">
        <f>IFERROR(H15/G15,0)</f>
        <v/>
      </c>
      <c r="M15" s="30">
        <f>IFERROR(J15/F15,0)</f>
        <v/>
      </c>
      <c r="N15" s="10">
        <f>IFERROR(J15/E15,0)</f>
        <v/>
      </c>
      <c r="O15" s="10">
        <f>IFERROR(I15/J15,0)</f>
        <v/>
      </c>
      <c r="R15" s="42">
        <f>IF($D15="Actual",SUMIFS(Data_Actuals!$C$2:$C$5000,Data_Actuals!$A$2:$A$5000,$A15,Data_Actuals!$B$2:$B$5000,$B$2),"")</f>
        <v/>
      </c>
      <c r="S15" s="42">
        <f>IF($D15="Actual",SUMIFS(Data_Actuals!$D$2:$D$5000,Data_Actuals!$A$2:$A$5000,$A15,Data_Actuals!$B$2:$B$5000,$B$2),"")</f>
        <v/>
      </c>
      <c r="T15" s="42">
        <f>IF($D15="Actual",SUMIFS(Data_Actuals!$E$2:$E$5000,Data_Actuals!$A$2:$A$5000,$A15,Data_Actuals!$B$2:$B$5000,$B$2),"")</f>
        <v/>
      </c>
      <c r="U15" s="42">
        <f>IF($D15="Actual",SUMIFS(Data_Actuals!$F$2:$F$5000,Data_Actuals!$A$2:$A$5000,$A15,Data_Actuals!$B$2:$B$5000,$B$2),"")</f>
        <v/>
      </c>
      <c r="V15" s="42">
        <f>IF($D15="Actual",SUMIFS(Data_Actuals!$G$2:$G$5000,Data_Actuals!$A$2:$A$5000,$A15,Data_Actuals!$B$2:$B$5000,$B$2),"")</f>
        <v/>
      </c>
      <c r="W15" s="42">
        <f>SUMIFS(Plan_Inputs!$C$2:$C$5000,Plan_Inputs!$A$2:$A$5000,$A15,Plan_Inputs!$B$2:$B$5000,$B$2)</f>
        <v/>
      </c>
      <c r="X15" s="43">
        <f>SUMIFS(Plan_Inputs!$D$2:$D$5000,Plan_Inputs!$A$2:$A$5000,$A15,Plan_Inputs!$B$2:$B$5000,$B$2)</f>
        <v/>
      </c>
      <c r="Y15" s="42">
        <f>E15</f>
        <v/>
      </c>
      <c r="Z15" s="44">
        <f>INDEX(Calendar!$H$5:$L$52,MATCH($A15,Calendar!$A$5:$A$52,0),MATCH($D$2,Calendar!$H$4:$L$4,0))</f>
        <v/>
      </c>
      <c r="AA15" s="44">
        <f>INDEX(Calendar!$M$5:$M$52,MATCH($A15,Calendar!$A$5:$A$52,0))</f>
        <v/>
      </c>
      <c r="AB15" s="45">
        <f>IF($D15="Actual",IFERROR(S15/Y15,""),"")</f>
        <v/>
      </c>
      <c r="AC15" s="46">
        <f>IF($D15="Actual",IFERROR(U15/T15/Z15/AA15,""),"")</f>
        <v/>
      </c>
      <c r="AD15" s="43">
        <f>IF($D15="Actual",IFERROR(V15/(U15+V15),""),"")</f>
        <v/>
      </c>
      <c r="AE15" s="46">
        <f>IFERROR(AC15*Z15*AA15,"")</f>
        <v/>
      </c>
      <c r="AF15" s="47" t="n"/>
      <c r="AG15" s="43">
        <f>IF($D15="Forecast",IFERROR(K15/AF15-1,""),"")</f>
        <v/>
      </c>
    </row>
    <row r="16">
      <c r="A16" s="8" t="n">
        <v>45689</v>
      </c>
      <c r="B16" s="26">
        <f>YEAR(A16)</f>
        <v/>
      </c>
      <c r="C16" s="26">
        <f>MONTH(A16)</f>
        <v/>
      </c>
      <c r="D16">
        <f>IF(A16&lt;=LastActual,"Actual","Forecast")</f>
        <v/>
      </c>
      <c r="E16" s="24">
        <f>IF($D16="Actual",R16,W16)</f>
        <v/>
      </c>
      <c r="F16" s="27">
        <f>IF($D16="Actual",S16,Cases_Forecast!AO9)</f>
        <v/>
      </c>
      <c r="G16" s="9">
        <f>IF($D16="Actual",T16,IFERROR(H16/AE16,0))</f>
        <v/>
      </c>
      <c r="H16" s="24">
        <f>IF($D16="Actual",U16,J16-I16)</f>
        <v/>
      </c>
      <c r="I16" s="24">
        <f>IF($D16="Actual",V16,IFERROR(J16*AD16,0))</f>
        <v/>
      </c>
      <c r="J16" s="24">
        <f>IF($D16="Actual",U16+V16,E16*X16)</f>
        <v/>
      </c>
      <c r="K16" s="28">
        <f>IFERROR(F16/G16,0)</f>
        <v/>
      </c>
      <c r="L16" s="29">
        <f>IFERROR(H16/G16,0)</f>
        <v/>
      </c>
      <c r="M16" s="30">
        <f>IFERROR(J16/F16,0)</f>
        <v/>
      </c>
      <c r="N16" s="10">
        <f>IFERROR(J16/E16,0)</f>
        <v/>
      </c>
      <c r="O16" s="10">
        <f>IFERROR(I16/J16,0)</f>
        <v/>
      </c>
      <c r="R16" s="42">
        <f>IF($D16="Actual",SUMIFS(Data_Actuals!$C$2:$C$5000,Data_Actuals!$A$2:$A$5000,$A16,Data_Actuals!$B$2:$B$5000,$B$2),"")</f>
        <v/>
      </c>
      <c r="S16" s="42">
        <f>IF($D16="Actual",SUMIFS(Data_Actuals!$D$2:$D$5000,Data_Actuals!$A$2:$A$5000,$A16,Data_Actuals!$B$2:$B$5000,$B$2),"")</f>
        <v/>
      </c>
      <c r="T16" s="42">
        <f>IF($D16="Actual",SUMIFS(Data_Actuals!$E$2:$E$5000,Data_Actuals!$A$2:$A$5000,$A16,Data_Actuals!$B$2:$B$5000,$B$2),"")</f>
        <v/>
      </c>
      <c r="U16" s="42">
        <f>IF($D16="Actual",SUMIFS(Data_Actuals!$F$2:$F$5000,Data_Actuals!$A$2:$A$5000,$A16,Data_Actuals!$B$2:$B$5000,$B$2),"")</f>
        <v/>
      </c>
      <c r="V16" s="42">
        <f>IF($D16="Actual",SUMIFS(Data_Actuals!$G$2:$G$5000,Data_Actuals!$A$2:$A$5000,$A16,Data_Actuals!$B$2:$B$5000,$B$2),"")</f>
        <v/>
      </c>
      <c r="W16" s="42">
        <f>SUMIFS(Plan_Inputs!$C$2:$C$5000,Plan_Inputs!$A$2:$A$5000,$A16,Plan_Inputs!$B$2:$B$5000,$B$2)</f>
        <v/>
      </c>
      <c r="X16" s="43">
        <f>SUMIFS(Plan_Inputs!$D$2:$D$5000,Plan_Inputs!$A$2:$A$5000,$A16,Plan_Inputs!$B$2:$B$5000,$B$2)</f>
        <v/>
      </c>
      <c r="Y16" s="42">
        <f>E16</f>
        <v/>
      </c>
      <c r="Z16" s="44">
        <f>INDEX(Calendar!$H$5:$L$52,MATCH($A16,Calendar!$A$5:$A$52,0),MATCH($D$2,Calendar!$H$4:$L$4,0))</f>
        <v/>
      </c>
      <c r="AA16" s="44">
        <f>INDEX(Calendar!$M$5:$M$52,MATCH($A16,Calendar!$A$5:$A$52,0))</f>
        <v/>
      </c>
      <c r="AB16" s="45">
        <f>IF($D16="Actual",IFERROR(S16/Y16,""),"")</f>
        <v/>
      </c>
      <c r="AC16" s="46">
        <f>IF($D16="Actual",IFERROR(U16/T16/Z16/AA16,""),"")</f>
        <v/>
      </c>
      <c r="AD16" s="43">
        <f>IF($D16="Actual",IFERROR(V16/(U16+V16),""),"")</f>
        <v/>
      </c>
      <c r="AE16" s="46">
        <f>IFERROR(AC16*Z16*AA16,"")</f>
        <v/>
      </c>
      <c r="AF16" s="47" t="n"/>
      <c r="AG16" s="43">
        <f>IF($D16="Forecast",IFERROR(K16/AF16-1,""),"")</f>
        <v/>
      </c>
    </row>
    <row r="17">
      <c r="A17" s="8" t="n">
        <v>45717</v>
      </c>
      <c r="B17" s="26">
        <f>YEAR(A17)</f>
        <v/>
      </c>
      <c r="C17" s="26">
        <f>MONTH(A17)</f>
        <v/>
      </c>
      <c r="D17">
        <f>IF(A17&lt;=LastActual,"Actual","Forecast")</f>
        <v/>
      </c>
      <c r="E17" s="24">
        <f>IF($D17="Actual",R17,W17)</f>
        <v/>
      </c>
      <c r="F17" s="27">
        <f>IF($D17="Actual",S17,Cases_Forecast!AO10)</f>
        <v/>
      </c>
      <c r="G17" s="9">
        <f>IF($D17="Actual",T17,IFERROR(H17/AE17,0))</f>
        <v/>
      </c>
      <c r="H17" s="24">
        <f>IF($D17="Actual",U17,J17-I17)</f>
        <v/>
      </c>
      <c r="I17" s="24">
        <f>IF($D17="Actual",V17,IFERROR(J17*AD17,0))</f>
        <v/>
      </c>
      <c r="J17" s="24">
        <f>IF($D17="Actual",U17+V17,E17*X17)</f>
        <v/>
      </c>
      <c r="K17" s="28">
        <f>IFERROR(F17/G17,0)</f>
        <v/>
      </c>
      <c r="L17" s="29">
        <f>IFERROR(H17/G17,0)</f>
        <v/>
      </c>
      <c r="M17" s="30">
        <f>IFERROR(J17/F17,0)</f>
        <v/>
      </c>
      <c r="N17" s="10">
        <f>IFERROR(J17/E17,0)</f>
        <v/>
      </c>
      <c r="O17" s="10">
        <f>IFERROR(I17/J17,0)</f>
        <v/>
      </c>
      <c r="R17" s="42">
        <f>IF($D17="Actual",SUMIFS(Data_Actuals!$C$2:$C$5000,Data_Actuals!$A$2:$A$5000,$A17,Data_Actuals!$B$2:$B$5000,$B$2),"")</f>
        <v/>
      </c>
      <c r="S17" s="42">
        <f>IF($D17="Actual",SUMIFS(Data_Actuals!$D$2:$D$5000,Data_Actuals!$A$2:$A$5000,$A17,Data_Actuals!$B$2:$B$5000,$B$2),"")</f>
        <v/>
      </c>
      <c r="T17" s="42">
        <f>IF($D17="Actual",SUMIFS(Data_Actuals!$E$2:$E$5000,Data_Actuals!$A$2:$A$5000,$A17,Data_Actuals!$B$2:$B$5000,$B$2),"")</f>
        <v/>
      </c>
      <c r="U17" s="42">
        <f>IF($D17="Actual",SUMIFS(Data_Actuals!$F$2:$F$5000,Data_Actuals!$A$2:$A$5000,$A17,Data_Actuals!$B$2:$B$5000,$B$2),"")</f>
        <v/>
      </c>
      <c r="V17" s="42">
        <f>IF($D17="Actual",SUMIFS(Data_Actuals!$G$2:$G$5000,Data_Actuals!$A$2:$A$5000,$A17,Data_Actuals!$B$2:$B$5000,$B$2),"")</f>
        <v/>
      </c>
      <c r="W17" s="42">
        <f>SUMIFS(Plan_Inputs!$C$2:$C$5000,Plan_Inputs!$A$2:$A$5000,$A17,Plan_Inputs!$B$2:$B$5000,$B$2)</f>
        <v/>
      </c>
      <c r="X17" s="43">
        <f>SUMIFS(Plan_Inputs!$D$2:$D$5000,Plan_Inputs!$A$2:$A$5000,$A17,Plan_Inputs!$B$2:$B$5000,$B$2)</f>
        <v/>
      </c>
      <c r="Y17" s="42">
        <f>E17</f>
        <v/>
      </c>
      <c r="Z17" s="44">
        <f>INDEX(Calendar!$H$5:$L$52,MATCH($A17,Calendar!$A$5:$A$52,0),MATCH($D$2,Calendar!$H$4:$L$4,0))</f>
        <v/>
      </c>
      <c r="AA17" s="44">
        <f>INDEX(Calendar!$M$5:$M$52,MATCH($A17,Calendar!$A$5:$A$52,0))</f>
        <v/>
      </c>
      <c r="AB17" s="45">
        <f>IF($D17="Actual",IFERROR(S17/Y17,""),"")</f>
        <v/>
      </c>
      <c r="AC17" s="46">
        <f>IF($D17="Actual",IFERROR(U17/T17/Z17/AA17,""),"")</f>
        <v/>
      </c>
      <c r="AD17" s="43">
        <f>IF($D17="Actual",IFERROR(V17/(U17+V17),""),"")</f>
        <v/>
      </c>
      <c r="AE17" s="46">
        <f>IFERROR(AC17*Z17*AA17,"")</f>
        <v/>
      </c>
      <c r="AF17" s="47" t="n"/>
      <c r="AG17" s="43">
        <f>IF($D17="Forecast",IFERROR(K17/AF17-1,""),"")</f>
        <v/>
      </c>
    </row>
    <row r="18">
      <c r="A18" s="8" t="n">
        <v>45748</v>
      </c>
      <c r="B18" s="26">
        <f>YEAR(A18)</f>
        <v/>
      </c>
      <c r="C18" s="26">
        <f>MONTH(A18)</f>
        <v/>
      </c>
      <c r="D18">
        <f>IF(A18&lt;=LastActual,"Actual","Forecast")</f>
        <v/>
      </c>
      <c r="E18" s="24">
        <f>IF($D18="Actual",R18,W18)</f>
        <v/>
      </c>
      <c r="F18" s="27">
        <f>IF($D18="Actual",S18,Cases_Forecast!AO11)</f>
        <v/>
      </c>
      <c r="G18" s="9">
        <f>IF($D18="Actual",T18,IFERROR(H18/AE18,0))</f>
        <v/>
      </c>
      <c r="H18" s="24">
        <f>IF($D18="Actual",U18,J18-I18)</f>
        <v/>
      </c>
      <c r="I18" s="24">
        <f>IF($D18="Actual",V18,IFERROR(J18*AD18,0))</f>
        <v/>
      </c>
      <c r="J18" s="24">
        <f>IF($D18="Actual",U18+V18,E18*X18)</f>
        <v/>
      </c>
      <c r="K18" s="28">
        <f>IFERROR(F18/G18,0)</f>
        <v/>
      </c>
      <c r="L18" s="29">
        <f>IFERROR(H18/G18,0)</f>
        <v/>
      </c>
      <c r="M18" s="30">
        <f>IFERROR(J18/F18,0)</f>
        <v/>
      </c>
      <c r="N18" s="10">
        <f>IFERROR(J18/E18,0)</f>
        <v/>
      </c>
      <c r="O18" s="10">
        <f>IFERROR(I18/J18,0)</f>
        <v/>
      </c>
      <c r="R18" s="42">
        <f>IF($D18="Actual",SUMIFS(Data_Actuals!$C$2:$C$5000,Data_Actuals!$A$2:$A$5000,$A18,Data_Actuals!$B$2:$B$5000,$B$2),"")</f>
        <v/>
      </c>
      <c r="S18" s="42">
        <f>IF($D18="Actual",SUMIFS(Data_Actuals!$D$2:$D$5000,Data_Actuals!$A$2:$A$5000,$A18,Data_Actuals!$B$2:$B$5000,$B$2),"")</f>
        <v/>
      </c>
      <c r="T18" s="42">
        <f>IF($D18="Actual",SUMIFS(Data_Actuals!$E$2:$E$5000,Data_Actuals!$A$2:$A$5000,$A18,Data_Actuals!$B$2:$B$5000,$B$2),"")</f>
        <v/>
      </c>
      <c r="U18" s="42">
        <f>IF($D18="Actual",SUMIFS(Data_Actuals!$F$2:$F$5000,Data_Actuals!$A$2:$A$5000,$A18,Data_Actuals!$B$2:$B$5000,$B$2),"")</f>
        <v/>
      </c>
      <c r="V18" s="42">
        <f>IF($D18="Actual",SUMIFS(Data_Actuals!$G$2:$G$5000,Data_Actuals!$A$2:$A$5000,$A18,Data_Actuals!$B$2:$B$5000,$B$2),"")</f>
        <v/>
      </c>
      <c r="W18" s="42">
        <f>SUMIFS(Plan_Inputs!$C$2:$C$5000,Plan_Inputs!$A$2:$A$5000,$A18,Plan_Inputs!$B$2:$B$5000,$B$2)</f>
        <v/>
      </c>
      <c r="X18" s="43">
        <f>SUMIFS(Plan_Inputs!$D$2:$D$5000,Plan_Inputs!$A$2:$A$5000,$A18,Plan_Inputs!$B$2:$B$5000,$B$2)</f>
        <v/>
      </c>
      <c r="Y18" s="42">
        <f>E18</f>
        <v/>
      </c>
      <c r="Z18" s="44">
        <f>INDEX(Calendar!$H$5:$L$52,MATCH($A18,Calendar!$A$5:$A$52,0),MATCH($D$2,Calendar!$H$4:$L$4,0))</f>
        <v/>
      </c>
      <c r="AA18" s="44">
        <f>INDEX(Calendar!$M$5:$M$52,MATCH($A18,Calendar!$A$5:$A$52,0))</f>
        <v/>
      </c>
      <c r="AB18" s="45">
        <f>IF($D18="Actual",IFERROR(S18/Y18,""),"")</f>
        <v/>
      </c>
      <c r="AC18" s="46">
        <f>IF($D18="Actual",IFERROR(U18/T18/Z18/AA18,""),"")</f>
        <v/>
      </c>
      <c r="AD18" s="43">
        <f>IF($D18="Actual",IFERROR(V18/(U18+V18),""),"")</f>
        <v/>
      </c>
      <c r="AE18" s="46">
        <f>IFERROR(AC18*Z18*AA18,"")</f>
        <v/>
      </c>
      <c r="AF18" s="47" t="n"/>
      <c r="AG18" s="43">
        <f>IF($D18="Forecast",IFERROR(K18/AF18-1,""),"")</f>
        <v/>
      </c>
    </row>
    <row r="19">
      <c r="A19" s="8" t="n">
        <v>45778</v>
      </c>
      <c r="B19" s="26">
        <f>YEAR(A19)</f>
        <v/>
      </c>
      <c r="C19" s="26">
        <f>MONTH(A19)</f>
        <v/>
      </c>
      <c r="D19">
        <f>IF(A19&lt;=LastActual,"Actual","Forecast")</f>
        <v/>
      </c>
      <c r="E19" s="24">
        <f>IF($D19="Actual",R19,W19)</f>
        <v/>
      </c>
      <c r="F19" s="27">
        <f>IF($D19="Actual",S19,Cases_Forecast!AO12)</f>
        <v/>
      </c>
      <c r="G19" s="9">
        <f>IF($D19="Actual",T19,IFERROR(H19/AE19,0))</f>
        <v/>
      </c>
      <c r="H19" s="24">
        <f>IF($D19="Actual",U19,J19-I19)</f>
        <v/>
      </c>
      <c r="I19" s="24">
        <f>IF($D19="Actual",V19,IFERROR(J19*AD19,0))</f>
        <v/>
      </c>
      <c r="J19" s="24">
        <f>IF($D19="Actual",U19+V19,E19*X19)</f>
        <v/>
      </c>
      <c r="K19" s="28">
        <f>IFERROR(F19/G19,0)</f>
        <v/>
      </c>
      <c r="L19" s="29">
        <f>IFERROR(H19/G19,0)</f>
        <v/>
      </c>
      <c r="M19" s="30">
        <f>IFERROR(J19/F19,0)</f>
        <v/>
      </c>
      <c r="N19" s="10">
        <f>IFERROR(J19/E19,0)</f>
        <v/>
      </c>
      <c r="O19" s="10">
        <f>IFERROR(I19/J19,0)</f>
        <v/>
      </c>
      <c r="R19" s="42">
        <f>IF($D19="Actual",SUMIFS(Data_Actuals!$C$2:$C$5000,Data_Actuals!$A$2:$A$5000,$A19,Data_Actuals!$B$2:$B$5000,$B$2),"")</f>
        <v/>
      </c>
      <c r="S19" s="42">
        <f>IF($D19="Actual",SUMIFS(Data_Actuals!$D$2:$D$5000,Data_Actuals!$A$2:$A$5000,$A19,Data_Actuals!$B$2:$B$5000,$B$2),"")</f>
        <v/>
      </c>
      <c r="T19" s="42">
        <f>IF($D19="Actual",SUMIFS(Data_Actuals!$E$2:$E$5000,Data_Actuals!$A$2:$A$5000,$A19,Data_Actuals!$B$2:$B$5000,$B$2),"")</f>
        <v/>
      </c>
      <c r="U19" s="42">
        <f>IF($D19="Actual",SUMIFS(Data_Actuals!$F$2:$F$5000,Data_Actuals!$A$2:$A$5000,$A19,Data_Actuals!$B$2:$B$5000,$B$2),"")</f>
        <v/>
      </c>
      <c r="V19" s="42">
        <f>IF($D19="Actual",SUMIFS(Data_Actuals!$G$2:$G$5000,Data_Actuals!$A$2:$A$5000,$A19,Data_Actuals!$B$2:$B$5000,$B$2),"")</f>
        <v/>
      </c>
      <c r="W19" s="42">
        <f>SUMIFS(Plan_Inputs!$C$2:$C$5000,Plan_Inputs!$A$2:$A$5000,$A19,Plan_Inputs!$B$2:$B$5000,$B$2)</f>
        <v/>
      </c>
      <c r="X19" s="43">
        <f>SUMIFS(Plan_Inputs!$D$2:$D$5000,Plan_Inputs!$A$2:$A$5000,$A19,Plan_Inputs!$B$2:$B$5000,$B$2)</f>
        <v/>
      </c>
      <c r="Y19" s="42">
        <f>E19</f>
        <v/>
      </c>
      <c r="Z19" s="44">
        <f>INDEX(Calendar!$H$5:$L$52,MATCH($A19,Calendar!$A$5:$A$52,0),MATCH($D$2,Calendar!$H$4:$L$4,0))</f>
        <v/>
      </c>
      <c r="AA19" s="44">
        <f>INDEX(Calendar!$M$5:$M$52,MATCH($A19,Calendar!$A$5:$A$52,0))</f>
        <v/>
      </c>
      <c r="AB19" s="45">
        <f>IF($D19="Actual",IFERROR(S19/Y19,""),"")</f>
        <v/>
      </c>
      <c r="AC19" s="46">
        <f>IF($D19="Actual",IFERROR(U19/T19/Z19/AA19,""),"")</f>
        <v/>
      </c>
      <c r="AD19" s="43">
        <f>IF($D19="Actual",IFERROR(V19/(U19+V19),""),"")</f>
        <v/>
      </c>
      <c r="AE19" s="46">
        <f>IFERROR(AC19*Z19*AA19,"")</f>
        <v/>
      </c>
      <c r="AF19" s="47" t="n"/>
      <c r="AG19" s="43">
        <f>IF($D19="Forecast",IFERROR(K19/AF19-1,""),"")</f>
        <v/>
      </c>
    </row>
    <row r="20">
      <c r="A20" s="8" t="n">
        <v>45809</v>
      </c>
      <c r="B20" s="26">
        <f>YEAR(A20)</f>
        <v/>
      </c>
      <c r="C20" s="26">
        <f>MONTH(A20)</f>
        <v/>
      </c>
      <c r="D20">
        <f>IF(A20&lt;=LastActual,"Actual","Forecast")</f>
        <v/>
      </c>
      <c r="E20" s="24">
        <f>IF($D20="Actual",R20,W20)</f>
        <v/>
      </c>
      <c r="F20" s="27">
        <f>IF($D20="Actual",S20,Cases_Forecast!AO13)</f>
        <v/>
      </c>
      <c r="G20" s="9">
        <f>IF($D20="Actual",T20,IFERROR(H20/AE20,0))</f>
        <v/>
      </c>
      <c r="H20" s="24">
        <f>IF($D20="Actual",U20,J20-I20)</f>
        <v/>
      </c>
      <c r="I20" s="24">
        <f>IF($D20="Actual",V20,IFERROR(J20*AD20,0))</f>
        <v/>
      </c>
      <c r="J20" s="24">
        <f>IF($D20="Actual",U20+V20,E20*X20)</f>
        <v/>
      </c>
      <c r="K20" s="28">
        <f>IFERROR(F20/G20,0)</f>
        <v/>
      </c>
      <c r="L20" s="29">
        <f>IFERROR(H20/G20,0)</f>
        <v/>
      </c>
      <c r="M20" s="30">
        <f>IFERROR(J20/F20,0)</f>
        <v/>
      </c>
      <c r="N20" s="10">
        <f>IFERROR(J20/E20,0)</f>
        <v/>
      </c>
      <c r="O20" s="10">
        <f>IFERROR(I20/J20,0)</f>
        <v/>
      </c>
      <c r="R20" s="42">
        <f>IF($D20="Actual",SUMIFS(Data_Actuals!$C$2:$C$5000,Data_Actuals!$A$2:$A$5000,$A20,Data_Actuals!$B$2:$B$5000,$B$2),"")</f>
        <v/>
      </c>
      <c r="S20" s="42">
        <f>IF($D20="Actual",SUMIFS(Data_Actuals!$D$2:$D$5000,Data_Actuals!$A$2:$A$5000,$A20,Data_Actuals!$B$2:$B$5000,$B$2),"")</f>
        <v/>
      </c>
      <c r="T20" s="42">
        <f>IF($D20="Actual",SUMIFS(Data_Actuals!$E$2:$E$5000,Data_Actuals!$A$2:$A$5000,$A20,Data_Actuals!$B$2:$B$5000,$B$2),"")</f>
        <v/>
      </c>
      <c r="U20" s="42">
        <f>IF($D20="Actual",SUMIFS(Data_Actuals!$F$2:$F$5000,Data_Actuals!$A$2:$A$5000,$A20,Data_Actuals!$B$2:$B$5000,$B$2),"")</f>
        <v/>
      </c>
      <c r="V20" s="42">
        <f>IF($D20="Actual",SUMIFS(Data_Actuals!$G$2:$G$5000,Data_Actuals!$A$2:$A$5000,$A20,Data_Actuals!$B$2:$B$5000,$B$2),"")</f>
        <v/>
      </c>
      <c r="W20" s="42">
        <f>SUMIFS(Plan_Inputs!$C$2:$C$5000,Plan_Inputs!$A$2:$A$5000,$A20,Plan_Inputs!$B$2:$B$5000,$B$2)</f>
        <v/>
      </c>
      <c r="X20" s="43">
        <f>SUMIFS(Plan_Inputs!$D$2:$D$5000,Plan_Inputs!$A$2:$A$5000,$A20,Plan_Inputs!$B$2:$B$5000,$B$2)</f>
        <v/>
      </c>
      <c r="Y20" s="42">
        <f>E20</f>
        <v/>
      </c>
      <c r="Z20" s="44">
        <f>INDEX(Calendar!$H$5:$L$52,MATCH($A20,Calendar!$A$5:$A$52,0),MATCH($D$2,Calendar!$H$4:$L$4,0))</f>
        <v/>
      </c>
      <c r="AA20" s="44">
        <f>INDEX(Calendar!$M$5:$M$52,MATCH($A20,Calendar!$A$5:$A$52,0))</f>
        <v/>
      </c>
      <c r="AB20" s="45">
        <f>IF($D20="Actual",IFERROR(S20/Y20,""),"")</f>
        <v/>
      </c>
      <c r="AC20" s="46">
        <f>IF($D20="Actual",IFERROR(U20/T20/Z20/AA20,""),"")</f>
        <v/>
      </c>
      <c r="AD20" s="43">
        <f>IF($D20="Actual",IFERROR(V20/(U20+V20),""),"")</f>
        <v/>
      </c>
      <c r="AE20" s="46">
        <f>IFERROR(AC20*Z20*AA20,"")</f>
        <v/>
      </c>
      <c r="AF20" s="47" t="n"/>
      <c r="AG20" s="43">
        <f>IF($D20="Forecast",IFERROR(K20/AF20-1,""),"")</f>
        <v/>
      </c>
    </row>
    <row r="21">
      <c r="A21" s="8" t="n">
        <v>45839</v>
      </c>
      <c r="B21" s="26">
        <f>YEAR(A21)</f>
        <v/>
      </c>
      <c r="C21" s="26">
        <f>MONTH(A21)</f>
        <v/>
      </c>
      <c r="D21">
        <f>IF(A21&lt;=LastActual,"Actual","Forecast")</f>
        <v/>
      </c>
      <c r="E21" s="24">
        <f>IF($D21="Actual",R21,W21)</f>
        <v/>
      </c>
      <c r="F21" s="27">
        <f>IF($D21="Actual",S21,Cases_Forecast!AO14)</f>
        <v/>
      </c>
      <c r="G21" s="9">
        <f>IF($D21="Actual",T21,IFERROR(H21/AE21,0))</f>
        <v/>
      </c>
      <c r="H21" s="24">
        <f>IF($D21="Actual",U21,J21-I21)</f>
        <v/>
      </c>
      <c r="I21" s="24">
        <f>IF($D21="Actual",V21,IFERROR(J21*AD21,0))</f>
        <v/>
      </c>
      <c r="J21" s="24">
        <f>IF($D21="Actual",U21+V21,E21*X21)</f>
        <v/>
      </c>
      <c r="K21" s="28">
        <f>IFERROR(F21/G21,0)</f>
        <v/>
      </c>
      <c r="L21" s="29">
        <f>IFERROR(H21/G21,0)</f>
        <v/>
      </c>
      <c r="M21" s="30">
        <f>IFERROR(J21/F21,0)</f>
        <v/>
      </c>
      <c r="N21" s="10">
        <f>IFERROR(J21/E21,0)</f>
        <v/>
      </c>
      <c r="O21" s="10">
        <f>IFERROR(I21/J21,0)</f>
        <v/>
      </c>
      <c r="R21" s="42">
        <f>IF($D21="Actual",SUMIFS(Data_Actuals!$C$2:$C$5000,Data_Actuals!$A$2:$A$5000,$A21,Data_Actuals!$B$2:$B$5000,$B$2),"")</f>
        <v/>
      </c>
      <c r="S21" s="42">
        <f>IF($D21="Actual",SUMIFS(Data_Actuals!$D$2:$D$5000,Data_Actuals!$A$2:$A$5000,$A21,Data_Actuals!$B$2:$B$5000,$B$2),"")</f>
        <v/>
      </c>
      <c r="T21" s="42">
        <f>IF($D21="Actual",SUMIFS(Data_Actuals!$E$2:$E$5000,Data_Actuals!$A$2:$A$5000,$A21,Data_Actuals!$B$2:$B$5000,$B$2),"")</f>
        <v/>
      </c>
      <c r="U21" s="42">
        <f>IF($D21="Actual",SUMIFS(Data_Actuals!$F$2:$F$5000,Data_Actuals!$A$2:$A$5000,$A21,Data_Actuals!$B$2:$B$5000,$B$2),"")</f>
        <v/>
      </c>
      <c r="V21" s="42">
        <f>IF($D21="Actual",SUMIFS(Data_Actuals!$G$2:$G$5000,Data_Actuals!$A$2:$A$5000,$A21,Data_Actuals!$B$2:$B$5000,$B$2),"")</f>
        <v/>
      </c>
      <c r="W21" s="42">
        <f>SUMIFS(Plan_Inputs!$C$2:$C$5000,Plan_Inputs!$A$2:$A$5000,$A21,Plan_Inputs!$B$2:$B$5000,$B$2)</f>
        <v/>
      </c>
      <c r="X21" s="43">
        <f>SUMIFS(Plan_Inputs!$D$2:$D$5000,Plan_Inputs!$A$2:$A$5000,$A21,Plan_Inputs!$B$2:$B$5000,$B$2)</f>
        <v/>
      </c>
      <c r="Y21" s="42">
        <f>E21</f>
        <v/>
      </c>
      <c r="Z21" s="44">
        <f>INDEX(Calendar!$H$5:$L$52,MATCH($A21,Calendar!$A$5:$A$52,0),MATCH($D$2,Calendar!$H$4:$L$4,0))</f>
        <v/>
      </c>
      <c r="AA21" s="44">
        <f>INDEX(Calendar!$M$5:$M$52,MATCH($A21,Calendar!$A$5:$A$52,0))</f>
        <v/>
      </c>
      <c r="AB21" s="45">
        <f>IF($D21="Actual",IFERROR(S21/Y21,""),"")</f>
        <v/>
      </c>
      <c r="AC21" s="46">
        <f>IF($D21="Actual",IFERROR(U21/T21/Z21/AA21,""),"")</f>
        <v/>
      </c>
      <c r="AD21" s="43">
        <f>IF($D21="Actual",IFERROR(V21/(U21+V21),""),"")</f>
        <v/>
      </c>
      <c r="AE21" s="46">
        <f>IFERROR(AC21*Z21*AA21,"")</f>
        <v/>
      </c>
      <c r="AF21" s="47" t="n"/>
      <c r="AG21" s="43">
        <f>IF($D21="Forecast",IFERROR(K21/AF21-1,""),"")</f>
        <v/>
      </c>
    </row>
    <row r="22">
      <c r="A22" s="8" t="n">
        <v>45870</v>
      </c>
      <c r="B22" s="26">
        <f>YEAR(A22)</f>
        <v/>
      </c>
      <c r="C22" s="26">
        <f>MONTH(A22)</f>
        <v/>
      </c>
      <c r="D22">
        <f>IF(A22&lt;=LastActual,"Actual","Forecast")</f>
        <v/>
      </c>
      <c r="E22" s="24">
        <f>IF($D22="Actual",R22,W22)</f>
        <v/>
      </c>
      <c r="F22" s="27">
        <f>IF($D22="Actual",S22,Cases_Forecast!AO15)</f>
        <v/>
      </c>
      <c r="G22" s="9">
        <f>IF($D22="Actual",T22,IFERROR(H22/AE22,0))</f>
        <v/>
      </c>
      <c r="H22" s="24">
        <f>IF($D22="Actual",U22,J22-I22)</f>
        <v/>
      </c>
      <c r="I22" s="24">
        <f>IF($D22="Actual",V22,IFERROR(J22*AD22,0))</f>
        <v/>
      </c>
      <c r="J22" s="24">
        <f>IF($D22="Actual",U22+V22,E22*X22)</f>
        <v/>
      </c>
      <c r="K22" s="28">
        <f>IFERROR(F22/G22,0)</f>
        <v/>
      </c>
      <c r="L22" s="29">
        <f>IFERROR(H22/G22,0)</f>
        <v/>
      </c>
      <c r="M22" s="30">
        <f>IFERROR(J22/F22,0)</f>
        <v/>
      </c>
      <c r="N22" s="10">
        <f>IFERROR(J22/E22,0)</f>
        <v/>
      </c>
      <c r="O22" s="10">
        <f>IFERROR(I22/J22,0)</f>
        <v/>
      </c>
      <c r="R22" s="42">
        <f>IF($D22="Actual",SUMIFS(Data_Actuals!$C$2:$C$5000,Data_Actuals!$A$2:$A$5000,$A22,Data_Actuals!$B$2:$B$5000,$B$2),"")</f>
        <v/>
      </c>
      <c r="S22" s="42">
        <f>IF($D22="Actual",SUMIFS(Data_Actuals!$D$2:$D$5000,Data_Actuals!$A$2:$A$5000,$A22,Data_Actuals!$B$2:$B$5000,$B$2),"")</f>
        <v/>
      </c>
      <c r="T22" s="42">
        <f>IF($D22="Actual",SUMIFS(Data_Actuals!$E$2:$E$5000,Data_Actuals!$A$2:$A$5000,$A22,Data_Actuals!$B$2:$B$5000,$B$2),"")</f>
        <v/>
      </c>
      <c r="U22" s="42">
        <f>IF($D22="Actual",SUMIFS(Data_Actuals!$F$2:$F$5000,Data_Actuals!$A$2:$A$5000,$A22,Data_Actuals!$B$2:$B$5000,$B$2),"")</f>
        <v/>
      </c>
      <c r="V22" s="42">
        <f>IF($D22="Actual",SUMIFS(Data_Actuals!$G$2:$G$5000,Data_Actuals!$A$2:$A$5000,$A22,Data_Actuals!$B$2:$B$5000,$B$2),"")</f>
        <v/>
      </c>
      <c r="W22" s="42">
        <f>SUMIFS(Plan_Inputs!$C$2:$C$5000,Plan_Inputs!$A$2:$A$5000,$A22,Plan_Inputs!$B$2:$B$5000,$B$2)</f>
        <v/>
      </c>
      <c r="X22" s="43">
        <f>SUMIFS(Plan_Inputs!$D$2:$D$5000,Plan_Inputs!$A$2:$A$5000,$A22,Plan_Inputs!$B$2:$B$5000,$B$2)</f>
        <v/>
      </c>
      <c r="Y22" s="42">
        <f>E22</f>
        <v/>
      </c>
      <c r="Z22" s="44">
        <f>INDEX(Calendar!$H$5:$L$52,MATCH($A22,Calendar!$A$5:$A$52,0),MATCH($D$2,Calendar!$H$4:$L$4,0))</f>
        <v/>
      </c>
      <c r="AA22" s="44">
        <f>INDEX(Calendar!$M$5:$M$52,MATCH($A22,Calendar!$A$5:$A$52,0))</f>
        <v/>
      </c>
      <c r="AB22" s="45">
        <f>IF($D22="Actual",IFERROR(S22/Y22,""),"")</f>
        <v/>
      </c>
      <c r="AC22" s="46">
        <f>IF($D22="Actual",IFERROR(U22/T22/Z22/AA22,""),"")</f>
        <v/>
      </c>
      <c r="AD22" s="43">
        <f>IF($D22="Actual",IFERROR(V22/(U22+V22),""),"")</f>
        <v/>
      </c>
      <c r="AE22" s="46">
        <f>IFERROR(AC22*Z22*AA22,"")</f>
        <v/>
      </c>
      <c r="AF22" s="47" t="n"/>
      <c r="AG22" s="43">
        <f>IF($D22="Forecast",IFERROR(K22/AF22-1,""),"")</f>
        <v/>
      </c>
    </row>
    <row r="23">
      <c r="A23" s="8" t="n">
        <v>45901</v>
      </c>
      <c r="B23" s="26">
        <f>YEAR(A23)</f>
        <v/>
      </c>
      <c r="C23" s="26">
        <f>MONTH(A23)</f>
        <v/>
      </c>
      <c r="D23">
        <f>IF(A23&lt;=LastActual,"Actual","Forecast")</f>
        <v/>
      </c>
      <c r="E23" s="24">
        <f>IF($D23="Actual",R23,W23)</f>
        <v/>
      </c>
      <c r="F23" s="27">
        <f>IF($D23="Actual",S23,Cases_Forecast!AO16)</f>
        <v/>
      </c>
      <c r="G23" s="9">
        <f>IF($D23="Actual",T23,IFERROR(H23/AE23,0))</f>
        <v/>
      </c>
      <c r="H23" s="24">
        <f>IF($D23="Actual",U23,J23-I23)</f>
        <v/>
      </c>
      <c r="I23" s="24">
        <f>IF($D23="Actual",V23,IFERROR(J23*AD23,0))</f>
        <v/>
      </c>
      <c r="J23" s="24">
        <f>IF($D23="Actual",U23+V23,E23*X23)</f>
        <v/>
      </c>
      <c r="K23" s="28">
        <f>IFERROR(F23/G23,0)</f>
        <v/>
      </c>
      <c r="L23" s="29">
        <f>IFERROR(H23/G23,0)</f>
        <v/>
      </c>
      <c r="M23" s="30">
        <f>IFERROR(J23/F23,0)</f>
        <v/>
      </c>
      <c r="N23" s="10">
        <f>IFERROR(J23/E23,0)</f>
        <v/>
      </c>
      <c r="O23" s="10">
        <f>IFERROR(I23/J23,0)</f>
        <v/>
      </c>
      <c r="R23" s="42">
        <f>IF($D23="Actual",SUMIFS(Data_Actuals!$C$2:$C$5000,Data_Actuals!$A$2:$A$5000,$A23,Data_Actuals!$B$2:$B$5000,$B$2),"")</f>
        <v/>
      </c>
      <c r="S23" s="42">
        <f>IF($D23="Actual",SUMIFS(Data_Actuals!$D$2:$D$5000,Data_Actuals!$A$2:$A$5000,$A23,Data_Actuals!$B$2:$B$5000,$B$2),"")</f>
        <v/>
      </c>
      <c r="T23" s="42">
        <f>IF($D23="Actual",SUMIFS(Data_Actuals!$E$2:$E$5000,Data_Actuals!$A$2:$A$5000,$A23,Data_Actuals!$B$2:$B$5000,$B$2),"")</f>
        <v/>
      </c>
      <c r="U23" s="42">
        <f>IF($D23="Actual",SUMIFS(Data_Actuals!$F$2:$F$5000,Data_Actuals!$A$2:$A$5000,$A23,Data_Actuals!$B$2:$B$5000,$B$2),"")</f>
        <v/>
      </c>
      <c r="V23" s="42">
        <f>IF($D23="Actual",SUMIFS(Data_Actuals!$G$2:$G$5000,Data_Actuals!$A$2:$A$5000,$A23,Data_Actuals!$B$2:$B$5000,$B$2),"")</f>
        <v/>
      </c>
      <c r="W23" s="42">
        <f>SUMIFS(Plan_Inputs!$C$2:$C$5000,Plan_Inputs!$A$2:$A$5000,$A23,Plan_Inputs!$B$2:$B$5000,$B$2)</f>
        <v/>
      </c>
      <c r="X23" s="43">
        <f>SUMIFS(Plan_Inputs!$D$2:$D$5000,Plan_Inputs!$A$2:$A$5000,$A23,Plan_Inputs!$B$2:$B$5000,$B$2)</f>
        <v/>
      </c>
      <c r="Y23" s="42">
        <f>E23</f>
        <v/>
      </c>
      <c r="Z23" s="44">
        <f>INDEX(Calendar!$H$5:$L$52,MATCH($A23,Calendar!$A$5:$A$52,0),MATCH($D$2,Calendar!$H$4:$L$4,0))</f>
        <v/>
      </c>
      <c r="AA23" s="44">
        <f>INDEX(Calendar!$M$5:$M$52,MATCH($A23,Calendar!$A$5:$A$52,0))</f>
        <v/>
      </c>
      <c r="AB23" s="45">
        <f>IF($D23="Actual",IFERROR(S23/Y23,""),"")</f>
        <v/>
      </c>
      <c r="AC23" s="46">
        <f>IF($D23="Actual",IFERROR(U23/T23/Z23/AA23,""),"")</f>
        <v/>
      </c>
      <c r="AD23" s="43">
        <f>IF($D23="Actual",IFERROR(V23/(U23+V23),""),"")</f>
        <v/>
      </c>
      <c r="AE23" s="46">
        <f>IFERROR(AC23*Z23*AA23,"")</f>
        <v/>
      </c>
      <c r="AF23" s="47" t="n"/>
      <c r="AG23" s="43">
        <f>IF($D23="Forecast",IFERROR(K23/AF23-1,""),"")</f>
        <v/>
      </c>
    </row>
    <row r="24">
      <c r="A24" s="8" t="n">
        <v>45931</v>
      </c>
      <c r="B24" s="26">
        <f>YEAR(A24)</f>
        <v/>
      </c>
      <c r="C24" s="26">
        <f>MONTH(A24)</f>
        <v/>
      </c>
      <c r="D24">
        <f>IF(A24&lt;=LastActual,"Actual","Forecast")</f>
        <v/>
      </c>
      <c r="E24" s="24">
        <f>IF($D24="Actual",R24,W24)</f>
        <v/>
      </c>
      <c r="F24" s="27">
        <f>IF($D24="Actual",S24,Cases_Forecast!AO17)</f>
        <v/>
      </c>
      <c r="G24" s="9">
        <f>IF($D24="Actual",T24,IFERROR(H24/AE24,0))</f>
        <v/>
      </c>
      <c r="H24" s="24">
        <f>IF($D24="Actual",U24,J24-I24)</f>
        <v/>
      </c>
      <c r="I24" s="24">
        <f>IF($D24="Actual",V24,IFERROR(J24*AD24,0))</f>
        <v/>
      </c>
      <c r="J24" s="24">
        <f>IF($D24="Actual",U24+V24,E24*X24)</f>
        <v/>
      </c>
      <c r="K24" s="28">
        <f>IFERROR(F24/G24,0)</f>
        <v/>
      </c>
      <c r="L24" s="29">
        <f>IFERROR(H24/G24,0)</f>
        <v/>
      </c>
      <c r="M24" s="30">
        <f>IFERROR(J24/F24,0)</f>
        <v/>
      </c>
      <c r="N24" s="10">
        <f>IFERROR(J24/E24,0)</f>
        <v/>
      </c>
      <c r="O24" s="10">
        <f>IFERROR(I24/J24,0)</f>
        <v/>
      </c>
      <c r="R24" s="42">
        <f>IF($D24="Actual",SUMIFS(Data_Actuals!$C$2:$C$5000,Data_Actuals!$A$2:$A$5000,$A24,Data_Actuals!$B$2:$B$5000,$B$2),"")</f>
        <v/>
      </c>
      <c r="S24" s="42">
        <f>IF($D24="Actual",SUMIFS(Data_Actuals!$D$2:$D$5000,Data_Actuals!$A$2:$A$5000,$A24,Data_Actuals!$B$2:$B$5000,$B$2),"")</f>
        <v/>
      </c>
      <c r="T24" s="42">
        <f>IF($D24="Actual",SUMIFS(Data_Actuals!$E$2:$E$5000,Data_Actuals!$A$2:$A$5000,$A24,Data_Actuals!$B$2:$B$5000,$B$2),"")</f>
        <v/>
      </c>
      <c r="U24" s="42">
        <f>IF($D24="Actual",SUMIFS(Data_Actuals!$F$2:$F$5000,Data_Actuals!$A$2:$A$5000,$A24,Data_Actuals!$B$2:$B$5000,$B$2),"")</f>
        <v/>
      </c>
      <c r="V24" s="42">
        <f>IF($D24="Actual",SUMIFS(Data_Actuals!$G$2:$G$5000,Data_Actuals!$A$2:$A$5000,$A24,Data_Actuals!$B$2:$B$5000,$B$2),"")</f>
        <v/>
      </c>
      <c r="W24" s="42">
        <f>SUMIFS(Plan_Inputs!$C$2:$C$5000,Plan_Inputs!$A$2:$A$5000,$A24,Plan_Inputs!$B$2:$B$5000,$B$2)</f>
        <v/>
      </c>
      <c r="X24" s="43">
        <f>SUMIFS(Plan_Inputs!$D$2:$D$5000,Plan_Inputs!$A$2:$A$5000,$A24,Plan_Inputs!$B$2:$B$5000,$B$2)</f>
        <v/>
      </c>
      <c r="Y24" s="42">
        <f>E24</f>
        <v/>
      </c>
      <c r="Z24" s="44">
        <f>INDEX(Calendar!$H$5:$L$52,MATCH($A24,Calendar!$A$5:$A$52,0),MATCH($D$2,Calendar!$H$4:$L$4,0))</f>
        <v/>
      </c>
      <c r="AA24" s="44">
        <f>INDEX(Calendar!$M$5:$M$52,MATCH($A24,Calendar!$A$5:$A$52,0))</f>
        <v/>
      </c>
      <c r="AB24" s="45">
        <f>IF($D24="Actual",IFERROR(S24/Y24,""),"")</f>
        <v/>
      </c>
      <c r="AC24" s="46">
        <f>IF($D24="Actual",IFERROR(U24/T24/Z24/AA24,""),"")</f>
        <v/>
      </c>
      <c r="AD24" s="43">
        <f>IF($D24="Actual",IFERROR(V24/(U24+V24),""),"")</f>
        <v/>
      </c>
      <c r="AE24" s="46">
        <f>IFERROR(AC24*Z24*AA24,"")</f>
        <v/>
      </c>
      <c r="AF24" s="47" t="n"/>
      <c r="AG24" s="43">
        <f>IF($D24="Forecast",IFERROR(K24/AF24-1,""),"")</f>
        <v/>
      </c>
    </row>
    <row r="25">
      <c r="A25" s="8" t="n">
        <v>45962</v>
      </c>
      <c r="B25" s="26">
        <f>YEAR(A25)</f>
        <v/>
      </c>
      <c r="C25" s="26">
        <f>MONTH(A25)</f>
        <v/>
      </c>
      <c r="D25">
        <f>IF(A25&lt;=LastActual,"Actual","Forecast")</f>
        <v/>
      </c>
      <c r="E25" s="24">
        <f>IF($D25="Actual",R25,W25)</f>
        <v/>
      </c>
      <c r="F25" s="27">
        <f>IF($D25="Actual",S25,Cases_Forecast!AO18)</f>
        <v/>
      </c>
      <c r="G25" s="9">
        <f>IF($D25="Actual",T25,IFERROR(H25/AE25,0))</f>
        <v/>
      </c>
      <c r="H25" s="24">
        <f>IF($D25="Actual",U25,J25-I25)</f>
        <v/>
      </c>
      <c r="I25" s="24">
        <f>IF($D25="Actual",V25,IFERROR(J25*AD25,0))</f>
        <v/>
      </c>
      <c r="J25" s="24">
        <f>IF($D25="Actual",U25+V25,E25*X25)</f>
        <v/>
      </c>
      <c r="K25" s="28">
        <f>IFERROR(F25/G25,0)</f>
        <v/>
      </c>
      <c r="L25" s="29">
        <f>IFERROR(H25/G25,0)</f>
        <v/>
      </c>
      <c r="M25" s="30">
        <f>IFERROR(J25/F25,0)</f>
        <v/>
      </c>
      <c r="N25" s="10">
        <f>IFERROR(J25/E25,0)</f>
        <v/>
      </c>
      <c r="O25" s="10">
        <f>IFERROR(I25/J25,0)</f>
        <v/>
      </c>
      <c r="R25" s="42">
        <f>IF($D25="Actual",SUMIFS(Data_Actuals!$C$2:$C$5000,Data_Actuals!$A$2:$A$5000,$A25,Data_Actuals!$B$2:$B$5000,$B$2),"")</f>
        <v/>
      </c>
      <c r="S25" s="42">
        <f>IF($D25="Actual",SUMIFS(Data_Actuals!$D$2:$D$5000,Data_Actuals!$A$2:$A$5000,$A25,Data_Actuals!$B$2:$B$5000,$B$2),"")</f>
        <v/>
      </c>
      <c r="T25" s="42">
        <f>IF($D25="Actual",SUMIFS(Data_Actuals!$E$2:$E$5000,Data_Actuals!$A$2:$A$5000,$A25,Data_Actuals!$B$2:$B$5000,$B$2),"")</f>
        <v/>
      </c>
      <c r="U25" s="42">
        <f>IF($D25="Actual",SUMIFS(Data_Actuals!$F$2:$F$5000,Data_Actuals!$A$2:$A$5000,$A25,Data_Actuals!$B$2:$B$5000,$B$2),"")</f>
        <v/>
      </c>
      <c r="V25" s="42">
        <f>IF($D25="Actual",SUMIFS(Data_Actuals!$G$2:$G$5000,Data_Actuals!$A$2:$A$5000,$A25,Data_Actuals!$B$2:$B$5000,$B$2),"")</f>
        <v/>
      </c>
      <c r="W25" s="42">
        <f>SUMIFS(Plan_Inputs!$C$2:$C$5000,Plan_Inputs!$A$2:$A$5000,$A25,Plan_Inputs!$B$2:$B$5000,$B$2)</f>
        <v/>
      </c>
      <c r="X25" s="43">
        <f>SUMIFS(Plan_Inputs!$D$2:$D$5000,Plan_Inputs!$A$2:$A$5000,$A25,Plan_Inputs!$B$2:$B$5000,$B$2)</f>
        <v/>
      </c>
      <c r="Y25" s="42">
        <f>E25</f>
        <v/>
      </c>
      <c r="Z25" s="44">
        <f>INDEX(Calendar!$H$5:$L$52,MATCH($A25,Calendar!$A$5:$A$52,0),MATCH($D$2,Calendar!$H$4:$L$4,0))</f>
        <v/>
      </c>
      <c r="AA25" s="44">
        <f>INDEX(Calendar!$M$5:$M$52,MATCH($A25,Calendar!$A$5:$A$52,0))</f>
        <v/>
      </c>
      <c r="AB25" s="45">
        <f>IF($D25="Actual",IFERROR(S25/Y25,""),"")</f>
        <v/>
      </c>
      <c r="AC25" s="46">
        <f>IF($D25="Actual",IFERROR(U25/T25/Z25/AA25,""),"")</f>
        <v/>
      </c>
      <c r="AD25" s="43">
        <f>IF($D25="Actual",IFERROR(V25/(U25+V25),""),"")</f>
        <v/>
      </c>
      <c r="AE25" s="46">
        <f>IFERROR(AC25*Z25*AA25,"")</f>
        <v/>
      </c>
      <c r="AF25" s="47" t="n"/>
      <c r="AG25" s="43">
        <f>IF($D25="Forecast",IFERROR(K25/AF25-1,""),"")</f>
        <v/>
      </c>
    </row>
    <row r="26">
      <c r="A26" s="31" t="n">
        <v>45992</v>
      </c>
      <c r="B26" s="32">
        <f>YEAR(A26)</f>
        <v/>
      </c>
      <c r="C26" s="32">
        <f>MONTH(A26)</f>
        <v/>
      </c>
      <c r="D26" s="33">
        <f>IF(A26&lt;=LastActual,"Actual","Forecast")</f>
        <v/>
      </c>
      <c r="E26" s="34">
        <f>IF($D26="Actual",R26,W26)</f>
        <v/>
      </c>
      <c r="F26" s="35">
        <f>IF($D26="Actual",S26,Cases_Forecast!AO19)</f>
        <v/>
      </c>
      <c r="G26" s="36">
        <f>IF($D26="Actual",T26,IFERROR(H26/AE26,0))</f>
        <v/>
      </c>
      <c r="H26" s="34">
        <f>IF($D26="Actual",U26,J26-I26)</f>
        <v/>
      </c>
      <c r="I26" s="34">
        <f>IF($D26="Actual",V26,IFERROR(J26*AD26,0))</f>
        <v/>
      </c>
      <c r="J26" s="34">
        <f>IF($D26="Actual",U26+V26,E26*X26)</f>
        <v/>
      </c>
      <c r="K26" s="37">
        <f>IFERROR(F26/G26,0)</f>
        <v/>
      </c>
      <c r="L26" s="38">
        <f>IFERROR(H26/G26,0)</f>
        <v/>
      </c>
      <c r="M26" s="39">
        <f>IFERROR(J26/F26,0)</f>
        <v/>
      </c>
      <c r="N26" s="40">
        <f>IFERROR(J26/E26,0)</f>
        <v/>
      </c>
      <c r="O26" s="40">
        <f>IFERROR(I26/J26,0)</f>
        <v/>
      </c>
      <c r="R26" s="42">
        <f>IF($D26="Actual",SUMIFS(Data_Actuals!$C$2:$C$5000,Data_Actuals!$A$2:$A$5000,$A26,Data_Actuals!$B$2:$B$5000,$B$2),"")</f>
        <v/>
      </c>
      <c r="S26" s="42">
        <f>IF($D26="Actual",SUMIFS(Data_Actuals!$D$2:$D$5000,Data_Actuals!$A$2:$A$5000,$A26,Data_Actuals!$B$2:$B$5000,$B$2),"")</f>
        <v/>
      </c>
      <c r="T26" s="42">
        <f>IF($D26="Actual",SUMIFS(Data_Actuals!$E$2:$E$5000,Data_Actuals!$A$2:$A$5000,$A26,Data_Actuals!$B$2:$B$5000,$B$2),"")</f>
        <v/>
      </c>
      <c r="U26" s="42">
        <f>IF($D26="Actual",SUMIFS(Data_Actuals!$F$2:$F$5000,Data_Actuals!$A$2:$A$5000,$A26,Data_Actuals!$B$2:$B$5000,$B$2),"")</f>
        <v/>
      </c>
      <c r="V26" s="42">
        <f>IF($D26="Actual",SUMIFS(Data_Actuals!$G$2:$G$5000,Data_Actuals!$A$2:$A$5000,$A26,Data_Actuals!$B$2:$B$5000,$B$2),"")</f>
        <v/>
      </c>
      <c r="W26" s="42">
        <f>SUMIFS(Plan_Inputs!$C$2:$C$5000,Plan_Inputs!$A$2:$A$5000,$A26,Plan_Inputs!$B$2:$B$5000,$B$2)</f>
        <v/>
      </c>
      <c r="X26" s="43">
        <f>SUMIFS(Plan_Inputs!$D$2:$D$5000,Plan_Inputs!$A$2:$A$5000,$A26,Plan_Inputs!$B$2:$B$5000,$B$2)</f>
        <v/>
      </c>
      <c r="Y26" s="42">
        <f>E26</f>
        <v/>
      </c>
      <c r="Z26" s="44">
        <f>INDEX(Calendar!$H$5:$L$52,MATCH($A26,Calendar!$A$5:$A$52,0),MATCH($D$2,Calendar!$H$4:$L$4,0))</f>
        <v/>
      </c>
      <c r="AA26" s="44">
        <f>INDEX(Calendar!$M$5:$M$52,MATCH($A26,Calendar!$A$5:$A$52,0))</f>
        <v/>
      </c>
      <c r="AB26" s="45">
        <f>IF($D26="Actual",IFERROR(S26/Y26,""),"")</f>
        <v/>
      </c>
      <c r="AC26" s="46">
        <f>IF($D26="Actual",IFERROR(U26/T26/Z26/AA26,""),"")</f>
        <v/>
      </c>
      <c r="AD26" s="43">
        <f>IF($D26="Actual",IFERROR(V26/(U26+V26),""),"")</f>
        <v/>
      </c>
      <c r="AE26" s="46">
        <f>IFERROR(AC26*Z26*AA26,"")</f>
        <v/>
      </c>
      <c r="AF26" s="47" t="n"/>
      <c r="AG26" s="43">
        <f>IF($D26="Forecast",IFERROR(K26/AF26-1,""),"")</f>
        <v/>
      </c>
    </row>
    <row r="27">
      <c r="A27" s="8" t="n">
        <v>46023</v>
      </c>
      <c r="B27" s="26">
        <f>YEAR(A27)</f>
        <v/>
      </c>
      <c r="C27" s="26">
        <f>MONTH(A27)</f>
        <v/>
      </c>
      <c r="D27">
        <f>IF(A27&lt;=LastActual,"Actual","Forecast")</f>
        <v/>
      </c>
      <c r="E27" s="24">
        <f>IF($D27="Actual",R27,W27)</f>
        <v/>
      </c>
      <c r="F27" s="27">
        <f>IF($D27="Actual",S27,Cases_Forecast!AO20)</f>
        <v/>
      </c>
      <c r="G27" s="9">
        <f>IF($D27="Actual",T27,IFERROR(H27/AE27,0))</f>
        <v/>
      </c>
      <c r="H27" s="24">
        <f>IF($D27="Actual",U27,J27-I27)</f>
        <v/>
      </c>
      <c r="I27" s="24">
        <f>IF($D27="Actual",V27,IFERROR(J27*AD27,0))</f>
        <v/>
      </c>
      <c r="J27" s="24">
        <f>IF($D27="Actual",U27+V27,E27*X27)</f>
        <v/>
      </c>
      <c r="K27" s="28">
        <f>IFERROR(F27/G27,0)</f>
        <v/>
      </c>
      <c r="L27" s="29">
        <f>IFERROR(H27/G27,0)</f>
        <v/>
      </c>
      <c r="M27" s="30">
        <f>IFERROR(J27/F27,0)</f>
        <v/>
      </c>
      <c r="N27" s="10">
        <f>IFERROR(J27/E27,0)</f>
        <v/>
      </c>
      <c r="O27" s="10">
        <f>IFERROR(I27/J27,0)</f>
        <v/>
      </c>
      <c r="R27" s="42">
        <f>IF($D27="Actual",SUMIFS(Data_Actuals!$C$2:$C$5000,Data_Actuals!$A$2:$A$5000,$A27,Data_Actuals!$B$2:$B$5000,$B$2),"")</f>
        <v/>
      </c>
      <c r="S27" s="42">
        <f>IF($D27="Actual",SUMIFS(Data_Actuals!$D$2:$D$5000,Data_Actuals!$A$2:$A$5000,$A27,Data_Actuals!$B$2:$B$5000,$B$2),"")</f>
        <v/>
      </c>
      <c r="T27" s="42">
        <f>IF($D27="Actual",SUMIFS(Data_Actuals!$E$2:$E$5000,Data_Actuals!$A$2:$A$5000,$A27,Data_Actuals!$B$2:$B$5000,$B$2),"")</f>
        <v/>
      </c>
      <c r="U27" s="42">
        <f>IF($D27="Actual",SUMIFS(Data_Actuals!$F$2:$F$5000,Data_Actuals!$A$2:$A$5000,$A27,Data_Actuals!$B$2:$B$5000,$B$2),"")</f>
        <v/>
      </c>
      <c r="V27" s="42">
        <f>IF($D27="Actual",SUMIFS(Data_Actuals!$G$2:$G$5000,Data_Actuals!$A$2:$A$5000,$A27,Data_Actuals!$B$2:$B$5000,$B$2),"")</f>
        <v/>
      </c>
      <c r="W27" s="42">
        <f>SUMIFS(Plan_Inputs!$C$2:$C$5000,Plan_Inputs!$A$2:$A$5000,$A27,Plan_Inputs!$B$2:$B$5000,$B$2)</f>
        <v/>
      </c>
      <c r="X27" s="43">
        <f>SUMIFS(Plan_Inputs!$D$2:$D$5000,Plan_Inputs!$A$2:$A$5000,$A27,Plan_Inputs!$B$2:$B$5000,$B$2)</f>
        <v/>
      </c>
      <c r="Y27" s="42">
        <f>E27</f>
        <v/>
      </c>
      <c r="Z27" s="44">
        <f>INDEX(Calendar!$H$5:$L$52,MATCH($A27,Calendar!$A$5:$A$52,0),MATCH($D$2,Calendar!$H$4:$L$4,0))</f>
        <v/>
      </c>
      <c r="AA27" s="44">
        <f>INDEX(Calendar!$M$5:$M$52,MATCH($A27,Calendar!$A$5:$A$52,0))</f>
        <v/>
      </c>
      <c r="AB27" s="45">
        <f>IF($D27="Actual",IFERROR(S27/Y27,""),AB15)</f>
        <v/>
      </c>
      <c r="AC27" s="46">
        <f>IF($D27="Actual",IFERROR(U27/T27/Z27/AA27,""),AC15)</f>
        <v/>
      </c>
      <c r="AD27" s="43">
        <f>IF($D27="Actual",IFERROR(V27/(U27+V27),""),AD15)</f>
        <v/>
      </c>
      <c r="AE27" s="46">
        <f>IFERROR(AC27*Z27*AA27,"")</f>
        <v/>
      </c>
      <c r="AF27" s="47">
        <f>K15</f>
        <v/>
      </c>
      <c r="AG27" s="43">
        <f>IF($D27="Forecast",IFERROR(K27/AF27-1,""),"")</f>
        <v/>
      </c>
    </row>
    <row r="28">
      <c r="A28" s="8" t="n">
        <v>46054</v>
      </c>
      <c r="B28" s="26">
        <f>YEAR(A28)</f>
        <v/>
      </c>
      <c r="C28" s="26">
        <f>MONTH(A28)</f>
        <v/>
      </c>
      <c r="D28">
        <f>IF(A28&lt;=LastActual,"Actual","Forecast")</f>
        <v/>
      </c>
      <c r="E28" s="24">
        <f>IF($D28="Actual",R28,W28)</f>
        <v/>
      </c>
      <c r="F28" s="27">
        <f>IF($D28="Actual",S28,Cases_Forecast!AO21)</f>
        <v/>
      </c>
      <c r="G28" s="9">
        <f>IF($D28="Actual",T28,IFERROR(H28/AE28,0))</f>
        <v/>
      </c>
      <c r="H28" s="24">
        <f>IF($D28="Actual",U28,J28-I28)</f>
        <v/>
      </c>
      <c r="I28" s="24">
        <f>IF($D28="Actual",V28,IFERROR(J28*AD28,0))</f>
        <v/>
      </c>
      <c r="J28" s="24">
        <f>IF($D28="Actual",U28+V28,E28*X28)</f>
        <v/>
      </c>
      <c r="K28" s="28">
        <f>IFERROR(F28/G28,0)</f>
        <v/>
      </c>
      <c r="L28" s="29">
        <f>IFERROR(H28/G28,0)</f>
        <v/>
      </c>
      <c r="M28" s="30">
        <f>IFERROR(J28/F28,0)</f>
        <v/>
      </c>
      <c r="N28" s="10">
        <f>IFERROR(J28/E28,0)</f>
        <v/>
      </c>
      <c r="O28" s="10">
        <f>IFERROR(I28/J28,0)</f>
        <v/>
      </c>
      <c r="R28" s="42">
        <f>IF($D28="Actual",SUMIFS(Data_Actuals!$C$2:$C$5000,Data_Actuals!$A$2:$A$5000,$A28,Data_Actuals!$B$2:$B$5000,$B$2),"")</f>
        <v/>
      </c>
      <c r="S28" s="42">
        <f>IF($D28="Actual",SUMIFS(Data_Actuals!$D$2:$D$5000,Data_Actuals!$A$2:$A$5000,$A28,Data_Actuals!$B$2:$B$5000,$B$2),"")</f>
        <v/>
      </c>
      <c r="T28" s="42">
        <f>IF($D28="Actual",SUMIFS(Data_Actuals!$E$2:$E$5000,Data_Actuals!$A$2:$A$5000,$A28,Data_Actuals!$B$2:$B$5000,$B$2),"")</f>
        <v/>
      </c>
      <c r="U28" s="42">
        <f>IF($D28="Actual",SUMIFS(Data_Actuals!$F$2:$F$5000,Data_Actuals!$A$2:$A$5000,$A28,Data_Actuals!$B$2:$B$5000,$B$2),"")</f>
        <v/>
      </c>
      <c r="V28" s="42">
        <f>IF($D28="Actual",SUMIFS(Data_Actuals!$G$2:$G$5000,Data_Actuals!$A$2:$A$5000,$A28,Data_Actuals!$B$2:$B$5000,$B$2),"")</f>
        <v/>
      </c>
      <c r="W28" s="42">
        <f>SUMIFS(Plan_Inputs!$C$2:$C$5000,Plan_Inputs!$A$2:$A$5000,$A28,Plan_Inputs!$B$2:$B$5000,$B$2)</f>
        <v/>
      </c>
      <c r="X28" s="43">
        <f>SUMIFS(Plan_Inputs!$D$2:$D$5000,Plan_Inputs!$A$2:$A$5000,$A28,Plan_Inputs!$B$2:$B$5000,$B$2)</f>
        <v/>
      </c>
      <c r="Y28" s="42">
        <f>E28</f>
        <v/>
      </c>
      <c r="Z28" s="44">
        <f>INDEX(Calendar!$H$5:$L$52,MATCH($A28,Calendar!$A$5:$A$52,0),MATCH($D$2,Calendar!$H$4:$L$4,0))</f>
        <v/>
      </c>
      <c r="AA28" s="44">
        <f>INDEX(Calendar!$M$5:$M$52,MATCH($A28,Calendar!$A$5:$A$52,0))</f>
        <v/>
      </c>
      <c r="AB28" s="45">
        <f>IF($D28="Actual",IFERROR(S28/Y28,""),AB16)</f>
        <v/>
      </c>
      <c r="AC28" s="46">
        <f>IF($D28="Actual",IFERROR(U28/T28/Z28/AA28,""),AC16)</f>
        <v/>
      </c>
      <c r="AD28" s="43">
        <f>IF($D28="Actual",IFERROR(V28/(U28+V28),""),AD16)</f>
        <v/>
      </c>
      <c r="AE28" s="46">
        <f>IFERROR(AC28*Z28*AA28,"")</f>
        <v/>
      </c>
      <c r="AF28" s="47">
        <f>K16</f>
        <v/>
      </c>
      <c r="AG28" s="43">
        <f>IF($D28="Forecast",IFERROR(K28/AF28-1,""),"")</f>
        <v/>
      </c>
    </row>
    <row r="29">
      <c r="A29" s="8" t="n">
        <v>46082</v>
      </c>
      <c r="B29" s="26">
        <f>YEAR(A29)</f>
        <v/>
      </c>
      <c r="C29" s="26">
        <f>MONTH(A29)</f>
        <v/>
      </c>
      <c r="D29">
        <f>IF(A29&lt;=LastActual,"Actual","Forecast")</f>
        <v/>
      </c>
      <c r="E29" s="24">
        <f>IF($D29="Actual",R29,W29)</f>
        <v/>
      </c>
      <c r="F29" s="27">
        <f>IF($D29="Actual",S29,Cases_Forecast!AO22)</f>
        <v/>
      </c>
      <c r="G29" s="9">
        <f>IF($D29="Actual",T29,IFERROR(H29/AE29,0))</f>
        <v/>
      </c>
      <c r="H29" s="24">
        <f>IF($D29="Actual",U29,J29-I29)</f>
        <v/>
      </c>
      <c r="I29" s="24">
        <f>IF($D29="Actual",V29,IFERROR(J29*AD29,0))</f>
        <v/>
      </c>
      <c r="J29" s="24">
        <f>IF($D29="Actual",U29+V29,E29*X29)</f>
        <v/>
      </c>
      <c r="K29" s="28">
        <f>IFERROR(F29/G29,0)</f>
        <v/>
      </c>
      <c r="L29" s="29">
        <f>IFERROR(H29/G29,0)</f>
        <v/>
      </c>
      <c r="M29" s="30">
        <f>IFERROR(J29/F29,0)</f>
        <v/>
      </c>
      <c r="N29" s="10">
        <f>IFERROR(J29/E29,0)</f>
        <v/>
      </c>
      <c r="O29" s="10">
        <f>IFERROR(I29/J29,0)</f>
        <v/>
      </c>
      <c r="R29" s="42">
        <f>IF($D29="Actual",SUMIFS(Data_Actuals!$C$2:$C$5000,Data_Actuals!$A$2:$A$5000,$A29,Data_Actuals!$B$2:$B$5000,$B$2),"")</f>
        <v/>
      </c>
      <c r="S29" s="42">
        <f>IF($D29="Actual",SUMIFS(Data_Actuals!$D$2:$D$5000,Data_Actuals!$A$2:$A$5000,$A29,Data_Actuals!$B$2:$B$5000,$B$2),"")</f>
        <v/>
      </c>
      <c r="T29" s="42">
        <f>IF($D29="Actual",SUMIFS(Data_Actuals!$E$2:$E$5000,Data_Actuals!$A$2:$A$5000,$A29,Data_Actuals!$B$2:$B$5000,$B$2),"")</f>
        <v/>
      </c>
      <c r="U29" s="42">
        <f>IF($D29="Actual",SUMIFS(Data_Actuals!$F$2:$F$5000,Data_Actuals!$A$2:$A$5000,$A29,Data_Actuals!$B$2:$B$5000,$B$2),"")</f>
        <v/>
      </c>
      <c r="V29" s="42">
        <f>IF($D29="Actual",SUMIFS(Data_Actuals!$G$2:$G$5000,Data_Actuals!$A$2:$A$5000,$A29,Data_Actuals!$B$2:$B$5000,$B$2),"")</f>
        <v/>
      </c>
      <c r="W29" s="42">
        <f>SUMIFS(Plan_Inputs!$C$2:$C$5000,Plan_Inputs!$A$2:$A$5000,$A29,Plan_Inputs!$B$2:$B$5000,$B$2)</f>
        <v/>
      </c>
      <c r="X29" s="43">
        <f>SUMIFS(Plan_Inputs!$D$2:$D$5000,Plan_Inputs!$A$2:$A$5000,$A29,Plan_Inputs!$B$2:$B$5000,$B$2)</f>
        <v/>
      </c>
      <c r="Y29" s="42">
        <f>E29</f>
        <v/>
      </c>
      <c r="Z29" s="44">
        <f>INDEX(Calendar!$H$5:$L$52,MATCH($A29,Calendar!$A$5:$A$52,0),MATCH($D$2,Calendar!$H$4:$L$4,0))</f>
        <v/>
      </c>
      <c r="AA29" s="44">
        <f>INDEX(Calendar!$M$5:$M$52,MATCH($A29,Calendar!$A$5:$A$52,0))</f>
        <v/>
      </c>
      <c r="AB29" s="45">
        <f>IF($D29="Actual",IFERROR(S29/Y29,""),AB17)</f>
        <v/>
      </c>
      <c r="AC29" s="46">
        <f>IF($D29="Actual",IFERROR(U29/T29/Z29/AA29,""),AC17)</f>
        <v/>
      </c>
      <c r="AD29" s="43">
        <f>IF($D29="Actual",IFERROR(V29/(U29+V29),""),AD17)</f>
        <v/>
      </c>
      <c r="AE29" s="46">
        <f>IFERROR(AC29*Z29*AA29,"")</f>
        <v/>
      </c>
      <c r="AF29" s="47">
        <f>K17</f>
        <v/>
      </c>
      <c r="AG29" s="43">
        <f>IF($D29="Forecast",IFERROR(K29/AF29-1,""),"")</f>
        <v/>
      </c>
    </row>
    <row r="30">
      <c r="A30" s="8" t="n">
        <v>46113</v>
      </c>
      <c r="B30" s="26">
        <f>YEAR(A30)</f>
        <v/>
      </c>
      <c r="C30" s="26">
        <f>MONTH(A30)</f>
        <v/>
      </c>
      <c r="D30">
        <f>IF(A30&lt;=LastActual,"Actual","Forecast")</f>
        <v/>
      </c>
      <c r="E30" s="24">
        <f>IF($D30="Actual",R30,W30)</f>
        <v/>
      </c>
      <c r="F30" s="27">
        <f>IF($D30="Actual",S30,Cases_Forecast!AO23)</f>
        <v/>
      </c>
      <c r="G30" s="9">
        <f>IF($D30="Actual",T30,IFERROR(H30/AE30,0))</f>
        <v/>
      </c>
      <c r="H30" s="24">
        <f>IF($D30="Actual",U30,J30-I30)</f>
        <v/>
      </c>
      <c r="I30" s="24">
        <f>IF($D30="Actual",V30,IFERROR(J30*AD30,0))</f>
        <v/>
      </c>
      <c r="J30" s="24">
        <f>IF($D30="Actual",U30+V30,E30*X30)</f>
        <v/>
      </c>
      <c r="K30" s="28">
        <f>IFERROR(F30/G30,0)</f>
        <v/>
      </c>
      <c r="L30" s="29">
        <f>IFERROR(H30/G30,0)</f>
        <v/>
      </c>
      <c r="M30" s="30">
        <f>IFERROR(J30/F30,0)</f>
        <v/>
      </c>
      <c r="N30" s="10">
        <f>IFERROR(J30/E30,0)</f>
        <v/>
      </c>
      <c r="O30" s="10">
        <f>IFERROR(I30/J30,0)</f>
        <v/>
      </c>
      <c r="R30" s="42">
        <f>IF($D30="Actual",SUMIFS(Data_Actuals!$C$2:$C$5000,Data_Actuals!$A$2:$A$5000,$A30,Data_Actuals!$B$2:$B$5000,$B$2),"")</f>
        <v/>
      </c>
      <c r="S30" s="42">
        <f>IF($D30="Actual",SUMIFS(Data_Actuals!$D$2:$D$5000,Data_Actuals!$A$2:$A$5000,$A30,Data_Actuals!$B$2:$B$5000,$B$2),"")</f>
        <v/>
      </c>
      <c r="T30" s="42">
        <f>IF($D30="Actual",SUMIFS(Data_Actuals!$E$2:$E$5000,Data_Actuals!$A$2:$A$5000,$A30,Data_Actuals!$B$2:$B$5000,$B$2),"")</f>
        <v/>
      </c>
      <c r="U30" s="42">
        <f>IF($D30="Actual",SUMIFS(Data_Actuals!$F$2:$F$5000,Data_Actuals!$A$2:$A$5000,$A30,Data_Actuals!$B$2:$B$5000,$B$2),"")</f>
        <v/>
      </c>
      <c r="V30" s="42">
        <f>IF($D30="Actual",SUMIFS(Data_Actuals!$G$2:$G$5000,Data_Actuals!$A$2:$A$5000,$A30,Data_Actuals!$B$2:$B$5000,$B$2),"")</f>
        <v/>
      </c>
      <c r="W30" s="42">
        <f>SUMIFS(Plan_Inputs!$C$2:$C$5000,Plan_Inputs!$A$2:$A$5000,$A30,Plan_Inputs!$B$2:$B$5000,$B$2)</f>
        <v/>
      </c>
      <c r="X30" s="43">
        <f>SUMIFS(Plan_Inputs!$D$2:$D$5000,Plan_Inputs!$A$2:$A$5000,$A30,Plan_Inputs!$B$2:$B$5000,$B$2)</f>
        <v/>
      </c>
      <c r="Y30" s="42">
        <f>E30</f>
        <v/>
      </c>
      <c r="Z30" s="44">
        <f>INDEX(Calendar!$H$5:$L$52,MATCH($A30,Calendar!$A$5:$A$52,0),MATCH($D$2,Calendar!$H$4:$L$4,0))</f>
        <v/>
      </c>
      <c r="AA30" s="44">
        <f>INDEX(Calendar!$M$5:$M$52,MATCH($A30,Calendar!$A$5:$A$52,0))</f>
        <v/>
      </c>
      <c r="AB30" s="45">
        <f>IF($D30="Actual",IFERROR(S30/Y30,""),AB18)</f>
        <v/>
      </c>
      <c r="AC30" s="46">
        <f>IF($D30="Actual",IFERROR(U30/T30/Z30/AA30,""),AC18)</f>
        <v/>
      </c>
      <c r="AD30" s="43">
        <f>IF($D30="Actual",IFERROR(V30/(U30+V30),""),AD18)</f>
        <v/>
      </c>
      <c r="AE30" s="46">
        <f>IFERROR(AC30*Z30*AA30,"")</f>
        <v/>
      </c>
      <c r="AF30" s="47">
        <f>K18</f>
        <v/>
      </c>
      <c r="AG30" s="43">
        <f>IF($D30="Forecast",IFERROR(K30/AF30-1,""),"")</f>
        <v/>
      </c>
    </row>
    <row r="31">
      <c r="A31" s="8" t="n">
        <v>46143</v>
      </c>
      <c r="B31" s="26">
        <f>YEAR(A31)</f>
        <v/>
      </c>
      <c r="C31" s="26">
        <f>MONTH(A31)</f>
        <v/>
      </c>
      <c r="D31">
        <f>IF(A31&lt;=LastActual,"Actual","Forecast")</f>
        <v/>
      </c>
      <c r="E31" s="24">
        <f>IF($D31="Actual",R31,W31)</f>
        <v/>
      </c>
      <c r="F31" s="27">
        <f>IF($D31="Actual",S31,Cases_Forecast!AO24)</f>
        <v/>
      </c>
      <c r="G31" s="9">
        <f>IF($D31="Actual",T31,IFERROR(H31/AE31,0))</f>
        <v/>
      </c>
      <c r="H31" s="24">
        <f>IF($D31="Actual",U31,J31-I31)</f>
        <v/>
      </c>
      <c r="I31" s="24">
        <f>IF($D31="Actual",V31,IFERROR(J31*AD31,0))</f>
        <v/>
      </c>
      <c r="J31" s="24">
        <f>IF($D31="Actual",U31+V31,E31*X31)</f>
        <v/>
      </c>
      <c r="K31" s="28">
        <f>IFERROR(F31/G31,0)</f>
        <v/>
      </c>
      <c r="L31" s="29">
        <f>IFERROR(H31/G31,0)</f>
        <v/>
      </c>
      <c r="M31" s="30">
        <f>IFERROR(J31/F31,0)</f>
        <v/>
      </c>
      <c r="N31" s="10">
        <f>IFERROR(J31/E31,0)</f>
        <v/>
      </c>
      <c r="O31" s="10">
        <f>IFERROR(I31/J31,0)</f>
        <v/>
      </c>
      <c r="R31" s="42">
        <f>IF($D31="Actual",SUMIFS(Data_Actuals!$C$2:$C$5000,Data_Actuals!$A$2:$A$5000,$A31,Data_Actuals!$B$2:$B$5000,$B$2),"")</f>
        <v/>
      </c>
      <c r="S31" s="42">
        <f>IF($D31="Actual",SUMIFS(Data_Actuals!$D$2:$D$5000,Data_Actuals!$A$2:$A$5000,$A31,Data_Actuals!$B$2:$B$5000,$B$2),"")</f>
        <v/>
      </c>
      <c r="T31" s="42">
        <f>IF($D31="Actual",SUMIFS(Data_Actuals!$E$2:$E$5000,Data_Actuals!$A$2:$A$5000,$A31,Data_Actuals!$B$2:$B$5000,$B$2),"")</f>
        <v/>
      </c>
      <c r="U31" s="42">
        <f>IF($D31="Actual",SUMIFS(Data_Actuals!$F$2:$F$5000,Data_Actuals!$A$2:$A$5000,$A31,Data_Actuals!$B$2:$B$5000,$B$2),"")</f>
        <v/>
      </c>
      <c r="V31" s="42">
        <f>IF($D31="Actual",SUMIFS(Data_Actuals!$G$2:$G$5000,Data_Actuals!$A$2:$A$5000,$A31,Data_Actuals!$B$2:$B$5000,$B$2),"")</f>
        <v/>
      </c>
      <c r="W31" s="42">
        <f>SUMIFS(Plan_Inputs!$C$2:$C$5000,Plan_Inputs!$A$2:$A$5000,$A31,Plan_Inputs!$B$2:$B$5000,$B$2)</f>
        <v/>
      </c>
      <c r="X31" s="43">
        <f>SUMIFS(Plan_Inputs!$D$2:$D$5000,Plan_Inputs!$A$2:$A$5000,$A31,Plan_Inputs!$B$2:$B$5000,$B$2)</f>
        <v/>
      </c>
      <c r="Y31" s="42">
        <f>E31</f>
        <v/>
      </c>
      <c r="Z31" s="44">
        <f>INDEX(Calendar!$H$5:$L$52,MATCH($A31,Calendar!$A$5:$A$52,0),MATCH($D$2,Calendar!$H$4:$L$4,0))</f>
        <v/>
      </c>
      <c r="AA31" s="44">
        <f>INDEX(Calendar!$M$5:$M$52,MATCH($A31,Calendar!$A$5:$A$52,0))</f>
        <v/>
      </c>
      <c r="AB31" s="45">
        <f>IF($D31="Actual",IFERROR(S31/Y31,""),AB19)</f>
        <v/>
      </c>
      <c r="AC31" s="46">
        <f>IF($D31="Actual",IFERROR(U31/T31/Z31/AA31,""),AC19)</f>
        <v/>
      </c>
      <c r="AD31" s="43">
        <f>IF($D31="Actual",IFERROR(V31/(U31+V31),""),AD19)</f>
        <v/>
      </c>
      <c r="AE31" s="46">
        <f>IFERROR(AC31*Z31*AA31,"")</f>
        <v/>
      </c>
      <c r="AF31" s="47">
        <f>K19</f>
        <v/>
      </c>
      <c r="AG31" s="43">
        <f>IF($D31="Forecast",IFERROR(K31/AF31-1,""),"")</f>
        <v/>
      </c>
    </row>
    <row r="32">
      <c r="A32" s="8" t="n">
        <v>46174</v>
      </c>
      <c r="B32" s="26">
        <f>YEAR(A32)</f>
        <v/>
      </c>
      <c r="C32" s="26">
        <f>MONTH(A32)</f>
        <v/>
      </c>
      <c r="D32">
        <f>IF(A32&lt;=LastActual,"Actual","Forecast")</f>
        <v/>
      </c>
      <c r="E32" s="24">
        <f>IF($D32="Actual",R32,W32)</f>
        <v/>
      </c>
      <c r="F32" s="27">
        <f>IF($D32="Actual",S32,Cases_Forecast!AO25)</f>
        <v/>
      </c>
      <c r="G32" s="9">
        <f>IF($D32="Actual",T32,IFERROR(H32/AE32,0))</f>
        <v/>
      </c>
      <c r="H32" s="24">
        <f>IF($D32="Actual",U32,J32-I32)</f>
        <v/>
      </c>
      <c r="I32" s="24">
        <f>IF($D32="Actual",V32,IFERROR(J32*AD32,0))</f>
        <v/>
      </c>
      <c r="J32" s="24">
        <f>IF($D32="Actual",U32+V32,E32*X32)</f>
        <v/>
      </c>
      <c r="K32" s="28">
        <f>IFERROR(F32/G32,0)</f>
        <v/>
      </c>
      <c r="L32" s="29">
        <f>IFERROR(H32/G32,0)</f>
        <v/>
      </c>
      <c r="M32" s="30">
        <f>IFERROR(J32/F32,0)</f>
        <v/>
      </c>
      <c r="N32" s="10">
        <f>IFERROR(J32/E32,0)</f>
        <v/>
      </c>
      <c r="O32" s="10">
        <f>IFERROR(I32/J32,0)</f>
        <v/>
      </c>
      <c r="R32" s="42">
        <f>IF($D32="Actual",SUMIFS(Data_Actuals!$C$2:$C$5000,Data_Actuals!$A$2:$A$5000,$A32,Data_Actuals!$B$2:$B$5000,$B$2),"")</f>
        <v/>
      </c>
      <c r="S32" s="42">
        <f>IF($D32="Actual",SUMIFS(Data_Actuals!$D$2:$D$5000,Data_Actuals!$A$2:$A$5000,$A32,Data_Actuals!$B$2:$B$5000,$B$2),"")</f>
        <v/>
      </c>
      <c r="T32" s="42">
        <f>IF($D32="Actual",SUMIFS(Data_Actuals!$E$2:$E$5000,Data_Actuals!$A$2:$A$5000,$A32,Data_Actuals!$B$2:$B$5000,$B$2),"")</f>
        <v/>
      </c>
      <c r="U32" s="42">
        <f>IF($D32="Actual",SUMIFS(Data_Actuals!$F$2:$F$5000,Data_Actuals!$A$2:$A$5000,$A32,Data_Actuals!$B$2:$B$5000,$B$2),"")</f>
        <v/>
      </c>
      <c r="V32" s="42">
        <f>IF($D32="Actual",SUMIFS(Data_Actuals!$G$2:$G$5000,Data_Actuals!$A$2:$A$5000,$A32,Data_Actuals!$B$2:$B$5000,$B$2),"")</f>
        <v/>
      </c>
      <c r="W32" s="42">
        <f>SUMIFS(Plan_Inputs!$C$2:$C$5000,Plan_Inputs!$A$2:$A$5000,$A32,Plan_Inputs!$B$2:$B$5000,$B$2)</f>
        <v/>
      </c>
      <c r="X32" s="43">
        <f>SUMIFS(Plan_Inputs!$D$2:$D$5000,Plan_Inputs!$A$2:$A$5000,$A32,Plan_Inputs!$B$2:$B$5000,$B$2)</f>
        <v/>
      </c>
      <c r="Y32" s="42">
        <f>E32</f>
        <v/>
      </c>
      <c r="Z32" s="44">
        <f>INDEX(Calendar!$H$5:$L$52,MATCH($A32,Calendar!$A$5:$A$52,0),MATCH($D$2,Calendar!$H$4:$L$4,0))</f>
        <v/>
      </c>
      <c r="AA32" s="44">
        <f>INDEX(Calendar!$M$5:$M$52,MATCH($A32,Calendar!$A$5:$A$52,0))</f>
        <v/>
      </c>
      <c r="AB32" s="45">
        <f>IF($D32="Actual",IFERROR(S32/Y32,""),AB20)</f>
        <v/>
      </c>
      <c r="AC32" s="46">
        <f>IF($D32="Actual",IFERROR(U32/T32/Z32/AA32,""),AC20)</f>
        <v/>
      </c>
      <c r="AD32" s="43">
        <f>IF($D32="Actual",IFERROR(V32/(U32+V32),""),AD20)</f>
        <v/>
      </c>
      <c r="AE32" s="46">
        <f>IFERROR(AC32*Z32*AA32,"")</f>
        <v/>
      </c>
      <c r="AF32" s="47">
        <f>K20</f>
        <v/>
      </c>
      <c r="AG32" s="43">
        <f>IF($D32="Forecast",IFERROR(K32/AF32-1,""),"")</f>
        <v/>
      </c>
    </row>
    <row r="33">
      <c r="A33" s="8" t="n">
        <v>46204</v>
      </c>
      <c r="B33" s="26">
        <f>YEAR(A33)</f>
        <v/>
      </c>
      <c r="C33" s="26">
        <f>MONTH(A33)</f>
        <v/>
      </c>
      <c r="D33">
        <f>IF(A33&lt;=LastActual,"Actual","Forecast")</f>
        <v/>
      </c>
      <c r="E33" s="24">
        <f>IF($D33="Actual",R33,W33)</f>
        <v/>
      </c>
      <c r="F33" s="27">
        <f>IF($D33="Actual",S33,Cases_Forecast!AO26)</f>
        <v/>
      </c>
      <c r="G33" s="9">
        <f>IF($D33="Actual",T33,IFERROR(H33/AE33,0))</f>
        <v/>
      </c>
      <c r="H33" s="24">
        <f>IF($D33="Actual",U33,J33-I33)</f>
        <v/>
      </c>
      <c r="I33" s="24">
        <f>IF($D33="Actual",V33,IFERROR(J33*AD33,0))</f>
        <v/>
      </c>
      <c r="J33" s="24">
        <f>IF($D33="Actual",U33+V33,E33*X33)</f>
        <v/>
      </c>
      <c r="K33" s="28">
        <f>IFERROR(F33/G33,0)</f>
        <v/>
      </c>
      <c r="L33" s="29">
        <f>IFERROR(H33/G33,0)</f>
        <v/>
      </c>
      <c r="M33" s="30">
        <f>IFERROR(J33/F33,0)</f>
        <v/>
      </c>
      <c r="N33" s="10">
        <f>IFERROR(J33/E33,0)</f>
        <v/>
      </c>
      <c r="O33" s="10">
        <f>IFERROR(I33/J33,0)</f>
        <v/>
      </c>
      <c r="R33" s="42">
        <f>IF($D33="Actual",SUMIFS(Data_Actuals!$C$2:$C$5000,Data_Actuals!$A$2:$A$5000,$A33,Data_Actuals!$B$2:$B$5000,$B$2),"")</f>
        <v/>
      </c>
      <c r="S33" s="42">
        <f>IF($D33="Actual",SUMIFS(Data_Actuals!$D$2:$D$5000,Data_Actuals!$A$2:$A$5000,$A33,Data_Actuals!$B$2:$B$5000,$B$2),"")</f>
        <v/>
      </c>
      <c r="T33" s="42">
        <f>IF($D33="Actual",SUMIFS(Data_Actuals!$E$2:$E$5000,Data_Actuals!$A$2:$A$5000,$A33,Data_Actuals!$B$2:$B$5000,$B$2),"")</f>
        <v/>
      </c>
      <c r="U33" s="42">
        <f>IF($D33="Actual",SUMIFS(Data_Actuals!$F$2:$F$5000,Data_Actuals!$A$2:$A$5000,$A33,Data_Actuals!$B$2:$B$5000,$B$2),"")</f>
        <v/>
      </c>
      <c r="V33" s="42">
        <f>IF($D33="Actual",SUMIFS(Data_Actuals!$G$2:$G$5000,Data_Actuals!$A$2:$A$5000,$A33,Data_Actuals!$B$2:$B$5000,$B$2),"")</f>
        <v/>
      </c>
      <c r="W33" s="42">
        <f>SUMIFS(Plan_Inputs!$C$2:$C$5000,Plan_Inputs!$A$2:$A$5000,$A33,Plan_Inputs!$B$2:$B$5000,$B$2)</f>
        <v/>
      </c>
      <c r="X33" s="43">
        <f>SUMIFS(Plan_Inputs!$D$2:$D$5000,Plan_Inputs!$A$2:$A$5000,$A33,Plan_Inputs!$B$2:$B$5000,$B$2)</f>
        <v/>
      </c>
      <c r="Y33" s="42">
        <f>E33</f>
        <v/>
      </c>
      <c r="Z33" s="44">
        <f>INDEX(Calendar!$H$5:$L$52,MATCH($A33,Calendar!$A$5:$A$52,0),MATCH($D$2,Calendar!$H$4:$L$4,0))</f>
        <v/>
      </c>
      <c r="AA33" s="44">
        <f>INDEX(Calendar!$M$5:$M$52,MATCH($A33,Calendar!$A$5:$A$52,0))</f>
        <v/>
      </c>
      <c r="AB33" s="45">
        <f>IF($D33="Actual",IFERROR(S33/Y33,""),AB21)</f>
        <v/>
      </c>
      <c r="AC33" s="46">
        <f>IF($D33="Actual",IFERROR(U33/T33/Z33/AA33,""),AC21)</f>
        <v/>
      </c>
      <c r="AD33" s="43">
        <f>IF($D33="Actual",IFERROR(V33/(U33+V33),""),AD21)</f>
        <v/>
      </c>
      <c r="AE33" s="46">
        <f>IFERROR(AC33*Z33*AA33,"")</f>
        <v/>
      </c>
      <c r="AF33" s="47">
        <f>K21</f>
        <v/>
      </c>
      <c r="AG33" s="43">
        <f>IF($D33="Forecast",IFERROR(K33/AF33-1,""),"")</f>
        <v/>
      </c>
    </row>
    <row r="34">
      <c r="A34" s="8" t="n">
        <v>46235</v>
      </c>
      <c r="B34" s="26">
        <f>YEAR(A34)</f>
        <v/>
      </c>
      <c r="C34" s="26">
        <f>MONTH(A34)</f>
        <v/>
      </c>
      <c r="D34">
        <f>IF(A34&lt;=LastActual,"Actual","Forecast")</f>
        <v/>
      </c>
      <c r="E34" s="24">
        <f>IF($D34="Actual",R34,W34)</f>
        <v/>
      </c>
      <c r="F34" s="27">
        <f>IF($D34="Actual",S34,Cases_Forecast!AO27)</f>
        <v/>
      </c>
      <c r="G34" s="9">
        <f>IF($D34="Actual",T34,IFERROR(H34/AE34,0))</f>
        <v/>
      </c>
      <c r="H34" s="24">
        <f>IF($D34="Actual",U34,J34-I34)</f>
        <v/>
      </c>
      <c r="I34" s="24">
        <f>IF($D34="Actual",V34,IFERROR(J34*AD34,0))</f>
        <v/>
      </c>
      <c r="J34" s="24">
        <f>IF($D34="Actual",U34+V34,E34*X34)</f>
        <v/>
      </c>
      <c r="K34" s="28">
        <f>IFERROR(F34/G34,0)</f>
        <v/>
      </c>
      <c r="L34" s="29">
        <f>IFERROR(H34/G34,0)</f>
        <v/>
      </c>
      <c r="M34" s="30">
        <f>IFERROR(J34/F34,0)</f>
        <v/>
      </c>
      <c r="N34" s="10">
        <f>IFERROR(J34/E34,0)</f>
        <v/>
      </c>
      <c r="O34" s="10">
        <f>IFERROR(I34/J34,0)</f>
        <v/>
      </c>
      <c r="R34" s="42">
        <f>IF($D34="Actual",SUMIFS(Data_Actuals!$C$2:$C$5000,Data_Actuals!$A$2:$A$5000,$A34,Data_Actuals!$B$2:$B$5000,$B$2),"")</f>
        <v/>
      </c>
      <c r="S34" s="42">
        <f>IF($D34="Actual",SUMIFS(Data_Actuals!$D$2:$D$5000,Data_Actuals!$A$2:$A$5000,$A34,Data_Actuals!$B$2:$B$5000,$B$2),"")</f>
        <v/>
      </c>
      <c r="T34" s="42">
        <f>IF($D34="Actual",SUMIFS(Data_Actuals!$E$2:$E$5000,Data_Actuals!$A$2:$A$5000,$A34,Data_Actuals!$B$2:$B$5000,$B$2),"")</f>
        <v/>
      </c>
      <c r="U34" s="42">
        <f>IF($D34="Actual",SUMIFS(Data_Actuals!$F$2:$F$5000,Data_Actuals!$A$2:$A$5000,$A34,Data_Actuals!$B$2:$B$5000,$B$2),"")</f>
        <v/>
      </c>
      <c r="V34" s="42">
        <f>IF($D34="Actual",SUMIFS(Data_Actuals!$G$2:$G$5000,Data_Actuals!$A$2:$A$5000,$A34,Data_Actuals!$B$2:$B$5000,$B$2),"")</f>
        <v/>
      </c>
      <c r="W34" s="42">
        <f>SUMIFS(Plan_Inputs!$C$2:$C$5000,Plan_Inputs!$A$2:$A$5000,$A34,Plan_Inputs!$B$2:$B$5000,$B$2)</f>
        <v/>
      </c>
      <c r="X34" s="43">
        <f>SUMIFS(Plan_Inputs!$D$2:$D$5000,Plan_Inputs!$A$2:$A$5000,$A34,Plan_Inputs!$B$2:$B$5000,$B$2)</f>
        <v/>
      </c>
      <c r="Y34" s="42">
        <f>E34</f>
        <v/>
      </c>
      <c r="Z34" s="44">
        <f>INDEX(Calendar!$H$5:$L$52,MATCH($A34,Calendar!$A$5:$A$52,0),MATCH($D$2,Calendar!$H$4:$L$4,0))</f>
        <v/>
      </c>
      <c r="AA34" s="44">
        <f>INDEX(Calendar!$M$5:$M$52,MATCH($A34,Calendar!$A$5:$A$52,0))</f>
        <v/>
      </c>
      <c r="AB34" s="45">
        <f>IF($D34="Actual",IFERROR(S34/Y34,""),AB22)</f>
        <v/>
      </c>
      <c r="AC34" s="46">
        <f>IF($D34="Actual",IFERROR(U34/T34/Z34/AA34,""),AC22)</f>
        <v/>
      </c>
      <c r="AD34" s="43">
        <f>IF($D34="Actual",IFERROR(V34/(U34+V34),""),AD22)</f>
        <v/>
      </c>
      <c r="AE34" s="46">
        <f>IFERROR(AC34*Z34*AA34,"")</f>
        <v/>
      </c>
      <c r="AF34" s="47">
        <f>K22</f>
        <v/>
      </c>
      <c r="AG34" s="43">
        <f>IF($D34="Forecast",IFERROR(K34/AF34-1,""),"")</f>
        <v/>
      </c>
    </row>
    <row r="35">
      <c r="A35" s="8" t="n">
        <v>46266</v>
      </c>
      <c r="B35" s="26">
        <f>YEAR(A35)</f>
        <v/>
      </c>
      <c r="C35" s="26">
        <f>MONTH(A35)</f>
        <v/>
      </c>
      <c r="D35">
        <f>IF(A35&lt;=LastActual,"Actual","Forecast")</f>
        <v/>
      </c>
      <c r="E35" s="24">
        <f>IF($D35="Actual",R35,W35)</f>
        <v/>
      </c>
      <c r="F35" s="27">
        <f>IF($D35="Actual",S35,Cases_Forecast!AO28)</f>
        <v/>
      </c>
      <c r="G35" s="9">
        <f>IF($D35="Actual",T35,IFERROR(H35/AE35,0))</f>
        <v/>
      </c>
      <c r="H35" s="24">
        <f>IF($D35="Actual",U35,J35-I35)</f>
        <v/>
      </c>
      <c r="I35" s="24">
        <f>IF($D35="Actual",V35,IFERROR(J35*AD35,0))</f>
        <v/>
      </c>
      <c r="J35" s="24">
        <f>IF($D35="Actual",U35+V35,E35*X35)</f>
        <v/>
      </c>
      <c r="K35" s="28">
        <f>IFERROR(F35/G35,0)</f>
        <v/>
      </c>
      <c r="L35" s="29">
        <f>IFERROR(H35/G35,0)</f>
        <v/>
      </c>
      <c r="M35" s="30">
        <f>IFERROR(J35/F35,0)</f>
        <v/>
      </c>
      <c r="N35" s="10">
        <f>IFERROR(J35/E35,0)</f>
        <v/>
      </c>
      <c r="O35" s="10">
        <f>IFERROR(I35/J35,0)</f>
        <v/>
      </c>
      <c r="R35" s="42">
        <f>IF($D35="Actual",SUMIFS(Data_Actuals!$C$2:$C$5000,Data_Actuals!$A$2:$A$5000,$A35,Data_Actuals!$B$2:$B$5000,$B$2),"")</f>
        <v/>
      </c>
      <c r="S35" s="42">
        <f>IF($D35="Actual",SUMIFS(Data_Actuals!$D$2:$D$5000,Data_Actuals!$A$2:$A$5000,$A35,Data_Actuals!$B$2:$B$5000,$B$2),"")</f>
        <v/>
      </c>
      <c r="T35" s="42">
        <f>IF($D35="Actual",SUMIFS(Data_Actuals!$E$2:$E$5000,Data_Actuals!$A$2:$A$5000,$A35,Data_Actuals!$B$2:$B$5000,$B$2),"")</f>
        <v/>
      </c>
      <c r="U35" s="42">
        <f>IF($D35="Actual",SUMIFS(Data_Actuals!$F$2:$F$5000,Data_Actuals!$A$2:$A$5000,$A35,Data_Actuals!$B$2:$B$5000,$B$2),"")</f>
        <v/>
      </c>
      <c r="V35" s="42">
        <f>IF($D35="Actual",SUMIFS(Data_Actuals!$G$2:$G$5000,Data_Actuals!$A$2:$A$5000,$A35,Data_Actuals!$B$2:$B$5000,$B$2),"")</f>
        <v/>
      </c>
      <c r="W35" s="42">
        <f>SUMIFS(Plan_Inputs!$C$2:$C$5000,Plan_Inputs!$A$2:$A$5000,$A35,Plan_Inputs!$B$2:$B$5000,$B$2)</f>
        <v/>
      </c>
      <c r="X35" s="43">
        <f>SUMIFS(Plan_Inputs!$D$2:$D$5000,Plan_Inputs!$A$2:$A$5000,$A35,Plan_Inputs!$B$2:$B$5000,$B$2)</f>
        <v/>
      </c>
      <c r="Y35" s="42">
        <f>E35</f>
        <v/>
      </c>
      <c r="Z35" s="44">
        <f>INDEX(Calendar!$H$5:$L$52,MATCH($A35,Calendar!$A$5:$A$52,0),MATCH($D$2,Calendar!$H$4:$L$4,0))</f>
        <v/>
      </c>
      <c r="AA35" s="44">
        <f>INDEX(Calendar!$M$5:$M$52,MATCH($A35,Calendar!$A$5:$A$52,0))</f>
        <v/>
      </c>
      <c r="AB35" s="45">
        <f>IF($D35="Actual",IFERROR(S35/Y35,""),AB23)</f>
        <v/>
      </c>
      <c r="AC35" s="46">
        <f>IF($D35="Actual",IFERROR(U35/T35/Z35/AA35,""),AC23)</f>
        <v/>
      </c>
      <c r="AD35" s="43">
        <f>IF($D35="Actual",IFERROR(V35/(U35+V35),""),AD23)</f>
        <v/>
      </c>
      <c r="AE35" s="46">
        <f>IFERROR(AC35*Z35*AA35,"")</f>
        <v/>
      </c>
      <c r="AF35" s="47">
        <f>K23</f>
        <v/>
      </c>
      <c r="AG35" s="43">
        <f>IF($D35="Forecast",IFERROR(K35/AF35-1,""),"")</f>
        <v/>
      </c>
    </row>
    <row r="36">
      <c r="A36" s="8" t="n">
        <v>46296</v>
      </c>
      <c r="B36" s="26">
        <f>YEAR(A36)</f>
        <v/>
      </c>
      <c r="C36" s="26">
        <f>MONTH(A36)</f>
        <v/>
      </c>
      <c r="D36">
        <f>IF(A36&lt;=LastActual,"Actual","Forecast")</f>
        <v/>
      </c>
      <c r="E36" s="24">
        <f>IF($D36="Actual",R36,W36)</f>
        <v/>
      </c>
      <c r="F36" s="27">
        <f>IF($D36="Actual",S36,Cases_Forecast!AO29)</f>
        <v/>
      </c>
      <c r="G36" s="9">
        <f>IF($D36="Actual",T36,IFERROR(H36/AE36,0))</f>
        <v/>
      </c>
      <c r="H36" s="24">
        <f>IF($D36="Actual",U36,J36-I36)</f>
        <v/>
      </c>
      <c r="I36" s="24">
        <f>IF($D36="Actual",V36,IFERROR(J36*AD36,0))</f>
        <v/>
      </c>
      <c r="J36" s="24">
        <f>IF($D36="Actual",U36+V36,E36*X36)</f>
        <v/>
      </c>
      <c r="K36" s="28">
        <f>IFERROR(F36/G36,0)</f>
        <v/>
      </c>
      <c r="L36" s="29">
        <f>IFERROR(H36/G36,0)</f>
        <v/>
      </c>
      <c r="M36" s="30">
        <f>IFERROR(J36/F36,0)</f>
        <v/>
      </c>
      <c r="N36" s="10">
        <f>IFERROR(J36/E36,0)</f>
        <v/>
      </c>
      <c r="O36" s="10">
        <f>IFERROR(I36/J36,0)</f>
        <v/>
      </c>
      <c r="R36" s="42">
        <f>IF($D36="Actual",SUMIFS(Data_Actuals!$C$2:$C$5000,Data_Actuals!$A$2:$A$5000,$A36,Data_Actuals!$B$2:$B$5000,$B$2),"")</f>
        <v/>
      </c>
      <c r="S36" s="42">
        <f>IF($D36="Actual",SUMIFS(Data_Actuals!$D$2:$D$5000,Data_Actuals!$A$2:$A$5000,$A36,Data_Actuals!$B$2:$B$5000,$B$2),"")</f>
        <v/>
      </c>
      <c r="T36" s="42">
        <f>IF($D36="Actual",SUMIFS(Data_Actuals!$E$2:$E$5000,Data_Actuals!$A$2:$A$5000,$A36,Data_Actuals!$B$2:$B$5000,$B$2),"")</f>
        <v/>
      </c>
      <c r="U36" s="42">
        <f>IF($D36="Actual",SUMIFS(Data_Actuals!$F$2:$F$5000,Data_Actuals!$A$2:$A$5000,$A36,Data_Actuals!$B$2:$B$5000,$B$2),"")</f>
        <v/>
      </c>
      <c r="V36" s="42">
        <f>IF($D36="Actual",SUMIFS(Data_Actuals!$G$2:$G$5000,Data_Actuals!$A$2:$A$5000,$A36,Data_Actuals!$B$2:$B$5000,$B$2),"")</f>
        <v/>
      </c>
      <c r="W36" s="42">
        <f>SUMIFS(Plan_Inputs!$C$2:$C$5000,Plan_Inputs!$A$2:$A$5000,$A36,Plan_Inputs!$B$2:$B$5000,$B$2)</f>
        <v/>
      </c>
      <c r="X36" s="43">
        <f>SUMIFS(Plan_Inputs!$D$2:$D$5000,Plan_Inputs!$A$2:$A$5000,$A36,Plan_Inputs!$B$2:$B$5000,$B$2)</f>
        <v/>
      </c>
      <c r="Y36" s="42">
        <f>E36</f>
        <v/>
      </c>
      <c r="Z36" s="44">
        <f>INDEX(Calendar!$H$5:$L$52,MATCH($A36,Calendar!$A$5:$A$52,0),MATCH($D$2,Calendar!$H$4:$L$4,0))</f>
        <v/>
      </c>
      <c r="AA36" s="44">
        <f>INDEX(Calendar!$M$5:$M$52,MATCH($A36,Calendar!$A$5:$A$52,0))</f>
        <v/>
      </c>
      <c r="AB36" s="45">
        <f>IF($D36="Actual",IFERROR(S36/Y36,""),AB24)</f>
        <v/>
      </c>
      <c r="AC36" s="46">
        <f>IF($D36="Actual",IFERROR(U36/T36/Z36/AA36,""),AC24)</f>
        <v/>
      </c>
      <c r="AD36" s="43">
        <f>IF($D36="Actual",IFERROR(V36/(U36+V36),""),AD24)</f>
        <v/>
      </c>
      <c r="AE36" s="46">
        <f>IFERROR(AC36*Z36*AA36,"")</f>
        <v/>
      </c>
      <c r="AF36" s="47">
        <f>K24</f>
        <v/>
      </c>
      <c r="AG36" s="43">
        <f>IF($D36="Forecast",IFERROR(K36/AF36-1,""),"")</f>
        <v/>
      </c>
    </row>
    <row r="37">
      <c r="A37" s="8" t="n">
        <v>46327</v>
      </c>
      <c r="B37" s="26">
        <f>YEAR(A37)</f>
        <v/>
      </c>
      <c r="C37" s="26">
        <f>MONTH(A37)</f>
        <v/>
      </c>
      <c r="D37">
        <f>IF(A37&lt;=LastActual,"Actual","Forecast")</f>
        <v/>
      </c>
      <c r="E37" s="24">
        <f>IF($D37="Actual",R37,W37)</f>
        <v/>
      </c>
      <c r="F37" s="27">
        <f>IF($D37="Actual",S37,Cases_Forecast!AO30)</f>
        <v/>
      </c>
      <c r="G37" s="9">
        <f>IF($D37="Actual",T37,IFERROR(H37/AE37,0))</f>
        <v/>
      </c>
      <c r="H37" s="24">
        <f>IF($D37="Actual",U37,J37-I37)</f>
        <v/>
      </c>
      <c r="I37" s="24">
        <f>IF($D37="Actual",V37,IFERROR(J37*AD37,0))</f>
        <v/>
      </c>
      <c r="J37" s="24">
        <f>IF($D37="Actual",U37+V37,E37*X37)</f>
        <v/>
      </c>
      <c r="K37" s="28">
        <f>IFERROR(F37/G37,0)</f>
        <v/>
      </c>
      <c r="L37" s="29">
        <f>IFERROR(H37/G37,0)</f>
        <v/>
      </c>
      <c r="M37" s="30">
        <f>IFERROR(J37/F37,0)</f>
        <v/>
      </c>
      <c r="N37" s="10">
        <f>IFERROR(J37/E37,0)</f>
        <v/>
      </c>
      <c r="O37" s="10">
        <f>IFERROR(I37/J37,0)</f>
        <v/>
      </c>
      <c r="R37" s="42">
        <f>IF($D37="Actual",SUMIFS(Data_Actuals!$C$2:$C$5000,Data_Actuals!$A$2:$A$5000,$A37,Data_Actuals!$B$2:$B$5000,$B$2),"")</f>
        <v/>
      </c>
      <c r="S37" s="42">
        <f>IF($D37="Actual",SUMIFS(Data_Actuals!$D$2:$D$5000,Data_Actuals!$A$2:$A$5000,$A37,Data_Actuals!$B$2:$B$5000,$B$2),"")</f>
        <v/>
      </c>
      <c r="T37" s="42">
        <f>IF($D37="Actual",SUMIFS(Data_Actuals!$E$2:$E$5000,Data_Actuals!$A$2:$A$5000,$A37,Data_Actuals!$B$2:$B$5000,$B$2),"")</f>
        <v/>
      </c>
      <c r="U37" s="42">
        <f>IF($D37="Actual",SUMIFS(Data_Actuals!$F$2:$F$5000,Data_Actuals!$A$2:$A$5000,$A37,Data_Actuals!$B$2:$B$5000,$B$2),"")</f>
        <v/>
      </c>
      <c r="V37" s="42">
        <f>IF($D37="Actual",SUMIFS(Data_Actuals!$G$2:$G$5000,Data_Actuals!$A$2:$A$5000,$A37,Data_Actuals!$B$2:$B$5000,$B$2),"")</f>
        <v/>
      </c>
      <c r="W37" s="42">
        <f>SUMIFS(Plan_Inputs!$C$2:$C$5000,Plan_Inputs!$A$2:$A$5000,$A37,Plan_Inputs!$B$2:$B$5000,$B$2)</f>
        <v/>
      </c>
      <c r="X37" s="43">
        <f>SUMIFS(Plan_Inputs!$D$2:$D$5000,Plan_Inputs!$A$2:$A$5000,$A37,Plan_Inputs!$B$2:$B$5000,$B$2)</f>
        <v/>
      </c>
      <c r="Y37" s="42">
        <f>E37</f>
        <v/>
      </c>
      <c r="Z37" s="44">
        <f>INDEX(Calendar!$H$5:$L$52,MATCH($A37,Calendar!$A$5:$A$52,0),MATCH($D$2,Calendar!$H$4:$L$4,0))</f>
        <v/>
      </c>
      <c r="AA37" s="44">
        <f>INDEX(Calendar!$M$5:$M$52,MATCH($A37,Calendar!$A$5:$A$52,0))</f>
        <v/>
      </c>
      <c r="AB37" s="45">
        <f>IF($D37="Actual",IFERROR(S37/Y37,""),AB25)</f>
        <v/>
      </c>
      <c r="AC37" s="46">
        <f>IF($D37="Actual",IFERROR(U37/T37/Z37/AA37,""),AC25)</f>
        <v/>
      </c>
      <c r="AD37" s="43">
        <f>IF($D37="Actual",IFERROR(V37/(U37+V37),""),AD25)</f>
        <v/>
      </c>
      <c r="AE37" s="46">
        <f>IFERROR(AC37*Z37*AA37,"")</f>
        <v/>
      </c>
      <c r="AF37" s="47">
        <f>K25</f>
        <v/>
      </c>
      <c r="AG37" s="43">
        <f>IF($D37="Forecast",IFERROR(K37/AF37-1,""),"")</f>
        <v/>
      </c>
    </row>
    <row r="38">
      <c r="A38" s="31" t="n">
        <v>46357</v>
      </c>
      <c r="B38" s="32">
        <f>YEAR(A38)</f>
        <v/>
      </c>
      <c r="C38" s="32">
        <f>MONTH(A38)</f>
        <v/>
      </c>
      <c r="D38" s="33">
        <f>IF(A38&lt;=LastActual,"Actual","Forecast")</f>
        <v/>
      </c>
      <c r="E38" s="34">
        <f>IF($D38="Actual",R38,W38)</f>
        <v/>
      </c>
      <c r="F38" s="35">
        <f>IF($D38="Actual",S38,Cases_Forecast!AO31)</f>
        <v/>
      </c>
      <c r="G38" s="36">
        <f>IF($D38="Actual",T38,IFERROR(H38/AE38,0))</f>
        <v/>
      </c>
      <c r="H38" s="34">
        <f>IF($D38="Actual",U38,J38-I38)</f>
        <v/>
      </c>
      <c r="I38" s="34">
        <f>IF($D38="Actual",V38,IFERROR(J38*AD38,0))</f>
        <v/>
      </c>
      <c r="J38" s="34">
        <f>IF($D38="Actual",U38+V38,E38*X38)</f>
        <v/>
      </c>
      <c r="K38" s="37">
        <f>IFERROR(F38/G38,0)</f>
        <v/>
      </c>
      <c r="L38" s="38">
        <f>IFERROR(H38/G38,0)</f>
        <v/>
      </c>
      <c r="M38" s="39">
        <f>IFERROR(J38/F38,0)</f>
        <v/>
      </c>
      <c r="N38" s="40">
        <f>IFERROR(J38/E38,0)</f>
        <v/>
      </c>
      <c r="O38" s="40">
        <f>IFERROR(I38/J38,0)</f>
        <v/>
      </c>
      <c r="R38" s="42">
        <f>IF($D38="Actual",SUMIFS(Data_Actuals!$C$2:$C$5000,Data_Actuals!$A$2:$A$5000,$A38,Data_Actuals!$B$2:$B$5000,$B$2),"")</f>
        <v/>
      </c>
      <c r="S38" s="42">
        <f>IF($D38="Actual",SUMIFS(Data_Actuals!$D$2:$D$5000,Data_Actuals!$A$2:$A$5000,$A38,Data_Actuals!$B$2:$B$5000,$B$2),"")</f>
        <v/>
      </c>
      <c r="T38" s="42">
        <f>IF($D38="Actual",SUMIFS(Data_Actuals!$E$2:$E$5000,Data_Actuals!$A$2:$A$5000,$A38,Data_Actuals!$B$2:$B$5000,$B$2),"")</f>
        <v/>
      </c>
      <c r="U38" s="42">
        <f>IF($D38="Actual",SUMIFS(Data_Actuals!$F$2:$F$5000,Data_Actuals!$A$2:$A$5000,$A38,Data_Actuals!$B$2:$B$5000,$B$2),"")</f>
        <v/>
      </c>
      <c r="V38" s="42">
        <f>IF($D38="Actual",SUMIFS(Data_Actuals!$G$2:$G$5000,Data_Actuals!$A$2:$A$5000,$A38,Data_Actuals!$B$2:$B$5000,$B$2),"")</f>
        <v/>
      </c>
      <c r="W38" s="42">
        <f>SUMIFS(Plan_Inputs!$C$2:$C$5000,Plan_Inputs!$A$2:$A$5000,$A38,Plan_Inputs!$B$2:$B$5000,$B$2)</f>
        <v/>
      </c>
      <c r="X38" s="43">
        <f>SUMIFS(Plan_Inputs!$D$2:$D$5000,Plan_Inputs!$A$2:$A$5000,$A38,Plan_Inputs!$B$2:$B$5000,$B$2)</f>
        <v/>
      </c>
      <c r="Y38" s="42">
        <f>E38</f>
        <v/>
      </c>
      <c r="Z38" s="44">
        <f>INDEX(Calendar!$H$5:$L$52,MATCH($A38,Calendar!$A$5:$A$52,0),MATCH($D$2,Calendar!$H$4:$L$4,0))</f>
        <v/>
      </c>
      <c r="AA38" s="44">
        <f>INDEX(Calendar!$M$5:$M$52,MATCH($A38,Calendar!$A$5:$A$52,0))</f>
        <v/>
      </c>
      <c r="AB38" s="45">
        <f>IF($D38="Actual",IFERROR(S38/Y38,""),AB26)</f>
        <v/>
      </c>
      <c r="AC38" s="46">
        <f>IF($D38="Actual",IFERROR(U38/T38/Z38/AA38,""),AC26)</f>
        <v/>
      </c>
      <c r="AD38" s="43">
        <f>IF($D38="Actual",IFERROR(V38/(U38+V38),""),AD26)</f>
        <v/>
      </c>
      <c r="AE38" s="46">
        <f>IFERROR(AC38*Z38*AA38,"")</f>
        <v/>
      </c>
      <c r="AF38" s="47">
        <f>K26</f>
        <v/>
      </c>
      <c r="AG38" s="43">
        <f>IF($D38="Forecast",IFERROR(K38/AF38-1,""),"")</f>
        <v/>
      </c>
    </row>
    <row r="39">
      <c r="A39" s="8" t="n">
        <v>46388</v>
      </c>
      <c r="B39" s="26">
        <f>YEAR(A39)</f>
        <v/>
      </c>
      <c r="C39" s="26">
        <f>MONTH(A39)</f>
        <v/>
      </c>
      <c r="D39">
        <f>IF(A39&lt;=LastActual,"Actual","Forecast")</f>
        <v/>
      </c>
      <c r="E39" s="24">
        <f>IF($D39="Actual",R39,W39)</f>
        <v/>
      </c>
      <c r="F39" s="27">
        <f>IF($D39="Actual",S39,Cases_Forecast!AO32)</f>
        <v/>
      </c>
      <c r="G39" s="9">
        <f>IF($D39="Actual",T39,IFERROR(H39/AE39,0))</f>
        <v/>
      </c>
      <c r="H39" s="24">
        <f>IF($D39="Actual",U39,J39-I39)</f>
        <v/>
      </c>
      <c r="I39" s="24">
        <f>IF($D39="Actual",V39,IFERROR(J39*AD39,0))</f>
        <v/>
      </c>
      <c r="J39" s="24">
        <f>IF($D39="Actual",U39+V39,E39*X39)</f>
        <v/>
      </c>
      <c r="K39" s="28">
        <f>IFERROR(F39/G39,0)</f>
        <v/>
      </c>
      <c r="L39" s="29">
        <f>IFERROR(H39/G39,0)</f>
        <v/>
      </c>
      <c r="M39" s="30">
        <f>IFERROR(J39/F39,0)</f>
        <v/>
      </c>
      <c r="N39" s="10">
        <f>IFERROR(J39/E39,0)</f>
        <v/>
      </c>
      <c r="O39" s="10">
        <f>IFERROR(I39/J39,0)</f>
        <v/>
      </c>
      <c r="R39" s="42">
        <f>IF($D39="Actual",SUMIFS(Data_Actuals!$C$2:$C$5000,Data_Actuals!$A$2:$A$5000,$A39,Data_Actuals!$B$2:$B$5000,$B$2),"")</f>
        <v/>
      </c>
      <c r="S39" s="42">
        <f>IF($D39="Actual",SUMIFS(Data_Actuals!$D$2:$D$5000,Data_Actuals!$A$2:$A$5000,$A39,Data_Actuals!$B$2:$B$5000,$B$2),"")</f>
        <v/>
      </c>
      <c r="T39" s="42">
        <f>IF($D39="Actual",SUMIFS(Data_Actuals!$E$2:$E$5000,Data_Actuals!$A$2:$A$5000,$A39,Data_Actuals!$B$2:$B$5000,$B$2),"")</f>
        <v/>
      </c>
      <c r="U39" s="42">
        <f>IF($D39="Actual",SUMIFS(Data_Actuals!$F$2:$F$5000,Data_Actuals!$A$2:$A$5000,$A39,Data_Actuals!$B$2:$B$5000,$B$2),"")</f>
        <v/>
      </c>
      <c r="V39" s="42">
        <f>IF($D39="Actual",SUMIFS(Data_Actuals!$G$2:$G$5000,Data_Actuals!$A$2:$A$5000,$A39,Data_Actuals!$B$2:$B$5000,$B$2),"")</f>
        <v/>
      </c>
      <c r="W39" s="42">
        <f>SUMIFS(Plan_Inputs!$C$2:$C$5000,Plan_Inputs!$A$2:$A$5000,$A39,Plan_Inputs!$B$2:$B$5000,$B$2)</f>
        <v/>
      </c>
      <c r="X39" s="43">
        <f>SUMIFS(Plan_Inputs!$D$2:$D$5000,Plan_Inputs!$A$2:$A$5000,$A39,Plan_Inputs!$B$2:$B$5000,$B$2)</f>
        <v/>
      </c>
      <c r="Y39" s="42">
        <f>E39</f>
        <v/>
      </c>
      <c r="Z39" s="44">
        <f>INDEX(Calendar!$H$5:$L$52,MATCH($A39,Calendar!$A$5:$A$52,0),MATCH($D$2,Calendar!$H$4:$L$4,0))</f>
        <v/>
      </c>
      <c r="AA39" s="44">
        <f>INDEX(Calendar!$M$5:$M$52,MATCH($A39,Calendar!$A$5:$A$52,0))</f>
        <v/>
      </c>
      <c r="AB39" s="45">
        <f>IF($D39="Actual",IFERROR(S39/Y39,""),AB27)</f>
        <v/>
      </c>
      <c r="AC39" s="46">
        <f>IF($D39="Actual",IFERROR(U39/T39/Z39/AA39,""),AC27)</f>
        <v/>
      </c>
      <c r="AD39" s="43">
        <f>IF($D39="Actual",IFERROR(V39/(U39+V39),""),AD27)</f>
        <v/>
      </c>
      <c r="AE39" s="46">
        <f>IFERROR(AC39*Z39*AA39,"")</f>
        <v/>
      </c>
      <c r="AF39" s="47">
        <f>K27</f>
        <v/>
      </c>
      <c r="AG39" s="43">
        <f>IF($D39="Forecast",IFERROR(K39/AF39-1,""),"")</f>
        <v/>
      </c>
    </row>
    <row r="40">
      <c r="A40" s="8" t="n">
        <v>46419</v>
      </c>
      <c r="B40" s="26">
        <f>YEAR(A40)</f>
        <v/>
      </c>
      <c r="C40" s="26">
        <f>MONTH(A40)</f>
        <v/>
      </c>
      <c r="D40">
        <f>IF(A40&lt;=LastActual,"Actual","Forecast")</f>
        <v/>
      </c>
      <c r="E40" s="24">
        <f>IF($D40="Actual",R40,W40)</f>
        <v/>
      </c>
      <c r="F40" s="27">
        <f>IF($D40="Actual",S40,Cases_Forecast!AO33)</f>
        <v/>
      </c>
      <c r="G40" s="9">
        <f>IF($D40="Actual",T40,IFERROR(H40/AE40,0))</f>
        <v/>
      </c>
      <c r="H40" s="24">
        <f>IF($D40="Actual",U40,J40-I40)</f>
        <v/>
      </c>
      <c r="I40" s="24">
        <f>IF($D40="Actual",V40,IFERROR(J40*AD40,0))</f>
        <v/>
      </c>
      <c r="J40" s="24">
        <f>IF($D40="Actual",U40+V40,E40*X40)</f>
        <v/>
      </c>
      <c r="K40" s="28">
        <f>IFERROR(F40/G40,0)</f>
        <v/>
      </c>
      <c r="L40" s="29">
        <f>IFERROR(H40/G40,0)</f>
        <v/>
      </c>
      <c r="M40" s="30">
        <f>IFERROR(J40/F40,0)</f>
        <v/>
      </c>
      <c r="N40" s="10">
        <f>IFERROR(J40/E40,0)</f>
        <v/>
      </c>
      <c r="O40" s="10">
        <f>IFERROR(I40/J40,0)</f>
        <v/>
      </c>
      <c r="R40" s="42">
        <f>IF($D40="Actual",SUMIFS(Data_Actuals!$C$2:$C$5000,Data_Actuals!$A$2:$A$5000,$A40,Data_Actuals!$B$2:$B$5000,$B$2),"")</f>
        <v/>
      </c>
      <c r="S40" s="42">
        <f>IF($D40="Actual",SUMIFS(Data_Actuals!$D$2:$D$5000,Data_Actuals!$A$2:$A$5000,$A40,Data_Actuals!$B$2:$B$5000,$B$2),"")</f>
        <v/>
      </c>
      <c r="T40" s="42">
        <f>IF($D40="Actual",SUMIFS(Data_Actuals!$E$2:$E$5000,Data_Actuals!$A$2:$A$5000,$A40,Data_Actuals!$B$2:$B$5000,$B$2),"")</f>
        <v/>
      </c>
      <c r="U40" s="42">
        <f>IF($D40="Actual",SUMIFS(Data_Actuals!$F$2:$F$5000,Data_Actuals!$A$2:$A$5000,$A40,Data_Actuals!$B$2:$B$5000,$B$2),"")</f>
        <v/>
      </c>
      <c r="V40" s="42">
        <f>IF($D40="Actual",SUMIFS(Data_Actuals!$G$2:$G$5000,Data_Actuals!$A$2:$A$5000,$A40,Data_Actuals!$B$2:$B$5000,$B$2),"")</f>
        <v/>
      </c>
      <c r="W40" s="42">
        <f>SUMIFS(Plan_Inputs!$C$2:$C$5000,Plan_Inputs!$A$2:$A$5000,$A40,Plan_Inputs!$B$2:$B$5000,$B$2)</f>
        <v/>
      </c>
      <c r="X40" s="43">
        <f>SUMIFS(Plan_Inputs!$D$2:$D$5000,Plan_Inputs!$A$2:$A$5000,$A40,Plan_Inputs!$B$2:$B$5000,$B$2)</f>
        <v/>
      </c>
      <c r="Y40" s="42">
        <f>E40</f>
        <v/>
      </c>
      <c r="Z40" s="44">
        <f>INDEX(Calendar!$H$5:$L$52,MATCH($A40,Calendar!$A$5:$A$52,0),MATCH($D$2,Calendar!$H$4:$L$4,0))</f>
        <v/>
      </c>
      <c r="AA40" s="44">
        <f>INDEX(Calendar!$M$5:$M$52,MATCH($A40,Calendar!$A$5:$A$52,0))</f>
        <v/>
      </c>
      <c r="AB40" s="45">
        <f>IF($D40="Actual",IFERROR(S40/Y40,""),AB28)</f>
        <v/>
      </c>
      <c r="AC40" s="46">
        <f>IF($D40="Actual",IFERROR(U40/T40/Z40/AA40,""),AC28)</f>
        <v/>
      </c>
      <c r="AD40" s="43">
        <f>IF($D40="Actual",IFERROR(V40/(U40+V40),""),AD28)</f>
        <v/>
      </c>
      <c r="AE40" s="46">
        <f>IFERROR(AC40*Z40*AA40,"")</f>
        <v/>
      </c>
      <c r="AF40" s="47">
        <f>K28</f>
        <v/>
      </c>
      <c r="AG40" s="43">
        <f>IF($D40="Forecast",IFERROR(K40/AF40-1,""),"")</f>
        <v/>
      </c>
    </row>
    <row r="41">
      <c r="A41" s="8" t="n">
        <v>46447</v>
      </c>
      <c r="B41" s="26">
        <f>YEAR(A41)</f>
        <v/>
      </c>
      <c r="C41" s="26">
        <f>MONTH(A41)</f>
        <v/>
      </c>
      <c r="D41">
        <f>IF(A41&lt;=LastActual,"Actual","Forecast")</f>
        <v/>
      </c>
      <c r="E41" s="24">
        <f>IF($D41="Actual",R41,W41)</f>
        <v/>
      </c>
      <c r="F41" s="27">
        <f>IF($D41="Actual",S41,Cases_Forecast!AO34)</f>
        <v/>
      </c>
      <c r="G41" s="9">
        <f>IF($D41="Actual",T41,IFERROR(H41/AE41,0))</f>
        <v/>
      </c>
      <c r="H41" s="24">
        <f>IF($D41="Actual",U41,J41-I41)</f>
        <v/>
      </c>
      <c r="I41" s="24">
        <f>IF($D41="Actual",V41,IFERROR(J41*AD41,0))</f>
        <v/>
      </c>
      <c r="J41" s="24">
        <f>IF($D41="Actual",U41+V41,E41*X41)</f>
        <v/>
      </c>
      <c r="K41" s="28">
        <f>IFERROR(F41/G41,0)</f>
        <v/>
      </c>
      <c r="L41" s="29">
        <f>IFERROR(H41/G41,0)</f>
        <v/>
      </c>
      <c r="M41" s="30">
        <f>IFERROR(J41/F41,0)</f>
        <v/>
      </c>
      <c r="N41" s="10">
        <f>IFERROR(J41/E41,0)</f>
        <v/>
      </c>
      <c r="O41" s="10">
        <f>IFERROR(I41/J41,0)</f>
        <v/>
      </c>
      <c r="R41" s="42">
        <f>IF($D41="Actual",SUMIFS(Data_Actuals!$C$2:$C$5000,Data_Actuals!$A$2:$A$5000,$A41,Data_Actuals!$B$2:$B$5000,$B$2),"")</f>
        <v/>
      </c>
      <c r="S41" s="42">
        <f>IF($D41="Actual",SUMIFS(Data_Actuals!$D$2:$D$5000,Data_Actuals!$A$2:$A$5000,$A41,Data_Actuals!$B$2:$B$5000,$B$2),"")</f>
        <v/>
      </c>
      <c r="T41" s="42">
        <f>IF($D41="Actual",SUMIFS(Data_Actuals!$E$2:$E$5000,Data_Actuals!$A$2:$A$5000,$A41,Data_Actuals!$B$2:$B$5000,$B$2),"")</f>
        <v/>
      </c>
      <c r="U41" s="42">
        <f>IF($D41="Actual",SUMIFS(Data_Actuals!$F$2:$F$5000,Data_Actuals!$A$2:$A$5000,$A41,Data_Actuals!$B$2:$B$5000,$B$2),"")</f>
        <v/>
      </c>
      <c r="V41" s="42">
        <f>IF($D41="Actual",SUMIFS(Data_Actuals!$G$2:$G$5000,Data_Actuals!$A$2:$A$5000,$A41,Data_Actuals!$B$2:$B$5000,$B$2),"")</f>
        <v/>
      </c>
      <c r="W41" s="42">
        <f>SUMIFS(Plan_Inputs!$C$2:$C$5000,Plan_Inputs!$A$2:$A$5000,$A41,Plan_Inputs!$B$2:$B$5000,$B$2)</f>
        <v/>
      </c>
      <c r="X41" s="43">
        <f>SUMIFS(Plan_Inputs!$D$2:$D$5000,Plan_Inputs!$A$2:$A$5000,$A41,Plan_Inputs!$B$2:$B$5000,$B$2)</f>
        <v/>
      </c>
      <c r="Y41" s="42">
        <f>E41</f>
        <v/>
      </c>
      <c r="Z41" s="44">
        <f>INDEX(Calendar!$H$5:$L$52,MATCH($A41,Calendar!$A$5:$A$52,0),MATCH($D$2,Calendar!$H$4:$L$4,0))</f>
        <v/>
      </c>
      <c r="AA41" s="44">
        <f>INDEX(Calendar!$M$5:$M$52,MATCH($A41,Calendar!$A$5:$A$52,0))</f>
        <v/>
      </c>
      <c r="AB41" s="45">
        <f>IF($D41="Actual",IFERROR(S41/Y41,""),AB29)</f>
        <v/>
      </c>
      <c r="AC41" s="46">
        <f>IF($D41="Actual",IFERROR(U41/T41/Z41/AA41,""),AC29)</f>
        <v/>
      </c>
      <c r="AD41" s="43">
        <f>IF($D41="Actual",IFERROR(V41/(U41+V41),""),AD29)</f>
        <v/>
      </c>
      <c r="AE41" s="46">
        <f>IFERROR(AC41*Z41*AA41,"")</f>
        <v/>
      </c>
      <c r="AF41" s="47">
        <f>K29</f>
        <v/>
      </c>
      <c r="AG41" s="43">
        <f>IF($D41="Forecast",IFERROR(K41/AF41-1,""),"")</f>
        <v/>
      </c>
    </row>
    <row r="42">
      <c r="A42" s="8" t="n">
        <v>46478</v>
      </c>
      <c r="B42" s="26">
        <f>YEAR(A42)</f>
        <v/>
      </c>
      <c r="C42" s="26">
        <f>MONTH(A42)</f>
        <v/>
      </c>
      <c r="D42">
        <f>IF(A42&lt;=LastActual,"Actual","Forecast")</f>
        <v/>
      </c>
      <c r="E42" s="24">
        <f>IF($D42="Actual",R42,W42)</f>
        <v/>
      </c>
      <c r="F42" s="27">
        <f>IF($D42="Actual",S42,Cases_Forecast!AO35)</f>
        <v/>
      </c>
      <c r="G42" s="9">
        <f>IF($D42="Actual",T42,IFERROR(H42/AE42,0))</f>
        <v/>
      </c>
      <c r="H42" s="24">
        <f>IF($D42="Actual",U42,J42-I42)</f>
        <v/>
      </c>
      <c r="I42" s="24">
        <f>IF($D42="Actual",V42,IFERROR(J42*AD42,0))</f>
        <v/>
      </c>
      <c r="J42" s="24">
        <f>IF($D42="Actual",U42+V42,E42*X42)</f>
        <v/>
      </c>
      <c r="K42" s="28">
        <f>IFERROR(F42/G42,0)</f>
        <v/>
      </c>
      <c r="L42" s="29">
        <f>IFERROR(H42/G42,0)</f>
        <v/>
      </c>
      <c r="M42" s="30">
        <f>IFERROR(J42/F42,0)</f>
        <v/>
      </c>
      <c r="N42" s="10">
        <f>IFERROR(J42/E42,0)</f>
        <v/>
      </c>
      <c r="O42" s="10">
        <f>IFERROR(I42/J42,0)</f>
        <v/>
      </c>
      <c r="R42" s="42">
        <f>IF($D42="Actual",SUMIFS(Data_Actuals!$C$2:$C$5000,Data_Actuals!$A$2:$A$5000,$A42,Data_Actuals!$B$2:$B$5000,$B$2),"")</f>
        <v/>
      </c>
      <c r="S42" s="42">
        <f>IF($D42="Actual",SUMIFS(Data_Actuals!$D$2:$D$5000,Data_Actuals!$A$2:$A$5000,$A42,Data_Actuals!$B$2:$B$5000,$B$2),"")</f>
        <v/>
      </c>
      <c r="T42" s="42">
        <f>IF($D42="Actual",SUMIFS(Data_Actuals!$E$2:$E$5000,Data_Actuals!$A$2:$A$5000,$A42,Data_Actuals!$B$2:$B$5000,$B$2),"")</f>
        <v/>
      </c>
      <c r="U42" s="42">
        <f>IF($D42="Actual",SUMIFS(Data_Actuals!$F$2:$F$5000,Data_Actuals!$A$2:$A$5000,$A42,Data_Actuals!$B$2:$B$5000,$B$2),"")</f>
        <v/>
      </c>
      <c r="V42" s="42">
        <f>IF($D42="Actual",SUMIFS(Data_Actuals!$G$2:$G$5000,Data_Actuals!$A$2:$A$5000,$A42,Data_Actuals!$B$2:$B$5000,$B$2),"")</f>
        <v/>
      </c>
      <c r="W42" s="42">
        <f>SUMIFS(Plan_Inputs!$C$2:$C$5000,Plan_Inputs!$A$2:$A$5000,$A42,Plan_Inputs!$B$2:$B$5000,$B$2)</f>
        <v/>
      </c>
      <c r="X42" s="43">
        <f>SUMIFS(Plan_Inputs!$D$2:$D$5000,Plan_Inputs!$A$2:$A$5000,$A42,Plan_Inputs!$B$2:$B$5000,$B$2)</f>
        <v/>
      </c>
      <c r="Y42" s="42">
        <f>E42</f>
        <v/>
      </c>
      <c r="Z42" s="44">
        <f>INDEX(Calendar!$H$5:$L$52,MATCH($A42,Calendar!$A$5:$A$52,0),MATCH($D$2,Calendar!$H$4:$L$4,0))</f>
        <v/>
      </c>
      <c r="AA42" s="44">
        <f>INDEX(Calendar!$M$5:$M$52,MATCH($A42,Calendar!$A$5:$A$52,0))</f>
        <v/>
      </c>
      <c r="AB42" s="45">
        <f>IF($D42="Actual",IFERROR(S42/Y42,""),AB30)</f>
        <v/>
      </c>
      <c r="AC42" s="46">
        <f>IF($D42="Actual",IFERROR(U42/T42/Z42/AA42,""),AC30)</f>
        <v/>
      </c>
      <c r="AD42" s="43">
        <f>IF($D42="Actual",IFERROR(V42/(U42+V42),""),AD30)</f>
        <v/>
      </c>
      <c r="AE42" s="46">
        <f>IFERROR(AC42*Z42*AA42,"")</f>
        <v/>
      </c>
      <c r="AF42" s="47">
        <f>K30</f>
        <v/>
      </c>
      <c r="AG42" s="43">
        <f>IF($D42="Forecast",IFERROR(K42/AF42-1,""),"")</f>
        <v/>
      </c>
    </row>
    <row r="43">
      <c r="A43" s="8" t="n">
        <v>46508</v>
      </c>
      <c r="B43" s="26">
        <f>YEAR(A43)</f>
        <v/>
      </c>
      <c r="C43" s="26">
        <f>MONTH(A43)</f>
        <v/>
      </c>
      <c r="D43">
        <f>IF(A43&lt;=LastActual,"Actual","Forecast")</f>
        <v/>
      </c>
      <c r="E43" s="24">
        <f>IF($D43="Actual",R43,W43)</f>
        <v/>
      </c>
      <c r="F43" s="27">
        <f>IF($D43="Actual",S43,Cases_Forecast!AO36)</f>
        <v/>
      </c>
      <c r="G43" s="9">
        <f>IF($D43="Actual",T43,IFERROR(H43/AE43,0))</f>
        <v/>
      </c>
      <c r="H43" s="24">
        <f>IF($D43="Actual",U43,J43-I43)</f>
        <v/>
      </c>
      <c r="I43" s="24">
        <f>IF($D43="Actual",V43,IFERROR(J43*AD43,0))</f>
        <v/>
      </c>
      <c r="J43" s="24">
        <f>IF($D43="Actual",U43+V43,E43*X43)</f>
        <v/>
      </c>
      <c r="K43" s="28">
        <f>IFERROR(F43/G43,0)</f>
        <v/>
      </c>
      <c r="L43" s="29">
        <f>IFERROR(H43/G43,0)</f>
        <v/>
      </c>
      <c r="M43" s="30">
        <f>IFERROR(J43/F43,0)</f>
        <v/>
      </c>
      <c r="N43" s="10">
        <f>IFERROR(J43/E43,0)</f>
        <v/>
      </c>
      <c r="O43" s="10">
        <f>IFERROR(I43/J43,0)</f>
        <v/>
      </c>
      <c r="R43" s="42">
        <f>IF($D43="Actual",SUMIFS(Data_Actuals!$C$2:$C$5000,Data_Actuals!$A$2:$A$5000,$A43,Data_Actuals!$B$2:$B$5000,$B$2),"")</f>
        <v/>
      </c>
      <c r="S43" s="42">
        <f>IF($D43="Actual",SUMIFS(Data_Actuals!$D$2:$D$5000,Data_Actuals!$A$2:$A$5000,$A43,Data_Actuals!$B$2:$B$5000,$B$2),"")</f>
        <v/>
      </c>
      <c r="T43" s="42">
        <f>IF($D43="Actual",SUMIFS(Data_Actuals!$E$2:$E$5000,Data_Actuals!$A$2:$A$5000,$A43,Data_Actuals!$B$2:$B$5000,$B$2),"")</f>
        <v/>
      </c>
      <c r="U43" s="42">
        <f>IF($D43="Actual",SUMIFS(Data_Actuals!$F$2:$F$5000,Data_Actuals!$A$2:$A$5000,$A43,Data_Actuals!$B$2:$B$5000,$B$2),"")</f>
        <v/>
      </c>
      <c r="V43" s="42">
        <f>IF($D43="Actual",SUMIFS(Data_Actuals!$G$2:$G$5000,Data_Actuals!$A$2:$A$5000,$A43,Data_Actuals!$B$2:$B$5000,$B$2),"")</f>
        <v/>
      </c>
      <c r="W43" s="42">
        <f>SUMIFS(Plan_Inputs!$C$2:$C$5000,Plan_Inputs!$A$2:$A$5000,$A43,Plan_Inputs!$B$2:$B$5000,$B$2)</f>
        <v/>
      </c>
      <c r="X43" s="43">
        <f>SUMIFS(Plan_Inputs!$D$2:$D$5000,Plan_Inputs!$A$2:$A$5000,$A43,Plan_Inputs!$B$2:$B$5000,$B$2)</f>
        <v/>
      </c>
      <c r="Y43" s="42">
        <f>E43</f>
        <v/>
      </c>
      <c r="Z43" s="44">
        <f>INDEX(Calendar!$H$5:$L$52,MATCH($A43,Calendar!$A$5:$A$52,0),MATCH($D$2,Calendar!$H$4:$L$4,0))</f>
        <v/>
      </c>
      <c r="AA43" s="44">
        <f>INDEX(Calendar!$M$5:$M$52,MATCH($A43,Calendar!$A$5:$A$52,0))</f>
        <v/>
      </c>
      <c r="AB43" s="45">
        <f>IF($D43="Actual",IFERROR(S43/Y43,""),AB31)</f>
        <v/>
      </c>
      <c r="AC43" s="46">
        <f>IF($D43="Actual",IFERROR(U43/T43/Z43/AA43,""),AC31)</f>
        <v/>
      </c>
      <c r="AD43" s="43">
        <f>IF($D43="Actual",IFERROR(V43/(U43+V43),""),AD31)</f>
        <v/>
      </c>
      <c r="AE43" s="46">
        <f>IFERROR(AC43*Z43*AA43,"")</f>
        <v/>
      </c>
      <c r="AF43" s="47">
        <f>K31</f>
        <v/>
      </c>
      <c r="AG43" s="43">
        <f>IF($D43="Forecast",IFERROR(K43/AF43-1,""),"")</f>
        <v/>
      </c>
    </row>
    <row r="44">
      <c r="A44" s="8" t="n">
        <v>46539</v>
      </c>
      <c r="B44" s="26">
        <f>YEAR(A44)</f>
        <v/>
      </c>
      <c r="C44" s="26">
        <f>MONTH(A44)</f>
        <v/>
      </c>
      <c r="D44">
        <f>IF(A44&lt;=LastActual,"Actual","Forecast")</f>
        <v/>
      </c>
      <c r="E44" s="24">
        <f>IF($D44="Actual",R44,W44)</f>
        <v/>
      </c>
      <c r="F44" s="27">
        <f>IF($D44="Actual",S44,Cases_Forecast!AO37)</f>
        <v/>
      </c>
      <c r="G44" s="9">
        <f>IF($D44="Actual",T44,IFERROR(H44/AE44,0))</f>
        <v/>
      </c>
      <c r="H44" s="24">
        <f>IF($D44="Actual",U44,J44-I44)</f>
        <v/>
      </c>
      <c r="I44" s="24">
        <f>IF($D44="Actual",V44,IFERROR(J44*AD44,0))</f>
        <v/>
      </c>
      <c r="J44" s="24">
        <f>IF($D44="Actual",U44+V44,E44*X44)</f>
        <v/>
      </c>
      <c r="K44" s="28">
        <f>IFERROR(F44/G44,0)</f>
        <v/>
      </c>
      <c r="L44" s="29">
        <f>IFERROR(H44/G44,0)</f>
        <v/>
      </c>
      <c r="M44" s="30">
        <f>IFERROR(J44/F44,0)</f>
        <v/>
      </c>
      <c r="N44" s="10">
        <f>IFERROR(J44/E44,0)</f>
        <v/>
      </c>
      <c r="O44" s="10">
        <f>IFERROR(I44/J44,0)</f>
        <v/>
      </c>
      <c r="R44" s="42">
        <f>IF($D44="Actual",SUMIFS(Data_Actuals!$C$2:$C$5000,Data_Actuals!$A$2:$A$5000,$A44,Data_Actuals!$B$2:$B$5000,$B$2),"")</f>
        <v/>
      </c>
      <c r="S44" s="42">
        <f>IF($D44="Actual",SUMIFS(Data_Actuals!$D$2:$D$5000,Data_Actuals!$A$2:$A$5000,$A44,Data_Actuals!$B$2:$B$5000,$B$2),"")</f>
        <v/>
      </c>
      <c r="T44" s="42">
        <f>IF($D44="Actual",SUMIFS(Data_Actuals!$E$2:$E$5000,Data_Actuals!$A$2:$A$5000,$A44,Data_Actuals!$B$2:$B$5000,$B$2),"")</f>
        <v/>
      </c>
      <c r="U44" s="42">
        <f>IF($D44="Actual",SUMIFS(Data_Actuals!$F$2:$F$5000,Data_Actuals!$A$2:$A$5000,$A44,Data_Actuals!$B$2:$B$5000,$B$2),"")</f>
        <v/>
      </c>
      <c r="V44" s="42">
        <f>IF($D44="Actual",SUMIFS(Data_Actuals!$G$2:$G$5000,Data_Actuals!$A$2:$A$5000,$A44,Data_Actuals!$B$2:$B$5000,$B$2),"")</f>
        <v/>
      </c>
      <c r="W44" s="42">
        <f>SUMIFS(Plan_Inputs!$C$2:$C$5000,Plan_Inputs!$A$2:$A$5000,$A44,Plan_Inputs!$B$2:$B$5000,$B$2)</f>
        <v/>
      </c>
      <c r="X44" s="43">
        <f>SUMIFS(Plan_Inputs!$D$2:$D$5000,Plan_Inputs!$A$2:$A$5000,$A44,Plan_Inputs!$B$2:$B$5000,$B$2)</f>
        <v/>
      </c>
      <c r="Y44" s="42">
        <f>E44</f>
        <v/>
      </c>
      <c r="Z44" s="44">
        <f>INDEX(Calendar!$H$5:$L$52,MATCH($A44,Calendar!$A$5:$A$52,0),MATCH($D$2,Calendar!$H$4:$L$4,0))</f>
        <v/>
      </c>
      <c r="AA44" s="44">
        <f>INDEX(Calendar!$M$5:$M$52,MATCH($A44,Calendar!$A$5:$A$52,0))</f>
        <v/>
      </c>
      <c r="AB44" s="45">
        <f>IF($D44="Actual",IFERROR(S44/Y44,""),AB32)</f>
        <v/>
      </c>
      <c r="AC44" s="46">
        <f>IF($D44="Actual",IFERROR(U44/T44/Z44/AA44,""),AC32)</f>
        <v/>
      </c>
      <c r="AD44" s="43">
        <f>IF($D44="Actual",IFERROR(V44/(U44+V44),""),AD32)</f>
        <v/>
      </c>
      <c r="AE44" s="46">
        <f>IFERROR(AC44*Z44*AA44,"")</f>
        <v/>
      </c>
      <c r="AF44" s="47">
        <f>K32</f>
        <v/>
      </c>
      <c r="AG44" s="43">
        <f>IF($D44="Forecast",IFERROR(K44/AF44-1,""),"")</f>
        <v/>
      </c>
    </row>
    <row r="45">
      <c r="A45" s="8" t="n">
        <v>46569</v>
      </c>
      <c r="B45" s="26">
        <f>YEAR(A45)</f>
        <v/>
      </c>
      <c r="C45" s="26">
        <f>MONTH(A45)</f>
        <v/>
      </c>
      <c r="D45">
        <f>IF(A45&lt;=LastActual,"Actual","Forecast")</f>
        <v/>
      </c>
      <c r="E45" s="24">
        <f>IF($D45="Actual",R45,W45)</f>
        <v/>
      </c>
      <c r="F45" s="27">
        <f>IF($D45="Actual",S45,Cases_Forecast!AO38)</f>
        <v/>
      </c>
      <c r="G45" s="9">
        <f>IF($D45="Actual",T45,IFERROR(H45/AE45,0))</f>
        <v/>
      </c>
      <c r="H45" s="24">
        <f>IF($D45="Actual",U45,J45-I45)</f>
        <v/>
      </c>
      <c r="I45" s="24">
        <f>IF($D45="Actual",V45,IFERROR(J45*AD45,0))</f>
        <v/>
      </c>
      <c r="J45" s="24">
        <f>IF($D45="Actual",U45+V45,E45*X45)</f>
        <v/>
      </c>
      <c r="K45" s="28">
        <f>IFERROR(F45/G45,0)</f>
        <v/>
      </c>
      <c r="L45" s="29">
        <f>IFERROR(H45/G45,0)</f>
        <v/>
      </c>
      <c r="M45" s="30">
        <f>IFERROR(J45/F45,0)</f>
        <v/>
      </c>
      <c r="N45" s="10">
        <f>IFERROR(J45/E45,0)</f>
        <v/>
      </c>
      <c r="O45" s="10">
        <f>IFERROR(I45/J45,0)</f>
        <v/>
      </c>
      <c r="R45" s="42">
        <f>IF($D45="Actual",SUMIFS(Data_Actuals!$C$2:$C$5000,Data_Actuals!$A$2:$A$5000,$A45,Data_Actuals!$B$2:$B$5000,$B$2),"")</f>
        <v/>
      </c>
      <c r="S45" s="42">
        <f>IF($D45="Actual",SUMIFS(Data_Actuals!$D$2:$D$5000,Data_Actuals!$A$2:$A$5000,$A45,Data_Actuals!$B$2:$B$5000,$B$2),"")</f>
        <v/>
      </c>
      <c r="T45" s="42">
        <f>IF($D45="Actual",SUMIFS(Data_Actuals!$E$2:$E$5000,Data_Actuals!$A$2:$A$5000,$A45,Data_Actuals!$B$2:$B$5000,$B$2),"")</f>
        <v/>
      </c>
      <c r="U45" s="42">
        <f>IF($D45="Actual",SUMIFS(Data_Actuals!$F$2:$F$5000,Data_Actuals!$A$2:$A$5000,$A45,Data_Actuals!$B$2:$B$5000,$B$2),"")</f>
        <v/>
      </c>
      <c r="V45" s="42">
        <f>IF($D45="Actual",SUMIFS(Data_Actuals!$G$2:$G$5000,Data_Actuals!$A$2:$A$5000,$A45,Data_Actuals!$B$2:$B$5000,$B$2),"")</f>
        <v/>
      </c>
      <c r="W45" s="42">
        <f>SUMIFS(Plan_Inputs!$C$2:$C$5000,Plan_Inputs!$A$2:$A$5000,$A45,Plan_Inputs!$B$2:$B$5000,$B$2)</f>
        <v/>
      </c>
      <c r="X45" s="43">
        <f>SUMIFS(Plan_Inputs!$D$2:$D$5000,Plan_Inputs!$A$2:$A$5000,$A45,Plan_Inputs!$B$2:$B$5000,$B$2)</f>
        <v/>
      </c>
      <c r="Y45" s="42">
        <f>E45</f>
        <v/>
      </c>
      <c r="Z45" s="44">
        <f>INDEX(Calendar!$H$5:$L$52,MATCH($A45,Calendar!$A$5:$A$52,0),MATCH($D$2,Calendar!$H$4:$L$4,0))</f>
        <v/>
      </c>
      <c r="AA45" s="44">
        <f>INDEX(Calendar!$M$5:$M$52,MATCH($A45,Calendar!$A$5:$A$52,0))</f>
        <v/>
      </c>
      <c r="AB45" s="45">
        <f>IF($D45="Actual",IFERROR(S45/Y45,""),AB33)</f>
        <v/>
      </c>
      <c r="AC45" s="46">
        <f>IF($D45="Actual",IFERROR(U45/T45/Z45/AA45,""),AC33)</f>
        <v/>
      </c>
      <c r="AD45" s="43">
        <f>IF($D45="Actual",IFERROR(V45/(U45+V45),""),AD33)</f>
        <v/>
      </c>
      <c r="AE45" s="46">
        <f>IFERROR(AC45*Z45*AA45,"")</f>
        <v/>
      </c>
      <c r="AF45" s="47">
        <f>K33</f>
        <v/>
      </c>
      <c r="AG45" s="43">
        <f>IF($D45="Forecast",IFERROR(K45/AF45-1,""),"")</f>
        <v/>
      </c>
    </row>
    <row r="46">
      <c r="A46" s="8" t="n">
        <v>46600</v>
      </c>
      <c r="B46" s="26">
        <f>YEAR(A46)</f>
        <v/>
      </c>
      <c r="C46" s="26">
        <f>MONTH(A46)</f>
        <v/>
      </c>
      <c r="D46">
        <f>IF(A46&lt;=LastActual,"Actual","Forecast")</f>
        <v/>
      </c>
      <c r="E46" s="24">
        <f>IF($D46="Actual",R46,W46)</f>
        <v/>
      </c>
      <c r="F46" s="27">
        <f>IF($D46="Actual",S46,Cases_Forecast!AO39)</f>
        <v/>
      </c>
      <c r="G46" s="9">
        <f>IF($D46="Actual",T46,IFERROR(H46/AE46,0))</f>
        <v/>
      </c>
      <c r="H46" s="24">
        <f>IF($D46="Actual",U46,J46-I46)</f>
        <v/>
      </c>
      <c r="I46" s="24">
        <f>IF($D46="Actual",V46,IFERROR(J46*AD46,0))</f>
        <v/>
      </c>
      <c r="J46" s="24">
        <f>IF($D46="Actual",U46+V46,E46*X46)</f>
        <v/>
      </c>
      <c r="K46" s="28">
        <f>IFERROR(F46/G46,0)</f>
        <v/>
      </c>
      <c r="L46" s="29">
        <f>IFERROR(H46/G46,0)</f>
        <v/>
      </c>
      <c r="M46" s="30">
        <f>IFERROR(J46/F46,0)</f>
        <v/>
      </c>
      <c r="N46" s="10">
        <f>IFERROR(J46/E46,0)</f>
        <v/>
      </c>
      <c r="O46" s="10">
        <f>IFERROR(I46/J46,0)</f>
        <v/>
      </c>
      <c r="R46" s="42">
        <f>IF($D46="Actual",SUMIFS(Data_Actuals!$C$2:$C$5000,Data_Actuals!$A$2:$A$5000,$A46,Data_Actuals!$B$2:$B$5000,$B$2),"")</f>
        <v/>
      </c>
      <c r="S46" s="42">
        <f>IF($D46="Actual",SUMIFS(Data_Actuals!$D$2:$D$5000,Data_Actuals!$A$2:$A$5000,$A46,Data_Actuals!$B$2:$B$5000,$B$2),"")</f>
        <v/>
      </c>
      <c r="T46" s="42">
        <f>IF($D46="Actual",SUMIFS(Data_Actuals!$E$2:$E$5000,Data_Actuals!$A$2:$A$5000,$A46,Data_Actuals!$B$2:$B$5000,$B$2),"")</f>
        <v/>
      </c>
      <c r="U46" s="42">
        <f>IF($D46="Actual",SUMIFS(Data_Actuals!$F$2:$F$5000,Data_Actuals!$A$2:$A$5000,$A46,Data_Actuals!$B$2:$B$5000,$B$2),"")</f>
        <v/>
      </c>
      <c r="V46" s="42">
        <f>IF($D46="Actual",SUMIFS(Data_Actuals!$G$2:$G$5000,Data_Actuals!$A$2:$A$5000,$A46,Data_Actuals!$B$2:$B$5000,$B$2),"")</f>
        <v/>
      </c>
      <c r="W46" s="42">
        <f>SUMIFS(Plan_Inputs!$C$2:$C$5000,Plan_Inputs!$A$2:$A$5000,$A46,Plan_Inputs!$B$2:$B$5000,$B$2)</f>
        <v/>
      </c>
      <c r="X46" s="43">
        <f>SUMIFS(Plan_Inputs!$D$2:$D$5000,Plan_Inputs!$A$2:$A$5000,$A46,Plan_Inputs!$B$2:$B$5000,$B$2)</f>
        <v/>
      </c>
      <c r="Y46" s="42">
        <f>E46</f>
        <v/>
      </c>
      <c r="Z46" s="44">
        <f>INDEX(Calendar!$H$5:$L$52,MATCH($A46,Calendar!$A$5:$A$52,0),MATCH($D$2,Calendar!$H$4:$L$4,0))</f>
        <v/>
      </c>
      <c r="AA46" s="44">
        <f>INDEX(Calendar!$M$5:$M$52,MATCH($A46,Calendar!$A$5:$A$52,0))</f>
        <v/>
      </c>
      <c r="AB46" s="45">
        <f>IF($D46="Actual",IFERROR(S46/Y46,""),AB34)</f>
        <v/>
      </c>
      <c r="AC46" s="46">
        <f>IF($D46="Actual",IFERROR(U46/T46/Z46/AA46,""),AC34)</f>
        <v/>
      </c>
      <c r="AD46" s="43">
        <f>IF($D46="Actual",IFERROR(V46/(U46+V46),""),AD34)</f>
        <v/>
      </c>
      <c r="AE46" s="46">
        <f>IFERROR(AC46*Z46*AA46,"")</f>
        <v/>
      </c>
      <c r="AF46" s="47">
        <f>K34</f>
        <v/>
      </c>
      <c r="AG46" s="43">
        <f>IF($D46="Forecast",IFERROR(K46/AF46-1,""),"")</f>
        <v/>
      </c>
    </row>
    <row r="47">
      <c r="A47" s="8" t="n">
        <v>46631</v>
      </c>
      <c r="B47" s="26">
        <f>YEAR(A47)</f>
        <v/>
      </c>
      <c r="C47" s="26">
        <f>MONTH(A47)</f>
        <v/>
      </c>
      <c r="D47">
        <f>IF(A47&lt;=LastActual,"Actual","Forecast")</f>
        <v/>
      </c>
      <c r="E47" s="24">
        <f>IF($D47="Actual",R47,W47)</f>
        <v/>
      </c>
      <c r="F47" s="27">
        <f>IF($D47="Actual",S47,Cases_Forecast!AO40)</f>
        <v/>
      </c>
      <c r="G47" s="9">
        <f>IF($D47="Actual",T47,IFERROR(H47/AE47,0))</f>
        <v/>
      </c>
      <c r="H47" s="24">
        <f>IF($D47="Actual",U47,J47-I47)</f>
        <v/>
      </c>
      <c r="I47" s="24">
        <f>IF($D47="Actual",V47,IFERROR(J47*AD47,0))</f>
        <v/>
      </c>
      <c r="J47" s="24">
        <f>IF($D47="Actual",U47+V47,E47*X47)</f>
        <v/>
      </c>
      <c r="K47" s="28">
        <f>IFERROR(F47/G47,0)</f>
        <v/>
      </c>
      <c r="L47" s="29">
        <f>IFERROR(H47/G47,0)</f>
        <v/>
      </c>
      <c r="M47" s="30">
        <f>IFERROR(J47/F47,0)</f>
        <v/>
      </c>
      <c r="N47" s="10">
        <f>IFERROR(J47/E47,0)</f>
        <v/>
      </c>
      <c r="O47" s="10">
        <f>IFERROR(I47/J47,0)</f>
        <v/>
      </c>
      <c r="R47" s="42">
        <f>IF($D47="Actual",SUMIFS(Data_Actuals!$C$2:$C$5000,Data_Actuals!$A$2:$A$5000,$A47,Data_Actuals!$B$2:$B$5000,$B$2),"")</f>
        <v/>
      </c>
      <c r="S47" s="42">
        <f>IF($D47="Actual",SUMIFS(Data_Actuals!$D$2:$D$5000,Data_Actuals!$A$2:$A$5000,$A47,Data_Actuals!$B$2:$B$5000,$B$2),"")</f>
        <v/>
      </c>
      <c r="T47" s="42">
        <f>IF($D47="Actual",SUMIFS(Data_Actuals!$E$2:$E$5000,Data_Actuals!$A$2:$A$5000,$A47,Data_Actuals!$B$2:$B$5000,$B$2),"")</f>
        <v/>
      </c>
      <c r="U47" s="42">
        <f>IF($D47="Actual",SUMIFS(Data_Actuals!$F$2:$F$5000,Data_Actuals!$A$2:$A$5000,$A47,Data_Actuals!$B$2:$B$5000,$B$2),"")</f>
        <v/>
      </c>
      <c r="V47" s="42">
        <f>IF($D47="Actual",SUMIFS(Data_Actuals!$G$2:$G$5000,Data_Actuals!$A$2:$A$5000,$A47,Data_Actuals!$B$2:$B$5000,$B$2),"")</f>
        <v/>
      </c>
      <c r="W47" s="42">
        <f>SUMIFS(Plan_Inputs!$C$2:$C$5000,Plan_Inputs!$A$2:$A$5000,$A47,Plan_Inputs!$B$2:$B$5000,$B$2)</f>
        <v/>
      </c>
      <c r="X47" s="43">
        <f>SUMIFS(Plan_Inputs!$D$2:$D$5000,Plan_Inputs!$A$2:$A$5000,$A47,Plan_Inputs!$B$2:$B$5000,$B$2)</f>
        <v/>
      </c>
      <c r="Y47" s="42">
        <f>E47</f>
        <v/>
      </c>
      <c r="Z47" s="44">
        <f>INDEX(Calendar!$H$5:$L$52,MATCH($A47,Calendar!$A$5:$A$52,0),MATCH($D$2,Calendar!$H$4:$L$4,0))</f>
        <v/>
      </c>
      <c r="AA47" s="44">
        <f>INDEX(Calendar!$M$5:$M$52,MATCH($A47,Calendar!$A$5:$A$52,0))</f>
        <v/>
      </c>
      <c r="AB47" s="45">
        <f>IF($D47="Actual",IFERROR(S47/Y47,""),AB35)</f>
        <v/>
      </c>
      <c r="AC47" s="46">
        <f>IF($D47="Actual",IFERROR(U47/T47/Z47/AA47,""),AC35)</f>
        <v/>
      </c>
      <c r="AD47" s="43">
        <f>IF($D47="Actual",IFERROR(V47/(U47+V47),""),AD35)</f>
        <v/>
      </c>
      <c r="AE47" s="46">
        <f>IFERROR(AC47*Z47*AA47,"")</f>
        <v/>
      </c>
      <c r="AF47" s="47">
        <f>K35</f>
        <v/>
      </c>
      <c r="AG47" s="43">
        <f>IF($D47="Forecast",IFERROR(K47/AF47-1,""),"")</f>
        <v/>
      </c>
    </row>
    <row r="48">
      <c r="A48" s="8" t="n">
        <v>46661</v>
      </c>
      <c r="B48" s="26">
        <f>YEAR(A48)</f>
        <v/>
      </c>
      <c r="C48" s="26">
        <f>MONTH(A48)</f>
        <v/>
      </c>
      <c r="D48">
        <f>IF(A48&lt;=LastActual,"Actual","Forecast")</f>
        <v/>
      </c>
      <c r="E48" s="24">
        <f>IF($D48="Actual",R48,W48)</f>
        <v/>
      </c>
      <c r="F48" s="27">
        <f>IF($D48="Actual",S48,Cases_Forecast!AO41)</f>
        <v/>
      </c>
      <c r="G48" s="9">
        <f>IF($D48="Actual",T48,IFERROR(H48/AE48,0))</f>
        <v/>
      </c>
      <c r="H48" s="24">
        <f>IF($D48="Actual",U48,J48-I48)</f>
        <v/>
      </c>
      <c r="I48" s="24">
        <f>IF($D48="Actual",V48,IFERROR(J48*AD48,0))</f>
        <v/>
      </c>
      <c r="J48" s="24">
        <f>IF($D48="Actual",U48+V48,E48*X48)</f>
        <v/>
      </c>
      <c r="K48" s="28">
        <f>IFERROR(F48/G48,0)</f>
        <v/>
      </c>
      <c r="L48" s="29">
        <f>IFERROR(H48/G48,0)</f>
        <v/>
      </c>
      <c r="M48" s="30">
        <f>IFERROR(J48/F48,0)</f>
        <v/>
      </c>
      <c r="N48" s="10">
        <f>IFERROR(J48/E48,0)</f>
        <v/>
      </c>
      <c r="O48" s="10">
        <f>IFERROR(I48/J48,0)</f>
        <v/>
      </c>
      <c r="R48" s="42">
        <f>IF($D48="Actual",SUMIFS(Data_Actuals!$C$2:$C$5000,Data_Actuals!$A$2:$A$5000,$A48,Data_Actuals!$B$2:$B$5000,$B$2),"")</f>
        <v/>
      </c>
      <c r="S48" s="42">
        <f>IF($D48="Actual",SUMIFS(Data_Actuals!$D$2:$D$5000,Data_Actuals!$A$2:$A$5000,$A48,Data_Actuals!$B$2:$B$5000,$B$2),"")</f>
        <v/>
      </c>
      <c r="T48" s="42">
        <f>IF($D48="Actual",SUMIFS(Data_Actuals!$E$2:$E$5000,Data_Actuals!$A$2:$A$5000,$A48,Data_Actuals!$B$2:$B$5000,$B$2),"")</f>
        <v/>
      </c>
      <c r="U48" s="42">
        <f>IF($D48="Actual",SUMIFS(Data_Actuals!$F$2:$F$5000,Data_Actuals!$A$2:$A$5000,$A48,Data_Actuals!$B$2:$B$5000,$B$2),"")</f>
        <v/>
      </c>
      <c r="V48" s="42">
        <f>IF($D48="Actual",SUMIFS(Data_Actuals!$G$2:$G$5000,Data_Actuals!$A$2:$A$5000,$A48,Data_Actuals!$B$2:$B$5000,$B$2),"")</f>
        <v/>
      </c>
      <c r="W48" s="42">
        <f>SUMIFS(Plan_Inputs!$C$2:$C$5000,Plan_Inputs!$A$2:$A$5000,$A48,Plan_Inputs!$B$2:$B$5000,$B$2)</f>
        <v/>
      </c>
      <c r="X48" s="43">
        <f>SUMIFS(Plan_Inputs!$D$2:$D$5000,Plan_Inputs!$A$2:$A$5000,$A48,Plan_Inputs!$B$2:$B$5000,$B$2)</f>
        <v/>
      </c>
      <c r="Y48" s="42">
        <f>E48</f>
        <v/>
      </c>
      <c r="Z48" s="44">
        <f>INDEX(Calendar!$H$5:$L$52,MATCH($A48,Calendar!$A$5:$A$52,0),MATCH($D$2,Calendar!$H$4:$L$4,0))</f>
        <v/>
      </c>
      <c r="AA48" s="44">
        <f>INDEX(Calendar!$M$5:$M$52,MATCH($A48,Calendar!$A$5:$A$52,0))</f>
        <v/>
      </c>
      <c r="AB48" s="45">
        <f>IF($D48="Actual",IFERROR(S48/Y48,""),AB36)</f>
        <v/>
      </c>
      <c r="AC48" s="46">
        <f>IF($D48="Actual",IFERROR(U48/T48/Z48/AA48,""),AC36)</f>
        <v/>
      </c>
      <c r="AD48" s="43">
        <f>IF($D48="Actual",IFERROR(V48/(U48+V48),""),AD36)</f>
        <v/>
      </c>
      <c r="AE48" s="46">
        <f>IFERROR(AC48*Z48*AA48,"")</f>
        <v/>
      </c>
      <c r="AF48" s="47">
        <f>K36</f>
        <v/>
      </c>
      <c r="AG48" s="43">
        <f>IF($D48="Forecast",IFERROR(K48/AF48-1,""),"")</f>
        <v/>
      </c>
    </row>
    <row r="49">
      <c r="A49" s="8" t="n">
        <v>46692</v>
      </c>
      <c r="B49" s="26">
        <f>YEAR(A49)</f>
        <v/>
      </c>
      <c r="C49" s="26">
        <f>MONTH(A49)</f>
        <v/>
      </c>
      <c r="D49">
        <f>IF(A49&lt;=LastActual,"Actual","Forecast")</f>
        <v/>
      </c>
      <c r="E49" s="24">
        <f>IF($D49="Actual",R49,W49)</f>
        <v/>
      </c>
      <c r="F49" s="27">
        <f>IF($D49="Actual",S49,Cases_Forecast!AO42)</f>
        <v/>
      </c>
      <c r="G49" s="9">
        <f>IF($D49="Actual",T49,IFERROR(H49/AE49,0))</f>
        <v/>
      </c>
      <c r="H49" s="24">
        <f>IF($D49="Actual",U49,J49-I49)</f>
        <v/>
      </c>
      <c r="I49" s="24">
        <f>IF($D49="Actual",V49,IFERROR(J49*AD49,0))</f>
        <v/>
      </c>
      <c r="J49" s="24">
        <f>IF($D49="Actual",U49+V49,E49*X49)</f>
        <v/>
      </c>
      <c r="K49" s="28">
        <f>IFERROR(F49/G49,0)</f>
        <v/>
      </c>
      <c r="L49" s="29">
        <f>IFERROR(H49/G49,0)</f>
        <v/>
      </c>
      <c r="M49" s="30">
        <f>IFERROR(J49/F49,0)</f>
        <v/>
      </c>
      <c r="N49" s="10">
        <f>IFERROR(J49/E49,0)</f>
        <v/>
      </c>
      <c r="O49" s="10">
        <f>IFERROR(I49/J49,0)</f>
        <v/>
      </c>
      <c r="R49" s="42">
        <f>IF($D49="Actual",SUMIFS(Data_Actuals!$C$2:$C$5000,Data_Actuals!$A$2:$A$5000,$A49,Data_Actuals!$B$2:$B$5000,$B$2),"")</f>
        <v/>
      </c>
      <c r="S49" s="42">
        <f>IF($D49="Actual",SUMIFS(Data_Actuals!$D$2:$D$5000,Data_Actuals!$A$2:$A$5000,$A49,Data_Actuals!$B$2:$B$5000,$B$2),"")</f>
        <v/>
      </c>
      <c r="T49" s="42">
        <f>IF($D49="Actual",SUMIFS(Data_Actuals!$E$2:$E$5000,Data_Actuals!$A$2:$A$5000,$A49,Data_Actuals!$B$2:$B$5000,$B$2),"")</f>
        <v/>
      </c>
      <c r="U49" s="42">
        <f>IF($D49="Actual",SUMIFS(Data_Actuals!$F$2:$F$5000,Data_Actuals!$A$2:$A$5000,$A49,Data_Actuals!$B$2:$B$5000,$B$2),"")</f>
        <v/>
      </c>
      <c r="V49" s="42">
        <f>IF($D49="Actual",SUMIFS(Data_Actuals!$G$2:$G$5000,Data_Actuals!$A$2:$A$5000,$A49,Data_Actuals!$B$2:$B$5000,$B$2),"")</f>
        <v/>
      </c>
      <c r="W49" s="42">
        <f>SUMIFS(Plan_Inputs!$C$2:$C$5000,Plan_Inputs!$A$2:$A$5000,$A49,Plan_Inputs!$B$2:$B$5000,$B$2)</f>
        <v/>
      </c>
      <c r="X49" s="43">
        <f>SUMIFS(Plan_Inputs!$D$2:$D$5000,Plan_Inputs!$A$2:$A$5000,$A49,Plan_Inputs!$B$2:$B$5000,$B$2)</f>
        <v/>
      </c>
      <c r="Y49" s="42">
        <f>E49</f>
        <v/>
      </c>
      <c r="Z49" s="44">
        <f>INDEX(Calendar!$H$5:$L$52,MATCH($A49,Calendar!$A$5:$A$52,0),MATCH($D$2,Calendar!$H$4:$L$4,0))</f>
        <v/>
      </c>
      <c r="AA49" s="44">
        <f>INDEX(Calendar!$M$5:$M$52,MATCH($A49,Calendar!$A$5:$A$52,0))</f>
        <v/>
      </c>
      <c r="AB49" s="45">
        <f>IF($D49="Actual",IFERROR(S49/Y49,""),AB37)</f>
        <v/>
      </c>
      <c r="AC49" s="46">
        <f>IF($D49="Actual",IFERROR(U49/T49/Z49/AA49,""),AC37)</f>
        <v/>
      </c>
      <c r="AD49" s="43">
        <f>IF($D49="Actual",IFERROR(V49/(U49+V49),""),AD37)</f>
        <v/>
      </c>
      <c r="AE49" s="46">
        <f>IFERROR(AC49*Z49*AA49,"")</f>
        <v/>
      </c>
      <c r="AF49" s="47">
        <f>K37</f>
        <v/>
      </c>
      <c r="AG49" s="43">
        <f>IF($D49="Forecast",IFERROR(K49/AF49-1,""),"")</f>
        <v/>
      </c>
    </row>
    <row r="50">
      <c r="A50" s="31" t="n">
        <v>46722</v>
      </c>
      <c r="B50" s="32">
        <f>YEAR(A50)</f>
        <v/>
      </c>
      <c r="C50" s="32">
        <f>MONTH(A50)</f>
        <v/>
      </c>
      <c r="D50" s="33">
        <f>IF(A50&lt;=LastActual,"Actual","Forecast")</f>
        <v/>
      </c>
      <c r="E50" s="34">
        <f>IF($D50="Actual",R50,W50)</f>
        <v/>
      </c>
      <c r="F50" s="35">
        <f>IF($D50="Actual",S50,Cases_Forecast!AO43)</f>
        <v/>
      </c>
      <c r="G50" s="36">
        <f>IF($D50="Actual",T50,IFERROR(H50/AE50,0))</f>
        <v/>
      </c>
      <c r="H50" s="34">
        <f>IF($D50="Actual",U50,J50-I50)</f>
        <v/>
      </c>
      <c r="I50" s="34">
        <f>IF($D50="Actual",V50,IFERROR(J50*AD50,0))</f>
        <v/>
      </c>
      <c r="J50" s="34">
        <f>IF($D50="Actual",U50+V50,E50*X50)</f>
        <v/>
      </c>
      <c r="K50" s="37">
        <f>IFERROR(F50/G50,0)</f>
        <v/>
      </c>
      <c r="L50" s="38">
        <f>IFERROR(H50/G50,0)</f>
        <v/>
      </c>
      <c r="M50" s="39">
        <f>IFERROR(J50/F50,0)</f>
        <v/>
      </c>
      <c r="N50" s="40">
        <f>IFERROR(J50/E50,0)</f>
        <v/>
      </c>
      <c r="O50" s="40">
        <f>IFERROR(I50/J50,0)</f>
        <v/>
      </c>
      <c r="R50" s="42">
        <f>IF($D50="Actual",SUMIFS(Data_Actuals!$C$2:$C$5000,Data_Actuals!$A$2:$A$5000,$A50,Data_Actuals!$B$2:$B$5000,$B$2),"")</f>
        <v/>
      </c>
      <c r="S50" s="42">
        <f>IF($D50="Actual",SUMIFS(Data_Actuals!$D$2:$D$5000,Data_Actuals!$A$2:$A$5000,$A50,Data_Actuals!$B$2:$B$5000,$B$2),"")</f>
        <v/>
      </c>
      <c r="T50" s="42">
        <f>IF($D50="Actual",SUMIFS(Data_Actuals!$E$2:$E$5000,Data_Actuals!$A$2:$A$5000,$A50,Data_Actuals!$B$2:$B$5000,$B$2),"")</f>
        <v/>
      </c>
      <c r="U50" s="42">
        <f>IF($D50="Actual",SUMIFS(Data_Actuals!$F$2:$F$5000,Data_Actuals!$A$2:$A$5000,$A50,Data_Actuals!$B$2:$B$5000,$B$2),"")</f>
        <v/>
      </c>
      <c r="V50" s="42">
        <f>IF($D50="Actual",SUMIFS(Data_Actuals!$G$2:$G$5000,Data_Actuals!$A$2:$A$5000,$A50,Data_Actuals!$B$2:$B$5000,$B$2),"")</f>
        <v/>
      </c>
      <c r="W50" s="42">
        <f>SUMIFS(Plan_Inputs!$C$2:$C$5000,Plan_Inputs!$A$2:$A$5000,$A50,Plan_Inputs!$B$2:$B$5000,$B$2)</f>
        <v/>
      </c>
      <c r="X50" s="43">
        <f>SUMIFS(Plan_Inputs!$D$2:$D$5000,Plan_Inputs!$A$2:$A$5000,$A50,Plan_Inputs!$B$2:$B$5000,$B$2)</f>
        <v/>
      </c>
      <c r="Y50" s="42">
        <f>E50</f>
        <v/>
      </c>
      <c r="Z50" s="44">
        <f>INDEX(Calendar!$H$5:$L$52,MATCH($A50,Calendar!$A$5:$A$52,0),MATCH($D$2,Calendar!$H$4:$L$4,0))</f>
        <v/>
      </c>
      <c r="AA50" s="44">
        <f>INDEX(Calendar!$M$5:$M$52,MATCH($A50,Calendar!$A$5:$A$52,0))</f>
        <v/>
      </c>
      <c r="AB50" s="45">
        <f>IF($D50="Actual",IFERROR(S50/Y50,""),AB38)</f>
        <v/>
      </c>
      <c r="AC50" s="46">
        <f>IF($D50="Actual",IFERROR(U50/T50/Z50/AA50,""),AC38)</f>
        <v/>
      </c>
      <c r="AD50" s="43">
        <f>IF($D50="Actual",IFERROR(V50/(U50+V50),""),AD38)</f>
        <v/>
      </c>
      <c r="AE50" s="46">
        <f>IFERROR(AC50*Z50*AA50,"")</f>
        <v/>
      </c>
      <c r="AF50" s="47">
        <f>K38</f>
        <v/>
      </c>
      <c r="AG50" s="43">
        <f>IF($D50="Forecast",IFERROR(K50/AF50-1,""),"")</f>
        <v/>
      </c>
    </row>
    <row r="51">
      <c r="A51" s="8" t="n">
        <v>46753</v>
      </c>
      <c r="B51" s="26">
        <f>YEAR(A51)</f>
        <v/>
      </c>
      <c r="C51" s="26">
        <f>MONTH(A51)</f>
        <v/>
      </c>
      <c r="D51">
        <f>IF(A51&lt;=LastActual,"Actual","Forecast")</f>
        <v/>
      </c>
      <c r="E51" s="24">
        <f>IF($D51="Actual",R51,W51)</f>
        <v/>
      </c>
      <c r="F51" s="27">
        <f>IF($D51="Actual",S51,Cases_Forecast!AO44)</f>
        <v/>
      </c>
      <c r="G51" s="9">
        <f>IF($D51="Actual",T51,IFERROR(H51/AE51,0))</f>
        <v/>
      </c>
      <c r="H51" s="24">
        <f>IF($D51="Actual",U51,J51-I51)</f>
        <v/>
      </c>
      <c r="I51" s="24">
        <f>IF($D51="Actual",V51,IFERROR(J51*AD51,0))</f>
        <v/>
      </c>
      <c r="J51" s="24">
        <f>IF($D51="Actual",U51+V51,E51*X51)</f>
        <v/>
      </c>
      <c r="K51" s="28">
        <f>IFERROR(F51/G51,0)</f>
        <v/>
      </c>
      <c r="L51" s="29">
        <f>IFERROR(H51/G51,0)</f>
        <v/>
      </c>
      <c r="M51" s="30">
        <f>IFERROR(J51/F51,0)</f>
        <v/>
      </c>
      <c r="N51" s="10">
        <f>IFERROR(J51/E51,0)</f>
        <v/>
      </c>
      <c r="O51" s="10">
        <f>IFERROR(I51/J51,0)</f>
        <v/>
      </c>
      <c r="R51" s="42">
        <f>IF($D51="Actual",SUMIFS(Data_Actuals!$C$2:$C$5000,Data_Actuals!$A$2:$A$5000,$A51,Data_Actuals!$B$2:$B$5000,$B$2),"")</f>
        <v/>
      </c>
      <c r="S51" s="42">
        <f>IF($D51="Actual",SUMIFS(Data_Actuals!$D$2:$D$5000,Data_Actuals!$A$2:$A$5000,$A51,Data_Actuals!$B$2:$B$5000,$B$2),"")</f>
        <v/>
      </c>
      <c r="T51" s="42">
        <f>IF($D51="Actual",SUMIFS(Data_Actuals!$E$2:$E$5000,Data_Actuals!$A$2:$A$5000,$A51,Data_Actuals!$B$2:$B$5000,$B$2),"")</f>
        <v/>
      </c>
      <c r="U51" s="42">
        <f>IF($D51="Actual",SUMIFS(Data_Actuals!$F$2:$F$5000,Data_Actuals!$A$2:$A$5000,$A51,Data_Actuals!$B$2:$B$5000,$B$2),"")</f>
        <v/>
      </c>
      <c r="V51" s="42">
        <f>IF($D51="Actual",SUMIFS(Data_Actuals!$G$2:$G$5000,Data_Actuals!$A$2:$A$5000,$A51,Data_Actuals!$B$2:$B$5000,$B$2),"")</f>
        <v/>
      </c>
      <c r="W51" s="42">
        <f>SUMIFS(Plan_Inputs!$C$2:$C$5000,Plan_Inputs!$A$2:$A$5000,$A51,Plan_Inputs!$B$2:$B$5000,$B$2)</f>
        <v/>
      </c>
      <c r="X51" s="43">
        <f>SUMIFS(Plan_Inputs!$D$2:$D$5000,Plan_Inputs!$A$2:$A$5000,$A51,Plan_Inputs!$B$2:$B$5000,$B$2)</f>
        <v/>
      </c>
      <c r="Y51" s="42">
        <f>E51</f>
        <v/>
      </c>
      <c r="Z51" s="44">
        <f>INDEX(Calendar!$H$5:$L$52,MATCH($A51,Calendar!$A$5:$A$52,0),MATCH($D$2,Calendar!$H$4:$L$4,0))</f>
        <v/>
      </c>
      <c r="AA51" s="44">
        <f>INDEX(Calendar!$M$5:$M$52,MATCH($A51,Calendar!$A$5:$A$52,0))</f>
        <v/>
      </c>
      <c r="AB51" s="45">
        <f>IF($D51="Actual",IFERROR(S51/Y51,""),AB39)</f>
        <v/>
      </c>
      <c r="AC51" s="46">
        <f>IF($D51="Actual",IFERROR(U51/T51/Z51/AA51,""),AC39)</f>
        <v/>
      </c>
      <c r="AD51" s="43">
        <f>IF($D51="Actual",IFERROR(V51/(U51+V51),""),AD39)</f>
        <v/>
      </c>
      <c r="AE51" s="46">
        <f>IFERROR(AC51*Z51*AA51,"")</f>
        <v/>
      </c>
      <c r="AF51" s="47">
        <f>K39</f>
        <v/>
      </c>
      <c r="AG51" s="43">
        <f>IF($D51="Forecast",IFERROR(K51/AF51-1,""),"")</f>
        <v/>
      </c>
    </row>
    <row r="52">
      <c r="A52" s="8" t="n">
        <v>46784</v>
      </c>
      <c r="B52" s="26">
        <f>YEAR(A52)</f>
        <v/>
      </c>
      <c r="C52" s="26">
        <f>MONTH(A52)</f>
        <v/>
      </c>
      <c r="D52">
        <f>IF(A52&lt;=LastActual,"Actual","Forecast")</f>
        <v/>
      </c>
      <c r="E52" s="24">
        <f>IF($D52="Actual",R52,W52)</f>
        <v/>
      </c>
      <c r="F52" s="27">
        <f>IF($D52="Actual",S52,Cases_Forecast!AO45)</f>
        <v/>
      </c>
      <c r="G52" s="9">
        <f>IF($D52="Actual",T52,IFERROR(H52/AE52,0))</f>
        <v/>
      </c>
      <c r="H52" s="24">
        <f>IF($D52="Actual",U52,J52-I52)</f>
        <v/>
      </c>
      <c r="I52" s="24">
        <f>IF($D52="Actual",V52,IFERROR(J52*AD52,0))</f>
        <v/>
      </c>
      <c r="J52" s="24">
        <f>IF($D52="Actual",U52+V52,E52*X52)</f>
        <v/>
      </c>
      <c r="K52" s="28">
        <f>IFERROR(F52/G52,0)</f>
        <v/>
      </c>
      <c r="L52" s="29">
        <f>IFERROR(H52/G52,0)</f>
        <v/>
      </c>
      <c r="M52" s="30">
        <f>IFERROR(J52/F52,0)</f>
        <v/>
      </c>
      <c r="N52" s="10">
        <f>IFERROR(J52/E52,0)</f>
        <v/>
      </c>
      <c r="O52" s="10">
        <f>IFERROR(I52/J52,0)</f>
        <v/>
      </c>
      <c r="R52" s="42">
        <f>IF($D52="Actual",SUMIFS(Data_Actuals!$C$2:$C$5000,Data_Actuals!$A$2:$A$5000,$A52,Data_Actuals!$B$2:$B$5000,$B$2),"")</f>
        <v/>
      </c>
      <c r="S52" s="42">
        <f>IF($D52="Actual",SUMIFS(Data_Actuals!$D$2:$D$5000,Data_Actuals!$A$2:$A$5000,$A52,Data_Actuals!$B$2:$B$5000,$B$2),"")</f>
        <v/>
      </c>
      <c r="T52" s="42">
        <f>IF($D52="Actual",SUMIFS(Data_Actuals!$E$2:$E$5000,Data_Actuals!$A$2:$A$5000,$A52,Data_Actuals!$B$2:$B$5000,$B$2),"")</f>
        <v/>
      </c>
      <c r="U52" s="42">
        <f>IF($D52="Actual",SUMIFS(Data_Actuals!$F$2:$F$5000,Data_Actuals!$A$2:$A$5000,$A52,Data_Actuals!$B$2:$B$5000,$B$2),"")</f>
        <v/>
      </c>
      <c r="V52" s="42">
        <f>IF($D52="Actual",SUMIFS(Data_Actuals!$G$2:$G$5000,Data_Actuals!$A$2:$A$5000,$A52,Data_Actuals!$B$2:$B$5000,$B$2),"")</f>
        <v/>
      </c>
      <c r="W52" s="42">
        <f>SUMIFS(Plan_Inputs!$C$2:$C$5000,Plan_Inputs!$A$2:$A$5000,$A52,Plan_Inputs!$B$2:$B$5000,$B$2)</f>
        <v/>
      </c>
      <c r="X52" s="43">
        <f>SUMIFS(Plan_Inputs!$D$2:$D$5000,Plan_Inputs!$A$2:$A$5000,$A52,Plan_Inputs!$B$2:$B$5000,$B$2)</f>
        <v/>
      </c>
      <c r="Y52" s="42">
        <f>E52</f>
        <v/>
      </c>
      <c r="Z52" s="44">
        <f>INDEX(Calendar!$H$5:$L$52,MATCH($A52,Calendar!$A$5:$A$52,0),MATCH($D$2,Calendar!$H$4:$L$4,0))</f>
        <v/>
      </c>
      <c r="AA52" s="44">
        <f>INDEX(Calendar!$M$5:$M$52,MATCH($A52,Calendar!$A$5:$A$52,0))</f>
        <v/>
      </c>
      <c r="AB52" s="45">
        <f>IF($D52="Actual",IFERROR(S52/Y52,""),AB40)</f>
        <v/>
      </c>
      <c r="AC52" s="46">
        <f>IF($D52="Actual",IFERROR(U52/T52/Z52/AA52,""),AC40)</f>
        <v/>
      </c>
      <c r="AD52" s="43">
        <f>IF($D52="Actual",IFERROR(V52/(U52+V52),""),AD40)</f>
        <v/>
      </c>
      <c r="AE52" s="46">
        <f>IFERROR(AC52*Z52*AA52,"")</f>
        <v/>
      </c>
      <c r="AF52" s="47">
        <f>K40</f>
        <v/>
      </c>
      <c r="AG52" s="43">
        <f>IF($D52="Forecast",IFERROR(K52/AF52-1,""),"")</f>
        <v/>
      </c>
    </row>
    <row r="53">
      <c r="A53" s="8" t="n">
        <v>46813</v>
      </c>
      <c r="B53" s="26">
        <f>YEAR(A53)</f>
        <v/>
      </c>
      <c r="C53" s="26">
        <f>MONTH(A53)</f>
        <v/>
      </c>
      <c r="D53">
        <f>IF(A53&lt;=LastActual,"Actual","Forecast")</f>
        <v/>
      </c>
      <c r="E53" s="24">
        <f>IF($D53="Actual",R53,W53)</f>
        <v/>
      </c>
      <c r="F53" s="27">
        <f>IF($D53="Actual",S53,Cases_Forecast!AO46)</f>
        <v/>
      </c>
      <c r="G53" s="9">
        <f>IF($D53="Actual",T53,IFERROR(H53/AE53,0))</f>
        <v/>
      </c>
      <c r="H53" s="24">
        <f>IF($D53="Actual",U53,J53-I53)</f>
        <v/>
      </c>
      <c r="I53" s="24">
        <f>IF($D53="Actual",V53,IFERROR(J53*AD53,0))</f>
        <v/>
      </c>
      <c r="J53" s="24">
        <f>IF($D53="Actual",U53+V53,E53*X53)</f>
        <v/>
      </c>
      <c r="K53" s="28">
        <f>IFERROR(F53/G53,0)</f>
        <v/>
      </c>
      <c r="L53" s="29">
        <f>IFERROR(H53/G53,0)</f>
        <v/>
      </c>
      <c r="M53" s="30">
        <f>IFERROR(J53/F53,0)</f>
        <v/>
      </c>
      <c r="N53" s="10">
        <f>IFERROR(J53/E53,0)</f>
        <v/>
      </c>
      <c r="O53" s="10">
        <f>IFERROR(I53/J53,0)</f>
        <v/>
      </c>
      <c r="R53" s="42">
        <f>IF($D53="Actual",SUMIFS(Data_Actuals!$C$2:$C$5000,Data_Actuals!$A$2:$A$5000,$A53,Data_Actuals!$B$2:$B$5000,$B$2),"")</f>
        <v/>
      </c>
      <c r="S53" s="42">
        <f>IF($D53="Actual",SUMIFS(Data_Actuals!$D$2:$D$5000,Data_Actuals!$A$2:$A$5000,$A53,Data_Actuals!$B$2:$B$5000,$B$2),"")</f>
        <v/>
      </c>
      <c r="T53" s="42">
        <f>IF($D53="Actual",SUMIFS(Data_Actuals!$E$2:$E$5000,Data_Actuals!$A$2:$A$5000,$A53,Data_Actuals!$B$2:$B$5000,$B$2),"")</f>
        <v/>
      </c>
      <c r="U53" s="42">
        <f>IF($D53="Actual",SUMIFS(Data_Actuals!$F$2:$F$5000,Data_Actuals!$A$2:$A$5000,$A53,Data_Actuals!$B$2:$B$5000,$B$2),"")</f>
        <v/>
      </c>
      <c r="V53" s="42">
        <f>IF($D53="Actual",SUMIFS(Data_Actuals!$G$2:$G$5000,Data_Actuals!$A$2:$A$5000,$A53,Data_Actuals!$B$2:$B$5000,$B$2),"")</f>
        <v/>
      </c>
      <c r="W53" s="42">
        <f>SUMIFS(Plan_Inputs!$C$2:$C$5000,Plan_Inputs!$A$2:$A$5000,$A53,Plan_Inputs!$B$2:$B$5000,$B$2)</f>
        <v/>
      </c>
      <c r="X53" s="43">
        <f>SUMIFS(Plan_Inputs!$D$2:$D$5000,Plan_Inputs!$A$2:$A$5000,$A53,Plan_Inputs!$B$2:$B$5000,$B$2)</f>
        <v/>
      </c>
      <c r="Y53" s="42">
        <f>E53</f>
        <v/>
      </c>
      <c r="Z53" s="44">
        <f>INDEX(Calendar!$H$5:$L$52,MATCH($A53,Calendar!$A$5:$A$52,0),MATCH($D$2,Calendar!$H$4:$L$4,0))</f>
        <v/>
      </c>
      <c r="AA53" s="44">
        <f>INDEX(Calendar!$M$5:$M$52,MATCH($A53,Calendar!$A$5:$A$52,0))</f>
        <v/>
      </c>
      <c r="AB53" s="45">
        <f>IF($D53="Actual",IFERROR(S53/Y53,""),AB41)</f>
        <v/>
      </c>
      <c r="AC53" s="46">
        <f>IF($D53="Actual",IFERROR(U53/T53/Z53/AA53,""),AC41)</f>
        <v/>
      </c>
      <c r="AD53" s="43">
        <f>IF($D53="Actual",IFERROR(V53/(U53+V53),""),AD41)</f>
        <v/>
      </c>
      <c r="AE53" s="46">
        <f>IFERROR(AC53*Z53*AA53,"")</f>
        <v/>
      </c>
      <c r="AF53" s="47">
        <f>K41</f>
        <v/>
      </c>
      <c r="AG53" s="43">
        <f>IF($D53="Forecast",IFERROR(K53/AF53-1,""),"")</f>
        <v/>
      </c>
    </row>
    <row r="54">
      <c r="A54" s="8" t="n">
        <v>46844</v>
      </c>
      <c r="B54" s="26">
        <f>YEAR(A54)</f>
        <v/>
      </c>
      <c r="C54" s="26">
        <f>MONTH(A54)</f>
        <v/>
      </c>
      <c r="D54">
        <f>IF(A54&lt;=LastActual,"Actual","Forecast")</f>
        <v/>
      </c>
      <c r="E54" s="24">
        <f>IF($D54="Actual",R54,W54)</f>
        <v/>
      </c>
      <c r="F54" s="27">
        <f>IF($D54="Actual",S54,Cases_Forecast!AO47)</f>
        <v/>
      </c>
      <c r="G54" s="9">
        <f>IF($D54="Actual",T54,IFERROR(H54/AE54,0))</f>
        <v/>
      </c>
      <c r="H54" s="24">
        <f>IF($D54="Actual",U54,J54-I54)</f>
        <v/>
      </c>
      <c r="I54" s="24">
        <f>IF($D54="Actual",V54,IFERROR(J54*AD54,0))</f>
        <v/>
      </c>
      <c r="J54" s="24">
        <f>IF($D54="Actual",U54+V54,E54*X54)</f>
        <v/>
      </c>
      <c r="K54" s="28">
        <f>IFERROR(F54/G54,0)</f>
        <v/>
      </c>
      <c r="L54" s="29">
        <f>IFERROR(H54/G54,0)</f>
        <v/>
      </c>
      <c r="M54" s="30">
        <f>IFERROR(J54/F54,0)</f>
        <v/>
      </c>
      <c r="N54" s="10">
        <f>IFERROR(J54/E54,0)</f>
        <v/>
      </c>
      <c r="O54" s="10">
        <f>IFERROR(I54/J54,0)</f>
        <v/>
      </c>
      <c r="R54" s="42">
        <f>IF($D54="Actual",SUMIFS(Data_Actuals!$C$2:$C$5000,Data_Actuals!$A$2:$A$5000,$A54,Data_Actuals!$B$2:$B$5000,$B$2),"")</f>
        <v/>
      </c>
      <c r="S54" s="42">
        <f>IF($D54="Actual",SUMIFS(Data_Actuals!$D$2:$D$5000,Data_Actuals!$A$2:$A$5000,$A54,Data_Actuals!$B$2:$B$5000,$B$2),"")</f>
        <v/>
      </c>
      <c r="T54" s="42">
        <f>IF($D54="Actual",SUMIFS(Data_Actuals!$E$2:$E$5000,Data_Actuals!$A$2:$A$5000,$A54,Data_Actuals!$B$2:$B$5000,$B$2),"")</f>
        <v/>
      </c>
      <c r="U54" s="42">
        <f>IF($D54="Actual",SUMIFS(Data_Actuals!$F$2:$F$5000,Data_Actuals!$A$2:$A$5000,$A54,Data_Actuals!$B$2:$B$5000,$B$2),"")</f>
        <v/>
      </c>
      <c r="V54" s="42">
        <f>IF($D54="Actual",SUMIFS(Data_Actuals!$G$2:$G$5000,Data_Actuals!$A$2:$A$5000,$A54,Data_Actuals!$B$2:$B$5000,$B$2),"")</f>
        <v/>
      </c>
      <c r="W54" s="42">
        <f>SUMIFS(Plan_Inputs!$C$2:$C$5000,Plan_Inputs!$A$2:$A$5000,$A54,Plan_Inputs!$B$2:$B$5000,$B$2)</f>
        <v/>
      </c>
      <c r="X54" s="43">
        <f>SUMIFS(Plan_Inputs!$D$2:$D$5000,Plan_Inputs!$A$2:$A$5000,$A54,Plan_Inputs!$B$2:$B$5000,$B$2)</f>
        <v/>
      </c>
      <c r="Y54" s="42">
        <f>E54</f>
        <v/>
      </c>
      <c r="Z54" s="44">
        <f>INDEX(Calendar!$H$5:$L$52,MATCH($A54,Calendar!$A$5:$A$52,0),MATCH($D$2,Calendar!$H$4:$L$4,0))</f>
        <v/>
      </c>
      <c r="AA54" s="44">
        <f>INDEX(Calendar!$M$5:$M$52,MATCH($A54,Calendar!$A$5:$A$52,0))</f>
        <v/>
      </c>
      <c r="AB54" s="45">
        <f>IF($D54="Actual",IFERROR(S54/Y54,""),AB42)</f>
        <v/>
      </c>
      <c r="AC54" s="46">
        <f>IF($D54="Actual",IFERROR(U54/T54/Z54/AA54,""),AC42)</f>
        <v/>
      </c>
      <c r="AD54" s="43">
        <f>IF($D54="Actual",IFERROR(V54/(U54+V54),""),AD42)</f>
        <v/>
      </c>
      <c r="AE54" s="46">
        <f>IFERROR(AC54*Z54*AA54,"")</f>
        <v/>
      </c>
      <c r="AF54" s="47">
        <f>K42</f>
        <v/>
      </c>
      <c r="AG54" s="43">
        <f>IF($D54="Forecast",IFERROR(K54/AF54-1,""),"")</f>
        <v/>
      </c>
    </row>
    <row r="55">
      <c r="A55" s="8" t="n">
        <v>46874</v>
      </c>
      <c r="B55" s="26">
        <f>YEAR(A55)</f>
        <v/>
      </c>
      <c r="C55" s="26">
        <f>MONTH(A55)</f>
        <v/>
      </c>
      <c r="D55">
        <f>IF(A55&lt;=LastActual,"Actual","Forecast")</f>
        <v/>
      </c>
      <c r="E55" s="24">
        <f>IF($D55="Actual",R55,W55)</f>
        <v/>
      </c>
      <c r="F55" s="27">
        <f>IF($D55="Actual",S55,Cases_Forecast!AO48)</f>
        <v/>
      </c>
      <c r="G55" s="9">
        <f>IF($D55="Actual",T55,IFERROR(H55/AE55,0))</f>
        <v/>
      </c>
      <c r="H55" s="24">
        <f>IF($D55="Actual",U55,J55-I55)</f>
        <v/>
      </c>
      <c r="I55" s="24">
        <f>IF($D55="Actual",V55,IFERROR(J55*AD55,0))</f>
        <v/>
      </c>
      <c r="J55" s="24">
        <f>IF($D55="Actual",U55+V55,E55*X55)</f>
        <v/>
      </c>
      <c r="K55" s="28">
        <f>IFERROR(F55/G55,0)</f>
        <v/>
      </c>
      <c r="L55" s="29">
        <f>IFERROR(H55/G55,0)</f>
        <v/>
      </c>
      <c r="M55" s="30">
        <f>IFERROR(J55/F55,0)</f>
        <v/>
      </c>
      <c r="N55" s="10">
        <f>IFERROR(J55/E55,0)</f>
        <v/>
      </c>
      <c r="O55" s="10">
        <f>IFERROR(I55/J55,0)</f>
        <v/>
      </c>
      <c r="R55" s="42">
        <f>IF($D55="Actual",SUMIFS(Data_Actuals!$C$2:$C$5000,Data_Actuals!$A$2:$A$5000,$A55,Data_Actuals!$B$2:$B$5000,$B$2),"")</f>
        <v/>
      </c>
      <c r="S55" s="42">
        <f>IF($D55="Actual",SUMIFS(Data_Actuals!$D$2:$D$5000,Data_Actuals!$A$2:$A$5000,$A55,Data_Actuals!$B$2:$B$5000,$B$2),"")</f>
        <v/>
      </c>
      <c r="T55" s="42">
        <f>IF($D55="Actual",SUMIFS(Data_Actuals!$E$2:$E$5000,Data_Actuals!$A$2:$A$5000,$A55,Data_Actuals!$B$2:$B$5000,$B$2),"")</f>
        <v/>
      </c>
      <c r="U55" s="42">
        <f>IF($D55="Actual",SUMIFS(Data_Actuals!$F$2:$F$5000,Data_Actuals!$A$2:$A$5000,$A55,Data_Actuals!$B$2:$B$5000,$B$2),"")</f>
        <v/>
      </c>
      <c r="V55" s="42">
        <f>IF($D55="Actual",SUMIFS(Data_Actuals!$G$2:$G$5000,Data_Actuals!$A$2:$A$5000,$A55,Data_Actuals!$B$2:$B$5000,$B$2),"")</f>
        <v/>
      </c>
      <c r="W55" s="42">
        <f>SUMIFS(Plan_Inputs!$C$2:$C$5000,Plan_Inputs!$A$2:$A$5000,$A55,Plan_Inputs!$B$2:$B$5000,$B$2)</f>
        <v/>
      </c>
      <c r="X55" s="43">
        <f>SUMIFS(Plan_Inputs!$D$2:$D$5000,Plan_Inputs!$A$2:$A$5000,$A55,Plan_Inputs!$B$2:$B$5000,$B$2)</f>
        <v/>
      </c>
      <c r="Y55" s="42">
        <f>E55</f>
        <v/>
      </c>
      <c r="Z55" s="44">
        <f>INDEX(Calendar!$H$5:$L$52,MATCH($A55,Calendar!$A$5:$A$52,0),MATCH($D$2,Calendar!$H$4:$L$4,0))</f>
        <v/>
      </c>
      <c r="AA55" s="44">
        <f>INDEX(Calendar!$M$5:$M$52,MATCH($A55,Calendar!$A$5:$A$52,0))</f>
        <v/>
      </c>
      <c r="AB55" s="45">
        <f>IF($D55="Actual",IFERROR(S55/Y55,""),AB43)</f>
        <v/>
      </c>
      <c r="AC55" s="46">
        <f>IF($D55="Actual",IFERROR(U55/T55/Z55/AA55,""),AC43)</f>
        <v/>
      </c>
      <c r="AD55" s="43">
        <f>IF($D55="Actual",IFERROR(V55/(U55+V55),""),AD43)</f>
        <v/>
      </c>
      <c r="AE55" s="46">
        <f>IFERROR(AC55*Z55*AA55,"")</f>
        <v/>
      </c>
      <c r="AF55" s="47">
        <f>K43</f>
        <v/>
      </c>
      <c r="AG55" s="43">
        <f>IF($D55="Forecast",IFERROR(K55/AF55-1,""),"")</f>
        <v/>
      </c>
    </row>
    <row r="56">
      <c r="A56" s="8" t="n">
        <v>46905</v>
      </c>
      <c r="B56" s="26">
        <f>YEAR(A56)</f>
        <v/>
      </c>
      <c r="C56" s="26">
        <f>MONTH(A56)</f>
        <v/>
      </c>
      <c r="D56">
        <f>IF(A56&lt;=LastActual,"Actual","Forecast")</f>
        <v/>
      </c>
      <c r="E56" s="24">
        <f>IF($D56="Actual",R56,W56)</f>
        <v/>
      </c>
      <c r="F56" s="27">
        <f>IF($D56="Actual",S56,Cases_Forecast!AO49)</f>
        <v/>
      </c>
      <c r="G56" s="9">
        <f>IF($D56="Actual",T56,IFERROR(H56/AE56,0))</f>
        <v/>
      </c>
      <c r="H56" s="24">
        <f>IF($D56="Actual",U56,J56-I56)</f>
        <v/>
      </c>
      <c r="I56" s="24">
        <f>IF($D56="Actual",V56,IFERROR(J56*AD56,0))</f>
        <v/>
      </c>
      <c r="J56" s="24">
        <f>IF($D56="Actual",U56+V56,E56*X56)</f>
        <v/>
      </c>
      <c r="K56" s="28">
        <f>IFERROR(F56/G56,0)</f>
        <v/>
      </c>
      <c r="L56" s="29">
        <f>IFERROR(H56/G56,0)</f>
        <v/>
      </c>
      <c r="M56" s="30">
        <f>IFERROR(J56/F56,0)</f>
        <v/>
      </c>
      <c r="N56" s="10">
        <f>IFERROR(J56/E56,0)</f>
        <v/>
      </c>
      <c r="O56" s="10">
        <f>IFERROR(I56/J56,0)</f>
        <v/>
      </c>
      <c r="R56" s="42">
        <f>IF($D56="Actual",SUMIFS(Data_Actuals!$C$2:$C$5000,Data_Actuals!$A$2:$A$5000,$A56,Data_Actuals!$B$2:$B$5000,$B$2),"")</f>
        <v/>
      </c>
      <c r="S56" s="42">
        <f>IF($D56="Actual",SUMIFS(Data_Actuals!$D$2:$D$5000,Data_Actuals!$A$2:$A$5000,$A56,Data_Actuals!$B$2:$B$5000,$B$2),"")</f>
        <v/>
      </c>
      <c r="T56" s="42">
        <f>IF($D56="Actual",SUMIFS(Data_Actuals!$E$2:$E$5000,Data_Actuals!$A$2:$A$5000,$A56,Data_Actuals!$B$2:$B$5000,$B$2),"")</f>
        <v/>
      </c>
      <c r="U56" s="42">
        <f>IF($D56="Actual",SUMIFS(Data_Actuals!$F$2:$F$5000,Data_Actuals!$A$2:$A$5000,$A56,Data_Actuals!$B$2:$B$5000,$B$2),"")</f>
        <v/>
      </c>
      <c r="V56" s="42">
        <f>IF($D56="Actual",SUMIFS(Data_Actuals!$G$2:$G$5000,Data_Actuals!$A$2:$A$5000,$A56,Data_Actuals!$B$2:$B$5000,$B$2),"")</f>
        <v/>
      </c>
      <c r="W56" s="42">
        <f>SUMIFS(Plan_Inputs!$C$2:$C$5000,Plan_Inputs!$A$2:$A$5000,$A56,Plan_Inputs!$B$2:$B$5000,$B$2)</f>
        <v/>
      </c>
      <c r="X56" s="43">
        <f>SUMIFS(Plan_Inputs!$D$2:$D$5000,Plan_Inputs!$A$2:$A$5000,$A56,Plan_Inputs!$B$2:$B$5000,$B$2)</f>
        <v/>
      </c>
      <c r="Y56" s="42">
        <f>E56</f>
        <v/>
      </c>
      <c r="Z56" s="44">
        <f>INDEX(Calendar!$H$5:$L$52,MATCH($A56,Calendar!$A$5:$A$52,0),MATCH($D$2,Calendar!$H$4:$L$4,0))</f>
        <v/>
      </c>
      <c r="AA56" s="44">
        <f>INDEX(Calendar!$M$5:$M$52,MATCH($A56,Calendar!$A$5:$A$52,0))</f>
        <v/>
      </c>
      <c r="AB56" s="45">
        <f>IF($D56="Actual",IFERROR(S56/Y56,""),AB44)</f>
        <v/>
      </c>
      <c r="AC56" s="46">
        <f>IF($D56="Actual",IFERROR(U56/T56/Z56/AA56,""),AC44)</f>
        <v/>
      </c>
      <c r="AD56" s="43">
        <f>IF($D56="Actual",IFERROR(V56/(U56+V56),""),AD44)</f>
        <v/>
      </c>
      <c r="AE56" s="46">
        <f>IFERROR(AC56*Z56*AA56,"")</f>
        <v/>
      </c>
      <c r="AF56" s="47">
        <f>K44</f>
        <v/>
      </c>
      <c r="AG56" s="43">
        <f>IF($D56="Forecast",IFERROR(K56/AF56-1,""),"")</f>
        <v/>
      </c>
    </row>
    <row r="57">
      <c r="A57" s="8" t="n">
        <v>46935</v>
      </c>
      <c r="B57" s="26">
        <f>YEAR(A57)</f>
        <v/>
      </c>
      <c r="C57" s="26">
        <f>MONTH(A57)</f>
        <v/>
      </c>
      <c r="D57">
        <f>IF(A57&lt;=LastActual,"Actual","Forecast")</f>
        <v/>
      </c>
      <c r="E57" s="24">
        <f>IF($D57="Actual",R57,W57)</f>
        <v/>
      </c>
      <c r="F57" s="27">
        <f>IF($D57="Actual",S57,Cases_Forecast!AO50)</f>
        <v/>
      </c>
      <c r="G57" s="9">
        <f>IF($D57="Actual",T57,IFERROR(H57/AE57,0))</f>
        <v/>
      </c>
      <c r="H57" s="24">
        <f>IF($D57="Actual",U57,J57-I57)</f>
        <v/>
      </c>
      <c r="I57" s="24">
        <f>IF($D57="Actual",V57,IFERROR(J57*AD57,0))</f>
        <v/>
      </c>
      <c r="J57" s="24">
        <f>IF($D57="Actual",U57+V57,E57*X57)</f>
        <v/>
      </c>
      <c r="K57" s="28">
        <f>IFERROR(F57/G57,0)</f>
        <v/>
      </c>
      <c r="L57" s="29">
        <f>IFERROR(H57/G57,0)</f>
        <v/>
      </c>
      <c r="M57" s="30">
        <f>IFERROR(J57/F57,0)</f>
        <v/>
      </c>
      <c r="N57" s="10">
        <f>IFERROR(J57/E57,0)</f>
        <v/>
      </c>
      <c r="O57" s="10">
        <f>IFERROR(I57/J57,0)</f>
        <v/>
      </c>
      <c r="R57" s="42">
        <f>IF($D57="Actual",SUMIFS(Data_Actuals!$C$2:$C$5000,Data_Actuals!$A$2:$A$5000,$A57,Data_Actuals!$B$2:$B$5000,$B$2),"")</f>
        <v/>
      </c>
      <c r="S57" s="42">
        <f>IF($D57="Actual",SUMIFS(Data_Actuals!$D$2:$D$5000,Data_Actuals!$A$2:$A$5000,$A57,Data_Actuals!$B$2:$B$5000,$B$2),"")</f>
        <v/>
      </c>
      <c r="T57" s="42">
        <f>IF($D57="Actual",SUMIFS(Data_Actuals!$E$2:$E$5000,Data_Actuals!$A$2:$A$5000,$A57,Data_Actuals!$B$2:$B$5000,$B$2),"")</f>
        <v/>
      </c>
      <c r="U57" s="42">
        <f>IF($D57="Actual",SUMIFS(Data_Actuals!$F$2:$F$5000,Data_Actuals!$A$2:$A$5000,$A57,Data_Actuals!$B$2:$B$5000,$B$2),"")</f>
        <v/>
      </c>
      <c r="V57" s="42">
        <f>IF($D57="Actual",SUMIFS(Data_Actuals!$G$2:$G$5000,Data_Actuals!$A$2:$A$5000,$A57,Data_Actuals!$B$2:$B$5000,$B$2),"")</f>
        <v/>
      </c>
      <c r="W57" s="42">
        <f>SUMIFS(Plan_Inputs!$C$2:$C$5000,Plan_Inputs!$A$2:$A$5000,$A57,Plan_Inputs!$B$2:$B$5000,$B$2)</f>
        <v/>
      </c>
      <c r="X57" s="43">
        <f>SUMIFS(Plan_Inputs!$D$2:$D$5000,Plan_Inputs!$A$2:$A$5000,$A57,Plan_Inputs!$B$2:$B$5000,$B$2)</f>
        <v/>
      </c>
      <c r="Y57" s="42">
        <f>E57</f>
        <v/>
      </c>
      <c r="Z57" s="44">
        <f>INDEX(Calendar!$H$5:$L$52,MATCH($A57,Calendar!$A$5:$A$52,0),MATCH($D$2,Calendar!$H$4:$L$4,0))</f>
        <v/>
      </c>
      <c r="AA57" s="44">
        <f>INDEX(Calendar!$M$5:$M$52,MATCH($A57,Calendar!$A$5:$A$52,0))</f>
        <v/>
      </c>
      <c r="AB57" s="45">
        <f>IF($D57="Actual",IFERROR(S57/Y57,""),AB45)</f>
        <v/>
      </c>
      <c r="AC57" s="46">
        <f>IF($D57="Actual",IFERROR(U57/T57/Z57/AA57,""),AC45)</f>
        <v/>
      </c>
      <c r="AD57" s="43">
        <f>IF($D57="Actual",IFERROR(V57/(U57+V57),""),AD45)</f>
        <v/>
      </c>
      <c r="AE57" s="46">
        <f>IFERROR(AC57*Z57*AA57,"")</f>
        <v/>
      </c>
      <c r="AF57" s="47">
        <f>K45</f>
        <v/>
      </c>
      <c r="AG57" s="43">
        <f>IF($D57="Forecast",IFERROR(K57/AF57-1,""),"")</f>
        <v/>
      </c>
    </row>
    <row r="58">
      <c r="A58" s="8" t="n">
        <v>46966</v>
      </c>
      <c r="B58" s="26">
        <f>YEAR(A58)</f>
        <v/>
      </c>
      <c r="C58" s="26">
        <f>MONTH(A58)</f>
        <v/>
      </c>
      <c r="D58">
        <f>IF(A58&lt;=LastActual,"Actual","Forecast")</f>
        <v/>
      </c>
      <c r="E58" s="24">
        <f>IF($D58="Actual",R58,W58)</f>
        <v/>
      </c>
      <c r="F58" s="27">
        <f>IF($D58="Actual",S58,Cases_Forecast!AO51)</f>
        <v/>
      </c>
      <c r="G58" s="9">
        <f>IF($D58="Actual",T58,IFERROR(H58/AE58,0))</f>
        <v/>
      </c>
      <c r="H58" s="24">
        <f>IF($D58="Actual",U58,J58-I58)</f>
        <v/>
      </c>
      <c r="I58" s="24">
        <f>IF($D58="Actual",V58,IFERROR(J58*AD58,0))</f>
        <v/>
      </c>
      <c r="J58" s="24">
        <f>IF($D58="Actual",U58+V58,E58*X58)</f>
        <v/>
      </c>
      <c r="K58" s="28">
        <f>IFERROR(F58/G58,0)</f>
        <v/>
      </c>
      <c r="L58" s="29">
        <f>IFERROR(H58/G58,0)</f>
        <v/>
      </c>
      <c r="M58" s="30">
        <f>IFERROR(J58/F58,0)</f>
        <v/>
      </c>
      <c r="N58" s="10">
        <f>IFERROR(J58/E58,0)</f>
        <v/>
      </c>
      <c r="O58" s="10">
        <f>IFERROR(I58/J58,0)</f>
        <v/>
      </c>
      <c r="R58" s="42">
        <f>IF($D58="Actual",SUMIFS(Data_Actuals!$C$2:$C$5000,Data_Actuals!$A$2:$A$5000,$A58,Data_Actuals!$B$2:$B$5000,$B$2),"")</f>
        <v/>
      </c>
      <c r="S58" s="42">
        <f>IF($D58="Actual",SUMIFS(Data_Actuals!$D$2:$D$5000,Data_Actuals!$A$2:$A$5000,$A58,Data_Actuals!$B$2:$B$5000,$B$2),"")</f>
        <v/>
      </c>
      <c r="T58" s="42">
        <f>IF($D58="Actual",SUMIFS(Data_Actuals!$E$2:$E$5000,Data_Actuals!$A$2:$A$5000,$A58,Data_Actuals!$B$2:$B$5000,$B$2),"")</f>
        <v/>
      </c>
      <c r="U58" s="42">
        <f>IF($D58="Actual",SUMIFS(Data_Actuals!$F$2:$F$5000,Data_Actuals!$A$2:$A$5000,$A58,Data_Actuals!$B$2:$B$5000,$B$2),"")</f>
        <v/>
      </c>
      <c r="V58" s="42">
        <f>IF($D58="Actual",SUMIFS(Data_Actuals!$G$2:$G$5000,Data_Actuals!$A$2:$A$5000,$A58,Data_Actuals!$B$2:$B$5000,$B$2),"")</f>
        <v/>
      </c>
      <c r="W58" s="42">
        <f>SUMIFS(Plan_Inputs!$C$2:$C$5000,Plan_Inputs!$A$2:$A$5000,$A58,Plan_Inputs!$B$2:$B$5000,$B$2)</f>
        <v/>
      </c>
      <c r="X58" s="43">
        <f>SUMIFS(Plan_Inputs!$D$2:$D$5000,Plan_Inputs!$A$2:$A$5000,$A58,Plan_Inputs!$B$2:$B$5000,$B$2)</f>
        <v/>
      </c>
      <c r="Y58" s="42">
        <f>E58</f>
        <v/>
      </c>
      <c r="Z58" s="44">
        <f>INDEX(Calendar!$H$5:$L$52,MATCH($A58,Calendar!$A$5:$A$52,0),MATCH($D$2,Calendar!$H$4:$L$4,0))</f>
        <v/>
      </c>
      <c r="AA58" s="44">
        <f>INDEX(Calendar!$M$5:$M$52,MATCH($A58,Calendar!$A$5:$A$52,0))</f>
        <v/>
      </c>
      <c r="AB58" s="45">
        <f>IF($D58="Actual",IFERROR(S58/Y58,""),AB46)</f>
        <v/>
      </c>
      <c r="AC58" s="46">
        <f>IF($D58="Actual",IFERROR(U58/T58/Z58/AA58,""),AC46)</f>
        <v/>
      </c>
      <c r="AD58" s="43">
        <f>IF($D58="Actual",IFERROR(V58/(U58+V58),""),AD46)</f>
        <v/>
      </c>
      <c r="AE58" s="46">
        <f>IFERROR(AC58*Z58*AA58,"")</f>
        <v/>
      </c>
      <c r="AF58" s="47">
        <f>K46</f>
        <v/>
      </c>
      <c r="AG58" s="43">
        <f>IF($D58="Forecast",IFERROR(K58/AF58-1,""),"")</f>
        <v/>
      </c>
    </row>
    <row r="59">
      <c r="A59" s="8" t="n">
        <v>46997</v>
      </c>
      <c r="B59" s="26">
        <f>YEAR(A59)</f>
        <v/>
      </c>
      <c r="C59" s="26">
        <f>MONTH(A59)</f>
        <v/>
      </c>
      <c r="D59">
        <f>IF(A59&lt;=LastActual,"Actual","Forecast")</f>
        <v/>
      </c>
      <c r="E59" s="24">
        <f>IF($D59="Actual",R59,W59)</f>
        <v/>
      </c>
      <c r="F59" s="27">
        <f>IF($D59="Actual",S59,Cases_Forecast!AO52)</f>
        <v/>
      </c>
      <c r="G59" s="9">
        <f>IF($D59="Actual",T59,IFERROR(H59/AE59,0))</f>
        <v/>
      </c>
      <c r="H59" s="24">
        <f>IF($D59="Actual",U59,J59-I59)</f>
        <v/>
      </c>
      <c r="I59" s="24">
        <f>IF($D59="Actual",V59,IFERROR(J59*AD59,0))</f>
        <v/>
      </c>
      <c r="J59" s="24">
        <f>IF($D59="Actual",U59+V59,E59*X59)</f>
        <v/>
      </c>
      <c r="K59" s="28">
        <f>IFERROR(F59/G59,0)</f>
        <v/>
      </c>
      <c r="L59" s="29">
        <f>IFERROR(H59/G59,0)</f>
        <v/>
      </c>
      <c r="M59" s="30">
        <f>IFERROR(J59/F59,0)</f>
        <v/>
      </c>
      <c r="N59" s="10">
        <f>IFERROR(J59/E59,0)</f>
        <v/>
      </c>
      <c r="O59" s="10">
        <f>IFERROR(I59/J59,0)</f>
        <v/>
      </c>
      <c r="R59" s="42">
        <f>IF($D59="Actual",SUMIFS(Data_Actuals!$C$2:$C$5000,Data_Actuals!$A$2:$A$5000,$A59,Data_Actuals!$B$2:$B$5000,$B$2),"")</f>
        <v/>
      </c>
      <c r="S59" s="42">
        <f>IF($D59="Actual",SUMIFS(Data_Actuals!$D$2:$D$5000,Data_Actuals!$A$2:$A$5000,$A59,Data_Actuals!$B$2:$B$5000,$B$2),"")</f>
        <v/>
      </c>
      <c r="T59" s="42">
        <f>IF($D59="Actual",SUMIFS(Data_Actuals!$E$2:$E$5000,Data_Actuals!$A$2:$A$5000,$A59,Data_Actuals!$B$2:$B$5000,$B$2),"")</f>
        <v/>
      </c>
      <c r="U59" s="42">
        <f>IF($D59="Actual",SUMIFS(Data_Actuals!$F$2:$F$5000,Data_Actuals!$A$2:$A$5000,$A59,Data_Actuals!$B$2:$B$5000,$B$2),"")</f>
        <v/>
      </c>
      <c r="V59" s="42">
        <f>IF($D59="Actual",SUMIFS(Data_Actuals!$G$2:$G$5000,Data_Actuals!$A$2:$A$5000,$A59,Data_Actuals!$B$2:$B$5000,$B$2),"")</f>
        <v/>
      </c>
      <c r="W59" s="42">
        <f>SUMIFS(Plan_Inputs!$C$2:$C$5000,Plan_Inputs!$A$2:$A$5000,$A59,Plan_Inputs!$B$2:$B$5000,$B$2)</f>
        <v/>
      </c>
      <c r="X59" s="43">
        <f>SUMIFS(Plan_Inputs!$D$2:$D$5000,Plan_Inputs!$A$2:$A$5000,$A59,Plan_Inputs!$B$2:$B$5000,$B$2)</f>
        <v/>
      </c>
      <c r="Y59" s="42">
        <f>E59</f>
        <v/>
      </c>
      <c r="Z59" s="44">
        <f>INDEX(Calendar!$H$5:$L$52,MATCH($A59,Calendar!$A$5:$A$52,0),MATCH($D$2,Calendar!$H$4:$L$4,0))</f>
        <v/>
      </c>
      <c r="AA59" s="44">
        <f>INDEX(Calendar!$M$5:$M$52,MATCH($A59,Calendar!$A$5:$A$52,0))</f>
        <v/>
      </c>
      <c r="AB59" s="45">
        <f>IF($D59="Actual",IFERROR(S59/Y59,""),AB47)</f>
        <v/>
      </c>
      <c r="AC59" s="46">
        <f>IF($D59="Actual",IFERROR(U59/T59/Z59/AA59,""),AC47)</f>
        <v/>
      </c>
      <c r="AD59" s="43">
        <f>IF($D59="Actual",IFERROR(V59/(U59+V59),""),AD47)</f>
        <v/>
      </c>
      <c r="AE59" s="46">
        <f>IFERROR(AC59*Z59*AA59,"")</f>
        <v/>
      </c>
      <c r="AF59" s="47">
        <f>K47</f>
        <v/>
      </c>
      <c r="AG59" s="43">
        <f>IF($D59="Forecast",IFERROR(K59/AF59-1,""),"")</f>
        <v/>
      </c>
    </row>
    <row r="60">
      <c r="A60" s="8" t="n">
        <v>47027</v>
      </c>
      <c r="B60" s="26">
        <f>YEAR(A60)</f>
        <v/>
      </c>
      <c r="C60" s="26">
        <f>MONTH(A60)</f>
        <v/>
      </c>
      <c r="D60">
        <f>IF(A60&lt;=LastActual,"Actual","Forecast")</f>
        <v/>
      </c>
      <c r="E60" s="24">
        <f>IF($D60="Actual",R60,W60)</f>
        <v/>
      </c>
      <c r="F60" s="27">
        <f>IF($D60="Actual",S60,Cases_Forecast!AO53)</f>
        <v/>
      </c>
      <c r="G60" s="9">
        <f>IF($D60="Actual",T60,IFERROR(H60/AE60,0))</f>
        <v/>
      </c>
      <c r="H60" s="24">
        <f>IF($D60="Actual",U60,J60-I60)</f>
        <v/>
      </c>
      <c r="I60" s="24">
        <f>IF($D60="Actual",V60,IFERROR(J60*AD60,0))</f>
        <v/>
      </c>
      <c r="J60" s="24">
        <f>IF($D60="Actual",U60+V60,E60*X60)</f>
        <v/>
      </c>
      <c r="K60" s="28">
        <f>IFERROR(F60/G60,0)</f>
        <v/>
      </c>
      <c r="L60" s="29">
        <f>IFERROR(H60/G60,0)</f>
        <v/>
      </c>
      <c r="M60" s="30">
        <f>IFERROR(J60/F60,0)</f>
        <v/>
      </c>
      <c r="N60" s="10">
        <f>IFERROR(J60/E60,0)</f>
        <v/>
      </c>
      <c r="O60" s="10">
        <f>IFERROR(I60/J60,0)</f>
        <v/>
      </c>
      <c r="R60" s="42">
        <f>IF($D60="Actual",SUMIFS(Data_Actuals!$C$2:$C$5000,Data_Actuals!$A$2:$A$5000,$A60,Data_Actuals!$B$2:$B$5000,$B$2),"")</f>
        <v/>
      </c>
      <c r="S60" s="42">
        <f>IF($D60="Actual",SUMIFS(Data_Actuals!$D$2:$D$5000,Data_Actuals!$A$2:$A$5000,$A60,Data_Actuals!$B$2:$B$5000,$B$2),"")</f>
        <v/>
      </c>
      <c r="T60" s="42">
        <f>IF($D60="Actual",SUMIFS(Data_Actuals!$E$2:$E$5000,Data_Actuals!$A$2:$A$5000,$A60,Data_Actuals!$B$2:$B$5000,$B$2),"")</f>
        <v/>
      </c>
      <c r="U60" s="42">
        <f>IF($D60="Actual",SUMIFS(Data_Actuals!$F$2:$F$5000,Data_Actuals!$A$2:$A$5000,$A60,Data_Actuals!$B$2:$B$5000,$B$2),"")</f>
        <v/>
      </c>
      <c r="V60" s="42">
        <f>IF($D60="Actual",SUMIFS(Data_Actuals!$G$2:$G$5000,Data_Actuals!$A$2:$A$5000,$A60,Data_Actuals!$B$2:$B$5000,$B$2),"")</f>
        <v/>
      </c>
      <c r="W60" s="42">
        <f>SUMIFS(Plan_Inputs!$C$2:$C$5000,Plan_Inputs!$A$2:$A$5000,$A60,Plan_Inputs!$B$2:$B$5000,$B$2)</f>
        <v/>
      </c>
      <c r="X60" s="43">
        <f>SUMIFS(Plan_Inputs!$D$2:$D$5000,Plan_Inputs!$A$2:$A$5000,$A60,Plan_Inputs!$B$2:$B$5000,$B$2)</f>
        <v/>
      </c>
      <c r="Y60" s="42">
        <f>E60</f>
        <v/>
      </c>
      <c r="Z60" s="44">
        <f>INDEX(Calendar!$H$5:$L$52,MATCH($A60,Calendar!$A$5:$A$52,0),MATCH($D$2,Calendar!$H$4:$L$4,0))</f>
        <v/>
      </c>
      <c r="AA60" s="44">
        <f>INDEX(Calendar!$M$5:$M$52,MATCH($A60,Calendar!$A$5:$A$52,0))</f>
        <v/>
      </c>
      <c r="AB60" s="45">
        <f>IF($D60="Actual",IFERROR(S60/Y60,""),AB48)</f>
        <v/>
      </c>
      <c r="AC60" s="46">
        <f>IF($D60="Actual",IFERROR(U60/T60/Z60/AA60,""),AC48)</f>
        <v/>
      </c>
      <c r="AD60" s="43">
        <f>IF($D60="Actual",IFERROR(V60/(U60+V60),""),AD48)</f>
        <v/>
      </c>
      <c r="AE60" s="46">
        <f>IFERROR(AC60*Z60*AA60,"")</f>
        <v/>
      </c>
      <c r="AF60" s="47">
        <f>K48</f>
        <v/>
      </c>
      <c r="AG60" s="43">
        <f>IF($D60="Forecast",IFERROR(K60/AF60-1,""),"")</f>
        <v/>
      </c>
    </row>
    <row r="61">
      <c r="A61" s="8" t="n">
        <v>47058</v>
      </c>
      <c r="B61" s="26">
        <f>YEAR(A61)</f>
        <v/>
      </c>
      <c r="C61" s="26">
        <f>MONTH(A61)</f>
        <v/>
      </c>
      <c r="D61">
        <f>IF(A61&lt;=LastActual,"Actual","Forecast")</f>
        <v/>
      </c>
      <c r="E61" s="24">
        <f>IF($D61="Actual",R61,W61)</f>
        <v/>
      </c>
      <c r="F61" s="27">
        <f>IF($D61="Actual",S61,Cases_Forecast!AO54)</f>
        <v/>
      </c>
      <c r="G61" s="9">
        <f>IF($D61="Actual",T61,IFERROR(H61/AE61,0))</f>
        <v/>
      </c>
      <c r="H61" s="24">
        <f>IF($D61="Actual",U61,J61-I61)</f>
        <v/>
      </c>
      <c r="I61" s="24">
        <f>IF($D61="Actual",V61,IFERROR(J61*AD61,0))</f>
        <v/>
      </c>
      <c r="J61" s="24">
        <f>IF($D61="Actual",U61+V61,E61*X61)</f>
        <v/>
      </c>
      <c r="K61" s="28">
        <f>IFERROR(F61/G61,0)</f>
        <v/>
      </c>
      <c r="L61" s="29">
        <f>IFERROR(H61/G61,0)</f>
        <v/>
      </c>
      <c r="M61" s="30">
        <f>IFERROR(J61/F61,0)</f>
        <v/>
      </c>
      <c r="N61" s="10">
        <f>IFERROR(J61/E61,0)</f>
        <v/>
      </c>
      <c r="O61" s="10">
        <f>IFERROR(I61/J61,0)</f>
        <v/>
      </c>
      <c r="R61" s="42">
        <f>IF($D61="Actual",SUMIFS(Data_Actuals!$C$2:$C$5000,Data_Actuals!$A$2:$A$5000,$A61,Data_Actuals!$B$2:$B$5000,$B$2),"")</f>
        <v/>
      </c>
      <c r="S61" s="42">
        <f>IF($D61="Actual",SUMIFS(Data_Actuals!$D$2:$D$5000,Data_Actuals!$A$2:$A$5000,$A61,Data_Actuals!$B$2:$B$5000,$B$2),"")</f>
        <v/>
      </c>
      <c r="T61" s="42">
        <f>IF($D61="Actual",SUMIFS(Data_Actuals!$E$2:$E$5000,Data_Actuals!$A$2:$A$5000,$A61,Data_Actuals!$B$2:$B$5000,$B$2),"")</f>
        <v/>
      </c>
      <c r="U61" s="42">
        <f>IF($D61="Actual",SUMIFS(Data_Actuals!$F$2:$F$5000,Data_Actuals!$A$2:$A$5000,$A61,Data_Actuals!$B$2:$B$5000,$B$2),"")</f>
        <v/>
      </c>
      <c r="V61" s="42">
        <f>IF($D61="Actual",SUMIFS(Data_Actuals!$G$2:$G$5000,Data_Actuals!$A$2:$A$5000,$A61,Data_Actuals!$B$2:$B$5000,$B$2),"")</f>
        <v/>
      </c>
      <c r="W61" s="42">
        <f>SUMIFS(Plan_Inputs!$C$2:$C$5000,Plan_Inputs!$A$2:$A$5000,$A61,Plan_Inputs!$B$2:$B$5000,$B$2)</f>
        <v/>
      </c>
      <c r="X61" s="43">
        <f>SUMIFS(Plan_Inputs!$D$2:$D$5000,Plan_Inputs!$A$2:$A$5000,$A61,Plan_Inputs!$B$2:$B$5000,$B$2)</f>
        <v/>
      </c>
      <c r="Y61" s="42">
        <f>E61</f>
        <v/>
      </c>
      <c r="Z61" s="44">
        <f>INDEX(Calendar!$H$5:$L$52,MATCH($A61,Calendar!$A$5:$A$52,0),MATCH($D$2,Calendar!$H$4:$L$4,0))</f>
        <v/>
      </c>
      <c r="AA61" s="44">
        <f>INDEX(Calendar!$M$5:$M$52,MATCH($A61,Calendar!$A$5:$A$52,0))</f>
        <v/>
      </c>
      <c r="AB61" s="45">
        <f>IF($D61="Actual",IFERROR(S61/Y61,""),AB49)</f>
        <v/>
      </c>
      <c r="AC61" s="46">
        <f>IF($D61="Actual",IFERROR(U61/T61/Z61/AA61,""),AC49)</f>
        <v/>
      </c>
      <c r="AD61" s="43">
        <f>IF($D61="Actual",IFERROR(V61/(U61+V61),""),AD49)</f>
        <v/>
      </c>
      <c r="AE61" s="46">
        <f>IFERROR(AC61*Z61*AA61,"")</f>
        <v/>
      </c>
      <c r="AF61" s="47">
        <f>K49</f>
        <v/>
      </c>
      <c r="AG61" s="43">
        <f>IF($D61="Forecast",IFERROR(K61/AF61-1,""),"")</f>
        <v/>
      </c>
    </row>
    <row r="62">
      <c r="A62" s="31" t="n">
        <v>47088</v>
      </c>
      <c r="B62" s="32">
        <f>YEAR(A62)</f>
        <v/>
      </c>
      <c r="C62" s="32">
        <f>MONTH(A62)</f>
        <v/>
      </c>
      <c r="D62" s="33">
        <f>IF(A62&lt;=LastActual,"Actual","Forecast")</f>
        <v/>
      </c>
      <c r="E62" s="34">
        <f>IF($D62="Actual",R62,W62)</f>
        <v/>
      </c>
      <c r="F62" s="35">
        <f>IF($D62="Actual",S62,Cases_Forecast!AO55)</f>
        <v/>
      </c>
      <c r="G62" s="36">
        <f>IF($D62="Actual",T62,IFERROR(H62/AE62,0))</f>
        <v/>
      </c>
      <c r="H62" s="34">
        <f>IF($D62="Actual",U62,J62-I62)</f>
        <v/>
      </c>
      <c r="I62" s="34">
        <f>IF($D62="Actual",V62,IFERROR(J62*AD62,0))</f>
        <v/>
      </c>
      <c r="J62" s="34">
        <f>IF($D62="Actual",U62+V62,E62*X62)</f>
        <v/>
      </c>
      <c r="K62" s="37">
        <f>IFERROR(F62/G62,0)</f>
        <v/>
      </c>
      <c r="L62" s="38">
        <f>IFERROR(H62/G62,0)</f>
        <v/>
      </c>
      <c r="M62" s="39">
        <f>IFERROR(J62/F62,0)</f>
        <v/>
      </c>
      <c r="N62" s="40">
        <f>IFERROR(J62/E62,0)</f>
        <v/>
      </c>
      <c r="O62" s="40">
        <f>IFERROR(I62/J62,0)</f>
        <v/>
      </c>
      <c r="R62" s="42">
        <f>IF($D62="Actual",SUMIFS(Data_Actuals!$C$2:$C$5000,Data_Actuals!$A$2:$A$5000,$A62,Data_Actuals!$B$2:$B$5000,$B$2),"")</f>
        <v/>
      </c>
      <c r="S62" s="42">
        <f>IF($D62="Actual",SUMIFS(Data_Actuals!$D$2:$D$5000,Data_Actuals!$A$2:$A$5000,$A62,Data_Actuals!$B$2:$B$5000,$B$2),"")</f>
        <v/>
      </c>
      <c r="T62" s="42">
        <f>IF($D62="Actual",SUMIFS(Data_Actuals!$E$2:$E$5000,Data_Actuals!$A$2:$A$5000,$A62,Data_Actuals!$B$2:$B$5000,$B$2),"")</f>
        <v/>
      </c>
      <c r="U62" s="42">
        <f>IF($D62="Actual",SUMIFS(Data_Actuals!$F$2:$F$5000,Data_Actuals!$A$2:$A$5000,$A62,Data_Actuals!$B$2:$B$5000,$B$2),"")</f>
        <v/>
      </c>
      <c r="V62" s="42">
        <f>IF($D62="Actual",SUMIFS(Data_Actuals!$G$2:$G$5000,Data_Actuals!$A$2:$A$5000,$A62,Data_Actuals!$B$2:$B$5000,$B$2),"")</f>
        <v/>
      </c>
      <c r="W62" s="42">
        <f>SUMIFS(Plan_Inputs!$C$2:$C$5000,Plan_Inputs!$A$2:$A$5000,$A62,Plan_Inputs!$B$2:$B$5000,$B$2)</f>
        <v/>
      </c>
      <c r="X62" s="43">
        <f>SUMIFS(Plan_Inputs!$D$2:$D$5000,Plan_Inputs!$A$2:$A$5000,$A62,Plan_Inputs!$B$2:$B$5000,$B$2)</f>
        <v/>
      </c>
      <c r="Y62" s="42">
        <f>E62</f>
        <v/>
      </c>
      <c r="Z62" s="44">
        <f>INDEX(Calendar!$H$5:$L$52,MATCH($A62,Calendar!$A$5:$A$52,0),MATCH($D$2,Calendar!$H$4:$L$4,0))</f>
        <v/>
      </c>
      <c r="AA62" s="44">
        <f>INDEX(Calendar!$M$5:$M$52,MATCH($A62,Calendar!$A$5:$A$52,0))</f>
        <v/>
      </c>
      <c r="AB62" s="45">
        <f>IF($D62="Actual",IFERROR(S62/Y62,""),AB50)</f>
        <v/>
      </c>
      <c r="AC62" s="46">
        <f>IF($D62="Actual",IFERROR(U62/T62/Z62/AA62,""),AC50)</f>
        <v/>
      </c>
      <c r="AD62" s="43">
        <f>IF($D62="Actual",IFERROR(V62/(U62+V62),""),AD50)</f>
        <v/>
      </c>
      <c r="AE62" s="46">
        <f>IFERROR(AC62*Z62*AA62,"")</f>
        <v/>
      </c>
      <c r="AF62" s="47">
        <f>K50</f>
        <v/>
      </c>
      <c r="AG62" s="43">
        <f>IF($D62="Forecast",IFERROR(K62/AF62-1,""),"")</f>
        <v/>
      </c>
    </row>
  </sheetData>
  <mergeCells count="3">
    <mergeCell ref="K12:O12"/>
    <mergeCell ref="R12:AG12"/>
    <mergeCell ref="E12:J12"/>
  </mergeCells>
  <conditionalFormatting sqref="A15:O62">
    <cfRule type="expression" priority="1" dxfId="4">
      <formula>$D15="Forecast"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1F3864"/>
    <outlinePr summaryBelow="1" summaryRight="1"/>
    <pageSetUpPr/>
  </sheetPr>
  <dimension ref="A1:AG62"/>
  <sheetViews>
    <sheetView workbookViewId="0">
      <pane xSplit="4" ySplit="14" topLeftCell="E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" customWidth="1" min="2" max="2"/>
    <col width="5" customWidth="1" min="3" max="3"/>
    <col width="9" customWidth="1" min="4" max="4"/>
    <col width="10" customWidth="1" min="5" max="5"/>
    <col width="10" customWidth="1" min="6" max="6"/>
    <col width="11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1" customWidth="1" min="15" max="15"/>
    <col width="2" customWidth="1" min="17" max="17"/>
    <col width="11" customWidth="1" min="18" max="18"/>
    <col width="11" customWidth="1" min="19" max="19"/>
    <col width="10" customWidth="1" min="20" max="20"/>
    <col width="11" customWidth="1" min="21" max="21"/>
    <col width="11" customWidth="1" min="22" max="22"/>
    <col width="12" customWidth="1" min="23" max="23"/>
    <col width="9" customWidth="1" min="24" max="24"/>
    <col width="12" customWidth="1" min="25" max="25"/>
    <col width="8" customWidth="1" min="26" max="26"/>
    <col width="8" customWidth="1" min="27" max="27"/>
    <col width="11" customWidth="1" min="28" max="28"/>
    <col width="12" customWidth="1" min="29" max="29"/>
    <col width="12" customWidth="1" min="30" max="30"/>
    <col width="11" customWidth="1" min="31" max="31"/>
    <col width="9" customWidth="1" min="32" max="32"/>
    <col width="9" customWidth="1" min="33" max="33"/>
  </cols>
  <sheetData>
    <row r="1">
      <c r="A1" s="2">
        <f>$B$2&amp;"  |  Region  |  SA"</f>
        <v/>
      </c>
    </row>
    <row r="2">
      <c r="A2" t="inlineStr">
        <is>
          <t>Code</t>
        </is>
      </c>
      <c r="B2" s="1">
        <f>Inputs!$A$42</f>
        <v/>
      </c>
      <c r="C2" t="inlineStr">
        <is>
          <t>State</t>
        </is>
      </c>
      <c r="D2" s="1" t="inlineStr">
        <is>
          <t>SA</t>
        </is>
      </c>
    </row>
    <row r="5" ht="45" customHeight="1">
      <c r="A5" s="5" t="inlineStr">
        <is>
          <t>FY</t>
        </is>
      </c>
      <c r="D5" s="5" t="inlineStr">
        <is>
          <t>Status</t>
        </is>
      </c>
      <c r="E5" s="5" t="inlineStr">
        <is>
          <t>Sales</t>
        </is>
      </c>
      <c r="F5" s="5" t="inlineStr">
        <is>
          <t>Cases picked</t>
        </is>
      </c>
      <c r="G5" s="5" t="inlineStr">
        <is>
          <t>WH hours worked</t>
        </is>
      </c>
      <c r="H5" s="5" t="inlineStr">
        <is>
          <t>Staff payroll</t>
        </is>
      </c>
      <c r="I5" s="5" t="inlineStr">
        <is>
          <t>Leadership payroll</t>
        </is>
      </c>
      <c r="J5" s="5" t="inlineStr">
        <is>
          <t>Total payroll</t>
        </is>
      </c>
      <c r="K5" s="5" t="inlineStr">
        <is>
          <t>CPLH (cases / hr)</t>
        </is>
      </c>
      <c r="L5" s="5" t="inlineStr">
        <is>
          <t>Cost per hour (staff)</t>
        </is>
      </c>
      <c r="M5" s="5" t="inlineStr">
        <is>
          <t>Cost per case (total payroll)</t>
        </is>
      </c>
      <c r="N5" s="5" t="inlineStr">
        <is>
          <t>Total payroll % sales</t>
        </is>
      </c>
      <c r="O5" s="5" t="inlineStr">
        <is>
          <t>Leadership % of total payroll</t>
        </is>
      </c>
    </row>
    <row r="6">
      <c r="A6" s="15" t="n">
        <v>2025</v>
      </c>
      <c r="D6" s="16">
        <f>IF(DATE(A6,12,1)&lt;=LastActual,"Actual",IF(DATE(A6,1,1)&gt;LastActual,"Forecast","Blended"))</f>
        <v/>
      </c>
      <c r="E6" s="17">
        <f>SUMIFS($E$15:$E$62,$B$15:$B$62,$A6)</f>
        <v/>
      </c>
      <c r="F6" s="18">
        <f>SUMIFS($F$15:$F$62,$B$15:$B$62,$A6)</f>
        <v/>
      </c>
      <c r="G6" s="19">
        <f>SUMIFS($G$15:$G$62,$B$15:$B$62,$A6)</f>
        <v/>
      </c>
      <c r="H6" s="17">
        <f>SUMIFS($H$15:$H$62,$B$15:$B$62,$A6)</f>
        <v/>
      </c>
      <c r="I6" s="17">
        <f>SUMIFS($I$15:$I$62,$B$15:$B$62,$A6)</f>
        <v/>
      </c>
      <c r="J6" s="17">
        <f>SUMIFS($J$15:$J$62,$B$15:$B$62,$A6)</f>
        <v/>
      </c>
      <c r="K6" s="20">
        <f>IFERROR(F6/G6,0)</f>
        <v/>
      </c>
      <c r="L6" s="21">
        <f>IFERROR(H6/G6,0)</f>
        <v/>
      </c>
      <c r="M6" s="22">
        <f>IFERROR(J6/F6,0)</f>
        <v/>
      </c>
      <c r="N6" s="23">
        <f>IFERROR(J6/E6,0)</f>
        <v/>
      </c>
      <c r="O6" s="23">
        <f>IFERROR(I6/J6,0)</f>
        <v/>
      </c>
    </row>
    <row r="7">
      <c r="A7" s="15" t="n">
        <v>2026</v>
      </c>
      <c r="D7" s="16">
        <f>IF(DATE(A7,12,1)&lt;=LastActual,"Actual",IF(DATE(A7,1,1)&gt;LastActual,"Forecast","Blended"))</f>
        <v/>
      </c>
      <c r="E7" s="17">
        <f>SUMIFS($E$15:$E$62,$B$15:$B$62,$A7)</f>
        <v/>
      </c>
      <c r="F7" s="18">
        <f>SUMIFS($F$15:$F$62,$B$15:$B$62,$A7)</f>
        <v/>
      </c>
      <c r="G7" s="19">
        <f>SUMIFS($G$15:$G$62,$B$15:$B$62,$A7)</f>
        <v/>
      </c>
      <c r="H7" s="17">
        <f>SUMIFS($H$15:$H$62,$B$15:$B$62,$A7)</f>
        <v/>
      </c>
      <c r="I7" s="17">
        <f>SUMIFS($I$15:$I$62,$B$15:$B$62,$A7)</f>
        <v/>
      </c>
      <c r="J7" s="17">
        <f>SUMIFS($J$15:$J$62,$B$15:$B$62,$A7)</f>
        <v/>
      </c>
      <c r="K7" s="20">
        <f>IFERROR(F7/G7,0)</f>
        <v/>
      </c>
      <c r="L7" s="21">
        <f>IFERROR(H7/G7,0)</f>
        <v/>
      </c>
      <c r="M7" s="22">
        <f>IFERROR(J7/F7,0)</f>
        <v/>
      </c>
      <c r="N7" s="23">
        <f>IFERROR(J7/E7,0)</f>
        <v/>
      </c>
      <c r="O7" s="23">
        <f>IFERROR(I7/J7,0)</f>
        <v/>
      </c>
    </row>
    <row r="8">
      <c r="A8" s="15" t="n">
        <v>2027</v>
      </c>
      <c r="D8" s="16">
        <f>IF(DATE(A8,12,1)&lt;=LastActual,"Actual",IF(DATE(A8,1,1)&gt;LastActual,"Forecast","Blended"))</f>
        <v/>
      </c>
      <c r="E8" s="17">
        <f>SUMIFS($E$15:$E$62,$B$15:$B$62,$A8)</f>
        <v/>
      </c>
      <c r="F8" s="18">
        <f>SUMIFS($F$15:$F$62,$B$15:$B$62,$A8)</f>
        <v/>
      </c>
      <c r="G8" s="19">
        <f>SUMIFS($G$15:$G$62,$B$15:$B$62,$A8)</f>
        <v/>
      </c>
      <c r="H8" s="17">
        <f>SUMIFS($H$15:$H$62,$B$15:$B$62,$A8)</f>
        <v/>
      </c>
      <c r="I8" s="17">
        <f>SUMIFS($I$15:$I$62,$B$15:$B$62,$A8)</f>
        <v/>
      </c>
      <c r="J8" s="17">
        <f>SUMIFS($J$15:$J$62,$B$15:$B$62,$A8)</f>
        <v/>
      </c>
      <c r="K8" s="20">
        <f>IFERROR(F8/G8,0)</f>
        <v/>
      </c>
      <c r="L8" s="21">
        <f>IFERROR(H8/G8,0)</f>
        <v/>
      </c>
      <c r="M8" s="22">
        <f>IFERROR(J8/F8,0)</f>
        <v/>
      </c>
      <c r="N8" s="23">
        <f>IFERROR(J8/E8,0)</f>
        <v/>
      </c>
      <c r="O8" s="23">
        <f>IFERROR(I8/J8,0)</f>
        <v/>
      </c>
    </row>
    <row r="9">
      <c r="A9" s="15" t="n">
        <v>2028</v>
      </c>
      <c r="D9" s="16">
        <f>IF(DATE(A9,12,1)&lt;=LastActual,"Actual",IF(DATE(A9,1,1)&gt;LastActual,"Forecast","Blended"))</f>
        <v/>
      </c>
      <c r="E9" s="17">
        <f>SUMIFS($E$15:$E$62,$B$15:$B$62,$A9)</f>
        <v/>
      </c>
      <c r="F9" s="18">
        <f>SUMIFS($F$15:$F$62,$B$15:$B$62,$A9)</f>
        <v/>
      </c>
      <c r="G9" s="19">
        <f>SUMIFS($G$15:$G$62,$B$15:$B$62,$A9)</f>
        <v/>
      </c>
      <c r="H9" s="17">
        <f>SUMIFS($H$15:$H$62,$B$15:$B$62,$A9)</f>
        <v/>
      </c>
      <c r="I9" s="17">
        <f>SUMIFS($I$15:$I$62,$B$15:$B$62,$A9)</f>
        <v/>
      </c>
      <c r="J9" s="17">
        <f>SUMIFS($J$15:$J$62,$B$15:$B$62,$A9)</f>
        <v/>
      </c>
      <c r="K9" s="20">
        <f>IFERROR(F9/G9,0)</f>
        <v/>
      </c>
      <c r="L9" s="21">
        <f>IFERROR(H9/G9,0)</f>
        <v/>
      </c>
      <c r="M9" s="22">
        <f>IFERROR(J9/F9,0)</f>
        <v/>
      </c>
      <c r="N9" s="23">
        <f>IFERROR(J9/E9,0)</f>
        <v/>
      </c>
      <c r="O9" s="23">
        <f>IFERROR(I9/J9,0)</f>
        <v/>
      </c>
    </row>
    <row r="12">
      <c r="E12" s="5" t="inlineStr">
        <is>
          <t>Drivers</t>
        </is>
      </c>
      <c r="K12" s="5" t="inlineStr">
        <is>
          <t>Metrics</t>
        </is>
      </c>
      <c r="R12" s="5" t="inlineStr">
        <is>
          <t>Helper calculations (actuals, plan, same-month-last-year rates)</t>
        </is>
      </c>
    </row>
    <row r="13" ht="60" customHeight="1">
      <c r="A13" s="5" t="inlineStr">
        <is>
          <t>Month</t>
        </is>
      </c>
      <c r="B13" s="5" t="inlineStr">
        <is>
          <t>Year</t>
        </is>
      </c>
      <c r="C13" s="5" t="inlineStr">
        <is>
          <t>Mth</t>
        </is>
      </c>
      <c r="D13" s="5" t="inlineStr">
        <is>
          <t>Status</t>
        </is>
      </c>
      <c r="E13" s="5" t="inlineStr">
        <is>
          <t>Sales</t>
        </is>
      </c>
      <c r="F13" s="5" t="inlineStr">
        <is>
          <t>Cases picked</t>
        </is>
      </c>
      <c r="G13" s="5" t="inlineStr">
        <is>
          <t>WH hours worked</t>
        </is>
      </c>
      <c r="H13" s="5" t="inlineStr">
        <is>
          <t>Staff payroll</t>
        </is>
      </c>
      <c r="I13" s="5" t="inlineStr">
        <is>
          <t>Leadership payroll</t>
        </is>
      </c>
      <c r="J13" s="5" t="inlineStr">
        <is>
          <t>Total payroll</t>
        </is>
      </c>
      <c r="K13" s="5" t="inlineStr">
        <is>
          <t>CPLH (cases / hr)</t>
        </is>
      </c>
      <c r="L13" s="5" t="inlineStr">
        <is>
          <t>Cost per hour (staff)</t>
        </is>
      </c>
      <c r="M13" s="5" t="inlineStr">
        <is>
          <t>Cost per case (total payroll)</t>
        </is>
      </c>
      <c r="N13" s="5" t="inlineStr">
        <is>
          <t>Total payroll % sales</t>
        </is>
      </c>
      <c r="O13" s="5" t="inlineStr">
        <is>
          <t>Leadership % of total payroll</t>
        </is>
      </c>
      <c r="R13" s="41" t="inlineStr">
        <is>
          <t>Act sales</t>
        </is>
      </c>
      <c r="S13" s="41" t="inlineStr">
        <is>
          <t>Act cases</t>
        </is>
      </c>
      <c r="T13" s="41" t="inlineStr">
        <is>
          <t>Act hours</t>
        </is>
      </c>
      <c r="U13" s="41" t="inlineStr">
        <is>
          <t>Act staff $</t>
        </is>
      </c>
      <c r="V13" s="41" t="inlineStr">
        <is>
          <t>Act leadership $</t>
        </is>
      </c>
      <c r="W13" s="41" t="inlineStr">
        <is>
          <t>Plan sales</t>
        </is>
      </c>
      <c r="X13" s="41" t="inlineStr">
        <is>
          <t>Plan payroll %</t>
        </is>
      </c>
      <c r="Y13" s="41" t="inlineStr">
        <is>
          <t>Volume driver sales</t>
        </is>
      </c>
      <c r="Z13" s="41" t="inlineStr">
        <is>
          <t>PH factor</t>
        </is>
      </c>
      <c r="AA13" s="41" t="inlineStr">
        <is>
          <t>Wage index</t>
        </is>
      </c>
      <c r="AB13" s="41" t="inlineStr">
        <is>
          <t>Cases per $ (actual, else same month LY)</t>
        </is>
      </c>
      <c r="AC13" s="41" t="inlineStr">
        <is>
          <t>Cost per hour ex PH &amp; wage (actual, else same month LY)</t>
        </is>
      </c>
      <c r="AD13" s="41" t="inlineStr">
        <is>
          <t>Leadership share of total payroll (actual, else same month LY)</t>
        </is>
      </c>
      <c r="AE13" s="41" t="inlineStr">
        <is>
          <t>Fcst cost per hour (AC x PH x wage)</t>
        </is>
      </c>
      <c r="AF13" s="41" t="inlineStr">
        <is>
          <t>LY CPLH (same month)</t>
        </is>
      </c>
      <c r="AG13" s="41" t="inlineStr">
        <is>
          <t>Fcst CPLH vs LY</t>
        </is>
      </c>
    </row>
    <row r="14">
      <c r="E14" s="25" t="inlineStr">
        <is>
          <t>$m</t>
        </is>
      </c>
      <c r="F14" s="25" t="inlineStr">
        <is>
          <t>m</t>
        </is>
      </c>
      <c r="G14" s="25" t="inlineStr">
        <is>
          <t>#</t>
        </is>
      </c>
      <c r="H14" s="25" t="inlineStr">
        <is>
          <t>$m</t>
        </is>
      </c>
      <c r="I14" s="25" t="inlineStr">
        <is>
          <t>$m</t>
        </is>
      </c>
      <c r="J14" s="25" t="inlineStr">
        <is>
          <t>$m</t>
        </is>
      </c>
      <c r="K14" s="25" t="inlineStr">
        <is>
          <t>#</t>
        </is>
      </c>
      <c r="L14" s="25" t="inlineStr">
        <is>
          <t>$</t>
        </is>
      </c>
      <c r="M14" s="25" t="inlineStr">
        <is>
          <t>$</t>
        </is>
      </c>
      <c r="N14" s="25" t="inlineStr">
        <is>
          <t>%</t>
        </is>
      </c>
      <c r="O14" s="25" t="inlineStr">
        <is>
          <t>%</t>
        </is>
      </c>
    </row>
    <row r="15">
      <c r="A15" s="8" t="n">
        <v>45658</v>
      </c>
      <c r="B15" s="26">
        <f>YEAR(A15)</f>
        <v/>
      </c>
      <c r="C15" s="26">
        <f>MONTH(A15)</f>
        <v/>
      </c>
      <c r="D15">
        <f>IF(A15&lt;=LastActual,"Actual","Forecast")</f>
        <v/>
      </c>
      <c r="E15" s="24">
        <f>IF($D15="Actual",R15,W15)</f>
        <v/>
      </c>
      <c r="F15" s="27">
        <f>IF($D15="Actual",S15,Cases_Forecast!AP8)</f>
        <v/>
      </c>
      <c r="G15" s="9">
        <f>IF($D15="Actual",T15,IFERROR(H15/AE15,0))</f>
        <v/>
      </c>
      <c r="H15" s="24">
        <f>IF($D15="Actual",U15,J15-I15)</f>
        <v/>
      </c>
      <c r="I15" s="24">
        <f>IF($D15="Actual",V15,IFERROR(J15*AD15,0))</f>
        <v/>
      </c>
      <c r="J15" s="24">
        <f>IF($D15="Actual",U15+V15,E15*X15)</f>
        <v/>
      </c>
      <c r="K15" s="28">
        <f>IFERROR(F15/G15,0)</f>
        <v/>
      </c>
      <c r="L15" s="29">
        <f>IFERROR(H15/G15,0)</f>
        <v/>
      </c>
      <c r="M15" s="30">
        <f>IFERROR(J15/F15,0)</f>
        <v/>
      </c>
      <c r="N15" s="10">
        <f>IFERROR(J15/E15,0)</f>
        <v/>
      </c>
      <c r="O15" s="10">
        <f>IFERROR(I15/J15,0)</f>
        <v/>
      </c>
      <c r="R15" s="42">
        <f>IF($D15="Actual",SUMIFS(Data_Actuals!$C$2:$C$5000,Data_Actuals!$A$2:$A$5000,$A15,Data_Actuals!$B$2:$B$5000,$B$2),"")</f>
        <v/>
      </c>
      <c r="S15" s="42">
        <f>IF($D15="Actual",SUMIFS(Data_Actuals!$D$2:$D$5000,Data_Actuals!$A$2:$A$5000,$A15,Data_Actuals!$B$2:$B$5000,$B$2),"")</f>
        <v/>
      </c>
      <c r="T15" s="42">
        <f>IF($D15="Actual",SUMIFS(Data_Actuals!$E$2:$E$5000,Data_Actuals!$A$2:$A$5000,$A15,Data_Actuals!$B$2:$B$5000,$B$2),"")</f>
        <v/>
      </c>
      <c r="U15" s="42">
        <f>IF($D15="Actual",SUMIFS(Data_Actuals!$F$2:$F$5000,Data_Actuals!$A$2:$A$5000,$A15,Data_Actuals!$B$2:$B$5000,$B$2),"")</f>
        <v/>
      </c>
      <c r="V15" s="42">
        <f>IF($D15="Actual",SUMIFS(Data_Actuals!$G$2:$G$5000,Data_Actuals!$A$2:$A$5000,$A15,Data_Actuals!$B$2:$B$5000,$B$2),"")</f>
        <v/>
      </c>
      <c r="W15" s="42">
        <f>SUMIFS(Plan_Inputs!$C$2:$C$5000,Plan_Inputs!$A$2:$A$5000,$A15,Plan_Inputs!$B$2:$B$5000,$B$2)</f>
        <v/>
      </c>
      <c r="X15" s="43">
        <f>SUMIFS(Plan_Inputs!$D$2:$D$5000,Plan_Inputs!$A$2:$A$5000,$A15,Plan_Inputs!$B$2:$B$5000,$B$2)</f>
        <v/>
      </c>
      <c r="Y15" s="42">
        <f>E15</f>
        <v/>
      </c>
      <c r="Z15" s="44">
        <f>INDEX(Calendar!$H$5:$L$52,MATCH($A15,Calendar!$A$5:$A$52,0),MATCH($D$2,Calendar!$H$4:$L$4,0))</f>
        <v/>
      </c>
      <c r="AA15" s="44">
        <f>INDEX(Calendar!$M$5:$M$52,MATCH($A15,Calendar!$A$5:$A$52,0))</f>
        <v/>
      </c>
      <c r="AB15" s="45">
        <f>IF($D15="Actual",IFERROR(S15/Y15,""),"")</f>
        <v/>
      </c>
      <c r="AC15" s="46">
        <f>IF($D15="Actual",IFERROR(U15/T15/Z15/AA15,""),"")</f>
        <v/>
      </c>
      <c r="AD15" s="43">
        <f>IF($D15="Actual",IFERROR(V15/(U15+V15),""),"")</f>
        <v/>
      </c>
      <c r="AE15" s="46">
        <f>IFERROR(AC15*Z15*AA15,"")</f>
        <v/>
      </c>
      <c r="AF15" s="47" t="n"/>
      <c r="AG15" s="43">
        <f>IF($D15="Forecast",IFERROR(K15/AF15-1,""),"")</f>
        <v/>
      </c>
    </row>
    <row r="16">
      <c r="A16" s="8" t="n">
        <v>45689</v>
      </c>
      <c r="B16" s="26">
        <f>YEAR(A16)</f>
        <v/>
      </c>
      <c r="C16" s="26">
        <f>MONTH(A16)</f>
        <v/>
      </c>
      <c r="D16">
        <f>IF(A16&lt;=LastActual,"Actual","Forecast")</f>
        <v/>
      </c>
      <c r="E16" s="24">
        <f>IF($D16="Actual",R16,W16)</f>
        <v/>
      </c>
      <c r="F16" s="27">
        <f>IF($D16="Actual",S16,Cases_Forecast!AP9)</f>
        <v/>
      </c>
      <c r="G16" s="9">
        <f>IF($D16="Actual",T16,IFERROR(H16/AE16,0))</f>
        <v/>
      </c>
      <c r="H16" s="24">
        <f>IF($D16="Actual",U16,J16-I16)</f>
        <v/>
      </c>
      <c r="I16" s="24">
        <f>IF($D16="Actual",V16,IFERROR(J16*AD16,0))</f>
        <v/>
      </c>
      <c r="J16" s="24">
        <f>IF($D16="Actual",U16+V16,E16*X16)</f>
        <v/>
      </c>
      <c r="K16" s="28">
        <f>IFERROR(F16/G16,0)</f>
        <v/>
      </c>
      <c r="L16" s="29">
        <f>IFERROR(H16/G16,0)</f>
        <v/>
      </c>
      <c r="M16" s="30">
        <f>IFERROR(J16/F16,0)</f>
        <v/>
      </c>
      <c r="N16" s="10">
        <f>IFERROR(J16/E16,0)</f>
        <v/>
      </c>
      <c r="O16" s="10">
        <f>IFERROR(I16/J16,0)</f>
        <v/>
      </c>
      <c r="R16" s="42">
        <f>IF($D16="Actual",SUMIFS(Data_Actuals!$C$2:$C$5000,Data_Actuals!$A$2:$A$5000,$A16,Data_Actuals!$B$2:$B$5000,$B$2),"")</f>
        <v/>
      </c>
      <c r="S16" s="42">
        <f>IF($D16="Actual",SUMIFS(Data_Actuals!$D$2:$D$5000,Data_Actuals!$A$2:$A$5000,$A16,Data_Actuals!$B$2:$B$5000,$B$2),"")</f>
        <v/>
      </c>
      <c r="T16" s="42">
        <f>IF($D16="Actual",SUMIFS(Data_Actuals!$E$2:$E$5000,Data_Actuals!$A$2:$A$5000,$A16,Data_Actuals!$B$2:$B$5000,$B$2),"")</f>
        <v/>
      </c>
      <c r="U16" s="42">
        <f>IF($D16="Actual",SUMIFS(Data_Actuals!$F$2:$F$5000,Data_Actuals!$A$2:$A$5000,$A16,Data_Actuals!$B$2:$B$5000,$B$2),"")</f>
        <v/>
      </c>
      <c r="V16" s="42">
        <f>IF($D16="Actual",SUMIFS(Data_Actuals!$G$2:$G$5000,Data_Actuals!$A$2:$A$5000,$A16,Data_Actuals!$B$2:$B$5000,$B$2),"")</f>
        <v/>
      </c>
      <c r="W16" s="42">
        <f>SUMIFS(Plan_Inputs!$C$2:$C$5000,Plan_Inputs!$A$2:$A$5000,$A16,Plan_Inputs!$B$2:$B$5000,$B$2)</f>
        <v/>
      </c>
      <c r="X16" s="43">
        <f>SUMIFS(Plan_Inputs!$D$2:$D$5000,Plan_Inputs!$A$2:$A$5000,$A16,Plan_Inputs!$B$2:$B$5000,$B$2)</f>
        <v/>
      </c>
      <c r="Y16" s="42">
        <f>E16</f>
        <v/>
      </c>
      <c r="Z16" s="44">
        <f>INDEX(Calendar!$H$5:$L$52,MATCH($A16,Calendar!$A$5:$A$52,0),MATCH($D$2,Calendar!$H$4:$L$4,0))</f>
        <v/>
      </c>
      <c r="AA16" s="44">
        <f>INDEX(Calendar!$M$5:$M$52,MATCH($A16,Calendar!$A$5:$A$52,0))</f>
        <v/>
      </c>
      <c r="AB16" s="45">
        <f>IF($D16="Actual",IFERROR(S16/Y16,""),"")</f>
        <v/>
      </c>
      <c r="AC16" s="46">
        <f>IF($D16="Actual",IFERROR(U16/T16/Z16/AA16,""),"")</f>
        <v/>
      </c>
      <c r="AD16" s="43">
        <f>IF($D16="Actual",IFERROR(V16/(U16+V16),""),"")</f>
        <v/>
      </c>
      <c r="AE16" s="46">
        <f>IFERROR(AC16*Z16*AA16,"")</f>
        <v/>
      </c>
      <c r="AF16" s="47" t="n"/>
      <c r="AG16" s="43">
        <f>IF($D16="Forecast",IFERROR(K16/AF16-1,""),"")</f>
        <v/>
      </c>
    </row>
    <row r="17">
      <c r="A17" s="8" t="n">
        <v>45717</v>
      </c>
      <c r="B17" s="26">
        <f>YEAR(A17)</f>
        <v/>
      </c>
      <c r="C17" s="26">
        <f>MONTH(A17)</f>
        <v/>
      </c>
      <c r="D17">
        <f>IF(A17&lt;=LastActual,"Actual","Forecast")</f>
        <v/>
      </c>
      <c r="E17" s="24">
        <f>IF($D17="Actual",R17,W17)</f>
        <v/>
      </c>
      <c r="F17" s="27">
        <f>IF($D17="Actual",S17,Cases_Forecast!AP10)</f>
        <v/>
      </c>
      <c r="G17" s="9">
        <f>IF($D17="Actual",T17,IFERROR(H17/AE17,0))</f>
        <v/>
      </c>
      <c r="H17" s="24">
        <f>IF($D17="Actual",U17,J17-I17)</f>
        <v/>
      </c>
      <c r="I17" s="24">
        <f>IF($D17="Actual",V17,IFERROR(J17*AD17,0))</f>
        <v/>
      </c>
      <c r="J17" s="24">
        <f>IF($D17="Actual",U17+V17,E17*X17)</f>
        <v/>
      </c>
      <c r="K17" s="28">
        <f>IFERROR(F17/G17,0)</f>
        <v/>
      </c>
      <c r="L17" s="29">
        <f>IFERROR(H17/G17,0)</f>
        <v/>
      </c>
      <c r="M17" s="30">
        <f>IFERROR(J17/F17,0)</f>
        <v/>
      </c>
      <c r="N17" s="10">
        <f>IFERROR(J17/E17,0)</f>
        <v/>
      </c>
      <c r="O17" s="10">
        <f>IFERROR(I17/J17,0)</f>
        <v/>
      </c>
      <c r="R17" s="42">
        <f>IF($D17="Actual",SUMIFS(Data_Actuals!$C$2:$C$5000,Data_Actuals!$A$2:$A$5000,$A17,Data_Actuals!$B$2:$B$5000,$B$2),"")</f>
        <v/>
      </c>
      <c r="S17" s="42">
        <f>IF($D17="Actual",SUMIFS(Data_Actuals!$D$2:$D$5000,Data_Actuals!$A$2:$A$5000,$A17,Data_Actuals!$B$2:$B$5000,$B$2),"")</f>
        <v/>
      </c>
      <c r="T17" s="42">
        <f>IF($D17="Actual",SUMIFS(Data_Actuals!$E$2:$E$5000,Data_Actuals!$A$2:$A$5000,$A17,Data_Actuals!$B$2:$B$5000,$B$2),"")</f>
        <v/>
      </c>
      <c r="U17" s="42">
        <f>IF($D17="Actual",SUMIFS(Data_Actuals!$F$2:$F$5000,Data_Actuals!$A$2:$A$5000,$A17,Data_Actuals!$B$2:$B$5000,$B$2),"")</f>
        <v/>
      </c>
      <c r="V17" s="42">
        <f>IF($D17="Actual",SUMIFS(Data_Actuals!$G$2:$G$5000,Data_Actuals!$A$2:$A$5000,$A17,Data_Actuals!$B$2:$B$5000,$B$2),"")</f>
        <v/>
      </c>
      <c r="W17" s="42">
        <f>SUMIFS(Plan_Inputs!$C$2:$C$5000,Plan_Inputs!$A$2:$A$5000,$A17,Plan_Inputs!$B$2:$B$5000,$B$2)</f>
        <v/>
      </c>
      <c r="X17" s="43">
        <f>SUMIFS(Plan_Inputs!$D$2:$D$5000,Plan_Inputs!$A$2:$A$5000,$A17,Plan_Inputs!$B$2:$B$5000,$B$2)</f>
        <v/>
      </c>
      <c r="Y17" s="42">
        <f>E17</f>
        <v/>
      </c>
      <c r="Z17" s="44">
        <f>INDEX(Calendar!$H$5:$L$52,MATCH($A17,Calendar!$A$5:$A$52,0),MATCH($D$2,Calendar!$H$4:$L$4,0))</f>
        <v/>
      </c>
      <c r="AA17" s="44">
        <f>INDEX(Calendar!$M$5:$M$52,MATCH($A17,Calendar!$A$5:$A$52,0))</f>
        <v/>
      </c>
      <c r="AB17" s="45">
        <f>IF($D17="Actual",IFERROR(S17/Y17,""),"")</f>
        <v/>
      </c>
      <c r="AC17" s="46">
        <f>IF($D17="Actual",IFERROR(U17/T17/Z17/AA17,""),"")</f>
        <v/>
      </c>
      <c r="AD17" s="43">
        <f>IF($D17="Actual",IFERROR(V17/(U17+V17),""),"")</f>
        <v/>
      </c>
      <c r="AE17" s="46">
        <f>IFERROR(AC17*Z17*AA17,"")</f>
        <v/>
      </c>
      <c r="AF17" s="47" t="n"/>
      <c r="AG17" s="43">
        <f>IF($D17="Forecast",IFERROR(K17/AF17-1,""),"")</f>
        <v/>
      </c>
    </row>
    <row r="18">
      <c r="A18" s="8" t="n">
        <v>45748</v>
      </c>
      <c r="B18" s="26">
        <f>YEAR(A18)</f>
        <v/>
      </c>
      <c r="C18" s="26">
        <f>MONTH(A18)</f>
        <v/>
      </c>
      <c r="D18">
        <f>IF(A18&lt;=LastActual,"Actual","Forecast")</f>
        <v/>
      </c>
      <c r="E18" s="24">
        <f>IF($D18="Actual",R18,W18)</f>
        <v/>
      </c>
      <c r="F18" s="27">
        <f>IF($D18="Actual",S18,Cases_Forecast!AP11)</f>
        <v/>
      </c>
      <c r="G18" s="9">
        <f>IF($D18="Actual",T18,IFERROR(H18/AE18,0))</f>
        <v/>
      </c>
      <c r="H18" s="24">
        <f>IF($D18="Actual",U18,J18-I18)</f>
        <v/>
      </c>
      <c r="I18" s="24">
        <f>IF($D18="Actual",V18,IFERROR(J18*AD18,0))</f>
        <v/>
      </c>
      <c r="J18" s="24">
        <f>IF($D18="Actual",U18+V18,E18*X18)</f>
        <v/>
      </c>
      <c r="K18" s="28">
        <f>IFERROR(F18/G18,0)</f>
        <v/>
      </c>
      <c r="L18" s="29">
        <f>IFERROR(H18/G18,0)</f>
        <v/>
      </c>
      <c r="M18" s="30">
        <f>IFERROR(J18/F18,0)</f>
        <v/>
      </c>
      <c r="N18" s="10">
        <f>IFERROR(J18/E18,0)</f>
        <v/>
      </c>
      <c r="O18" s="10">
        <f>IFERROR(I18/J18,0)</f>
        <v/>
      </c>
      <c r="R18" s="42">
        <f>IF($D18="Actual",SUMIFS(Data_Actuals!$C$2:$C$5000,Data_Actuals!$A$2:$A$5000,$A18,Data_Actuals!$B$2:$B$5000,$B$2),"")</f>
        <v/>
      </c>
      <c r="S18" s="42">
        <f>IF($D18="Actual",SUMIFS(Data_Actuals!$D$2:$D$5000,Data_Actuals!$A$2:$A$5000,$A18,Data_Actuals!$B$2:$B$5000,$B$2),"")</f>
        <v/>
      </c>
      <c r="T18" s="42">
        <f>IF($D18="Actual",SUMIFS(Data_Actuals!$E$2:$E$5000,Data_Actuals!$A$2:$A$5000,$A18,Data_Actuals!$B$2:$B$5000,$B$2),"")</f>
        <v/>
      </c>
      <c r="U18" s="42">
        <f>IF($D18="Actual",SUMIFS(Data_Actuals!$F$2:$F$5000,Data_Actuals!$A$2:$A$5000,$A18,Data_Actuals!$B$2:$B$5000,$B$2),"")</f>
        <v/>
      </c>
      <c r="V18" s="42">
        <f>IF($D18="Actual",SUMIFS(Data_Actuals!$G$2:$G$5000,Data_Actuals!$A$2:$A$5000,$A18,Data_Actuals!$B$2:$B$5000,$B$2),"")</f>
        <v/>
      </c>
      <c r="W18" s="42">
        <f>SUMIFS(Plan_Inputs!$C$2:$C$5000,Plan_Inputs!$A$2:$A$5000,$A18,Plan_Inputs!$B$2:$B$5000,$B$2)</f>
        <v/>
      </c>
      <c r="X18" s="43">
        <f>SUMIFS(Plan_Inputs!$D$2:$D$5000,Plan_Inputs!$A$2:$A$5000,$A18,Plan_Inputs!$B$2:$B$5000,$B$2)</f>
        <v/>
      </c>
      <c r="Y18" s="42">
        <f>E18</f>
        <v/>
      </c>
      <c r="Z18" s="44">
        <f>INDEX(Calendar!$H$5:$L$52,MATCH($A18,Calendar!$A$5:$A$52,0),MATCH($D$2,Calendar!$H$4:$L$4,0))</f>
        <v/>
      </c>
      <c r="AA18" s="44">
        <f>INDEX(Calendar!$M$5:$M$52,MATCH($A18,Calendar!$A$5:$A$52,0))</f>
        <v/>
      </c>
      <c r="AB18" s="45">
        <f>IF($D18="Actual",IFERROR(S18/Y18,""),"")</f>
        <v/>
      </c>
      <c r="AC18" s="46">
        <f>IF($D18="Actual",IFERROR(U18/T18/Z18/AA18,""),"")</f>
        <v/>
      </c>
      <c r="AD18" s="43">
        <f>IF($D18="Actual",IFERROR(V18/(U18+V18),""),"")</f>
        <v/>
      </c>
      <c r="AE18" s="46">
        <f>IFERROR(AC18*Z18*AA18,"")</f>
        <v/>
      </c>
      <c r="AF18" s="47" t="n"/>
      <c r="AG18" s="43">
        <f>IF($D18="Forecast",IFERROR(K18/AF18-1,""),"")</f>
        <v/>
      </c>
    </row>
    <row r="19">
      <c r="A19" s="8" t="n">
        <v>45778</v>
      </c>
      <c r="B19" s="26">
        <f>YEAR(A19)</f>
        <v/>
      </c>
      <c r="C19" s="26">
        <f>MONTH(A19)</f>
        <v/>
      </c>
      <c r="D19">
        <f>IF(A19&lt;=LastActual,"Actual","Forecast")</f>
        <v/>
      </c>
      <c r="E19" s="24">
        <f>IF($D19="Actual",R19,W19)</f>
        <v/>
      </c>
      <c r="F19" s="27">
        <f>IF($D19="Actual",S19,Cases_Forecast!AP12)</f>
        <v/>
      </c>
      <c r="G19" s="9">
        <f>IF($D19="Actual",T19,IFERROR(H19/AE19,0))</f>
        <v/>
      </c>
      <c r="H19" s="24">
        <f>IF($D19="Actual",U19,J19-I19)</f>
        <v/>
      </c>
      <c r="I19" s="24">
        <f>IF($D19="Actual",V19,IFERROR(J19*AD19,0))</f>
        <v/>
      </c>
      <c r="J19" s="24">
        <f>IF($D19="Actual",U19+V19,E19*X19)</f>
        <v/>
      </c>
      <c r="K19" s="28">
        <f>IFERROR(F19/G19,0)</f>
        <v/>
      </c>
      <c r="L19" s="29">
        <f>IFERROR(H19/G19,0)</f>
        <v/>
      </c>
      <c r="M19" s="30">
        <f>IFERROR(J19/F19,0)</f>
        <v/>
      </c>
      <c r="N19" s="10">
        <f>IFERROR(J19/E19,0)</f>
        <v/>
      </c>
      <c r="O19" s="10">
        <f>IFERROR(I19/J19,0)</f>
        <v/>
      </c>
      <c r="R19" s="42">
        <f>IF($D19="Actual",SUMIFS(Data_Actuals!$C$2:$C$5000,Data_Actuals!$A$2:$A$5000,$A19,Data_Actuals!$B$2:$B$5000,$B$2),"")</f>
        <v/>
      </c>
      <c r="S19" s="42">
        <f>IF($D19="Actual",SUMIFS(Data_Actuals!$D$2:$D$5000,Data_Actuals!$A$2:$A$5000,$A19,Data_Actuals!$B$2:$B$5000,$B$2),"")</f>
        <v/>
      </c>
      <c r="T19" s="42">
        <f>IF($D19="Actual",SUMIFS(Data_Actuals!$E$2:$E$5000,Data_Actuals!$A$2:$A$5000,$A19,Data_Actuals!$B$2:$B$5000,$B$2),"")</f>
        <v/>
      </c>
      <c r="U19" s="42">
        <f>IF($D19="Actual",SUMIFS(Data_Actuals!$F$2:$F$5000,Data_Actuals!$A$2:$A$5000,$A19,Data_Actuals!$B$2:$B$5000,$B$2),"")</f>
        <v/>
      </c>
      <c r="V19" s="42">
        <f>IF($D19="Actual",SUMIFS(Data_Actuals!$G$2:$G$5000,Data_Actuals!$A$2:$A$5000,$A19,Data_Actuals!$B$2:$B$5000,$B$2),"")</f>
        <v/>
      </c>
      <c r="W19" s="42">
        <f>SUMIFS(Plan_Inputs!$C$2:$C$5000,Plan_Inputs!$A$2:$A$5000,$A19,Plan_Inputs!$B$2:$B$5000,$B$2)</f>
        <v/>
      </c>
      <c r="X19" s="43">
        <f>SUMIFS(Plan_Inputs!$D$2:$D$5000,Plan_Inputs!$A$2:$A$5000,$A19,Plan_Inputs!$B$2:$B$5000,$B$2)</f>
        <v/>
      </c>
      <c r="Y19" s="42">
        <f>E19</f>
        <v/>
      </c>
      <c r="Z19" s="44">
        <f>INDEX(Calendar!$H$5:$L$52,MATCH($A19,Calendar!$A$5:$A$52,0),MATCH($D$2,Calendar!$H$4:$L$4,0))</f>
        <v/>
      </c>
      <c r="AA19" s="44">
        <f>INDEX(Calendar!$M$5:$M$52,MATCH($A19,Calendar!$A$5:$A$52,0))</f>
        <v/>
      </c>
      <c r="AB19" s="45">
        <f>IF($D19="Actual",IFERROR(S19/Y19,""),"")</f>
        <v/>
      </c>
      <c r="AC19" s="46">
        <f>IF($D19="Actual",IFERROR(U19/T19/Z19/AA19,""),"")</f>
        <v/>
      </c>
      <c r="AD19" s="43">
        <f>IF($D19="Actual",IFERROR(V19/(U19+V19),""),"")</f>
        <v/>
      </c>
      <c r="AE19" s="46">
        <f>IFERROR(AC19*Z19*AA19,"")</f>
        <v/>
      </c>
      <c r="AF19" s="47" t="n"/>
      <c r="AG19" s="43">
        <f>IF($D19="Forecast",IFERROR(K19/AF19-1,""),"")</f>
        <v/>
      </c>
    </row>
    <row r="20">
      <c r="A20" s="8" t="n">
        <v>45809</v>
      </c>
      <c r="B20" s="26">
        <f>YEAR(A20)</f>
        <v/>
      </c>
      <c r="C20" s="26">
        <f>MONTH(A20)</f>
        <v/>
      </c>
      <c r="D20">
        <f>IF(A20&lt;=LastActual,"Actual","Forecast")</f>
        <v/>
      </c>
      <c r="E20" s="24">
        <f>IF($D20="Actual",R20,W20)</f>
        <v/>
      </c>
      <c r="F20" s="27">
        <f>IF($D20="Actual",S20,Cases_Forecast!AP13)</f>
        <v/>
      </c>
      <c r="G20" s="9">
        <f>IF($D20="Actual",T20,IFERROR(H20/AE20,0))</f>
        <v/>
      </c>
      <c r="H20" s="24">
        <f>IF($D20="Actual",U20,J20-I20)</f>
        <v/>
      </c>
      <c r="I20" s="24">
        <f>IF($D20="Actual",V20,IFERROR(J20*AD20,0))</f>
        <v/>
      </c>
      <c r="J20" s="24">
        <f>IF($D20="Actual",U20+V20,E20*X20)</f>
        <v/>
      </c>
      <c r="K20" s="28">
        <f>IFERROR(F20/G20,0)</f>
        <v/>
      </c>
      <c r="L20" s="29">
        <f>IFERROR(H20/G20,0)</f>
        <v/>
      </c>
      <c r="M20" s="30">
        <f>IFERROR(J20/F20,0)</f>
        <v/>
      </c>
      <c r="N20" s="10">
        <f>IFERROR(J20/E20,0)</f>
        <v/>
      </c>
      <c r="O20" s="10">
        <f>IFERROR(I20/J20,0)</f>
        <v/>
      </c>
      <c r="R20" s="42">
        <f>IF($D20="Actual",SUMIFS(Data_Actuals!$C$2:$C$5000,Data_Actuals!$A$2:$A$5000,$A20,Data_Actuals!$B$2:$B$5000,$B$2),"")</f>
        <v/>
      </c>
      <c r="S20" s="42">
        <f>IF($D20="Actual",SUMIFS(Data_Actuals!$D$2:$D$5000,Data_Actuals!$A$2:$A$5000,$A20,Data_Actuals!$B$2:$B$5000,$B$2),"")</f>
        <v/>
      </c>
      <c r="T20" s="42">
        <f>IF($D20="Actual",SUMIFS(Data_Actuals!$E$2:$E$5000,Data_Actuals!$A$2:$A$5000,$A20,Data_Actuals!$B$2:$B$5000,$B$2),"")</f>
        <v/>
      </c>
      <c r="U20" s="42">
        <f>IF($D20="Actual",SUMIFS(Data_Actuals!$F$2:$F$5000,Data_Actuals!$A$2:$A$5000,$A20,Data_Actuals!$B$2:$B$5000,$B$2),"")</f>
        <v/>
      </c>
      <c r="V20" s="42">
        <f>IF($D20="Actual",SUMIFS(Data_Actuals!$G$2:$G$5000,Data_Actuals!$A$2:$A$5000,$A20,Data_Actuals!$B$2:$B$5000,$B$2),"")</f>
        <v/>
      </c>
      <c r="W20" s="42">
        <f>SUMIFS(Plan_Inputs!$C$2:$C$5000,Plan_Inputs!$A$2:$A$5000,$A20,Plan_Inputs!$B$2:$B$5000,$B$2)</f>
        <v/>
      </c>
      <c r="X20" s="43">
        <f>SUMIFS(Plan_Inputs!$D$2:$D$5000,Plan_Inputs!$A$2:$A$5000,$A20,Plan_Inputs!$B$2:$B$5000,$B$2)</f>
        <v/>
      </c>
      <c r="Y20" s="42">
        <f>E20</f>
        <v/>
      </c>
      <c r="Z20" s="44">
        <f>INDEX(Calendar!$H$5:$L$52,MATCH($A20,Calendar!$A$5:$A$52,0),MATCH($D$2,Calendar!$H$4:$L$4,0))</f>
        <v/>
      </c>
      <c r="AA20" s="44">
        <f>INDEX(Calendar!$M$5:$M$52,MATCH($A20,Calendar!$A$5:$A$52,0))</f>
        <v/>
      </c>
      <c r="AB20" s="45">
        <f>IF($D20="Actual",IFERROR(S20/Y20,""),"")</f>
        <v/>
      </c>
      <c r="AC20" s="46">
        <f>IF($D20="Actual",IFERROR(U20/T20/Z20/AA20,""),"")</f>
        <v/>
      </c>
      <c r="AD20" s="43">
        <f>IF($D20="Actual",IFERROR(V20/(U20+V20),""),"")</f>
        <v/>
      </c>
      <c r="AE20" s="46">
        <f>IFERROR(AC20*Z20*AA20,"")</f>
        <v/>
      </c>
      <c r="AF20" s="47" t="n"/>
      <c r="AG20" s="43">
        <f>IF($D20="Forecast",IFERROR(K20/AF20-1,""),"")</f>
        <v/>
      </c>
    </row>
    <row r="21">
      <c r="A21" s="8" t="n">
        <v>45839</v>
      </c>
      <c r="B21" s="26">
        <f>YEAR(A21)</f>
        <v/>
      </c>
      <c r="C21" s="26">
        <f>MONTH(A21)</f>
        <v/>
      </c>
      <c r="D21">
        <f>IF(A21&lt;=LastActual,"Actual","Forecast")</f>
        <v/>
      </c>
      <c r="E21" s="24">
        <f>IF($D21="Actual",R21,W21)</f>
        <v/>
      </c>
      <c r="F21" s="27">
        <f>IF($D21="Actual",S21,Cases_Forecast!AP14)</f>
        <v/>
      </c>
      <c r="G21" s="9">
        <f>IF($D21="Actual",T21,IFERROR(H21/AE21,0))</f>
        <v/>
      </c>
      <c r="H21" s="24">
        <f>IF($D21="Actual",U21,J21-I21)</f>
        <v/>
      </c>
      <c r="I21" s="24">
        <f>IF($D21="Actual",V21,IFERROR(J21*AD21,0))</f>
        <v/>
      </c>
      <c r="J21" s="24">
        <f>IF($D21="Actual",U21+V21,E21*X21)</f>
        <v/>
      </c>
      <c r="K21" s="28">
        <f>IFERROR(F21/G21,0)</f>
        <v/>
      </c>
      <c r="L21" s="29">
        <f>IFERROR(H21/G21,0)</f>
        <v/>
      </c>
      <c r="M21" s="30">
        <f>IFERROR(J21/F21,0)</f>
        <v/>
      </c>
      <c r="N21" s="10">
        <f>IFERROR(J21/E21,0)</f>
        <v/>
      </c>
      <c r="O21" s="10">
        <f>IFERROR(I21/J21,0)</f>
        <v/>
      </c>
      <c r="R21" s="42">
        <f>IF($D21="Actual",SUMIFS(Data_Actuals!$C$2:$C$5000,Data_Actuals!$A$2:$A$5000,$A21,Data_Actuals!$B$2:$B$5000,$B$2),"")</f>
        <v/>
      </c>
      <c r="S21" s="42">
        <f>IF($D21="Actual",SUMIFS(Data_Actuals!$D$2:$D$5000,Data_Actuals!$A$2:$A$5000,$A21,Data_Actuals!$B$2:$B$5000,$B$2),"")</f>
        <v/>
      </c>
      <c r="T21" s="42">
        <f>IF($D21="Actual",SUMIFS(Data_Actuals!$E$2:$E$5000,Data_Actuals!$A$2:$A$5000,$A21,Data_Actuals!$B$2:$B$5000,$B$2),"")</f>
        <v/>
      </c>
      <c r="U21" s="42">
        <f>IF($D21="Actual",SUMIFS(Data_Actuals!$F$2:$F$5000,Data_Actuals!$A$2:$A$5000,$A21,Data_Actuals!$B$2:$B$5000,$B$2),"")</f>
        <v/>
      </c>
      <c r="V21" s="42">
        <f>IF($D21="Actual",SUMIFS(Data_Actuals!$G$2:$G$5000,Data_Actuals!$A$2:$A$5000,$A21,Data_Actuals!$B$2:$B$5000,$B$2),"")</f>
        <v/>
      </c>
      <c r="W21" s="42">
        <f>SUMIFS(Plan_Inputs!$C$2:$C$5000,Plan_Inputs!$A$2:$A$5000,$A21,Plan_Inputs!$B$2:$B$5000,$B$2)</f>
        <v/>
      </c>
      <c r="X21" s="43">
        <f>SUMIFS(Plan_Inputs!$D$2:$D$5000,Plan_Inputs!$A$2:$A$5000,$A21,Plan_Inputs!$B$2:$B$5000,$B$2)</f>
        <v/>
      </c>
      <c r="Y21" s="42">
        <f>E21</f>
        <v/>
      </c>
      <c r="Z21" s="44">
        <f>INDEX(Calendar!$H$5:$L$52,MATCH($A21,Calendar!$A$5:$A$52,0),MATCH($D$2,Calendar!$H$4:$L$4,0))</f>
        <v/>
      </c>
      <c r="AA21" s="44">
        <f>INDEX(Calendar!$M$5:$M$52,MATCH($A21,Calendar!$A$5:$A$52,0))</f>
        <v/>
      </c>
      <c r="AB21" s="45">
        <f>IF($D21="Actual",IFERROR(S21/Y21,""),"")</f>
        <v/>
      </c>
      <c r="AC21" s="46">
        <f>IF($D21="Actual",IFERROR(U21/T21/Z21/AA21,""),"")</f>
        <v/>
      </c>
      <c r="AD21" s="43">
        <f>IF($D21="Actual",IFERROR(V21/(U21+V21),""),"")</f>
        <v/>
      </c>
      <c r="AE21" s="46">
        <f>IFERROR(AC21*Z21*AA21,"")</f>
        <v/>
      </c>
      <c r="AF21" s="47" t="n"/>
      <c r="AG21" s="43">
        <f>IF($D21="Forecast",IFERROR(K21/AF21-1,""),"")</f>
        <v/>
      </c>
    </row>
    <row r="22">
      <c r="A22" s="8" t="n">
        <v>45870</v>
      </c>
      <c r="B22" s="26">
        <f>YEAR(A22)</f>
        <v/>
      </c>
      <c r="C22" s="26">
        <f>MONTH(A22)</f>
        <v/>
      </c>
      <c r="D22">
        <f>IF(A22&lt;=LastActual,"Actual","Forecast")</f>
        <v/>
      </c>
      <c r="E22" s="24">
        <f>IF($D22="Actual",R22,W22)</f>
        <v/>
      </c>
      <c r="F22" s="27">
        <f>IF($D22="Actual",S22,Cases_Forecast!AP15)</f>
        <v/>
      </c>
      <c r="G22" s="9">
        <f>IF($D22="Actual",T22,IFERROR(H22/AE22,0))</f>
        <v/>
      </c>
      <c r="H22" s="24">
        <f>IF($D22="Actual",U22,J22-I22)</f>
        <v/>
      </c>
      <c r="I22" s="24">
        <f>IF($D22="Actual",V22,IFERROR(J22*AD22,0))</f>
        <v/>
      </c>
      <c r="J22" s="24">
        <f>IF($D22="Actual",U22+V22,E22*X22)</f>
        <v/>
      </c>
      <c r="K22" s="28">
        <f>IFERROR(F22/G22,0)</f>
        <v/>
      </c>
      <c r="L22" s="29">
        <f>IFERROR(H22/G22,0)</f>
        <v/>
      </c>
      <c r="M22" s="30">
        <f>IFERROR(J22/F22,0)</f>
        <v/>
      </c>
      <c r="N22" s="10">
        <f>IFERROR(J22/E22,0)</f>
        <v/>
      </c>
      <c r="O22" s="10">
        <f>IFERROR(I22/J22,0)</f>
        <v/>
      </c>
      <c r="R22" s="42">
        <f>IF($D22="Actual",SUMIFS(Data_Actuals!$C$2:$C$5000,Data_Actuals!$A$2:$A$5000,$A22,Data_Actuals!$B$2:$B$5000,$B$2),"")</f>
        <v/>
      </c>
      <c r="S22" s="42">
        <f>IF($D22="Actual",SUMIFS(Data_Actuals!$D$2:$D$5000,Data_Actuals!$A$2:$A$5000,$A22,Data_Actuals!$B$2:$B$5000,$B$2),"")</f>
        <v/>
      </c>
      <c r="T22" s="42">
        <f>IF($D22="Actual",SUMIFS(Data_Actuals!$E$2:$E$5000,Data_Actuals!$A$2:$A$5000,$A22,Data_Actuals!$B$2:$B$5000,$B$2),"")</f>
        <v/>
      </c>
      <c r="U22" s="42">
        <f>IF($D22="Actual",SUMIFS(Data_Actuals!$F$2:$F$5000,Data_Actuals!$A$2:$A$5000,$A22,Data_Actuals!$B$2:$B$5000,$B$2),"")</f>
        <v/>
      </c>
      <c r="V22" s="42">
        <f>IF($D22="Actual",SUMIFS(Data_Actuals!$G$2:$G$5000,Data_Actuals!$A$2:$A$5000,$A22,Data_Actuals!$B$2:$B$5000,$B$2),"")</f>
        <v/>
      </c>
      <c r="W22" s="42">
        <f>SUMIFS(Plan_Inputs!$C$2:$C$5000,Plan_Inputs!$A$2:$A$5000,$A22,Plan_Inputs!$B$2:$B$5000,$B$2)</f>
        <v/>
      </c>
      <c r="X22" s="43">
        <f>SUMIFS(Plan_Inputs!$D$2:$D$5000,Plan_Inputs!$A$2:$A$5000,$A22,Plan_Inputs!$B$2:$B$5000,$B$2)</f>
        <v/>
      </c>
      <c r="Y22" s="42">
        <f>E22</f>
        <v/>
      </c>
      <c r="Z22" s="44">
        <f>INDEX(Calendar!$H$5:$L$52,MATCH($A22,Calendar!$A$5:$A$52,0),MATCH($D$2,Calendar!$H$4:$L$4,0))</f>
        <v/>
      </c>
      <c r="AA22" s="44">
        <f>INDEX(Calendar!$M$5:$M$52,MATCH($A22,Calendar!$A$5:$A$52,0))</f>
        <v/>
      </c>
      <c r="AB22" s="45">
        <f>IF($D22="Actual",IFERROR(S22/Y22,""),"")</f>
        <v/>
      </c>
      <c r="AC22" s="46">
        <f>IF($D22="Actual",IFERROR(U22/T22/Z22/AA22,""),"")</f>
        <v/>
      </c>
      <c r="AD22" s="43">
        <f>IF($D22="Actual",IFERROR(V22/(U22+V22),""),"")</f>
        <v/>
      </c>
      <c r="AE22" s="46">
        <f>IFERROR(AC22*Z22*AA22,"")</f>
        <v/>
      </c>
      <c r="AF22" s="47" t="n"/>
      <c r="AG22" s="43">
        <f>IF($D22="Forecast",IFERROR(K22/AF22-1,""),"")</f>
        <v/>
      </c>
    </row>
    <row r="23">
      <c r="A23" s="8" t="n">
        <v>45901</v>
      </c>
      <c r="B23" s="26">
        <f>YEAR(A23)</f>
        <v/>
      </c>
      <c r="C23" s="26">
        <f>MONTH(A23)</f>
        <v/>
      </c>
      <c r="D23">
        <f>IF(A23&lt;=LastActual,"Actual","Forecast")</f>
        <v/>
      </c>
      <c r="E23" s="24">
        <f>IF($D23="Actual",R23,W23)</f>
        <v/>
      </c>
      <c r="F23" s="27">
        <f>IF($D23="Actual",S23,Cases_Forecast!AP16)</f>
        <v/>
      </c>
      <c r="G23" s="9">
        <f>IF($D23="Actual",T23,IFERROR(H23/AE23,0))</f>
        <v/>
      </c>
      <c r="H23" s="24">
        <f>IF($D23="Actual",U23,J23-I23)</f>
        <v/>
      </c>
      <c r="I23" s="24">
        <f>IF($D23="Actual",V23,IFERROR(J23*AD23,0))</f>
        <v/>
      </c>
      <c r="J23" s="24">
        <f>IF($D23="Actual",U23+V23,E23*X23)</f>
        <v/>
      </c>
      <c r="K23" s="28">
        <f>IFERROR(F23/G23,0)</f>
        <v/>
      </c>
      <c r="L23" s="29">
        <f>IFERROR(H23/G23,0)</f>
        <v/>
      </c>
      <c r="M23" s="30">
        <f>IFERROR(J23/F23,0)</f>
        <v/>
      </c>
      <c r="N23" s="10">
        <f>IFERROR(J23/E23,0)</f>
        <v/>
      </c>
      <c r="O23" s="10">
        <f>IFERROR(I23/J23,0)</f>
        <v/>
      </c>
      <c r="R23" s="42">
        <f>IF($D23="Actual",SUMIFS(Data_Actuals!$C$2:$C$5000,Data_Actuals!$A$2:$A$5000,$A23,Data_Actuals!$B$2:$B$5000,$B$2),"")</f>
        <v/>
      </c>
      <c r="S23" s="42">
        <f>IF($D23="Actual",SUMIFS(Data_Actuals!$D$2:$D$5000,Data_Actuals!$A$2:$A$5000,$A23,Data_Actuals!$B$2:$B$5000,$B$2),"")</f>
        <v/>
      </c>
      <c r="T23" s="42">
        <f>IF($D23="Actual",SUMIFS(Data_Actuals!$E$2:$E$5000,Data_Actuals!$A$2:$A$5000,$A23,Data_Actuals!$B$2:$B$5000,$B$2),"")</f>
        <v/>
      </c>
      <c r="U23" s="42">
        <f>IF($D23="Actual",SUMIFS(Data_Actuals!$F$2:$F$5000,Data_Actuals!$A$2:$A$5000,$A23,Data_Actuals!$B$2:$B$5000,$B$2),"")</f>
        <v/>
      </c>
      <c r="V23" s="42">
        <f>IF($D23="Actual",SUMIFS(Data_Actuals!$G$2:$G$5000,Data_Actuals!$A$2:$A$5000,$A23,Data_Actuals!$B$2:$B$5000,$B$2),"")</f>
        <v/>
      </c>
      <c r="W23" s="42">
        <f>SUMIFS(Plan_Inputs!$C$2:$C$5000,Plan_Inputs!$A$2:$A$5000,$A23,Plan_Inputs!$B$2:$B$5000,$B$2)</f>
        <v/>
      </c>
      <c r="X23" s="43">
        <f>SUMIFS(Plan_Inputs!$D$2:$D$5000,Plan_Inputs!$A$2:$A$5000,$A23,Plan_Inputs!$B$2:$B$5000,$B$2)</f>
        <v/>
      </c>
      <c r="Y23" s="42">
        <f>E23</f>
        <v/>
      </c>
      <c r="Z23" s="44">
        <f>INDEX(Calendar!$H$5:$L$52,MATCH($A23,Calendar!$A$5:$A$52,0),MATCH($D$2,Calendar!$H$4:$L$4,0))</f>
        <v/>
      </c>
      <c r="AA23" s="44">
        <f>INDEX(Calendar!$M$5:$M$52,MATCH($A23,Calendar!$A$5:$A$52,0))</f>
        <v/>
      </c>
      <c r="AB23" s="45">
        <f>IF($D23="Actual",IFERROR(S23/Y23,""),"")</f>
        <v/>
      </c>
      <c r="AC23" s="46">
        <f>IF($D23="Actual",IFERROR(U23/T23/Z23/AA23,""),"")</f>
        <v/>
      </c>
      <c r="AD23" s="43">
        <f>IF($D23="Actual",IFERROR(V23/(U23+V23),""),"")</f>
        <v/>
      </c>
      <c r="AE23" s="46">
        <f>IFERROR(AC23*Z23*AA23,"")</f>
        <v/>
      </c>
      <c r="AF23" s="47" t="n"/>
      <c r="AG23" s="43">
        <f>IF($D23="Forecast",IFERROR(K23/AF23-1,""),"")</f>
        <v/>
      </c>
    </row>
    <row r="24">
      <c r="A24" s="8" t="n">
        <v>45931</v>
      </c>
      <c r="B24" s="26">
        <f>YEAR(A24)</f>
        <v/>
      </c>
      <c r="C24" s="26">
        <f>MONTH(A24)</f>
        <v/>
      </c>
      <c r="D24">
        <f>IF(A24&lt;=LastActual,"Actual","Forecast")</f>
        <v/>
      </c>
      <c r="E24" s="24">
        <f>IF($D24="Actual",R24,W24)</f>
        <v/>
      </c>
      <c r="F24" s="27">
        <f>IF($D24="Actual",S24,Cases_Forecast!AP17)</f>
        <v/>
      </c>
      <c r="G24" s="9">
        <f>IF($D24="Actual",T24,IFERROR(H24/AE24,0))</f>
        <v/>
      </c>
      <c r="H24" s="24">
        <f>IF($D24="Actual",U24,J24-I24)</f>
        <v/>
      </c>
      <c r="I24" s="24">
        <f>IF($D24="Actual",V24,IFERROR(J24*AD24,0))</f>
        <v/>
      </c>
      <c r="J24" s="24">
        <f>IF($D24="Actual",U24+V24,E24*X24)</f>
        <v/>
      </c>
      <c r="K24" s="28">
        <f>IFERROR(F24/G24,0)</f>
        <v/>
      </c>
      <c r="L24" s="29">
        <f>IFERROR(H24/G24,0)</f>
        <v/>
      </c>
      <c r="M24" s="30">
        <f>IFERROR(J24/F24,0)</f>
        <v/>
      </c>
      <c r="N24" s="10">
        <f>IFERROR(J24/E24,0)</f>
        <v/>
      </c>
      <c r="O24" s="10">
        <f>IFERROR(I24/J24,0)</f>
        <v/>
      </c>
      <c r="R24" s="42">
        <f>IF($D24="Actual",SUMIFS(Data_Actuals!$C$2:$C$5000,Data_Actuals!$A$2:$A$5000,$A24,Data_Actuals!$B$2:$B$5000,$B$2),"")</f>
        <v/>
      </c>
      <c r="S24" s="42">
        <f>IF($D24="Actual",SUMIFS(Data_Actuals!$D$2:$D$5000,Data_Actuals!$A$2:$A$5000,$A24,Data_Actuals!$B$2:$B$5000,$B$2),"")</f>
        <v/>
      </c>
      <c r="T24" s="42">
        <f>IF($D24="Actual",SUMIFS(Data_Actuals!$E$2:$E$5000,Data_Actuals!$A$2:$A$5000,$A24,Data_Actuals!$B$2:$B$5000,$B$2),"")</f>
        <v/>
      </c>
      <c r="U24" s="42">
        <f>IF($D24="Actual",SUMIFS(Data_Actuals!$F$2:$F$5000,Data_Actuals!$A$2:$A$5000,$A24,Data_Actuals!$B$2:$B$5000,$B$2),"")</f>
        <v/>
      </c>
      <c r="V24" s="42">
        <f>IF($D24="Actual",SUMIFS(Data_Actuals!$G$2:$G$5000,Data_Actuals!$A$2:$A$5000,$A24,Data_Actuals!$B$2:$B$5000,$B$2),"")</f>
        <v/>
      </c>
      <c r="W24" s="42">
        <f>SUMIFS(Plan_Inputs!$C$2:$C$5000,Plan_Inputs!$A$2:$A$5000,$A24,Plan_Inputs!$B$2:$B$5000,$B$2)</f>
        <v/>
      </c>
      <c r="X24" s="43">
        <f>SUMIFS(Plan_Inputs!$D$2:$D$5000,Plan_Inputs!$A$2:$A$5000,$A24,Plan_Inputs!$B$2:$B$5000,$B$2)</f>
        <v/>
      </c>
      <c r="Y24" s="42">
        <f>E24</f>
        <v/>
      </c>
      <c r="Z24" s="44">
        <f>INDEX(Calendar!$H$5:$L$52,MATCH($A24,Calendar!$A$5:$A$52,0),MATCH($D$2,Calendar!$H$4:$L$4,0))</f>
        <v/>
      </c>
      <c r="AA24" s="44">
        <f>INDEX(Calendar!$M$5:$M$52,MATCH($A24,Calendar!$A$5:$A$52,0))</f>
        <v/>
      </c>
      <c r="AB24" s="45">
        <f>IF($D24="Actual",IFERROR(S24/Y24,""),"")</f>
        <v/>
      </c>
      <c r="AC24" s="46">
        <f>IF($D24="Actual",IFERROR(U24/T24/Z24/AA24,""),"")</f>
        <v/>
      </c>
      <c r="AD24" s="43">
        <f>IF($D24="Actual",IFERROR(V24/(U24+V24),""),"")</f>
        <v/>
      </c>
      <c r="AE24" s="46">
        <f>IFERROR(AC24*Z24*AA24,"")</f>
        <v/>
      </c>
      <c r="AF24" s="47" t="n"/>
      <c r="AG24" s="43">
        <f>IF($D24="Forecast",IFERROR(K24/AF24-1,""),"")</f>
        <v/>
      </c>
    </row>
    <row r="25">
      <c r="A25" s="8" t="n">
        <v>45962</v>
      </c>
      <c r="B25" s="26">
        <f>YEAR(A25)</f>
        <v/>
      </c>
      <c r="C25" s="26">
        <f>MONTH(A25)</f>
        <v/>
      </c>
      <c r="D25">
        <f>IF(A25&lt;=LastActual,"Actual","Forecast")</f>
        <v/>
      </c>
      <c r="E25" s="24">
        <f>IF($D25="Actual",R25,W25)</f>
        <v/>
      </c>
      <c r="F25" s="27">
        <f>IF($D25="Actual",S25,Cases_Forecast!AP18)</f>
        <v/>
      </c>
      <c r="G25" s="9">
        <f>IF($D25="Actual",T25,IFERROR(H25/AE25,0))</f>
        <v/>
      </c>
      <c r="H25" s="24">
        <f>IF($D25="Actual",U25,J25-I25)</f>
        <v/>
      </c>
      <c r="I25" s="24">
        <f>IF($D25="Actual",V25,IFERROR(J25*AD25,0))</f>
        <v/>
      </c>
      <c r="J25" s="24">
        <f>IF($D25="Actual",U25+V25,E25*X25)</f>
        <v/>
      </c>
      <c r="K25" s="28">
        <f>IFERROR(F25/G25,0)</f>
        <v/>
      </c>
      <c r="L25" s="29">
        <f>IFERROR(H25/G25,0)</f>
        <v/>
      </c>
      <c r="M25" s="30">
        <f>IFERROR(J25/F25,0)</f>
        <v/>
      </c>
      <c r="N25" s="10">
        <f>IFERROR(J25/E25,0)</f>
        <v/>
      </c>
      <c r="O25" s="10">
        <f>IFERROR(I25/J25,0)</f>
        <v/>
      </c>
      <c r="R25" s="42">
        <f>IF($D25="Actual",SUMIFS(Data_Actuals!$C$2:$C$5000,Data_Actuals!$A$2:$A$5000,$A25,Data_Actuals!$B$2:$B$5000,$B$2),"")</f>
        <v/>
      </c>
      <c r="S25" s="42">
        <f>IF($D25="Actual",SUMIFS(Data_Actuals!$D$2:$D$5000,Data_Actuals!$A$2:$A$5000,$A25,Data_Actuals!$B$2:$B$5000,$B$2),"")</f>
        <v/>
      </c>
      <c r="T25" s="42">
        <f>IF($D25="Actual",SUMIFS(Data_Actuals!$E$2:$E$5000,Data_Actuals!$A$2:$A$5000,$A25,Data_Actuals!$B$2:$B$5000,$B$2),"")</f>
        <v/>
      </c>
      <c r="U25" s="42">
        <f>IF($D25="Actual",SUMIFS(Data_Actuals!$F$2:$F$5000,Data_Actuals!$A$2:$A$5000,$A25,Data_Actuals!$B$2:$B$5000,$B$2),"")</f>
        <v/>
      </c>
      <c r="V25" s="42">
        <f>IF($D25="Actual",SUMIFS(Data_Actuals!$G$2:$G$5000,Data_Actuals!$A$2:$A$5000,$A25,Data_Actuals!$B$2:$B$5000,$B$2),"")</f>
        <v/>
      </c>
      <c r="W25" s="42">
        <f>SUMIFS(Plan_Inputs!$C$2:$C$5000,Plan_Inputs!$A$2:$A$5000,$A25,Plan_Inputs!$B$2:$B$5000,$B$2)</f>
        <v/>
      </c>
      <c r="X25" s="43">
        <f>SUMIFS(Plan_Inputs!$D$2:$D$5000,Plan_Inputs!$A$2:$A$5000,$A25,Plan_Inputs!$B$2:$B$5000,$B$2)</f>
        <v/>
      </c>
      <c r="Y25" s="42">
        <f>E25</f>
        <v/>
      </c>
      <c r="Z25" s="44">
        <f>INDEX(Calendar!$H$5:$L$52,MATCH($A25,Calendar!$A$5:$A$52,0),MATCH($D$2,Calendar!$H$4:$L$4,0))</f>
        <v/>
      </c>
      <c r="AA25" s="44">
        <f>INDEX(Calendar!$M$5:$M$52,MATCH($A25,Calendar!$A$5:$A$52,0))</f>
        <v/>
      </c>
      <c r="AB25" s="45">
        <f>IF($D25="Actual",IFERROR(S25/Y25,""),"")</f>
        <v/>
      </c>
      <c r="AC25" s="46">
        <f>IF($D25="Actual",IFERROR(U25/T25/Z25/AA25,""),"")</f>
        <v/>
      </c>
      <c r="AD25" s="43">
        <f>IF($D25="Actual",IFERROR(V25/(U25+V25),""),"")</f>
        <v/>
      </c>
      <c r="AE25" s="46">
        <f>IFERROR(AC25*Z25*AA25,"")</f>
        <v/>
      </c>
      <c r="AF25" s="47" t="n"/>
      <c r="AG25" s="43">
        <f>IF($D25="Forecast",IFERROR(K25/AF25-1,""),"")</f>
        <v/>
      </c>
    </row>
    <row r="26">
      <c r="A26" s="31" t="n">
        <v>45992</v>
      </c>
      <c r="B26" s="32">
        <f>YEAR(A26)</f>
        <v/>
      </c>
      <c r="C26" s="32">
        <f>MONTH(A26)</f>
        <v/>
      </c>
      <c r="D26" s="33">
        <f>IF(A26&lt;=LastActual,"Actual","Forecast")</f>
        <v/>
      </c>
      <c r="E26" s="34">
        <f>IF($D26="Actual",R26,W26)</f>
        <v/>
      </c>
      <c r="F26" s="35">
        <f>IF($D26="Actual",S26,Cases_Forecast!AP19)</f>
        <v/>
      </c>
      <c r="G26" s="36">
        <f>IF($D26="Actual",T26,IFERROR(H26/AE26,0))</f>
        <v/>
      </c>
      <c r="H26" s="34">
        <f>IF($D26="Actual",U26,J26-I26)</f>
        <v/>
      </c>
      <c r="I26" s="34">
        <f>IF($D26="Actual",V26,IFERROR(J26*AD26,0))</f>
        <v/>
      </c>
      <c r="J26" s="34">
        <f>IF($D26="Actual",U26+V26,E26*X26)</f>
        <v/>
      </c>
      <c r="K26" s="37">
        <f>IFERROR(F26/G26,0)</f>
        <v/>
      </c>
      <c r="L26" s="38">
        <f>IFERROR(H26/G26,0)</f>
        <v/>
      </c>
      <c r="M26" s="39">
        <f>IFERROR(J26/F26,0)</f>
        <v/>
      </c>
      <c r="N26" s="40">
        <f>IFERROR(J26/E26,0)</f>
        <v/>
      </c>
      <c r="O26" s="40">
        <f>IFERROR(I26/J26,0)</f>
        <v/>
      </c>
      <c r="R26" s="42">
        <f>IF($D26="Actual",SUMIFS(Data_Actuals!$C$2:$C$5000,Data_Actuals!$A$2:$A$5000,$A26,Data_Actuals!$B$2:$B$5000,$B$2),"")</f>
        <v/>
      </c>
      <c r="S26" s="42">
        <f>IF($D26="Actual",SUMIFS(Data_Actuals!$D$2:$D$5000,Data_Actuals!$A$2:$A$5000,$A26,Data_Actuals!$B$2:$B$5000,$B$2),"")</f>
        <v/>
      </c>
      <c r="T26" s="42">
        <f>IF($D26="Actual",SUMIFS(Data_Actuals!$E$2:$E$5000,Data_Actuals!$A$2:$A$5000,$A26,Data_Actuals!$B$2:$B$5000,$B$2),"")</f>
        <v/>
      </c>
      <c r="U26" s="42">
        <f>IF($D26="Actual",SUMIFS(Data_Actuals!$F$2:$F$5000,Data_Actuals!$A$2:$A$5000,$A26,Data_Actuals!$B$2:$B$5000,$B$2),"")</f>
        <v/>
      </c>
      <c r="V26" s="42">
        <f>IF($D26="Actual",SUMIFS(Data_Actuals!$G$2:$G$5000,Data_Actuals!$A$2:$A$5000,$A26,Data_Actuals!$B$2:$B$5000,$B$2),"")</f>
        <v/>
      </c>
      <c r="W26" s="42">
        <f>SUMIFS(Plan_Inputs!$C$2:$C$5000,Plan_Inputs!$A$2:$A$5000,$A26,Plan_Inputs!$B$2:$B$5000,$B$2)</f>
        <v/>
      </c>
      <c r="X26" s="43">
        <f>SUMIFS(Plan_Inputs!$D$2:$D$5000,Plan_Inputs!$A$2:$A$5000,$A26,Plan_Inputs!$B$2:$B$5000,$B$2)</f>
        <v/>
      </c>
      <c r="Y26" s="42">
        <f>E26</f>
        <v/>
      </c>
      <c r="Z26" s="44">
        <f>INDEX(Calendar!$H$5:$L$52,MATCH($A26,Calendar!$A$5:$A$52,0),MATCH($D$2,Calendar!$H$4:$L$4,0))</f>
        <v/>
      </c>
      <c r="AA26" s="44">
        <f>INDEX(Calendar!$M$5:$M$52,MATCH($A26,Calendar!$A$5:$A$52,0))</f>
        <v/>
      </c>
      <c r="AB26" s="45">
        <f>IF($D26="Actual",IFERROR(S26/Y26,""),"")</f>
        <v/>
      </c>
      <c r="AC26" s="46">
        <f>IF($D26="Actual",IFERROR(U26/T26/Z26/AA26,""),"")</f>
        <v/>
      </c>
      <c r="AD26" s="43">
        <f>IF($D26="Actual",IFERROR(V26/(U26+V26),""),"")</f>
        <v/>
      </c>
      <c r="AE26" s="46">
        <f>IFERROR(AC26*Z26*AA26,"")</f>
        <v/>
      </c>
      <c r="AF26" s="47" t="n"/>
      <c r="AG26" s="43">
        <f>IF($D26="Forecast",IFERROR(K26/AF26-1,""),"")</f>
        <v/>
      </c>
    </row>
    <row r="27">
      <c r="A27" s="8" t="n">
        <v>46023</v>
      </c>
      <c r="B27" s="26">
        <f>YEAR(A27)</f>
        <v/>
      </c>
      <c r="C27" s="26">
        <f>MONTH(A27)</f>
        <v/>
      </c>
      <c r="D27">
        <f>IF(A27&lt;=LastActual,"Actual","Forecast")</f>
        <v/>
      </c>
      <c r="E27" s="24">
        <f>IF($D27="Actual",R27,W27)</f>
        <v/>
      </c>
      <c r="F27" s="27">
        <f>IF($D27="Actual",S27,Cases_Forecast!AP20)</f>
        <v/>
      </c>
      <c r="G27" s="9">
        <f>IF($D27="Actual",T27,IFERROR(H27/AE27,0))</f>
        <v/>
      </c>
      <c r="H27" s="24">
        <f>IF($D27="Actual",U27,J27-I27)</f>
        <v/>
      </c>
      <c r="I27" s="24">
        <f>IF($D27="Actual",V27,IFERROR(J27*AD27,0))</f>
        <v/>
      </c>
      <c r="J27" s="24">
        <f>IF($D27="Actual",U27+V27,E27*X27)</f>
        <v/>
      </c>
      <c r="K27" s="28">
        <f>IFERROR(F27/G27,0)</f>
        <v/>
      </c>
      <c r="L27" s="29">
        <f>IFERROR(H27/G27,0)</f>
        <v/>
      </c>
      <c r="M27" s="30">
        <f>IFERROR(J27/F27,0)</f>
        <v/>
      </c>
      <c r="N27" s="10">
        <f>IFERROR(J27/E27,0)</f>
        <v/>
      </c>
      <c r="O27" s="10">
        <f>IFERROR(I27/J27,0)</f>
        <v/>
      </c>
      <c r="R27" s="42">
        <f>IF($D27="Actual",SUMIFS(Data_Actuals!$C$2:$C$5000,Data_Actuals!$A$2:$A$5000,$A27,Data_Actuals!$B$2:$B$5000,$B$2),"")</f>
        <v/>
      </c>
      <c r="S27" s="42">
        <f>IF($D27="Actual",SUMIFS(Data_Actuals!$D$2:$D$5000,Data_Actuals!$A$2:$A$5000,$A27,Data_Actuals!$B$2:$B$5000,$B$2),"")</f>
        <v/>
      </c>
      <c r="T27" s="42">
        <f>IF($D27="Actual",SUMIFS(Data_Actuals!$E$2:$E$5000,Data_Actuals!$A$2:$A$5000,$A27,Data_Actuals!$B$2:$B$5000,$B$2),"")</f>
        <v/>
      </c>
      <c r="U27" s="42">
        <f>IF($D27="Actual",SUMIFS(Data_Actuals!$F$2:$F$5000,Data_Actuals!$A$2:$A$5000,$A27,Data_Actuals!$B$2:$B$5000,$B$2),"")</f>
        <v/>
      </c>
      <c r="V27" s="42">
        <f>IF($D27="Actual",SUMIFS(Data_Actuals!$G$2:$G$5000,Data_Actuals!$A$2:$A$5000,$A27,Data_Actuals!$B$2:$B$5000,$B$2),"")</f>
        <v/>
      </c>
      <c r="W27" s="42">
        <f>SUMIFS(Plan_Inputs!$C$2:$C$5000,Plan_Inputs!$A$2:$A$5000,$A27,Plan_Inputs!$B$2:$B$5000,$B$2)</f>
        <v/>
      </c>
      <c r="X27" s="43">
        <f>SUMIFS(Plan_Inputs!$D$2:$D$5000,Plan_Inputs!$A$2:$A$5000,$A27,Plan_Inputs!$B$2:$B$5000,$B$2)</f>
        <v/>
      </c>
      <c r="Y27" s="42">
        <f>E27</f>
        <v/>
      </c>
      <c r="Z27" s="44">
        <f>INDEX(Calendar!$H$5:$L$52,MATCH($A27,Calendar!$A$5:$A$52,0),MATCH($D$2,Calendar!$H$4:$L$4,0))</f>
        <v/>
      </c>
      <c r="AA27" s="44">
        <f>INDEX(Calendar!$M$5:$M$52,MATCH($A27,Calendar!$A$5:$A$52,0))</f>
        <v/>
      </c>
      <c r="AB27" s="45">
        <f>IF($D27="Actual",IFERROR(S27/Y27,""),AB15)</f>
        <v/>
      </c>
      <c r="AC27" s="46">
        <f>IF($D27="Actual",IFERROR(U27/T27/Z27/AA27,""),AC15)</f>
        <v/>
      </c>
      <c r="AD27" s="43">
        <f>IF($D27="Actual",IFERROR(V27/(U27+V27),""),AD15)</f>
        <v/>
      </c>
      <c r="AE27" s="46">
        <f>IFERROR(AC27*Z27*AA27,"")</f>
        <v/>
      </c>
      <c r="AF27" s="47">
        <f>K15</f>
        <v/>
      </c>
      <c r="AG27" s="43">
        <f>IF($D27="Forecast",IFERROR(K27/AF27-1,""),"")</f>
        <v/>
      </c>
    </row>
    <row r="28">
      <c r="A28" s="8" t="n">
        <v>46054</v>
      </c>
      <c r="B28" s="26">
        <f>YEAR(A28)</f>
        <v/>
      </c>
      <c r="C28" s="26">
        <f>MONTH(A28)</f>
        <v/>
      </c>
      <c r="D28">
        <f>IF(A28&lt;=LastActual,"Actual","Forecast")</f>
        <v/>
      </c>
      <c r="E28" s="24">
        <f>IF($D28="Actual",R28,W28)</f>
        <v/>
      </c>
      <c r="F28" s="27">
        <f>IF($D28="Actual",S28,Cases_Forecast!AP21)</f>
        <v/>
      </c>
      <c r="G28" s="9">
        <f>IF($D28="Actual",T28,IFERROR(H28/AE28,0))</f>
        <v/>
      </c>
      <c r="H28" s="24">
        <f>IF($D28="Actual",U28,J28-I28)</f>
        <v/>
      </c>
      <c r="I28" s="24">
        <f>IF($D28="Actual",V28,IFERROR(J28*AD28,0))</f>
        <v/>
      </c>
      <c r="J28" s="24">
        <f>IF($D28="Actual",U28+V28,E28*X28)</f>
        <v/>
      </c>
      <c r="K28" s="28">
        <f>IFERROR(F28/G28,0)</f>
        <v/>
      </c>
      <c r="L28" s="29">
        <f>IFERROR(H28/G28,0)</f>
        <v/>
      </c>
      <c r="M28" s="30">
        <f>IFERROR(J28/F28,0)</f>
        <v/>
      </c>
      <c r="N28" s="10">
        <f>IFERROR(J28/E28,0)</f>
        <v/>
      </c>
      <c r="O28" s="10">
        <f>IFERROR(I28/J28,0)</f>
        <v/>
      </c>
      <c r="R28" s="42">
        <f>IF($D28="Actual",SUMIFS(Data_Actuals!$C$2:$C$5000,Data_Actuals!$A$2:$A$5000,$A28,Data_Actuals!$B$2:$B$5000,$B$2),"")</f>
        <v/>
      </c>
      <c r="S28" s="42">
        <f>IF($D28="Actual",SUMIFS(Data_Actuals!$D$2:$D$5000,Data_Actuals!$A$2:$A$5000,$A28,Data_Actuals!$B$2:$B$5000,$B$2),"")</f>
        <v/>
      </c>
      <c r="T28" s="42">
        <f>IF($D28="Actual",SUMIFS(Data_Actuals!$E$2:$E$5000,Data_Actuals!$A$2:$A$5000,$A28,Data_Actuals!$B$2:$B$5000,$B$2),"")</f>
        <v/>
      </c>
      <c r="U28" s="42">
        <f>IF($D28="Actual",SUMIFS(Data_Actuals!$F$2:$F$5000,Data_Actuals!$A$2:$A$5000,$A28,Data_Actuals!$B$2:$B$5000,$B$2),"")</f>
        <v/>
      </c>
      <c r="V28" s="42">
        <f>IF($D28="Actual",SUMIFS(Data_Actuals!$G$2:$G$5000,Data_Actuals!$A$2:$A$5000,$A28,Data_Actuals!$B$2:$B$5000,$B$2),"")</f>
        <v/>
      </c>
      <c r="W28" s="42">
        <f>SUMIFS(Plan_Inputs!$C$2:$C$5000,Plan_Inputs!$A$2:$A$5000,$A28,Plan_Inputs!$B$2:$B$5000,$B$2)</f>
        <v/>
      </c>
      <c r="X28" s="43">
        <f>SUMIFS(Plan_Inputs!$D$2:$D$5000,Plan_Inputs!$A$2:$A$5000,$A28,Plan_Inputs!$B$2:$B$5000,$B$2)</f>
        <v/>
      </c>
      <c r="Y28" s="42">
        <f>E28</f>
        <v/>
      </c>
      <c r="Z28" s="44">
        <f>INDEX(Calendar!$H$5:$L$52,MATCH($A28,Calendar!$A$5:$A$52,0),MATCH($D$2,Calendar!$H$4:$L$4,0))</f>
        <v/>
      </c>
      <c r="AA28" s="44">
        <f>INDEX(Calendar!$M$5:$M$52,MATCH($A28,Calendar!$A$5:$A$52,0))</f>
        <v/>
      </c>
      <c r="AB28" s="45">
        <f>IF($D28="Actual",IFERROR(S28/Y28,""),AB16)</f>
        <v/>
      </c>
      <c r="AC28" s="46">
        <f>IF($D28="Actual",IFERROR(U28/T28/Z28/AA28,""),AC16)</f>
        <v/>
      </c>
      <c r="AD28" s="43">
        <f>IF($D28="Actual",IFERROR(V28/(U28+V28),""),AD16)</f>
        <v/>
      </c>
      <c r="AE28" s="46">
        <f>IFERROR(AC28*Z28*AA28,"")</f>
        <v/>
      </c>
      <c r="AF28" s="47">
        <f>K16</f>
        <v/>
      </c>
      <c r="AG28" s="43">
        <f>IF($D28="Forecast",IFERROR(K28/AF28-1,""),"")</f>
        <v/>
      </c>
    </row>
    <row r="29">
      <c r="A29" s="8" t="n">
        <v>46082</v>
      </c>
      <c r="B29" s="26">
        <f>YEAR(A29)</f>
        <v/>
      </c>
      <c r="C29" s="26">
        <f>MONTH(A29)</f>
        <v/>
      </c>
      <c r="D29">
        <f>IF(A29&lt;=LastActual,"Actual","Forecast")</f>
        <v/>
      </c>
      <c r="E29" s="24">
        <f>IF($D29="Actual",R29,W29)</f>
        <v/>
      </c>
      <c r="F29" s="27">
        <f>IF($D29="Actual",S29,Cases_Forecast!AP22)</f>
        <v/>
      </c>
      <c r="G29" s="9">
        <f>IF($D29="Actual",T29,IFERROR(H29/AE29,0))</f>
        <v/>
      </c>
      <c r="H29" s="24">
        <f>IF($D29="Actual",U29,J29-I29)</f>
        <v/>
      </c>
      <c r="I29" s="24">
        <f>IF($D29="Actual",V29,IFERROR(J29*AD29,0))</f>
        <v/>
      </c>
      <c r="J29" s="24">
        <f>IF($D29="Actual",U29+V29,E29*X29)</f>
        <v/>
      </c>
      <c r="K29" s="28">
        <f>IFERROR(F29/G29,0)</f>
        <v/>
      </c>
      <c r="L29" s="29">
        <f>IFERROR(H29/G29,0)</f>
        <v/>
      </c>
      <c r="M29" s="30">
        <f>IFERROR(J29/F29,0)</f>
        <v/>
      </c>
      <c r="N29" s="10">
        <f>IFERROR(J29/E29,0)</f>
        <v/>
      </c>
      <c r="O29" s="10">
        <f>IFERROR(I29/J29,0)</f>
        <v/>
      </c>
      <c r="R29" s="42">
        <f>IF($D29="Actual",SUMIFS(Data_Actuals!$C$2:$C$5000,Data_Actuals!$A$2:$A$5000,$A29,Data_Actuals!$B$2:$B$5000,$B$2),"")</f>
        <v/>
      </c>
      <c r="S29" s="42">
        <f>IF($D29="Actual",SUMIFS(Data_Actuals!$D$2:$D$5000,Data_Actuals!$A$2:$A$5000,$A29,Data_Actuals!$B$2:$B$5000,$B$2),"")</f>
        <v/>
      </c>
      <c r="T29" s="42">
        <f>IF($D29="Actual",SUMIFS(Data_Actuals!$E$2:$E$5000,Data_Actuals!$A$2:$A$5000,$A29,Data_Actuals!$B$2:$B$5000,$B$2),"")</f>
        <v/>
      </c>
      <c r="U29" s="42">
        <f>IF($D29="Actual",SUMIFS(Data_Actuals!$F$2:$F$5000,Data_Actuals!$A$2:$A$5000,$A29,Data_Actuals!$B$2:$B$5000,$B$2),"")</f>
        <v/>
      </c>
      <c r="V29" s="42">
        <f>IF($D29="Actual",SUMIFS(Data_Actuals!$G$2:$G$5000,Data_Actuals!$A$2:$A$5000,$A29,Data_Actuals!$B$2:$B$5000,$B$2),"")</f>
        <v/>
      </c>
      <c r="W29" s="42">
        <f>SUMIFS(Plan_Inputs!$C$2:$C$5000,Plan_Inputs!$A$2:$A$5000,$A29,Plan_Inputs!$B$2:$B$5000,$B$2)</f>
        <v/>
      </c>
      <c r="X29" s="43">
        <f>SUMIFS(Plan_Inputs!$D$2:$D$5000,Plan_Inputs!$A$2:$A$5000,$A29,Plan_Inputs!$B$2:$B$5000,$B$2)</f>
        <v/>
      </c>
      <c r="Y29" s="42">
        <f>E29</f>
        <v/>
      </c>
      <c r="Z29" s="44">
        <f>INDEX(Calendar!$H$5:$L$52,MATCH($A29,Calendar!$A$5:$A$52,0),MATCH($D$2,Calendar!$H$4:$L$4,0))</f>
        <v/>
      </c>
      <c r="AA29" s="44">
        <f>INDEX(Calendar!$M$5:$M$52,MATCH($A29,Calendar!$A$5:$A$52,0))</f>
        <v/>
      </c>
      <c r="AB29" s="45">
        <f>IF($D29="Actual",IFERROR(S29/Y29,""),AB17)</f>
        <v/>
      </c>
      <c r="AC29" s="46">
        <f>IF($D29="Actual",IFERROR(U29/T29/Z29/AA29,""),AC17)</f>
        <v/>
      </c>
      <c r="AD29" s="43">
        <f>IF($D29="Actual",IFERROR(V29/(U29+V29),""),AD17)</f>
        <v/>
      </c>
      <c r="AE29" s="46">
        <f>IFERROR(AC29*Z29*AA29,"")</f>
        <v/>
      </c>
      <c r="AF29" s="47">
        <f>K17</f>
        <v/>
      </c>
      <c r="AG29" s="43">
        <f>IF($D29="Forecast",IFERROR(K29/AF29-1,""),"")</f>
        <v/>
      </c>
    </row>
    <row r="30">
      <c r="A30" s="8" t="n">
        <v>46113</v>
      </c>
      <c r="B30" s="26">
        <f>YEAR(A30)</f>
        <v/>
      </c>
      <c r="C30" s="26">
        <f>MONTH(A30)</f>
        <v/>
      </c>
      <c r="D30">
        <f>IF(A30&lt;=LastActual,"Actual","Forecast")</f>
        <v/>
      </c>
      <c r="E30" s="24">
        <f>IF($D30="Actual",R30,W30)</f>
        <v/>
      </c>
      <c r="F30" s="27">
        <f>IF($D30="Actual",S30,Cases_Forecast!AP23)</f>
        <v/>
      </c>
      <c r="G30" s="9">
        <f>IF($D30="Actual",T30,IFERROR(H30/AE30,0))</f>
        <v/>
      </c>
      <c r="H30" s="24">
        <f>IF($D30="Actual",U30,J30-I30)</f>
        <v/>
      </c>
      <c r="I30" s="24">
        <f>IF($D30="Actual",V30,IFERROR(J30*AD30,0))</f>
        <v/>
      </c>
      <c r="J30" s="24">
        <f>IF($D30="Actual",U30+V30,E30*X30)</f>
        <v/>
      </c>
      <c r="K30" s="28">
        <f>IFERROR(F30/G30,0)</f>
        <v/>
      </c>
      <c r="L30" s="29">
        <f>IFERROR(H30/G30,0)</f>
        <v/>
      </c>
      <c r="M30" s="30">
        <f>IFERROR(J30/F30,0)</f>
        <v/>
      </c>
      <c r="N30" s="10">
        <f>IFERROR(J30/E30,0)</f>
        <v/>
      </c>
      <c r="O30" s="10">
        <f>IFERROR(I30/J30,0)</f>
        <v/>
      </c>
      <c r="R30" s="42">
        <f>IF($D30="Actual",SUMIFS(Data_Actuals!$C$2:$C$5000,Data_Actuals!$A$2:$A$5000,$A30,Data_Actuals!$B$2:$B$5000,$B$2),"")</f>
        <v/>
      </c>
      <c r="S30" s="42">
        <f>IF($D30="Actual",SUMIFS(Data_Actuals!$D$2:$D$5000,Data_Actuals!$A$2:$A$5000,$A30,Data_Actuals!$B$2:$B$5000,$B$2),"")</f>
        <v/>
      </c>
      <c r="T30" s="42">
        <f>IF($D30="Actual",SUMIFS(Data_Actuals!$E$2:$E$5000,Data_Actuals!$A$2:$A$5000,$A30,Data_Actuals!$B$2:$B$5000,$B$2),"")</f>
        <v/>
      </c>
      <c r="U30" s="42">
        <f>IF($D30="Actual",SUMIFS(Data_Actuals!$F$2:$F$5000,Data_Actuals!$A$2:$A$5000,$A30,Data_Actuals!$B$2:$B$5000,$B$2),"")</f>
        <v/>
      </c>
      <c r="V30" s="42">
        <f>IF($D30="Actual",SUMIFS(Data_Actuals!$G$2:$G$5000,Data_Actuals!$A$2:$A$5000,$A30,Data_Actuals!$B$2:$B$5000,$B$2),"")</f>
        <v/>
      </c>
      <c r="W30" s="42">
        <f>SUMIFS(Plan_Inputs!$C$2:$C$5000,Plan_Inputs!$A$2:$A$5000,$A30,Plan_Inputs!$B$2:$B$5000,$B$2)</f>
        <v/>
      </c>
      <c r="X30" s="43">
        <f>SUMIFS(Plan_Inputs!$D$2:$D$5000,Plan_Inputs!$A$2:$A$5000,$A30,Plan_Inputs!$B$2:$B$5000,$B$2)</f>
        <v/>
      </c>
      <c r="Y30" s="42">
        <f>E30</f>
        <v/>
      </c>
      <c r="Z30" s="44">
        <f>INDEX(Calendar!$H$5:$L$52,MATCH($A30,Calendar!$A$5:$A$52,0),MATCH($D$2,Calendar!$H$4:$L$4,0))</f>
        <v/>
      </c>
      <c r="AA30" s="44">
        <f>INDEX(Calendar!$M$5:$M$52,MATCH($A30,Calendar!$A$5:$A$52,0))</f>
        <v/>
      </c>
      <c r="AB30" s="45">
        <f>IF($D30="Actual",IFERROR(S30/Y30,""),AB18)</f>
        <v/>
      </c>
      <c r="AC30" s="46">
        <f>IF($D30="Actual",IFERROR(U30/T30/Z30/AA30,""),AC18)</f>
        <v/>
      </c>
      <c r="AD30" s="43">
        <f>IF($D30="Actual",IFERROR(V30/(U30+V30),""),AD18)</f>
        <v/>
      </c>
      <c r="AE30" s="46">
        <f>IFERROR(AC30*Z30*AA30,"")</f>
        <v/>
      </c>
      <c r="AF30" s="47">
        <f>K18</f>
        <v/>
      </c>
      <c r="AG30" s="43">
        <f>IF($D30="Forecast",IFERROR(K30/AF30-1,""),"")</f>
        <v/>
      </c>
    </row>
    <row r="31">
      <c r="A31" s="8" t="n">
        <v>46143</v>
      </c>
      <c r="B31" s="26">
        <f>YEAR(A31)</f>
        <v/>
      </c>
      <c r="C31" s="26">
        <f>MONTH(A31)</f>
        <v/>
      </c>
      <c r="D31">
        <f>IF(A31&lt;=LastActual,"Actual","Forecast")</f>
        <v/>
      </c>
      <c r="E31" s="24">
        <f>IF($D31="Actual",R31,W31)</f>
        <v/>
      </c>
      <c r="F31" s="27">
        <f>IF($D31="Actual",S31,Cases_Forecast!AP24)</f>
        <v/>
      </c>
      <c r="G31" s="9">
        <f>IF($D31="Actual",T31,IFERROR(H31/AE31,0))</f>
        <v/>
      </c>
      <c r="H31" s="24">
        <f>IF($D31="Actual",U31,J31-I31)</f>
        <v/>
      </c>
      <c r="I31" s="24">
        <f>IF($D31="Actual",V31,IFERROR(J31*AD31,0))</f>
        <v/>
      </c>
      <c r="J31" s="24">
        <f>IF($D31="Actual",U31+V31,E31*X31)</f>
        <v/>
      </c>
      <c r="K31" s="28">
        <f>IFERROR(F31/G31,0)</f>
        <v/>
      </c>
      <c r="L31" s="29">
        <f>IFERROR(H31/G31,0)</f>
        <v/>
      </c>
      <c r="M31" s="30">
        <f>IFERROR(J31/F31,0)</f>
        <v/>
      </c>
      <c r="N31" s="10">
        <f>IFERROR(J31/E31,0)</f>
        <v/>
      </c>
      <c r="O31" s="10">
        <f>IFERROR(I31/J31,0)</f>
        <v/>
      </c>
      <c r="R31" s="42">
        <f>IF($D31="Actual",SUMIFS(Data_Actuals!$C$2:$C$5000,Data_Actuals!$A$2:$A$5000,$A31,Data_Actuals!$B$2:$B$5000,$B$2),"")</f>
        <v/>
      </c>
      <c r="S31" s="42">
        <f>IF($D31="Actual",SUMIFS(Data_Actuals!$D$2:$D$5000,Data_Actuals!$A$2:$A$5000,$A31,Data_Actuals!$B$2:$B$5000,$B$2),"")</f>
        <v/>
      </c>
      <c r="T31" s="42">
        <f>IF($D31="Actual",SUMIFS(Data_Actuals!$E$2:$E$5000,Data_Actuals!$A$2:$A$5000,$A31,Data_Actuals!$B$2:$B$5000,$B$2),"")</f>
        <v/>
      </c>
      <c r="U31" s="42">
        <f>IF($D31="Actual",SUMIFS(Data_Actuals!$F$2:$F$5000,Data_Actuals!$A$2:$A$5000,$A31,Data_Actuals!$B$2:$B$5000,$B$2),"")</f>
        <v/>
      </c>
      <c r="V31" s="42">
        <f>IF($D31="Actual",SUMIFS(Data_Actuals!$G$2:$G$5000,Data_Actuals!$A$2:$A$5000,$A31,Data_Actuals!$B$2:$B$5000,$B$2),"")</f>
        <v/>
      </c>
      <c r="W31" s="42">
        <f>SUMIFS(Plan_Inputs!$C$2:$C$5000,Plan_Inputs!$A$2:$A$5000,$A31,Plan_Inputs!$B$2:$B$5000,$B$2)</f>
        <v/>
      </c>
      <c r="X31" s="43">
        <f>SUMIFS(Plan_Inputs!$D$2:$D$5000,Plan_Inputs!$A$2:$A$5000,$A31,Plan_Inputs!$B$2:$B$5000,$B$2)</f>
        <v/>
      </c>
      <c r="Y31" s="42">
        <f>E31</f>
        <v/>
      </c>
      <c r="Z31" s="44">
        <f>INDEX(Calendar!$H$5:$L$52,MATCH($A31,Calendar!$A$5:$A$52,0),MATCH($D$2,Calendar!$H$4:$L$4,0))</f>
        <v/>
      </c>
      <c r="AA31" s="44">
        <f>INDEX(Calendar!$M$5:$M$52,MATCH($A31,Calendar!$A$5:$A$52,0))</f>
        <v/>
      </c>
      <c r="AB31" s="45">
        <f>IF($D31="Actual",IFERROR(S31/Y31,""),AB19)</f>
        <v/>
      </c>
      <c r="AC31" s="46">
        <f>IF($D31="Actual",IFERROR(U31/T31/Z31/AA31,""),AC19)</f>
        <v/>
      </c>
      <c r="AD31" s="43">
        <f>IF($D31="Actual",IFERROR(V31/(U31+V31),""),AD19)</f>
        <v/>
      </c>
      <c r="AE31" s="46">
        <f>IFERROR(AC31*Z31*AA31,"")</f>
        <v/>
      </c>
      <c r="AF31" s="47">
        <f>K19</f>
        <v/>
      </c>
      <c r="AG31" s="43">
        <f>IF($D31="Forecast",IFERROR(K31/AF31-1,""),"")</f>
        <v/>
      </c>
    </row>
    <row r="32">
      <c r="A32" s="8" t="n">
        <v>46174</v>
      </c>
      <c r="B32" s="26">
        <f>YEAR(A32)</f>
        <v/>
      </c>
      <c r="C32" s="26">
        <f>MONTH(A32)</f>
        <v/>
      </c>
      <c r="D32">
        <f>IF(A32&lt;=LastActual,"Actual","Forecast")</f>
        <v/>
      </c>
      <c r="E32" s="24">
        <f>IF($D32="Actual",R32,W32)</f>
        <v/>
      </c>
      <c r="F32" s="27">
        <f>IF($D32="Actual",S32,Cases_Forecast!AP25)</f>
        <v/>
      </c>
      <c r="G32" s="9">
        <f>IF($D32="Actual",T32,IFERROR(H32/AE32,0))</f>
        <v/>
      </c>
      <c r="H32" s="24">
        <f>IF($D32="Actual",U32,J32-I32)</f>
        <v/>
      </c>
      <c r="I32" s="24">
        <f>IF($D32="Actual",V32,IFERROR(J32*AD32,0))</f>
        <v/>
      </c>
      <c r="J32" s="24">
        <f>IF($D32="Actual",U32+V32,E32*X32)</f>
        <v/>
      </c>
      <c r="K32" s="28">
        <f>IFERROR(F32/G32,0)</f>
        <v/>
      </c>
      <c r="L32" s="29">
        <f>IFERROR(H32/G32,0)</f>
        <v/>
      </c>
      <c r="M32" s="30">
        <f>IFERROR(J32/F32,0)</f>
        <v/>
      </c>
      <c r="N32" s="10">
        <f>IFERROR(J32/E32,0)</f>
        <v/>
      </c>
      <c r="O32" s="10">
        <f>IFERROR(I32/J32,0)</f>
        <v/>
      </c>
      <c r="R32" s="42">
        <f>IF($D32="Actual",SUMIFS(Data_Actuals!$C$2:$C$5000,Data_Actuals!$A$2:$A$5000,$A32,Data_Actuals!$B$2:$B$5000,$B$2),"")</f>
        <v/>
      </c>
      <c r="S32" s="42">
        <f>IF($D32="Actual",SUMIFS(Data_Actuals!$D$2:$D$5000,Data_Actuals!$A$2:$A$5000,$A32,Data_Actuals!$B$2:$B$5000,$B$2),"")</f>
        <v/>
      </c>
      <c r="T32" s="42">
        <f>IF($D32="Actual",SUMIFS(Data_Actuals!$E$2:$E$5000,Data_Actuals!$A$2:$A$5000,$A32,Data_Actuals!$B$2:$B$5000,$B$2),"")</f>
        <v/>
      </c>
      <c r="U32" s="42">
        <f>IF($D32="Actual",SUMIFS(Data_Actuals!$F$2:$F$5000,Data_Actuals!$A$2:$A$5000,$A32,Data_Actuals!$B$2:$B$5000,$B$2),"")</f>
        <v/>
      </c>
      <c r="V32" s="42">
        <f>IF($D32="Actual",SUMIFS(Data_Actuals!$G$2:$G$5000,Data_Actuals!$A$2:$A$5000,$A32,Data_Actuals!$B$2:$B$5000,$B$2),"")</f>
        <v/>
      </c>
      <c r="W32" s="42">
        <f>SUMIFS(Plan_Inputs!$C$2:$C$5000,Plan_Inputs!$A$2:$A$5000,$A32,Plan_Inputs!$B$2:$B$5000,$B$2)</f>
        <v/>
      </c>
      <c r="X32" s="43">
        <f>SUMIFS(Plan_Inputs!$D$2:$D$5000,Plan_Inputs!$A$2:$A$5000,$A32,Plan_Inputs!$B$2:$B$5000,$B$2)</f>
        <v/>
      </c>
      <c r="Y32" s="42">
        <f>E32</f>
        <v/>
      </c>
      <c r="Z32" s="44">
        <f>INDEX(Calendar!$H$5:$L$52,MATCH($A32,Calendar!$A$5:$A$52,0),MATCH($D$2,Calendar!$H$4:$L$4,0))</f>
        <v/>
      </c>
      <c r="AA32" s="44">
        <f>INDEX(Calendar!$M$5:$M$52,MATCH($A32,Calendar!$A$5:$A$52,0))</f>
        <v/>
      </c>
      <c r="AB32" s="45">
        <f>IF($D32="Actual",IFERROR(S32/Y32,""),AB20)</f>
        <v/>
      </c>
      <c r="AC32" s="46">
        <f>IF($D32="Actual",IFERROR(U32/T32/Z32/AA32,""),AC20)</f>
        <v/>
      </c>
      <c r="AD32" s="43">
        <f>IF($D32="Actual",IFERROR(V32/(U32+V32),""),AD20)</f>
        <v/>
      </c>
      <c r="AE32" s="46">
        <f>IFERROR(AC32*Z32*AA32,"")</f>
        <v/>
      </c>
      <c r="AF32" s="47">
        <f>K20</f>
        <v/>
      </c>
      <c r="AG32" s="43">
        <f>IF($D32="Forecast",IFERROR(K32/AF32-1,""),"")</f>
        <v/>
      </c>
    </row>
    <row r="33">
      <c r="A33" s="8" t="n">
        <v>46204</v>
      </c>
      <c r="B33" s="26">
        <f>YEAR(A33)</f>
        <v/>
      </c>
      <c r="C33" s="26">
        <f>MONTH(A33)</f>
        <v/>
      </c>
      <c r="D33">
        <f>IF(A33&lt;=LastActual,"Actual","Forecast")</f>
        <v/>
      </c>
      <c r="E33" s="24">
        <f>IF($D33="Actual",R33,W33)</f>
        <v/>
      </c>
      <c r="F33" s="27">
        <f>IF($D33="Actual",S33,Cases_Forecast!AP26)</f>
        <v/>
      </c>
      <c r="G33" s="9">
        <f>IF($D33="Actual",T33,IFERROR(H33/AE33,0))</f>
        <v/>
      </c>
      <c r="H33" s="24">
        <f>IF($D33="Actual",U33,J33-I33)</f>
        <v/>
      </c>
      <c r="I33" s="24">
        <f>IF($D33="Actual",V33,IFERROR(J33*AD33,0))</f>
        <v/>
      </c>
      <c r="J33" s="24">
        <f>IF($D33="Actual",U33+V33,E33*X33)</f>
        <v/>
      </c>
      <c r="K33" s="28">
        <f>IFERROR(F33/G33,0)</f>
        <v/>
      </c>
      <c r="L33" s="29">
        <f>IFERROR(H33/G33,0)</f>
        <v/>
      </c>
      <c r="M33" s="30">
        <f>IFERROR(J33/F33,0)</f>
        <v/>
      </c>
      <c r="N33" s="10">
        <f>IFERROR(J33/E33,0)</f>
        <v/>
      </c>
      <c r="O33" s="10">
        <f>IFERROR(I33/J33,0)</f>
        <v/>
      </c>
      <c r="R33" s="42">
        <f>IF($D33="Actual",SUMIFS(Data_Actuals!$C$2:$C$5000,Data_Actuals!$A$2:$A$5000,$A33,Data_Actuals!$B$2:$B$5000,$B$2),"")</f>
        <v/>
      </c>
      <c r="S33" s="42">
        <f>IF($D33="Actual",SUMIFS(Data_Actuals!$D$2:$D$5000,Data_Actuals!$A$2:$A$5000,$A33,Data_Actuals!$B$2:$B$5000,$B$2),"")</f>
        <v/>
      </c>
      <c r="T33" s="42">
        <f>IF($D33="Actual",SUMIFS(Data_Actuals!$E$2:$E$5000,Data_Actuals!$A$2:$A$5000,$A33,Data_Actuals!$B$2:$B$5000,$B$2),"")</f>
        <v/>
      </c>
      <c r="U33" s="42">
        <f>IF($D33="Actual",SUMIFS(Data_Actuals!$F$2:$F$5000,Data_Actuals!$A$2:$A$5000,$A33,Data_Actuals!$B$2:$B$5000,$B$2),"")</f>
        <v/>
      </c>
      <c r="V33" s="42">
        <f>IF($D33="Actual",SUMIFS(Data_Actuals!$G$2:$G$5000,Data_Actuals!$A$2:$A$5000,$A33,Data_Actuals!$B$2:$B$5000,$B$2),"")</f>
        <v/>
      </c>
      <c r="W33" s="42">
        <f>SUMIFS(Plan_Inputs!$C$2:$C$5000,Plan_Inputs!$A$2:$A$5000,$A33,Plan_Inputs!$B$2:$B$5000,$B$2)</f>
        <v/>
      </c>
      <c r="X33" s="43">
        <f>SUMIFS(Plan_Inputs!$D$2:$D$5000,Plan_Inputs!$A$2:$A$5000,$A33,Plan_Inputs!$B$2:$B$5000,$B$2)</f>
        <v/>
      </c>
      <c r="Y33" s="42">
        <f>E33</f>
        <v/>
      </c>
      <c r="Z33" s="44">
        <f>INDEX(Calendar!$H$5:$L$52,MATCH($A33,Calendar!$A$5:$A$52,0),MATCH($D$2,Calendar!$H$4:$L$4,0))</f>
        <v/>
      </c>
      <c r="AA33" s="44">
        <f>INDEX(Calendar!$M$5:$M$52,MATCH($A33,Calendar!$A$5:$A$52,0))</f>
        <v/>
      </c>
      <c r="AB33" s="45">
        <f>IF($D33="Actual",IFERROR(S33/Y33,""),AB21)</f>
        <v/>
      </c>
      <c r="AC33" s="46">
        <f>IF($D33="Actual",IFERROR(U33/T33/Z33/AA33,""),AC21)</f>
        <v/>
      </c>
      <c r="AD33" s="43">
        <f>IF($D33="Actual",IFERROR(V33/(U33+V33),""),AD21)</f>
        <v/>
      </c>
      <c r="AE33" s="46">
        <f>IFERROR(AC33*Z33*AA33,"")</f>
        <v/>
      </c>
      <c r="AF33" s="47">
        <f>K21</f>
        <v/>
      </c>
      <c r="AG33" s="43">
        <f>IF($D33="Forecast",IFERROR(K33/AF33-1,""),"")</f>
        <v/>
      </c>
    </row>
    <row r="34">
      <c r="A34" s="8" t="n">
        <v>46235</v>
      </c>
      <c r="B34" s="26">
        <f>YEAR(A34)</f>
        <v/>
      </c>
      <c r="C34" s="26">
        <f>MONTH(A34)</f>
        <v/>
      </c>
      <c r="D34">
        <f>IF(A34&lt;=LastActual,"Actual","Forecast")</f>
        <v/>
      </c>
      <c r="E34" s="24">
        <f>IF($D34="Actual",R34,W34)</f>
        <v/>
      </c>
      <c r="F34" s="27">
        <f>IF($D34="Actual",S34,Cases_Forecast!AP27)</f>
        <v/>
      </c>
      <c r="G34" s="9">
        <f>IF($D34="Actual",T34,IFERROR(H34/AE34,0))</f>
        <v/>
      </c>
      <c r="H34" s="24">
        <f>IF($D34="Actual",U34,J34-I34)</f>
        <v/>
      </c>
      <c r="I34" s="24">
        <f>IF($D34="Actual",V34,IFERROR(J34*AD34,0))</f>
        <v/>
      </c>
      <c r="J34" s="24">
        <f>IF($D34="Actual",U34+V34,E34*X34)</f>
        <v/>
      </c>
      <c r="K34" s="28">
        <f>IFERROR(F34/G34,0)</f>
        <v/>
      </c>
      <c r="L34" s="29">
        <f>IFERROR(H34/G34,0)</f>
        <v/>
      </c>
      <c r="M34" s="30">
        <f>IFERROR(J34/F34,0)</f>
        <v/>
      </c>
      <c r="N34" s="10">
        <f>IFERROR(J34/E34,0)</f>
        <v/>
      </c>
      <c r="O34" s="10">
        <f>IFERROR(I34/J34,0)</f>
        <v/>
      </c>
      <c r="R34" s="42">
        <f>IF($D34="Actual",SUMIFS(Data_Actuals!$C$2:$C$5000,Data_Actuals!$A$2:$A$5000,$A34,Data_Actuals!$B$2:$B$5000,$B$2),"")</f>
        <v/>
      </c>
      <c r="S34" s="42">
        <f>IF($D34="Actual",SUMIFS(Data_Actuals!$D$2:$D$5000,Data_Actuals!$A$2:$A$5000,$A34,Data_Actuals!$B$2:$B$5000,$B$2),"")</f>
        <v/>
      </c>
      <c r="T34" s="42">
        <f>IF($D34="Actual",SUMIFS(Data_Actuals!$E$2:$E$5000,Data_Actuals!$A$2:$A$5000,$A34,Data_Actuals!$B$2:$B$5000,$B$2),"")</f>
        <v/>
      </c>
      <c r="U34" s="42">
        <f>IF($D34="Actual",SUMIFS(Data_Actuals!$F$2:$F$5000,Data_Actuals!$A$2:$A$5000,$A34,Data_Actuals!$B$2:$B$5000,$B$2),"")</f>
        <v/>
      </c>
      <c r="V34" s="42">
        <f>IF($D34="Actual",SUMIFS(Data_Actuals!$G$2:$G$5000,Data_Actuals!$A$2:$A$5000,$A34,Data_Actuals!$B$2:$B$5000,$B$2),"")</f>
        <v/>
      </c>
      <c r="W34" s="42">
        <f>SUMIFS(Plan_Inputs!$C$2:$C$5000,Plan_Inputs!$A$2:$A$5000,$A34,Plan_Inputs!$B$2:$B$5000,$B$2)</f>
        <v/>
      </c>
      <c r="X34" s="43">
        <f>SUMIFS(Plan_Inputs!$D$2:$D$5000,Plan_Inputs!$A$2:$A$5000,$A34,Plan_Inputs!$B$2:$B$5000,$B$2)</f>
        <v/>
      </c>
      <c r="Y34" s="42">
        <f>E34</f>
        <v/>
      </c>
      <c r="Z34" s="44">
        <f>INDEX(Calendar!$H$5:$L$52,MATCH($A34,Calendar!$A$5:$A$52,0),MATCH($D$2,Calendar!$H$4:$L$4,0))</f>
        <v/>
      </c>
      <c r="AA34" s="44">
        <f>INDEX(Calendar!$M$5:$M$52,MATCH($A34,Calendar!$A$5:$A$52,0))</f>
        <v/>
      </c>
      <c r="AB34" s="45">
        <f>IF($D34="Actual",IFERROR(S34/Y34,""),AB22)</f>
        <v/>
      </c>
      <c r="AC34" s="46">
        <f>IF($D34="Actual",IFERROR(U34/T34/Z34/AA34,""),AC22)</f>
        <v/>
      </c>
      <c r="AD34" s="43">
        <f>IF($D34="Actual",IFERROR(V34/(U34+V34),""),AD22)</f>
        <v/>
      </c>
      <c r="AE34" s="46">
        <f>IFERROR(AC34*Z34*AA34,"")</f>
        <v/>
      </c>
      <c r="AF34" s="47">
        <f>K22</f>
        <v/>
      </c>
      <c r="AG34" s="43">
        <f>IF($D34="Forecast",IFERROR(K34/AF34-1,""),"")</f>
        <v/>
      </c>
    </row>
    <row r="35">
      <c r="A35" s="8" t="n">
        <v>46266</v>
      </c>
      <c r="B35" s="26">
        <f>YEAR(A35)</f>
        <v/>
      </c>
      <c r="C35" s="26">
        <f>MONTH(A35)</f>
        <v/>
      </c>
      <c r="D35">
        <f>IF(A35&lt;=LastActual,"Actual","Forecast")</f>
        <v/>
      </c>
      <c r="E35" s="24">
        <f>IF($D35="Actual",R35,W35)</f>
        <v/>
      </c>
      <c r="F35" s="27">
        <f>IF($D35="Actual",S35,Cases_Forecast!AP28)</f>
        <v/>
      </c>
      <c r="G35" s="9">
        <f>IF($D35="Actual",T35,IFERROR(H35/AE35,0))</f>
        <v/>
      </c>
      <c r="H35" s="24">
        <f>IF($D35="Actual",U35,J35-I35)</f>
        <v/>
      </c>
      <c r="I35" s="24">
        <f>IF($D35="Actual",V35,IFERROR(J35*AD35,0))</f>
        <v/>
      </c>
      <c r="J35" s="24">
        <f>IF($D35="Actual",U35+V35,E35*X35)</f>
        <v/>
      </c>
      <c r="K35" s="28">
        <f>IFERROR(F35/G35,0)</f>
        <v/>
      </c>
      <c r="L35" s="29">
        <f>IFERROR(H35/G35,0)</f>
        <v/>
      </c>
      <c r="M35" s="30">
        <f>IFERROR(J35/F35,0)</f>
        <v/>
      </c>
      <c r="N35" s="10">
        <f>IFERROR(J35/E35,0)</f>
        <v/>
      </c>
      <c r="O35" s="10">
        <f>IFERROR(I35/J35,0)</f>
        <v/>
      </c>
      <c r="R35" s="42">
        <f>IF($D35="Actual",SUMIFS(Data_Actuals!$C$2:$C$5000,Data_Actuals!$A$2:$A$5000,$A35,Data_Actuals!$B$2:$B$5000,$B$2),"")</f>
        <v/>
      </c>
      <c r="S35" s="42">
        <f>IF($D35="Actual",SUMIFS(Data_Actuals!$D$2:$D$5000,Data_Actuals!$A$2:$A$5000,$A35,Data_Actuals!$B$2:$B$5000,$B$2),"")</f>
        <v/>
      </c>
      <c r="T35" s="42">
        <f>IF($D35="Actual",SUMIFS(Data_Actuals!$E$2:$E$5000,Data_Actuals!$A$2:$A$5000,$A35,Data_Actuals!$B$2:$B$5000,$B$2),"")</f>
        <v/>
      </c>
      <c r="U35" s="42">
        <f>IF($D35="Actual",SUMIFS(Data_Actuals!$F$2:$F$5000,Data_Actuals!$A$2:$A$5000,$A35,Data_Actuals!$B$2:$B$5000,$B$2),"")</f>
        <v/>
      </c>
      <c r="V35" s="42">
        <f>IF($D35="Actual",SUMIFS(Data_Actuals!$G$2:$G$5000,Data_Actuals!$A$2:$A$5000,$A35,Data_Actuals!$B$2:$B$5000,$B$2),"")</f>
        <v/>
      </c>
      <c r="W35" s="42">
        <f>SUMIFS(Plan_Inputs!$C$2:$C$5000,Plan_Inputs!$A$2:$A$5000,$A35,Plan_Inputs!$B$2:$B$5000,$B$2)</f>
        <v/>
      </c>
      <c r="X35" s="43">
        <f>SUMIFS(Plan_Inputs!$D$2:$D$5000,Plan_Inputs!$A$2:$A$5000,$A35,Plan_Inputs!$B$2:$B$5000,$B$2)</f>
        <v/>
      </c>
      <c r="Y35" s="42">
        <f>E35</f>
        <v/>
      </c>
      <c r="Z35" s="44">
        <f>INDEX(Calendar!$H$5:$L$52,MATCH($A35,Calendar!$A$5:$A$52,0),MATCH($D$2,Calendar!$H$4:$L$4,0))</f>
        <v/>
      </c>
      <c r="AA35" s="44">
        <f>INDEX(Calendar!$M$5:$M$52,MATCH($A35,Calendar!$A$5:$A$52,0))</f>
        <v/>
      </c>
      <c r="AB35" s="45">
        <f>IF($D35="Actual",IFERROR(S35/Y35,""),AB23)</f>
        <v/>
      </c>
      <c r="AC35" s="46">
        <f>IF($D35="Actual",IFERROR(U35/T35/Z35/AA35,""),AC23)</f>
        <v/>
      </c>
      <c r="AD35" s="43">
        <f>IF($D35="Actual",IFERROR(V35/(U35+V35),""),AD23)</f>
        <v/>
      </c>
      <c r="AE35" s="46">
        <f>IFERROR(AC35*Z35*AA35,"")</f>
        <v/>
      </c>
      <c r="AF35" s="47">
        <f>K23</f>
        <v/>
      </c>
      <c r="AG35" s="43">
        <f>IF($D35="Forecast",IFERROR(K35/AF35-1,""),"")</f>
        <v/>
      </c>
    </row>
    <row r="36">
      <c r="A36" s="8" t="n">
        <v>46296</v>
      </c>
      <c r="B36" s="26">
        <f>YEAR(A36)</f>
        <v/>
      </c>
      <c r="C36" s="26">
        <f>MONTH(A36)</f>
        <v/>
      </c>
      <c r="D36">
        <f>IF(A36&lt;=LastActual,"Actual","Forecast")</f>
        <v/>
      </c>
      <c r="E36" s="24">
        <f>IF($D36="Actual",R36,W36)</f>
        <v/>
      </c>
      <c r="F36" s="27">
        <f>IF($D36="Actual",S36,Cases_Forecast!AP29)</f>
        <v/>
      </c>
      <c r="G36" s="9">
        <f>IF($D36="Actual",T36,IFERROR(H36/AE36,0))</f>
        <v/>
      </c>
      <c r="H36" s="24">
        <f>IF($D36="Actual",U36,J36-I36)</f>
        <v/>
      </c>
      <c r="I36" s="24">
        <f>IF($D36="Actual",V36,IFERROR(J36*AD36,0))</f>
        <v/>
      </c>
      <c r="J36" s="24">
        <f>IF($D36="Actual",U36+V36,E36*X36)</f>
        <v/>
      </c>
      <c r="K36" s="28">
        <f>IFERROR(F36/G36,0)</f>
        <v/>
      </c>
      <c r="L36" s="29">
        <f>IFERROR(H36/G36,0)</f>
        <v/>
      </c>
      <c r="M36" s="30">
        <f>IFERROR(J36/F36,0)</f>
        <v/>
      </c>
      <c r="N36" s="10">
        <f>IFERROR(J36/E36,0)</f>
        <v/>
      </c>
      <c r="O36" s="10">
        <f>IFERROR(I36/J36,0)</f>
        <v/>
      </c>
      <c r="R36" s="42">
        <f>IF($D36="Actual",SUMIFS(Data_Actuals!$C$2:$C$5000,Data_Actuals!$A$2:$A$5000,$A36,Data_Actuals!$B$2:$B$5000,$B$2),"")</f>
        <v/>
      </c>
      <c r="S36" s="42">
        <f>IF($D36="Actual",SUMIFS(Data_Actuals!$D$2:$D$5000,Data_Actuals!$A$2:$A$5000,$A36,Data_Actuals!$B$2:$B$5000,$B$2),"")</f>
        <v/>
      </c>
      <c r="T36" s="42">
        <f>IF($D36="Actual",SUMIFS(Data_Actuals!$E$2:$E$5000,Data_Actuals!$A$2:$A$5000,$A36,Data_Actuals!$B$2:$B$5000,$B$2),"")</f>
        <v/>
      </c>
      <c r="U36" s="42">
        <f>IF($D36="Actual",SUMIFS(Data_Actuals!$F$2:$F$5000,Data_Actuals!$A$2:$A$5000,$A36,Data_Actuals!$B$2:$B$5000,$B$2),"")</f>
        <v/>
      </c>
      <c r="V36" s="42">
        <f>IF($D36="Actual",SUMIFS(Data_Actuals!$G$2:$G$5000,Data_Actuals!$A$2:$A$5000,$A36,Data_Actuals!$B$2:$B$5000,$B$2),"")</f>
        <v/>
      </c>
      <c r="W36" s="42">
        <f>SUMIFS(Plan_Inputs!$C$2:$C$5000,Plan_Inputs!$A$2:$A$5000,$A36,Plan_Inputs!$B$2:$B$5000,$B$2)</f>
        <v/>
      </c>
      <c r="X36" s="43">
        <f>SUMIFS(Plan_Inputs!$D$2:$D$5000,Plan_Inputs!$A$2:$A$5000,$A36,Plan_Inputs!$B$2:$B$5000,$B$2)</f>
        <v/>
      </c>
      <c r="Y36" s="42">
        <f>E36</f>
        <v/>
      </c>
      <c r="Z36" s="44">
        <f>INDEX(Calendar!$H$5:$L$52,MATCH($A36,Calendar!$A$5:$A$52,0),MATCH($D$2,Calendar!$H$4:$L$4,0))</f>
        <v/>
      </c>
      <c r="AA36" s="44">
        <f>INDEX(Calendar!$M$5:$M$52,MATCH($A36,Calendar!$A$5:$A$52,0))</f>
        <v/>
      </c>
      <c r="AB36" s="45">
        <f>IF($D36="Actual",IFERROR(S36/Y36,""),AB24)</f>
        <v/>
      </c>
      <c r="AC36" s="46">
        <f>IF($D36="Actual",IFERROR(U36/T36/Z36/AA36,""),AC24)</f>
        <v/>
      </c>
      <c r="AD36" s="43">
        <f>IF($D36="Actual",IFERROR(V36/(U36+V36),""),AD24)</f>
        <v/>
      </c>
      <c r="AE36" s="46">
        <f>IFERROR(AC36*Z36*AA36,"")</f>
        <v/>
      </c>
      <c r="AF36" s="47">
        <f>K24</f>
        <v/>
      </c>
      <c r="AG36" s="43">
        <f>IF($D36="Forecast",IFERROR(K36/AF36-1,""),"")</f>
        <v/>
      </c>
    </row>
    <row r="37">
      <c r="A37" s="8" t="n">
        <v>46327</v>
      </c>
      <c r="B37" s="26">
        <f>YEAR(A37)</f>
        <v/>
      </c>
      <c r="C37" s="26">
        <f>MONTH(A37)</f>
        <v/>
      </c>
      <c r="D37">
        <f>IF(A37&lt;=LastActual,"Actual","Forecast")</f>
        <v/>
      </c>
      <c r="E37" s="24">
        <f>IF($D37="Actual",R37,W37)</f>
        <v/>
      </c>
      <c r="F37" s="27">
        <f>IF($D37="Actual",S37,Cases_Forecast!AP30)</f>
        <v/>
      </c>
      <c r="G37" s="9">
        <f>IF($D37="Actual",T37,IFERROR(H37/AE37,0))</f>
        <v/>
      </c>
      <c r="H37" s="24">
        <f>IF($D37="Actual",U37,J37-I37)</f>
        <v/>
      </c>
      <c r="I37" s="24">
        <f>IF($D37="Actual",V37,IFERROR(J37*AD37,0))</f>
        <v/>
      </c>
      <c r="J37" s="24">
        <f>IF($D37="Actual",U37+V37,E37*X37)</f>
        <v/>
      </c>
      <c r="K37" s="28">
        <f>IFERROR(F37/G37,0)</f>
        <v/>
      </c>
      <c r="L37" s="29">
        <f>IFERROR(H37/G37,0)</f>
        <v/>
      </c>
      <c r="M37" s="30">
        <f>IFERROR(J37/F37,0)</f>
        <v/>
      </c>
      <c r="N37" s="10">
        <f>IFERROR(J37/E37,0)</f>
        <v/>
      </c>
      <c r="O37" s="10">
        <f>IFERROR(I37/J37,0)</f>
        <v/>
      </c>
      <c r="R37" s="42">
        <f>IF($D37="Actual",SUMIFS(Data_Actuals!$C$2:$C$5000,Data_Actuals!$A$2:$A$5000,$A37,Data_Actuals!$B$2:$B$5000,$B$2),"")</f>
        <v/>
      </c>
      <c r="S37" s="42">
        <f>IF($D37="Actual",SUMIFS(Data_Actuals!$D$2:$D$5000,Data_Actuals!$A$2:$A$5000,$A37,Data_Actuals!$B$2:$B$5000,$B$2),"")</f>
        <v/>
      </c>
      <c r="T37" s="42">
        <f>IF($D37="Actual",SUMIFS(Data_Actuals!$E$2:$E$5000,Data_Actuals!$A$2:$A$5000,$A37,Data_Actuals!$B$2:$B$5000,$B$2),"")</f>
        <v/>
      </c>
      <c r="U37" s="42">
        <f>IF($D37="Actual",SUMIFS(Data_Actuals!$F$2:$F$5000,Data_Actuals!$A$2:$A$5000,$A37,Data_Actuals!$B$2:$B$5000,$B$2),"")</f>
        <v/>
      </c>
      <c r="V37" s="42">
        <f>IF($D37="Actual",SUMIFS(Data_Actuals!$G$2:$G$5000,Data_Actuals!$A$2:$A$5000,$A37,Data_Actuals!$B$2:$B$5000,$B$2),"")</f>
        <v/>
      </c>
      <c r="W37" s="42">
        <f>SUMIFS(Plan_Inputs!$C$2:$C$5000,Plan_Inputs!$A$2:$A$5000,$A37,Plan_Inputs!$B$2:$B$5000,$B$2)</f>
        <v/>
      </c>
      <c r="X37" s="43">
        <f>SUMIFS(Plan_Inputs!$D$2:$D$5000,Plan_Inputs!$A$2:$A$5000,$A37,Plan_Inputs!$B$2:$B$5000,$B$2)</f>
        <v/>
      </c>
      <c r="Y37" s="42">
        <f>E37</f>
        <v/>
      </c>
      <c r="Z37" s="44">
        <f>INDEX(Calendar!$H$5:$L$52,MATCH($A37,Calendar!$A$5:$A$52,0),MATCH($D$2,Calendar!$H$4:$L$4,0))</f>
        <v/>
      </c>
      <c r="AA37" s="44">
        <f>INDEX(Calendar!$M$5:$M$52,MATCH($A37,Calendar!$A$5:$A$52,0))</f>
        <v/>
      </c>
      <c r="AB37" s="45">
        <f>IF($D37="Actual",IFERROR(S37/Y37,""),AB25)</f>
        <v/>
      </c>
      <c r="AC37" s="46">
        <f>IF($D37="Actual",IFERROR(U37/T37/Z37/AA37,""),AC25)</f>
        <v/>
      </c>
      <c r="AD37" s="43">
        <f>IF($D37="Actual",IFERROR(V37/(U37+V37),""),AD25)</f>
        <v/>
      </c>
      <c r="AE37" s="46">
        <f>IFERROR(AC37*Z37*AA37,"")</f>
        <v/>
      </c>
      <c r="AF37" s="47">
        <f>K25</f>
        <v/>
      </c>
      <c r="AG37" s="43">
        <f>IF($D37="Forecast",IFERROR(K37/AF37-1,""),"")</f>
        <v/>
      </c>
    </row>
    <row r="38">
      <c r="A38" s="31" t="n">
        <v>46357</v>
      </c>
      <c r="B38" s="32">
        <f>YEAR(A38)</f>
        <v/>
      </c>
      <c r="C38" s="32">
        <f>MONTH(A38)</f>
        <v/>
      </c>
      <c r="D38" s="33">
        <f>IF(A38&lt;=LastActual,"Actual","Forecast")</f>
        <v/>
      </c>
      <c r="E38" s="34">
        <f>IF($D38="Actual",R38,W38)</f>
        <v/>
      </c>
      <c r="F38" s="35">
        <f>IF($D38="Actual",S38,Cases_Forecast!AP31)</f>
        <v/>
      </c>
      <c r="G38" s="36">
        <f>IF($D38="Actual",T38,IFERROR(H38/AE38,0))</f>
        <v/>
      </c>
      <c r="H38" s="34">
        <f>IF($D38="Actual",U38,J38-I38)</f>
        <v/>
      </c>
      <c r="I38" s="34">
        <f>IF($D38="Actual",V38,IFERROR(J38*AD38,0))</f>
        <v/>
      </c>
      <c r="J38" s="34">
        <f>IF($D38="Actual",U38+V38,E38*X38)</f>
        <v/>
      </c>
      <c r="K38" s="37">
        <f>IFERROR(F38/G38,0)</f>
        <v/>
      </c>
      <c r="L38" s="38">
        <f>IFERROR(H38/G38,0)</f>
        <v/>
      </c>
      <c r="M38" s="39">
        <f>IFERROR(J38/F38,0)</f>
        <v/>
      </c>
      <c r="N38" s="40">
        <f>IFERROR(J38/E38,0)</f>
        <v/>
      </c>
      <c r="O38" s="40">
        <f>IFERROR(I38/J38,0)</f>
        <v/>
      </c>
      <c r="R38" s="42">
        <f>IF($D38="Actual",SUMIFS(Data_Actuals!$C$2:$C$5000,Data_Actuals!$A$2:$A$5000,$A38,Data_Actuals!$B$2:$B$5000,$B$2),"")</f>
        <v/>
      </c>
      <c r="S38" s="42">
        <f>IF($D38="Actual",SUMIFS(Data_Actuals!$D$2:$D$5000,Data_Actuals!$A$2:$A$5000,$A38,Data_Actuals!$B$2:$B$5000,$B$2),"")</f>
        <v/>
      </c>
      <c r="T38" s="42">
        <f>IF($D38="Actual",SUMIFS(Data_Actuals!$E$2:$E$5000,Data_Actuals!$A$2:$A$5000,$A38,Data_Actuals!$B$2:$B$5000,$B$2),"")</f>
        <v/>
      </c>
      <c r="U38" s="42">
        <f>IF($D38="Actual",SUMIFS(Data_Actuals!$F$2:$F$5000,Data_Actuals!$A$2:$A$5000,$A38,Data_Actuals!$B$2:$B$5000,$B$2),"")</f>
        <v/>
      </c>
      <c r="V38" s="42">
        <f>IF($D38="Actual",SUMIFS(Data_Actuals!$G$2:$G$5000,Data_Actuals!$A$2:$A$5000,$A38,Data_Actuals!$B$2:$B$5000,$B$2),"")</f>
        <v/>
      </c>
      <c r="W38" s="42">
        <f>SUMIFS(Plan_Inputs!$C$2:$C$5000,Plan_Inputs!$A$2:$A$5000,$A38,Plan_Inputs!$B$2:$B$5000,$B$2)</f>
        <v/>
      </c>
      <c r="X38" s="43">
        <f>SUMIFS(Plan_Inputs!$D$2:$D$5000,Plan_Inputs!$A$2:$A$5000,$A38,Plan_Inputs!$B$2:$B$5000,$B$2)</f>
        <v/>
      </c>
      <c r="Y38" s="42">
        <f>E38</f>
        <v/>
      </c>
      <c r="Z38" s="44">
        <f>INDEX(Calendar!$H$5:$L$52,MATCH($A38,Calendar!$A$5:$A$52,0),MATCH($D$2,Calendar!$H$4:$L$4,0))</f>
        <v/>
      </c>
      <c r="AA38" s="44">
        <f>INDEX(Calendar!$M$5:$M$52,MATCH($A38,Calendar!$A$5:$A$52,0))</f>
        <v/>
      </c>
      <c r="AB38" s="45">
        <f>IF($D38="Actual",IFERROR(S38/Y38,""),AB26)</f>
        <v/>
      </c>
      <c r="AC38" s="46">
        <f>IF($D38="Actual",IFERROR(U38/T38/Z38/AA38,""),AC26)</f>
        <v/>
      </c>
      <c r="AD38" s="43">
        <f>IF($D38="Actual",IFERROR(V38/(U38+V38),""),AD26)</f>
        <v/>
      </c>
      <c r="AE38" s="46">
        <f>IFERROR(AC38*Z38*AA38,"")</f>
        <v/>
      </c>
      <c r="AF38" s="47">
        <f>K26</f>
        <v/>
      </c>
      <c r="AG38" s="43">
        <f>IF($D38="Forecast",IFERROR(K38/AF38-1,""),"")</f>
        <v/>
      </c>
    </row>
    <row r="39">
      <c r="A39" s="8" t="n">
        <v>46388</v>
      </c>
      <c r="B39" s="26">
        <f>YEAR(A39)</f>
        <v/>
      </c>
      <c r="C39" s="26">
        <f>MONTH(A39)</f>
        <v/>
      </c>
      <c r="D39">
        <f>IF(A39&lt;=LastActual,"Actual","Forecast")</f>
        <v/>
      </c>
      <c r="E39" s="24">
        <f>IF($D39="Actual",R39,W39)</f>
        <v/>
      </c>
      <c r="F39" s="27">
        <f>IF($D39="Actual",S39,Cases_Forecast!AP32)</f>
        <v/>
      </c>
      <c r="G39" s="9">
        <f>IF($D39="Actual",T39,IFERROR(H39/AE39,0))</f>
        <v/>
      </c>
      <c r="H39" s="24">
        <f>IF($D39="Actual",U39,J39-I39)</f>
        <v/>
      </c>
      <c r="I39" s="24">
        <f>IF($D39="Actual",V39,IFERROR(J39*AD39,0))</f>
        <v/>
      </c>
      <c r="J39" s="24">
        <f>IF($D39="Actual",U39+V39,E39*X39)</f>
        <v/>
      </c>
      <c r="K39" s="28">
        <f>IFERROR(F39/G39,0)</f>
        <v/>
      </c>
      <c r="L39" s="29">
        <f>IFERROR(H39/G39,0)</f>
        <v/>
      </c>
      <c r="M39" s="30">
        <f>IFERROR(J39/F39,0)</f>
        <v/>
      </c>
      <c r="N39" s="10">
        <f>IFERROR(J39/E39,0)</f>
        <v/>
      </c>
      <c r="O39" s="10">
        <f>IFERROR(I39/J39,0)</f>
        <v/>
      </c>
      <c r="R39" s="42">
        <f>IF($D39="Actual",SUMIFS(Data_Actuals!$C$2:$C$5000,Data_Actuals!$A$2:$A$5000,$A39,Data_Actuals!$B$2:$B$5000,$B$2),"")</f>
        <v/>
      </c>
      <c r="S39" s="42">
        <f>IF($D39="Actual",SUMIFS(Data_Actuals!$D$2:$D$5000,Data_Actuals!$A$2:$A$5000,$A39,Data_Actuals!$B$2:$B$5000,$B$2),"")</f>
        <v/>
      </c>
      <c r="T39" s="42">
        <f>IF($D39="Actual",SUMIFS(Data_Actuals!$E$2:$E$5000,Data_Actuals!$A$2:$A$5000,$A39,Data_Actuals!$B$2:$B$5000,$B$2),"")</f>
        <v/>
      </c>
      <c r="U39" s="42">
        <f>IF($D39="Actual",SUMIFS(Data_Actuals!$F$2:$F$5000,Data_Actuals!$A$2:$A$5000,$A39,Data_Actuals!$B$2:$B$5000,$B$2),"")</f>
        <v/>
      </c>
      <c r="V39" s="42">
        <f>IF($D39="Actual",SUMIFS(Data_Actuals!$G$2:$G$5000,Data_Actuals!$A$2:$A$5000,$A39,Data_Actuals!$B$2:$B$5000,$B$2),"")</f>
        <v/>
      </c>
      <c r="W39" s="42">
        <f>SUMIFS(Plan_Inputs!$C$2:$C$5000,Plan_Inputs!$A$2:$A$5000,$A39,Plan_Inputs!$B$2:$B$5000,$B$2)</f>
        <v/>
      </c>
      <c r="X39" s="43">
        <f>SUMIFS(Plan_Inputs!$D$2:$D$5000,Plan_Inputs!$A$2:$A$5000,$A39,Plan_Inputs!$B$2:$B$5000,$B$2)</f>
        <v/>
      </c>
      <c r="Y39" s="42">
        <f>E39</f>
        <v/>
      </c>
      <c r="Z39" s="44">
        <f>INDEX(Calendar!$H$5:$L$52,MATCH($A39,Calendar!$A$5:$A$52,0),MATCH($D$2,Calendar!$H$4:$L$4,0))</f>
        <v/>
      </c>
      <c r="AA39" s="44">
        <f>INDEX(Calendar!$M$5:$M$52,MATCH($A39,Calendar!$A$5:$A$52,0))</f>
        <v/>
      </c>
      <c r="AB39" s="45">
        <f>IF($D39="Actual",IFERROR(S39/Y39,""),AB27)</f>
        <v/>
      </c>
      <c r="AC39" s="46">
        <f>IF($D39="Actual",IFERROR(U39/T39/Z39/AA39,""),AC27)</f>
        <v/>
      </c>
      <c r="AD39" s="43">
        <f>IF($D39="Actual",IFERROR(V39/(U39+V39),""),AD27)</f>
        <v/>
      </c>
      <c r="AE39" s="46">
        <f>IFERROR(AC39*Z39*AA39,"")</f>
        <v/>
      </c>
      <c r="AF39" s="47">
        <f>K27</f>
        <v/>
      </c>
      <c r="AG39" s="43">
        <f>IF($D39="Forecast",IFERROR(K39/AF39-1,""),"")</f>
        <v/>
      </c>
    </row>
    <row r="40">
      <c r="A40" s="8" t="n">
        <v>46419</v>
      </c>
      <c r="B40" s="26">
        <f>YEAR(A40)</f>
        <v/>
      </c>
      <c r="C40" s="26">
        <f>MONTH(A40)</f>
        <v/>
      </c>
      <c r="D40">
        <f>IF(A40&lt;=LastActual,"Actual","Forecast")</f>
        <v/>
      </c>
      <c r="E40" s="24">
        <f>IF($D40="Actual",R40,W40)</f>
        <v/>
      </c>
      <c r="F40" s="27">
        <f>IF($D40="Actual",S40,Cases_Forecast!AP33)</f>
        <v/>
      </c>
      <c r="G40" s="9">
        <f>IF($D40="Actual",T40,IFERROR(H40/AE40,0))</f>
        <v/>
      </c>
      <c r="H40" s="24">
        <f>IF($D40="Actual",U40,J40-I40)</f>
        <v/>
      </c>
      <c r="I40" s="24">
        <f>IF($D40="Actual",V40,IFERROR(J40*AD40,0))</f>
        <v/>
      </c>
      <c r="J40" s="24">
        <f>IF($D40="Actual",U40+V40,E40*X40)</f>
        <v/>
      </c>
      <c r="K40" s="28">
        <f>IFERROR(F40/G40,0)</f>
        <v/>
      </c>
      <c r="L40" s="29">
        <f>IFERROR(H40/G40,0)</f>
        <v/>
      </c>
      <c r="M40" s="30">
        <f>IFERROR(J40/F40,0)</f>
        <v/>
      </c>
      <c r="N40" s="10">
        <f>IFERROR(J40/E40,0)</f>
        <v/>
      </c>
      <c r="O40" s="10">
        <f>IFERROR(I40/J40,0)</f>
        <v/>
      </c>
      <c r="R40" s="42">
        <f>IF($D40="Actual",SUMIFS(Data_Actuals!$C$2:$C$5000,Data_Actuals!$A$2:$A$5000,$A40,Data_Actuals!$B$2:$B$5000,$B$2),"")</f>
        <v/>
      </c>
      <c r="S40" s="42">
        <f>IF($D40="Actual",SUMIFS(Data_Actuals!$D$2:$D$5000,Data_Actuals!$A$2:$A$5000,$A40,Data_Actuals!$B$2:$B$5000,$B$2),"")</f>
        <v/>
      </c>
      <c r="T40" s="42">
        <f>IF($D40="Actual",SUMIFS(Data_Actuals!$E$2:$E$5000,Data_Actuals!$A$2:$A$5000,$A40,Data_Actuals!$B$2:$B$5000,$B$2),"")</f>
        <v/>
      </c>
      <c r="U40" s="42">
        <f>IF($D40="Actual",SUMIFS(Data_Actuals!$F$2:$F$5000,Data_Actuals!$A$2:$A$5000,$A40,Data_Actuals!$B$2:$B$5000,$B$2),"")</f>
        <v/>
      </c>
      <c r="V40" s="42">
        <f>IF($D40="Actual",SUMIFS(Data_Actuals!$G$2:$G$5000,Data_Actuals!$A$2:$A$5000,$A40,Data_Actuals!$B$2:$B$5000,$B$2),"")</f>
        <v/>
      </c>
      <c r="W40" s="42">
        <f>SUMIFS(Plan_Inputs!$C$2:$C$5000,Plan_Inputs!$A$2:$A$5000,$A40,Plan_Inputs!$B$2:$B$5000,$B$2)</f>
        <v/>
      </c>
      <c r="X40" s="43">
        <f>SUMIFS(Plan_Inputs!$D$2:$D$5000,Plan_Inputs!$A$2:$A$5000,$A40,Plan_Inputs!$B$2:$B$5000,$B$2)</f>
        <v/>
      </c>
      <c r="Y40" s="42">
        <f>E40</f>
        <v/>
      </c>
      <c r="Z40" s="44">
        <f>INDEX(Calendar!$H$5:$L$52,MATCH($A40,Calendar!$A$5:$A$52,0),MATCH($D$2,Calendar!$H$4:$L$4,0))</f>
        <v/>
      </c>
      <c r="AA40" s="44">
        <f>INDEX(Calendar!$M$5:$M$52,MATCH($A40,Calendar!$A$5:$A$52,0))</f>
        <v/>
      </c>
      <c r="AB40" s="45">
        <f>IF($D40="Actual",IFERROR(S40/Y40,""),AB28)</f>
        <v/>
      </c>
      <c r="AC40" s="46">
        <f>IF($D40="Actual",IFERROR(U40/T40/Z40/AA40,""),AC28)</f>
        <v/>
      </c>
      <c r="AD40" s="43">
        <f>IF($D40="Actual",IFERROR(V40/(U40+V40),""),AD28)</f>
        <v/>
      </c>
      <c r="AE40" s="46">
        <f>IFERROR(AC40*Z40*AA40,"")</f>
        <v/>
      </c>
      <c r="AF40" s="47">
        <f>K28</f>
        <v/>
      </c>
      <c r="AG40" s="43">
        <f>IF($D40="Forecast",IFERROR(K40/AF40-1,""),"")</f>
        <v/>
      </c>
    </row>
    <row r="41">
      <c r="A41" s="8" t="n">
        <v>46447</v>
      </c>
      <c r="B41" s="26">
        <f>YEAR(A41)</f>
        <v/>
      </c>
      <c r="C41" s="26">
        <f>MONTH(A41)</f>
        <v/>
      </c>
      <c r="D41">
        <f>IF(A41&lt;=LastActual,"Actual","Forecast")</f>
        <v/>
      </c>
      <c r="E41" s="24">
        <f>IF($D41="Actual",R41,W41)</f>
        <v/>
      </c>
      <c r="F41" s="27">
        <f>IF($D41="Actual",S41,Cases_Forecast!AP34)</f>
        <v/>
      </c>
      <c r="G41" s="9">
        <f>IF($D41="Actual",T41,IFERROR(H41/AE41,0))</f>
        <v/>
      </c>
      <c r="H41" s="24">
        <f>IF($D41="Actual",U41,J41-I41)</f>
        <v/>
      </c>
      <c r="I41" s="24">
        <f>IF($D41="Actual",V41,IFERROR(J41*AD41,0))</f>
        <v/>
      </c>
      <c r="J41" s="24">
        <f>IF($D41="Actual",U41+V41,E41*X41)</f>
        <v/>
      </c>
      <c r="K41" s="28">
        <f>IFERROR(F41/G41,0)</f>
        <v/>
      </c>
      <c r="L41" s="29">
        <f>IFERROR(H41/G41,0)</f>
        <v/>
      </c>
      <c r="M41" s="30">
        <f>IFERROR(J41/F41,0)</f>
        <v/>
      </c>
      <c r="N41" s="10">
        <f>IFERROR(J41/E41,0)</f>
        <v/>
      </c>
      <c r="O41" s="10">
        <f>IFERROR(I41/J41,0)</f>
        <v/>
      </c>
      <c r="R41" s="42">
        <f>IF($D41="Actual",SUMIFS(Data_Actuals!$C$2:$C$5000,Data_Actuals!$A$2:$A$5000,$A41,Data_Actuals!$B$2:$B$5000,$B$2),"")</f>
        <v/>
      </c>
      <c r="S41" s="42">
        <f>IF($D41="Actual",SUMIFS(Data_Actuals!$D$2:$D$5000,Data_Actuals!$A$2:$A$5000,$A41,Data_Actuals!$B$2:$B$5000,$B$2),"")</f>
        <v/>
      </c>
      <c r="T41" s="42">
        <f>IF($D41="Actual",SUMIFS(Data_Actuals!$E$2:$E$5000,Data_Actuals!$A$2:$A$5000,$A41,Data_Actuals!$B$2:$B$5000,$B$2),"")</f>
        <v/>
      </c>
      <c r="U41" s="42">
        <f>IF($D41="Actual",SUMIFS(Data_Actuals!$F$2:$F$5000,Data_Actuals!$A$2:$A$5000,$A41,Data_Actuals!$B$2:$B$5000,$B$2),"")</f>
        <v/>
      </c>
      <c r="V41" s="42">
        <f>IF($D41="Actual",SUMIFS(Data_Actuals!$G$2:$G$5000,Data_Actuals!$A$2:$A$5000,$A41,Data_Actuals!$B$2:$B$5000,$B$2),"")</f>
        <v/>
      </c>
      <c r="W41" s="42">
        <f>SUMIFS(Plan_Inputs!$C$2:$C$5000,Plan_Inputs!$A$2:$A$5000,$A41,Plan_Inputs!$B$2:$B$5000,$B$2)</f>
        <v/>
      </c>
      <c r="X41" s="43">
        <f>SUMIFS(Plan_Inputs!$D$2:$D$5000,Plan_Inputs!$A$2:$A$5000,$A41,Plan_Inputs!$B$2:$B$5000,$B$2)</f>
        <v/>
      </c>
      <c r="Y41" s="42">
        <f>E41</f>
        <v/>
      </c>
      <c r="Z41" s="44">
        <f>INDEX(Calendar!$H$5:$L$52,MATCH($A41,Calendar!$A$5:$A$52,0),MATCH($D$2,Calendar!$H$4:$L$4,0))</f>
        <v/>
      </c>
      <c r="AA41" s="44">
        <f>INDEX(Calendar!$M$5:$M$52,MATCH($A41,Calendar!$A$5:$A$52,0))</f>
        <v/>
      </c>
      <c r="AB41" s="45">
        <f>IF($D41="Actual",IFERROR(S41/Y41,""),AB29)</f>
        <v/>
      </c>
      <c r="AC41" s="46">
        <f>IF($D41="Actual",IFERROR(U41/T41/Z41/AA41,""),AC29)</f>
        <v/>
      </c>
      <c r="AD41" s="43">
        <f>IF($D41="Actual",IFERROR(V41/(U41+V41),""),AD29)</f>
        <v/>
      </c>
      <c r="AE41" s="46">
        <f>IFERROR(AC41*Z41*AA41,"")</f>
        <v/>
      </c>
      <c r="AF41" s="47">
        <f>K29</f>
        <v/>
      </c>
      <c r="AG41" s="43">
        <f>IF($D41="Forecast",IFERROR(K41/AF41-1,""),"")</f>
        <v/>
      </c>
    </row>
    <row r="42">
      <c r="A42" s="8" t="n">
        <v>46478</v>
      </c>
      <c r="B42" s="26">
        <f>YEAR(A42)</f>
        <v/>
      </c>
      <c r="C42" s="26">
        <f>MONTH(A42)</f>
        <v/>
      </c>
      <c r="D42">
        <f>IF(A42&lt;=LastActual,"Actual","Forecast")</f>
        <v/>
      </c>
      <c r="E42" s="24">
        <f>IF($D42="Actual",R42,W42)</f>
        <v/>
      </c>
      <c r="F42" s="27">
        <f>IF($D42="Actual",S42,Cases_Forecast!AP35)</f>
        <v/>
      </c>
      <c r="G42" s="9">
        <f>IF($D42="Actual",T42,IFERROR(H42/AE42,0))</f>
        <v/>
      </c>
      <c r="H42" s="24">
        <f>IF($D42="Actual",U42,J42-I42)</f>
        <v/>
      </c>
      <c r="I42" s="24">
        <f>IF($D42="Actual",V42,IFERROR(J42*AD42,0))</f>
        <v/>
      </c>
      <c r="J42" s="24">
        <f>IF($D42="Actual",U42+V42,E42*X42)</f>
        <v/>
      </c>
      <c r="K42" s="28">
        <f>IFERROR(F42/G42,0)</f>
        <v/>
      </c>
      <c r="L42" s="29">
        <f>IFERROR(H42/G42,0)</f>
        <v/>
      </c>
      <c r="M42" s="30">
        <f>IFERROR(J42/F42,0)</f>
        <v/>
      </c>
      <c r="N42" s="10">
        <f>IFERROR(J42/E42,0)</f>
        <v/>
      </c>
      <c r="O42" s="10">
        <f>IFERROR(I42/J42,0)</f>
        <v/>
      </c>
      <c r="R42" s="42">
        <f>IF($D42="Actual",SUMIFS(Data_Actuals!$C$2:$C$5000,Data_Actuals!$A$2:$A$5000,$A42,Data_Actuals!$B$2:$B$5000,$B$2),"")</f>
        <v/>
      </c>
      <c r="S42" s="42">
        <f>IF($D42="Actual",SUMIFS(Data_Actuals!$D$2:$D$5000,Data_Actuals!$A$2:$A$5000,$A42,Data_Actuals!$B$2:$B$5000,$B$2),"")</f>
        <v/>
      </c>
      <c r="T42" s="42">
        <f>IF($D42="Actual",SUMIFS(Data_Actuals!$E$2:$E$5000,Data_Actuals!$A$2:$A$5000,$A42,Data_Actuals!$B$2:$B$5000,$B$2),"")</f>
        <v/>
      </c>
      <c r="U42" s="42">
        <f>IF($D42="Actual",SUMIFS(Data_Actuals!$F$2:$F$5000,Data_Actuals!$A$2:$A$5000,$A42,Data_Actuals!$B$2:$B$5000,$B$2),"")</f>
        <v/>
      </c>
      <c r="V42" s="42">
        <f>IF($D42="Actual",SUMIFS(Data_Actuals!$G$2:$G$5000,Data_Actuals!$A$2:$A$5000,$A42,Data_Actuals!$B$2:$B$5000,$B$2),"")</f>
        <v/>
      </c>
      <c r="W42" s="42">
        <f>SUMIFS(Plan_Inputs!$C$2:$C$5000,Plan_Inputs!$A$2:$A$5000,$A42,Plan_Inputs!$B$2:$B$5000,$B$2)</f>
        <v/>
      </c>
      <c r="X42" s="43">
        <f>SUMIFS(Plan_Inputs!$D$2:$D$5000,Plan_Inputs!$A$2:$A$5000,$A42,Plan_Inputs!$B$2:$B$5000,$B$2)</f>
        <v/>
      </c>
      <c r="Y42" s="42">
        <f>E42</f>
        <v/>
      </c>
      <c r="Z42" s="44">
        <f>INDEX(Calendar!$H$5:$L$52,MATCH($A42,Calendar!$A$5:$A$52,0),MATCH($D$2,Calendar!$H$4:$L$4,0))</f>
        <v/>
      </c>
      <c r="AA42" s="44">
        <f>INDEX(Calendar!$M$5:$M$52,MATCH($A42,Calendar!$A$5:$A$52,0))</f>
        <v/>
      </c>
      <c r="AB42" s="45">
        <f>IF($D42="Actual",IFERROR(S42/Y42,""),AB30)</f>
        <v/>
      </c>
      <c r="AC42" s="46">
        <f>IF($D42="Actual",IFERROR(U42/T42/Z42/AA42,""),AC30)</f>
        <v/>
      </c>
      <c r="AD42" s="43">
        <f>IF($D42="Actual",IFERROR(V42/(U42+V42),""),AD30)</f>
        <v/>
      </c>
      <c r="AE42" s="46">
        <f>IFERROR(AC42*Z42*AA42,"")</f>
        <v/>
      </c>
      <c r="AF42" s="47">
        <f>K30</f>
        <v/>
      </c>
      <c r="AG42" s="43">
        <f>IF($D42="Forecast",IFERROR(K42/AF42-1,""),"")</f>
        <v/>
      </c>
    </row>
    <row r="43">
      <c r="A43" s="8" t="n">
        <v>46508</v>
      </c>
      <c r="B43" s="26">
        <f>YEAR(A43)</f>
        <v/>
      </c>
      <c r="C43" s="26">
        <f>MONTH(A43)</f>
        <v/>
      </c>
      <c r="D43">
        <f>IF(A43&lt;=LastActual,"Actual","Forecast")</f>
        <v/>
      </c>
      <c r="E43" s="24">
        <f>IF($D43="Actual",R43,W43)</f>
        <v/>
      </c>
      <c r="F43" s="27">
        <f>IF($D43="Actual",S43,Cases_Forecast!AP36)</f>
        <v/>
      </c>
      <c r="G43" s="9">
        <f>IF($D43="Actual",T43,IFERROR(H43/AE43,0))</f>
        <v/>
      </c>
      <c r="H43" s="24">
        <f>IF($D43="Actual",U43,J43-I43)</f>
        <v/>
      </c>
      <c r="I43" s="24">
        <f>IF($D43="Actual",V43,IFERROR(J43*AD43,0))</f>
        <v/>
      </c>
      <c r="J43" s="24">
        <f>IF($D43="Actual",U43+V43,E43*X43)</f>
        <v/>
      </c>
      <c r="K43" s="28">
        <f>IFERROR(F43/G43,0)</f>
        <v/>
      </c>
      <c r="L43" s="29">
        <f>IFERROR(H43/G43,0)</f>
        <v/>
      </c>
      <c r="M43" s="30">
        <f>IFERROR(J43/F43,0)</f>
        <v/>
      </c>
      <c r="N43" s="10">
        <f>IFERROR(J43/E43,0)</f>
        <v/>
      </c>
      <c r="O43" s="10">
        <f>IFERROR(I43/J43,0)</f>
        <v/>
      </c>
      <c r="R43" s="42">
        <f>IF($D43="Actual",SUMIFS(Data_Actuals!$C$2:$C$5000,Data_Actuals!$A$2:$A$5000,$A43,Data_Actuals!$B$2:$B$5000,$B$2),"")</f>
        <v/>
      </c>
      <c r="S43" s="42">
        <f>IF($D43="Actual",SUMIFS(Data_Actuals!$D$2:$D$5000,Data_Actuals!$A$2:$A$5000,$A43,Data_Actuals!$B$2:$B$5000,$B$2),"")</f>
        <v/>
      </c>
      <c r="T43" s="42">
        <f>IF($D43="Actual",SUMIFS(Data_Actuals!$E$2:$E$5000,Data_Actuals!$A$2:$A$5000,$A43,Data_Actuals!$B$2:$B$5000,$B$2),"")</f>
        <v/>
      </c>
      <c r="U43" s="42">
        <f>IF($D43="Actual",SUMIFS(Data_Actuals!$F$2:$F$5000,Data_Actuals!$A$2:$A$5000,$A43,Data_Actuals!$B$2:$B$5000,$B$2),"")</f>
        <v/>
      </c>
      <c r="V43" s="42">
        <f>IF($D43="Actual",SUMIFS(Data_Actuals!$G$2:$G$5000,Data_Actuals!$A$2:$A$5000,$A43,Data_Actuals!$B$2:$B$5000,$B$2),"")</f>
        <v/>
      </c>
      <c r="W43" s="42">
        <f>SUMIFS(Plan_Inputs!$C$2:$C$5000,Plan_Inputs!$A$2:$A$5000,$A43,Plan_Inputs!$B$2:$B$5000,$B$2)</f>
        <v/>
      </c>
      <c r="X43" s="43">
        <f>SUMIFS(Plan_Inputs!$D$2:$D$5000,Plan_Inputs!$A$2:$A$5000,$A43,Plan_Inputs!$B$2:$B$5000,$B$2)</f>
        <v/>
      </c>
      <c r="Y43" s="42">
        <f>E43</f>
        <v/>
      </c>
      <c r="Z43" s="44">
        <f>INDEX(Calendar!$H$5:$L$52,MATCH($A43,Calendar!$A$5:$A$52,0),MATCH($D$2,Calendar!$H$4:$L$4,0))</f>
        <v/>
      </c>
      <c r="AA43" s="44">
        <f>INDEX(Calendar!$M$5:$M$52,MATCH($A43,Calendar!$A$5:$A$52,0))</f>
        <v/>
      </c>
      <c r="AB43" s="45">
        <f>IF($D43="Actual",IFERROR(S43/Y43,""),AB31)</f>
        <v/>
      </c>
      <c r="AC43" s="46">
        <f>IF($D43="Actual",IFERROR(U43/T43/Z43/AA43,""),AC31)</f>
        <v/>
      </c>
      <c r="AD43" s="43">
        <f>IF($D43="Actual",IFERROR(V43/(U43+V43),""),AD31)</f>
        <v/>
      </c>
      <c r="AE43" s="46">
        <f>IFERROR(AC43*Z43*AA43,"")</f>
        <v/>
      </c>
      <c r="AF43" s="47">
        <f>K31</f>
        <v/>
      </c>
      <c r="AG43" s="43">
        <f>IF($D43="Forecast",IFERROR(K43/AF43-1,""),"")</f>
        <v/>
      </c>
    </row>
    <row r="44">
      <c r="A44" s="8" t="n">
        <v>46539</v>
      </c>
      <c r="B44" s="26">
        <f>YEAR(A44)</f>
        <v/>
      </c>
      <c r="C44" s="26">
        <f>MONTH(A44)</f>
        <v/>
      </c>
      <c r="D44">
        <f>IF(A44&lt;=LastActual,"Actual","Forecast")</f>
        <v/>
      </c>
      <c r="E44" s="24">
        <f>IF($D44="Actual",R44,W44)</f>
        <v/>
      </c>
      <c r="F44" s="27">
        <f>IF($D44="Actual",S44,Cases_Forecast!AP37)</f>
        <v/>
      </c>
      <c r="G44" s="9">
        <f>IF($D44="Actual",T44,IFERROR(H44/AE44,0))</f>
        <v/>
      </c>
      <c r="H44" s="24">
        <f>IF($D44="Actual",U44,J44-I44)</f>
        <v/>
      </c>
      <c r="I44" s="24">
        <f>IF($D44="Actual",V44,IFERROR(J44*AD44,0))</f>
        <v/>
      </c>
      <c r="J44" s="24">
        <f>IF($D44="Actual",U44+V44,E44*X44)</f>
        <v/>
      </c>
      <c r="K44" s="28">
        <f>IFERROR(F44/G44,0)</f>
        <v/>
      </c>
      <c r="L44" s="29">
        <f>IFERROR(H44/G44,0)</f>
        <v/>
      </c>
      <c r="M44" s="30">
        <f>IFERROR(J44/F44,0)</f>
        <v/>
      </c>
      <c r="N44" s="10">
        <f>IFERROR(J44/E44,0)</f>
        <v/>
      </c>
      <c r="O44" s="10">
        <f>IFERROR(I44/J44,0)</f>
        <v/>
      </c>
      <c r="R44" s="42">
        <f>IF($D44="Actual",SUMIFS(Data_Actuals!$C$2:$C$5000,Data_Actuals!$A$2:$A$5000,$A44,Data_Actuals!$B$2:$B$5000,$B$2),"")</f>
        <v/>
      </c>
      <c r="S44" s="42">
        <f>IF($D44="Actual",SUMIFS(Data_Actuals!$D$2:$D$5000,Data_Actuals!$A$2:$A$5000,$A44,Data_Actuals!$B$2:$B$5000,$B$2),"")</f>
        <v/>
      </c>
      <c r="T44" s="42">
        <f>IF($D44="Actual",SUMIFS(Data_Actuals!$E$2:$E$5000,Data_Actuals!$A$2:$A$5000,$A44,Data_Actuals!$B$2:$B$5000,$B$2),"")</f>
        <v/>
      </c>
      <c r="U44" s="42">
        <f>IF($D44="Actual",SUMIFS(Data_Actuals!$F$2:$F$5000,Data_Actuals!$A$2:$A$5000,$A44,Data_Actuals!$B$2:$B$5000,$B$2),"")</f>
        <v/>
      </c>
      <c r="V44" s="42">
        <f>IF($D44="Actual",SUMIFS(Data_Actuals!$G$2:$G$5000,Data_Actuals!$A$2:$A$5000,$A44,Data_Actuals!$B$2:$B$5000,$B$2),"")</f>
        <v/>
      </c>
      <c r="W44" s="42">
        <f>SUMIFS(Plan_Inputs!$C$2:$C$5000,Plan_Inputs!$A$2:$A$5000,$A44,Plan_Inputs!$B$2:$B$5000,$B$2)</f>
        <v/>
      </c>
      <c r="X44" s="43">
        <f>SUMIFS(Plan_Inputs!$D$2:$D$5000,Plan_Inputs!$A$2:$A$5000,$A44,Plan_Inputs!$B$2:$B$5000,$B$2)</f>
        <v/>
      </c>
      <c r="Y44" s="42">
        <f>E44</f>
        <v/>
      </c>
      <c r="Z44" s="44">
        <f>INDEX(Calendar!$H$5:$L$52,MATCH($A44,Calendar!$A$5:$A$52,0),MATCH($D$2,Calendar!$H$4:$L$4,0))</f>
        <v/>
      </c>
      <c r="AA44" s="44">
        <f>INDEX(Calendar!$M$5:$M$52,MATCH($A44,Calendar!$A$5:$A$52,0))</f>
        <v/>
      </c>
      <c r="AB44" s="45">
        <f>IF($D44="Actual",IFERROR(S44/Y44,""),AB32)</f>
        <v/>
      </c>
      <c r="AC44" s="46">
        <f>IF($D44="Actual",IFERROR(U44/T44/Z44/AA44,""),AC32)</f>
        <v/>
      </c>
      <c r="AD44" s="43">
        <f>IF($D44="Actual",IFERROR(V44/(U44+V44),""),AD32)</f>
        <v/>
      </c>
      <c r="AE44" s="46">
        <f>IFERROR(AC44*Z44*AA44,"")</f>
        <v/>
      </c>
      <c r="AF44" s="47">
        <f>K32</f>
        <v/>
      </c>
      <c r="AG44" s="43">
        <f>IF($D44="Forecast",IFERROR(K44/AF44-1,""),"")</f>
        <v/>
      </c>
    </row>
    <row r="45">
      <c r="A45" s="8" t="n">
        <v>46569</v>
      </c>
      <c r="B45" s="26">
        <f>YEAR(A45)</f>
        <v/>
      </c>
      <c r="C45" s="26">
        <f>MONTH(A45)</f>
        <v/>
      </c>
      <c r="D45">
        <f>IF(A45&lt;=LastActual,"Actual","Forecast")</f>
        <v/>
      </c>
      <c r="E45" s="24">
        <f>IF($D45="Actual",R45,W45)</f>
        <v/>
      </c>
      <c r="F45" s="27">
        <f>IF($D45="Actual",S45,Cases_Forecast!AP38)</f>
        <v/>
      </c>
      <c r="G45" s="9">
        <f>IF($D45="Actual",T45,IFERROR(H45/AE45,0))</f>
        <v/>
      </c>
      <c r="H45" s="24">
        <f>IF($D45="Actual",U45,J45-I45)</f>
        <v/>
      </c>
      <c r="I45" s="24">
        <f>IF($D45="Actual",V45,IFERROR(J45*AD45,0))</f>
        <v/>
      </c>
      <c r="J45" s="24">
        <f>IF($D45="Actual",U45+V45,E45*X45)</f>
        <v/>
      </c>
      <c r="K45" s="28">
        <f>IFERROR(F45/G45,0)</f>
        <v/>
      </c>
      <c r="L45" s="29">
        <f>IFERROR(H45/G45,0)</f>
        <v/>
      </c>
      <c r="M45" s="30">
        <f>IFERROR(J45/F45,0)</f>
        <v/>
      </c>
      <c r="N45" s="10">
        <f>IFERROR(J45/E45,0)</f>
        <v/>
      </c>
      <c r="O45" s="10">
        <f>IFERROR(I45/J45,0)</f>
        <v/>
      </c>
      <c r="R45" s="42">
        <f>IF($D45="Actual",SUMIFS(Data_Actuals!$C$2:$C$5000,Data_Actuals!$A$2:$A$5000,$A45,Data_Actuals!$B$2:$B$5000,$B$2),"")</f>
        <v/>
      </c>
      <c r="S45" s="42">
        <f>IF($D45="Actual",SUMIFS(Data_Actuals!$D$2:$D$5000,Data_Actuals!$A$2:$A$5000,$A45,Data_Actuals!$B$2:$B$5000,$B$2),"")</f>
        <v/>
      </c>
      <c r="T45" s="42">
        <f>IF($D45="Actual",SUMIFS(Data_Actuals!$E$2:$E$5000,Data_Actuals!$A$2:$A$5000,$A45,Data_Actuals!$B$2:$B$5000,$B$2),"")</f>
        <v/>
      </c>
      <c r="U45" s="42">
        <f>IF($D45="Actual",SUMIFS(Data_Actuals!$F$2:$F$5000,Data_Actuals!$A$2:$A$5000,$A45,Data_Actuals!$B$2:$B$5000,$B$2),"")</f>
        <v/>
      </c>
      <c r="V45" s="42">
        <f>IF($D45="Actual",SUMIFS(Data_Actuals!$G$2:$G$5000,Data_Actuals!$A$2:$A$5000,$A45,Data_Actuals!$B$2:$B$5000,$B$2),"")</f>
        <v/>
      </c>
      <c r="W45" s="42">
        <f>SUMIFS(Plan_Inputs!$C$2:$C$5000,Plan_Inputs!$A$2:$A$5000,$A45,Plan_Inputs!$B$2:$B$5000,$B$2)</f>
        <v/>
      </c>
      <c r="X45" s="43">
        <f>SUMIFS(Plan_Inputs!$D$2:$D$5000,Plan_Inputs!$A$2:$A$5000,$A45,Plan_Inputs!$B$2:$B$5000,$B$2)</f>
        <v/>
      </c>
      <c r="Y45" s="42">
        <f>E45</f>
        <v/>
      </c>
      <c r="Z45" s="44">
        <f>INDEX(Calendar!$H$5:$L$52,MATCH($A45,Calendar!$A$5:$A$52,0),MATCH($D$2,Calendar!$H$4:$L$4,0))</f>
        <v/>
      </c>
      <c r="AA45" s="44">
        <f>INDEX(Calendar!$M$5:$M$52,MATCH($A45,Calendar!$A$5:$A$52,0))</f>
        <v/>
      </c>
      <c r="AB45" s="45">
        <f>IF($D45="Actual",IFERROR(S45/Y45,""),AB33)</f>
        <v/>
      </c>
      <c r="AC45" s="46">
        <f>IF($D45="Actual",IFERROR(U45/T45/Z45/AA45,""),AC33)</f>
        <v/>
      </c>
      <c r="AD45" s="43">
        <f>IF($D45="Actual",IFERROR(V45/(U45+V45),""),AD33)</f>
        <v/>
      </c>
      <c r="AE45" s="46">
        <f>IFERROR(AC45*Z45*AA45,"")</f>
        <v/>
      </c>
      <c r="AF45" s="47">
        <f>K33</f>
        <v/>
      </c>
      <c r="AG45" s="43">
        <f>IF($D45="Forecast",IFERROR(K45/AF45-1,""),"")</f>
        <v/>
      </c>
    </row>
    <row r="46">
      <c r="A46" s="8" t="n">
        <v>46600</v>
      </c>
      <c r="B46" s="26">
        <f>YEAR(A46)</f>
        <v/>
      </c>
      <c r="C46" s="26">
        <f>MONTH(A46)</f>
        <v/>
      </c>
      <c r="D46">
        <f>IF(A46&lt;=LastActual,"Actual","Forecast")</f>
        <v/>
      </c>
      <c r="E46" s="24">
        <f>IF($D46="Actual",R46,W46)</f>
        <v/>
      </c>
      <c r="F46" s="27">
        <f>IF($D46="Actual",S46,Cases_Forecast!AP39)</f>
        <v/>
      </c>
      <c r="G46" s="9">
        <f>IF($D46="Actual",T46,IFERROR(H46/AE46,0))</f>
        <v/>
      </c>
      <c r="H46" s="24">
        <f>IF($D46="Actual",U46,J46-I46)</f>
        <v/>
      </c>
      <c r="I46" s="24">
        <f>IF($D46="Actual",V46,IFERROR(J46*AD46,0))</f>
        <v/>
      </c>
      <c r="J46" s="24">
        <f>IF($D46="Actual",U46+V46,E46*X46)</f>
        <v/>
      </c>
      <c r="K46" s="28">
        <f>IFERROR(F46/G46,0)</f>
        <v/>
      </c>
      <c r="L46" s="29">
        <f>IFERROR(H46/G46,0)</f>
        <v/>
      </c>
      <c r="M46" s="30">
        <f>IFERROR(J46/F46,0)</f>
        <v/>
      </c>
      <c r="N46" s="10">
        <f>IFERROR(J46/E46,0)</f>
        <v/>
      </c>
      <c r="O46" s="10">
        <f>IFERROR(I46/J46,0)</f>
        <v/>
      </c>
      <c r="R46" s="42">
        <f>IF($D46="Actual",SUMIFS(Data_Actuals!$C$2:$C$5000,Data_Actuals!$A$2:$A$5000,$A46,Data_Actuals!$B$2:$B$5000,$B$2),"")</f>
        <v/>
      </c>
      <c r="S46" s="42">
        <f>IF($D46="Actual",SUMIFS(Data_Actuals!$D$2:$D$5000,Data_Actuals!$A$2:$A$5000,$A46,Data_Actuals!$B$2:$B$5000,$B$2),"")</f>
        <v/>
      </c>
      <c r="T46" s="42">
        <f>IF($D46="Actual",SUMIFS(Data_Actuals!$E$2:$E$5000,Data_Actuals!$A$2:$A$5000,$A46,Data_Actuals!$B$2:$B$5000,$B$2),"")</f>
        <v/>
      </c>
      <c r="U46" s="42">
        <f>IF($D46="Actual",SUMIFS(Data_Actuals!$F$2:$F$5000,Data_Actuals!$A$2:$A$5000,$A46,Data_Actuals!$B$2:$B$5000,$B$2),"")</f>
        <v/>
      </c>
      <c r="V46" s="42">
        <f>IF($D46="Actual",SUMIFS(Data_Actuals!$G$2:$G$5000,Data_Actuals!$A$2:$A$5000,$A46,Data_Actuals!$B$2:$B$5000,$B$2),"")</f>
        <v/>
      </c>
      <c r="W46" s="42">
        <f>SUMIFS(Plan_Inputs!$C$2:$C$5000,Plan_Inputs!$A$2:$A$5000,$A46,Plan_Inputs!$B$2:$B$5000,$B$2)</f>
        <v/>
      </c>
      <c r="X46" s="43">
        <f>SUMIFS(Plan_Inputs!$D$2:$D$5000,Plan_Inputs!$A$2:$A$5000,$A46,Plan_Inputs!$B$2:$B$5000,$B$2)</f>
        <v/>
      </c>
      <c r="Y46" s="42">
        <f>E46</f>
        <v/>
      </c>
      <c r="Z46" s="44">
        <f>INDEX(Calendar!$H$5:$L$52,MATCH($A46,Calendar!$A$5:$A$52,0),MATCH($D$2,Calendar!$H$4:$L$4,0))</f>
        <v/>
      </c>
      <c r="AA46" s="44">
        <f>INDEX(Calendar!$M$5:$M$52,MATCH($A46,Calendar!$A$5:$A$52,0))</f>
        <v/>
      </c>
      <c r="AB46" s="45">
        <f>IF($D46="Actual",IFERROR(S46/Y46,""),AB34)</f>
        <v/>
      </c>
      <c r="AC46" s="46">
        <f>IF($D46="Actual",IFERROR(U46/T46/Z46/AA46,""),AC34)</f>
        <v/>
      </c>
      <c r="AD46" s="43">
        <f>IF($D46="Actual",IFERROR(V46/(U46+V46),""),AD34)</f>
        <v/>
      </c>
      <c r="AE46" s="46">
        <f>IFERROR(AC46*Z46*AA46,"")</f>
        <v/>
      </c>
      <c r="AF46" s="47">
        <f>K34</f>
        <v/>
      </c>
      <c r="AG46" s="43">
        <f>IF($D46="Forecast",IFERROR(K46/AF46-1,""),"")</f>
        <v/>
      </c>
    </row>
    <row r="47">
      <c r="A47" s="8" t="n">
        <v>46631</v>
      </c>
      <c r="B47" s="26">
        <f>YEAR(A47)</f>
        <v/>
      </c>
      <c r="C47" s="26">
        <f>MONTH(A47)</f>
        <v/>
      </c>
      <c r="D47">
        <f>IF(A47&lt;=LastActual,"Actual","Forecast")</f>
        <v/>
      </c>
      <c r="E47" s="24">
        <f>IF($D47="Actual",R47,W47)</f>
        <v/>
      </c>
      <c r="F47" s="27">
        <f>IF($D47="Actual",S47,Cases_Forecast!AP40)</f>
        <v/>
      </c>
      <c r="G47" s="9">
        <f>IF($D47="Actual",T47,IFERROR(H47/AE47,0))</f>
        <v/>
      </c>
      <c r="H47" s="24">
        <f>IF($D47="Actual",U47,J47-I47)</f>
        <v/>
      </c>
      <c r="I47" s="24">
        <f>IF($D47="Actual",V47,IFERROR(J47*AD47,0))</f>
        <v/>
      </c>
      <c r="J47" s="24">
        <f>IF($D47="Actual",U47+V47,E47*X47)</f>
        <v/>
      </c>
      <c r="K47" s="28">
        <f>IFERROR(F47/G47,0)</f>
        <v/>
      </c>
      <c r="L47" s="29">
        <f>IFERROR(H47/G47,0)</f>
        <v/>
      </c>
      <c r="M47" s="30">
        <f>IFERROR(J47/F47,0)</f>
        <v/>
      </c>
      <c r="N47" s="10">
        <f>IFERROR(J47/E47,0)</f>
        <v/>
      </c>
      <c r="O47" s="10">
        <f>IFERROR(I47/J47,0)</f>
        <v/>
      </c>
      <c r="R47" s="42">
        <f>IF($D47="Actual",SUMIFS(Data_Actuals!$C$2:$C$5000,Data_Actuals!$A$2:$A$5000,$A47,Data_Actuals!$B$2:$B$5000,$B$2),"")</f>
        <v/>
      </c>
      <c r="S47" s="42">
        <f>IF($D47="Actual",SUMIFS(Data_Actuals!$D$2:$D$5000,Data_Actuals!$A$2:$A$5000,$A47,Data_Actuals!$B$2:$B$5000,$B$2),"")</f>
        <v/>
      </c>
      <c r="T47" s="42">
        <f>IF($D47="Actual",SUMIFS(Data_Actuals!$E$2:$E$5000,Data_Actuals!$A$2:$A$5000,$A47,Data_Actuals!$B$2:$B$5000,$B$2),"")</f>
        <v/>
      </c>
      <c r="U47" s="42">
        <f>IF($D47="Actual",SUMIFS(Data_Actuals!$F$2:$F$5000,Data_Actuals!$A$2:$A$5000,$A47,Data_Actuals!$B$2:$B$5000,$B$2),"")</f>
        <v/>
      </c>
      <c r="V47" s="42">
        <f>IF($D47="Actual",SUMIFS(Data_Actuals!$G$2:$G$5000,Data_Actuals!$A$2:$A$5000,$A47,Data_Actuals!$B$2:$B$5000,$B$2),"")</f>
        <v/>
      </c>
      <c r="W47" s="42">
        <f>SUMIFS(Plan_Inputs!$C$2:$C$5000,Plan_Inputs!$A$2:$A$5000,$A47,Plan_Inputs!$B$2:$B$5000,$B$2)</f>
        <v/>
      </c>
      <c r="X47" s="43">
        <f>SUMIFS(Plan_Inputs!$D$2:$D$5000,Plan_Inputs!$A$2:$A$5000,$A47,Plan_Inputs!$B$2:$B$5000,$B$2)</f>
        <v/>
      </c>
      <c r="Y47" s="42">
        <f>E47</f>
        <v/>
      </c>
      <c r="Z47" s="44">
        <f>INDEX(Calendar!$H$5:$L$52,MATCH($A47,Calendar!$A$5:$A$52,0),MATCH($D$2,Calendar!$H$4:$L$4,0))</f>
        <v/>
      </c>
      <c r="AA47" s="44">
        <f>INDEX(Calendar!$M$5:$M$52,MATCH($A47,Calendar!$A$5:$A$52,0))</f>
        <v/>
      </c>
      <c r="AB47" s="45">
        <f>IF($D47="Actual",IFERROR(S47/Y47,""),AB35)</f>
        <v/>
      </c>
      <c r="AC47" s="46">
        <f>IF($D47="Actual",IFERROR(U47/T47/Z47/AA47,""),AC35)</f>
        <v/>
      </c>
      <c r="AD47" s="43">
        <f>IF($D47="Actual",IFERROR(V47/(U47+V47),""),AD35)</f>
        <v/>
      </c>
      <c r="AE47" s="46">
        <f>IFERROR(AC47*Z47*AA47,"")</f>
        <v/>
      </c>
      <c r="AF47" s="47">
        <f>K35</f>
        <v/>
      </c>
      <c r="AG47" s="43">
        <f>IF($D47="Forecast",IFERROR(K47/AF47-1,""),"")</f>
        <v/>
      </c>
    </row>
    <row r="48">
      <c r="A48" s="8" t="n">
        <v>46661</v>
      </c>
      <c r="B48" s="26">
        <f>YEAR(A48)</f>
        <v/>
      </c>
      <c r="C48" s="26">
        <f>MONTH(A48)</f>
        <v/>
      </c>
      <c r="D48">
        <f>IF(A48&lt;=LastActual,"Actual","Forecast")</f>
        <v/>
      </c>
      <c r="E48" s="24">
        <f>IF($D48="Actual",R48,W48)</f>
        <v/>
      </c>
      <c r="F48" s="27">
        <f>IF($D48="Actual",S48,Cases_Forecast!AP41)</f>
        <v/>
      </c>
      <c r="G48" s="9">
        <f>IF($D48="Actual",T48,IFERROR(H48/AE48,0))</f>
        <v/>
      </c>
      <c r="H48" s="24">
        <f>IF($D48="Actual",U48,J48-I48)</f>
        <v/>
      </c>
      <c r="I48" s="24">
        <f>IF($D48="Actual",V48,IFERROR(J48*AD48,0))</f>
        <v/>
      </c>
      <c r="J48" s="24">
        <f>IF($D48="Actual",U48+V48,E48*X48)</f>
        <v/>
      </c>
      <c r="K48" s="28">
        <f>IFERROR(F48/G48,0)</f>
        <v/>
      </c>
      <c r="L48" s="29">
        <f>IFERROR(H48/G48,0)</f>
        <v/>
      </c>
      <c r="M48" s="30">
        <f>IFERROR(J48/F48,0)</f>
        <v/>
      </c>
      <c r="N48" s="10">
        <f>IFERROR(J48/E48,0)</f>
        <v/>
      </c>
      <c r="O48" s="10">
        <f>IFERROR(I48/J48,0)</f>
        <v/>
      </c>
      <c r="R48" s="42">
        <f>IF($D48="Actual",SUMIFS(Data_Actuals!$C$2:$C$5000,Data_Actuals!$A$2:$A$5000,$A48,Data_Actuals!$B$2:$B$5000,$B$2),"")</f>
        <v/>
      </c>
      <c r="S48" s="42">
        <f>IF($D48="Actual",SUMIFS(Data_Actuals!$D$2:$D$5000,Data_Actuals!$A$2:$A$5000,$A48,Data_Actuals!$B$2:$B$5000,$B$2),"")</f>
        <v/>
      </c>
      <c r="T48" s="42">
        <f>IF($D48="Actual",SUMIFS(Data_Actuals!$E$2:$E$5000,Data_Actuals!$A$2:$A$5000,$A48,Data_Actuals!$B$2:$B$5000,$B$2),"")</f>
        <v/>
      </c>
      <c r="U48" s="42">
        <f>IF($D48="Actual",SUMIFS(Data_Actuals!$F$2:$F$5000,Data_Actuals!$A$2:$A$5000,$A48,Data_Actuals!$B$2:$B$5000,$B$2),"")</f>
        <v/>
      </c>
      <c r="V48" s="42">
        <f>IF($D48="Actual",SUMIFS(Data_Actuals!$G$2:$G$5000,Data_Actuals!$A$2:$A$5000,$A48,Data_Actuals!$B$2:$B$5000,$B$2),"")</f>
        <v/>
      </c>
      <c r="W48" s="42">
        <f>SUMIFS(Plan_Inputs!$C$2:$C$5000,Plan_Inputs!$A$2:$A$5000,$A48,Plan_Inputs!$B$2:$B$5000,$B$2)</f>
        <v/>
      </c>
      <c r="X48" s="43">
        <f>SUMIFS(Plan_Inputs!$D$2:$D$5000,Plan_Inputs!$A$2:$A$5000,$A48,Plan_Inputs!$B$2:$B$5000,$B$2)</f>
        <v/>
      </c>
      <c r="Y48" s="42">
        <f>E48</f>
        <v/>
      </c>
      <c r="Z48" s="44">
        <f>INDEX(Calendar!$H$5:$L$52,MATCH($A48,Calendar!$A$5:$A$52,0),MATCH($D$2,Calendar!$H$4:$L$4,0))</f>
        <v/>
      </c>
      <c r="AA48" s="44">
        <f>INDEX(Calendar!$M$5:$M$52,MATCH($A48,Calendar!$A$5:$A$52,0))</f>
        <v/>
      </c>
      <c r="AB48" s="45">
        <f>IF($D48="Actual",IFERROR(S48/Y48,""),AB36)</f>
        <v/>
      </c>
      <c r="AC48" s="46">
        <f>IF($D48="Actual",IFERROR(U48/T48/Z48/AA48,""),AC36)</f>
        <v/>
      </c>
      <c r="AD48" s="43">
        <f>IF($D48="Actual",IFERROR(V48/(U48+V48),""),AD36)</f>
        <v/>
      </c>
      <c r="AE48" s="46">
        <f>IFERROR(AC48*Z48*AA48,"")</f>
        <v/>
      </c>
      <c r="AF48" s="47">
        <f>K36</f>
        <v/>
      </c>
      <c r="AG48" s="43">
        <f>IF($D48="Forecast",IFERROR(K48/AF48-1,""),"")</f>
        <v/>
      </c>
    </row>
    <row r="49">
      <c r="A49" s="8" t="n">
        <v>46692</v>
      </c>
      <c r="B49" s="26">
        <f>YEAR(A49)</f>
        <v/>
      </c>
      <c r="C49" s="26">
        <f>MONTH(A49)</f>
        <v/>
      </c>
      <c r="D49">
        <f>IF(A49&lt;=LastActual,"Actual","Forecast")</f>
        <v/>
      </c>
      <c r="E49" s="24">
        <f>IF($D49="Actual",R49,W49)</f>
        <v/>
      </c>
      <c r="F49" s="27">
        <f>IF($D49="Actual",S49,Cases_Forecast!AP42)</f>
        <v/>
      </c>
      <c r="G49" s="9">
        <f>IF($D49="Actual",T49,IFERROR(H49/AE49,0))</f>
        <v/>
      </c>
      <c r="H49" s="24">
        <f>IF($D49="Actual",U49,J49-I49)</f>
        <v/>
      </c>
      <c r="I49" s="24">
        <f>IF($D49="Actual",V49,IFERROR(J49*AD49,0))</f>
        <v/>
      </c>
      <c r="J49" s="24">
        <f>IF($D49="Actual",U49+V49,E49*X49)</f>
        <v/>
      </c>
      <c r="K49" s="28">
        <f>IFERROR(F49/G49,0)</f>
        <v/>
      </c>
      <c r="L49" s="29">
        <f>IFERROR(H49/G49,0)</f>
        <v/>
      </c>
      <c r="M49" s="30">
        <f>IFERROR(J49/F49,0)</f>
        <v/>
      </c>
      <c r="N49" s="10">
        <f>IFERROR(J49/E49,0)</f>
        <v/>
      </c>
      <c r="O49" s="10">
        <f>IFERROR(I49/J49,0)</f>
        <v/>
      </c>
      <c r="R49" s="42">
        <f>IF($D49="Actual",SUMIFS(Data_Actuals!$C$2:$C$5000,Data_Actuals!$A$2:$A$5000,$A49,Data_Actuals!$B$2:$B$5000,$B$2),"")</f>
        <v/>
      </c>
      <c r="S49" s="42">
        <f>IF($D49="Actual",SUMIFS(Data_Actuals!$D$2:$D$5000,Data_Actuals!$A$2:$A$5000,$A49,Data_Actuals!$B$2:$B$5000,$B$2),"")</f>
        <v/>
      </c>
      <c r="T49" s="42">
        <f>IF($D49="Actual",SUMIFS(Data_Actuals!$E$2:$E$5000,Data_Actuals!$A$2:$A$5000,$A49,Data_Actuals!$B$2:$B$5000,$B$2),"")</f>
        <v/>
      </c>
      <c r="U49" s="42">
        <f>IF($D49="Actual",SUMIFS(Data_Actuals!$F$2:$F$5000,Data_Actuals!$A$2:$A$5000,$A49,Data_Actuals!$B$2:$B$5000,$B$2),"")</f>
        <v/>
      </c>
      <c r="V49" s="42">
        <f>IF($D49="Actual",SUMIFS(Data_Actuals!$G$2:$G$5000,Data_Actuals!$A$2:$A$5000,$A49,Data_Actuals!$B$2:$B$5000,$B$2),"")</f>
        <v/>
      </c>
      <c r="W49" s="42">
        <f>SUMIFS(Plan_Inputs!$C$2:$C$5000,Plan_Inputs!$A$2:$A$5000,$A49,Plan_Inputs!$B$2:$B$5000,$B$2)</f>
        <v/>
      </c>
      <c r="X49" s="43">
        <f>SUMIFS(Plan_Inputs!$D$2:$D$5000,Plan_Inputs!$A$2:$A$5000,$A49,Plan_Inputs!$B$2:$B$5000,$B$2)</f>
        <v/>
      </c>
      <c r="Y49" s="42">
        <f>E49</f>
        <v/>
      </c>
      <c r="Z49" s="44">
        <f>INDEX(Calendar!$H$5:$L$52,MATCH($A49,Calendar!$A$5:$A$52,0),MATCH($D$2,Calendar!$H$4:$L$4,0))</f>
        <v/>
      </c>
      <c r="AA49" s="44">
        <f>INDEX(Calendar!$M$5:$M$52,MATCH($A49,Calendar!$A$5:$A$52,0))</f>
        <v/>
      </c>
      <c r="AB49" s="45">
        <f>IF($D49="Actual",IFERROR(S49/Y49,""),AB37)</f>
        <v/>
      </c>
      <c r="AC49" s="46">
        <f>IF($D49="Actual",IFERROR(U49/T49/Z49/AA49,""),AC37)</f>
        <v/>
      </c>
      <c r="AD49" s="43">
        <f>IF($D49="Actual",IFERROR(V49/(U49+V49),""),AD37)</f>
        <v/>
      </c>
      <c r="AE49" s="46">
        <f>IFERROR(AC49*Z49*AA49,"")</f>
        <v/>
      </c>
      <c r="AF49" s="47">
        <f>K37</f>
        <v/>
      </c>
      <c r="AG49" s="43">
        <f>IF($D49="Forecast",IFERROR(K49/AF49-1,""),"")</f>
        <v/>
      </c>
    </row>
    <row r="50">
      <c r="A50" s="31" t="n">
        <v>46722</v>
      </c>
      <c r="B50" s="32">
        <f>YEAR(A50)</f>
        <v/>
      </c>
      <c r="C50" s="32">
        <f>MONTH(A50)</f>
        <v/>
      </c>
      <c r="D50" s="33">
        <f>IF(A50&lt;=LastActual,"Actual","Forecast")</f>
        <v/>
      </c>
      <c r="E50" s="34">
        <f>IF($D50="Actual",R50,W50)</f>
        <v/>
      </c>
      <c r="F50" s="35">
        <f>IF($D50="Actual",S50,Cases_Forecast!AP43)</f>
        <v/>
      </c>
      <c r="G50" s="36">
        <f>IF($D50="Actual",T50,IFERROR(H50/AE50,0))</f>
        <v/>
      </c>
      <c r="H50" s="34">
        <f>IF($D50="Actual",U50,J50-I50)</f>
        <v/>
      </c>
      <c r="I50" s="34">
        <f>IF($D50="Actual",V50,IFERROR(J50*AD50,0))</f>
        <v/>
      </c>
      <c r="J50" s="34">
        <f>IF($D50="Actual",U50+V50,E50*X50)</f>
        <v/>
      </c>
      <c r="K50" s="37">
        <f>IFERROR(F50/G50,0)</f>
        <v/>
      </c>
      <c r="L50" s="38">
        <f>IFERROR(H50/G50,0)</f>
        <v/>
      </c>
      <c r="M50" s="39">
        <f>IFERROR(J50/F50,0)</f>
        <v/>
      </c>
      <c r="N50" s="40">
        <f>IFERROR(J50/E50,0)</f>
        <v/>
      </c>
      <c r="O50" s="40">
        <f>IFERROR(I50/J50,0)</f>
        <v/>
      </c>
      <c r="R50" s="42">
        <f>IF($D50="Actual",SUMIFS(Data_Actuals!$C$2:$C$5000,Data_Actuals!$A$2:$A$5000,$A50,Data_Actuals!$B$2:$B$5000,$B$2),"")</f>
        <v/>
      </c>
      <c r="S50" s="42">
        <f>IF($D50="Actual",SUMIFS(Data_Actuals!$D$2:$D$5000,Data_Actuals!$A$2:$A$5000,$A50,Data_Actuals!$B$2:$B$5000,$B$2),"")</f>
        <v/>
      </c>
      <c r="T50" s="42">
        <f>IF($D50="Actual",SUMIFS(Data_Actuals!$E$2:$E$5000,Data_Actuals!$A$2:$A$5000,$A50,Data_Actuals!$B$2:$B$5000,$B$2),"")</f>
        <v/>
      </c>
      <c r="U50" s="42">
        <f>IF($D50="Actual",SUMIFS(Data_Actuals!$F$2:$F$5000,Data_Actuals!$A$2:$A$5000,$A50,Data_Actuals!$B$2:$B$5000,$B$2),"")</f>
        <v/>
      </c>
      <c r="V50" s="42">
        <f>IF($D50="Actual",SUMIFS(Data_Actuals!$G$2:$G$5000,Data_Actuals!$A$2:$A$5000,$A50,Data_Actuals!$B$2:$B$5000,$B$2),"")</f>
        <v/>
      </c>
      <c r="W50" s="42">
        <f>SUMIFS(Plan_Inputs!$C$2:$C$5000,Plan_Inputs!$A$2:$A$5000,$A50,Plan_Inputs!$B$2:$B$5000,$B$2)</f>
        <v/>
      </c>
      <c r="X50" s="43">
        <f>SUMIFS(Plan_Inputs!$D$2:$D$5000,Plan_Inputs!$A$2:$A$5000,$A50,Plan_Inputs!$B$2:$B$5000,$B$2)</f>
        <v/>
      </c>
      <c r="Y50" s="42">
        <f>E50</f>
        <v/>
      </c>
      <c r="Z50" s="44">
        <f>INDEX(Calendar!$H$5:$L$52,MATCH($A50,Calendar!$A$5:$A$52,0),MATCH($D$2,Calendar!$H$4:$L$4,0))</f>
        <v/>
      </c>
      <c r="AA50" s="44">
        <f>INDEX(Calendar!$M$5:$M$52,MATCH($A50,Calendar!$A$5:$A$52,0))</f>
        <v/>
      </c>
      <c r="AB50" s="45">
        <f>IF($D50="Actual",IFERROR(S50/Y50,""),AB38)</f>
        <v/>
      </c>
      <c r="AC50" s="46">
        <f>IF($D50="Actual",IFERROR(U50/T50/Z50/AA50,""),AC38)</f>
        <v/>
      </c>
      <c r="AD50" s="43">
        <f>IF($D50="Actual",IFERROR(V50/(U50+V50),""),AD38)</f>
        <v/>
      </c>
      <c r="AE50" s="46">
        <f>IFERROR(AC50*Z50*AA50,"")</f>
        <v/>
      </c>
      <c r="AF50" s="47">
        <f>K38</f>
        <v/>
      </c>
      <c r="AG50" s="43">
        <f>IF($D50="Forecast",IFERROR(K50/AF50-1,""),"")</f>
        <v/>
      </c>
    </row>
    <row r="51">
      <c r="A51" s="8" t="n">
        <v>46753</v>
      </c>
      <c r="B51" s="26">
        <f>YEAR(A51)</f>
        <v/>
      </c>
      <c r="C51" s="26">
        <f>MONTH(A51)</f>
        <v/>
      </c>
      <c r="D51">
        <f>IF(A51&lt;=LastActual,"Actual","Forecast")</f>
        <v/>
      </c>
      <c r="E51" s="24">
        <f>IF($D51="Actual",R51,W51)</f>
        <v/>
      </c>
      <c r="F51" s="27">
        <f>IF($D51="Actual",S51,Cases_Forecast!AP44)</f>
        <v/>
      </c>
      <c r="G51" s="9">
        <f>IF($D51="Actual",T51,IFERROR(H51/AE51,0))</f>
        <v/>
      </c>
      <c r="H51" s="24">
        <f>IF($D51="Actual",U51,J51-I51)</f>
        <v/>
      </c>
      <c r="I51" s="24">
        <f>IF($D51="Actual",V51,IFERROR(J51*AD51,0))</f>
        <v/>
      </c>
      <c r="J51" s="24">
        <f>IF($D51="Actual",U51+V51,E51*X51)</f>
        <v/>
      </c>
      <c r="K51" s="28">
        <f>IFERROR(F51/G51,0)</f>
        <v/>
      </c>
      <c r="L51" s="29">
        <f>IFERROR(H51/G51,0)</f>
        <v/>
      </c>
      <c r="M51" s="30">
        <f>IFERROR(J51/F51,0)</f>
        <v/>
      </c>
      <c r="N51" s="10">
        <f>IFERROR(J51/E51,0)</f>
        <v/>
      </c>
      <c r="O51" s="10">
        <f>IFERROR(I51/J51,0)</f>
        <v/>
      </c>
      <c r="R51" s="42">
        <f>IF($D51="Actual",SUMIFS(Data_Actuals!$C$2:$C$5000,Data_Actuals!$A$2:$A$5000,$A51,Data_Actuals!$B$2:$B$5000,$B$2),"")</f>
        <v/>
      </c>
      <c r="S51" s="42">
        <f>IF($D51="Actual",SUMIFS(Data_Actuals!$D$2:$D$5000,Data_Actuals!$A$2:$A$5000,$A51,Data_Actuals!$B$2:$B$5000,$B$2),"")</f>
        <v/>
      </c>
      <c r="T51" s="42">
        <f>IF($D51="Actual",SUMIFS(Data_Actuals!$E$2:$E$5000,Data_Actuals!$A$2:$A$5000,$A51,Data_Actuals!$B$2:$B$5000,$B$2),"")</f>
        <v/>
      </c>
      <c r="U51" s="42">
        <f>IF($D51="Actual",SUMIFS(Data_Actuals!$F$2:$F$5000,Data_Actuals!$A$2:$A$5000,$A51,Data_Actuals!$B$2:$B$5000,$B$2),"")</f>
        <v/>
      </c>
      <c r="V51" s="42">
        <f>IF($D51="Actual",SUMIFS(Data_Actuals!$G$2:$G$5000,Data_Actuals!$A$2:$A$5000,$A51,Data_Actuals!$B$2:$B$5000,$B$2),"")</f>
        <v/>
      </c>
      <c r="W51" s="42">
        <f>SUMIFS(Plan_Inputs!$C$2:$C$5000,Plan_Inputs!$A$2:$A$5000,$A51,Plan_Inputs!$B$2:$B$5000,$B$2)</f>
        <v/>
      </c>
      <c r="X51" s="43">
        <f>SUMIFS(Plan_Inputs!$D$2:$D$5000,Plan_Inputs!$A$2:$A$5000,$A51,Plan_Inputs!$B$2:$B$5000,$B$2)</f>
        <v/>
      </c>
      <c r="Y51" s="42">
        <f>E51</f>
        <v/>
      </c>
      <c r="Z51" s="44">
        <f>INDEX(Calendar!$H$5:$L$52,MATCH($A51,Calendar!$A$5:$A$52,0),MATCH($D$2,Calendar!$H$4:$L$4,0))</f>
        <v/>
      </c>
      <c r="AA51" s="44">
        <f>INDEX(Calendar!$M$5:$M$52,MATCH($A51,Calendar!$A$5:$A$52,0))</f>
        <v/>
      </c>
      <c r="AB51" s="45">
        <f>IF($D51="Actual",IFERROR(S51/Y51,""),AB39)</f>
        <v/>
      </c>
      <c r="AC51" s="46">
        <f>IF($D51="Actual",IFERROR(U51/T51/Z51/AA51,""),AC39)</f>
        <v/>
      </c>
      <c r="AD51" s="43">
        <f>IF($D51="Actual",IFERROR(V51/(U51+V51),""),AD39)</f>
        <v/>
      </c>
      <c r="AE51" s="46">
        <f>IFERROR(AC51*Z51*AA51,"")</f>
        <v/>
      </c>
      <c r="AF51" s="47">
        <f>K39</f>
        <v/>
      </c>
      <c r="AG51" s="43">
        <f>IF($D51="Forecast",IFERROR(K51/AF51-1,""),"")</f>
        <v/>
      </c>
    </row>
    <row r="52">
      <c r="A52" s="8" t="n">
        <v>46784</v>
      </c>
      <c r="B52" s="26">
        <f>YEAR(A52)</f>
        <v/>
      </c>
      <c r="C52" s="26">
        <f>MONTH(A52)</f>
        <v/>
      </c>
      <c r="D52">
        <f>IF(A52&lt;=LastActual,"Actual","Forecast")</f>
        <v/>
      </c>
      <c r="E52" s="24">
        <f>IF($D52="Actual",R52,W52)</f>
        <v/>
      </c>
      <c r="F52" s="27">
        <f>IF($D52="Actual",S52,Cases_Forecast!AP45)</f>
        <v/>
      </c>
      <c r="G52" s="9">
        <f>IF($D52="Actual",T52,IFERROR(H52/AE52,0))</f>
        <v/>
      </c>
      <c r="H52" s="24">
        <f>IF($D52="Actual",U52,J52-I52)</f>
        <v/>
      </c>
      <c r="I52" s="24">
        <f>IF($D52="Actual",V52,IFERROR(J52*AD52,0))</f>
        <v/>
      </c>
      <c r="J52" s="24">
        <f>IF($D52="Actual",U52+V52,E52*X52)</f>
        <v/>
      </c>
      <c r="K52" s="28">
        <f>IFERROR(F52/G52,0)</f>
        <v/>
      </c>
      <c r="L52" s="29">
        <f>IFERROR(H52/G52,0)</f>
        <v/>
      </c>
      <c r="M52" s="30">
        <f>IFERROR(J52/F52,0)</f>
        <v/>
      </c>
      <c r="N52" s="10">
        <f>IFERROR(J52/E52,0)</f>
        <v/>
      </c>
      <c r="O52" s="10">
        <f>IFERROR(I52/J52,0)</f>
        <v/>
      </c>
      <c r="R52" s="42">
        <f>IF($D52="Actual",SUMIFS(Data_Actuals!$C$2:$C$5000,Data_Actuals!$A$2:$A$5000,$A52,Data_Actuals!$B$2:$B$5000,$B$2),"")</f>
        <v/>
      </c>
      <c r="S52" s="42">
        <f>IF($D52="Actual",SUMIFS(Data_Actuals!$D$2:$D$5000,Data_Actuals!$A$2:$A$5000,$A52,Data_Actuals!$B$2:$B$5000,$B$2),"")</f>
        <v/>
      </c>
      <c r="T52" s="42">
        <f>IF($D52="Actual",SUMIFS(Data_Actuals!$E$2:$E$5000,Data_Actuals!$A$2:$A$5000,$A52,Data_Actuals!$B$2:$B$5000,$B$2),"")</f>
        <v/>
      </c>
      <c r="U52" s="42">
        <f>IF($D52="Actual",SUMIFS(Data_Actuals!$F$2:$F$5000,Data_Actuals!$A$2:$A$5000,$A52,Data_Actuals!$B$2:$B$5000,$B$2),"")</f>
        <v/>
      </c>
      <c r="V52" s="42">
        <f>IF($D52="Actual",SUMIFS(Data_Actuals!$G$2:$G$5000,Data_Actuals!$A$2:$A$5000,$A52,Data_Actuals!$B$2:$B$5000,$B$2),"")</f>
        <v/>
      </c>
      <c r="W52" s="42">
        <f>SUMIFS(Plan_Inputs!$C$2:$C$5000,Plan_Inputs!$A$2:$A$5000,$A52,Plan_Inputs!$B$2:$B$5000,$B$2)</f>
        <v/>
      </c>
      <c r="X52" s="43">
        <f>SUMIFS(Plan_Inputs!$D$2:$D$5000,Plan_Inputs!$A$2:$A$5000,$A52,Plan_Inputs!$B$2:$B$5000,$B$2)</f>
        <v/>
      </c>
      <c r="Y52" s="42">
        <f>E52</f>
        <v/>
      </c>
      <c r="Z52" s="44">
        <f>INDEX(Calendar!$H$5:$L$52,MATCH($A52,Calendar!$A$5:$A$52,0),MATCH($D$2,Calendar!$H$4:$L$4,0))</f>
        <v/>
      </c>
      <c r="AA52" s="44">
        <f>INDEX(Calendar!$M$5:$M$52,MATCH($A52,Calendar!$A$5:$A$52,0))</f>
        <v/>
      </c>
      <c r="AB52" s="45">
        <f>IF($D52="Actual",IFERROR(S52/Y52,""),AB40)</f>
        <v/>
      </c>
      <c r="AC52" s="46">
        <f>IF($D52="Actual",IFERROR(U52/T52/Z52/AA52,""),AC40)</f>
        <v/>
      </c>
      <c r="AD52" s="43">
        <f>IF($D52="Actual",IFERROR(V52/(U52+V52),""),AD40)</f>
        <v/>
      </c>
      <c r="AE52" s="46">
        <f>IFERROR(AC52*Z52*AA52,"")</f>
        <v/>
      </c>
      <c r="AF52" s="47">
        <f>K40</f>
        <v/>
      </c>
      <c r="AG52" s="43">
        <f>IF($D52="Forecast",IFERROR(K52/AF52-1,""),"")</f>
        <v/>
      </c>
    </row>
    <row r="53">
      <c r="A53" s="8" t="n">
        <v>46813</v>
      </c>
      <c r="B53" s="26">
        <f>YEAR(A53)</f>
        <v/>
      </c>
      <c r="C53" s="26">
        <f>MONTH(A53)</f>
        <v/>
      </c>
      <c r="D53">
        <f>IF(A53&lt;=LastActual,"Actual","Forecast")</f>
        <v/>
      </c>
      <c r="E53" s="24">
        <f>IF($D53="Actual",R53,W53)</f>
        <v/>
      </c>
      <c r="F53" s="27">
        <f>IF($D53="Actual",S53,Cases_Forecast!AP46)</f>
        <v/>
      </c>
      <c r="G53" s="9">
        <f>IF($D53="Actual",T53,IFERROR(H53/AE53,0))</f>
        <v/>
      </c>
      <c r="H53" s="24">
        <f>IF($D53="Actual",U53,J53-I53)</f>
        <v/>
      </c>
      <c r="I53" s="24">
        <f>IF($D53="Actual",V53,IFERROR(J53*AD53,0))</f>
        <v/>
      </c>
      <c r="J53" s="24">
        <f>IF($D53="Actual",U53+V53,E53*X53)</f>
        <v/>
      </c>
      <c r="K53" s="28">
        <f>IFERROR(F53/G53,0)</f>
        <v/>
      </c>
      <c r="L53" s="29">
        <f>IFERROR(H53/G53,0)</f>
        <v/>
      </c>
      <c r="M53" s="30">
        <f>IFERROR(J53/F53,0)</f>
        <v/>
      </c>
      <c r="N53" s="10">
        <f>IFERROR(J53/E53,0)</f>
        <v/>
      </c>
      <c r="O53" s="10">
        <f>IFERROR(I53/J53,0)</f>
        <v/>
      </c>
      <c r="R53" s="42">
        <f>IF($D53="Actual",SUMIFS(Data_Actuals!$C$2:$C$5000,Data_Actuals!$A$2:$A$5000,$A53,Data_Actuals!$B$2:$B$5000,$B$2),"")</f>
        <v/>
      </c>
      <c r="S53" s="42">
        <f>IF($D53="Actual",SUMIFS(Data_Actuals!$D$2:$D$5000,Data_Actuals!$A$2:$A$5000,$A53,Data_Actuals!$B$2:$B$5000,$B$2),"")</f>
        <v/>
      </c>
      <c r="T53" s="42">
        <f>IF($D53="Actual",SUMIFS(Data_Actuals!$E$2:$E$5000,Data_Actuals!$A$2:$A$5000,$A53,Data_Actuals!$B$2:$B$5000,$B$2),"")</f>
        <v/>
      </c>
      <c r="U53" s="42">
        <f>IF($D53="Actual",SUMIFS(Data_Actuals!$F$2:$F$5000,Data_Actuals!$A$2:$A$5000,$A53,Data_Actuals!$B$2:$B$5000,$B$2),"")</f>
        <v/>
      </c>
      <c r="V53" s="42">
        <f>IF($D53="Actual",SUMIFS(Data_Actuals!$G$2:$G$5000,Data_Actuals!$A$2:$A$5000,$A53,Data_Actuals!$B$2:$B$5000,$B$2),"")</f>
        <v/>
      </c>
      <c r="W53" s="42">
        <f>SUMIFS(Plan_Inputs!$C$2:$C$5000,Plan_Inputs!$A$2:$A$5000,$A53,Plan_Inputs!$B$2:$B$5000,$B$2)</f>
        <v/>
      </c>
      <c r="X53" s="43">
        <f>SUMIFS(Plan_Inputs!$D$2:$D$5000,Plan_Inputs!$A$2:$A$5000,$A53,Plan_Inputs!$B$2:$B$5000,$B$2)</f>
        <v/>
      </c>
      <c r="Y53" s="42">
        <f>E53</f>
        <v/>
      </c>
      <c r="Z53" s="44">
        <f>INDEX(Calendar!$H$5:$L$52,MATCH($A53,Calendar!$A$5:$A$52,0),MATCH($D$2,Calendar!$H$4:$L$4,0))</f>
        <v/>
      </c>
      <c r="AA53" s="44">
        <f>INDEX(Calendar!$M$5:$M$52,MATCH($A53,Calendar!$A$5:$A$52,0))</f>
        <v/>
      </c>
      <c r="AB53" s="45">
        <f>IF($D53="Actual",IFERROR(S53/Y53,""),AB41)</f>
        <v/>
      </c>
      <c r="AC53" s="46">
        <f>IF($D53="Actual",IFERROR(U53/T53/Z53/AA53,""),AC41)</f>
        <v/>
      </c>
      <c r="AD53" s="43">
        <f>IF($D53="Actual",IFERROR(V53/(U53+V53),""),AD41)</f>
        <v/>
      </c>
      <c r="AE53" s="46">
        <f>IFERROR(AC53*Z53*AA53,"")</f>
        <v/>
      </c>
      <c r="AF53" s="47">
        <f>K41</f>
        <v/>
      </c>
      <c r="AG53" s="43">
        <f>IF($D53="Forecast",IFERROR(K53/AF53-1,""),"")</f>
        <v/>
      </c>
    </row>
    <row r="54">
      <c r="A54" s="8" t="n">
        <v>46844</v>
      </c>
      <c r="B54" s="26">
        <f>YEAR(A54)</f>
        <v/>
      </c>
      <c r="C54" s="26">
        <f>MONTH(A54)</f>
        <v/>
      </c>
      <c r="D54">
        <f>IF(A54&lt;=LastActual,"Actual","Forecast")</f>
        <v/>
      </c>
      <c r="E54" s="24">
        <f>IF($D54="Actual",R54,W54)</f>
        <v/>
      </c>
      <c r="F54" s="27">
        <f>IF($D54="Actual",S54,Cases_Forecast!AP47)</f>
        <v/>
      </c>
      <c r="G54" s="9">
        <f>IF($D54="Actual",T54,IFERROR(H54/AE54,0))</f>
        <v/>
      </c>
      <c r="H54" s="24">
        <f>IF($D54="Actual",U54,J54-I54)</f>
        <v/>
      </c>
      <c r="I54" s="24">
        <f>IF($D54="Actual",V54,IFERROR(J54*AD54,0))</f>
        <v/>
      </c>
      <c r="J54" s="24">
        <f>IF($D54="Actual",U54+V54,E54*X54)</f>
        <v/>
      </c>
      <c r="K54" s="28">
        <f>IFERROR(F54/G54,0)</f>
        <v/>
      </c>
      <c r="L54" s="29">
        <f>IFERROR(H54/G54,0)</f>
        <v/>
      </c>
      <c r="M54" s="30">
        <f>IFERROR(J54/F54,0)</f>
        <v/>
      </c>
      <c r="N54" s="10">
        <f>IFERROR(J54/E54,0)</f>
        <v/>
      </c>
      <c r="O54" s="10">
        <f>IFERROR(I54/J54,0)</f>
        <v/>
      </c>
      <c r="R54" s="42">
        <f>IF($D54="Actual",SUMIFS(Data_Actuals!$C$2:$C$5000,Data_Actuals!$A$2:$A$5000,$A54,Data_Actuals!$B$2:$B$5000,$B$2),"")</f>
        <v/>
      </c>
      <c r="S54" s="42">
        <f>IF($D54="Actual",SUMIFS(Data_Actuals!$D$2:$D$5000,Data_Actuals!$A$2:$A$5000,$A54,Data_Actuals!$B$2:$B$5000,$B$2),"")</f>
        <v/>
      </c>
      <c r="T54" s="42">
        <f>IF($D54="Actual",SUMIFS(Data_Actuals!$E$2:$E$5000,Data_Actuals!$A$2:$A$5000,$A54,Data_Actuals!$B$2:$B$5000,$B$2),"")</f>
        <v/>
      </c>
      <c r="U54" s="42">
        <f>IF($D54="Actual",SUMIFS(Data_Actuals!$F$2:$F$5000,Data_Actuals!$A$2:$A$5000,$A54,Data_Actuals!$B$2:$B$5000,$B$2),"")</f>
        <v/>
      </c>
      <c r="V54" s="42">
        <f>IF($D54="Actual",SUMIFS(Data_Actuals!$G$2:$G$5000,Data_Actuals!$A$2:$A$5000,$A54,Data_Actuals!$B$2:$B$5000,$B$2),"")</f>
        <v/>
      </c>
      <c r="W54" s="42">
        <f>SUMIFS(Plan_Inputs!$C$2:$C$5000,Plan_Inputs!$A$2:$A$5000,$A54,Plan_Inputs!$B$2:$B$5000,$B$2)</f>
        <v/>
      </c>
      <c r="X54" s="43">
        <f>SUMIFS(Plan_Inputs!$D$2:$D$5000,Plan_Inputs!$A$2:$A$5000,$A54,Plan_Inputs!$B$2:$B$5000,$B$2)</f>
        <v/>
      </c>
      <c r="Y54" s="42">
        <f>E54</f>
        <v/>
      </c>
      <c r="Z54" s="44">
        <f>INDEX(Calendar!$H$5:$L$52,MATCH($A54,Calendar!$A$5:$A$52,0),MATCH($D$2,Calendar!$H$4:$L$4,0))</f>
        <v/>
      </c>
      <c r="AA54" s="44">
        <f>INDEX(Calendar!$M$5:$M$52,MATCH($A54,Calendar!$A$5:$A$52,0))</f>
        <v/>
      </c>
      <c r="AB54" s="45">
        <f>IF($D54="Actual",IFERROR(S54/Y54,""),AB42)</f>
        <v/>
      </c>
      <c r="AC54" s="46">
        <f>IF($D54="Actual",IFERROR(U54/T54/Z54/AA54,""),AC42)</f>
        <v/>
      </c>
      <c r="AD54" s="43">
        <f>IF($D54="Actual",IFERROR(V54/(U54+V54),""),AD42)</f>
        <v/>
      </c>
      <c r="AE54" s="46">
        <f>IFERROR(AC54*Z54*AA54,"")</f>
        <v/>
      </c>
      <c r="AF54" s="47">
        <f>K42</f>
        <v/>
      </c>
      <c r="AG54" s="43">
        <f>IF($D54="Forecast",IFERROR(K54/AF54-1,""),"")</f>
        <v/>
      </c>
    </row>
    <row r="55">
      <c r="A55" s="8" t="n">
        <v>46874</v>
      </c>
      <c r="B55" s="26">
        <f>YEAR(A55)</f>
        <v/>
      </c>
      <c r="C55" s="26">
        <f>MONTH(A55)</f>
        <v/>
      </c>
      <c r="D55">
        <f>IF(A55&lt;=LastActual,"Actual","Forecast")</f>
        <v/>
      </c>
      <c r="E55" s="24">
        <f>IF($D55="Actual",R55,W55)</f>
        <v/>
      </c>
      <c r="F55" s="27">
        <f>IF($D55="Actual",S55,Cases_Forecast!AP48)</f>
        <v/>
      </c>
      <c r="G55" s="9">
        <f>IF($D55="Actual",T55,IFERROR(H55/AE55,0))</f>
        <v/>
      </c>
      <c r="H55" s="24">
        <f>IF($D55="Actual",U55,J55-I55)</f>
        <v/>
      </c>
      <c r="I55" s="24">
        <f>IF($D55="Actual",V55,IFERROR(J55*AD55,0))</f>
        <v/>
      </c>
      <c r="J55" s="24">
        <f>IF($D55="Actual",U55+V55,E55*X55)</f>
        <v/>
      </c>
      <c r="K55" s="28">
        <f>IFERROR(F55/G55,0)</f>
        <v/>
      </c>
      <c r="L55" s="29">
        <f>IFERROR(H55/G55,0)</f>
        <v/>
      </c>
      <c r="M55" s="30">
        <f>IFERROR(J55/F55,0)</f>
        <v/>
      </c>
      <c r="N55" s="10">
        <f>IFERROR(J55/E55,0)</f>
        <v/>
      </c>
      <c r="O55" s="10">
        <f>IFERROR(I55/J55,0)</f>
        <v/>
      </c>
      <c r="R55" s="42">
        <f>IF($D55="Actual",SUMIFS(Data_Actuals!$C$2:$C$5000,Data_Actuals!$A$2:$A$5000,$A55,Data_Actuals!$B$2:$B$5000,$B$2),"")</f>
        <v/>
      </c>
      <c r="S55" s="42">
        <f>IF($D55="Actual",SUMIFS(Data_Actuals!$D$2:$D$5000,Data_Actuals!$A$2:$A$5000,$A55,Data_Actuals!$B$2:$B$5000,$B$2),"")</f>
        <v/>
      </c>
      <c r="T55" s="42">
        <f>IF($D55="Actual",SUMIFS(Data_Actuals!$E$2:$E$5000,Data_Actuals!$A$2:$A$5000,$A55,Data_Actuals!$B$2:$B$5000,$B$2),"")</f>
        <v/>
      </c>
      <c r="U55" s="42">
        <f>IF($D55="Actual",SUMIFS(Data_Actuals!$F$2:$F$5000,Data_Actuals!$A$2:$A$5000,$A55,Data_Actuals!$B$2:$B$5000,$B$2),"")</f>
        <v/>
      </c>
      <c r="V55" s="42">
        <f>IF($D55="Actual",SUMIFS(Data_Actuals!$G$2:$G$5000,Data_Actuals!$A$2:$A$5000,$A55,Data_Actuals!$B$2:$B$5000,$B$2),"")</f>
        <v/>
      </c>
      <c r="W55" s="42">
        <f>SUMIFS(Plan_Inputs!$C$2:$C$5000,Plan_Inputs!$A$2:$A$5000,$A55,Plan_Inputs!$B$2:$B$5000,$B$2)</f>
        <v/>
      </c>
      <c r="X55" s="43">
        <f>SUMIFS(Plan_Inputs!$D$2:$D$5000,Plan_Inputs!$A$2:$A$5000,$A55,Plan_Inputs!$B$2:$B$5000,$B$2)</f>
        <v/>
      </c>
      <c r="Y55" s="42">
        <f>E55</f>
        <v/>
      </c>
      <c r="Z55" s="44">
        <f>INDEX(Calendar!$H$5:$L$52,MATCH($A55,Calendar!$A$5:$A$52,0),MATCH($D$2,Calendar!$H$4:$L$4,0))</f>
        <v/>
      </c>
      <c r="AA55" s="44">
        <f>INDEX(Calendar!$M$5:$M$52,MATCH($A55,Calendar!$A$5:$A$52,0))</f>
        <v/>
      </c>
      <c r="AB55" s="45">
        <f>IF($D55="Actual",IFERROR(S55/Y55,""),AB43)</f>
        <v/>
      </c>
      <c r="AC55" s="46">
        <f>IF($D55="Actual",IFERROR(U55/T55/Z55/AA55,""),AC43)</f>
        <v/>
      </c>
      <c r="AD55" s="43">
        <f>IF($D55="Actual",IFERROR(V55/(U55+V55),""),AD43)</f>
        <v/>
      </c>
      <c r="AE55" s="46">
        <f>IFERROR(AC55*Z55*AA55,"")</f>
        <v/>
      </c>
      <c r="AF55" s="47">
        <f>K43</f>
        <v/>
      </c>
      <c r="AG55" s="43">
        <f>IF($D55="Forecast",IFERROR(K55/AF55-1,""),"")</f>
        <v/>
      </c>
    </row>
    <row r="56">
      <c r="A56" s="8" t="n">
        <v>46905</v>
      </c>
      <c r="B56" s="26">
        <f>YEAR(A56)</f>
        <v/>
      </c>
      <c r="C56" s="26">
        <f>MONTH(A56)</f>
        <v/>
      </c>
      <c r="D56">
        <f>IF(A56&lt;=LastActual,"Actual","Forecast")</f>
        <v/>
      </c>
      <c r="E56" s="24">
        <f>IF($D56="Actual",R56,W56)</f>
        <v/>
      </c>
      <c r="F56" s="27">
        <f>IF($D56="Actual",S56,Cases_Forecast!AP49)</f>
        <v/>
      </c>
      <c r="G56" s="9">
        <f>IF($D56="Actual",T56,IFERROR(H56/AE56,0))</f>
        <v/>
      </c>
      <c r="H56" s="24">
        <f>IF($D56="Actual",U56,J56-I56)</f>
        <v/>
      </c>
      <c r="I56" s="24">
        <f>IF($D56="Actual",V56,IFERROR(J56*AD56,0))</f>
        <v/>
      </c>
      <c r="J56" s="24">
        <f>IF($D56="Actual",U56+V56,E56*X56)</f>
        <v/>
      </c>
      <c r="K56" s="28">
        <f>IFERROR(F56/G56,0)</f>
        <v/>
      </c>
      <c r="L56" s="29">
        <f>IFERROR(H56/G56,0)</f>
        <v/>
      </c>
      <c r="M56" s="30">
        <f>IFERROR(J56/F56,0)</f>
        <v/>
      </c>
      <c r="N56" s="10">
        <f>IFERROR(J56/E56,0)</f>
        <v/>
      </c>
      <c r="O56" s="10">
        <f>IFERROR(I56/J56,0)</f>
        <v/>
      </c>
      <c r="R56" s="42">
        <f>IF($D56="Actual",SUMIFS(Data_Actuals!$C$2:$C$5000,Data_Actuals!$A$2:$A$5000,$A56,Data_Actuals!$B$2:$B$5000,$B$2),"")</f>
        <v/>
      </c>
      <c r="S56" s="42">
        <f>IF($D56="Actual",SUMIFS(Data_Actuals!$D$2:$D$5000,Data_Actuals!$A$2:$A$5000,$A56,Data_Actuals!$B$2:$B$5000,$B$2),"")</f>
        <v/>
      </c>
      <c r="T56" s="42">
        <f>IF($D56="Actual",SUMIFS(Data_Actuals!$E$2:$E$5000,Data_Actuals!$A$2:$A$5000,$A56,Data_Actuals!$B$2:$B$5000,$B$2),"")</f>
        <v/>
      </c>
      <c r="U56" s="42">
        <f>IF($D56="Actual",SUMIFS(Data_Actuals!$F$2:$F$5000,Data_Actuals!$A$2:$A$5000,$A56,Data_Actuals!$B$2:$B$5000,$B$2),"")</f>
        <v/>
      </c>
      <c r="V56" s="42">
        <f>IF($D56="Actual",SUMIFS(Data_Actuals!$G$2:$G$5000,Data_Actuals!$A$2:$A$5000,$A56,Data_Actuals!$B$2:$B$5000,$B$2),"")</f>
        <v/>
      </c>
      <c r="W56" s="42">
        <f>SUMIFS(Plan_Inputs!$C$2:$C$5000,Plan_Inputs!$A$2:$A$5000,$A56,Plan_Inputs!$B$2:$B$5000,$B$2)</f>
        <v/>
      </c>
      <c r="X56" s="43">
        <f>SUMIFS(Plan_Inputs!$D$2:$D$5000,Plan_Inputs!$A$2:$A$5000,$A56,Plan_Inputs!$B$2:$B$5000,$B$2)</f>
        <v/>
      </c>
      <c r="Y56" s="42">
        <f>E56</f>
        <v/>
      </c>
      <c r="Z56" s="44">
        <f>INDEX(Calendar!$H$5:$L$52,MATCH($A56,Calendar!$A$5:$A$52,0),MATCH($D$2,Calendar!$H$4:$L$4,0))</f>
        <v/>
      </c>
      <c r="AA56" s="44">
        <f>INDEX(Calendar!$M$5:$M$52,MATCH($A56,Calendar!$A$5:$A$52,0))</f>
        <v/>
      </c>
      <c r="AB56" s="45">
        <f>IF($D56="Actual",IFERROR(S56/Y56,""),AB44)</f>
        <v/>
      </c>
      <c r="AC56" s="46">
        <f>IF($D56="Actual",IFERROR(U56/T56/Z56/AA56,""),AC44)</f>
        <v/>
      </c>
      <c r="AD56" s="43">
        <f>IF($D56="Actual",IFERROR(V56/(U56+V56),""),AD44)</f>
        <v/>
      </c>
      <c r="AE56" s="46">
        <f>IFERROR(AC56*Z56*AA56,"")</f>
        <v/>
      </c>
      <c r="AF56" s="47">
        <f>K44</f>
        <v/>
      </c>
      <c r="AG56" s="43">
        <f>IF($D56="Forecast",IFERROR(K56/AF56-1,""),"")</f>
        <v/>
      </c>
    </row>
    <row r="57">
      <c r="A57" s="8" t="n">
        <v>46935</v>
      </c>
      <c r="B57" s="26">
        <f>YEAR(A57)</f>
        <v/>
      </c>
      <c r="C57" s="26">
        <f>MONTH(A57)</f>
        <v/>
      </c>
      <c r="D57">
        <f>IF(A57&lt;=LastActual,"Actual","Forecast")</f>
        <v/>
      </c>
      <c r="E57" s="24">
        <f>IF($D57="Actual",R57,W57)</f>
        <v/>
      </c>
      <c r="F57" s="27">
        <f>IF($D57="Actual",S57,Cases_Forecast!AP50)</f>
        <v/>
      </c>
      <c r="G57" s="9">
        <f>IF($D57="Actual",T57,IFERROR(H57/AE57,0))</f>
        <v/>
      </c>
      <c r="H57" s="24">
        <f>IF($D57="Actual",U57,J57-I57)</f>
        <v/>
      </c>
      <c r="I57" s="24">
        <f>IF($D57="Actual",V57,IFERROR(J57*AD57,0))</f>
        <v/>
      </c>
      <c r="J57" s="24">
        <f>IF($D57="Actual",U57+V57,E57*X57)</f>
        <v/>
      </c>
      <c r="K57" s="28">
        <f>IFERROR(F57/G57,0)</f>
        <v/>
      </c>
      <c r="L57" s="29">
        <f>IFERROR(H57/G57,0)</f>
        <v/>
      </c>
      <c r="M57" s="30">
        <f>IFERROR(J57/F57,0)</f>
        <v/>
      </c>
      <c r="N57" s="10">
        <f>IFERROR(J57/E57,0)</f>
        <v/>
      </c>
      <c r="O57" s="10">
        <f>IFERROR(I57/J57,0)</f>
        <v/>
      </c>
      <c r="R57" s="42">
        <f>IF($D57="Actual",SUMIFS(Data_Actuals!$C$2:$C$5000,Data_Actuals!$A$2:$A$5000,$A57,Data_Actuals!$B$2:$B$5000,$B$2),"")</f>
        <v/>
      </c>
      <c r="S57" s="42">
        <f>IF($D57="Actual",SUMIFS(Data_Actuals!$D$2:$D$5000,Data_Actuals!$A$2:$A$5000,$A57,Data_Actuals!$B$2:$B$5000,$B$2),"")</f>
        <v/>
      </c>
      <c r="T57" s="42">
        <f>IF($D57="Actual",SUMIFS(Data_Actuals!$E$2:$E$5000,Data_Actuals!$A$2:$A$5000,$A57,Data_Actuals!$B$2:$B$5000,$B$2),"")</f>
        <v/>
      </c>
      <c r="U57" s="42">
        <f>IF($D57="Actual",SUMIFS(Data_Actuals!$F$2:$F$5000,Data_Actuals!$A$2:$A$5000,$A57,Data_Actuals!$B$2:$B$5000,$B$2),"")</f>
        <v/>
      </c>
      <c r="V57" s="42">
        <f>IF($D57="Actual",SUMIFS(Data_Actuals!$G$2:$G$5000,Data_Actuals!$A$2:$A$5000,$A57,Data_Actuals!$B$2:$B$5000,$B$2),"")</f>
        <v/>
      </c>
      <c r="W57" s="42">
        <f>SUMIFS(Plan_Inputs!$C$2:$C$5000,Plan_Inputs!$A$2:$A$5000,$A57,Plan_Inputs!$B$2:$B$5000,$B$2)</f>
        <v/>
      </c>
      <c r="X57" s="43">
        <f>SUMIFS(Plan_Inputs!$D$2:$D$5000,Plan_Inputs!$A$2:$A$5000,$A57,Plan_Inputs!$B$2:$B$5000,$B$2)</f>
        <v/>
      </c>
      <c r="Y57" s="42">
        <f>E57</f>
        <v/>
      </c>
      <c r="Z57" s="44">
        <f>INDEX(Calendar!$H$5:$L$52,MATCH($A57,Calendar!$A$5:$A$52,0),MATCH($D$2,Calendar!$H$4:$L$4,0))</f>
        <v/>
      </c>
      <c r="AA57" s="44">
        <f>INDEX(Calendar!$M$5:$M$52,MATCH($A57,Calendar!$A$5:$A$52,0))</f>
        <v/>
      </c>
      <c r="AB57" s="45">
        <f>IF($D57="Actual",IFERROR(S57/Y57,""),AB45)</f>
        <v/>
      </c>
      <c r="AC57" s="46">
        <f>IF($D57="Actual",IFERROR(U57/T57/Z57/AA57,""),AC45)</f>
        <v/>
      </c>
      <c r="AD57" s="43">
        <f>IF($D57="Actual",IFERROR(V57/(U57+V57),""),AD45)</f>
        <v/>
      </c>
      <c r="AE57" s="46">
        <f>IFERROR(AC57*Z57*AA57,"")</f>
        <v/>
      </c>
      <c r="AF57" s="47">
        <f>K45</f>
        <v/>
      </c>
      <c r="AG57" s="43">
        <f>IF($D57="Forecast",IFERROR(K57/AF57-1,""),"")</f>
        <v/>
      </c>
    </row>
    <row r="58">
      <c r="A58" s="8" t="n">
        <v>46966</v>
      </c>
      <c r="B58" s="26">
        <f>YEAR(A58)</f>
        <v/>
      </c>
      <c r="C58" s="26">
        <f>MONTH(A58)</f>
        <v/>
      </c>
      <c r="D58">
        <f>IF(A58&lt;=LastActual,"Actual","Forecast")</f>
        <v/>
      </c>
      <c r="E58" s="24">
        <f>IF($D58="Actual",R58,W58)</f>
        <v/>
      </c>
      <c r="F58" s="27">
        <f>IF($D58="Actual",S58,Cases_Forecast!AP51)</f>
        <v/>
      </c>
      <c r="G58" s="9">
        <f>IF($D58="Actual",T58,IFERROR(H58/AE58,0))</f>
        <v/>
      </c>
      <c r="H58" s="24">
        <f>IF($D58="Actual",U58,J58-I58)</f>
        <v/>
      </c>
      <c r="I58" s="24">
        <f>IF($D58="Actual",V58,IFERROR(J58*AD58,0))</f>
        <v/>
      </c>
      <c r="J58" s="24">
        <f>IF($D58="Actual",U58+V58,E58*X58)</f>
        <v/>
      </c>
      <c r="K58" s="28">
        <f>IFERROR(F58/G58,0)</f>
        <v/>
      </c>
      <c r="L58" s="29">
        <f>IFERROR(H58/G58,0)</f>
        <v/>
      </c>
      <c r="M58" s="30">
        <f>IFERROR(J58/F58,0)</f>
        <v/>
      </c>
      <c r="N58" s="10">
        <f>IFERROR(J58/E58,0)</f>
        <v/>
      </c>
      <c r="O58" s="10">
        <f>IFERROR(I58/J58,0)</f>
        <v/>
      </c>
      <c r="R58" s="42">
        <f>IF($D58="Actual",SUMIFS(Data_Actuals!$C$2:$C$5000,Data_Actuals!$A$2:$A$5000,$A58,Data_Actuals!$B$2:$B$5000,$B$2),"")</f>
        <v/>
      </c>
      <c r="S58" s="42">
        <f>IF($D58="Actual",SUMIFS(Data_Actuals!$D$2:$D$5000,Data_Actuals!$A$2:$A$5000,$A58,Data_Actuals!$B$2:$B$5000,$B$2),"")</f>
        <v/>
      </c>
      <c r="T58" s="42">
        <f>IF($D58="Actual",SUMIFS(Data_Actuals!$E$2:$E$5000,Data_Actuals!$A$2:$A$5000,$A58,Data_Actuals!$B$2:$B$5000,$B$2),"")</f>
        <v/>
      </c>
      <c r="U58" s="42">
        <f>IF($D58="Actual",SUMIFS(Data_Actuals!$F$2:$F$5000,Data_Actuals!$A$2:$A$5000,$A58,Data_Actuals!$B$2:$B$5000,$B$2),"")</f>
        <v/>
      </c>
      <c r="V58" s="42">
        <f>IF($D58="Actual",SUMIFS(Data_Actuals!$G$2:$G$5000,Data_Actuals!$A$2:$A$5000,$A58,Data_Actuals!$B$2:$B$5000,$B$2),"")</f>
        <v/>
      </c>
      <c r="W58" s="42">
        <f>SUMIFS(Plan_Inputs!$C$2:$C$5000,Plan_Inputs!$A$2:$A$5000,$A58,Plan_Inputs!$B$2:$B$5000,$B$2)</f>
        <v/>
      </c>
      <c r="X58" s="43">
        <f>SUMIFS(Plan_Inputs!$D$2:$D$5000,Plan_Inputs!$A$2:$A$5000,$A58,Plan_Inputs!$B$2:$B$5000,$B$2)</f>
        <v/>
      </c>
      <c r="Y58" s="42">
        <f>E58</f>
        <v/>
      </c>
      <c r="Z58" s="44">
        <f>INDEX(Calendar!$H$5:$L$52,MATCH($A58,Calendar!$A$5:$A$52,0),MATCH($D$2,Calendar!$H$4:$L$4,0))</f>
        <v/>
      </c>
      <c r="AA58" s="44">
        <f>INDEX(Calendar!$M$5:$M$52,MATCH($A58,Calendar!$A$5:$A$52,0))</f>
        <v/>
      </c>
      <c r="AB58" s="45">
        <f>IF($D58="Actual",IFERROR(S58/Y58,""),AB46)</f>
        <v/>
      </c>
      <c r="AC58" s="46">
        <f>IF($D58="Actual",IFERROR(U58/T58/Z58/AA58,""),AC46)</f>
        <v/>
      </c>
      <c r="AD58" s="43">
        <f>IF($D58="Actual",IFERROR(V58/(U58+V58),""),AD46)</f>
        <v/>
      </c>
      <c r="AE58" s="46">
        <f>IFERROR(AC58*Z58*AA58,"")</f>
        <v/>
      </c>
      <c r="AF58" s="47">
        <f>K46</f>
        <v/>
      </c>
      <c r="AG58" s="43">
        <f>IF($D58="Forecast",IFERROR(K58/AF58-1,""),"")</f>
        <v/>
      </c>
    </row>
    <row r="59">
      <c r="A59" s="8" t="n">
        <v>46997</v>
      </c>
      <c r="B59" s="26">
        <f>YEAR(A59)</f>
        <v/>
      </c>
      <c r="C59" s="26">
        <f>MONTH(A59)</f>
        <v/>
      </c>
      <c r="D59">
        <f>IF(A59&lt;=LastActual,"Actual","Forecast")</f>
        <v/>
      </c>
      <c r="E59" s="24">
        <f>IF($D59="Actual",R59,W59)</f>
        <v/>
      </c>
      <c r="F59" s="27">
        <f>IF($D59="Actual",S59,Cases_Forecast!AP52)</f>
        <v/>
      </c>
      <c r="G59" s="9">
        <f>IF($D59="Actual",T59,IFERROR(H59/AE59,0))</f>
        <v/>
      </c>
      <c r="H59" s="24">
        <f>IF($D59="Actual",U59,J59-I59)</f>
        <v/>
      </c>
      <c r="I59" s="24">
        <f>IF($D59="Actual",V59,IFERROR(J59*AD59,0))</f>
        <v/>
      </c>
      <c r="J59" s="24">
        <f>IF($D59="Actual",U59+V59,E59*X59)</f>
        <v/>
      </c>
      <c r="K59" s="28">
        <f>IFERROR(F59/G59,0)</f>
        <v/>
      </c>
      <c r="L59" s="29">
        <f>IFERROR(H59/G59,0)</f>
        <v/>
      </c>
      <c r="M59" s="30">
        <f>IFERROR(J59/F59,0)</f>
        <v/>
      </c>
      <c r="N59" s="10">
        <f>IFERROR(J59/E59,0)</f>
        <v/>
      </c>
      <c r="O59" s="10">
        <f>IFERROR(I59/J59,0)</f>
        <v/>
      </c>
      <c r="R59" s="42">
        <f>IF($D59="Actual",SUMIFS(Data_Actuals!$C$2:$C$5000,Data_Actuals!$A$2:$A$5000,$A59,Data_Actuals!$B$2:$B$5000,$B$2),"")</f>
        <v/>
      </c>
      <c r="S59" s="42">
        <f>IF($D59="Actual",SUMIFS(Data_Actuals!$D$2:$D$5000,Data_Actuals!$A$2:$A$5000,$A59,Data_Actuals!$B$2:$B$5000,$B$2),"")</f>
        <v/>
      </c>
      <c r="T59" s="42">
        <f>IF($D59="Actual",SUMIFS(Data_Actuals!$E$2:$E$5000,Data_Actuals!$A$2:$A$5000,$A59,Data_Actuals!$B$2:$B$5000,$B$2),"")</f>
        <v/>
      </c>
      <c r="U59" s="42">
        <f>IF($D59="Actual",SUMIFS(Data_Actuals!$F$2:$F$5000,Data_Actuals!$A$2:$A$5000,$A59,Data_Actuals!$B$2:$B$5000,$B$2),"")</f>
        <v/>
      </c>
      <c r="V59" s="42">
        <f>IF($D59="Actual",SUMIFS(Data_Actuals!$G$2:$G$5000,Data_Actuals!$A$2:$A$5000,$A59,Data_Actuals!$B$2:$B$5000,$B$2),"")</f>
        <v/>
      </c>
      <c r="W59" s="42">
        <f>SUMIFS(Plan_Inputs!$C$2:$C$5000,Plan_Inputs!$A$2:$A$5000,$A59,Plan_Inputs!$B$2:$B$5000,$B$2)</f>
        <v/>
      </c>
      <c r="X59" s="43">
        <f>SUMIFS(Plan_Inputs!$D$2:$D$5000,Plan_Inputs!$A$2:$A$5000,$A59,Plan_Inputs!$B$2:$B$5000,$B$2)</f>
        <v/>
      </c>
      <c r="Y59" s="42">
        <f>E59</f>
        <v/>
      </c>
      <c r="Z59" s="44">
        <f>INDEX(Calendar!$H$5:$L$52,MATCH($A59,Calendar!$A$5:$A$52,0),MATCH($D$2,Calendar!$H$4:$L$4,0))</f>
        <v/>
      </c>
      <c r="AA59" s="44">
        <f>INDEX(Calendar!$M$5:$M$52,MATCH($A59,Calendar!$A$5:$A$52,0))</f>
        <v/>
      </c>
      <c r="AB59" s="45">
        <f>IF($D59="Actual",IFERROR(S59/Y59,""),AB47)</f>
        <v/>
      </c>
      <c r="AC59" s="46">
        <f>IF($D59="Actual",IFERROR(U59/T59/Z59/AA59,""),AC47)</f>
        <v/>
      </c>
      <c r="AD59" s="43">
        <f>IF($D59="Actual",IFERROR(V59/(U59+V59),""),AD47)</f>
        <v/>
      </c>
      <c r="AE59" s="46">
        <f>IFERROR(AC59*Z59*AA59,"")</f>
        <v/>
      </c>
      <c r="AF59" s="47">
        <f>K47</f>
        <v/>
      </c>
      <c r="AG59" s="43">
        <f>IF($D59="Forecast",IFERROR(K59/AF59-1,""),"")</f>
        <v/>
      </c>
    </row>
    <row r="60">
      <c r="A60" s="8" t="n">
        <v>47027</v>
      </c>
      <c r="B60" s="26">
        <f>YEAR(A60)</f>
        <v/>
      </c>
      <c r="C60" s="26">
        <f>MONTH(A60)</f>
        <v/>
      </c>
      <c r="D60">
        <f>IF(A60&lt;=LastActual,"Actual","Forecast")</f>
        <v/>
      </c>
      <c r="E60" s="24">
        <f>IF($D60="Actual",R60,W60)</f>
        <v/>
      </c>
      <c r="F60" s="27">
        <f>IF($D60="Actual",S60,Cases_Forecast!AP53)</f>
        <v/>
      </c>
      <c r="G60" s="9">
        <f>IF($D60="Actual",T60,IFERROR(H60/AE60,0))</f>
        <v/>
      </c>
      <c r="H60" s="24">
        <f>IF($D60="Actual",U60,J60-I60)</f>
        <v/>
      </c>
      <c r="I60" s="24">
        <f>IF($D60="Actual",V60,IFERROR(J60*AD60,0))</f>
        <v/>
      </c>
      <c r="J60" s="24">
        <f>IF($D60="Actual",U60+V60,E60*X60)</f>
        <v/>
      </c>
      <c r="K60" s="28">
        <f>IFERROR(F60/G60,0)</f>
        <v/>
      </c>
      <c r="L60" s="29">
        <f>IFERROR(H60/G60,0)</f>
        <v/>
      </c>
      <c r="M60" s="30">
        <f>IFERROR(J60/F60,0)</f>
        <v/>
      </c>
      <c r="N60" s="10">
        <f>IFERROR(J60/E60,0)</f>
        <v/>
      </c>
      <c r="O60" s="10">
        <f>IFERROR(I60/J60,0)</f>
        <v/>
      </c>
      <c r="R60" s="42">
        <f>IF($D60="Actual",SUMIFS(Data_Actuals!$C$2:$C$5000,Data_Actuals!$A$2:$A$5000,$A60,Data_Actuals!$B$2:$B$5000,$B$2),"")</f>
        <v/>
      </c>
      <c r="S60" s="42">
        <f>IF($D60="Actual",SUMIFS(Data_Actuals!$D$2:$D$5000,Data_Actuals!$A$2:$A$5000,$A60,Data_Actuals!$B$2:$B$5000,$B$2),"")</f>
        <v/>
      </c>
      <c r="T60" s="42">
        <f>IF($D60="Actual",SUMIFS(Data_Actuals!$E$2:$E$5000,Data_Actuals!$A$2:$A$5000,$A60,Data_Actuals!$B$2:$B$5000,$B$2),"")</f>
        <v/>
      </c>
      <c r="U60" s="42">
        <f>IF($D60="Actual",SUMIFS(Data_Actuals!$F$2:$F$5000,Data_Actuals!$A$2:$A$5000,$A60,Data_Actuals!$B$2:$B$5000,$B$2),"")</f>
        <v/>
      </c>
      <c r="V60" s="42">
        <f>IF($D60="Actual",SUMIFS(Data_Actuals!$G$2:$G$5000,Data_Actuals!$A$2:$A$5000,$A60,Data_Actuals!$B$2:$B$5000,$B$2),"")</f>
        <v/>
      </c>
      <c r="W60" s="42">
        <f>SUMIFS(Plan_Inputs!$C$2:$C$5000,Plan_Inputs!$A$2:$A$5000,$A60,Plan_Inputs!$B$2:$B$5000,$B$2)</f>
        <v/>
      </c>
      <c r="X60" s="43">
        <f>SUMIFS(Plan_Inputs!$D$2:$D$5000,Plan_Inputs!$A$2:$A$5000,$A60,Plan_Inputs!$B$2:$B$5000,$B$2)</f>
        <v/>
      </c>
      <c r="Y60" s="42">
        <f>E60</f>
        <v/>
      </c>
      <c r="Z60" s="44">
        <f>INDEX(Calendar!$H$5:$L$52,MATCH($A60,Calendar!$A$5:$A$52,0),MATCH($D$2,Calendar!$H$4:$L$4,0))</f>
        <v/>
      </c>
      <c r="AA60" s="44">
        <f>INDEX(Calendar!$M$5:$M$52,MATCH($A60,Calendar!$A$5:$A$52,0))</f>
        <v/>
      </c>
      <c r="AB60" s="45">
        <f>IF($D60="Actual",IFERROR(S60/Y60,""),AB48)</f>
        <v/>
      </c>
      <c r="AC60" s="46">
        <f>IF($D60="Actual",IFERROR(U60/T60/Z60/AA60,""),AC48)</f>
        <v/>
      </c>
      <c r="AD60" s="43">
        <f>IF($D60="Actual",IFERROR(V60/(U60+V60),""),AD48)</f>
        <v/>
      </c>
      <c r="AE60" s="46">
        <f>IFERROR(AC60*Z60*AA60,"")</f>
        <v/>
      </c>
      <c r="AF60" s="47">
        <f>K48</f>
        <v/>
      </c>
      <c r="AG60" s="43">
        <f>IF($D60="Forecast",IFERROR(K60/AF60-1,""),"")</f>
        <v/>
      </c>
    </row>
    <row r="61">
      <c r="A61" s="8" t="n">
        <v>47058</v>
      </c>
      <c r="B61" s="26">
        <f>YEAR(A61)</f>
        <v/>
      </c>
      <c r="C61" s="26">
        <f>MONTH(A61)</f>
        <v/>
      </c>
      <c r="D61">
        <f>IF(A61&lt;=LastActual,"Actual","Forecast")</f>
        <v/>
      </c>
      <c r="E61" s="24">
        <f>IF($D61="Actual",R61,W61)</f>
        <v/>
      </c>
      <c r="F61" s="27">
        <f>IF($D61="Actual",S61,Cases_Forecast!AP54)</f>
        <v/>
      </c>
      <c r="G61" s="9">
        <f>IF($D61="Actual",T61,IFERROR(H61/AE61,0))</f>
        <v/>
      </c>
      <c r="H61" s="24">
        <f>IF($D61="Actual",U61,J61-I61)</f>
        <v/>
      </c>
      <c r="I61" s="24">
        <f>IF($D61="Actual",V61,IFERROR(J61*AD61,0))</f>
        <v/>
      </c>
      <c r="J61" s="24">
        <f>IF($D61="Actual",U61+V61,E61*X61)</f>
        <v/>
      </c>
      <c r="K61" s="28">
        <f>IFERROR(F61/G61,0)</f>
        <v/>
      </c>
      <c r="L61" s="29">
        <f>IFERROR(H61/G61,0)</f>
        <v/>
      </c>
      <c r="M61" s="30">
        <f>IFERROR(J61/F61,0)</f>
        <v/>
      </c>
      <c r="N61" s="10">
        <f>IFERROR(J61/E61,0)</f>
        <v/>
      </c>
      <c r="O61" s="10">
        <f>IFERROR(I61/J61,0)</f>
        <v/>
      </c>
      <c r="R61" s="42">
        <f>IF($D61="Actual",SUMIFS(Data_Actuals!$C$2:$C$5000,Data_Actuals!$A$2:$A$5000,$A61,Data_Actuals!$B$2:$B$5000,$B$2),"")</f>
        <v/>
      </c>
      <c r="S61" s="42">
        <f>IF($D61="Actual",SUMIFS(Data_Actuals!$D$2:$D$5000,Data_Actuals!$A$2:$A$5000,$A61,Data_Actuals!$B$2:$B$5000,$B$2),"")</f>
        <v/>
      </c>
      <c r="T61" s="42">
        <f>IF($D61="Actual",SUMIFS(Data_Actuals!$E$2:$E$5000,Data_Actuals!$A$2:$A$5000,$A61,Data_Actuals!$B$2:$B$5000,$B$2),"")</f>
        <v/>
      </c>
      <c r="U61" s="42">
        <f>IF($D61="Actual",SUMIFS(Data_Actuals!$F$2:$F$5000,Data_Actuals!$A$2:$A$5000,$A61,Data_Actuals!$B$2:$B$5000,$B$2),"")</f>
        <v/>
      </c>
      <c r="V61" s="42">
        <f>IF($D61="Actual",SUMIFS(Data_Actuals!$G$2:$G$5000,Data_Actuals!$A$2:$A$5000,$A61,Data_Actuals!$B$2:$B$5000,$B$2),"")</f>
        <v/>
      </c>
      <c r="W61" s="42">
        <f>SUMIFS(Plan_Inputs!$C$2:$C$5000,Plan_Inputs!$A$2:$A$5000,$A61,Plan_Inputs!$B$2:$B$5000,$B$2)</f>
        <v/>
      </c>
      <c r="X61" s="43">
        <f>SUMIFS(Plan_Inputs!$D$2:$D$5000,Plan_Inputs!$A$2:$A$5000,$A61,Plan_Inputs!$B$2:$B$5000,$B$2)</f>
        <v/>
      </c>
      <c r="Y61" s="42">
        <f>E61</f>
        <v/>
      </c>
      <c r="Z61" s="44">
        <f>INDEX(Calendar!$H$5:$L$52,MATCH($A61,Calendar!$A$5:$A$52,0),MATCH($D$2,Calendar!$H$4:$L$4,0))</f>
        <v/>
      </c>
      <c r="AA61" s="44">
        <f>INDEX(Calendar!$M$5:$M$52,MATCH($A61,Calendar!$A$5:$A$52,0))</f>
        <v/>
      </c>
      <c r="AB61" s="45">
        <f>IF($D61="Actual",IFERROR(S61/Y61,""),AB49)</f>
        <v/>
      </c>
      <c r="AC61" s="46">
        <f>IF($D61="Actual",IFERROR(U61/T61/Z61/AA61,""),AC49)</f>
        <v/>
      </c>
      <c r="AD61" s="43">
        <f>IF($D61="Actual",IFERROR(V61/(U61+V61),""),AD49)</f>
        <v/>
      </c>
      <c r="AE61" s="46">
        <f>IFERROR(AC61*Z61*AA61,"")</f>
        <v/>
      </c>
      <c r="AF61" s="47">
        <f>K49</f>
        <v/>
      </c>
      <c r="AG61" s="43">
        <f>IF($D61="Forecast",IFERROR(K61/AF61-1,""),"")</f>
        <v/>
      </c>
    </row>
    <row r="62">
      <c r="A62" s="31" t="n">
        <v>47088</v>
      </c>
      <c r="B62" s="32">
        <f>YEAR(A62)</f>
        <v/>
      </c>
      <c r="C62" s="32">
        <f>MONTH(A62)</f>
        <v/>
      </c>
      <c r="D62" s="33">
        <f>IF(A62&lt;=LastActual,"Actual","Forecast")</f>
        <v/>
      </c>
      <c r="E62" s="34">
        <f>IF($D62="Actual",R62,W62)</f>
        <v/>
      </c>
      <c r="F62" s="35">
        <f>IF($D62="Actual",S62,Cases_Forecast!AP55)</f>
        <v/>
      </c>
      <c r="G62" s="36">
        <f>IF($D62="Actual",T62,IFERROR(H62/AE62,0))</f>
        <v/>
      </c>
      <c r="H62" s="34">
        <f>IF($D62="Actual",U62,J62-I62)</f>
        <v/>
      </c>
      <c r="I62" s="34">
        <f>IF($D62="Actual",V62,IFERROR(J62*AD62,0))</f>
        <v/>
      </c>
      <c r="J62" s="34">
        <f>IF($D62="Actual",U62+V62,E62*X62)</f>
        <v/>
      </c>
      <c r="K62" s="37">
        <f>IFERROR(F62/G62,0)</f>
        <v/>
      </c>
      <c r="L62" s="38">
        <f>IFERROR(H62/G62,0)</f>
        <v/>
      </c>
      <c r="M62" s="39">
        <f>IFERROR(J62/F62,0)</f>
        <v/>
      </c>
      <c r="N62" s="40">
        <f>IFERROR(J62/E62,0)</f>
        <v/>
      </c>
      <c r="O62" s="40">
        <f>IFERROR(I62/J62,0)</f>
        <v/>
      </c>
      <c r="R62" s="42">
        <f>IF($D62="Actual",SUMIFS(Data_Actuals!$C$2:$C$5000,Data_Actuals!$A$2:$A$5000,$A62,Data_Actuals!$B$2:$B$5000,$B$2),"")</f>
        <v/>
      </c>
      <c r="S62" s="42">
        <f>IF($D62="Actual",SUMIFS(Data_Actuals!$D$2:$D$5000,Data_Actuals!$A$2:$A$5000,$A62,Data_Actuals!$B$2:$B$5000,$B$2),"")</f>
        <v/>
      </c>
      <c r="T62" s="42">
        <f>IF($D62="Actual",SUMIFS(Data_Actuals!$E$2:$E$5000,Data_Actuals!$A$2:$A$5000,$A62,Data_Actuals!$B$2:$B$5000,$B$2),"")</f>
        <v/>
      </c>
      <c r="U62" s="42">
        <f>IF($D62="Actual",SUMIFS(Data_Actuals!$F$2:$F$5000,Data_Actuals!$A$2:$A$5000,$A62,Data_Actuals!$B$2:$B$5000,$B$2),"")</f>
        <v/>
      </c>
      <c r="V62" s="42">
        <f>IF($D62="Actual",SUMIFS(Data_Actuals!$G$2:$G$5000,Data_Actuals!$A$2:$A$5000,$A62,Data_Actuals!$B$2:$B$5000,$B$2),"")</f>
        <v/>
      </c>
      <c r="W62" s="42">
        <f>SUMIFS(Plan_Inputs!$C$2:$C$5000,Plan_Inputs!$A$2:$A$5000,$A62,Plan_Inputs!$B$2:$B$5000,$B$2)</f>
        <v/>
      </c>
      <c r="X62" s="43">
        <f>SUMIFS(Plan_Inputs!$D$2:$D$5000,Plan_Inputs!$A$2:$A$5000,$A62,Plan_Inputs!$B$2:$B$5000,$B$2)</f>
        <v/>
      </c>
      <c r="Y62" s="42">
        <f>E62</f>
        <v/>
      </c>
      <c r="Z62" s="44">
        <f>INDEX(Calendar!$H$5:$L$52,MATCH($A62,Calendar!$A$5:$A$52,0),MATCH($D$2,Calendar!$H$4:$L$4,0))</f>
        <v/>
      </c>
      <c r="AA62" s="44">
        <f>INDEX(Calendar!$M$5:$M$52,MATCH($A62,Calendar!$A$5:$A$52,0))</f>
        <v/>
      </c>
      <c r="AB62" s="45">
        <f>IF($D62="Actual",IFERROR(S62/Y62,""),AB50)</f>
        <v/>
      </c>
      <c r="AC62" s="46">
        <f>IF($D62="Actual",IFERROR(U62/T62/Z62/AA62,""),AC50)</f>
        <v/>
      </c>
      <c r="AD62" s="43">
        <f>IF($D62="Actual",IFERROR(V62/(U62+V62),""),AD50)</f>
        <v/>
      </c>
      <c r="AE62" s="46">
        <f>IFERROR(AC62*Z62*AA62,"")</f>
        <v/>
      </c>
      <c r="AF62" s="47">
        <f>K50</f>
        <v/>
      </c>
      <c r="AG62" s="43">
        <f>IF($D62="Forecast",IFERROR(K62/AF62-1,""),"")</f>
        <v/>
      </c>
    </row>
  </sheetData>
  <mergeCells count="3">
    <mergeCell ref="K12:O12"/>
    <mergeCell ref="R12:AG12"/>
    <mergeCell ref="E12:J12"/>
  </mergeCells>
  <conditionalFormatting sqref="A15:O62">
    <cfRule type="expression" priority="1" dxfId="4">
      <formula>$D15="Forecast"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1F3864"/>
    <outlinePr summaryBelow="1" summaryRight="1"/>
    <pageSetUpPr/>
  </sheetPr>
  <dimension ref="A1:AG62"/>
  <sheetViews>
    <sheetView workbookViewId="0">
      <pane xSplit="4" ySplit="14" topLeftCell="E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" customWidth="1" min="2" max="2"/>
    <col width="5" customWidth="1" min="3" max="3"/>
    <col width="9" customWidth="1" min="4" max="4"/>
    <col width="10" customWidth="1" min="5" max="5"/>
    <col width="10" customWidth="1" min="6" max="6"/>
    <col width="11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1" customWidth="1" min="15" max="15"/>
    <col width="2" customWidth="1" min="17" max="17"/>
    <col width="11" customWidth="1" min="18" max="18"/>
    <col width="11" customWidth="1" min="19" max="19"/>
    <col width="10" customWidth="1" min="20" max="20"/>
    <col width="11" customWidth="1" min="21" max="21"/>
    <col width="11" customWidth="1" min="22" max="22"/>
    <col width="12" customWidth="1" min="23" max="23"/>
    <col width="9" customWidth="1" min="24" max="24"/>
    <col width="12" customWidth="1" min="25" max="25"/>
    <col width="8" customWidth="1" min="26" max="26"/>
    <col width="8" customWidth="1" min="27" max="27"/>
    <col width="11" customWidth="1" min="28" max="28"/>
    <col width="12" customWidth="1" min="29" max="29"/>
    <col width="12" customWidth="1" min="30" max="30"/>
    <col width="11" customWidth="1" min="31" max="31"/>
    <col width="9" customWidth="1" min="32" max="32"/>
    <col width="9" customWidth="1" min="33" max="33"/>
  </cols>
  <sheetData>
    <row r="1">
      <c r="A1" s="2">
        <f>$B$2&amp;"  |  Region  |  WA"</f>
        <v/>
      </c>
    </row>
    <row r="2">
      <c r="A2" t="inlineStr">
        <is>
          <t>Code</t>
        </is>
      </c>
      <c r="B2" s="1">
        <f>Inputs!$A$43</f>
        <v/>
      </c>
      <c r="C2" t="inlineStr">
        <is>
          <t>State</t>
        </is>
      </c>
      <c r="D2" s="1" t="inlineStr">
        <is>
          <t>WA</t>
        </is>
      </c>
    </row>
    <row r="5" ht="45" customHeight="1">
      <c r="A5" s="5" t="inlineStr">
        <is>
          <t>FY</t>
        </is>
      </c>
      <c r="D5" s="5" t="inlineStr">
        <is>
          <t>Status</t>
        </is>
      </c>
      <c r="E5" s="5" t="inlineStr">
        <is>
          <t>Sales</t>
        </is>
      </c>
      <c r="F5" s="5" t="inlineStr">
        <is>
          <t>Cases picked</t>
        </is>
      </c>
      <c r="G5" s="5" t="inlineStr">
        <is>
          <t>WH hours worked</t>
        </is>
      </c>
      <c r="H5" s="5" t="inlineStr">
        <is>
          <t>Staff payroll</t>
        </is>
      </c>
      <c r="I5" s="5" t="inlineStr">
        <is>
          <t>Leadership payroll</t>
        </is>
      </c>
      <c r="J5" s="5" t="inlineStr">
        <is>
          <t>Total payroll</t>
        </is>
      </c>
      <c r="K5" s="5" t="inlineStr">
        <is>
          <t>CPLH (cases / hr)</t>
        </is>
      </c>
      <c r="L5" s="5" t="inlineStr">
        <is>
          <t>Cost per hour (staff)</t>
        </is>
      </c>
      <c r="M5" s="5" t="inlineStr">
        <is>
          <t>Cost per case (total payroll)</t>
        </is>
      </c>
      <c r="N5" s="5" t="inlineStr">
        <is>
          <t>Total payroll % sales</t>
        </is>
      </c>
      <c r="O5" s="5" t="inlineStr">
        <is>
          <t>Leadership % of total payroll</t>
        </is>
      </c>
    </row>
    <row r="6">
      <c r="A6" s="15" t="n">
        <v>2025</v>
      </c>
      <c r="D6" s="16">
        <f>IF(DATE(A6,12,1)&lt;=LastActual,"Actual",IF(DATE(A6,1,1)&gt;LastActual,"Forecast","Blended"))</f>
        <v/>
      </c>
      <c r="E6" s="17">
        <f>SUMIFS($E$15:$E$62,$B$15:$B$62,$A6)</f>
        <v/>
      </c>
      <c r="F6" s="18">
        <f>SUMIFS($F$15:$F$62,$B$15:$B$62,$A6)</f>
        <v/>
      </c>
      <c r="G6" s="19">
        <f>SUMIFS($G$15:$G$62,$B$15:$B$62,$A6)</f>
        <v/>
      </c>
      <c r="H6" s="17">
        <f>SUMIFS($H$15:$H$62,$B$15:$B$62,$A6)</f>
        <v/>
      </c>
      <c r="I6" s="17">
        <f>SUMIFS($I$15:$I$62,$B$15:$B$62,$A6)</f>
        <v/>
      </c>
      <c r="J6" s="17">
        <f>SUMIFS($J$15:$J$62,$B$15:$B$62,$A6)</f>
        <v/>
      </c>
      <c r="K6" s="20">
        <f>IFERROR(F6/G6,0)</f>
        <v/>
      </c>
      <c r="L6" s="21">
        <f>IFERROR(H6/G6,0)</f>
        <v/>
      </c>
      <c r="M6" s="22">
        <f>IFERROR(J6/F6,0)</f>
        <v/>
      </c>
      <c r="N6" s="23">
        <f>IFERROR(J6/E6,0)</f>
        <v/>
      </c>
      <c r="O6" s="23">
        <f>IFERROR(I6/J6,0)</f>
        <v/>
      </c>
    </row>
    <row r="7">
      <c r="A7" s="15" t="n">
        <v>2026</v>
      </c>
      <c r="D7" s="16">
        <f>IF(DATE(A7,12,1)&lt;=LastActual,"Actual",IF(DATE(A7,1,1)&gt;LastActual,"Forecast","Blended"))</f>
        <v/>
      </c>
      <c r="E7" s="17">
        <f>SUMIFS($E$15:$E$62,$B$15:$B$62,$A7)</f>
        <v/>
      </c>
      <c r="F7" s="18">
        <f>SUMIFS($F$15:$F$62,$B$15:$B$62,$A7)</f>
        <v/>
      </c>
      <c r="G7" s="19">
        <f>SUMIFS($G$15:$G$62,$B$15:$B$62,$A7)</f>
        <v/>
      </c>
      <c r="H7" s="17">
        <f>SUMIFS($H$15:$H$62,$B$15:$B$62,$A7)</f>
        <v/>
      </c>
      <c r="I7" s="17">
        <f>SUMIFS($I$15:$I$62,$B$15:$B$62,$A7)</f>
        <v/>
      </c>
      <c r="J7" s="17">
        <f>SUMIFS($J$15:$J$62,$B$15:$B$62,$A7)</f>
        <v/>
      </c>
      <c r="K7" s="20">
        <f>IFERROR(F7/G7,0)</f>
        <v/>
      </c>
      <c r="L7" s="21">
        <f>IFERROR(H7/G7,0)</f>
        <v/>
      </c>
      <c r="M7" s="22">
        <f>IFERROR(J7/F7,0)</f>
        <v/>
      </c>
      <c r="N7" s="23">
        <f>IFERROR(J7/E7,0)</f>
        <v/>
      </c>
      <c r="O7" s="23">
        <f>IFERROR(I7/J7,0)</f>
        <v/>
      </c>
    </row>
    <row r="8">
      <c r="A8" s="15" t="n">
        <v>2027</v>
      </c>
      <c r="D8" s="16">
        <f>IF(DATE(A8,12,1)&lt;=LastActual,"Actual",IF(DATE(A8,1,1)&gt;LastActual,"Forecast","Blended"))</f>
        <v/>
      </c>
      <c r="E8" s="17">
        <f>SUMIFS($E$15:$E$62,$B$15:$B$62,$A8)</f>
        <v/>
      </c>
      <c r="F8" s="18">
        <f>SUMIFS($F$15:$F$62,$B$15:$B$62,$A8)</f>
        <v/>
      </c>
      <c r="G8" s="19">
        <f>SUMIFS($G$15:$G$62,$B$15:$B$62,$A8)</f>
        <v/>
      </c>
      <c r="H8" s="17">
        <f>SUMIFS($H$15:$H$62,$B$15:$B$62,$A8)</f>
        <v/>
      </c>
      <c r="I8" s="17">
        <f>SUMIFS($I$15:$I$62,$B$15:$B$62,$A8)</f>
        <v/>
      </c>
      <c r="J8" s="17">
        <f>SUMIFS($J$15:$J$62,$B$15:$B$62,$A8)</f>
        <v/>
      </c>
      <c r="K8" s="20">
        <f>IFERROR(F8/G8,0)</f>
        <v/>
      </c>
      <c r="L8" s="21">
        <f>IFERROR(H8/G8,0)</f>
        <v/>
      </c>
      <c r="M8" s="22">
        <f>IFERROR(J8/F8,0)</f>
        <v/>
      </c>
      <c r="N8" s="23">
        <f>IFERROR(J8/E8,0)</f>
        <v/>
      </c>
      <c r="O8" s="23">
        <f>IFERROR(I8/J8,0)</f>
        <v/>
      </c>
    </row>
    <row r="9">
      <c r="A9" s="15" t="n">
        <v>2028</v>
      </c>
      <c r="D9" s="16">
        <f>IF(DATE(A9,12,1)&lt;=LastActual,"Actual",IF(DATE(A9,1,1)&gt;LastActual,"Forecast","Blended"))</f>
        <v/>
      </c>
      <c r="E9" s="17">
        <f>SUMIFS($E$15:$E$62,$B$15:$B$62,$A9)</f>
        <v/>
      </c>
      <c r="F9" s="18">
        <f>SUMIFS($F$15:$F$62,$B$15:$B$62,$A9)</f>
        <v/>
      </c>
      <c r="G9" s="19">
        <f>SUMIFS($G$15:$G$62,$B$15:$B$62,$A9)</f>
        <v/>
      </c>
      <c r="H9" s="17">
        <f>SUMIFS($H$15:$H$62,$B$15:$B$62,$A9)</f>
        <v/>
      </c>
      <c r="I9" s="17">
        <f>SUMIFS($I$15:$I$62,$B$15:$B$62,$A9)</f>
        <v/>
      </c>
      <c r="J9" s="17">
        <f>SUMIFS($J$15:$J$62,$B$15:$B$62,$A9)</f>
        <v/>
      </c>
      <c r="K9" s="20">
        <f>IFERROR(F9/G9,0)</f>
        <v/>
      </c>
      <c r="L9" s="21">
        <f>IFERROR(H9/G9,0)</f>
        <v/>
      </c>
      <c r="M9" s="22">
        <f>IFERROR(J9/F9,0)</f>
        <v/>
      </c>
      <c r="N9" s="23">
        <f>IFERROR(J9/E9,0)</f>
        <v/>
      </c>
      <c r="O9" s="23">
        <f>IFERROR(I9/J9,0)</f>
        <v/>
      </c>
    </row>
    <row r="12">
      <c r="E12" s="5" t="inlineStr">
        <is>
          <t>Drivers</t>
        </is>
      </c>
      <c r="K12" s="5" t="inlineStr">
        <is>
          <t>Metrics</t>
        </is>
      </c>
      <c r="R12" s="5" t="inlineStr">
        <is>
          <t>Helper calculations (actuals, plan, same-month-last-year rates)</t>
        </is>
      </c>
    </row>
    <row r="13" ht="60" customHeight="1">
      <c r="A13" s="5" t="inlineStr">
        <is>
          <t>Month</t>
        </is>
      </c>
      <c r="B13" s="5" t="inlineStr">
        <is>
          <t>Year</t>
        </is>
      </c>
      <c r="C13" s="5" t="inlineStr">
        <is>
          <t>Mth</t>
        </is>
      </c>
      <c r="D13" s="5" t="inlineStr">
        <is>
          <t>Status</t>
        </is>
      </c>
      <c r="E13" s="5" t="inlineStr">
        <is>
          <t>Sales</t>
        </is>
      </c>
      <c r="F13" s="5" t="inlineStr">
        <is>
          <t>Cases picked</t>
        </is>
      </c>
      <c r="G13" s="5" t="inlineStr">
        <is>
          <t>WH hours worked</t>
        </is>
      </c>
      <c r="H13" s="5" t="inlineStr">
        <is>
          <t>Staff payroll</t>
        </is>
      </c>
      <c r="I13" s="5" t="inlineStr">
        <is>
          <t>Leadership payroll</t>
        </is>
      </c>
      <c r="J13" s="5" t="inlineStr">
        <is>
          <t>Total payroll</t>
        </is>
      </c>
      <c r="K13" s="5" t="inlineStr">
        <is>
          <t>CPLH (cases / hr)</t>
        </is>
      </c>
      <c r="L13" s="5" t="inlineStr">
        <is>
          <t>Cost per hour (staff)</t>
        </is>
      </c>
      <c r="M13" s="5" t="inlineStr">
        <is>
          <t>Cost per case (total payroll)</t>
        </is>
      </c>
      <c r="N13" s="5" t="inlineStr">
        <is>
          <t>Total payroll % sales</t>
        </is>
      </c>
      <c r="O13" s="5" t="inlineStr">
        <is>
          <t>Leadership % of total payroll</t>
        </is>
      </c>
      <c r="R13" s="41" t="inlineStr">
        <is>
          <t>Act sales</t>
        </is>
      </c>
      <c r="S13" s="41" t="inlineStr">
        <is>
          <t>Act cases</t>
        </is>
      </c>
      <c r="T13" s="41" t="inlineStr">
        <is>
          <t>Act hours</t>
        </is>
      </c>
      <c r="U13" s="41" t="inlineStr">
        <is>
          <t>Act staff $</t>
        </is>
      </c>
      <c r="V13" s="41" t="inlineStr">
        <is>
          <t>Act leadership $</t>
        </is>
      </c>
      <c r="W13" s="41" t="inlineStr">
        <is>
          <t>Plan sales</t>
        </is>
      </c>
      <c r="X13" s="41" t="inlineStr">
        <is>
          <t>Plan payroll %</t>
        </is>
      </c>
      <c r="Y13" s="41" t="inlineStr">
        <is>
          <t>Volume driver sales</t>
        </is>
      </c>
      <c r="Z13" s="41" t="inlineStr">
        <is>
          <t>PH factor</t>
        </is>
      </c>
      <c r="AA13" s="41" t="inlineStr">
        <is>
          <t>Wage index</t>
        </is>
      </c>
      <c r="AB13" s="41" t="inlineStr">
        <is>
          <t>Cases per $ (actual, else same month LY)</t>
        </is>
      </c>
      <c r="AC13" s="41" t="inlineStr">
        <is>
          <t>Cost per hour ex PH &amp; wage (actual, else same month LY)</t>
        </is>
      </c>
      <c r="AD13" s="41" t="inlineStr">
        <is>
          <t>Leadership share of total payroll (actual, else same month LY)</t>
        </is>
      </c>
      <c r="AE13" s="41" t="inlineStr">
        <is>
          <t>Fcst cost per hour (AC x PH x wage)</t>
        </is>
      </c>
      <c r="AF13" s="41" t="inlineStr">
        <is>
          <t>LY CPLH (same month)</t>
        </is>
      </c>
      <c r="AG13" s="41" t="inlineStr">
        <is>
          <t>Fcst CPLH vs LY</t>
        </is>
      </c>
    </row>
    <row r="14">
      <c r="E14" s="25" t="inlineStr">
        <is>
          <t>$m</t>
        </is>
      </c>
      <c r="F14" s="25" t="inlineStr">
        <is>
          <t>m</t>
        </is>
      </c>
      <c r="G14" s="25" t="inlineStr">
        <is>
          <t>#</t>
        </is>
      </c>
      <c r="H14" s="25" t="inlineStr">
        <is>
          <t>$m</t>
        </is>
      </c>
      <c r="I14" s="25" t="inlineStr">
        <is>
          <t>$m</t>
        </is>
      </c>
      <c r="J14" s="25" t="inlineStr">
        <is>
          <t>$m</t>
        </is>
      </c>
      <c r="K14" s="25" t="inlineStr">
        <is>
          <t>#</t>
        </is>
      </c>
      <c r="L14" s="25" t="inlineStr">
        <is>
          <t>$</t>
        </is>
      </c>
      <c r="M14" s="25" t="inlineStr">
        <is>
          <t>$</t>
        </is>
      </c>
      <c r="N14" s="25" t="inlineStr">
        <is>
          <t>%</t>
        </is>
      </c>
      <c r="O14" s="25" t="inlineStr">
        <is>
          <t>%</t>
        </is>
      </c>
    </row>
    <row r="15">
      <c r="A15" s="8" t="n">
        <v>45658</v>
      </c>
      <c r="B15" s="26">
        <f>YEAR(A15)</f>
        <v/>
      </c>
      <c r="C15" s="26">
        <f>MONTH(A15)</f>
        <v/>
      </c>
      <c r="D15">
        <f>IF(A15&lt;=LastActual,"Actual","Forecast")</f>
        <v/>
      </c>
      <c r="E15" s="24">
        <f>IF($D15="Actual",R15,W15)</f>
        <v/>
      </c>
      <c r="F15" s="27">
        <f>IF($D15="Actual",S15,Cases_Forecast!AQ8)</f>
        <v/>
      </c>
      <c r="G15" s="9">
        <f>IF($D15="Actual",T15,IFERROR(H15/AE15,0))</f>
        <v/>
      </c>
      <c r="H15" s="24">
        <f>IF($D15="Actual",U15,J15-I15)</f>
        <v/>
      </c>
      <c r="I15" s="24">
        <f>IF($D15="Actual",V15,IFERROR(J15*AD15,0))</f>
        <v/>
      </c>
      <c r="J15" s="24">
        <f>IF($D15="Actual",U15+V15,E15*X15)</f>
        <v/>
      </c>
      <c r="K15" s="28">
        <f>IFERROR(F15/G15,0)</f>
        <v/>
      </c>
      <c r="L15" s="29">
        <f>IFERROR(H15/G15,0)</f>
        <v/>
      </c>
      <c r="M15" s="30">
        <f>IFERROR(J15/F15,0)</f>
        <v/>
      </c>
      <c r="N15" s="10">
        <f>IFERROR(J15/E15,0)</f>
        <v/>
      </c>
      <c r="O15" s="10">
        <f>IFERROR(I15/J15,0)</f>
        <v/>
      </c>
      <c r="R15" s="42">
        <f>IF($D15="Actual",SUMIFS(Data_Actuals!$C$2:$C$5000,Data_Actuals!$A$2:$A$5000,$A15,Data_Actuals!$B$2:$B$5000,$B$2),"")</f>
        <v/>
      </c>
      <c r="S15" s="42">
        <f>IF($D15="Actual",SUMIFS(Data_Actuals!$D$2:$D$5000,Data_Actuals!$A$2:$A$5000,$A15,Data_Actuals!$B$2:$B$5000,$B$2),"")</f>
        <v/>
      </c>
      <c r="T15" s="42">
        <f>IF($D15="Actual",SUMIFS(Data_Actuals!$E$2:$E$5000,Data_Actuals!$A$2:$A$5000,$A15,Data_Actuals!$B$2:$B$5000,$B$2),"")</f>
        <v/>
      </c>
      <c r="U15" s="42">
        <f>IF($D15="Actual",SUMIFS(Data_Actuals!$F$2:$F$5000,Data_Actuals!$A$2:$A$5000,$A15,Data_Actuals!$B$2:$B$5000,$B$2),"")</f>
        <v/>
      </c>
      <c r="V15" s="42">
        <f>IF($D15="Actual",SUMIFS(Data_Actuals!$G$2:$G$5000,Data_Actuals!$A$2:$A$5000,$A15,Data_Actuals!$B$2:$B$5000,$B$2),"")</f>
        <v/>
      </c>
      <c r="W15" s="42">
        <f>SUMIFS(Plan_Inputs!$C$2:$C$5000,Plan_Inputs!$A$2:$A$5000,$A15,Plan_Inputs!$B$2:$B$5000,$B$2)</f>
        <v/>
      </c>
      <c r="X15" s="43">
        <f>SUMIFS(Plan_Inputs!$D$2:$D$5000,Plan_Inputs!$A$2:$A$5000,$A15,Plan_Inputs!$B$2:$B$5000,$B$2)</f>
        <v/>
      </c>
      <c r="Y15" s="42">
        <f>E15</f>
        <v/>
      </c>
      <c r="Z15" s="44">
        <f>INDEX(Calendar!$H$5:$L$52,MATCH($A15,Calendar!$A$5:$A$52,0),MATCH($D$2,Calendar!$H$4:$L$4,0))</f>
        <v/>
      </c>
      <c r="AA15" s="44">
        <f>INDEX(Calendar!$M$5:$M$52,MATCH($A15,Calendar!$A$5:$A$52,0))</f>
        <v/>
      </c>
      <c r="AB15" s="45">
        <f>IF($D15="Actual",IFERROR(S15/Y15,""),"")</f>
        <v/>
      </c>
      <c r="AC15" s="46">
        <f>IF($D15="Actual",IFERROR(U15/T15/Z15/AA15,""),"")</f>
        <v/>
      </c>
      <c r="AD15" s="43">
        <f>IF($D15="Actual",IFERROR(V15/(U15+V15),""),"")</f>
        <v/>
      </c>
      <c r="AE15" s="46">
        <f>IFERROR(AC15*Z15*AA15,"")</f>
        <v/>
      </c>
      <c r="AF15" s="47" t="n"/>
      <c r="AG15" s="43">
        <f>IF($D15="Forecast",IFERROR(K15/AF15-1,""),"")</f>
        <v/>
      </c>
    </row>
    <row r="16">
      <c r="A16" s="8" t="n">
        <v>45689</v>
      </c>
      <c r="B16" s="26">
        <f>YEAR(A16)</f>
        <v/>
      </c>
      <c r="C16" s="26">
        <f>MONTH(A16)</f>
        <v/>
      </c>
      <c r="D16">
        <f>IF(A16&lt;=LastActual,"Actual","Forecast")</f>
        <v/>
      </c>
      <c r="E16" s="24">
        <f>IF($D16="Actual",R16,W16)</f>
        <v/>
      </c>
      <c r="F16" s="27">
        <f>IF($D16="Actual",S16,Cases_Forecast!AQ9)</f>
        <v/>
      </c>
      <c r="G16" s="9">
        <f>IF($D16="Actual",T16,IFERROR(H16/AE16,0))</f>
        <v/>
      </c>
      <c r="H16" s="24">
        <f>IF($D16="Actual",U16,J16-I16)</f>
        <v/>
      </c>
      <c r="I16" s="24">
        <f>IF($D16="Actual",V16,IFERROR(J16*AD16,0))</f>
        <v/>
      </c>
      <c r="J16" s="24">
        <f>IF($D16="Actual",U16+V16,E16*X16)</f>
        <v/>
      </c>
      <c r="K16" s="28">
        <f>IFERROR(F16/G16,0)</f>
        <v/>
      </c>
      <c r="L16" s="29">
        <f>IFERROR(H16/G16,0)</f>
        <v/>
      </c>
      <c r="M16" s="30">
        <f>IFERROR(J16/F16,0)</f>
        <v/>
      </c>
      <c r="N16" s="10">
        <f>IFERROR(J16/E16,0)</f>
        <v/>
      </c>
      <c r="O16" s="10">
        <f>IFERROR(I16/J16,0)</f>
        <v/>
      </c>
      <c r="R16" s="42">
        <f>IF($D16="Actual",SUMIFS(Data_Actuals!$C$2:$C$5000,Data_Actuals!$A$2:$A$5000,$A16,Data_Actuals!$B$2:$B$5000,$B$2),"")</f>
        <v/>
      </c>
      <c r="S16" s="42">
        <f>IF($D16="Actual",SUMIFS(Data_Actuals!$D$2:$D$5000,Data_Actuals!$A$2:$A$5000,$A16,Data_Actuals!$B$2:$B$5000,$B$2),"")</f>
        <v/>
      </c>
      <c r="T16" s="42">
        <f>IF($D16="Actual",SUMIFS(Data_Actuals!$E$2:$E$5000,Data_Actuals!$A$2:$A$5000,$A16,Data_Actuals!$B$2:$B$5000,$B$2),"")</f>
        <v/>
      </c>
      <c r="U16" s="42">
        <f>IF($D16="Actual",SUMIFS(Data_Actuals!$F$2:$F$5000,Data_Actuals!$A$2:$A$5000,$A16,Data_Actuals!$B$2:$B$5000,$B$2),"")</f>
        <v/>
      </c>
      <c r="V16" s="42">
        <f>IF($D16="Actual",SUMIFS(Data_Actuals!$G$2:$G$5000,Data_Actuals!$A$2:$A$5000,$A16,Data_Actuals!$B$2:$B$5000,$B$2),"")</f>
        <v/>
      </c>
      <c r="W16" s="42">
        <f>SUMIFS(Plan_Inputs!$C$2:$C$5000,Plan_Inputs!$A$2:$A$5000,$A16,Plan_Inputs!$B$2:$B$5000,$B$2)</f>
        <v/>
      </c>
      <c r="X16" s="43">
        <f>SUMIFS(Plan_Inputs!$D$2:$D$5000,Plan_Inputs!$A$2:$A$5000,$A16,Plan_Inputs!$B$2:$B$5000,$B$2)</f>
        <v/>
      </c>
      <c r="Y16" s="42">
        <f>E16</f>
        <v/>
      </c>
      <c r="Z16" s="44">
        <f>INDEX(Calendar!$H$5:$L$52,MATCH($A16,Calendar!$A$5:$A$52,0),MATCH($D$2,Calendar!$H$4:$L$4,0))</f>
        <v/>
      </c>
      <c r="AA16" s="44">
        <f>INDEX(Calendar!$M$5:$M$52,MATCH($A16,Calendar!$A$5:$A$52,0))</f>
        <v/>
      </c>
      <c r="AB16" s="45">
        <f>IF($D16="Actual",IFERROR(S16/Y16,""),"")</f>
        <v/>
      </c>
      <c r="AC16" s="46">
        <f>IF($D16="Actual",IFERROR(U16/T16/Z16/AA16,""),"")</f>
        <v/>
      </c>
      <c r="AD16" s="43">
        <f>IF($D16="Actual",IFERROR(V16/(U16+V16),""),"")</f>
        <v/>
      </c>
      <c r="AE16" s="46">
        <f>IFERROR(AC16*Z16*AA16,"")</f>
        <v/>
      </c>
      <c r="AF16" s="47" t="n"/>
      <c r="AG16" s="43">
        <f>IF($D16="Forecast",IFERROR(K16/AF16-1,""),"")</f>
        <v/>
      </c>
    </row>
    <row r="17">
      <c r="A17" s="8" t="n">
        <v>45717</v>
      </c>
      <c r="B17" s="26">
        <f>YEAR(A17)</f>
        <v/>
      </c>
      <c r="C17" s="26">
        <f>MONTH(A17)</f>
        <v/>
      </c>
      <c r="D17">
        <f>IF(A17&lt;=LastActual,"Actual","Forecast")</f>
        <v/>
      </c>
      <c r="E17" s="24">
        <f>IF($D17="Actual",R17,W17)</f>
        <v/>
      </c>
      <c r="F17" s="27">
        <f>IF($D17="Actual",S17,Cases_Forecast!AQ10)</f>
        <v/>
      </c>
      <c r="G17" s="9">
        <f>IF($D17="Actual",T17,IFERROR(H17/AE17,0))</f>
        <v/>
      </c>
      <c r="H17" s="24">
        <f>IF($D17="Actual",U17,J17-I17)</f>
        <v/>
      </c>
      <c r="I17" s="24">
        <f>IF($D17="Actual",V17,IFERROR(J17*AD17,0))</f>
        <v/>
      </c>
      <c r="J17" s="24">
        <f>IF($D17="Actual",U17+V17,E17*X17)</f>
        <v/>
      </c>
      <c r="K17" s="28">
        <f>IFERROR(F17/G17,0)</f>
        <v/>
      </c>
      <c r="L17" s="29">
        <f>IFERROR(H17/G17,0)</f>
        <v/>
      </c>
      <c r="M17" s="30">
        <f>IFERROR(J17/F17,0)</f>
        <v/>
      </c>
      <c r="N17" s="10">
        <f>IFERROR(J17/E17,0)</f>
        <v/>
      </c>
      <c r="O17" s="10">
        <f>IFERROR(I17/J17,0)</f>
        <v/>
      </c>
      <c r="R17" s="42">
        <f>IF($D17="Actual",SUMIFS(Data_Actuals!$C$2:$C$5000,Data_Actuals!$A$2:$A$5000,$A17,Data_Actuals!$B$2:$B$5000,$B$2),"")</f>
        <v/>
      </c>
      <c r="S17" s="42">
        <f>IF($D17="Actual",SUMIFS(Data_Actuals!$D$2:$D$5000,Data_Actuals!$A$2:$A$5000,$A17,Data_Actuals!$B$2:$B$5000,$B$2),"")</f>
        <v/>
      </c>
      <c r="T17" s="42">
        <f>IF($D17="Actual",SUMIFS(Data_Actuals!$E$2:$E$5000,Data_Actuals!$A$2:$A$5000,$A17,Data_Actuals!$B$2:$B$5000,$B$2),"")</f>
        <v/>
      </c>
      <c r="U17" s="42">
        <f>IF($D17="Actual",SUMIFS(Data_Actuals!$F$2:$F$5000,Data_Actuals!$A$2:$A$5000,$A17,Data_Actuals!$B$2:$B$5000,$B$2),"")</f>
        <v/>
      </c>
      <c r="V17" s="42">
        <f>IF($D17="Actual",SUMIFS(Data_Actuals!$G$2:$G$5000,Data_Actuals!$A$2:$A$5000,$A17,Data_Actuals!$B$2:$B$5000,$B$2),"")</f>
        <v/>
      </c>
      <c r="W17" s="42">
        <f>SUMIFS(Plan_Inputs!$C$2:$C$5000,Plan_Inputs!$A$2:$A$5000,$A17,Plan_Inputs!$B$2:$B$5000,$B$2)</f>
        <v/>
      </c>
      <c r="X17" s="43">
        <f>SUMIFS(Plan_Inputs!$D$2:$D$5000,Plan_Inputs!$A$2:$A$5000,$A17,Plan_Inputs!$B$2:$B$5000,$B$2)</f>
        <v/>
      </c>
      <c r="Y17" s="42">
        <f>E17</f>
        <v/>
      </c>
      <c r="Z17" s="44">
        <f>INDEX(Calendar!$H$5:$L$52,MATCH($A17,Calendar!$A$5:$A$52,0),MATCH($D$2,Calendar!$H$4:$L$4,0))</f>
        <v/>
      </c>
      <c r="AA17" s="44">
        <f>INDEX(Calendar!$M$5:$M$52,MATCH($A17,Calendar!$A$5:$A$52,0))</f>
        <v/>
      </c>
      <c r="AB17" s="45">
        <f>IF($D17="Actual",IFERROR(S17/Y17,""),"")</f>
        <v/>
      </c>
      <c r="AC17" s="46">
        <f>IF($D17="Actual",IFERROR(U17/T17/Z17/AA17,""),"")</f>
        <v/>
      </c>
      <c r="AD17" s="43">
        <f>IF($D17="Actual",IFERROR(V17/(U17+V17),""),"")</f>
        <v/>
      </c>
      <c r="AE17" s="46">
        <f>IFERROR(AC17*Z17*AA17,"")</f>
        <v/>
      </c>
      <c r="AF17" s="47" t="n"/>
      <c r="AG17" s="43">
        <f>IF($D17="Forecast",IFERROR(K17/AF17-1,""),"")</f>
        <v/>
      </c>
    </row>
    <row r="18">
      <c r="A18" s="8" t="n">
        <v>45748</v>
      </c>
      <c r="B18" s="26">
        <f>YEAR(A18)</f>
        <v/>
      </c>
      <c r="C18" s="26">
        <f>MONTH(A18)</f>
        <v/>
      </c>
      <c r="D18">
        <f>IF(A18&lt;=LastActual,"Actual","Forecast")</f>
        <v/>
      </c>
      <c r="E18" s="24">
        <f>IF($D18="Actual",R18,W18)</f>
        <v/>
      </c>
      <c r="F18" s="27">
        <f>IF($D18="Actual",S18,Cases_Forecast!AQ11)</f>
        <v/>
      </c>
      <c r="G18" s="9">
        <f>IF($D18="Actual",T18,IFERROR(H18/AE18,0))</f>
        <v/>
      </c>
      <c r="H18" s="24">
        <f>IF($D18="Actual",U18,J18-I18)</f>
        <v/>
      </c>
      <c r="I18" s="24">
        <f>IF($D18="Actual",V18,IFERROR(J18*AD18,0))</f>
        <v/>
      </c>
      <c r="J18" s="24">
        <f>IF($D18="Actual",U18+V18,E18*X18)</f>
        <v/>
      </c>
      <c r="K18" s="28">
        <f>IFERROR(F18/G18,0)</f>
        <v/>
      </c>
      <c r="L18" s="29">
        <f>IFERROR(H18/G18,0)</f>
        <v/>
      </c>
      <c r="M18" s="30">
        <f>IFERROR(J18/F18,0)</f>
        <v/>
      </c>
      <c r="N18" s="10">
        <f>IFERROR(J18/E18,0)</f>
        <v/>
      </c>
      <c r="O18" s="10">
        <f>IFERROR(I18/J18,0)</f>
        <v/>
      </c>
      <c r="R18" s="42">
        <f>IF($D18="Actual",SUMIFS(Data_Actuals!$C$2:$C$5000,Data_Actuals!$A$2:$A$5000,$A18,Data_Actuals!$B$2:$B$5000,$B$2),"")</f>
        <v/>
      </c>
      <c r="S18" s="42">
        <f>IF($D18="Actual",SUMIFS(Data_Actuals!$D$2:$D$5000,Data_Actuals!$A$2:$A$5000,$A18,Data_Actuals!$B$2:$B$5000,$B$2),"")</f>
        <v/>
      </c>
      <c r="T18" s="42">
        <f>IF($D18="Actual",SUMIFS(Data_Actuals!$E$2:$E$5000,Data_Actuals!$A$2:$A$5000,$A18,Data_Actuals!$B$2:$B$5000,$B$2),"")</f>
        <v/>
      </c>
      <c r="U18" s="42">
        <f>IF($D18="Actual",SUMIFS(Data_Actuals!$F$2:$F$5000,Data_Actuals!$A$2:$A$5000,$A18,Data_Actuals!$B$2:$B$5000,$B$2),"")</f>
        <v/>
      </c>
      <c r="V18" s="42">
        <f>IF($D18="Actual",SUMIFS(Data_Actuals!$G$2:$G$5000,Data_Actuals!$A$2:$A$5000,$A18,Data_Actuals!$B$2:$B$5000,$B$2),"")</f>
        <v/>
      </c>
      <c r="W18" s="42">
        <f>SUMIFS(Plan_Inputs!$C$2:$C$5000,Plan_Inputs!$A$2:$A$5000,$A18,Plan_Inputs!$B$2:$B$5000,$B$2)</f>
        <v/>
      </c>
      <c r="X18" s="43">
        <f>SUMIFS(Plan_Inputs!$D$2:$D$5000,Plan_Inputs!$A$2:$A$5000,$A18,Plan_Inputs!$B$2:$B$5000,$B$2)</f>
        <v/>
      </c>
      <c r="Y18" s="42">
        <f>E18</f>
        <v/>
      </c>
      <c r="Z18" s="44">
        <f>INDEX(Calendar!$H$5:$L$52,MATCH($A18,Calendar!$A$5:$A$52,0),MATCH($D$2,Calendar!$H$4:$L$4,0))</f>
        <v/>
      </c>
      <c r="AA18" s="44">
        <f>INDEX(Calendar!$M$5:$M$52,MATCH($A18,Calendar!$A$5:$A$52,0))</f>
        <v/>
      </c>
      <c r="AB18" s="45">
        <f>IF($D18="Actual",IFERROR(S18/Y18,""),"")</f>
        <v/>
      </c>
      <c r="AC18" s="46">
        <f>IF($D18="Actual",IFERROR(U18/T18/Z18/AA18,""),"")</f>
        <v/>
      </c>
      <c r="AD18" s="43">
        <f>IF($D18="Actual",IFERROR(V18/(U18+V18),""),"")</f>
        <v/>
      </c>
      <c r="AE18" s="46">
        <f>IFERROR(AC18*Z18*AA18,"")</f>
        <v/>
      </c>
      <c r="AF18" s="47" t="n"/>
      <c r="AG18" s="43">
        <f>IF($D18="Forecast",IFERROR(K18/AF18-1,""),"")</f>
        <v/>
      </c>
    </row>
    <row r="19">
      <c r="A19" s="8" t="n">
        <v>45778</v>
      </c>
      <c r="B19" s="26">
        <f>YEAR(A19)</f>
        <v/>
      </c>
      <c r="C19" s="26">
        <f>MONTH(A19)</f>
        <v/>
      </c>
      <c r="D19">
        <f>IF(A19&lt;=LastActual,"Actual","Forecast")</f>
        <v/>
      </c>
      <c r="E19" s="24">
        <f>IF($D19="Actual",R19,W19)</f>
        <v/>
      </c>
      <c r="F19" s="27">
        <f>IF($D19="Actual",S19,Cases_Forecast!AQ12)</f>
        <v/>
      </c>
      <c r="G19" s="9">
        <f>IF($D19="Actual",T19,IFERROR(H19/AE19,0))</f>
        <v/>
      </c>
      <c r="H19" s="24">
        <f>IF($D19="Actual",U19,J19-I19)</f>
        <v/>
      </c>
      <c r="I19" s="24">
        <f>IF($D19="Actual",V19,IFERROR(J19*AD19,0))</f>
        <v/>
      </c>
      <c r="J19" s="24">
        <f>IF($D19="Actual",U19+V19,E19*X19)</f>
        <v/>
      </c>
      <c r="K19" s="28">
        <f>IFERROR(F19/G19,0)</f>
        <v/>
      </c>
      <c r="L19" s="29">
        <f>IFERROR(H19/G19,0)</f>
        <v/>
      </c>
      <c r="M19" s="30">
        <f>IFERROR(J19/F19,0)</f>
        <v/>
      </c>
      <c r="N19" s="10">
        <f>IFERROR(J19/E19,0)</f>
        <v/>
      </c>
      <c r="O19" s="10">
        <f>IFERROR(I19/J19,0)</f>
        <v/>
      </c>
      <c r="R19" s="42">
        <f>IF($D19="Actual",SUMIFS(Data_Actuals!$C$2:$C$5000,Data_Actuals!$A$2:$A$5000,$A19,Data_Actuals!$B$2:$B$5000,$B$2),"")</f>
        <v/>
      </c>
      <c r="S19" s="42">
        <f>IF($D19="Actual",SUMIFS(Data_Actuals!$D$2:$D$5000,Data_Actuals!$A$2:$A$5000,$A19,Data_Actuals!$B$2:$B$5000,$B$2),"")</f>
        <v/>
      </c>
      <c r="T19" s="42">
        <f>IF($D19="Actual",SUMIFS(Data_Actuals!$E$2:$E$5000,Data_Actuals!$A$2:$A$5000,$A19,Data_Actuals!$B$2:$B$5000,$B$2),"")</f>
        <v/>
      </c>
      <c r="U19" s="42">
        <f>IF($D19="Actual",SUMIFS(Data_Actuals!$F$2:$F$5000,Data_Actuals!$A$2:$A$5000,$A19,Data_Actuals!$B$2:$B$5000,$B$2),"")</f>
        <v/>
      </c>
      <c r="V19" s="42">
        <f>IF($D19="Actual",SUMIFS(Data_Actuals!$G$2:$G$5000,Data_Actuals!$A$2:$A$5000,$A19,Data_Actuals!$B$2:$B$5000,$B$2),"")</f>
        <v/>
      </c>
      <c r="W19" s="42">
        <f>SUMIFS(Plan_Inputs!$C$2:$C$5000,Plan_Inputs!$A$2:$A$5000,$A19,Plan_Inputs!$B$2:$B$5000,$B$2)</f>
        <v/>
      </c>
      <c r="X19" s="43">
        <f>SUMIFS(Plan_Inputs!$D$2:$D$5000,Plan_Inputs!$A$2:$A$5000,$A19,Plan_Inputs!$B$2:$B$5000,$B$2)</f>
        <v/>
      </c>
      <c r="Y19" s="42">
        <f>E19</f>
        <v/>
      </c>
      <c r="Z19" s="44">
        <f>INDEX(Calendar!$H$5:$L$52,MATCH($A19,Calendar!$A$5:$A$52,0),MATCH($D$2,Calendar!$H$4:$L$4,0))</f>
        <v/>
      </c>
      <c r="AA19" s="44">
        <f>INDEX(Calendar!$M$5:$M$52,MATCH($A19,Calendar!$A$5:$A$52,0))</f>
        <v/>
      </c>
      <c r="AB19" s="45">
        <f>IF($D19="Actual",IFERROR(S19/Y19,""),"")</f>
        <v/>
      </c>
      <c r="AC19" s="46">
        <f>IF($D19="Actual",IFERROR(U19/T19/Z19/AA19,""),"")</f>
        <v/>
      </c>
      <c r="AD19" s="43">
        <f>IF($D19="Actual",IFERROR(V19/(U19+V19),""),"")</f>
        <v/>
      </c>
      <c r="AE19" s="46">
        <f>IFERROR(AC19*Z19*AA19,"")</f>
        <v/>
      </c>
      <c r="AF19" s="47" t="n"/>
      <c r="AG19" s="43">
        <f>IF($D19="Forecast",IFERROR(K19/AF19-1,""),"")</f>
        <v/>
      </c>
    </row>
    <row r="20">
      <c r="A20" s="8" t="n">
        <v>45809</v>
      </c>
      <c r="B20" s="26">
        <f>YEAR(A20)</f>
        <v/>
      </c>
      <c r="C20" s="26">
        <f>MONTH(A20)</f>
        <v/>
      </c>
      <c r="D20">
        <f>IF(A20&lt;=LastActual,"Actual","Forecast")</f>
        <v/>
      </c>
      <c r="E20" s="24">
        <f>IF($D20="Actual",R20,W20)</f>
        <v/>
      </c>
      <c r="F20" s="27">
        <f>IF($D20="Actual",S20,Cases_Forecast!AQ13)</f>
        <v/>
      </c>
      <c r="G20" s="9">
        <f>IF($D20="Actual",T20,IFERROR(H20/AE20,0))</f>
        <v/>
      </c>
      <c r="H20" s="24">
        <f>IF($D20="Actual",U20,J20-I20)</f>
        <v/>
      </c>
      <c r="I20" s="24">
        <f>IF($D20="Actual",V20,IFERROR(J20*AD20,0))</f>
        <v/>
      </c>
      <c r="J20" s="24">
        <f>IF($D20="Actual",U20+V20,E20*X20)</f>
        <v/>
      </c>
      <c r="K20" s="28">
        <f>IFERROR(F20/G20,0)</f>
        <v/>
      </c>
      <c r="L20" s="29">
        <f>IFERROR(H20/G20,0)</f>
        <v/>
      </c>
      <c r="M20" s="30">
        <f>IFERROR(J20/F20,0)</f>
        <v/>
      </c>
      <c r="N20" s="10">
        <f>IFERROR(J20/E20,0)</f>
        <v/>
      </c>
      <c r="O20" s="10">
        <f>IFERROR(I20/J20,0)</f>
        <v/>
      </c>
      <c r="R20" s="42">
        <f>IF($D20="Actual",SUMIFS(Data_Actuals!$C$2:$C$5000,Data_Actuals!$A$2:$A$5000,$A20,Data_Actuals!$B$2:$B$5000,$B$2),"")</f>
        <v/>
      </c>
      <c r="S20" s="42">
        <f>IF($D20="Actual",SUMIFS(Data_Actuals!$D$2:$D$5000,Data_Actuals!$A$2:$A$5000,$A20,Data_Actuals!$B$2:$B$5000,$B$2),"")</f>
        <v/>
      </c>
      <c r="T20" s="42">
        <f>IF($D20="Actual",SUMIFS(Data_Actuals!$E$2:$E$5000,Data_Actuals!$A$2:$A$5000,$A20,Data_Actuals!$B$2:$B$5000,$B$2),"")</f>
        <v/>
      </c>
      <c r="U20" s="42">
        <f>IF($D20="Actual",SUMIFS(Data_Actuals!$F$2:$F$5000,Data_Actuals!$A$2:$A$5000,$A20,Data_Actuals!$B$2:$B$5000,$B$2),"")</f>
        <v/>
      </c>
      <c r="V20" s="42">
        <f>IF($D20="Actual",SUMIFS(Data_Actuals!$G$2:$G$5000,Data_Actuals!$A$2:$A$5000,$A20,Data_Actuals!$B$2:$B$5000,$B$2),"")</f>
        <v/>
      </c>
      <c r="W20" s="42">
        <f>SUMIFS(Plan_Inputs!$C$2:$C$5000,Plan_Inputs!$A$2:$A$5000,$A20,Plan_Inputs!$B$2:$B$5000,$B$2)</f>
        <v/>
      </c>
      <c r="X20" s="43">
        <f>SUMIFS(Plan_Inputs!$D$2:$D$5000,Plan_Inputs!$A$2:$A$5000,$A20,Plan_Inputs!$B$2:$B$5000,$B$2)</f>
        <v/>
      </c>
      <c r="Y20" s="42">
        <f>E20</f>
        <v/>
      </c>
      <c r="Z20" s="44">
        <f>INDEX(Calendar!$H$5:$L$52,MATCH($A20,Calendar!$A$5:$A$52,0),MATCH($D$2,Calendar!$H$4:$L$4,0))</f>
        <v/>
      </c>
      <c r="AA20" s="44">
        <f>INDEX(Calendar!$M$5:$M$52,MATCH($A20,Calendar!$A$5:$A$52,0))</f>
        <v/>
      </c>
      <c r="AB20" s="45">
        <f>IF($D20="Actual",IFERROR(S20/Y20,""),"")</f>
        <v/>
      </c>
      <c r="AC20" s="46">
        <f>IF($D20="Actual",IFERROR(U20/T20/Z20/AA20,""),"")</f>
        <v/>
      </c>
      <c r="AD20" s="43">
        <f>IF($D20="Actual",IFERROR(V20/(U20+V20),""),"")</f>
        <v/>
      </c>
      <c r="AE20" s="46">
        <f>IFERROR(AC20*Z20*AA20,"")</f>
        <v/>
      </c>
      <c r="AF20" s="47" t="n"/>
      <c r="AG20" s="43">
        <f>IF($D20="Forecast",IFERROR(K20/AF20-1,""),"")</f>
        <v/>
      </c>
    </row>
    <row r="21">
      <c r="A21" s="8" t="n">
        <v>45839</v>
      </c>
      <c r="B21" s="26">
        <f>YEAR(A21)</f>
        <v/>
      </c>
      <c r="C21" s="26">
        <f>MONTH(A21)</f>
        <v/>
      </c>
      <c r="D21">
        <f>IF(A21&lt;=LastActual,"Actual","Forecast")</f>
        <v/>
      </c>
      <c r="E21" s="24">
        <f>IF($D21="Actual",R21,W21)</f>
        <v/>
      </c>
      <c r="F21" s="27">
        <f>IF($D21="Actual",S21,Cases_Forecast!AQ14)</f>
        <v/>
      </c>
      <c r="G21" s="9">
        <f>IF($D21="Actual",T21,IFERROR(H21/AE21,0))</f>
        <v/>
      </c>
      <c r="H21" s="24">
        <f>IF($D21="Actual",U21,J21-I21)</f>
        <v/>
      </c>
      <c r="I21" s="24">
        <f>IF($D21="Actual",V21,IFERROR(J21*AD21,0))</f>
        <v/>
      </c>
      <c r="J21" s="24">
        <f>IF($D21="Actual",U21+V21,E21*X21)</f>
        <v/>
      </c>
      <c r="K21" s="28">
        <f>IFERROR(F21/G21,0)</f>
        <v/>
      </c>
      <c r="L21" s="29">
        <f>IFERROR(H21/G21,0)</f>
        <v/>
      </c>
      <c r="M21" s="30">
        <f>IFERROR(J21/F21,0)</f>
        <v/>
      </c>
      <c r="N21" s="10">
        <f>IFERROR(J21/E21,0)</f>
        <v/>
      </c>
      <c r="O21" s="10">
        <f>IFERROR(I21/J21,0)</f>
        <v/>
      </c>
      <c r="R21" s="42">
        <f>IF($D21="Actual",SUMIFS(Data_Actuals!$C$2:$C$5000,Data_Actuals!$A$2:$A$5000,$A21,Data_Actuals!$B$2:$B$5000,$B$2),"")</f>
        <v/>
      </c>
      <c r="S21" s="42">
        <f>IF($D21="Actual",SUMIFS(Data_Actuals!$D$2:$D$5000,Data_Actuals!$A$2:$A$5000,$A21,Data_Actuals!$B$2:$B$5000,$B$2),"")</f>
        <v/>
      </c>
      <c r="T21" s="42">
        <f>IF($D21="Actual",SUMIFS(Data_Actuals!$E$2:$E$5000,Data_Actuals!$A$2:$A$5000,$A21,Data_Actuals!$B$2:$B$5000,$B$2),"")</f>
        <v/>
      </c>
      <c r="U21" s="42">
        <f>IF($D21="Actual",SUMIFS(Data_Actuals!$F$2:$F$5000,Data_Actuals!$A$2:$A$5000,$A21,Data_Actuals!$B$2:$B$5000,$B$2),"")</f>
        <v/>
      </c>
      <c r="V21" s="42">
        <f>IF($D21="Actual",SUMIFS(Data_Actuals!$G$2:$G$5000,Data_Actuals!$A$2:$A$5000,$A21,Data_Actuals!$B$2:$B$5000,$B$2),"")</f>
        <v/>
      </c>
      <c r="W21" s="42">
        <f>SUMIFS(Plan_Inputs!$C$2:$C$5000,Plan_Inputs!$A$2:$A$5000,$A21,Plan_Inputs!$B$2:$B$5000,$B$2)</f>
        <v/>
      </c>
      <c r="X21" s="43">
        <f>SUMIFS(Plan_Inputs!$D$2:$D$5000,Plan_Inputs!$A$2:$A$5000,$A21,Plan_Inputs!$B$2:$B$5000,$B$2)</f>
        <v/>
      </c>
      <c r="Y21" s="42">
        <f>E21</f>
        <v/>
      </c>
      <c r="Z21" s="44">
        <f>INDEX(Calendar!$H$5:$L$52,MATCH($A21,Calendar!$A$5:$A$52,0),MATCH($D$2,Calendar!$H$4:$L$4,0))</f>
        <v/>
      </c>
      <c r="AA21" s="44">
        <f>INDEX(Calendar!$M$5:$M$52,MATCH($A21,Calendar!$A$5:$A$52,0))</f>
        <v/>
      </c>
      <c r="AB21" s="45">
        <f>IF($D21="Actual",IFERROR(S21/Y21,""),"")</f>
        <v/>
      </c>
      <c r="AC21" s="46">
        <f>IF($D21="Actual",IFERROR(U21/T21/Z21/AA21,""),"")</f>
        <v/>
      </c>
      <c r="AD21" s="43">
        <f>IF($D21="Actual",IFERROR(V21/(U21+V21),""),"")</f>
        <v/>
      </c>
      <c r="AE21" s="46">
        <f>IFERROR(AC21*Z21*AA21,"")</f>
        <v/>
      </c>
      <c r="AF21" s="47" t="n"/>
      <c r="AG21" s="43">
        <f>IF($D21="Forecast",IFERROR(K21/AF21-1,""),"")</f>
        <v/>
      </c>
    </row>
    <row r="22">
      <c r="A22" s="8" t="n">
        <v>45870</v>
      </c>
      <c r="B22" s="26">
        <f>YEAR(A22)</f>
        <v/>
      </c>
      <c r="C22" s="26">
        <f>MONTH(A22)</f>
        <v/>
      </c>
      <c r="D22">
        <f>IF(A22&lt;=LastActual,"Actual","Forecast")</f>
        <v/>
      </c>
      <c r="E22" s="24">
        <f>IF($D22="Actual",R22,W22)</f>
        <v/>
      </c>
      <c r="F22" s="27">
        <f>IF($D22="Actual",S22,Cases_Forecast!AQ15)</f>
        <v/>
      </c>
      <c r="G22" s="9">
        <f>IF($D22="Actual",T22,IFERROR(H22/AE22,0))</f>
        <v/>
      </c>
      <c r="H22" s="24">
        <f>IF($D22="Actual",U22,J22-I22)</f>
        <v/>
      </c>
      <c r="I22" s="24">
        <f>IF($D22="Actual",V22,IFERROR(J22*AD22,0))</f>
        <v/>
      </c>
      <c r="J22" s="24">
        <f>IF($D22="Actual",U22+V22,E22*X22)</f>
        <v/>
      </c>
      <c r="K22" s="28">
        <f>IFERROR(F22/G22,0)</f>
        <v/>
      </c>
      <c r="L22" s="29">
        <f>IFERROR(H22/G22,0)</f>
        <v/>
      </c>
      <c r="M22" s="30">
        <f>IFERROR(J22/F22,0)</f>
        <v/>
      </c>
      <c r="N22" s="10">
        <f>IFERROR(J22/E22,0)</f>
        <v/>
      </c>
      <c r="O22" s="10">
        <f>IFERROR(I22/J22,0)</f>
        <v/>
      </c>
      <c r="R22" s="42">
        <f>IF($D22="Actual",SUMIFS(Data_Actuals!$C$2:$C$5000,Data_Actuals!$A$2:$A$5000,$A22,Data_Actuals!$B$2:$B$5000,$B$2),"")</f>
        <v/>
      </c>
      <c r="S22" s="42">
        <f>IF($D22="Actual",SUMIFS(Data_Actuals!$D$2:$D$5000,Data_Actuals!$A$2:$A$5000,$A22,Data_Actuals!$B$2:$B$5000,$B$2),"")</f>
        <v/>
      </c>
      <c r="T22" s="42">
        <f>IF($D22="Actual",SUMIFS(Data_Actuals!$E$2:$E$5000,Data_Actuals!$A$2:$A$5000,$A22,Data_Actuals!$B$2:$B$5000,$B$2),"")</f>
        <v/>
      </c>
      <c r="U22" s="42">
        <f>IF($D22="Actual",SUMIFS(Data_Actuals!$F$2:$F$5000,Data_Actuals!$A$2:$A$5000,$A22,Data_Actuals!$B$2:$B$5000,$B$2),"")</f>
        <v/>
      </c>
      <c r="V22" s="42">
        <f>IF($D22="Actual",SUMIFS(Data_Actuals!$G$2:$G$5000,Data_Actuals!$A$2:$A$5000,$A22,Data_Actuals!$B$2:$B$5000,$B$2),"")</f>
        <v/>
      </c>
      <c r="W22" s="42">
        <f>SUMIFS(Plan_Inputs!$C$2:$C$5000,Plan_Inputs!$A$2:$A$5000,$A22,Plan_Inputs!$B$2:$B$5000,$B$2)</f>
        <v/>
      </c>
      <c r="X22" s="43">
        <f>SUMIFS(Plan_Inputs!$D$2:$D$5000,Plan_Inputs!$A$2:$A$5000,$A22,Plan_Inputs!$B$2:$B$5000,$B$2)</f>
        <v/>
      </c>
      <c r="Y22" s="42">
        <f>E22</f>
        <v/>
      </c>
      <c r="Z22" s="44">
        <f>INDEX(Calendar!$H$5:$L$52,MATCH($A22,Calendar!$A$5:$A$52,0),MATCH($D$2,Calendar!$H$4:$L$4,0))</f>
        <v/>
      </c>
      <c r="AA22" s="44">
        <f>INDEX(Calendar!$M$5:$M$52,MATCH($A22,Calendar!$A$5:$A$52,0))</f>
        <v/>
      </c>
      <c r="AB22" s="45">
        <f>IF($D22="Actual",IFERROR(S22/Y22,""),"")</f>
        <v/>
      </c>
      <c r="AC22" s="46">
        <f>IF($D22="Actual",IFERROR(U22/T22/Z22/AA22,""),"")</f>
        <v/>
      </c>
      <c r="AD22" s="43">
        <f>IF($D22="Actual",IFERROR(V22/(U22+V22),""),"")</f>
        <v/>
      </c>
      <c r="AE22" s="46">
        <f>IFERROR(AC22*Z22*AA22,"")</f>
        <v/>
      </c>
      <c r="AF22" s="47" t="n"/>
      <c r="AG22" s="43">
        <f>IF($D22="Forecast",IFERROR(K22/AF22-1,""),"")</f>
        <v/>
      </c>
    </row>
    <row r="23">
      <c r="A23" s="8" t="n">
        <v>45901</v>
      </c>
      <c r="B23" s="26">
        <f>YEAR(A23)</f>
        <v/>
      </c>
      <c r="C23" s="26">
        <f>MONTH(A23)</f>
        <v/>
      </c>
      <c r="D23">
        <f>IF(A23&lt;=LastActual,"Actual","Forecast")</f>
        <v/>
      </c>
      <c r="E23" s="24">
        <f>IF($D23="Actual",R23,W23)</f>
        <v/>
      </c>
      <c r="F23" s="27">
        <f>IF($D23="Actual",S23,Cases_Forecast!AQ16)</f>
        <v/>
      </c>
      <c r="G23" s="9">
        <f>IF($D23="Actual",T23,IFERROR(H23/AE23,0))</f>
        <v/>
      </c>
      <c r="H23" s="24">
        <f>IF($D23="Actual",U23,J23-I23)</f>
        <v/>
      </c>
      <c r="I23" s="24">
        <f>IF($D23="Actual",V23,IFERROR(J23*AD23,0))</f>
        <v/>
      </c>
      <c r="J23" s="24">
        <f>IF($D23="Actual",U23+V23,E23*X23)</f>
        <v/>
      </c>
      <c r="K23" s="28">
        <f>IFERROR(F23/G23,0)</f>
        <v/>
      </c>
      <c r="L23" s="29">
        <f>IFERROR(H23/G23,0)</f>
        <v/>
      </c>
      <c r="M23" s="30">
        <f>IFERROR(J23/F23,0)</f>
        <v/>
      </c>
      <c r="N23" s="10">
        <f>IFERROR(J23/E23,0)</f>
        <v/>
      </c>
      <c r="O23" s="10">
        <f>IFERROR(I23/J23,0)</f>
        <v/>
      </c>
      <c r="R23" s="42">
        <f>IF($D23="Actual",SUMIFS(Data_Actuals!$C$2:$C$5000,Data_Actuals!$A$2:$A$5000,$A23,Data_Actuals!$B$2:$B$5000,$B$2),"")</f>
        <v/>
      </c>
      <c r="S23" s="42">
        <f>IF($D23="Actual",SUMIFS(Data_Actuals!$D$2:$D$5000,Data_Actuals!$A$2:$A$5000,$A23,Data_Actuals!$B$2:$B$5000,$B$2),"")</f>
        <v/>
      </c>
      <c r="T23" s="42">
        <f>IF($D23="Actual",SUMIFS(Data_Actuals!$E$2:$E$5000,Data_Actuals!$A$2:$A$5000,$A23,Data_Actuals!$B$2:$B$5000,$B$2),"")</f>
        <v/>
      </c>
      <c r="U23" s="42">
        <f>IF($D23="Actual",SUMIFS(Data_Actuals!$F$2:$F$5000,Data_Actuals!$A$2:$A$5000,$A23,Data_Actuals!$B$2:$B$5000,$B$2),"")</f>
        <v/>
      </c>
      <c r="V23" s="42">
        <f>IF($D23="Actual",SUMIFS(Data_Actuals!$G$2:$G$5000,Data_Actuals!$A$2:$A$5000,$A23,Data_Actuals!$B$2:$B$5000,$B$2),"")</f>
        <v/>
      </c>
      <c r="W23" s="42">
        <f>SUMIFS(Plan_Inputs!$C$2:$C$5000,Plan_Inputs!$A$2:$A$5000,$A23,Plan_Inputs!$B$2:$B$5000,$B$2)</f>
        <v/>
      </c>
      <c r="X23" s="43">
        <f>SUMIFS(Plan_Inputs!$D$2:$D$5000,Plan_Inputs!$A$2:$A$5000,$A23,Plan_Inputs!$B$2:$B$5000,$B$2)</f>
        <v/>
      </c>
      <c r="Y23" s="42">
        <f>E23</f>
        <v/>
      </c>
      <c r="Z23" s="44">
        <f>INDEX(Calendar!$H$5:$L$52,MATCH($A23,Calendar!$A$5:$A$52,0),MATCH($D$2,Calendar!$H$4:$L$4,0))</f>
        <v/>
      </c>
      <c r="AA23" s="44">
        <f>INDEX(Calendar!$M$5:$M$52,MATCH($A23,Calendar!$A$5:$A$52,0))</f>
        <v/>
      </c>
      <c r="AB23" s="45">
        <f>IF($D23="Actual",IFERROR(S23/Y23,""),"")</f>
        <v/>
      </c>
      <c r="AC23" s="46">
        <f>IF($D23="Actual",IFERROR(U23/T23/Z23/AA23,""),"")</f>
        <v/>
      </c>
      <c r="AD23" s="43">
        <f>IF($D23="Actual",IFERROR(V23/(U23+V23),""),"")</f>
        <v/>
      </c>
      <c r="AE23" s="46">
        <f>IFERROR(AC23*Z23*AA23,"")</f>
        <v/>
      </c>
      <c r="AF23" s="47" t="n"/>
      <c r="AG23" s="43">
        <f>IF($D23="Forecast",IFERROR(K23/AF23-1,""),"")</f>
        <v/>
      </c>
    </row>
    <row r="24">
      <c r="A24" s="8" t="n">
        <v>45931</v>
      </c>
      <c r="B24" s="26">
        <f>YEAR(A24)</f>
        <v/>
      </c>
      <c r="C24" s="26">
        <f>MONTH(A24)</f>
        <v/>
      </c>
      <c r="D24">
        <f>IF(A24&lt;=LastActual,"Actual","Forecast")</f>
        <v/>
      </c>
      <c r="E24" s="24">
        <f>IF($D24="Actual",R24,W24)</f>
        <v/>
      </c>
      <c r="F24" s="27">
        <f>IF($D24="Actual",S24,Cases_Forecast!AQ17)</f>
        <v/>
      </c>
      <c r="G24" s="9">
        <f>IF($D24="Actual",T24,IFERROR(H24/AE24,0))</f>
        <v/>
      </c>
      <c r="H24" s="24">
        <f>IF($D24="Actual",U24,J24-I24)</f>
        <v/>
      </c>
      <c r="I24" s="24">
        <f>IF($D24="Actual",V24,IFERROR(J24*AD24,0))</f>
        <v/>
      </c>
      <c r="J24" s="24">
        <f>IF($D24="Actual",U24+V24,E24*X24)</f>
        <v/>
      </c>
      <c r="K24" s="28">
        <f>IFERROR(F24/G24,0)</f>
        <v/>
      </c>
      <c r="L24" s="29">
        <f>IFERROR(H24/G24,0)</f>
        <v/>
      </c>
      <c r="M24" s="30">
        <f>IFERROR(J24/F24,0)</f>
        <v/>
      </c>
      <c r="N24" s="10">
        <f>IFERROR(J24/E24,0)</f>
        <v/>
      </c>
      <c r="O24" s="10">
        <f>IFERROR(I24/J24,0)</f>
        <v/>
      </c>
      <c r="R24" s="42">
        <f>IF($D24="Actual",SUMIFS(Data_Actuals!$C$2:$C$5000,Data_Actuals!$A$2:$A$5000,$A24,Data_Actuals!$B$2:$B$5000,$B$2),"")</f>
        <v/>
      </c>
      <c r="S24" s="42">
        <f>IF($D24="Actual",SUMIFS(Data_Actuals!$D$2:$D$5000,Data_Actuals!$A$2:$A$5000,$A24,Data_Actuals!$B$2:$B$5000,$B$2),"")</f>
        <v/>
      </c>
      <c r="T24" s="42">
        <f>IF($D24="Actual",SUMIFS(Data_Actuals!$E$2:$E$5000,Data_Actuals!$A$2:$A$5000,$A24,Data_Actuals!$B$2:$B$5000,$B$2),"")</f>
        <v/>
      </c>
      <c r="U24" s="42">
        <f>IF($D24="Actual",SUMIFS(Data_Actuals!$F$2:$F$5000,Data_Actuals!$A$2:$A$5000,$A24,Data_Actuals!$B$2:$B$5000,$B$2),"")</f>
        <v/>
      </c>
      <c r="V24" s="42">
        <f>IF($D24="Actual",SUMIFS(Data_Actuals!$G$2:$G$5000,Data_Actuals!$A$2:$A$5000,$A24,Data_Actuals!$B$2:$B$5000,$B$2),"")</f>
        <v/>
      </c>
      <c r="W24" s="42">
        <f>SUMIFS(Plan_Inputs!$C$2:$C$5000,Plan_Inputs!$A$2:$A$5000,$A24,Plan_Inputs!$B$2:$B$5000,$B$2)</f>
        <v/>
      </c>
      <c r="X24" s="43">
        <f>SUMIFS(Plan_Inputs!$D$2:$D$5000,Plan_Inputs!$A$2:$A$5000,$A24,Plan_Inputs!$B$2:$B$5000,$B$2)</f>
        <v/>
      </c>
      <c r="Y24" s="42">
        <f>E24</f>
        <v/>
      </c>
      <c r="Z24" s="44">
        <f>INDEX(Calendar!$H$5:$L$52,MATCH($A24,Calendar!$A$5:$A$52,0),MATCH($D$2,Calendar!$H$4:$L$4,0))</f>
        <v/>
      </c>
      <c r="AA24" s="44">
        <f>INDEX(Calendar!$M$5:$M$52,MATCH($A24,Calendar!$A$5:$A$52,0))</f>
        <v/>
      </c>
      <c r="AB24" s="45">
        <f>IF($D24="Actual",IFERROR(S24/Y24,""),"")</f>
        <v/>
      </c>
      <c r="AC24" s="46">
        <f>IF($D24="Actual",IFERROR(U24/T24/Z24/AA24,""),"")</f>
        <v/>
      </c>
      <c r="AD24" s="43">
        <f>IF($D24="Actual",IFERROR(V24/(U24+V24),""),"")</f>
        <v/>
      </c>
      <c r="AE24" s="46">
        <f>IFERROR(AC24*Z24*AA24,"")</f>
        <v/>
      </c>
      <c r="AF24" s="47" t="n"/>
      <c r="AG24" s="43">
        <f>IF($D24="Forecast",IFERROR(K24/AF24-1,""),"")</f>
        <v/>
      </c>
    </row>
    <row r="25">
      <c r="A25" s="8" t="n">
        <v>45962</v>
      </c>
      <c r="B25" s="26">
        <f>YEAR(A25)</f>
        <v/>
      </c>
      <c r="C25" s="26">
        <f>MONTH(A25)</f>
        <v/>
      </c>
      <c r="D25">
        <f>IF(A25&lt;=LastActual,"Actual","Forecast")</f>
        <v/>
      </c>
      <c r="E25" s="24">
        <f>IF($D25="Actual",R25,W25)</f>
        <v/>
      </c>
      <c r="F25" s="27">
        <f>IF($D25="Actual",S25,Cases_Forecast!AQ18)</f>
        <v/>
      </c>
      <c r="G25" s="9">
        <f>IF($D25="Actual",T25,IFERROR(H25/AE25,0))</f>
        <v/>
      </c>
      <c r="H25" s="24">
        <f>IF($D25="Actual",U25,J25-I25)</f>
        <v/>
      </c>
      <c r="I25" s="24">
        <f>IF($D25="Actual",V25,IFERROR(J25*AD25,0))</f>
        <v/>
      </c>
      <c r="J25" s="24">
        <f>IF($D25="Actual",U25+V25,E25*X25)</f>
        <v/>
      </c>
      <c r="K25" s="28">
        <f>IFERROR(F25/G25,0)</f>
        <v/>
      </c>
      <c r="L25" s="29">
        <f>IFERROR(H25/G25,0)</f>
        <v/>
      </c>
      <c r="M25" s="30">
        <f>IFERROR(J25/F25,0)</f>
        <v/>
      </c>
      <c r="N25" s="10">
        <f>IFERROR(J25/E25,0)</f>
        <v/>
      </c>
      <c r="O25" s="10">
        <f>IFERROR(I25/J25,0)</f>
        <v/>
      </c>
      <c r="R25" s="42">
        <f>IF($D25="Actual",SUMIFS(Data_Actuals!$C$2:$C$5000,Data_Actuals!$A$2:$A$5000,$A25,Data_Actuals!$B$2:$B$5000,$B$2),"")</f>
        <v/>
      </c>
      <c r="S25" s="42">
        <f>IF($D25="Actual",SUMIFS(Data_Actuals!$D$2:$D$5000,Data_Actuals!$A$2:$A$5000,$A25,Data_Actuals!$B$2:$B$5000,$B$2),"")</f>
        <v/>
      </c>
      <c r="T25" s="42">
        <f>IF($D25="Actual",SUMIFS(Data_Actuals!$E$2:$E$5000,Data_Actuals!$A$2:$A$5000,$A25,Data_Actuals!$B$2:$B$5000,$B$2),"")</f>
        <v/>
      </c>
      <c r="U25" s="42">
        <f>IF($D25="Actual",SUMIFS(Data_Actuals!$F$2:$F$5000,Data_Actuals!$A$2:$A$5000,$A25,Data_Actuals!$B$2:$B$5000,$B$2),"")</f>
        <v/>
      </c>
      <c r="V25" s="42">
        <f>IF($D25="Actual",SUMIFS(Data_Actuals!$G$2:$G$5000,Data_Actuals!$A$2:$A$5000,$A25,Data_Actuals!$B$2:$B$5000,$B$2),"")</f>
        <v/>
      </c>
      <c r="W25" s="42">
        <f>SUMIFS(Plan_Inputs!$C$2:$C$5000,Plan_Inputs!$A$2:$A$5000,$A25,Plan_Inputs!$B$2:$B$5000,$B$2)</f>
        <v/>
      </c>
      <c r="X25" s="43">
        <f>SUMIFS(Plan_Inputs!$D$2:$D$5000,Plan_Inputs!$A$2:$A$5000,$A25,Plan_Inputs!$B$2:$B$5000,$B$2)</f>
        <v/>
      </c>
      <c r="Y25" s="42">
        <f>E25</f>
        <v/>
      </c>
      <c r="Z25" s="44">
        <f>INDEX(Calendar!$H$5:$L$52,MATCH($A25,Calendar!$A$5:$A$52,0),MATCH($D$2,Calendar!$H$4:$L$4,0))</f>
        <v/>
      </c>
      <c r="AA25" s="44">
        <f>INDEX(Calendar!$M$5:$M$52,MATCH($A25,Calendar!$A$5:$A$52,0))</f>
        <v/>
      </c>
      <c r="AB25" s="45">
        <f>IF($D25="Actual",IFERROR(S25/Y25,""),"")</f>
        <v/>
      </c>
      <c r="AC25" s="46">
        <f>IF($D25="Actual",IFERROR(U25/T25/Z25/AA25,""),"")</f>
        <v/>
      </c>
      <c r="AD25" s="43">
        <f>IF($D25="Actual",IFERROR(V25/(U25+V25),""),"")</f>
        <v/>
      </c>
      <c r="AE25" s="46">
        <f>IFERROR(AC25*Z25*AA25,"")</f>
        <v/>
      </c>
      <c r="AF25" s="47" t="n"/>
      <c r="AG25" s="43">
        <f>IF($D25="Forecast",IFERROR(K25/AF25-1,""),"")</f>
        <v/>
      </c>
    </row>
    <row r="26">
      <c r="A26" s="31" t="n">
        <v>45992</v>
      </c>
      <c r="B26" s="32">
        <f>YEAR(A26)</f>
        <v/>
      </c>
      <c r="C26" s="32">
        <f>MONTH(A26)</f>
        <v/>
      </c>
      <c r="D26" s="33">
        <f>IF(A26&lt;=LastActual,"Actual","Forecast")</f>
        <v/>
      </c>
      <c r="E26" s="34">
        <f>IF($D26="Actual",R26,W26)</f>
        <v/>
      </c>
      <c r="F26" s="35">
        <f>IF($D26="Actual",S26,Cases_Forecast!AQ19)</f>
        <v/>
      </c>
      <c r="G26" s="36">
        <f>IF($D26="Actual",T26,IFERROR(H26/AE26,0))</f>
        <v/>
      </c>
      <c r="H26" s="34">
        <f>IF($D26="Actual",U26,J26-I26)</f>
        <v/>
      </c>
      <c r="I26" s="34">
        <f>IF($D26="Actual",V26,IFERROR(J26*AD26,0))</f>
        <v/>
      </c>
      <c r="J26" s="34">
        <f>IF($D26="Actual",U26+V26,E26*X26)</f>
        <v/>
      </c>
      <c r="K26" s="37">
        <f>IFERROR(F26/G26,0)</f>
        <v/>
      </c>
      <c r="L26" s="38">
        <f>IFERROR(H26/G26,0)</f>
        <v/>
      </c>
      <c r="M26" s="39">
        <f>IFERROR(J26/F26,0)</f>
        <v/>
      </c>
      <c r="N26" s="40">
        <f>IFERROR(J26/E26,0)</f>
        <v/>
      </c>
      <c r="O26" s="40">
        <f>IFERROR(I26/J26,0)</f>
        <v/>
      </c>
      <c r="R26" s="42">
        <f>IF($D26="Actual",SUMIFS(Data_Actuals!$C$2:$C$5000,Data_Actuals!$A$2:$A$5000,$A26,Data_Actuals!$B$2:$B$5000,$B$2),"")</f>
        <v/>
      </c>
      <c r="S26" s="42">
        <f>IF($D26="Actual",SUMIFS(Data_Actuals!$D$2:$D$5000,Data_Actuals!$A$2:$A$5000,$A26,Data_Actuals!$B$2:$B$5000,$B$2),"")</f>
        <v/>
      </c>
      <c r="T26" s="42">
        <f>IF($D26="Actual",SUMIFS(Data_Actuals!$E$2:$E$5000,Data_Actuals!$A$2:$A$5000,$A26,Data_Actuals!$B$2:$B$5000,$B$2),"")</f>
        <v/>
      </c>
      <c r="U26" s="42">
        <f>IF($D26="Actual",SUMIFS(Data_Actuals!$F$2:$F$5000,Data_Actuals!$A$2:$A$5000,$A26,Data_Actuals!$B$2:$B$5000,$B$2),"")</f>
        <v/>
      </c>
      <c r="V26" s="42">
        <f>IF($D26="Actual",SUMIFS(Data_Actuals!$G$2:$G$5000,Data_Actuals!$A$2:$A$5000,$A26,Data_Actuals!$B$2:$B$5000,$B$2),"")</f>
        <v/>
      </c>
      <c r="W26" s="42">
        <f>SUMIFS(Plan_Inputs!$C$2:$C$5000,Plan_Inputs!$A$2:$A$5000,$A26,Plan_Inputs!$B$2:$B$5000,$B$2)</f>
        <v/>
      </c>
      <c r="X26" s="43">
        <f>SUMIFS(Plan_Inputs!$D$2:$D$5000,Plan_Inputs!$A$2:$A$5000,$A26,Plan_Inputs!$B$2:$B$5000,$B$2)</f>
        <v/>
      </c>
      <c r="Y26" s="42">
        <f>E26</f>
        <v/>
      </c>
      <c r="Z26" s="44">
        <f>INDEX(Calendar!$H$5:$L$52,MATCH($A26,Calendar!$A$5:$A$52,0),MATCH($D$2,Calendar!$H$4:$L$4,0))</f>
        <v/>
      </c>
      <c r="AA26" s="44">
        <f>INDEX(Calendar!$M$5:$M$52,MATCH($A26,Calendar!$A$5:$A$52,0))</f>
        <v/>
      </c>
      <c r="AB26" s="45">
        <f>IF($D26="Actual",IFERROR(S26/Y26,""),"")</f>
        <v/>
      </c>
      <c r="AC26" s="46">
        <f>IF($D26="Actual",IFERROR(U26/T26/Z26/AA26,""),"")</f>
        <v/>
      </c>
      <c r="AD26" s="43">
        <f>IF($D26="Actual",IFERROR(V26/(U26+V26),""),"")</f>
        <v/>
      </c>
      <c r="AE26" s="46">
        <f>IFERROR(AC26*Z26*AA26,"")</f>
        <v/>
      </c>
      <c r="AF26" s="47" t="n"/>
      <c r="AG26" s="43">
        <f>IF($D26="Forecast",IFERROR(K26/AF26-1,""),"")</f>
        <v/>
      </c>
    </row>
    <row r="27">
      <c r="A27" s="8" t="n">
        <v>46023</v>
      </c>
      <c r="B27" s="26">
        <f>YEAR(A27)</f>
        <v/>
      </c>
      <c r="C27" s="26">
        <f>MONTH(A27)</f>
        <v/>
      </c>
      <c r="D27">
        <f>IF(A27&lt;=LastActual,"Actual","Forecast")</f>
        <v/>
      </c>
      <c r="E27" s="24">
        <f>IF($D27="Actual",R27,W27)</f>
        <v/>
      </c>
      <c r="F27" s="27">
        <f>IF($D27="Actual",S27,Cases_Forecast!AQ20)</f>
        <v/>
      </c>
      <c r="G27" s="9">
        <f>IF($D27="Actual",T27,IFERROR(H27/AE27,0))</f>
        <v/>
      </c>
      <c r="H27" s="24">
        <f>IF($D27="Actual",U27,J27-I27)</f>
        <v/>
      </c>
      <c r="I27" s="24">
        <f>IF($D27="Actual",V27,IFERROR(J27*AD27,0))</f>
        <v/>
      </c>
      <c r="J27" s="24">
        <f>IF($D27="Actual",U27+V27,E27*X27)</f>
        <v/>
      </c>
      <c r="K27" s="28">
        <f>IFERROR(F27/G27,0)</f>
        <v/>
      </c>
      <c r="L27" s="29">
        <f>IFERROR(H27/G27,0)</f>
        <v/>
      </c>
      <c r="M27" s="30">
        <f>IFERROR(J27/F27,0)</f>
        <v/>
      </c>
      <c r="N27" s="10">
        <f>IFERROR(J27/E27,0)</f>
        <v/>
      </c>
      <c r="O27" s="10">
        <f>IFERROR(I27/J27,0)</f>
        <v/>
      </c>
      <c r="R27" s="42">
        <f>IF($D27="Actual",SUMIFS(Data_Actuals!$C$2:$C$5000,Data_Actuals!$A$2:$A$5000,$A27,Data_Actuals!$B$2:$B$5000,$B$2),"")</f>
        <v/>
      </c>
      <c r="S27" s="42">
        <f>IF($D27="Actual",SUMIFS(Data_Actuals!$D$2:$D$5000,Data_Actuals!$A$2:$A$5000,$A27,Data_Actuals!$B$2:$B$5000,$B$2),"")</f>
        <v/>
      </c>
      <c r="T27" s="42">
        <f>IF($D27="Actual",SUMIFS(Data_Actuals!$E$2:$E$5000,Data_Actuals!$A$2:$A$5000,$A27,Data_Actuals!$B$2:$B$5000,$B$2),"")</f>
        <v/>
      </c>
      <c r="U27" s="42">
        <f>IF($D27="Actual",SUMIFS(Data_Actuals!$F$2:$F$5000,Data_Actuals!$A$2:$A$5000,$A27,Data_Actuals!$B$2:$B$5000,$B$2),"")</f>
        <v/>
      </c>
      <c r="V27" s="42">
        <f>IF($D27="Actual",SUMIFS(Data_Actuals!$G$2:$G$5000,Data_Actuals!$A$2:$A$5000,$A27,Data_Actuals!$B$2:$B$5000,$B$2),"")</f>
        <v/>
      </c>
      <c r="W27" s="42">
        <f>SUMIFS(Plan_Inputs!$C$2:$C$5000,Plan_Inputs!$A$2:$A$5000,$A27,Plan_Inputs!$B$2:$B$5000,$B$2)</f>
        <v/>
      </c>
      <c r="X27" s="43">
        <f>SUMIFS(Plan_Inputs!$D$2:$D$5000,Plan_Inputs!$A$2:$A$5000,$A27,Plan_Inputs!$B$2:$B$5000,$B$2)</f>
        <v/>
      </c>
      <c r="Y27" s="42">
        <f>E27</f>
        <v/>
      </c>
      <c r="Z27" s="44">
        <f>INDEX(Calendar!$H$5:$L$52,MATCH($A27,Calendar!$A$5:$A$52,0),MATCH($D$2,Calendar!$H$4:$L$4,0))</f>
        <v/>
      </c>
      <c r="AA27" s="44">
        <f>INDEX(Calendar!$M$5:$M$52,MATCH($A27,Calendar!$A$5:$A$52,0))</f>
        <v/>
      </c>
      <c r="AB27" s="45">
        <f>IF($D27="Actual",IFERROR(S27/Y27,""),AB15)</f>
        <v/>
      </c>
      <c r="AC27" s="46">
        <f>IF($D27="Actual",IFERROR(U27/T27/Z27/AA27,""),AC15)</f>
        <v/>
      </c>
      <c r="AD27" s="43">
        <f>IF($D27="Actual",IFERROR(V27/(U27+V27),""),AD15)</f>
        <v/>
      </c>
      <c r="AE27" s="46">
        <f>IFERROR(AC27*Z27*AA27,"")</f>
        <v/>
      </c>
      <c r="AF27" s="47">
        <f>K15</f>
        <v/>
      </c>
      <c r="AG27" s="43">
        <f>IF($D27="Forecast",IFERROR(K27/AF27-1,""),"")</f>
        <v/>
      </c>
    </row>
    <row r="28">
      <c r="A28" s="8" t="n">
        <v>46054</v>
      </c>
      <c r="B28" s="26">
        <f>YEAR(A28)</f>
        <v/>
      </c>
      <c r="C28" s="26">
        <f>MONTH(A28)</f>
        <v/>
      </c>
      <c r="D28">
        <f>IF(A28&lt;=LastActual,"Actual","Forecast")</f>
        <v/>
      </c>
      <c r="E28" s="24">
        <f>IF($D28="Actual",R28,W28)</f>
        <v/>
      </c>
      <c r="F28" s="27">
        <f>IF($D28="Actual",S28,Cases_Forecast!AQ21)</f>
        <v/>
      </c>
      <c r="G28" s="9">
        <f>IF($D28="Actual",T28,IFERROR(H28/AE28,0))</f>
        <v/>
      </c>
      <c r="H28" s="24">
        <f>IF($D28="Actual",U28,J28-I28)</f>
        <v/>
      </c>
      <c r="I28" s="24">
        <f>IF($D28="Actual",V28,IFERROR(J28*AD28,0))</f>
        <v/>
      </c>
      <c r="J28" s="24">
        <f>IF($D28="Actual",U28+V28,E28*X28)</f>
        <v/>
      </c>
      <c r="K28" s="28">
        <f>IFERROR(F28/G28,0)</f>
        <v/>
      </c>
      <c r="L28" s="29">
        <f>IFERROR(H28/G28,0)</f>
        <v/>
      </c>
      <c r="M28" s="30">
        <f>IFERROR(J28/F28,0)</f>
        <v/>
      </c>
      <c r="N28" s="10">
        <f>IFERROR(J28/E28,0)</f>
        <v/>
      </c>
      <c r="O28" s="10">
        <f>IFERROR(I28/J28,0)</f>
        <v/>
      </c>
      <c r="R28" s="42">
        <f>IF($D28="Actual",SUMIFS(Data_Actuals!$C$2:$C$5000,Data_Actuals!$A$2:$A$5000,$A28,Data_Actuals!$B$2:$B$5000,$B$2),"")</f>
        <v/>
      </c>
      <c r="S28" s="42">
        <f>IF($D28="Actual",SUMIFS(Data_Actuals!$D$2:$D$5000,Data_Actuals!$A$2:$A$5000,$A28,Data_Actuals!$B$2:$B$5000,$B$2),"")</f>
        <v/>
      </c>
      <c r="T28" s="42">
        <f>IF($D28="Actual",SUMIFS(Data_Actuals!$E$2:$E$5000,Data_Actuals!$A$2:$A$5000,$A28,Data_Actuals!$B$2:$B$5000,$B$2),"")</f>
        <v/>
      </c>
      <c r="U28" s="42">
        <f>IF($D28="Actual",SUMIFS(Data_Actuals!$F$2:$F$5000,Data_Actuals!$A$2:$A$5000,$A28,Data_Actuals!$B$2:$B$5000,$B$2),"")</f>
        <v/>
      </c>
      <c r="V28" s="42">
        <f>IF($D28="Actual",SUMIFS(Data_Actuals!$G$2:$G$5000,Data_Actuals!$A$2:$A$5000,$A28,Data_Actuals!$B$2:$B$5000,$B$2),"")</f>
        <v/>
      </c>
      <c r="W28" s="42">
        <f>SUMIFS(Plan_Inputs!$C$2:$C$5000,Plan_Inputs!$A$2:$A$5000,$A28,Plan_Inputs!$B$2:$B$5000,$B$2)</f>
        <v/>
      </c>
      <c r="X28" s="43">
        <f>SUMIFS(Plan_Inputs!$D$2:$D$5000,Plan_Inputs!$A$2:$A$5000,$A28,Plan_Inputs!$B$2:$B$5000,$B$2)</f>
        <v/>
      </c>
      <c r="Y28" s="42">
        <f>E28</f>
        <v/>
      </c>
      <c r="Z28" s="44">
        <f>INDEX(Calendar!$H$5:$L$52,MATCH($A28,Calendar!$A$5:$A$52,0),MATCH($D$2,Calendar!$H$4:$L$4,0))</f>
        <v/>
      </c>
      <c r="AA28" s="44">
        <f>INDEX(Calendar!$M$5:$M$52,MATCH($A28,Calendar!$A$5:$A$52,0))</f>
        <v/>
      </c>
      <c r="AB28" s="45">
        <f>IF($D28="Actual",IFERROR(S28/Y28,""),AB16)</f>
        <v/>
      </c>
      <c r="AC28" s="46">
        <f>IF($D28="Actual",IFERROR(U28/T28/Z28/AA28,""),AC16)</f>
        <v/>
      </c>
      <c r="AD28" s="43">
        <f>IF($D28="Actual",IFERROR(V28/(U28+V28),""),AD16)</f>
        <v/>
      </c>
      <c r="AE28" s="46">
        <f>IFERROR(AC28*Z28*AA28,"")</f>
        <v/>
      </c>
      <c r="AF28" s="47">
        <f>K16</f>
        <v/>
      </c>
      <c r="AG28" s="43">
        <f>IF($D28="Forecast",IFERROR(K28/AF28-1,""),"")</f>
        <v/>
      </c>
    </row>
    <row r="29">
      <c r="A29" s="8" t="n">
        <v>46082</v>
      </c>
      <c r="B29" s="26">
        <f>YEAR(A29)</f>
        <v/>
      </c>
      <c r="C29" s="26">
        <f>MONTH(A29)</f>
        <v/>
      </c>
      <c r="D29">
        <f>IF(A29&lt;=LastActual,"Actual","Forecast")</f>
        <v/>
      </c>
      <c r="E29" s="24">
        <f>IF($D29="Actual",R29,W29)</f>
        <v/>
      </c>
      <c r="F29" s="27">
        <f>IF($D29="Actual",S29,Cases_Forecast!AQ22)</f>
        <v/>
      </c>
      <c r="G29" s="9">
        <f>IF($D29="Actual",T29,IFERROR(H29/AE29,0))</f>
        <v/>
      </c>
      <c r="H29" s="24">
        <f>IF($D29="Actual",U29,J29-I29)</f>
        <v/>
      </c>
      <c r="I29" s="24">
        <f>IF($D29="Actual",V29,IFERROR(J29*AD29,0))</f>
        <v/>
      </c>
      <c r="J29" s="24">
        <f>IF($D29="Actual",U29+V29,E29*X29)</f>
        <v/>
      </c>
      <c r="K29" s="28">
        <f>IFERROR(F29/G29,0)</f>
        <v/>
      </c>
      <c r="L29" s="29">
        <f>IFERROR(H29/G29,0)</f>
        <v/>
      </c>
      <c r="M29" s="30">
        <f>IFERROR(J29/F29,0)</f>
        <v/>
      </c>
      <c r="N29" s="10">
        <f>IFERROR(J29/E29,0)</f>
        <v/>
      </c>
      <c r="O29" s="10">
        <f>IFERROR(I29/J29,0)</f>
        <v/>
      </c>
      <c r="R29" s="42">
        <f>IF($D29="Actual",SUMIFS(Data_Actuals!$C$2:$C$5000,Data_Actuals!$A$2:$A$5000,$A29,Data_Actuals!$B$2:$B$5000,$B$2),"")</f>
        <v/>
      </c>
      <c r="S29" s="42">
        <f>IF($D29="Actual",SUMIFS(Data_Actuals!$D$2:$D$5000,Data_Actuals!$A$2:$A$5000,$A29,Data_Actuals!$B$2:$B$5000,$B$2),"")</f>
        <v/>
      </c>
      <c r="T29" s="42">
        <f>IF($D29="Actual",SUMIFS(Data_Actuals!$E$2:$E$5000,Data_Actuals!$A$2:$A$5000,$A29,Data_Actuals!$B$2:$B$5000,$B$2),"")</f>
        <v/>
      </c>
      <c r="U29" s="42">
        <f>IF($D29="Actual",SUMIFS(Data_Actuals!$F$2:$F$5000,Data_Actuals!$A$2:$A$5000,$A29,Data_Actuals!$B$2:$B$5000,$B$2),"")</f>
        <v/>
      </c>
      <c r="V29" s="42">
        <f>IF($D29="Actual",SUMIFS(Data_Actuals!$G$2:$G$5000,Data_Actuals!$A$2:$A$5000,$A29,Data_Actuals!$B$2:$B$5000,$B$2),"")</f>
        <v/>
      </c>
      <c r="W29" s="42">
        <f>SUMIFS(Plan_Inputs!$C$2:$C$5000,Plan_Inputs!$A$2:$A$5000,$A29,Plan_Inputs!$B$2:$B$5000,$B$2)</f>
        <v/>
      </c>
      <c r="X29" s="43">
        <f>SUMIFS(Plan_Inputs!$D$2:$D$5000,Plan_Inputs!$A$2:$A$5000,$A29,Plan_Inputs!$B$2:$B$5000,$B$2)</f>
        <v/>
      </c>
      <c r="Y29" s="42">
        <f>E29</f>
        <v/>
      </c>
      <c r="Z29" s="44">
        <f>INDEX(Calendar!$H$5:$L$52,MATCH($A29,Calendar!$A$5:$A$52,0),MATCH($D$2,Calendar!$H$4:$L$4,0))</f>
        <v/>
      </c>
      <c r="AA29" s="44">
        <f>INDEX(Calendar!$M$5:$M$52,MATCH($A29,Calendar!$A$5:$A$52,0))</f>
        <v/>
      </c>
      <c r="AB29" s="45">
        <f>IF($D29="Actual",IFERROR(S29/Y29,""),AB17)</f>
        <v/>
      </c>
      <c r="AC29" s="46">
        <f>IF($D29="Actual",IFERROR(U29/T29/Z29/AA29,""),AC17)</f>
        <v/>
      </c>
      <c r="AD29" s="43">
        <f>IF($D29="Actual",IFERROR(V29/(U29+V29),""),AD17)</f>
        <v/>
      </c>
      <c r="AE29" s="46">
        <f>IFERROR(AC29*Z29*AA29,"")</f>
        <v/>
      </c>
      <c r="AF29" s="47">
        <f>K17</f>
        <v/>
      </c>
      <c r="AG29" s="43">
        <f>IF($D29="Forecast",IFERROR(K29/AF29-1,""),"")</f>
        <v/>
      </c>
    </row>
    <row r="30">
      <c r="A30" s="8" t="n">
        <v>46113</v>
      </c>
      <c r="B30" s="26">
        <f>YEAR(A30)</f>
        <v/>
      </c>
      <c r="C30" s="26">
        <f>MONTH(A30)</f>
        <v/>
      </c>
      <c r="D30">
        <f>IF(A30&lt;=LastActual,"Actual","Forecast")</f>
        <v/>
      </c>
      <c r="E30" s="24">
        <f>IF($D30="Actual",R30,W30)</f>
        <v/>
      </c>
      <c r="F30" s="27">
        <f>IF($D30="Actual",S30,Cases_Forecast!AQ23)</f>
        <v/>
      </c>
      <c r="G30" s="9">
        <f>IF($D30="Actual",T30,IFERROR(H30/AE30,0))</f>
        <v/>
      </c>
      <c r="H30" s="24">
        <f>IF($D30="Actual",U30,J30-I30)</f>
        <v/>
      </c>
      <c r="I30" s="24">
        <f>IF($D30="Actual",V30,IFERROR(J30*AD30,0))</f>
        <v/>
      </c>
      <c r="J30" s="24">
        <f>IF($D30="Actual",U30+V30,E30*X30)</f>
        <v/>
      </c>
      <c r="K30" s="28">
        <f>IFERROR(F30/G30,0)</f>
        <v/>
      </c>
      <c r="L30" s="29">
        <f>IFERROR(H30/G30,0)</f>
        <v/>
      </c>
      <c r="M30" s="30">
        <f>IFERROR(J30/F30,0)</f>
        <v/>
      </c>
      <c r="N30" s="10">
        <f>IFERROR(J30/E30,0)</f>
        <v/>
      </c>
      <c r="O30" s="10">
        <f>IFERROR(I30/J30,0)</f>
        <v/>
      </c>
      <c r="R30" s="42">
        <f>IF($D30="Actual",SUMIFS(Data_Actuals!$C$2:$C$5000,Data_Actuals!$A$2:$A$5000,$A30,Data_Actuals!$B$2:$B$5000,$B$2),"")</f>
        <v/>
      </c>
      <c r="S30" s="42">
        <f>IF($D30="Actual",SUMIFS(Data_Actuals!$D$2:$D$5000,Data_Actuals!$A$2:$A$5000,$A30,Data_Actuals!$B$2:$B$5000,$B$2),"")</f>
        <v/>
      </c>
      <c r="T30" s="42">
        <f>IF($D30="Actual",SUMIFS(Data_Actuals!$E$2:$E$5000,Data_Actuals!$A$2:$A$5000,$A30,Data_Actuals!$B$2:$B$5000,$B$2),"")</f>
        <v/>
      </c>
      <c r="U30" s="42">
        <f>IF($D30="Actual",SUMIFS(Data_Actuals!$F$2:$F$5000,Data_Actuals!$A$2:$A$5000,$A30,Data_Actuals!$B$2:$B$5000,$B$2),"")</f>
        <v/>
      </c>
      <c r="V30" s="42">
        <f>IF($D30="Actual",SUMIFS(Data_Actuals!$G$2:$G$5000,Data_Actuals!$A$2:$A$5000,$A30,Data_Actuals!$B$2:$B$5000,$B$2),"")</f>
        <v/>
      </c>
      <c r="W30" s="42">
        <f>SUMIFS(Plan_Inputs!$C$2:$C$5000,Plan_Inputs!$A$2:$A$5000,$A30,Plan_Inputs!$B$2:$B$5000,$B$2)</f>
        <v/>
      </c>
      <c r="X30" s="43">
        <f>SUMIFS(Plan_Inputs!$D$2:$D$5000,Plan_Inputs!$A$2:$A$5000,$A30,Plan_Inputs!$B$2:$B$5000,$B$2)</f>
        <v/>
      </c>
      <c r="Y30" s="42">
        <f>E30</f>
        <v/>
      </c>
      <c r="Z30" s="44">
        <f>INDEX(Calendar!$H$5:$L$52,MATCH($A30,Calendar!$A$5:$A$52,0),MATCH($D$2,Calendar!$H$4:$L$4,0))</f>
        <v/>
      </c>
      <c r="AA30" s="44">
        <f>INDEX(Calendar!$M$5:$M$52,MATCH($A30,Calendar!$A$5:$A$52,0))</f>
        <v/>
      </c>
      <c r="AB30" s="45">
        <f>IF($D30="Actual",IFERROR(S30/Y30,""),AB18)</f>
        <v/>
      </c>
      <c r="AC30" s="46">
        <f>IF($D30="Actual",IFERROR(U30/T30/Z30/AA30,""),AC18)</f>
        <v/>
      </c>
      <c r="AD30" s="43">
        <f>IF($D30="Actual",IFERROR(V30/(U30+V30),""),AD18)</f>
        <v/>
      </c>
      <c r="AE30" s="46">
        <f>IFERROR(AC30*Z30*AA30,"")</f>
        <v/>
      </c>
      <c r="AF30" s="47">
        <f>K18</f>
        <v/>
      </c>
      <c r="AG30" s="43">
        <f>IF($D30="Forecast",IFERROR(K30/AF30-1,""),"")</f>
        <v/>
      </c>
    </row>
    <row r="31">
      <c r="A31" s="8" t="n">
        <v>46143</v>
      </c>
      <c r="B31" s="26">
        <f>YEAR(A31)</f>
        <v/>
      </c>
      <c r="C31" s="26">
        <f>MONTH(A31)</f>
        <v/>
      </c>
      <c r="D31">
        <f>IF(A31&lt;=LastActual,"Actual","Forecast")</f>
        <v/>
      </c>
      <c r="E31" s="24">
        <f>IF($D31="Actual",R31,W31)</f>
        <v/>
      </c>
      <c r="F31" s="27">
        <f>IF($D31="Actual",S31,Cases_Forecast!AQ24)</f>
        <v/>
      </c>
      <c r="G31" s="9">
        <f>IF($D31="Actual",T31,IFERROR(H31/AE31,0))</f>
        <v/>
      </c>
      <c r="H31" s="24">
        <f>IF($D31="Actual",U31,J31-I31)</f>
        <v/>
      </c>
      <c r="I31" s="24">
        <f>IF($D31="Actual",V31,IFERROR(J31*AD31,0))</f>
        <v/>
      </c>
      <c r="J31" s="24">
        <f>IF($D31="Actual",U31+V31,E31*X31)</f>
        <v/>
      </c>
      <c r="K31" s="28">
        <f>IFERROR(F31/G31,0)</f>
        <v/>
      </c>
      <c r="L31" s="29">
        <f>IFERROR(H31/G31,0)</f>
        <v/>
      </c>
      <c r="M31" s="30">
        <f>IFERROR(J31/F31,0)</f>
        <v/>
      </c>
      <c r="N31" s="10">
        <f>IFERROR(J31/E31,0)</f>
        <v/>
      </c>
      <c r="O31" s="10">
        <f>IFERROR(I31/J31,0)</f>
        <v/>
      </c>
      <c r="R31" s="42">
        <f>IF($D31="Actual",SUMIFS(Data_Actuals!$C$2:$C$5000,Data_Actuals!$A$2:$A$5000,$A31,Data_Actuals!$B$2:$B$5000,$B$2),"")</f>
        <v/>
      </c>
      <c r="S31" s="42">
        <f>IF($D31="Actual",SUMIFS(Data_Actuals!$D$2:$D$5000,Data_Actuals!$A$2:$A$5000,$A31,Data_Actuals!$B$2:$B$5000,$B$2),"")</f>
        <v/>
      </c>
      <c r="T31" s="42">
        <f>IF($D31="Actual",SUMIFS(Data_Actuals!$E$2:$E$5000,Data_Actuals!$A$2:$A$5000,$A31,Data_Actuals!$B$2:$B$5000,$B$2),"")</f>
        <v/>
      </c>
      <c r="U31" s="42">
        <f>IF($D31="Actual",SUMIFS(Data_Actuals!$F$2:$F$5000,Data_Actuals!$A$2:$A$5000,$A31,Data_Actuals!$B$2:$B$5000,$B$2),"")</f>
        <v/>
      </c>
      <c r="V31" s="42">
        <f>IF($D31="Actual",SUMIFS(Data_Actuals!$G$2:$G$5000,Data_Actuals!$A$2:$A$5000,$A31,Data_Actuals!$B$2:$B$5000,$B$2),"")</f>
        <v/>
      </c>
      <c r="W31" s="42">
        <f>SUMIFS(Plan_Inputs!$C$2:$C$5000,Plan_Inputs!$A$2:$A$5000,$A31,Plan_Inputs!$B$2:$B$5000,$B$2)</f>
        <v/>
      </c>
      <c r="X31" s="43">
        <f>SUMIFS(Plan_Inputs!$D$2:$D$5000,Plan_Inputs!$A$2:$A$5000,$A31,Plan_Inputs!$B$2:$B$5000,$B$2)</f>
        <v/>
      </c>
      <c r="Y31" s="42">
        <f>E31</f>
        <v/>
      </c>
      <c r="Z31" s="44">
        <f>INDEX(Calendar!$H$5:$L$52,MATCH($A31,Calendar!$A$5:$A$52,0),MATCH($D$2,Calendar!$H$4:$L$4,0))</f>
        <v/>
      </c>
      <c r="AA31" s="44">
        <f>INDEX(Calendar!$M$5:$M$52,MATCH($A31,Calendar!$A$5:$A$52,0))</f>
        <v/>
      </c>
      <c r="AB31" s="45">
        <f>IF($D31="Actual",IFERROR(S31/Y31,""),AB19)</f>
        <v/>
      </c>
      <c r="AC31" s="46">
        <f>IF($D31="Actual",IFERROR(U31/T31/Z31/AA31,""),AC19)</f>
        <v/>
      </c>
      <c r="AD31" s="43">
        <f>IF($D31="Actual",IFERROR(V31/(U31+V31),""),AD19)</f>
        <v/>
      </c>
      <c r="AE31" s="46">
        <f>IFERROR(AC31*Z31*AA31,"")</f>
        <v/>
      </c>
      <c r="AF31" s="47">
        <f>K19</f>
        <v/>
      </c>
      <c r="AG31" s="43">
        <f>IF($D31="Forecast",IFERROR(K31/AF31-1,""),"")</f>
        <v/>
      </c>
    </row>
    <row r="32">
      <c r="A32" s="8" t="n">
        <v>46174</v>
      </c>
      <c r="B32" s="26">
        <f>YEAR(A32)</f>
        <v/>
      </c>
      <c r="C32" s="26">
        <f>MONTH(A32)</f>
        <v/>
      </c>
      <c r="D32">
        <f>IF(A32&lt;=LastActual,"Actual","Forecast")</f>
        <v/>
      </c>
      <c r="E32" s="24">
        <f>IF($D32="Actual",R32,W32)</f>
        <v/>
      </c>
      <c r="F32" s="27">
        <f>IF($D32="Actual",S32,Cases_Forecast!AQ25)</f>
        <v/>
      </c>
      <c r="G32" s="9">
        <f>IF($D32="Actual",T32,IFERROR(H32/AE32,0))</f>
        <v/>
      </c>
      <c r="H32" s="24">
        <f>IF($D32="Actual",U32,J32-I32)</f>
        <v/>
      </c>
      <c r="I32" s="24">
        <f>IF($D32="Actual",V32,IFERROR(J32*AD32,0))</f>
        <v/>
      </c>
      <c r="J32" s="24">
        <f>IF($D32="Actual",U32+V32,E32*X32)</f>
        <v/>
      </c>
      <c r="K32" s="28">
        <f>IFERROR(F32/G32,0)</f>
        <v/>
      </c>
      <c r="L32" s="29">
        <f>IFERROR(H32/G32,0)</f>
        <v/>
      </c>
      <c r="M32" s="30">
        <f>IFERROR(J32/F32,0)</f>
        <v/>
      </c>
      <c r="N32" s="10">
        <f>IFERROR(J32/E32,0)</f>
        <v/>
      </c>
      <c r="O32" s="10">
        <f>IFERROR(I32/J32,0)</f>
        <v/>
      </c>
      <c r="R32" s="42">
        <f>IF($D32="Actual",SUMIFS(Data_Actuals!$C$2:$C$5000,Data_Actuals!$A$2:$A$5000,$A32,Data_Actuals!$B$2:$B$5000,$B$2),"")</f>
        <v/>
      </c>
      <c r="S32" s="42">
        <f>IF($D32="Actual",SUMIFS(Data_Actuals!$D$2:$D$5000,Data_Actuals!$A$2:$A$5000,$A32,Data_Actuals!$B$2:$B$5000,$B$2),"")</f>
        <v/>
      </c>
      <c r="T32" s="42">
        <f>IF($D32="Actual",SUMIFS(Data_Actuals!$E$2:$E$5000,Data_Actuals!$A$2:$A$5000,$A32,Data_Actuals!$B$2:$B$5000,$B$2),"")</f>
        <v/>
      </c>
      <c r="U32" s="42">
        <f>IF($D32="Actual",SUMIFS(Data_Actuals!$F$2:$F$5000,Data_Actuals!$A$2:$A$5000,$A32,Data_Actuals!$B$2:$B$5000,$B$2),"")</f>
        <v/>
      </c>
      <c r="V32" s="42">
        <f>IF($D32="Actual",SUMIFS(Data_Actuals!$G$2:$G$5000,Data_Actuals!$A$2:$A$5000,$A32,Data_Actuals!$B$2:$B$5000,$B$2),"")</f>
        <v/>
      </c>
      <c r="W32" s="42">
        <f>SUMIFS(Plan_Inputs!$C$2:$C$5000,Plan_Inputs!$A$2:$A$5000,$A32,Plan_Inputs!$B$2:$B$5000,$B$2)</f>
        <v/>
      </c>
      <c r="X32" s="43">
        <f>SUMIFS(Plan_Inputs!$D$2:$D$5000,Plan_Inputs!$A$2:$A$5000,$A32,Plan_Inputs!$B$2:$B$5000,$B$2)</f>
        <v/>
      </c>
      <c r="Y32" s="42">
        <f>E32</f>
        <v/>
      </c>
      <c r="Z32" s="44">
        <f>INDEX(Calendar!$H$5:$L$52,MATCH($A32,Calendar!$A$5:$A$52,0),MATCH($D$2,Calendar!$H$4:$L$4,0))</f>
        <v/>
      </c>
      <c r="AA32" s="44">
        <f>INDEX(Calendar!$M$5:$M$52,MATCH($A32,Calendar!$A$5:$A$52,0))</f>
        <v/>
      </c>
      <c r="AB32" s="45">
        <f>IF($D32="Actual",IFERROR(S32/Y32,""),AB20)</f>
        <v/>
      </c>
      <c r="AC32" s="46">
        <f>IF($D32="Actual",IFERROR(U32/T32/Z32/AA32,""),AC20)</f>
        <v/>
      </c>
      <c r="AD32" s="43">
        <f>IF($D32="Actual",IFERROR(V32/(U32+V32),""),AD20)</f>
        <v/>
      </c>
      <c r="AE32" s="46">
        <f>IFERROR(AC32*Z32*AA32,"")</f>
        <v/>
      </c>
      <c r="AF32" s="47">
        <f>K20</f>
        <v/>
      </c>
      <c r="AG32" s="43">
        <f>IF($D32="Forecast",IFERROR(K32/AF32-1,""),"")</f>
        <v/>
      </c>
    </row>
    <row r="33">
      <c r="A33" s="8" t="n">
        <v>46204</v>
      </c>
      <c r="B33" s="26">
        <f>YEAR(A33)</f>
        <v/>
      </c>
      <c r="C33" s="26">
        <f>MONTH(A33)</f>
        <v/>
      </c>
      <c r="D33">
        <f>IF(A33&lt;=LastActual,"Actual","Forecast")</f>
        <v/>
      </c>
      <c r="E33" s="24">
        <f>IF($D33="Actual",R33,W33)</f>
        <v/>
      </c>
      <c r="F33" s="27">
        <f>IF($D33="Actual",S33,Cases_Forecast!AQ26)</f>
        <v/>
      </c>
      <c r="G33" s="9">
        <f>IF($D33="Actual",T33,IFERROR(H33/AE33,0))</f>
        <v/>
      </c>
      <c r="H33" s="24">
        <f>IF($D33="Actual",U33,J33-I33)</f>
        <v/>
      </c>
      <c r="I33" s="24">
        <f>IF($D33="Actual",V33,IFERROR(J33*AD33,0))</f>
        <v/>
      </c>
      <c r="J33" s="24">
        <f>IF($D33="Actual",U33+V33,E33*X33)</f>
        <v/>
      </c>
      <c r="K33" s="28">
        <f>IFERROR(F33/G33,0)</f>
        <v/>
      </c>
      <c r="L33" s="29">
        <f>IFERROR(H33/G33,0)</f>
        <v/>
      </c>
      <c r="M33" s="30">
        <f>IFERROR(J33/F33,0)</f>
        <v/>
      </c>
      <c r="N33" s="10">
        <f>IFERROR(J33/E33,0)</f>
        <v/>
      </c>
      <c r="O33" s="10">
        <f>IFERROR(I33/J33,0)</f>
        <v/>
      </c>
      <c r="R33" s="42">
        <f>IF($D33="Actual",SUMIFS(Data_Actuals!$C$2:$C$5000,Data_Actuals!$A$2:$A$5000,$A33,Data_Actuals!$B$2:$B$5000,$B$2),"")</f>
        <v/>
      </c>
      <c r="S33" s="42">
        <f>IF($D33="Actual",SUMIFS(Data_Actuals!$D$2:$D$5000,Data_Actuals!$A$2:$A$5000,$A33,Data_Actuals!$B$2:$B$5000,$B$2),"")</f>
        <v/>
      </c>
      <c r="T33" s="42">
        <f>IF($D33="Actual",SUMIFS(Data_Actuals!$E$2:$E$5000,Data_Actuals!$A$2:$A$5000,$A33,Data_Actuals!$B$2:$B$5000,$B$2),"")</f>
        <v/>
      </c>
      <c r="U33" s="42">
        <f>IF($D33="Actual",SUMIFS(Data_Actuals!$F$2:$F$5000,Data_Actuals!$A$2:$A$5000,$A33,Data_Actuals!$B$2:$B$5000,$B$2),"")</f>
        <v/>
      </c>
      <c r="V33" s="42">
        <f>IF($D33="Actual",SUMIFS(Data_Actuals!$G$2:$G$5000,Data_Actuals!$A$2:$A$5000,$A33,Data_Actuals!$B$2:$B$5000,$B$2),"")</f>
        <v/>
      </c>
      <c r="W33" s="42">
        <f>SUMIFS(Plan_Inputs!$C$2:$C$5000,Plan_Inputs!$A$2:$A$5000,$A33,Plan_Inputs!$B$2:$B$5000,$B$2)</f>
        <v/>
      </c>
      <c r="X33" s="43">
        <f>SUMIFS(Plan_Inputs!$D$2:$D$5000,Plan_Inputs!$A$2:$A$5000,$A33,Plan_Inputs!$B$2:$B$5000,$B$2)</f>
        <v/>
      </c>
      <c r="Y33" s="42">
        <f>E33</f>
        <v/>
      </c>
      <c r="Z33" s="44">
        <f>INDEX(Calendar!$H$5:$L$52,MATCH($A33,Calendar!$A$5:$A$52,0),MATCH($D$2,Calendar!$H$4:$L$4,0))</f>
        <v/>
      </c>
      <c r="AA33" s="44">
        <f>INDEX(Calendar!$M$5:$M$52,MATCH($A33,Calendar!$A$5:$A$52,0))</f>
        <v/>
      </c>
      <c r="AB33" s="45">
        <f>IF($D33="Actual",IFERROR(S33/Y33,""),AB21)</f>
        <v/>
      </c>
      <c r="AC33" s="46">
        <f>IF($D33="Actual",IFERROR(U33/T33/Z33/AA33,""),AC21)</f>
        <v/>
      </c>
      <c r="AD33" s="43">
        <f>IF($D33="Actual",IFERROR(V33/(U33+V33),""),AD21)</f>
        <v/>
      </c>
      <c r="AE33" s="46">
        <f>IFERROR(AC33*Z33*AA33,"")</f>
        <v/>
      </c>
      <c r="AF33" s="47">
        <f>K21</f>
        <v/>
      </c>
      <c r="AG33" s="43">
        <f>IF($D33="Forecast",IFERROR(K33/AF33-1,""),"")</f>
        <v/>
      </c>
    </row>
    <row r="34">
      <c r="A34" s="8" t="n">
        <v>46235</v>
      </c>
      <c r="B34" s="26">
        <f>YEAR(A34)</f>
        <v/>
      </c>
      <c r="C34" s="26">
        <f>MONTH(A34)</f>
        <v/>
      </c>
      <c r="D34">
        <f>IF(A34&lt;=LastActual,"Actual","Forecast")</f>
        <v/>
      </c>
      <c r="E34" s="24">
        <f>IF($D34="Actual",R34,W34)</f>
        <v/>
      </c>
      <c r="F34" s="27">
        <f>IF($D34="Actual",S34,Cases_Forecast!AQ27)</f>
        <v/>
      </c>
      <c r="G34" s="9">
        <f>IF($D34="Actual",T34,IFERROR(H34/AE34,0))</f>
        <v/>
      </c>
      <c r="H34" s="24">
        <f>IF($D34="Actual",U34,J34-I34)</f>
        <v/>
      </c>
      <c r="I34" s="24">
        <f>IF($D34="Actual",V34,IFERROR(J34*AD34,0))</f>
        <v/>
      </c>
      <c r="J34" s="24">
        <f>IF($D34="Actual",U34+V34,E34*X34)</f>
        <v/>
      </c>
      <c r="K34" s="28">
        <f>IFERROR(F34/G34,0)</f>
        <v/>
      </c>
      <c r="L34" s="29">
        <f>IFERROR(H34/G34,0)</f>
        <v/>
      </c>
      <c r="M34" s="30">
        <f>IFERROR(J34/F34,0)</f>
        <v/>
      </c>
      <c r="N34" s="10">
        <f>IFERROR(J34/E34,0)</f>
        <v/>
      </c>
      <c r="O34" s="10">
        <f>IFERROR(I34/J34,0)</f>
        <v/>
      </c>
      <c r="R34" s="42">
        <f>IF($D34="Actual",SUMIFS(Data_Actuals!$C$2:$C$5000,Data_Actuals!$A$2:$A$5000,$A34,Data_Actuals!$B$2:$B$5000,$B$2),"")</f>
        <v/>
      </c>
      <c r="S34" s="42">
        <f>IF($D34="Actual",SUMIFS(Data_Actuals!$D$2:$D$5000,Data_Actuals!$A$2:$A$5000,$A34,Data_Actuals!$B$2:$B$5000,$B$2),"")</f>
        <v/>
      </c>
      <c r="T34" s="42">
        <f>IF($D34="Actual",SUMIFS(Data_Actuals!$E$2:$E$5000,Data_Actuals!$A$2:$A$5000,$A34,Data_Actuals!$B$2:$B$5000,$B$2),"")</f>
        <v/>
      </c>
      <c r="U34" s="42">
        <f>IF($D34="Actual",SUMIFS(Data_Actuals!$F$2:$F$5000,Data_Actuals!$A$2:$A$5000,$A34,Data_Actuals!$B$2:$B$5000,$B$2),"")</f>
        <v/>
      </c>
      <c r="V34" s="42">
        <f>IF($D34="Actual",SUMIFS(Data_Actuals!$G$2:$G$5000,Data_Actuals!$A$2:$A$5000,$A34,Data_Actuals!$B$2:$B$5000,$B$2),"")</f>
        <v/>
      </c>
      <c r="W34" s="42">
        <f>SUMIFS(Plan_Inputs!$C$2:$C$5000,Plan_Inputs!$A$2:$A$5000,$A34,Plan_Inputs!$B$2:$B$5000,$B$2)</f>
        <v/>
      </c>
      <c r="X34" s="43">
        <f>SUMIFS(Plan_Inputs!$D$2:$D$5000,Plan_Inputs!$A$2:$A$5000,$A34,Plan_Inputs!$B$2:$B$5000,$B$2)</f>
        <v/>
      </c>
      <c r="Y34" s="42">
        <f>E34</f>
        <v/>
      </c>
      <c r="Z34" s="44">
        <f>INDEX(Calendar!$H$5:$L$52,MATCH($A34,Calendar!$A$5:$A$52,0),MATCH($D$2,Calendar!$H$4:$L$4,0))</f>
        <v/>
      </c>
      <c r="AA34" s="44">
        <f>INDEX(Calendar!$M$5:$M$52,MATCH($A34,Calendar!$A$5:$A$52,0))</f>
        <v/>
      </c>
      <c r="AB34" s="45">
        <f>IF($D34="Actual",IFERROR(S34/Y34,""),AB22)</f>
        <v/>
      </c>
      <c r="AC34" s="46">
        <f>IF($D34="Actual",IFERROR(U34/T34/Z34/AA34,""),AC22)</f>
        <v/>
      </c>
      <c r="AD34" s="43">
        <f>IF($D34="Actual",IFERROR(V34/(U34+V34),""),AD22)</f>
        <v/>
      </c>
      <c r="AE34" s="46">
        <f>IFERROR(AC34*Z34*AA34,"")</f>
        <v/>
      </c>
      <c r="AF34" s="47">
        <f>K22</f>
        <v/>
      </c>
      <c r="AG34" s="43">
        <f>IF($D34="Forecast",IFERROR(K34/AF34-1,""),"")</f>
        <v/>
      </c>
    </row>
    <row r="35">
      <c r="A35" s="8" t="n">
        <v>46266</v>
      </c>
      <c r="B35" s="26">
        <f>YEAR(A35)</f>
        <v/>
      </c>
      <c r="C35" s="26">
        <f>MONTH(A35)</f>
        <v/>
      </c>
      <c r="D35">
        <f>IF(A35&lt;=LastActual,"Actual","Forecast")</f>
        <v/>
      </c>
      <c r="E35" s="24">
        <f>IF($D35="Actual",R35,W35)</f>
        <v/>
      </c>
      <c r="F35" s="27">
        <f>IF($D35="Actual",S35,Cases_Forecast!AQ28)</f>
        <v/>
      </c>
      <c r="G35" s="9">
        <f>IF($D35="Actual",T35,IFERROR(H35/AE35,0))</f>
        <v/>
      </c>
      <c r="H35" s="24">
        <f>IF($D35="Actual",U35,J35-I35)</f>
        <v/>
      </c>
      <c r="I35" s="24">
        <f>IF($D35="Actual",V35,IFERROR(J35*AD35,0))</f>
        <v/>
      </c>
      <c r="J35" s="24">
        <f>IF($D35="Actual",U35+V35,E35*X35)</f>
        <v/>
      </c>
      <c r="K35" s="28">
        <f>IFERROR(F35/G35,0)</f>
        <v/>
      </c>
      <c r="L35" s="29">
        <f>IFERROR(H35/G35,0)</f>
        <v/>
      </c>
      <c r="M35" s="30">
        <f>IFERROR(J35/F35,0)</f>
        <v/>
      </c>
      <c r="N35" s="10">
        <f>IFERROR(J35/E35,0)</f>
        <v/>
      </c>
      <c r="O35" s="10">
        <f>IFERROR(I35/J35,0)</f>
        <v/>
      </c>
      <c r="R35" s="42">
        <f>IF($D35="Actual",SUMIFS(Data_Actuals!$C$2:$C$5000,Data_Actuals!$A$2:$A$5000,$A35,Data_Actuals!$B$2:$B$5000,$B$2),"")</f>
        <v/>
      </c>
      <c r="S35" s="42">
        <f>IF($D35="Actual",SUMIFS(Data_Actuals!$D$2:$D$5000,Data_Actuals!$A$2:$A$5000,$A35,Data_Actuals!$B$2:$B$5000,$B$2),"")</f>
        <v/>
      </c>
      <c r="T35" s="42">
        <f>IF($D35="Actual",SUMIFS(Data_Actuals!$E$2:$E$5000,Data_Actuals!$A$2:$A$5000,$A35,Data_Actuals!$B$2:$B$5000,$B$2),"")</f>
        <v/>
      </c>
      <c r="U35" s="42">
        <f>IF($D35="Actual",SUMIFS(Data_Actuals!$F$2:$F$5000,Data_Actuals!$A$2:$A$5000,$A35,Data_Actuals!$B$2:$B$5000,$B$2),"")</f>
        <v/>
      </c>
      <c r="V35" s="42">
        <f>IF($D35="Actual",SUMIFS(Data_Actuals!$G$2:$G$5000,Data_Actuals!$A$2:$A$5000,$A35,Data_Actuals!$B$2:$B$5000,$B$2),"")</f>
        <v/>
      </c>
      <c r="W35" s="42">
        <f>SUMIFS(Plan_Inputs!$C$2:$C$5000,Plan_Inputs!$A$2:$A$5000,$A35,Plan_Inputs!$B$2:$B$5000,$B$2)</f>
        <v/>
      </c>
      <c r="X35" s="43">
        <f>SUMIFS(Plan_Inputs!$D$2:$D$5000,Plan_Inputs!$A$2:$A$5000,$A35,Plan_Inputs!$B$2:$B$5000,$B$2)</f>
        <v/>
      </c>
      <c r="Y35" s="42">
        <f>E35</f>
        <v/>
      </c>
      <c r="Z35" s="44">
        <f>INDEX(Calendar!$H$5:$L$52,MATCH($A35,Calendar!$A$5:$A$52,0),MATCH($D$2,Calendar!$H$4:$L$4,0))</f>
        <v/>
      </c>
      <c r="AA35" s="44">
        <f>INDEX(Calendar!$M$5:$M$52,MATCH($A35,Calendar!$A$5:$A$52,0))</f>
        <v/>
      </c>
      <c r="AB35" s="45">
        <f>IF($D35="Actual",IFERROR(S35/Y35,""),AB23)</f>
        <v/>
      </c>
      <c r="AC35" s="46">
        <f>IF($D35="Actual",IFERROR(U35/T35/Z35/AA35,""),AC23)</f>
        <v/>
      </c>
      <c r="AD35" s="43">
        <f>IF($D35="Actual",IFERROR(V35/(U35+V35),""),AD23)</f>
        <v/>
      </c>
      <c r="AE35" s="46">
        <f>IFERROR(AC35*Z35*AA35,"")</f>
        <v/>
      </c>
      <c r="AF35" s="47">
        <f>K23</f>
        <v/>
      </c>
      <c r="AG35" s="43">
        <f>IF($D35="Forecast",IFERROR(K35/AF35-1,""),"")</f>
        <v/>
      </c>
    </row>
    <row r="36">
      <c r="A36" s="8" t="n">
        <v>46296</v>
      </c>
      <c r="B36" s="26">
        <f>YEAR(A36)</f>
        <v/>
      </c>
      <c r="C36" s="26">
        <f>MONTH(A36)</f>
        <v/>
      </c>
      <c r="D36">
        <f>IF(A36&lt;=LastActual,"Actual","Forecast")</f>
        <v/>
      </c>
      <c r="E36" s="24">
        <f>IF($D36="Actual",R36,W36)</f>
        <v/>
      </c>
      <c r="F36" s="27">
        <f>IF($D36="Actual",S36,Cases_Forecast!AQ29)</f>
        <v/>
      </c>
      <c r="G36" s="9">
        <f>IF($D36="Actual",T36,IFERROR(H36/AE36,0))</f>
        <v/>
      </c>
      <c r="H36" s="24">
        <f>IF($D36="Actual",U36,J36-I36)</f>
        <v/>
      </c>
      <c r="I36" s="24">
        <f>IF($D36="Actual",V36,IFERROR(J36*AD36,0))</f>
        <v/>
      </c>
      <c r="J36" s="24">
        <f>IF($D36="Actual",U36+V36,E36*X36)</f>
        <v/>
      </c>
      <c r="K36" s="28">
        <f>IFERROR(F36/G36,0)</f>
        <v/>
      </c>
      <c r="L36" s="29">
        <f>IFERROR(H36/G36,0)</f>
        <v/>
      </c>
      <c r="M36" s="30">
        <f>IFERROR(J36/F36,0)</f>
        <v/>
      </c>
      <c r="N36" s="10">
        <f>IFERROR(J36/E36,0)</f>
        <v/>
      </c>
      <c r="O36" s="10">
        <f>IFERROR(I36/J36,0)</f>
        <v/>
      </c>
      <c r="R36" s="42">
        <f>IF($D36="Actual",SUMIFS(Data_Actuals!$C$2:$C$5000,Data_Actuals!$A$2:$A$5000,$A36,Data_Actuals!$B$2:$B$5000,$B$2),"")</f>
        <v/>
      </c>
      <c r="S36" s="42">
        <f>IF($D36="Actual",SUMIFS(Data_Actuals!$D$2:$D$5000,Data_Actuals!$A$2:$A$5000,$A36,Data_Actuals!$B$2:$B$5000,$B$2),"")</f>
        <v/>
      </c>
      <c r="T36" s="42">
        <f>IF($D36="Actual",SUMIFS(Data_Actuals!$E$2:$E$5000,Data_Actuals!$A$2:$A$5000,$A36,Data_Actuals!$B$2:$B$5000,$B$2),"")</f>
        <v/>
      </c>
      <c r="U36" s="42">
        <f>IF($D36="Actual",SUMIFS(Data_Actuals!$F$2:$F$5000,Data_Actuals!$A$2:$A$5000,$A36,Data_Actuals!$B$2:$B$5000,$B$2),"")</f>
        <v/>
      </c>
      <c r="V36" s="42">
        <f>IF($D36="Actual",SUMIFS(Data_Actuals!$G$2:$G$5000,Data_Actuals!$A$2:$A$5000,$A36,Data_Actuals!$B$2:$B$5000,$B$2),"")</f>
        <v/>
      </c>
      <c r="W36" s="42">
        <f>SUMIFS(Plan_Inputs!$C$2:$C$5000,Plan_Inputs!$A$2:$A$5000,$A36,Plan_Inputs!$B$2:$B$5000,$B$2)</f>
        <v/>
      </c>
      <c r="X36" s="43">
        <f>SUMIFS(Plan_Inputs!$D$2:$D$5000,Plan_Inputs!$A$2:$A$5000,$A36,Plan_Inputs!$B$2:$B$5000,$B$2)</f>
        <v/>
      </c>
      <c r="Y36" s="42">
        <f>E36</f>
        <v/>
      </c>
      <c r="Z36" s="44">
        <f>INDEX(Calendar!$H$5:$L$52,MATCH($A36,Calendar!$A$5:$A$52,0),MATCH($D$2,Calendar!$H$4:$L$4,0))</f>
        <v/>
      </c>
      <c r="AA36" s="44">
        <f>INDEX(Calendar!$M$5:$M$52,MATCH($A36,Calendar!$A$5:$A$52,0))</f>
        <v/>
      </c>
      <c r="AB36" s="45">
        <f>IF($D36="Actual",IFERROR(S36/Y36,""),AB24)</f>
        <v/>
      </c>
      <c r="AC36" s="46">
        <f>IF($D36="Actual",IFERROR(U36/T36/Z36/AA36,""),AC24)</f>
        <v/>
      </c>
      <c r="AD36" s="43">
        <f>IF($D36="Actual",IFERROR(V36/(U36+V36),""),AD24)</f>
        <v/>
      </c>
      <c r="AE36" s="46">
        <f>IFERROR(AC36*Z36*AA36,"")</f>
        <v/>
      </c>
      <c r="AF36" s="47">
        <f>K24</f>
        <v/>
      </c>
      <c r="AG36" s="43">
        <f>IF($D36="Forecast",IFERROR(K36/AF36-1,""),"")</f>
        <v/>
      </c>
    </row>
    <row r="37">
      <c r="A37" s="8" t="n">
        <v>46327</v>
      </c>
      <c r="B37" s="26">
        <f>YEAR(A37)</f>
        <v/>
      </c>
      <c r="C37" s="26">
        <f>MONTH(A37)</f>
        <v/>
      </c>
      <c r="D37">
        <f>IF(A37&lt;=LastActual,"Actual","Forecast")</f>
        <v/>
      </c>
      <c r="E37" s="24">
        <f>IF($D37="Actual",R37,W37)</f>
        <v/>
      </c>
      <c r="F37" s="27">
        <f>IF($D37="Actual",S37,Cases_Forecast!AQ30)</f>
        <v/>
      </c>
      <c r="G37" s="9">
        <f>IF($D37="Actual",T37,IFERROR(H37/AE37,0))</f>
        <v/>
      </c>
      <c r="H37" s="24">
        <f>IF($D37="Actual",U37,J37-I37)</f>
        <v/>
      </c>
      <c r="I37" s="24">
        <f>IF($D37="Actual",V37,IFERROR(J37*AD37,0))</f>
        <v/>
      </c>
      <c r="J37" s="24">
        <f>IF($D37="Actual",U37+V37,E37*X37)</f>
        <v/>
      </c>
      <c r="K37" s="28">
        <f>IFERROR(F37/G37,0)</f>
        <v/>
      </c>
      <c r="L37" s="29">
        <f>IFERROR(H37/G37,0)</f>
        <v/>
      </c>
      <c r="M37" s="30">
        <f>IFERROR(J37/F37,0)</f>
        <v/>
      </c>
      <c r="N37" s="10">
        <f>IFERROR(J37/E37,0)</f>
        <v/>
      </c>
      <c r="O37" s="10">
        <f>IFERROR(I37/J37,0)</f>
        <v/>
      </c>
      <c r="R37" s="42">
        <f>IF($D37="Actual",SUMIFS(Data_Actuals!$C$2:$C$5000,Data_Actuals!$A$2:$A$5000,$A37,Data_Actuals!$B$2:$B$5000,$B$2),"")</f>
        <v/>
      </c>
      <c r="S37" s="42">
        <f>IF($D37="Actual",SUMIFS(Data_Actuals!$D$2:$D$5000,Data_Actuals!$A$2:$A$5000,$A37,Data_Actuals!$B$2:$B$5000,$B$2),"")</f>
        <v/>
      </c>
      <c r="T37" s="42">
        <f>IF($D37="Actual",SUMIFS(Data_Actuals!$E$2:$E$5000,Data_Actuals!$A$2:$A$5000,$A37,Data_Actuals!$B$2:$B$5000,$B$2),"")</f>
        <v/>
      </c>
      <c r="U37" s="42">
        <f>IF($D37="Actual",SUMIFS(Data_Actuals!$F$2:$F$5000,Data_Actuals!$A$2:$A$5000,$A37,Data_Actuals!$B$2:$B$5000,$B$2),"")</f>
        <v/>
      </c>
      <c r="V37" s="42">
        <f>IF($D37="Actual",SUMIFS(Data_Actuals!$G$2:$G$5000,Data_Actuals!$A$2:$A$5000,$A37,Data_Actuals!$B$2:$B$5000,$B$2),"")</f>
        <v/>
      </c>
      <c r="W37" s="42">
        <f>SUMIFS(Plan_Inputs!$C$2:$C$5000,Plan_Inputs!$A$2:$A$5000,$A37,Plan_Inputs!$B$2:$B$5000,$B$2)</f>
        <v/>
      </c>
      <c r="X37" s="43">
        <f>SUMIFS(Plan_Inputs!$D$2:$D$5000,Plan_Inputs!$A$2:$A$5000,$A37,Plan_Inputs!$B$2:$B$5000,$B$2)</f>
        <v/>
      </c>
      <c r="Y37" s="42">
        <f>E37</f>
        <v/>
      </c>
      <c r="Z37" s="44">
        <f>INDEX(Calendar!$H$5:$L$52,MATCH($A37,Calendar!$A$5:$A$52,0),MATCH($D$2,Calendar!$H$4:$L$4,0))</f>
        <v/>
      </c>
      <c r="AA37" s="44">
        <f>INDEX(Calendar!$M$5:$M$52,MATCH($A37,Calendar!$A$5:$A$52,0))</f>
        <v/>
      </c>
      <c r="AB37" s="45">
        <f>IF($D37="Actual",IFERROR(S37/Y37,""),AB25)</f>
        <v/>
      </c>
      <c r="AC37" s="46">
        <f>IF($D37="Actual",IFERROR(U37/T37/Z37/AA37,""),AC25)</f>
        <v/>
      </c>
      <c r="AD37" s="43">
        <f>IF($D37="Actual",IFERROR(V37/(U37+V37),""),AD25)</f>
        <v/>
      </c>
      <c r="AE37" s="46">
        <f>IFERROR(AC37*Z37*AA37,"")</f>
        <v/>
      </c>
      <c r="AF37" s="47">
        <f>K25</f>
        <v/>
      </c>
      <c r="AG37" s="43">
        <f>IF($D37="Forecast",IFERROR(K37/AF37-1,""),"")</f>
        <v/>
      </c>
    </row>
    <row r="38">
      <c r="A38" s="31" t="n">
        <v>46357</v>
      </c>
      <c r="B38" s="32">
        <f>YEAR(A38)</f>
        <v/>
      </c>
      <c r="C38" s="32">
        <f>MONTH(A38)</f>
        <v/>
      </c>
      <c r="D38" s="33">
        <f>IF(A38&lt;=LastActual,"Actual","Forecast")</f>
        <v/>
      </c>
      <c r="E38" s="34">
        <f>IF($D38="Actual",R38,W38)</f>
        <v/>
      </c>
      <c r="F38" s="35">
        <f>IF($D38="Actual",S38,Cases_Forecast!AQ31)</f>
        <v/>
      </c>
      <c r="G38" s="36">
        <f>IF($D38="Actual",T38,IFERROR(H38/AE38,0))</f>
        <v/>
      </c>
      <c r="H38" s="34">
        <f>IF($D38="Actual",U38,J38-I38)</f>
        <v/>
      </c>
      <c r="I38" s="34">
        <f>IF($D38="Actual",V38,IFERROR(J38*AD38,0))</f>
        <v/>
      </c>
      <c r="J38" s="34">
        <f>IF($D38="Actual",U38+V38,E38*X38)</f>
        <v/>
      </c>
      <c r="K38" s="37">
        <f>IFERROR(F38/G38,0)</f>
        <v/>
      </c>
      <c r="L38" s="38">
        <f>IFERROR(H38/G38,0)</f>
        <v/>
      </c>
      <c r="M38" s="39">
        <f>IFERROR(J38/F38,0)</f>
        <v/>
      </c>
      <c r="N38" s="40">
        <f>IFERROR(J38/E38,0)</f>
        <v/>
      </c>
      <c r="O38" s="40">
        <f>IFERROR(I38/J38,0)</f>
        <v/>
      </c>
      <c r="R38" s="42">
        <f>IF($D38="Actual",SUMIFS(Data_Actuals!$C$2:$C$5000,Data_Actuals!$A$2:$A$5000,$A38,Data_Actuals!$B$2:$B$5000,$B$2),"")</f>
        <v/>
      </c>
      <c r="S38" s="42">
        <f>IF($D38="Actual",SUMIFS(Data_Actuals!$D$2:$D$5000,Data_Actuals!$A$2:$A$5000,$A38,Data_Actuals!$B$2:$B$5000,$B$2),"")</f>
        <v/>
      </c>
      <c r="T38" s="42">
        <f>IF($D38="Actual",SUMIFS(Data_Actuals!$E$2:$E$5000,Data_Actuals!$A$2:$A$5000,$A38,Data_Actuals!$B$2:$B$5000,$B$2),"")</f>
        <v/>
      </c>
      <c r="U38" s="42">
        <f>IF($D38="Actual",SUMIFS(Data_Actuals!$F$2:$F$5000,Data_Actuals!$A$2:$A$5000,$A38,Data_Actuals!$B$2:$B$5000,$B$2),"")</f>
        <v/>
      </c>
      <c r="V38" s="42">
        <f>IF($D38="Actual",SUMIFS(Data_Actuals!$G$2:$G$5000,Data_Actuals!$A$2:$A$5000,$A38,Data_Actuals!$B$2:$B$5000,$B$2),"")</f>
        <v/>
      </c>
      <c r="W38" s="42">
        <f>SUMIFS(Plan_Inputs!$C$2:$C$5000,Plan_Inputs!$A$2:$A$5000,$A38,Plan_Inputs!$B$2:$B$5000,$B$2)</f>
        <v/>
      </c>
      <c r="X38" s="43">
        <f>SUMIFS(Plan_Inputs!$D$2:$D$5000,Plan_Inputs!$A$2:$A$5000,$A38,Plan_Inputs!$B$2:$B$5000,$B$2)</f>
        <v/>
      </c>
      <c r="Y38" s="42">
        <f>E38</f>
        <v/>
      </c>
      <c r="Z38" s="44">
        <f>INDEX(Calendar!$H$5:$L$52,MATCH($A38,Calendar!$A$5:$A$52,0),MATCH($D$2,Calendar!$H$4:$L$4,0))</f>
        <v/>
      </c>
      <c r="AA38" s="44">
        <f>INDEX(Calendar!$M$5:$M$52,MATCH($A38,Calendar!$A$5:$A$52,0))</f>
        <v/>
      </c>
      <c r="AB38" s="45">
        <f>IF($D38="Actual",IFERROR(S38/Y38,""),AB26)</f>
        <v/>
      </c>
      <c r="AC38" s="46">
        <f>IF($D38="Actual",IFERROR(U38/T38/Z38/AA38,""),AC26)</f>
        <v/>
      </c>
      <c r="AD38" s="43">
        <f>IF($D38="Actual",IFERROR(V38/(U38+V38),""),AD26)</f>
        <v/>
      </c>
      <c r="AE38" s="46">
        <f>IFERROR(AC38*Z38*AA38,"")</f>
        <v/>
      </c>
      <c r="AF38" s="47">
        <f>K26</f>
        <v/>
      </c>
      <c r="AG38" s="43">
        <f>IF($D38="Forecast",IFERROR(K38/AF38-1,""),"")</f>
        <v/>
      </c>
    </row>
    <row r="39">
      <c r="A39" s="8" t="n">
        <v>46388</v>
      </c>
      <c r="B39" s="26">
        <f>YEAR(A39)</f>
        <v/>
      </c>
      <c r="C39" s="26">
        <f>MONTH(A39)</f>
        <v/>
      </c>
      <c r="D39">
        <f>IF(A39&lt;=LastActual,"Actual","Forecast")</f>
        <v/>
      </c>
      <c r="E39" s="24">
        <f>IF($D39="Actual",R39,W39)</f>
        <v/>
      </c>
      <c r="F39" s="27">
        <f>IF($D39="Actual",S39,Cases_Forecast!AQ32)</f>
        <v/>
      </c>
      <c r="G39" s="9">
        <f>IF($D39="Actual",T39,IFERROR(H39/AE39,0))</f>
        <v/>
      </c>
      <c r="H39" s="24">
        <f>IF($D39="Actual",U39,J39-I39)</f>
        <v/>
      </c>
      <c r="I39" s="24">
        <f>IF($D39="Actual",V39,IFERROR(J39*AD39,0))</f>
        <v/>
      </c>
      <c r="J39" s="24">
        <f>IF($D39="Actual",U39+V39,E39*X39)</f>
        <v/>
      </c>
      <c r="K39" s="28">
        <f>IFERROR(F39/G39,0)</f>
        <v/>
      </c>
      <c r="L39" s="29">
        <f>IFERROR(H39/G39,0)</f>
        <v/>
      </c>
      <c r="M39" s="30">
        <f>IFERROR(J39/F39,0)</f>
        <v/>
      </c>
      <c r="N39" s="10">
        <f>IFERROR(J39/E39,0)</f>
        <v/>
      </c>
      <c r="O39" s="10">
        <f>IFERROR(I39/J39,0)</f>
        <v/>
      </c>
      <c r="R39" s="42">
        <f>IF($D39="Actual",SUMIFS(Data_Actuals!$C$2:$C$5000,Data_Actuals!$A$2:$A$5000,$A39,Data_Actuals!$B$2:$B$5000,$B$2),"")</f>
        <v/>
      </c>
      <c r="S39" s="42">
        <f>IF($D39="Actual",SUMIFS(Data_Actuals!$D$2:$D$5000,Data_Actuals!$A$2:$A$5000,$A39,Data_Actuals!$B$2:$B$5000,$B$2),"")</f>
        <v/>
      </c>
      <c r="T39" s="42">
        <f>IF($D39="Actual",SUMIFS(Data_Actuals!$E$2:$E$5000,Data_Actuals!$A$2:$A$5000,$A39,Data_Actuals!$B$2:$B$5000,$B$2),"")</f>
        <v/>
      </c>
      <c r="U39" s="42">
        <f>IF($D39="Actual",SUMIFS(Data_Actuals!$F$2:$F$5000,Data_Actuals!$A$2:$A$5000,$A39,Data_Actuals!$B$2:$B$5000,$B$2),"")</f>
        <v/>
      </c>
      <c r="V39" s="42">
        <f>IF($D39="Actual",SUMIFS(Data_Actuals!$G$2:$G$5000,Data_Actuals!$A$2:$A$5000,$A39,Data_Actuals!$B$2:$B$5000,$B$2),"")</f>
        <v/>
      </c>
      <c r="W39" s="42">
        <f>SUMIFS(Plan_Inputs!$C$2:$C$5000,Plan_Inputs!$A$2:$A$5000,$A39,Plan_Inputs!$B$2:$B$5000,$B$2)</f>
        <v/>
      </c>
      <c r="X39" s="43">
        <f>SUMIFS(Plan_Inputs!$D$2:$D$5000,Plan_Inputs!$A$2:$A$5000,$A39,Plan_Inputs!$B$2:$B$5000,$B$2)</f>
        <v/>
      </c>
      <c r="Y39" s="42">
        <f>E39</f>
        <v/>
      </c>
      <c r="Z39" s="44">
        <f>INDEX(Calendar!$H$5:$L$52,MATCH($A39,Calendar!$A$5:$A$52,0),MATCH($D$2,Calendar!$H$4:$L$4,0))</f>
        <v/>
      </c>
      <c r="AA39" s="44">
        <f>INDEX(Calendar!$M$5:$M$52,MATCH($A39,Calendar!$A$5:$A$52,0))</f>
        <v/>
      </c>
      <c r="AB39" s="45">
        <f>IF($D39="Actual",IFERROR(S39/Y39,""),AB27)</f>
        <v/>
      </c>
      <c r="AC39" s="46">
        <f>IF($D39="Actual",IFERROR(U39/T39/Z39/AA39,""),AC27)</f>
        <v/>
      </c>
      <c r="AD39" s="43">
        <f>IF($D39="Actual",IFERROR(V39/(U39+V39),""),AD27)</f>
        <v/>
      </c>
      <c r="AE39" s="46">
        <f>IFERROR(AC39*Z39*AA39,"")</f>
        <v/>
      </c>
      <c r="AF39" s="47">
        <f>K27</f>
        <v/>
      </c>
      <c r="AG39" s="43">
        <f>IF($D39="Forecast",IFERROR(K39/AF39-1,""),"")</f>
        <v/>
      </c>
    </row>
    <row r="40">
      <c r="A40" s="8" t="n">
        <v>46419</v>
      </c>
      <c r="B40" s="26">
        <f>YEAR(A40)</f>
        <v/>
      </c>
      <c r="C40" s="26">
        <f>MONTH(A40)</f>
        <v/>
      </c>
      <c r="D40">
        <f>IF(A40&lt;=LastActual,"Actual","Forecast")</f>
        <v/>
      </c>
      <c r="E40" s="24">
        <f>IF($D40="Actual",R40,W40)</f>
        <v/>
      </c>
      <c r="F40" s="27">
        <f>IF($D40="Actual",S40,Cases_Forecast!AQ33)</f>
        <v/>
      </c>
      <c r="G40" s="9">
        <f>IF($D40="Actual",T40,IFERROR(H40/AE40,0))</f>
        <v/>
      </c>
      <c r="H40" s="24">
        <f>IF($D40="Actual",U40,J40-I40)</f>
        <v/>
      </c>
      <c r="I40" s="24">
        <f>IF($D40="Actual",V40,IFERROR(J40*AD40,0))</f>
        <v/>
      </c>
      <c r="J40" s="24">
        <f>IF($D40="Actual",U40+V40,E40*X40)</f>
        <v/>
      </c>
      <c r="K40" s="28">
        <f>IFERROR(F40/G40,0)</f>
        <v/>
      </c>
      <c r="L40" s="29">
        <f>IFERROR(H40/G40,0)</f>
        <v/>
      </c>
      <c r="M40" s="30">
        <f>IFERROR(J40/F40,0)</f>
        <v/>
      </c>
      <c r="N40" s="10">
        <f>IFERROR(J40/E40,0)</f>
        <v/>
      </c>
      <c r="O40" s="10">
        <f>IFERROR(I40/J40,0)</f>
        <v/>
      </c>
      <c r="R40" s="42">
        <f>IF($D40="Actual",SUMIFS(Data_Actuals!$C$2:$C$5000,Data_Actuals!$A$2:$A$5000,$A40,Data_Actuals!$B$2:$B$5000,$B$2),"")</f>
        <v/>
      </c>
      <c r="S40" s="42">
        <f>IF($D40="Actual",SUMIFS(Data_Actuals!$D$2:$D$5000,Data_Actuals!$A$2:$A$5000,$A40,Data_Actuals!$B$2:$B$5000,$B$2),"")</f>
        <v/>
      </c>
      <c r="T40" s="42">
        <f>IF($D40="Actual",SUMIFS(Data_Actuals!$E$2:$E$5000,Data_Actuals!$A$2:$A$5000,$A40,Data_Actuals!$B$2:$B$5000,$B$2),"")</f>
        <v/>
      </c>
      <c r="U40" s="42">
        <f>IF($D40="Actual",SUMIFS(Data_Actuals!$F$2:$F$5000,Data_Actuals!$A$2:$A$5000,$A40,Data_Actuals!$B$2:$B$5000,$B$2),"")</f>
        <v/>
      </c>
      <c r="V40" s="42">
        <f>IF($D40="Actual",SUMIFS(Data_Actuals!$G$2:$G$5000,Data_Actuals!$A$2:$A$5000,$A40,Data_Actuals!$B$2:$B$5000,$B$2),"")</f>
        <v/>
      </c>
      <c r="W40" s="42">
        <f>SUMIFS(Plan_Inputs!$C$2:$C$5000,Plan_Inputs!$A$2:$A$5000,$A40,Plan_Inputs!$B$2:$B$5000,$B$2)</f>
        <v/>
      </c>
      <c r="X40" s="43">
        <f>SUMIFS(Plan_Inputs!$D$2:$D$5000,Plan_Inputs!$A$2:$A$5000,$A40,Plan_Inputs!$B$2:$B$5000,$B$2)</f>
        <v/>
      </c>
      <c r="Y40" s="42">
        <f>E40</f>
        <v/>
      </c>
      <c r="Z40" s="44">
        <f>INDEX(Calendar!$H$5:$L$52,MATCH($A40,Calendar!$A$5:$A$52,0),MATCH($D$2,Calendar!$H$4:$L$4,0))</f>
        <v/>
      </c>
      <c r="AA40" s="44">
        <f>INDEX(Calendar!$M$5:$M$52,MATCH($A40,Calendar!$A$5:$A$52,0))</f>
        <v/>
      </c>
      <c r="AB40" s="45">
        <f>IF($D40="Actual",IFERROR(S40/Y40,""),AB28)</f>
        <v/>
      </c>
      <c r="AC40" s="46">
        <f>IF($D40="Actual",IFERROR(U40/T40/Z40/AA40,""),AC28)</f>
        <v/>
      </c>
      <c r="AD40" s="43">
        <f>IF($D40="Actual",IFERROR(V40/(U40+V40),""),AD28)</f>
        <v/>
      </c>
      <c r="AE40" s="46">
        <f>IFERROR(AC40*Z40*AA40,"")</f>
        <v/>
      </c>
      <c r="AF40" s="47">
        <f>K28</f>
        <v/>
      </c>
      <c r="AG40" s="43">
        <f>IF($D40="Forecast",IFERROR(K40/AF40-1,""),"")</f>
        <v/>
      </c>
    </row>
    <row r="41">
      <c r="A41" s="8" t="n">
        <v>46447</v>
      </c>
      <c r="B41" s="26">
        <f>YEAR(A41)</f>
        <v/>
      </c>
      <c r="C41" s="26">
        <f>MONTH(A41)</f>
        <v/>
      </c>
      <c r="D41">
        <f>IF(A41&lt;=LastActual,"Actual","Forecast")</f>
        <v/>
      </c>
      <c r="E41" s="24">
        <f>IF($D41="Actual",R41,W41)</f>
        <v/>
      </c>
      <c r="F41" s="27">
        <f>IF($D41="Actual",S41,Cases_Forecast!AQ34)</f>
        <v/>
      </c>
      <c r="G41" s="9">
        <f>IF($D41="Actual",T41,IFERROR(H41/AE41,0))</f>
        <v/>
      </c>
      <c r="H41" s="24">
        <f>IF($D41="Actual",U41,J41-I41)</f>
        <v/>
      </c>
      <c r="I41" s="24">
        <f>IF($D41="Actual",V41,IFERROR(J41*AD41,0))</f>
        <v/>
      </c>
      <c r="J41" s="24">
        <f>IF($D41="Actual",U41+V41,E41*X41)</f>
        <v/>
      </c>
      <c r="K41" s="28">
        <f>IFERROR(F41/G41,0)</f>
        <v/>
      </c>
      <c r="L41" s="29">
        <f>IFERROR(H41/G41,0)</f>
        <v/>
      </c>
      <c r="M41" s="30">
        <f>IFERROR(J41/F41,0)</f>
        <v/>
      </c>
      <c r="N41" s="10">
        <f>IFERROR(J41/E41,0)</f>
        <v/>
      </c>
      <c r="O41" s="10">
        <f>IFERROR(I41/J41,0)</f>
        <v/>
      </c>
      <c r="R41" s="42">
        <f>IF($D41="Actual",SUMIFS(Data_Actuals!$C$2:$C$5000,Data_Actuals!$A$2:$A$5000,$A41,Data_Actuals!$B$2:$B$5000,$B$2),"")</f>
        <v/>
      </c>
      <c r="S41" s="42">
        <f>IF($D41="Actual",SUMIFS(Data_Actuals!$D$2:$D$5000,Data_Actuals!$A$2:$A$5000,$A41,Data_Actuals!$B$2:$B$5000,$B$2),"")</f>
        <v/>
      </c>
      <c r="T41" s="42">
        <f>IF($D41="Actual",SUMIFS(Data_Actuals!$E$2:$E$5000,Data_Actuals!$A$2:$A$5000,$A41,Data_Actuals!$B$2:$B$5000,$B$2),"")</f>
        <v/>
      </c>
      <c r="U41" s="42">
        <f>IF($D41="Actual",SUMIFS(Data_Actuals!$F$2:$F$5000,Data_Actuals!$A$2:$A$5000,$A41,Data_Actuals!$B$2:$B$5000,$B$2),"")</f>
        <v/>
      </c>
      <c r="V41" s="42">
        <f>IF($D41="Actual",SUMIFS(Data_Actuals!$G$2:$G$5000,Data_Actuals!$A$2:$A$5000,$A41,Data_Actuals!$B$2:$B$5000,$B$2),"")</f>
        <v/>
      </c>
      <c r="W41" s="42">
        <f>SUMIFS(Plan_Inputs!$C$2:$C$5000,Plan_Inputs!$A$2:$A$5000,$A41,Plan_Inputs!$B$2:$B$5000,$B$2)</f>
        <v/>
      </c>
      <c r="X41" s="43">
        <f>SUMIFS(Plan_Inputs!$D$2:$D$5000,Plan_Inputs!$A$2:$A$5000,$A41,Plan_Inputs!$B$2:$B$5000,$B$2)</f>
        <v/>
      </c>
      <c r="Y41" s="42">
        <f>E41</f>
        <v/>
      </c>
      <c r="Z41" s="44">
        <f>INDEX(Calendar!$H$5:$L$52,MATCH($A41,Calendar!$A$5:$A$52,0),MATCH($D$2,Calendar!$H$4:$L$4,0))</f>
        <v/>
      </c>
      <c r="AA41" s="44">
        <f>INDEX(Calendar!$M$5:$M$52,MATCH($A41,Calendar!$A$5:$A$52,0))</f>
        <v/>
      </c>
      <c r="AB41" s="45">
        <f>IF($D41="Actual",IFERROR(S41/Y41,""),AB29)</f>
        <v/>
      </c>
      <c r="AC41" s="46">
        <f>IF($D41="Actual",IFERROR(U41/T41/Z41/AA41,""),AC29)</f>
        <v/>
      </c>
      <c r="AD41" s="43">
        <f>IF($D41="Actual",IFERROR(V41/(U41+V41),""),AD29)</f>
        <v/>
      </c>
      <c r="AE41" s="46">
        <f>IFERROR(AC41*Z41*AA41,"")</f>
        <v/>
      </c>
      <c r="AF41" s="47">
        <f>K29</f>
        <v/>
      </c>
      <c r="AG41" s="43">
        <f>IF($D41="Forecast",IFERROR(K41/AF41-1,""),"")</f>
        <v/>
      </c>
    </row>
    <row r="42">
      <c r="A42" s="8" t="n">
        <v>46478</v>
      </c>
      <c r="B42" s="26">
        <f>YEAR(A42)</f>
        <v/>
      </c>
      <c r="C42" s="26">
        <f>MONTH(A42)</f>
        <v/>
      </c>
      <c r="D42">
        <f>IF(A42&lt;=LastActual,"Actual","Forecast")</f>
        <v/>
      </c>
      <c r="E42" s="24">
        <f>IF($D42="Actual",R42,W42)</f>
        <v/>
      </c>
      <c r="F42" s="27">
        <f>IF($D42="Actual",S42,Cases_Forecast!AQ35)</f>
        <v/>
      </c>
      <c r="G42" s="9">
        <f>IF($D42="Actual",T42,IFERROR(H42/AE42,0))</f>
        <v/>
      </c>
      <c r="H42" s="24">
        <f>IF($D42="Actual",U42,J42-I42)</f>
        <v/>
      </c>
      <c r="I42" s="24">
        <f>IF($D42="Actual",V42,IFERROR(J42*AD42,0))</f>
        <v/>
      </c>
      <c r="J42" s="24">
        <f>IF($D42="Actual",U42+V42,E42*X42)</f>
        <v/>
      </c>
      <c r="K42" s="28">
        <f>IFERROR(F42/G42,0)</f>
        <v/>
      </c>
      <c r="L42" s="29">
        <f>IFERROR(H42/G42,0)</f>
        <v/>
      </c>
      <c r="M42" s="30">
        <f>IFERROR(J42/F42,0)</f>
        <v/>
      </c>
      <c r="N42" s="10">
        <f>IFERROR(J42/E42,0)</f>
        <v/>
      </c>
      <c r="O42" s="10">
        <f>IFERROR(I42/J42,0)</f>
        <v/>
      </c>
      <c r="R42" s="42">
        <f>IF($D42="Actual",SUMIFS(Data_Actuals!$C$2:$C$5000,Data_Actuals!$A$2:$A$5000,$A42,Data_Actuals!$B$2:$B$5000,$B$2),"")</f>
        <v/>
      </c>
      <c r="S42" s="42">
        <f>IF($D42="Actual",SUMIFS(Data_Actuals!$D$2:$D$5000,Data_Actuals!$A$2:$A$5000,$A42,Data_Actuals!$B$2:$B$5000,$B$2),"")</f>
        <v/>
      </c>
      <c r="T42" s="42">
        <f>IF($D42="Actual",SUMIFS(Data_Actuals!$E$2:$E$5000,Data_Actuals!$A$2:$A$5000,$A42,Data_Actuals!$B$2:$B$5000,$B$2),"")</f>
        <v/>
      </c>
      <c r="U42" s="42">
        <f>IF($D42="Actual",SUMIFS(Data_Actuals!$F$2:$F$5000,Data_Actuals!$A$2:$A$5000,$A42,Data_Actuals!$B$2:$B$5000,$B$2),"")</f>
        <v/>
      </c>
      <c r="V42" s="42">
        <f>IF($D42="Actual",SUMIFS(Data_Actuals!$G$2:$G$5000,Data_Actuals!$A$2:$A$5000,$A42,Data_Actuals!$B$2:$B$5000,$B$2),"")</f>
        <v/>
      </c>
      <c r="W42" s="42">
        <f>SUMIFS(Plan_Inputs!$C$2:$C$5000,Plan_Inputs!$A$2:$A$5000,$A42,Plan_Inputs!$B$2:$B$5000,$B$2)</f>
        <v/>
      </c>
      <c r="X42" s="43">
        <f>SUMIFS(Plan_Inputs!$D$2:$D$5000,Plan_Inputs!$A$2:$A$5000,$A42,Plan_Inputs!$B$2:$B$5000,$B$2)</f>
        <v/>
      </c>
      <c r="Y42" s="42">
        <f>E42</f>
        <v/>
      </c>
      <c r="Z42" s="44">
        <f>INDEX(Calendar!$H$5:$L$52,MATCH($A42,Calendar!$A$5:$A$52,0),MATCH($D$2,Calendar!$H$4:$L$4,0))</f>
        <v/>
      </c>
      <c r="AA42" s="44">
        <f>INDEX(Calendar!$M$5:$M$52,MATCH($A42,Calendar!$A$5:$A$52,0))</f>
        <v/>
      </c>
      <c r="AB42" s="45">
        <f>IF($D42="Actual",IFERROR(S42/Y42,""),AB30)</f>
        <v/>
      </c>
      <c r="AC42" s="46">
        <f>IF($D42="Actual",IFERROR(U42/T42/Z42/AA42,""),AC30)</f>
        <v/>
      </c>
      <c r="AD42" s="43">
        <f>IF($D42="Actual",IFERROR(V42/(U42+V42),""),AD30)</f>
        <v/>
      </c>
      <c r="AE42" s="46">
        <f>IFERROR(AC42*Z42*AA42,"")</f>
        <v/>
      </c>
      <c r="AF42" s="47">
        <f>K30</f>
        <v/>
      </c>
      <c r="AG42" s="43">
        <f>IF($D42="Forecast",IFERROR(K42/AF42-1,""),"")</f>
        <v/>
      </c>
    </row>
    <row r="43">
      <c r="A43" s="8" t="n">
        <v>46508</v>
      </c>
      <c r="B43" s="26">
        <f>YEAR(A43)</f>
        <v/>
      </c>
      <c r="C43" s="26">
        <f>MONTH(A43)</f>
        <v/>
      </c>
      <c r="D43">
        <f>IF(A43&lt;=LastActual,"Actual","Forecast")</f>
        <v/>
      </c>
      <c r="E43" s="24">
        <f>IF($D43="Actual",R43,W43)</f>
        <v/>
      </c>
      <c r="F43" s="27">
        <f>IF($D43="Actual",S43,Cases_Forecast!AQ36)</f>
        <v/>
      </c>
      <c r="G43" s="9">
        <f>IF($D43="Actual",T43,IFERROR(H43/AE43,0))</f>
        <v/>
      </c>
      <c r="H43" s="24">
        <f>IF($D43="Actual",U43,J43-I43)</f>
        <v/>
      </c>
      <c r="I43" s="24">
        <f>IF($D43="Actual",V43,IFERROR(J43*AD43,0))</f>
        <v/>
      </c>
      <c r="J43" s="24">
        <f>IF($D43="Actual",U43+V43,E43*X43)</f>
        <v/>
      </c>
      <c r="K43" s="28">
        <f>IFERROR(F43/G43,0)</f>
        <v/>
      </c>
      <c r="L43" s="29">
        <f>IFERROR(H43/G43,0)</f>
        <v/>
      </c>
      <c r="M43" s="30">
        <f>IFERROR(J43/F43,0)</f>
        <v/>
      </c>
      <c r="N43" s="10">
        <f>IFERROR(J43/E43,0)</f>
        <v/>
      </c>
      <c r="O43" s="10">
        <f>IFERROR(I43/J43,0)</f>
        <v/>
      </c>
      <c r="R43" s="42">
        <f>IF($D43="Actual",SUMIFS(Data_Actuals!$C$2:$C$5000,Data_Actuals!$A$2:$A$5000,$A43,Data_Actuals!$B$2:$B$5000,$B$2),"")</f>
        <v/>
      </c>
      <c r="S43" s="42">
        <f>IF($D43="Actual",SUMIFS(Data_Actuals!$D$2:$D$5000,Data_Actuals!$A$2:$A$5000,$A43,Data_Actuals!$B$2:$B$5000,$B$2),"")</f>
        <v/>
      </c>
      <c r="T43" s="42">
        <f>IF($D43="Actual",SUMIFS(Data_Actuals!$E$2:$E$5000,Data_Actuals!$A$2:$A$5000,$A43,Data_Actuals!$B$2:$B$5000,$B$2),"")</f>
        <v/>
      </c>
      <c r="U43" s="42">
        <f>IF($D43="Actual",SUMIFS(Data_Actuals!$F$2:$F$5000,Data_Actuals!$A$2:$A$5000,$A43,Data_Actuals!$B$2:$B$5000,$B$2),"")</f>
        <v/>
      </c>
      <c r="V43" s="42">
        <f>IF($D43="Actual",SUMIFS(Data_Actuals!$G$2:$G$5000,Data_Actuals!$A$2:$A$5000,$A43,Data_Actuals!$B$2:$B$5000,$B$2),"")</f>
        <v/>
      </c>
      <c r="W43" s="42">
        <f>SUMIFS(Plan_Inputs!$C$2:$C$5000,Plan_Inputs!$A$2:$A$5000,$A43,Plan_Inputs!$B$2:$B$5000,$B$2)</f>
        <v/>
      </c>
      <c r="X43" s="43">
        <f>SUMIFS(Plan_Inputs!$D$2:$D$5000,Plan_Inputs!$A$2:$A$5000,$A43,Plan_Inputs!$B$2:$B$5000,$B$2)</f>
        <v/>
      </c>
      <c r="Y43" s="42">
        <f>E43</f>
        <v/>
      </c>
      <c r="Z43" s="44">
        <f>INDEX(Calendar!$H$5:$L$52,MATCH($A43,Calendar!$A$5:$A$52,0),MATCH($D$2,Calendar!$H$4:$L$4,0))</f>
        <v/>
      </c>
      <c r="AA43" s="44">
        <f>INDEX(Calendar!$M$5:$M$52,MATCH($A43,Calendar!$A$5:$A$52,0))</f>
        <v/>
      </c>
      <c r="AB43" s="45">
        <f>IF($D43="Actual",IFERROR(S43/Y43,""),AB31)</f>
        <v/>
      </c>
      <c r="AC43" s="46">
        <f>IF($D43="Actual",IFERROR(U43/T43/Z43/AA43,""),AC31)</f>
        <v/>
      </c>
      <c r="AD43" s="43">
        <f>IF($D43="Actual",IFERROR(V43/(U43+V43),""),AD31)</f>
        <v/>
      </c>
      <c r="AE43" s="46">
        <f>IFERROR(AC43*Z43*AA43,"")</f>
        <v/>
      </c>
      <c r="AF43" s="47">
        <f>K31</f>
        <v/>
      </c>
      <c r="AG43" s="43">
        <f>IF($D43="Forecast",IFERROR(K43/AF43-1,""),"")</f>
        <v/>
      </c>
    </row>
    <row r="44">
      <c r="A44" s="8" t="n">
        <v>46539</v>
      </c>
      <c r="B44" s="26">
        <f>YEAR(A44)</f>
        <v/>
      </c>
      <c r="C44" s="26">
        <f>MONTH(A44)</f>
        <v/>
      </c>
      <c r="D44">
        <f>IF(A44&lt;=LastActual,"Actual","Forecast")</f>
        <v/>
      </c>
      <c r="E44" s="24">
        <f>IF($D44="Actual",R44,W44)</f>
        <v/>
      </c>
      <c r="F44" s="27">
        <f>IF($D44="Actual",S44,Cases_Forecast!AQ37)</f>
        <v/>
      </c>
      <c r="G44" s="9">
        <f>IF($D44="Actual",T44,IFERROR(H44/AE44,0))</f>
        <v/>
      </c>
      <c r="H44" s="24">
        <f>IF($D44="Actual",U44,J44-I44)</f>
        <v/>
      </c>
      <c r="I44" s="24">
        <f>IF($D44="Actual",V44,IFERROR(J44*AD44,0))</f>
        <v/>
      </c>
      <c r="J44" s="24">
        <f>IF($D44="Actual",U44+V44,E44*X44)</f>
        <v/>
      </c>
      <c r="K44" s="28">
        <f>IFERROR(F44/G44,0)</f>
        <v/>
      </c>
      <c r="L44" s="29">
        <f>IFERROR(H44/G44,0)</f>
        <v/>
      </c>
      <c r="M44" s="30">
        <f>IFERROR(J44/F44,0)</f>
        <v/>
      </c>
      <c r="N44" s="10">
        <f>IFERROR(J44/E44,0)</f>
        <v/>
      </c>
      <c r="O44" s="10">
        <f>IFERROR(I44/J44,0)</f>
        <v/>
      </c>
      <c r="R44" s="42">
        <f>IF($D44="Actual",SUMIFS(Data_Actuals!$C$2:$C$5000,Data_Actuals!$A$2:$A$5000,$A44,Data_Actuals!$B$2:$B$5000,$B$2),"")</f>
        <v/>
      </c>
      <c r="S44" s="42">
        <f>IF($D44="Actual",SUMIFS(Data_Actuals!$D$2:$D$5000,Data_Actuals!$A$2:$A$5000,$A44,Data_Actuals!$B$2:$B$5000,$B$2),"")</f>
        <v/>
      </c>
      <c r="T44" s="42">
        <f>IF($D44="Actual",SUMIFS(Data_Actuals!$E$2:$E$5000,Data_Actuals!$A$2:$A$5000,$A44,Data_Actuals!$B$2:$B$5000,$B$2),"")</f>
        <v/>
      </c>
      <c r="U44" s="42">
        <f>IF($D44="Actual",SUMIFS(Data_Actuals!$F$2:$F$5000,Data_Actuals!$A$2:$A$5000,$A44,Data_Actuals!$B$2:$B$5000,$B$2),"")</f>
        <v/>
      </c>
      <c r="V44" s="42">
        <f>IF($D44="Actual",SUMIFS(Data_Actuals!$G$2:$G$5000,Data_Actuals!$A$2:$A$5000,$A44,Data_Actuals!$B$2:$B$5000,$B$2),"")</f>
        <v/>
      </c>
      <c r="W44" s="42">
        <f>SUMIFS(Plan_Inputs!$C$2:$C$5000,Plan_Inputs!$A$2:$A$5000,$A44,Plan_Inputs!$B$2:$B$5000,$B$2)</f>
        <v/>
      </c>
      <c r="X44" s="43">
        <f>SUMIFS(Plan_Inputs!$D$2:$D$5000,Plan_Inputs!$A$2:$A$5000,$A44,Plan_Inputs!$B$2:$B$5000,$B$2)</f>
        <v/>
      </c>
      <c r="Y44" s="42">
        <f>E44</f>
        <v/>
      </c>
      <c r="Z44" s="44">
        <f>INDEX(Calendar!$H$5:$L$52,MATCH($A44,Calendar!$A$5:$A$52,0),MATCH($D$2,Calendar!$H$4:$L$4,0))</f>
        <v/>
      </c>
      <c r="AA44" s="44">
        <f>INDEX(Calendar!$M$5:$M$52,MATCH($A44,Calendar!$A$5:$A$52,0))</f>
        <v/>
      </c>
      <c r="AB44" s="45">
        <f>IF($D44="Actual",IFERROR(S44/Y44,""),AB32)</f>
        <v/>
      </c>
      <c r="AC44" s="46">
        <f>IF($D44="Actual",IFERROR(U44/T44/Z44/AA44,""),AC32)</f>
        <v/>
      </c>
      <c r="AD44" s="43">
        <f>IF($D44="Actual",IFERROR(V44/(U44+V44),""),AD32)</f>
        <v/>
      </c>
      <c r="AE44" s="46">
        <f>IFERROR(AC44*Z44*AA44,"")</f>
        <v/>
      </c>
      <c r="AF44" s="47">
        <f>K32</f>
        <v/>
      </c>
      <c r="AG44" s="43">
        <f>IF($D44="Forecast",IFERROR(K44/AF44-1,""),"")</f>
        <v/>
      </c>
    </row>
    <row r="45">
      <c r="A45" s="8" t="n">
        <v>46569</v>
      </c>
      <c r="B45" s="26">
        <f>YEAR(A45)</f>
        <v/>
      </c>
      <c r="C45" s="26">
        <f>MONTH(A45)</f>
        <v/>
      </c>
      <c r="D45">
        <f>IF(A45&lt;=LastActual,"Actual","Forecast")</f>
        <v/>
      </c>
      <c r="E45" s="24">
        <f>IF($D45="Actual",R45,W45)</f>
        <v/>
      </c>
      <c r="F45" s="27">
        <f>IF($D45="Actual",S45,Cases_Forecast!AQ38)</f>
        <v/>
      </c>
      <c r="G45" s="9">
        <f>IF($D45="Actual",T45,IFERROR(H45/AE45,0))</f>
        <v/>
      </c>
      <c r="H45" s="24">
        <f>IF($D45="Actual",U45,J45-I45)</f>
        <v/>
      </c>
      <c r="I45" s="24">
        <f>IF($D45="Actual",V45,IFERROR(J45*AD45,0))</f>
        <v/>
      </c>
      <c r="J45" s="24">
        <f>IF($D45="Actual",U45+V45,E45*X45)</f>
        <v/>
      </c>
      <c r="K45" s="28">
        <f>IFERROR(F45/G45,0)</f>
        <v/>
      </c>
      <c r="L45" s="29">
        <f>IFERROR(H45/G45,0)</f>
        <v/>
      </c>
      <c r="M45" s="30">
        <f>IFERROR(J45/F45,0)</f>
        <v/>
      </c>
      <c r="N45" s="10">
        <f>IFERROR(J45/E45,0)</f>
        <v/>
      </c>
      <c r="O45" s="10">
        <f>IFERROR(I45/J45,0)</f>
        <v/>
      </c>
      <c r="R45" s="42">
        <f>IF($D45="Actual",SUMIFS(Data_Actuals!$C$2:$C$5000,Data_Actuals!$A$2:$A$5000,$A45,Data_Actuals!$B$2:$B$5000,$B$2),"")</f>
        <v/>
      </c>
      <c r="S45" s="42">
        <f>IF($D45="Actual",SUMIFS(Data_Actuals!$D$2:$D$5000,Data_Actuals!$A$2:$A$5000,$A45,Data_Actuals!$B$2:$B$5000,$B$2),"")</f>
        <v/>
      </c>
      <c r="T45" s="42">
        <f>IF($D45="Actual",SUMIFS(Data_Actuals!$E$2:$E$5000,Data_Actuals!$A$2:$A$5000,$A45,Data_Actuals!$B$2:$B$5000,$B$2),"")</f>
        <v/>
      </c>
      <c r="U45" s="42">
        <f>IF($D45="Actual",SUMIFS(Data_Actuals!$F$2:$F$5000,Data_Actuals!$A$2:$A$5000,$A45,Data_Actuals!$B$2:$B$5000,$B$2),"")</f>
        <v/>
      </c>
      <c r="V45" s="42">
        <f>IF($D45="Actual",SUMIFS(Data_Actuals!$G$2:$G$5000,Data_Actuals!$A$2:$A$5000,$A45,Data_Actuals!$B$2:$B$5000,$B$2),"")</f>
        <v/>
      </c>
      <c r="W45" s="42">
        <f>SUMIFS(Plan_Inputs!$C$2:$C$5000,Plan_Inputs!$A$2:$A$5000,$A45,Plan_Inputs!$B$2:$B$5000,$B$2)</f>
        <v/>
      </c>
      <c r="X45" s="43">
        <f>SUMIFS(Plan_Inputs!$D$2:$D$5000,Plan_Inputs!$A$2:$A$5000,$A45,Plan_Inputs!$B$2:$B$5000,$B$2)</f>
        <v/>
      </c>
      <c r="Y45" s="42">
        <f>E45</f>
        <v/>
      </c>
      <c r="Z45" s="44">
        <f>INDEX(Calendar!$H$5:$L$52,MATCH($A45,Calendar!$A$5:$A$52,0),MATCH($D$2,Calendar!$H$4:$L$4,0))</f>
        <v/>
      </c>
      <c r="AA45" s="44">
        <f>INDEX(Calendar!$M$5:$M$52,MATCH($A45,Calendar!$A$5:$A$52,0))</f>
        <v/>
      </c>
      <c r="AB45" s="45">
        <f>IF($D45="Actual",IFERROR(S45/Y45,""),AB33)</f>
        <v/>
      </c>
      <c r="AC45" s="46">
        <f>IF($D45="Actual",IFERROR(U45/T45/Z45/AA45,""),AC33)</f>
        <v/>
      </c>
      <c r="AD45" s="43">
        <f>IF($D45="Actual",IFERROR(V45/(U45+V45),""),AD33)</f>
        <v/>
      </c>
      <c r="AE45" s="46">
        <f>IFERROR(AC45*Z45*AA45,"")</f>
        <v/>
      </c>
      <c r="AF45" s="47">
        <f>K33</f>
        <v/>
      </c>
      <c r="AG45" s="43">
        <f>IF($D45="Forecast",IFERROR(K45/AF45-1,""),"")</f>
        <v/>
      </c>
    </row>
    <row r="46">
      <c r="A46" s="8" t="n">
        <v>46600</v>
      </c>
      <c r="B46" s="26">
        <f>YEAR(A46)</f>
        <v/>
      </c>
      <c r="C46" s="26">
        <f>MONTH(A46)</f>
        <v/>
      </c>
      <c r="D46">
        <f>IF(A46&lt;=LastActual,"Actual","Forecast")</f>
        <v/>
      </c>
      <c r="E46" s="24">
        <f>IF($D46="Actual",R46,W46)</f>
        <v/>
      </c>
      <c r="F46" s="27">
        <f>IF($D46="Actual",S46,Cases_Forecast!AQ39)</f>
        <v/>
      </c>
      <c r="G46" s="9">
        <f>IF($D46="Actual",T46,IFERROR(H46/AE46,0))</f>
        <v/>
      </c>
      <c r="H46" s="24">
        <f>IF($D46="Actual",U46,J46-I46)</f>
        <v/>
      </c>
      <c r="I46" s="24">
        <f>IF($D46="Actual",V46,IFERROR(J46*AD46,0))</f>
        <v/>
      </c>
      <c r="J46" s="24">
        <f>IF($D46="Actual",U46+V46,E46*X46)</f>
        <v/>
      </c>
      <c r="K46" s="28">
        <f>IFERROR(F46/G46,0)</f>
        <v/>
      </c>
      <c r="L46" s="29">
        <f>IFERROR(H46/G46,0)</f>
        <v/>
      </c>
      <c r="M46" s="30">
        <f>IFERROR(J46/F46,0)</f>
        <v/>
      </c>
      <c r="N46" s="10">
        <f>IFERROR(J46/E46,0)</f>
        <v/>
      </c>
      <c r="O46" s="10">
        <f>IFERROR(I46/J46,0)</f>
        <v/>
      </c>
      <c r="R46" s="42">
        <f>IF($D46="Actual",SUMIFS(Data_Actuals!$C$2:$C$5000,Data_Actuals!$A$2:$A$5000,$A46,Data_Actuals!$B$2:$B$5000,$B$2),"")</f>
        <v/>
      </c>
      <c r="S46" s="42">
        <f>IF($D46="Actual",SUMIFS(Data_Actuals!$D$2:$D$5000,Data_Actuals!$A$2:$A$5000,$A46,Data_Actuals!$B$2:$B$5000,$B$2),"")</f>
        <v/>
      </c>
      <c r="T46" s="42">
        <f>IF($D46="Actual",SUMIFS(Data_Actuals!$E$2:$E$5000,Data_Actuals!$A$2:$A$5000,$A46,Data_Actuals!$B$2:$B$5000,$B$2),"")</f>
        <v/>
      </c>
      <c r="U46" s="42">
        <f>IF($D46="Actual",SUMIFS(Data_Actuals!$F$2:$F$5000,Data_Actuals!$A$2:$A$5000,$A46,Data_Actuals!$B$2:$B$5000,$B$2),"")</f>
        <v/>
      </c>
      <c r="V46" s="42">
        <f>IF($D46="Actual",SUMIFS(Data_Actuals!$G$2:$G$5000,Data_Actuals!$A$2:$A$5000,$A46,Data_Actuals!$B$2:$B$5000,$B$2),"")</f>
        <v/>
      </c>
      <c r="W46" s="42">
        <f>SUMIFS(Plan_Inputs!$C$2:$C$5000,Plan_Inputs!$A$2:$A$5000,$A46,Plan_Inputs!$B$2:$B$5000,$B$2)</f>
        <v/>
      </c>
      <c r="X46" s="43">
        <f>SUMIFS(Plan_Inputs!$D$2:$D$5000,Plan_Inputs!$A$2:$A$5000,$A46,Plan_Inputs!$B$2:$B$5000,$B$2)</f>
        <v/>
      </c>
      <c r="Y46" s="42">
        <f>E46</f>
        <v/>
      </c>
      <c r="Z46" s="44">
        <f>INDEX(Calendar!$H$5:$L$52,MATCH($A46,Calendar!$A$5:$A$52,0),MATCH($D$2,Calendar!$H$4:$L$4,0))</f>
        <v/>
      </c>
      <c r="AA46" s="44">
        <f>INDEX(Calendar!$M$5:$M$52,MATCH($A46,Calendar!$A$5:$A$52,0))</f>
        <v/>
      </c>
      <c r="AB46" s="45">
        <f>IF($D46="Actual",IFERROR(S46/Y46,""),AB34)</f>
        <v/>
      </c>
      <c r="AC46" s="46">
        <f>IF($D46="Actual",IFERROR(U46/T46/Z46/AA46,""),AC34)</f>
        <v/>
      </c>
      <c r="AD46" s="43">
        <f>IF($D46="Actual",IFERROR(V46/(U46+V46),""),AD34)</f>
        <v/>
      </c>
      <c r="AE46" s="46">
        <f>IFERROR(AC46*Z46*AA46,"")</f>
        <v/>
      </c>
      <c r="AF46" s="47">
        <f>K34</f>
        <v/>
      </c>
      <c r="AG46" s="43">
        <f>IF($D46="Forecast",IFERROR(K46/AF46-1,""),"")</f>
        <v/>
      </c>
    </row>
    <row r="47">
      <c r="A47" s="8" t="n">
        <v>46631</v>
      </c>
      <c r="B47" s="26">
        <f>YEAR(A47)</f>
        <v/>
      </c>
      <c r="C47" s="26">
        <f>MONTH(A47)</f>
        <v/>
      </c>
      <c r="D47">
        <f>IF(A47&lt;=LastActual,"Actual","Forecast")</f>
        <v/>
      </c>
      <c r="E47" s="24">
        <f>IF($D47="Actual",R47,W47)</f>
        <v/>
      </c>
      <c r="F47" s="27">
        <f>IF($D47="Actual",S47,Cases_Forecast!AQ40)</f>
        <v/>
      </c>
      <c r="G47" s="9">
        <f>IF($D47="Actual",T47,IFERROR(H47/AE47,0))</f>
        <v/>
      </c>
      <c r="H47" s="24">
        <f>IF($D47="Actual",U47,J47-I47)</f>
        <v/>
      </c>
      <c r="I47" s="24">
        <f>IF($D47="Actual",V47,IFERROR(J47*AD47,0))</f>
        <v/>
      </c>
      <c r="J47" s="24">
        <f>IF($D47="Actual",U47+V47,E47*X47)</f>
        <v/>
      </c>
      <c r="K47" s="28">
        <f>IFERROR(F47/G47,0)</f>
        <v/>
      </c>
      <c r="L47" s="29">
        <f>IFERROR(H47/G47,0)</f>
        <v/>
      </c>
      <c r="M47" s="30">
        <f>IFERROR(J47/F47,0)</f>
        <v/>
      </c>
      <c r="N47" s="10">
        <f>IFERROR(J47/E47,0)</f>
        <v/>
      </c>
      <c r="O47" s="10">
        <f>IFERROR(I47/J47,0)</f>
        <v/>
      </c>
      <c r="R47" s="42">
        <f>IF($D47="Actual",SUMIFS(Data_Actuals!$C$2:$C$5000,Data_Actuals!$A$2:$A$5000,$A47,Data_Actuals!$B$2:$B$5000,$B$2),"")</f>
        <v/>
      </c>
      <c r="S47" s="42">
        <f>IF($D47="Actual",SUMIFS(Data_Actuals!$D$2:$D$5000,Data_Actuals!$A$2:$A$5000,$A47,Data_Actuals!$B$2:$B$5000,$B$2),"")</f>
        <v/>
      </c>
      <c r="T47" s="42">
        <f>IF($D47="Actual",SUMIFS(Data_Actuals!$E$2:$E$5000,Data_Actuals!$A$2:$A$5000,$A47,Data_Actuals!$B$2:$B$5000,$B$2),"")</f>
        <v/>
      </c>
      <c r="U47" s="42">
        <f>IF($D47="Actual",SUMIFS(Data_Actuals!$F$2:$F$5000,Data_Actuals!$A$2:$A$5000,$A47,Data_Actuals!$B$2:$B$5000,$B$2),"")</f>
        <v/>
      </c>
      <c r="V47" s="42">
        <f>IF($D47="Actual",SUMIFS(Data_Actuals!$G$2:$G$5000,Data_Actuals!$A$2:$A$5000,$A47,Data_Actuals!$B$2:$B$5000,$B$2),"")</f>
        <v/>
      </c>
      <c r="W47" s="42">
        <f>SUMIFS(Plan_Inputs!$C$2:$C$5000,Plan_Inputs!$A$2:$A$5000,$A47,Plan_Inputs!$B$2:$B$5000,$B$2)</f>
        <v/>
      </c>
      <c r="X47" s="43">
        <f>SUMIFS(Plan_Inputs!$D$2:$D$5000,Plan_Inputs!$A$2:$A$5000,$A47,Plan_Inputs!$B$2:$B$5000,$B$2)</f>
        <v/>
      </c>
      <c r="Y47" s="42">
        <f>E47</f>
        <v/>
      </c>
      <c r="Z47" s="44">
        <f>INDEX(Calendar!$H$5:$L$52,MATCH($A47,Calendar!$A$5:$A$52,0),MATCH($D$2,Calendar!$H$4:$L$4,0))</f>
        <v/>
      </c>
      <c r="AA47" s="44">
        <f>INDEX(Calendar!$M$5:$M$52,MATCH($A47,Calendar!$A$5:$A$52,0))</f>
        <v/>
      </c>
      <c r="AB47" s="45">
        <f>IF($D47="Actual",IFERROR(S47/Y47,""),AB35)</f>
        <v/>
      </c>
      <c r="AC47" s="46">
        <f>IF($D47="Actual",IFERROR(U47/T47/Z47/AA47,""),AC35)</f>
        <v/>
      </c>
      <c r="AD47" s="43">
        <f>IF($D47="Actual",IFERROR(V47/(U47+V47),""),AD35)</f>
        <v/>
      </c>
      <c r="AE47" s="46">
        <f>IFERROR(AC47*Z47*AA47,"")</f>
        <v/>
      </c>
      <c r="AF47" s="47">
        <f>K35</f>
        <v/>
      </c>
      <c r="AG47" s="43">
        <f>IF($D47="Forecast",IFERROR(K47/AF47-1,""),"")</f>
        <v/>
      </c>
    </row>
    <row r="48">
      <c r="A48" s="8" t="n">
        <v>46661</v>
      </c>
      <c r="B48" s="26">
        <f>YEAR(A48)</f>
        <v/>
      </c>
      <c r="C48" s="26">
        <f>MONTH(A48)</f>
        <v/>
      </c>
      <c r="D48">
        <f>IF(A48&lt;=LastActual,"Actual","Forecast")</f>
        <v/>
      </c>
      <c r="E48" s="24">
        <f>IF($D48="Actual",R48,W48)</f>
        <v/>
      </c>
      <c r="F48" s="27">
        <f>IF($D48="Actual",S48,Cases_Forecast!AQ41)</f>
        <v/>
      </c>
      <c r="G48" s="9">
        <f>IF($D48="Actual",T48,IFERROR(H48/AE48,0))</f>
        <v/>
      </c>
      <c r="H48" s="24">
        <f>IF($D48="Actual",U48,J48-I48)</f>
        <v/>
      </c>
      <c r="I48" s="24">
        <f>IF($D48="Actual",V48,IFERROR(J48*AD48,0))</f>
        <v/>
      </c>
      <c r="J48" s="24">
        <f>IF($D48="Actual",U48+V48,E48*X48)</f>
        <v/>
      </c>
      <c r="K48" s="28">
        <f>IFERROR(F48/G48,0)</f>
        <v/>
      </c>
      <c r="L48" s="29">
        <f>IFERROR(H48/G48,0)</f>
        <v/>
      </c>
      <c r="M48" s="30">
        <f>IFERROR(J48/F48,0)</f>
        <v/>
      </c>
      <c r="N48" s="10">
        <f>IFERROR(J48/E48,0)</f>
        <v/>
      </c>
      <c r="O48" s="10">
        <f>IFERROR(I48/J48,0)</f>
        <v/>
      </c>
      <c r="R48" s="42">
        <f>IF($D48="Actual",SUMIFS(Data_Actuals!$C$2:$C$5000,Data_Actuals!$A$2:$A$5000,$A48,Data_Actuals!$B$2:$B$5000,$B$2),"")</f>
        <v/>
      </c>
      <c r="S48" s="42">
        <f>IF($D48="Actual",SUMIFS(Data_Actuals!$D$2:$D$5000,Data_Actuals!$A$2:$A$5000,$A48,Data_Actuals!$B$2:$B$5000,$B$2),"")</f>
        <v/>
      </c>
      <c r="T48" s="42">
        <f>IF($D48="Actual",SUMIFS(Data_Actuals!$E$2:$E$5000,Data_Actuals!$A$2:$A$5000,$A48,Data_Actuals!$B$2:$B$5000,$B$2),"")</f>
        <v/>
      </c>
      <c r="U48" s="42">
        <f>IF($D48="Actual",SUMIFS(Data_Actuals!$F$2:$F$5000,Data_Actuals!$A$2:$A$5000,$A48,Data_Actuals!$B$2:$B$5000,$B$2),"")</f>
        <v/>
      </c>
      <c r="V48" s="42">
        <f>IF($D48="Actual",SUMIFS(Data_Actuals!$G$2:$G$5000,Data_Actuals!$A$2:$A$5000,$A48,Data_Actuals!$B$2:$B$5000,$B$2),"")</f>
        <v/>
      </c>
      <c r="W48" s="42">
        <f>SUMIFS(Plan_Inputs!$C$2:$C$5000,Plan_Inputs!$A$2:$A$5000,$A48,Plan_Inputs!$B$2:$B$5000,$B$2)</f>
        <v/>
      </c>
      <c r="X48" s="43">
        <f>SUMIFS(Plan_Inputs!$D$2:$D$5000,Plan_Inputs!$A$2:$A$5000,$A48,Plan_Inputs!$B$2:$B$5000,$B$2)</f>
        <v/>
      </c>
      <c r="Y48" s="42">
        <f>E48</f>
        <v/>
      </c>
      <c r="Z48" s="44">
        <f>INDEX(Calendar!$H$5:$L$52,MATCH($A48,Calendar!$A$5:$A$52,0),MATCH($D$2,Calendar!$H$4:$L$4,0))</f>
        <v/>
      </c>
      <c r="AA48" s="44">
        <f>INDEX(Calendar!$M$5:$M$52,MATCH($A48,Calendar!$A$5:$A$52,0))</f>
        <v/>
      </c>
      <c r="AB48" s="45">
        <f>IF($D48="Actual",IFERROR(S48/Y48,""),AB36)</f>
        <v/>
      </c>
      <c r="AC48" s="46">
        <f>IF($D48="Actual",IFERROR(U48/T48/Z48/AA48,""),AC36)</f>
        <v/>
      </c>
      <c r="AD48" s="43">
        <f>IF($D48="Actual",IFERROR(V48/(U48+V48),""),AD36)</f>
        <v/>
      </c>
      <c r="AE48" s="46">
        <f>IFERROR(AC48*Z48*AA48,"")</f>
        <v/>
      </c>
      <c r="AF48" s="47">
        <f>K36</f>
        <v/>
      </c>
      <c r="AG48" s="43">
        <f>IF($D48="Forecast",IFERROR(K48/AF48-1,""),"")</f>
        <v/>
      </c>
    </row>
    <row r="49">
      <c r="A49" s="8" t="n">
        <v>46692</v>
      </c>
      <c r="B49" s="26">
        <f>YEAR(A49)</f>
        <v/>
      </c>
      <c r="C49" s="26">
        <f>MONTH(A49)</f>
        <v/>
      </c>
      <c r="D49">
        <f>IF(A49&lt;=LastActual,"Actual","Forecast")</f>
        <v/>
      </c>
      <c r="E49" s="24">
        <f>IF($D49="Actual",R49,W49)</f>
        <v/>
      </c>
      <c r="F49" s="27">
        <f>IF($D49="Actual",S49,Cases_Forecast!AQ42)</f>
        <v/>
      </c>
      <c r="G49" s="9">
        <f>IF($D49="Actual",T49,IFERROR(H49/AE49,0))</f>
        <v/>
      </c>
      <c r="H49" s="24">
        <f>IF($D49="Actual",U49,J49-I49)</f>
        <v/>
      </c>
      <c r="I49" s="24">
        <f>IF($D49="Actual",V49,IFERROR(J49*AD49,0))</f>
        <v/>
      </c>
      <c r="J49" s="24">
        <f>IF($D49="Actual",U49+V49,E49*X49)</f>
        <v/>
      </c>
      <c r="K49" s="28">
        <f>IFERROR(F49/G49,0)</f>
        <v/>
      </c>
      <c r="L49" s="29">
        <f>IFERROR(H49/G49,0)</f>
        <v/>
      </c>
      <c r="M49" s="30">
        <f>IFERROR(J49/F49,0)</f>
        <v/>
      </c>
      <c r="N49" s="10">
        <f>IFERROR(J49/E49,0)</f>
        <v/>
      </c>
      <c r="O49" s="10">
        <f>IFERROR(I49/J49,0)</f>
        <v/>
      </c>
      <c r="R49" s="42">
        <f>IF($D49="Actual",SUMIFS(Data_Actuals!$C$2:$C$5000,Data_Actuals!$A$2:$A$5000,$A49,Data_Actuals!$B$2:$B$5000,$B$2),"")</f>
        <v/>
      </c>
      <c r="S49" s="42">
        <f>IF($D49="Actual",SUMIFS(Data_Actuals!$D$2:$D$5000,Data_Actuals!$A$2:$A$5000,$A49,Data_Actuals!$B$2:$B$5000,$B$2),"")</f>
        <v/>
      </c>
      <c r="T49" s="42">
        <f>IF($D49="Actual",SUMIFS(Data_Actuals!$E$2:$E$5000,Data_Actuals!$A$2:$A$5000,$A49,Data_Actuals!$B$2:$B$5000,$B$2),"")</f>
        <v/>
      </c>
      <c r="U49" s="42">
        <f>IF($D49="Actual",SUMIFS(Data_Actuals!$F$2:$F$5000,Data_Actuals!$A$2:$A$5000,$A49,Data_Actuals!$B$2:$B$5000,$B$2),"")</f>
        <v/>
      </c>
      <c r="V49" s="42">
        <f>IF($D49="Actual",SUMIFS(Data_Actuals!$G$2:$G$5000,Data_Actuals!$A$2:$A$5000,$A49,Data_Actuals!$B$2:$B$5000,$B$2),"")</f>
        <v/>
      </c>
      <c r="W49" s="42">
        <f>SUMIFS(Plan_Inputs!$C$2:$C$5000,Plan_Inputs!$A$2:$A$5000,$A49,Plan_Inputs!$B$2:$B$5000,$B$2)</f>
        <v/>
      </c>
      <c r="X49" s="43">
        <f>SUMIFS(Plan_Inputs!$D$2:$D$5000,Plan_Inputs!$A$2:$A$5000,$A49,Plan_Inputs!$B$2:$B$5000,$B$2)</f>
        <v/>
      </c>
      <c r="Y49" s="42">
        <f>E49</f>
        <v/>
      </c>
      <c r="Z49" s="44">
        <f>INDEX(Calendar!$H$5:$L$52,MATCH($A49,Calendar!$A$5:$A$52,0),MATCH($D$2,Calendar!$H$4:$L$4,0))</f>
        <v/>
      </c>
      <c r="AA49" s="44">
        <f>INDEX(Calendar!$M$5:$M$52,MATCH($A49,Calendar!$A$5:$A$52,0))</f>
        <v/>
      </c>
      <c r="AB49" s="45">
        <f>IF($D49="Actual",IFERROR(S49/Y49,""),AB37)</f>
        <v/>
      </c>
      <c r="AC49" s="46">
        <f>IF($D49="Actual",IFERROR(U49/T49/Z49/AA49,""),AC37)</f>
        <v/>
      </c>
      <c r="AD49" s="43">
        <f>IF($D49="Actual",IFERROR(V49/(U49+V49),""),AD37)</f>
        <v/>
      </c>
      <c r="AE49" s="46">
        <f>IFERROR(AC49*Z49*AA49,"")</f>
        <v/>
      </c>
      <c r="AF49" s="47">
        <f>K37</f>
        <v/>
      </c>
      <c r="AG49" s="43">
        <f>IF($D49="Forecast",IFERROR(K49/AF49-1,""),"")</f>
        <v/>
      </c>
    </row>
    <row r="50">
      <c r="A50" s="31" t="n">
        <v>46722</v>
      </c>
      <c r="B50" s="32">
        <f>YEAR(A50)</f>
        <v/>
      </c>
      <c r="C50" s="32">
        <f>MONTH(A50)</f>
        <v/>
      </c>
      <c r="D50" s="33">
        <f>IF(A50&lt;=LastActual,"Actual","Forecast")</f>
        <v/>
      </c>
      <c r="E50" s="34">
        <f>IF($D50="Actual",R50,W50)</f>
        <v/>
      </c>
      <c r="F50" s="35">
        <f>IF($D50="Actual",S50,Cases_Forecast!AQ43)</f>
        <v/>
      </c>
      <c r="G50" s="36">
        <f>IF($D50="Actual",T50,IFERROR(H50/AE50,0))</f>
        <v/>
      </c>
      <c r="H50" s="34">
        <f>IF($D50="Actual",U50,J50-I50)</f>
        <v/>
      </c>
      <c r="I50" s="34">
        <f>IF($D50="Actual",V50,IFERROR(J50*AD50,0))</f>
        <v/>
      </c>
      <c r="J50" s="34">
        <f>IF($D50="Actual",U50+V50,E50*X50)</f>
        <v/>
      </c>
      <c r="K50" s="37">
        <f>IFERROR(F50/G50,0)</f>
        <v/>
      </c>
      <c r="L50" s="38">
        <f>IFERROR(H50/G50,0)</f>
        <v/>
      </c>
      <c r="M50" s="39">
        <f>IFERROR(J50/F50,0)</f>
        <v/>
      </c>
      <c r="N50" s="40">
        <f>IFERROR(J50/E50,0)</f>
        <v/>
      </c>
      <c r="O50" s="40">
        <f>IFERROR(I50/J50,0)</f>
        <v/>
      </c>
      <c r="R50" s="42">
        <f>IF($D50="Actual",SUMIFS(Data_Actuals!$C$2:$C$5000,Data_Actuals!$A$2:$A$5000,$A50,Data_Actuals!$B$2:$B$5000,$B$2),"")</f>
        <v/>
      </c>
      <c r="S50" s="42">
        <f>IF($D50="Actual",SUMIFS(Data_Actuals!$D$2:$D$5000,Data_Actuals!$A$2:$A$5000,$A50,Data_Actuals!$B$2:$B$5000,$B$2),"")</f>
        <v/>
      </c>
      <c r="T50" s="42">
        <f>IF($D50="Actual",SUMIFS(Data_Actuals!$E$2:$E$5000,Data_Actuals!$A$2:$A$5000,$A50,Data_Actuals!$B$2:$B$5000,$B$2),"")</f>
        <v/>
      </c>
      <c r="U50" s="42">
        <f>IF($D50="Actual",SUMIFS(Data_Actuals!$F$2:$F$5000,Data_Actuals!$A$2:$A$5000,$A50,Data_Actuals!$B$2:$B$5000,$B$2),"")</f>
        <v/>
      </c>
      <c r="V50" s="42">
        <f>IF($D50="Actual",SUMIFS(Data_Actuals!$G$2:$G$5000,Data_Actuals!$A$2:$A$5000,$A50,Data_Actuals!$B$2:$B$5000,$B$2),"")</f>
        <v/>
      </c>
      <c r="W50" s="42">
        <f>SUMIFS(Plan_Inputs!$C$2:$C$5000,Plan_Inputs!$A$2:$A$5000,$A50,Plan_Inputs!$B$2:$B$5000,$B$2)</f>
        <v/>
      </c>
      <c r="X50" s="43">
        <f>SUMIFS(Plan_Inputs!$D$2:$D$5000,Plan_Inputs!$A$2:$A$5000,$A50,Plan_Inputs!$B$2:$B$5000,$B$2)</f>
        <v/>
      </c>
      <c r="Y50" s="42">
        <f>E50</f>
        <v/>
      </c>
      <c r="Z50" s="44">
        <f>INDEX(Calendar!$H$5:$L$52,MATCH($A50,Calendar!$A$5:$A$52,0),MATCH($D$2,Calendar!$H$4:$L$4,0))</f>
        <v/>
      </c>
      <c r="AA50" s="44">
        <f>INDEX(Calendar!$M$5:$M$52,MATCH($A50,Calendar!$A$5:$A$52,0))</f>
        <v/>
      </c>
      <c r="AB50" s="45">
        <f>IF($D50="Actual",IFERROR(S50/Y50,""),AB38)</f>
        <v/>
      </c>
      <c r="AC50" s="46">
        <f>IF($D50="Actual",IFERROR(U50/T50/Z50/AA50,""),AC38)</f>
        <v/>
      </c>
      <c r="AD50" s="43">
        <f>IF($D50="Actual",IFERROR(V50/(U50+V50),""),AD38)</f>
        <v/>
      </c>
      <c r="AE50" s="46">
        <f>IFERROR(AC50*Z50*AA50,"")</f>
        <v/>
      </c>
      <c r="AF50" s="47">
        <f>K38</f>
        <v/>
      </c>
      <c r="AG50" s="43">
        <f>IF($D50="Forecast",IFERROR(K50/AF50-1,""),"")</f>
        <v/>
      </c>
    </row>
    <row r="51">
      <c r="A51" s="8" t="n">
        <v>46753</v>
      </c>
      <c r="B51" s="26">
        <f>YEAR(A51)</f>
        <v/>
      </c>
      <c r="C51" s="26">
        <f>MONTH(A51)</f>
        <v/>
      </c>
      <c r="D51">
        <f>IF(A51&lt;=LastActual,"Actual","Forecast")</f>
        <v/>
      </c>
      <c r="E51" s="24">
        <f>IF($D51="Actual",R51,W51)</f>
        <v/>
      </c>
      <c r="F51" s="27">
        <f>IF($D51="Actual",S51,Cases_Forecast!AQ44)</f>
        <v/>
      </c>
      <c r="G51" s="9">
        <f>IF($D51="Actual",T51,IFERROR(H51/AE51,0))</f>
        <v/>
      </c>
      <c r="H51" s="24">
        <f>IF($D51="Actual",U51,J51-I51)</f>
        <v/>
      </c>
      <c r="I51" s="24">
        <f>IF($D51="Actual",V51,IFERROR(J51*AD51,0))</f>
        <v/>
      </c>
      <c r="J51" s="24">
        <f>IF($D51="Actual",U51+V51,E51*X51)</f>
        <v/>
      </c>
      <c r="K51" s="28">
        <f>IFERROR(F51/G51,0)</f>
        <v/>
      </c>
      <c r="L51" s="29">
        <f>IFERROR(H51/G51,0)</f>
        <v/>
      </c>
      <c r="M51" s="30">
        <f>IFERROR(J51/F51,0)</f>
        <v/>
      </c>
      <c r="N51" s="10">
        <f>IFERROR(J51/E51,0)</f>
        <v/>
      </c>
      <c r="O51" s="10">
        <f>IFERROR(I51/J51,0)</f>
        <v/>
      </c>
      <c r="R51" s="42">
        <f>IF($D51="Actual",SUMIFS(Data_Actuals!$C$2:$C$5000,Data_Actuals!$A$2:$A$5000,$A51,Data_Actuals!$B$2:$B$5000,$B$2),"")</f>
        <v/>
      </c>
      <c r="S51" s="42">
        <f>IF($D51="Actual",SUMIFS(Data_Actuals!$D$2:$D$5000,Data_Actuals!$A$2:$A$5000,$A51,Data_Actuals!$B$2:$B$5000,$B$2),"")</f>
        <v/>
      </c>
      <c r="T51" s="42">
        <f>IF($D51="Actual",SUMIFS(Data_Actuals!$E$2:$E$5000,Data_Actuals!$A$2:$A$5000,$A51,Data_Actuals!$B$2:$B$5000,$B$2),"")</f>
        <v/>
      </c>
      <c r="U51" s="42">
        <f>IF($D51="Actual",SUMIFS(Data_Actuals!$F$2:$F$5000,Data_Actuals!$A$2:$A$5000,$A51,Data_Actuals!$B$2:$B$5000,$B$2),"")</f>
        <v/>
      </c>
      <c r="V51" s="42">
        <f>IF($D51="Actual",SUMIFS(Data_Actuals!$G$2:$G$5000,Data_Actuals!$A$2:$A$5000,$A51,Data_Actuals!$B$2:$B$5000,$B$2),"")</f>
        <v/>
      </c>
      <c r="W51" s="42">
        <f>SUMIFS(Plan_Inputs!$C$2:$C$5000,Plan_Inputs!$A$2:$A$5000,$A51,Plan_Inputs!$B$2:$B$5000,$B$2)</f>
        <v/>
      </c>
      <c r="X51" s="43">
        <f>SUMIFS(Plan_Inputs!$D$2:$D$5000,Plan_Inputs!$A$2:$A$5000,$A51,Plan_Inputs!$B$2:$B$5000,$B$2)</f>
        <v/>
      </c>
      <c r="Y51" s="42">
        <f>E51</f>
        <v/>
      </c>
      <c r="Z51" s="44">
        <f>INDEX(Calendar!$H$5:$L$52,MATCH($A51,Calendar!$A$5:$A$52,0),MATCH($D$2,Calendar!$H$4:$L$4,0))</f>
        <v/>
      </c>
      <c r="AA51" s="44">
        <f>INDEX(Calendar!$M$5:$M$52,MATCH($A51,Calendar!$A$5:$A$52,0))</f>
        <v/>
      </c>
      <c r="AB51" s="45">
        <f>IF($D51="Actual",IFERROR(S51/Y51,""),AB39)</f>
        <v/>
      </c>
      <c r="AC51" s="46">
        <f>IF($D51="Actual",IFERROR(U51/T51/Z51/AA51,""),AC39)</f>
        <v/>
      </c>
      <c r="AD51" s="43">
        <f>IF($D51="Actual",IFERROR(V51/(U51+V51),""),AD39)</f>
        <v/>
      </c>
      <c r="AE51" s="46">
        <f>IFERROR(AC51*Z51*AA51,"")</f>
        <v/>
      </c>
      <c r="AF51" s="47">
        <f>K39</f>
        <v/>
      </c>
      <c r="AG51" s="43">
        <f>IF($D51="Forecast",IFERROR(K51/AF51-1,""),"")</f>
        <v/>
      </c>
    </row>
    <row r="52">
      <c r="A52" s="8" t="n">
        <v>46784</v>
      </c>
      <c r="B52" s="26">
        <f>YEAR(A52)</f>
        <v/>
      </c>
      <c r="C52" s="26">
        <f>MONTH(A52)</f>
        <v/>
      </c>
      <c r="D52">
        <f>IF(A52&lt;=LastActual,"Actual","Forecast")</f>
        <v/>
      </c>
      <c r="E52" s="24">
        <f>IF($D52="Actual",R52,W52)</f>
        <v/>
      </c>
      <c r="F52" s="27">
        <f>IF($D52="Actual",S52,Cases_Forecast!AQ45)</f>
        <v/>
      </c>
      <c r="G52" s="9">
        <f>IF($D52="Actual",T52,IFERROR(H52/AE52,0))</f>
        <v/>
      </c>
      <c r="H52" s="24">
        <f>IF($D52="Actual",U52,J52-I52)</f>
        <v/>
      </c>
      <c r="I52" s="24">
        <f>IF($D52="Actual",V52,IFERROR(J52*AD52,0))</f>
        <v/>
      </c>
      <c r="J52" s="24">
        <f>IF($D52="Actual",U52+V52,E52*X52)</f>
        <v/>
      </c>
      <c r="K52" s="28">
        <f>IFERROR(F52/G52,0)</f>
        <v/>
      </c>
      <c r="L52" s="29">
        <f>IFERROR(H52/G52,0)</f>
        <v/>
      </c>
      <c r="M52" s="30">
        <f>IFERROR(J52/F52,0)</f>
        <v/>
      </c>
      <c r="N52" s="10">
        <f>IFERROR(J52/E52,0)</f>
        <v/>
      </c>
      <c r="O52" s="10">
        <f>IFERROR(I52/J52,0)</f>
        <v/>
      </c>
      <c r="R52" s="42">
        <f>IF($D52="Actual",SUMIFS(Data_Actuals!$C$2:$C$5000,Data_Actuals!$A$2:$A$5000,$A52,Data_Actuals!$B$2:$B$5000,$B$2),"")</f>
        <v/>
      </c>
      <c r="S52" s="42">
        <f>IF($D52="Actual",SUMIFS(Data_Actuals!$D$2:$D$5000,Data_Actuals!$A$2:$A$5000,$A52,Data_Actuals!$B$2:$B$5000,$B$2),"")</f>
        <v/>
      </c>
      <c r="T52" s="42">
        <f>IF($D52="Actual",SUMIFS(Data_Actuals!$E$2:$E$5000,Data_Actuals!$A$2:$A$5000,$A52,Data_Actuals!$B$2:$B$5000,$B$2),"")</f>
        <v/>
      </c>
      <c r="U52" s="42">
        <f>IF($D52="Actual",SUMIFS(Data_Actuals!$F$2:$F$5000,Data_Actuals!$A$2:$A$5000,$A52,Data_Actuals!$B$2:$B$5000,$B$2),"")</f>
        <v/>
      </c>
      <c r="V52" s="42">
        <f>IF($D52="Actual",SUMIFS(Data_Actuals!$G$2:$G$5000,Data_Actuals!$A$2:$A$5000,$A52,Data_Actuals!$B$2:$B$5000,$B$2),"")</f>
        <v/>
      </c>
      <c r="W52" s="42">
        <f>SUMIFS(Plan_Inputs!$C$2:$C$5000,Plan_Inputs!$A$2:$A$5000,$A52,Plan_Inputs!$B$2:$B$5000,$B$2)</f>
        <v/>
      </c>
      <c r="X52" s="43">
        <f>SUMIFS(Plan_Inputs!$D$2:$D$5000,Plan_Inputs!$A$2:$A$5000,$A52,Plan_Inputs!$B$2:$B$5000,$B$2)</f>
        <v/>
      </c>
      <c r="Y52" s="42">
        <f>E52</f>
        <v/>
      </c>
      <c r="Z52" s="44">
        <f>INDEX(Calendar!$H$5:$L$52,MATCH($A52,Calendar!$A$5:$A$52,0),MATCH($D$2,Calendar!$H$4:$L$4,0))</f>
        <v/>
      </c>
      <c r="AA52" s="44">
        <f>INDEX(Calendar!$M$5:$M$52,MATCH($A52,Calendar!$A$5:$A$52,0))</f>
        <v/>
      </c>
      <c r="AB52" s="45">
        <f>IF($D52="Actual",IFERROR(S52/Y52,""),AB40)</f>
        <v/>
      </c>
      <c r="AC52" s="46">
        <f>IF($D52="Actual",IFERROR(U52/T52/Z52/AA52,""),AC40)</f>
        <v/>
      </c>
      <c r="AD52" s="43">
        <f>IF($D52="Actual",IFERROR(V52/(U52+V52),""),AD40)</f>
        <v/>
      </c>
      <c r="AE52" s="46">
        <f>IFERROR(AC52*Z52*AA52,"")</f>
        <v/>
      </c>
      <c r="AF52" s="47">
        <f>K40</f>
        <v/>
      </c>
      <c r="AG52" s="43">
        <f>IF($D52="Forecast",IFERROR(K52/AF52-1,""),"")</f>
        <v/>
      </c>
    </row>
    <row r="53">
      <c r="A53" s="8" t="n">
        <v>46813</v>
      </c>
      <c r="B53" s="26">
        <f>YEAR(A53)</f>
        <v/>
      </c>
      <c r="C53" s="26">
        <f>MONTH(A53)</f>
        <v/>
      </c>
      <c r="D53">
        <f>IF(A53&lt;=LastActual,"Actual","Forecast")</f>
        <v/>
      </c>
      <c r="E53" s="24">
        <f>IF($D53="Actual",R53,W53)</f>
        <v/>
      </c>
      <c r="F53" s="27">
        <f>IF($D53="Actual",S53,Cases_Forecast!AQ46)</f>
        <v/>
      </c>
      <c r="G53" s="9">
        <f>IF($D53="Actual",T53,IFERROR(H53/AE53,0))</f>
        <v/>
      </c>
      <c r="H53" s="24">
        <f>IF($D53="Actual",U53,J53-I53)</f>
        <v/>
      </c>
      <c r="I53" s="24">
        <f>IF($D53="Actual",V53,IFERROR(J53*AD53,0))</f>
        <v/>
      </c>
      <c r="J53" s="24">
        <f>IF($D53="Actual",U53+V53,E53*X53)</f>
        <v/>
      </c>
      <c r="K53" s="28">
        <f>IFERROR(F53/G53,0)</f>
        <v/>
      </c>
      <c r="L53" s="29">
        <f>IFERROR(H53/G53,0)</f>
        <v/>
      </c>
      <c r="M53" s="30">
        <f>IFERROR(J53/F53,0)</f>
        <v/>
      </c>
      <c r="N53" s="10">
        <f>IFERROR(J53/E53,0)</f>
        <v/>
      </c>
      <c r="O53" s="10">
        <f>IFERROR(I53/J53,0)</f>
        <v/>
      </c>
      <c r="R53" s="42">
        <f>IF($D53="Actual",SUMIFS(Data_Actuals!$C$2:$C$5000,Data_Actuals!$A$2:$A$5000,$A53,Data_Actuals!$B$2:$B$5000,$B$2),"")</f>
        <v/>
      </c>
      <c r="S53" s="42">
        <f>IF($D53="Actual",SUMIFS(Data_Actuals!$D$2:$D$5000,Data_Actuals!$A$2:$A$5000,$A53,Data_Actuals!$B$2:$B$5000,$B$2),"")</f>
        <v/>
      </c>
      <c r="T53" s="42">
        <f>IF($D53="Actual",SUMIFS(Data_Actuals!$E$2:$E$5000,Data_Actuals!$A$2:$A$5000,$A53,Data_Actuals!$B$2:$B$5000,$B$2),"")</f>
        <v/>
      </c>
      <c r="U53" s="42">
        <f>IF($D53="Actual",SUMIFS(Data_Actuals!$F$2:$F$5000,Data_Actuals!$A$2:$A$5000,$A53,Data_Actuals!$B$2:$B$5000,$B$2),"")</f>
        <v/>
      </c>
      <c r="V53" s="42">
        <f>IF($D53="Actual",SUMIFS(Data_Actuals!$G$2:$G$5000,Data_Actuals!$A$2:$A$5000,$A53,Data_Actuals!$B$2:$B$5000,$B$2),"")</f>
        <v/>
      </c>
      <c r="W53" s="42">
        <f>SUMIFS(Plan_Inputs!$C$2:$C$5000,Plan_Inputs!$A$2:$A$5000,$A53,Plan_Inputs!$B$2:$B$5000,$B$2)</f>
        <v/>
      </c>
      <c r="X53" s="43">
        <f>SUMIFS(Plan_Inputs!$D$2:$D$5000,Plan_Inputs!$A$2:$A$5000,$A53,Plan_Inputs!$B$2:$B$5000,$B$2)</f>
        <v/>
      </c>
      <c r="Y53" s="42">
        <f>E53</f>
        <v/>
      </c>
      <c r="Z53" s="44">
        <f>INDEX(Calendar!$H$5:$L$52,MATCH($A53,Calendar!$A$5:$A$52,0),MATCH($D$2,Calendar!$H$4:$L$4,0))</f>
        <v/>
      </c>
      <c r="AA53" s="44">
        <f>INDEX(Calendar!$M$5:$M$52,MATCH($A53,Calendar!$A$5:$A$52,0))</f>
        <v/>
      </c>
      <c r="AB53" s="45">
        <f>IF($D53="Actual",IFERROR(S53/Y53,""),AB41)</f>
        <v/>
      </c>
      <c r="AC53" s="46">
        <f>IF($D53="Actual",IFERROR(U53/T53/Z53/AA53,""),AC41)</f>
        <v/>
      </c>
      <c r="AD53" s="43">
        <f>IF($D53="Actual",IFERROR(V53/(U53+V53),""),AD41)</f>
        <v/>
      </c>
      <c r="AE53" s="46">
        <f>IFERROR(AC53*Z53*AA53,"")</f>
        <v/>
      </c>
      <c r="AF53" s="47">
        <f>K41</f>
        <v/>
      </c>
      <c r="AG53" s="43">
        <f>IF($D53="Forecast",IFERROR(K53/AF53-1,""),"")</f>
        <v/>
      </c>
    </row>
    <row r="54">
      <c r="A54" s="8" t="n">
        <v>46844</v>
      </c>
      <c r="B54" s="26">
        <f>YEAR(A54)</f>
        <v/>
      </c>
      <c r="C54" s="26">
        <f>MONTH(A54)</f>
        <v/>
      </c>
      <c r="D54">
        <f>IF(A54&lt;=LastActual,"Actual","Forecast")</f>
        <v/>
      </c>
      <c r="E54" s="24">
        <f>IF($D54="Actual",R54,W54)</f>
        <v/>
      </c>
      <c r="F54" s="27">
        <f>IF($D54="Actual",S54,Cases_Forecast!AQ47)</f>
        <v/>
      </c>
      <c r="G54" s="9">
        <f>IF($D54="Actual",T54,IFERROR(H54/AE54,0))</f>
        <v/>
      </c>
      <c r="H54" s="24">
        <f>IF($D54="Actual",U54,J54-I54)</f>
        <v/>
      </c>
      <c r="I54" s="24">
        <f>IF($D54="Actual",V54,IFERROR(J54*AD54,0))</f>
        <v/>
      </c>
      <c r="J54" s="24">
        <f>IF($D54="Actual",U54+V54,E54*X54)</f>
        <v/>
      </c>
      <c r="K54" s="28">
        <f>IFERROR(F54/G54,0)</f>
        <v/>
      </c>
      <c r="L54" s="29">
        <f>IFERROR(H54/G54,0)</f>
        <v/>
      </c>
      <c r="M54" s="30">
        <f>IFERROR(J54/F54,0)</f>
        <v/>
      </c>
      <c r="N54" s="10">
        <f>IFERROR(J54/E54,0)</f>
        <v/>
      </c>
      <c r="O54" s="10">
        <f>IFERROR(I54/J54,0)</f>
        <v/>
      </c>
      <c r="R54" s="42">
        <f>IF($D54="Actual",SUMIFS(Data_Actuals!$C$2:$C$5000,Data_Actuals!$A$2:$A$5000,$A54,Data_Actuals!$B$2:$B$5000,$B$2),"")</f>
        <v/>
      </c>
      <c r="S54" s="42">
        <f>IF($D54="Actual",SUMIFS(Data_Actuals!$D$2:$D$5000,Data_Actuals!$A$2:$A$5000,$A54,Data_Actuals!$B$2:$B$5000,$B$2),"")</f>
        <v/>
      </c>
      <c r="T54" s="42">
        <f>IF($D54="Actual",SUMIFS(Data_Actuals!$E$2:$E$5000,Data_Actuals!$A$2:$A$5000,$A54,Data_Actuals!$B$2:$B$5000,$B$2),"")</f>
        <v/>
      </c>
      <c r="U54" s="42">
        <f>IF($D54="Actual",SUMIFS(Data_Actuals!$F$2:$F$5000,Data_Actuals!$A$2:$A$5000,$A54,Data_Actuals!$B$2:$B$5000,$B$2),"")</f>
        <v/>
      </c>
      <c r="V54" s="42">
        <f>IF($D54="Actual",SUMIFS(Data_Actuals!$G$2:$G$5000,Data_Actuals!$A$2:$A$5000,$A54,Data_Actuals!$B$2:$B$5000,$B$2),"")</f>
        <v/>
      </c>
      <c r="W54" s="42">
        <f>SUMIFS(Plan_Inputs!$C$2:$C$5000,Plan_Inputs!$A$2:$A$5000,$A54,Plan_Inputs!$B$2:$B$5000,$B$2)</f>
        <v/>
      </c>
      <c r="X54" s="43">
        <f>SUMIFS(Plan_Inputs!$D$2:$D$5000,Plan_Inputs!$A$2:$A$5000,$A54,Plan_Inputs!$B$2:$B$5000,$B$2)</f>
        <v/>
      </c>
      <c r="Y54" s="42">
        <f>E54</f>
        <v/>
      </c>
      <c r="Z54" s="44">
        <f>INDEX(Calendar!$H$5:$L$52,MATCH($A54,Calendar!$A$5:$A$52,0),MATCH($D$2,Calendar!$H$4:$L$4,0))</f>
        <v/>
      </c>
      <c r="AA54" s="44">
        <f>INDEX(Calendar!$M$5:$M$52,MATCH($A54,Calendar!$A$5:$A$52,0))</f>
        <v/>
      </c>
      <c r="AB54" s="45">
        <f>IF($D54="Actual",IFERROR(S54/Y54,""),AB42)</f>
        <v/>
      </c>
      <c r="AC54" s="46">
        <f>IF($D54="Actual",IFERROR(U54/T54/Z54/AA54,""),AC42)</f>
        <v/>
      </c>
      <c r="AD54" s="43">
        <f>IF($D54="Actual",IFERROR(V54/(U54+V54),""),AD42)</f>
        <v/>
      </c>
      <c r="AE54" s="46">
        <f>IFERROR(AC54*Z54*AA54,"")</f>
        <v/>
      </c>
      <c r="AF54" s="47">
        <f>K42</f>
        <v/>
      </c>
      <c r="AG54" s="43">
        <f>IF($D54="Forecast",IFERROR(K54/AF54-1,""),"")</f>
        <v/>
      </c>
    </row>
    <row r="55">
      <c r="A55" s="8" t="n">
        <v>46874</v>
      </c>
      <c r="B55" s="26">
        <f>YEAR(A55)</f>
        <v/>
      </c>
      <c r="C55" s="26">
        <f>MONTH(A55)</f>
        <v/>
      </c>
      <c r="D55">
        <f>IF(A55&lt;=LastActual,"Actual","Forecast")</f>
        <v/>
      </c>
      <c r="E55" s="24">
        <f>IF($D55="Actual",R55,W55)</f>
        <v/>
      </c>
      <c r="F55" s="27">
        <f>IF($D55="Actual",S55,Cases_Forecast!AQ48)</f>
        <v/>
      </c>
      <c r="G55" s="9">
        <f>IF($D55="Actual",T55,IFERROR(H55/AE55,0))</f>
        <v/>
      </c>
      <c r="H55" s="24">
        <f>IF($D55="Actual",U55,J55-I55)</f>
        <v/>
      </c>
      <c r="I55" s="24">
        <f>IF($D55="Actual",V55,IFERROR(J55*AD55,0))</f>
        <v/>
      </c>
      <c r="J55" s="24">
        <f>IF($D55="Actual",U55+V55,E55*X55)</f>
        <v/>
      </c>
      <c r="K55" s="28">
        <f>IFERROR(F55/G55,0)</f>
        <v/>
      </c>
      <c r="L55" s="29">
        <f>IFERROR(H55/G55,0)</f>
        <v/>
      </c>
      <c r="M55" s="30">
        <f>IFERROR(J55/F55,0)</f>
        <v/>
      </c>
      <c r="N55" s="10">
        <f>IFERROR(J55/E55,0)</f>
        <v/>
      </c>
      <c r="O55" s="10">
        <f>IFERROR(I55/J55,0)</f>
        <v/>
      </c>
      <c r="R55" s="42">
        <f>IF($D55="Actual",SUMIFS(Data_Actuals!$C$2:$C$5000,Data_Actuals!$A$2:$A$5000,$A55,Data_Actuals!$B$2:$B$5000,$B$2),"")</f>
        <v/>
      </c>
      <c r="S55" s="42">
        <f>IF($D55="Actual",SUMIFS(Data_Actuals!$D$2:$D$5000,Data_Actuals!$A$2:$A$5000,$A55,Data_Actuals!$B$2:$B$5000,$B$2),"")</f>
        <v/>
      </c>
      <c r="T55" s="42">
        <f>IF($D55="Actual",SUMIFS(Data_Actuals!$E$2:$E$5000,Data_Actuals!$A$2:$A$5000,$A55,Data_Actuals!$B$2:$B$5000,$B$2),"")</f>
        <v/>
      </c>
      <c r="U55" s="42">
        <f>IF($D55="Actual",SUMIFS(Data_Actuals!$F$2:$F$5000,Data_Actuals!$A$2:$A$5000,$A55,Data_Actuals!$B$2:$B$5000,$B$2),"")</f>
        <v/>
      </c>
      <c r="V55" s="42">
        <f>IF($D55="Actual",SUMIFS(Data_Actuals!$G$2:$G$5000,Data_Actuals!$A$2:$A$5000,$A55,Data_Actuals!$B$2:$B$5000,$B$2),"")</f>
        <v/>
      </c>
      <c r="W55" s="42">
        <f>SUMIFS(Plan_Inputs!$C$2:$C$5000,Plan_Inputs!$A$2:$A$5000,$A55,Plan_Inputs!$B$2:$B$5000,$B$2)</f>
        <v/>
      </c>
      <c r="X55" s="43">
        <f>SUMIFS(Plan_Inputs!$D$2:$D$5000,Plan_Inputs!$A$2:$A$5000,$A55,Plan_Inputs!$B$2:$B$5000,$B$2)</f>
        <v/>
      </c>
      <c r="Y55" s="42">
        <f>E55</f>
        <v/>
      </c>
      <c r="Z55" s="44">
        <f>INDEX(Calendar!$H$5:$L$52,MATCH($A55,Calendar!$A$5:$A$52,0),MATCH($D$2,Calendar!$H$4:$L$4,0))</f>
        <v/>
      </c>
      <c r="AA55" s="44">
        <f>INDEX(Calendar!$M$5:$M$52,MATCH($A55,Calendar!$A$5:$A$52,0))</f>
        <v/>
      </c>
      <c r="AB55" s="45">
        <f>IF($D55="Actual",IFERROR(S55/Y55,""),AB43)</f>
        <v/>
      </c>
      <c r="AC55" s="46">
        <f>IF($D55="Actual",IFERROR(U55/T55/Z55/AA55,""),AC43)</f>
        <v/>
      </c>
      <c r="AD55" s="43">
        <f>IF($D55="Actual",IFERROR(V55/(U55+V55),""),AD43)</f>
        <v/>
      </c>
      <c r="AE55" s="46">
        <f>IFERROR(AC55*Z55*AA55,"")</f>
        <v/>
      </c>
      <c r="AF55" s="47">
        <f>K43</f>
        <v/>
      </c>
      <c r="AG55" s="43">
        <f>IF($D55="Forecast",IFERROR(K55/AF55-1,""),"")</f>
        <v/>
      </c>
    </row>
    <row r="56">
      <c r="A56" s="8" t="n">
        <v>46905</v>
      </c>
      <c r="B56" s="26">
        <f>YEAR(A56)</f>
        <v/>
      </c>
      <c r="C56" s="26">
        <f>MONTH(A56)</f>
        <v/>
      </c>
      <c r="D56">
        <f>IF(A56&lt;=LastActual,"Actual","Forecast")</f>
        <v/>
      </c>
      <c r="E56" s="24">
        <f>IF($D56="Actual",R56,W56)</f>
        <v/>
      </c>
      <c r="F56" s="27">
        <f>IF($D56="Actual",S56,Cases_Forecast!AQ49)</f>
        <v/>
      </c>
      <c r="G56" s="9">
        <f>IF($D56="Actual",T56,IFERROR(H56/AE56,0))</f>
        <v/>
      </c>
      <c r="H56" s="24">
        <f>IF($D56="Actual",U56,J56-I56)</f>
        <v/>
      </c>
      <c r="I56" s="24">
        <f>IF($D56="Actual",V56,IFERROR(J56*AD56,0))</f>
        <v/>
      </c>
      <c r="J56" s="24">
        <f>IF($D56="Actual",U56+V56,E56*X56)</f>
        <v/>
      </c>
      <c r="K56" s="28">
        <f>IFERROR(F56/G56,0)</f>
        <v/>
      </c>
      <c r="L56" s="29">
        <f>IFERROR(H56/G56,0)</f>
        <v/>
      </c>
      <c r="M56" s="30">
        <f>IFERROR(J56/F56,0)</f>
        <v/>
      </c>
      <c r="N56" s="10">
        <f>IFERROR(J56/E56,0)</f>
        <v/>
      </c>
      <c r="O56" s="10">
        <f>IFERROR(I56/J56,0)</f>
        <v/>
      </c>
      <c r="R56" s="42">
        <f>IF($D56="Actual",SUMIFS(Data_Actuals!$C$2:$C$5000,Data_Actuals!$A$2:$A$5000,$A56,Data_Actuals!$B$2:$B$5000,$B$2),"")</f>
        <v/>
      </c>
      <c r="S56" s="42">
        <f>IF($D56="Actual",SUMIFS(Data_Actuals!$D$2:$D$5000,Data_Actuals!$A$2:$A$5000,$A56,Data_Actuals!$B$2:$B$5000,$B$2),"")</f>
        <v/>
      </c>
      <c r="T56" s="42">
        <f>IF($D56="Actual",SUMIFS(Data_Actuals!$E$2:$E$5000,Data_Actuals!$A$2:$A$5000,$A56,Data_Actuals!$B$2:$B$5000,$B$2),"")</f>
        <v/>
      </c>
      <c r="U56" s="42">
        <f>IF($D56="Actual",SUMIFS(Data_Actuals!$F$2:$F$5000,Data_Actuals!$A$2:$A$5000,$A56,Data_Actuals!$B$2:$B$5000,$B$2),"")</f>
        <v/>
      </c>
      <c r="V56" s="42">
        <f>IF($D56="Actual",SUMIFS(Data_Actuals!$G$2:$G$5000,Data_Actuals!$A$2:$A$5000,$A56,Data_Actuals!$B$2:$B$5000,$B$2),"")</f>
        <v/>
      </c>
      <c r="W56" s="42">
        <f>SUMIFS(Plan_Inputs!$C$2:$C$5000,Plan_Inputs!$A$2:$A$5000,$A56,Plan_Inputs!$B$2:$B$5000,$B$2)</f>
        <v/>
      </c>
      <c r="X56" s="43">
        <f>SUMIFS(Plan_Inputs!$D$2:$D$5000,Plan_Inputs!$A$2:$A$5000,$A56,Plan_Inputs!$B$2:$B$5000,$B$2)</f>
        <v/>
      </c>
      <c r="Y56" s="42">
        <f>E56</f>
        <v/>
      </c>
      <c r="Z56" s="44">
        <f>INDEX(Calendar!$H$5:$L$52,MATCH($A56,Calendar!$A$5:$A$52,0),MATCH($D$2,Calendar!$H$4:$L$4,0))</f>
        <v/>
      </c>
      <c r="AA56" s="44">
        <f>INDEX(Calendar!$M$5:$M$52,MATCH($A56,Calendar!$A$5:$A$52,0))</f>
        <v/>
      </c>
      <c r="AB56" s="45">
        <f>IF($D56="Actual",IFERROR(S56/Y56,""),AB44)</f>
        <v/>
      </c>
      <c r="AC56" s="46">
        <f>IF($D56="Actual",IFERROR(U56/T56/Z56/AA56,""),AC44)</f>
        <v/>
      </c>
      <c r="AD56" s="43">
        <f>IF($D56="Actual",IFERROR(V56/(U56+V56),""),AD44)</f>
        <v/>
      </c>
      <c r="AE56" s="46">
        <f>IFERROR(AC56*Z56*AA56,"")</f>
        <v/>
      </c>
      <c r="AF56" s="47">
        <f>K44</f>
        <v/>
      </c>
      <c r="AG56" s="43">
        <f>IF($D56="Forecast",IFERROR(K56/AF56-1,""),"")</f>
        <v/>
      </c>
    </row>
    <row r="57">
      <c r="A57" s="8" t="n">
        <v>46935</v>
      </c>
      <c r="B57" s="26">
        <f>YEAR(A57)</f>
        <v/>
      </c>
      <c r="C57" s="26">
        <f>MONTH(A57)</f>
        <v/>
      </c>
      <c r="D57">
        <f>IF(A57&lt;=LastActual,"Actual","Forecast")</f>
        <v/>
      </c>
      <c r="E57" s="24">
        <f>IF($D57="Actual",R57,W57)</f>
        <v/>
      </c>
      <c r="F57" s="27">
        <f>IF($D57="Actual",S57,Cases_Forecast!AQ50)</f>
        <v/>
      </c>
      <c r="G57" s="9">
        <f>IF($D57="Actual",T57,IFERROR(H57/AE57,0))</f>
        <v/>
      </c>
      <c r="H57" s="24">
        <f>IF($D57="Actual",U57,J57-I57)</f>
        <v/>
      </c>
      <c r="I57" s="24">
        <f>IF($D57="Actual",V57,IFERROR(J57*AD57,0))</f>
        <v/>
      </c>
      <c r="J57" s="24">
        <f>IF($D57="Actual",U57+V57,E57*X57)</f>
        <v/>
      </c>
      <c r="K57" s="28">
        <f>IFERROR(F57/G57,0)</f>
        <v/>
      </c>
      <c r="L57" s="29">
        <f>IFERROR(H57/G57,0)</f>
        <v/>
      </c>
      <c r="M57" s="30">
        <f>IFERROR(J57/F57,0)</f>
        <v/>
      </c>
      <c r="N57" s="10">
        <f>IFERROR(J57/E57,0)</f>
        <v/>
      </c>
      <c r="O57" s="10">
        <f>IFERROR(I57/J57,0)</f>
        <v/>
      </c>
      <c r="R57" s="42">
        <f>IF($D57="Actual",SUMIFS(Data_Actuals!$C$2:$C$5000,Data_Actuals!$A$2:$A$5000,$A57,Data_Actuals!$B$2:$B$5000,$B$2),"")</f>
        <v/>
      </c>
      <c r="S57" s="42">
        <f>IF($D57="Actual",SUMIFS(Data_Actuals!$D$2:$D$5000,Data_Actuals!$A$2:$A$5000,$A57,Data_Actuals!$B$2:$B$5000,$B$2),"")</f>
        <v/>
      </c>
      <c r="T57" s="42">
        <f>IF($D57="Actual",SUMIFS(Data_Actuals!$E$2:$E$5000,Data_Actuals!$A$2:$A$5000,$A57,Data_Actuals!$B$2:$B$5000,$B$2),"")</f>
        <v/>
      </c>
      <c r="U57" s="42">
        <f>IF($D57="Actual",SUMIFS(Data_Actuals!$F$2:$F$5000,Data_Actuals!$A$2:$A$5000,$A57,Data_Actuals!$B$2:$B$5000,$B$2),"")</f>
        <v/>
      </c>
      <c r="V57" s="42">
        <f>IF($D57="Actual",SUMIFS(Data_Actuals!$G$2:$G$5000,Data_Actuals!$A$2:$A$5000,$A57,Data_Actuals!$B$2:$B$5000,$B$2),"")</f>
        <v/>
      </c>
      <c r="W57" s="42">
        <f>SUMIFS(Plan_Inputs!$C$2:$C$5000,Plan_Inputs!$A$2:$A$5000,$A57,Plan_Inputs!$B$2:$B$5000,$B$2)</f>
        <v/>
      </c>
      <c r="X57" s="43">
        <f>SUMIFS(Plan_Inputs!$D$2:$D$5000,Plan_Inputs!$A$2:$A$5000,$A57,Plan_Inputs!$B$2:$B$5000,$B$2)</f>
        <v/>
      </c>
      <c r="Y57" s="42">
        <f>E57</f>
        <v/>
      </c>
      <c r="Z57" s="44">
        <f>INDEX(Calendar!$H$5:$L$52,MATCH($A57,Calendar!$A$5:$A$52,0),MATCH($D$2,Calendar!$H$4:$L$4,0))</f>
        <v/>
      </c>
      <c r="AA57" s="44">
        <f>INDEX(Calendar!$M$5:$M$52,MATCH($A57,Calendar!$A$5:$A$52,0))</f>
        <v/>
      </c>
      <c r="AB57" s="45">
        <f>IF($D57="Actual",IFERROR(S57/Y57,""),AB45)</f>
        <v/>
      </c>
      <c r="AC57" s="46">
        <f>IF($D57="Actual",IFERROR(U57/T57/Z57/AA57,""),AC45)</f>
        <v/>
      </c>
      <c r="AD57" s="43">
        <f>IF($D57="Actual",IFERROR(V57/(U57+V57),""),AD45)</f>
        <v/>
      </c>
      <c r="AE57" s="46">
        <f>IFERROR(AC57*Z57*AA57,"")</f>
        <v/>
      </c>
      <c r="AF57" s="47">
        <f>K45</f>
        <v/>
      </c>
      <c r="AG57" s="43">
        <f>IF($D57="Forecast",IFERROR(K57/AF57-1,""),"")</f>
        <v/>
      </c>
    </row>
    <row r="58">
      <c r="A58" s="8" t="n">
        <v>46966</v>
      </c>
      <c r="B58" s="26">
        <f>YEAR(A58)</f>
        <v/>
      </c>
      <c r="C58" s="26">
        <f>MONTH(A58)</f>
        <v/>
      </c>
      <c r="D58">
        <f>IF(A58&lt;=LastActual,"Actual","Forecast")</f>
        <v/>
      </c>
      <c r="E58" s="24">
        <f>IF($D58="Actual",R58,W58)</f>
        <v/>
      </c>
      <c r="F58" s="27">
        <f>IF($D58="Actual",S58,Cases_Forecast!AQ51)</f>
        <v/>
      </c>
      <c r="G58" s="9">
        <f>IF($D58="Actual",T58,IFERROR(H58/AE58,0))</f>
        <v/>
      </c>
      <c r="H58" s="24">
        <f>IF($D58="Actual",U58,J58-I58)</f>
        <v/>
      </c>
      <c r="I58" s="24">
        <f>IF($D58="Actual",V58,IFERROR(J58*AD58,0))</f>
        <v/>
      </c>
      <c r="J58" s="24">
        <f>IF($D58="Actual",U58+V58,E58*X58)</f>
        <v/>
      </c>
      <c r="K58" s="28">
        <f>IFERROR(F58/G58,0)</f>
        <v/>
      </c>
      <c r="L58" s="29">
        <f>IFERROR(H58/G58,0)</f>
        <v/>
      </c>
      <c r="M58" s="30">
        <f>IFERROR(J58/F58,0)</f>
        <v/>
      </c>
      <c r="N58" s="10">
        <f>IFERROR(J58/E58,0)</f>
        <v/>
      </c>
      <c r="O58" s="10">
        <f>IFERROR(I58/J58,0)</f>
        <v/>
      </c>
      <c r="R58" s="42">
        <f>IF($D58="Actual",SUMIFS(Data_Actuals!$C$2:$C$5000,Data_Actuals!$A$2:$A$5000,$A58,Data_Actuals!$B$2:$B$5000,$B$2),"")</f>
        <v/>
      </c>
      <c r="S58" s="42">
        <f>IF($D58="Actual",SUMIFS(Data_Actuals!$D$2:$D$5000,Data_Actuals!$A$2:$A$5000,$A58,Data_Actuals!$B$2:$B$5000,$B$2),"")</f>
        <v/>
      </c>
      <c r="T58" s="42">
        <f>IF($D58="Actual",SUMIFS(Data_Actuals!$E$2:$E$5000,Data_Actuals!$A$2:$A$5000,$A58,Data_Actuals!$B$2:$B$5000,$B$2),"")</f>
        <v/>
      </c>
      <c r="U58" s="42">
        <f>IF($D58="Actual",SUMIFS(Data_Actuals!$F$2:$F$5000,Data_Actuals!$A$2:$A$5000,$A58,Data_Actuals!$B$2:$B$5000,$B$2),"")</f>
        <v/>
      </c>
      <c r="V58" s="42">
        <f>IF($D58="Actual",SUMIFS(Data_Actuals!$G$2:$G$5000,Data_Actuals!$A$2:$A$5000,$A58,Data_Actuals!$B$2:$B$5000,$B$2),"")</f>
        <v/>
      </c>
      <c r="W58" s="42">
        <f>SUMIFS(Plan_Inputs!$C$2:$C$5000,Plan_Inputs!$A$2:$A$5000,$A58,Plan_Inputs!$B$2:$B$5000,$B$2)</f>
        <v/>
      </c>
      <c r="X58" s="43">
        <f>SUMIFS(Plan_Inputs!$D$2:$D$5000,Plan_Inputs!$A$2:$A$5000,$A58,Plan_Inputs!$B$2:$B$5000,$B$2)</f>
        <v/>
      </c>
      <c r="Y58" s="42">
        <f>E58</f>
        <v/>
      </c>
      <c r="Z58" s="44">
        <f>INDEX(Calendar!$H$5:$L$52,MATCH($A58,Calendar!$A$5:$A$52,0),MATCH($D$2,Calendar!$H$4:$L$4,0))</f>
        <v/>
      </c>
      <c r="AA58" s="44">
        <f>INDEX(Calendar!$M$5:$M$52,MATCH($A58,Calendar!$A$5:$A$52,0))</f>
        <v/>
      </c>
      <c r="AB58" s="45">
        <f>IF($D58="Actual",IFERROR(S58/Y58,""),AB46)</f>
        <v/>
      </c>
      <c r="AC58" s="46">
        <f>IF($D58="Actual",IFERROR(U58/T58/Z58/AA58,""),AC46)</f>
        <v/>
      </c>
      <c r="AD58" s="43">
        <f>IF($D58="Actual",IFERROR(V58/(U58+V58),""),AD46)</f>
        <v/>
      </c>
      <c r="AE58" s="46">
        <f>IFERROR(AC58*Z58*AA58,"")</f>
        <v/>
      </c>
      <c r="AF58" s="47">
        <f>K46</f>
        <v/>
      </c>
      <c r="AG58" s="43">
        <f>IF($D58="Forecast",IFERROR(K58/AF58-1,""),"")</f>
        <v/>
      </c>
    </row>
    <row r="59">
      <c r="A59" s="8" t="n">
        <v>46997</v>
      </c>
      <c r="B59" s="26">
        <f>YEAR(A59)</f>
        <v/>
      </c>
      <c r="C59" s="26">
        <f>MONTH(A59)</f>
        <v/>
      </c>
      <c r="D59">
        <f>IF(A59&lt;=LastActual,"Actual","Forecast")</f>
        <v/>
      </c>
      <c r="E59" s="24">
        <f>IF($D59="Actual",R59,W59)</f>
        <v/>
      </c>
      <c r="F59" s="27">
        <f>IF($D59="Actual",S59,Cases_Forecast!AQ52)</f>
        <v/>
      </c>
      <c r="G59" s="9">
        <f>IF($D59="Actual",T59,IFERROR(H59/AE59,0))</f>
        <v/>
      </c>
      <c r="H59" s="24">
        <f>IF($D59="Actual",U59,J59-I59)</f>
        <v/>
      </c>
      <c r="I59" s="24">
        <f>IF($D59="Actual",V59,IFERROR(J59*AD59,0))</f>
        <v/>
      </c>
      <c r="J59" s="24">
        <f>IF($D59="Actual",U59+V59,E59*X59)</f>
        <v/>
      </c>
      <c r="K59" s="28">
        <f>IFERROR(F59/G59,0)</f>
        <v/>
      </c>
      <c r="L59" s="29">
        <f>IFERROR(H59/G59,0)</f>
        <v/>
      </c>
      <c r="M59" s="30">
        <f>IFERROR(J59/F59,0)</f>
        <v/>
      </c>
      <c r="N59" s="10">
        <f>IFERROR(J59/E59,0)</f>
        <v/>
      </c>
      <c r="O59" s="10">
        <f>IFERROR(I59/J59,0)</f>
        <v/>
      </c>
      <c r="R59" s="42">
        <f>IF($D59="Actual",SUMIFS(Data_Actuals!$C$2:$C$5000,Data_Actuals!$A$2:$A$5000,$A59,Data_Actuals!$B$2:$B$5000,$B$2),"")</f>
        <v/>
      </c>
      <c r="S59" s="42">
        <f>IF($D59="Actual",SUMIFS(Data_Actuals!$D$2:$D$5000,Data_Actuals!$A$2:$A$5000,$A59,Data_Actuals!$B$2:$B$5000,$B$2),"")</f>
        <v/>
      </c>
      <c r="T59" s="42">
        <f>IF($D59="Actual",SUMIFS(Data_Actuals!$E$2:$E$5000,Data_Actuals!$A$2:$A$5000,$A59,Data_Actuals!$B$2:$B$5000,$B$2),"")</f>
        <v/>
      </c>
      <c r="U59" s="42">
        <f>IF($D59="Actual",SUMIFS(Data_Actuals!$F$2:$F$5000,Data_Actuals!$A$2:$A$5000,$A59,Data_Actuals!$B$2:$B$5000,$B$2),"")</f>
        <v/>
      </c>
      <c r="V59" s="42">
        <f>IF($D59="Actual",SUMIFS(Data_Actuals!$G$2:$G$5000,Data_Actuals!$A$2:$A$5000,$A59,Data_Actuals!$B$2:$B$5000,$B$2),"")</f>
        <v/>
      </c>
      <c r="W59" s="42">
        <f>SUMIFS(Plan_Inputs!$C$2:$C$5000,Plan_Inputs!$A$2:$A$5000,$A59,Plan_Inputs!$B$2:$B$5000,$B$2)</f>
        <v/>
      </c>
      <c r="X59" s="43">
        <f>SUMIFS(Plan_Inputs!$D$2:$D$5000,Plan_Inputs!$A$2:$A$5000,$A59,Plan_Inputs!$B$2:$B$5000,$B$2)</f>
        <v/>
      </c>
      <c r="Y59" s="42">
        <f>E59</f>
        <v/>
      </c>
      <c r="Z59" s="44">
        <f>INDEX(Calendar!$H$5:$L$52,MATCH($A59,Calendar!$A$5:$A$52,0),MATCH($D$2,Calendar!$H$4:$L$4,0))</f>
        <v/>
      </c>
      <c r="AA59" s="44">
        <f>INDEX(Calendar!$M$5:$M$52,MATCH($A59,Calendar!$A$5:$A$52,0))</f>
        <v/>
      </c>
      <c r="AB59" s="45">
        <f>IF($D59="Actual",IFERROR(S59/Y59,""),AB47)</f>
        <v/>
      </c>
      <c r="AC59" s="46">
        <f>IF($D59="Actual",IFERROR(U59/T59/Z59/AA59,""),AC47)</f>
        <v/>
      </c>
      <c r="AD59" s="43">
        <f>IF($D59="Actual",IFERROR(V59/(U59+V59),""),AD47)</f>
        <v/>
      </c>
      <c r="AE59" s="46">
        <f>IFERROR(AC59*Z59*AA59,"")</f>
        <v/>
      </c>
      <c r="AF59" s="47">
        <f>K47</f>
        <v/>
      </c>
      <c r="AG59" s="43">
        <f>IF($D59="Forecast",IFERROR(K59/AF59-1,""),"")</f>
        <v/>
      </c>
    </row>
    <row r="60">
      <c r="A60" s="8" t="n">
        <v>47027</v>
      </c>
      <c r="B60" s="26">
        <f>YEAR(A60)</f>
        <v/>
      </c>
      <c r="C60" s="26">
        <f>MONTH(A60)</f>
        <v/>
      </c>
      <c r="D60">
        <f>IF(A60&lt;=LastActual,"Actual","Forecast")</f>
        <v/>
      </c>
      <c r="E60" s="24">
        <f>IF($D60="Actual",R60,W60)</f>
        <v/>
      </c>
      <c r="F60" s="27">
        <f>IF($D60="Actual",S60,Cases_Forecast!AQ53)</f>
        <v/>
      </c>
      <c r="G60" s="9">
        <f>IF($D60="Actual",T60,IFERROR(H60/AE60,0))</f>
        <v/>
      </c>
      <c r="H60" s="24">
        <f>IF($D60="Actual",U60,J60-I60)</f>
        <v/>
      </c>
      <c r="I60" s="24">
        <f>IF($D60="Actual",V60,IFERROR(J60*AD60,0))</f>
        <v/>
      </c>
      <c r="J60" s="24">
        <f>IF($D60="Actual",U60+V60,E60*X60)</f>
        <v/>
      </c>
      <c r="K60" s="28">
        <f>IFERROR(F60/G60,0)</f>
        <v/>
      </c>
      <c r="L60" s="29">
        <f>IFERROR(H60/G60,0)</f>
        <v/>
      </c>
      <c r="M60" s="30">
        <f>IFERROR(J60/F60,0)</f>
        <v/>
      </c>
      <c r="N60" s="10">
        <f>IFERROR(J60/E60,0)</f>
        <v/>
      </c>
      <c r="O60" s="10">
        <f>IFERROR(I60/J60,0)</f>
        <v/>
      </c>
      <c r="R60" s="42">
        <f>IF($D60="Actual",SUMIFS(Data_Actuals!$C$2:$C$5000,Data_Actuals!$A$2:$A$5000,$A60,Data_Actuals!$B$2:$B$5000,$B$2),"")</f>
        <v/>
      </c>
      <c r="S60" s="42">
        <f>IF($D60="Actual",SUMIFS(Data_Actuals!$D$2:$D$5000,Data_Actuals!$A$2:$A$5000,$A60,Data_Actuals!$B$2:$B$5000,$B$2),"")</f>
        <v/>
      </c>
      <c r="T60" s="42">
        <f>IF($D60="Actual",SUMIFS(Data_Actuals!$E$2:$E$5000,Data_Actuals!$A$2:$A$5000,$A60,Data_Actuals!$B$2:$B$5000,$B$2),"")</f>
        <v/>
      </c>
      <c r="U60" s="42">
        <f>IF($D60="Actual",SUMIFS(Data_Actuals!$F$2:$F$5000,Data_Actuals!$A$2:$A$5000,$A60,Data_Actuals!$B$2:$B$5000,$B$2),"")</f>
        <v/>
      </c>
      <c r="V60" s="42">
        <f>IF($D60="Actual",SUMIFS(Data_Actuals!$G$2:$G$5000,Data_Actuals!$A$2:$A$5000,$A60,Data_Actuals!$B$2:$B$5000,$B$2),"")</f>
        <v/>
      </c>
      <c r="W60" s="42">
        <f>SUMIFS(Plan_Inputs!$C$2:$C$5000,Plan_Inputs!$A$2:$A$5000,$A60,Plan_Inputs!$B$2:$B$5000,$B$2)</f>
        <v/>
      </c>
      <c r="X60" s="43">
        <f>SUMIFS(Plan_Inputs!$D$2:$D$5000,Plan_Inputs!$A$2:$A$5000,$A60,Plan_Inputs!$B$2:$B$5000,$B$2)</f>
        <v/>
      </c>
      <c r="Y60" s="42">
        <f>E60</f>
        <v/>
      </c>
      <c r="Z60" s="44">
        <f>INDEX(Calendar!$H$5:$L$52,MATCH($A60,Calendar!$A$5:$A$52,0),MATCH($D$2,Calendar!$H$4:$L$4,0))</f>
        <v/>
      </c>
      <c r="AA60" s="44">
        <f>INDEX(Calendar!$M$5:$M$52,MATCH($A60,Calendar!$A$5:$A$52,0))</f>
        <v/>
      </c>
      <c r="AB60" s="45">
        <f>IF($D60="Actual",IFERROR(S60/Y60,""),AB48)</f>
        <v/>
      </c>
      <c r="AC60" s="46">
        <f>IF($D60="Actual",IFERROR(U60/T60/Z60/AA60,""),AC48)</f>
        <v/>
      </c>
      <c r="AD60" s="43">
        <f>IF($D60="Actual",IFERROR(V60/(U60+V60),""),AD48)</f>
        <v/>
      </c>
      <c r="AE60" s="46">
        <f>IFERROR(AC60*Z60*AA60,"")</f>
        <v/>
      </c>
      <c r="AF60" s="47">
        <f>K48</f>
        <v/>
      </c>
      <c r="AG60" s="43">
        <f>IF($D60="Forecast",IFERROR(K60/AF60-1,""),"")</f>
        <v/>
      </c>
    </row>
    <row r="61">
      <c r="A61" s="8" t="n">
        <v>47058</v>
      </c>
      <c r="B61" s="26">
        <f>YEAR(A61)</f>
        <v/>
      </c>
      <c r="C61" s="26">
        <f>MONTH(A61)</f>
        <v/>
      </c>
      <c r="D61">
        <f>IF(A61&lt;=LastActual,"Actual","Forecast")</f>
        <v/>
      </c>
      <c r="E61" s="24">
        <f>IF($D61="Actual",R61,W61)</f>
        <v/>
      </c>
      <c r="F61" s="27">
        <f>IF($D61="Actual",S61,Cases_Forecast!AQ54)</f>
        <v/>
      </c>
      <c r="G61" s="9">
        <f>IF($D61="Actual",T61,IFERROR(H61/AE61,0))</f>
        <v/>
      </c>
      <c r="H61" s="24">
        <f>IF($D61="Actual",U61,J61-I61)</f>
        <v/>
      </c>
      <c r="I61" s="24">
        <f>IF($D61="Actual",V61,IFERROR(J61*AD61,0))</f>
        <v/>
      </c>
      <c r="J61" s="24">
        <f>IF($D61="Actual",U61+V61,E61*X61)</f>
        <v/>
      </c>
      <c r="K61" s="28">
        <f>IFERROR(F61/G61,0)</f>
        <v/>
      </c>
      <c r="L61" s="29">
        <f>IFERROR(H61/G61,0)</f>
        <v/>
      </c>
      <c r="M61" s="30">
        <f>IFERROR(J61/F61,0)</f>
        <v/>
      </c>
      <c r="N61" s="10">
        <f>IFERROR(J61/E61,0)</f>
        <v/>
      </c>
      <c r="O61" s="10">
        <f>IFERROR(I61/J61,0)</f>
        <v/>
      </c>
      <c r="R61" s="42">
        <f>IF($D61="Actual",SUMIFS(Data_Actuals!$C$2:$C$5000,Data_Actuals!$A$2:$A$5000,$A61,Data_Actuals!$B$2:$B$5000,$B$2),"")</f>
        <v/>
      </c>
      <c r="S61" s="42">
        <f>IF($D61="Actual",SUMIFS(Data_Actuals!$D$2:$D$5000,Data_Actuals!$A$2:$A$5000,$A61,Data_Actuals!$B$2:$B$5000,$B$2),"")</f>
        <v/>
      </c>
      <c r="T61" s="42">
        <f>IF($D61="Actual",SUMIFS(Data_Actuals!$E$2:$E$5000,Data_Actuals!$A$2:$A$5000,$A61,Data_Actuals!$B$2:$B$5000,$B$2),"")</f>
        <v/>
      </c>
      <c r="U61" s="42">
        <f>IF($D61="Actual",SUMIFS(Data_Actuals!$F$2:$F$5000,Data_Actuals!$A$2:$A$5000,$A61,Data_Actuals!$B$2:$B$5000,$B$2),"")</f>
        <v/>
      </c>
      <c r="V61" s="42">
        <f>IF($D61="Actual",SUMIFS(Data_Actuals!$G$2:$G$5000,Data_Actuals!$A$2:$A$5000,$A61,Data_Actuals!$B$2:$B$5000,$B$2),"")</f>
        <v/>
      </c>
      <c r="W61" s="42">
        <f>SUMIFS(Plan_Inputs!$C$2:$C$5000,Plan_Inputs!$A$2:$A$5000,$A61,Plan_Inputs!$B$2:$B$5000,$B$2)</f>
        <v/>
      </c>
      <c r="X61" s="43">
        <f>SUMIFS(Plan_Inputs!$D$2:$D$5000,Plan_Inputs!$A$2:$A$5000,$A61,Plan_Inputs!$B$2:$B$5000,$B$2)</f>
        <v/>
      </c>
      <c r="Y61" s="42">
        <f>E61</f>
        <v/>
      </c>
      <c r="Z61" s="44">
        <f>INDEX(Calendar!$H$5:$L$52,MATCH($A61,Calendar!$A$5:$A$52,0),MATCH($D$2,Calendar!$H$4:$L$4,0))</f>
        <v/>
      </c>
      <c r="AA61" s="44">
        <f>INDEX(Calendar!$M$5:$M$52,MATCH($A61,Calendar!$A$5:$A$52,0))</f>
        <v/>
      </c>
      <c r="AB61" s="45">
        <f>IF($D61="Actual",IFERROR(S61/Y61,""),AB49)</f>
        <v/>
      </c>
      <c r="AC61" s="46">
        <f>IF($D61="Actual",IFERROR(U61/T61/Z61/AA61,""),AC49)</f>
        <v/>
      </c>
      <c r="AD61" s="43">
        <f>IF($D61="Actual",IFERROR(V61/(U61+V61),""),AD49)</f>
        <v/>
      </c>
      <c r="AE61" s="46">
        <f>IFERROR(AC61*Z61*AA61,"")</f>
        <v/>
      </c>
      <c r="AF61" s="47">
        <f>K49</f>
        <v/>
      </c>
      <c r="AG61" s="43">
        <f>IF($D61="Forecast",IFERROR(K61/AF61-1,""),"")</f>
        <v/>
      </c>
    </row>
    <row r="62">
      <c r="A62" s="31" t="n">
        <v>47088</v>
      </c>
      <c r="B62" s="32">
        <f>YEAR(A62)</f>
        <v/>
      </c>
      <c r="C62" s="32">
        <f>MONTH(A62)</f>
        <v/>
      </c>
      <c r="D62" s="33">
        <f>IF(A62&lt;=LastActual,"Actual","Forecast")</f>
        <v/>
      </c>
      <c r="E62" s="34">
        <f>IF($D62="Actual",R62,W62)</f>
        <v/>
      </c>
      <c r="F62" s="35">
        <f>IF($D62="Actual",S62,Cases_Forecast!AQ55)</f>
        <v/>
      </c>
      <c r="G62" s="36">
        <f>IF($D62="Actual",T62,IFERROR(H62/AE62,0))</f>
        <v/>
      </c>
      <c r="H62" s="34">
        <f>IF($D62="Actual",U62,J62-I62)</f>
        <v/>
      </c>
      <c r="I62" s="34">
        <f>IF($D62="Actual",V62,IFERROR(J62*AD62,0))</f>
        <v/>
      </c>
      <c r="J62" s="34">
        <f>IF($D62="Actual",U62+V62,E62*X62)</f>
        <v/>
      </c>
      <c r="K62" s="37">
        <f>IFERROR(F62/G62,0)</f>
        <v/>
      </c>
      <c r="L62" s="38">
        <f>IFERROR(H62/G62,0)</f>
        <v/>
      </c>
      <c r="M62" s="39">
        <f>IFERROR(J62/F62,0)</f>
        <v/>
      </c>
      <c r="N62" s="40">
        <f>IFERROR(J62/E62,0)</f>
        <v/>
      </c>
      <c r="O62" s="40">
        <f>IFERROR(I62/J62,0)</f>
        <v/>
      </c>
      <c r="R62" s="42">
        <f>IF($D62="Actual",SUMIFS(Data_Actuals!$C$2:$C$5000,Data_Actuals!$A$2:$A$5000,$A62,Data_Actuals!$B$2:$B$5000,$B$2),"")</f>
        <v/>
      </c>
      <c r="S62" s="42">
        <f>IF($D62="Actual",SUMIFS(Data_Actuals!$D$2:$D$5000,Data_Actuals!$A$2:$A$5000,$A62,Data_Actuals!$B$2:$B$5000,$B$2),"")</f>
        <v/>
      </c>
      <c r="T62" s="42">
        <f>IF($D62="Actual",SUMIFS(Data_Actuals!$E$2:$E$5000,Data_Actuals!$A$2:$A$5000,$A62,Data_Actuals!$B$2:$B$5000,$B$2),"")</f>
        <v/>
      </c>
      <c r="U62" s="42">
        <f>IF($D62="Actual",SUMIFS(Data_Actuals!$F$2:$F$5000,Data_Actuals!$A$2:$A$5000,$A62,Data_Actuals!$B$2:$B$5000,$B$2),"")</f>
        <v/>
      </c>
      <c r="V62" s="42">
        <f>IF($D62="Actual",SUMIFS(Data_Actuals!$G$2:$G$5000,Data_Actuals!$A$2:$A$5000,$A62,Data_Actuals!$B$2:$B$5000,$B$2),"")</f>
        <v/>
      </c>
      <c r="W62" s="42">
        <f>SUMIFS(Plan_Inputs!$C$2:$C$5000,Plan_Inputs!$A$2:$A$5000,$A62,Plan_Inputs!$B$2:$B$5000,$B$2)</f>
        <v/>
      </c>
      <c r="X62" s="43">
        <f>SUMIFS(Plan_Inputs!$D$2:$D$5000,Plan_Inputs!$A$2:$A$5000,$A62,Plan_Inputs!$B$2:$B$5000,$B$2)</f>
        <v/>
      </c>
      <c r="Y62" s="42">
        <f>E62</f>
        <v/>
      </c>
      <c r="Z62" s="44">
        <f>INDEX(Calendar!$H$5:$L$52,MATCH($A62,Calendar!$A$5:$A$52,0),MATCH($D$2,Calendar!$H$4:$L$4,0))</f>
        <v/>
      </c>
      <c r="AA62" s="44">
        <f>INDEX(Calendar!$M$5:$M$52,MATCH($A62,Calendar!$A$5:$A$52,0))</f>
        <v/>
      </c>
      <c r="AB62" s="45">
        <f>IF($D62="Actual",IFERROR(S62/Y62,""),AB50)</f>
        <v/>
      </c>
      <c r="AC62" s="46">
        <f>IF($D62="Actual",IFERROR(U62/T62/Z62/AA62,""),AC50)</f>
        <v/>
      </c>
      <c r="AD62" s="43">
        <f>IF($D62="Actual",IFERROR(V62/(U62+V62),""),AD50)</f>
        <v/>
      </c>
      <c r="AE62" s="46">
        <f>IFERROR(AC62*Z62*AA62,"")</f>
        <v/>
      </c>
      <c r="AF62" s="47">
        <f>K50</f>
        <v/>
      </c>
      <c r="AG62" s="43">
        <f>IF($D62="Forecast",IFERROR(K62/AF62-1,""),"")</f>
        <v/>
      </c>
    </row>
  </sheetData>
  <mergeCells count="3">
    <mergeCell ref="K12:O12"/>
    <mergeCell ref="R12:AG12"/>
    <mergeCell ref="E12:J12"/>
  </mergeCells>
  <conditionalFormatting sqref="A15:O62">
    <cfRule type="expression" priority="1" dxfId="4">
      <formula>$D15="Forecast"</formula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2E75B6"/>
    <outlinePr summaryBelow="1" summaryRight="1"/>
    <pageSetUpPr/>
  </sheetPr>
  <dimension ref="A1:AG62"/>
  <sheetViews>
    <sheetView workbookViewId="0">
      <pane xSplit="4" ySplit="14" topLeftCell="E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" customWidth="1" min="2" max="2"/>
    <col width="5" customWidth="1" min="3" max="3"/>
    <col width="9" customWidth="1" min="4" max="4"/>
    <col width="10" customWidth="1" min="5" max="5"/>
    <col width="10" customWidth="1" min="6" max="6"/>
    <col width="11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1" customWidth="1" min="15" max="15"/>
    <col width="2" customWidth="1" min="17" max="17"/>
    <col width="11" customWidth="1" min="18" max="18"/>
    <col width="11" customWidth="1" min="19" max="19"/>
    <col width="10" customWidth="1" min="20" max="20"/>
    <col width="11" customWidth="1" min="21" max="21"/>
    <col width="11" customWidth="1" min="22" max="22"/>
    <col width="12" customWidth="1" min="23" max="23"/>
    <col width="9" customWidth="1" min="24" max="24"/>
    <col width="12" customWidth="1" min="25" max="25"/>
    <col width="8" customWidth="1" min="26" max="26"/>
    <col width="8" customWidth="1" min="27" max="27"/>
    <col width="11" customWidth="1" min="28" max="28"/>
    <col width="12" customWidth="1" min="29" max="29"/>
    <col width="12" customWidth="1" min="30" max="30"/>
    <col width="11" customWidth="1" min="31" max="31"/>
    <col width="9" customWidth="1" min="32" max="32"/>
    <col width="9" customWidth="1" min="33" max="33"/>
  </cols>
  <sheetData>
    <row r="1">
      <c r="A1" s="2">
        <f>$B$2&amp;"  |  IDC  |  NSW  |  payroll % of "&amp;Inputs!$A$36&amp;" sales  |  volume from "&amp;Inputs!$A$36&amp;"+"&amp;Inputs!$A$39&amp;" sales"</f>
        <v/>
      </c>
    </row>
    <row r="2">
      <c r="A2" t="inlineStr">
        <is>
          <t>Code</t>
        </is>
      </c>
      <c r="B2" s="1">
        <f>Inputs!$A$44</f>
        <v/>
      </c>
      <c r="C2" t="inlineStr">
        <is>
          <t>State</t>
        </is>
      </c>
      <c r="D2" s="1" t="inlineStr">
        <is>
          <t>NSW</t>
        </is>
      </c>
    </row>
    <row r="5" ht="45" customHeight="1">
      <c r="A5" s="5" t="inlineStr">
        <is>
          <t>FY</t>
        </is>
      </c>
      <c r="D5" s="5" t="inlineStr">
        <is>
          <t>Status</t>
        </is>
      </c>
      <c r="E5" s="5" t="inlineStr">
        <is>
          <t>Sales</t>
        </is>
      </c>
      <c r="F5" s="5" t="inlineStr">
        <is>
          <t>Cases picked</t>
        </is>
      </c>
      <c r="G5" s="5" t="inlineStr">
        <is>
          <t>WH hours worked</t>
        </is>
      </c>
      <c r="H5" s="5" t="inlineStr">
        <is>
          <t>Staff payroll</t>
        </is>
      </c>
      <c r="I5" s="5" t="inlineStr">
        <is>
          <t>Leadership payroll</t>
        </is>
      </c>
      <c r="J5" s="5" t="inlineStr">
        <is>
          <t>Total payroll</t>
        </is>
      </c>
      <c r="K5" s="5" t="inlineStr">
        <is>
          <t>CPLH (cases / hr)</t>
        </is>
      </c>
      <c r="L5" s="5" t="inlineStr">
        <is>
          <t>Cost per hour (staff)</t>
        </is>
      </c>
      <c r="M5" s="5" t="inlineStr">
        <is>
          <t>Cost per case (total payroll)</t>
        </is>
      </c>
      <c r="N5" s="5" t="inlineStr">
        <is>
          <t>Total payroll % sales</t>
        </is>
      </c>
      <c r="O5" s="5" t="inlineStr">
        <is>
          <t>Leadership % of total payroll</t>
        </is>
      </c>
    </row>
    <row r="6">
      <c r="A6" s="15" t="n">
        <v>2025</v>
      </c>
      <c r="D6" s="16">
        <f>IF(DATE(A6,12,1)&lt;=LastActual,"Actual",IF(DATE(A6,1,1)&gt;LastActual,"Forecast","Blended"))</f>
        <v/>
      </c>
      <c r="E6" s="17">
        <f>SUMIFS($E$15:$E$62,$B$15:$B$62,$A6)</f>
        <v/>
      </c>
      <c r="F6" s="18">
        <f>SUMIFS($F$15:$F$62,$B$15:$B$62,$A6)</f>
        <v/>
      </c>
      <c r="G6" s="19">
        <f>SUMIFS($G$15:$G$62,$B$15:$B$62,$A6)</f>
        <v/>
      </c>
      <c r="H6" s="17">
        <f>SUMIFS($H$15:$H$62,$B$15:$B$62,$A6)</f>
        <v/>
      </c>
      <c r="I6" s="17">
        <f>SUMIFS($I$15:$I$62,$B$15:$B$62,$A6)</f>
        <v/>
      </c>
      <c r="J6" s="17">
        <f>SUMIFS($J$15:$J$62,$B$15:$B$62,$A6)</f>
        <v/>
      </c>
      <c r="K6" s="20">
        <f>IFERROR(F6/G6,0)</f>
        <v/>
      </c>
      <c r="L6" s="21">
        <f>IFERROR(H6/G6,0)</f>
        <v/>
      </c>
      <c r="M6" s="22">
        <f>IFERROR(J6/F6,0)</f>
        <v/>
      </c>
      <c r="N6" s="23">
        <f>IFERROR(J6/E6,0)</f>
        <v/>
      </c>
      <c r="O6" s="23">
        <f>IFERROR(I6/J6,0)</f>
        <v/>
      </c>
    </row>
    <row r="7">
      <c r="A7" s="15" t="n">
        <v>2026</v>
      </c>
      <c r="D7" s="16">
        <f>IF(DATE(A7,12,1)&lt;=LastActual,"Actual",IF(DATE(A7,1,1)&gt;LastActual,"Forecast","Blended"))</f>
        <v/>
      </c>
      <c r="E7" s="17">
        <f>SUMIFS($E$15:$E$62,$B$15:$B$62,$A7)</f>
        <v/>
      </c>
      <c r="F7" s="18">
        <f>SUMIFS($F$15:$F$62,$B$15:$B$62,$A7)</f>
        <v/>
      </c>
      <c r="G7" s="19">
        <f>SUMIFS($G$15:$G$62,$B$15:$B$62,$A7)</f>
        <v/>
      </c>
      <c r="H7" s="17">
        <f>SUMIFS($H$15:$H$62,$B$15:$B$62,$A7)</f>
        <v/>
      </c>
      <c r="I7" s="17">
        <f>SUMIFS($I$15:$I$62,$B$15:$B$62,$A7)</f>
        <v/>
      </c>
      <c r="J7" s="17">
        <f>SUMIFS($J$15:$J$62,$B$15:$B$62,$A7)</f>
        <v/>
      </c>
      <c r="K7" s="20">
        <f>IFERROR(F7/G7,0)</f>
        <v/>
      </c>
      <c r="L7" s="21">
        <f>IFERROR(H7/G7,0)</f>
        <v/>
      </c>
      <c r="M7" s="22">
        <f>IFERROR(J7/F7,0)</f>
        <v/>
      </c>
      <c r="N7" s="23">
        <f>IFERROR(J7/E7,0)</f>
        <v/>
      </c>
      <c r="O7" s="23">
        <f>IFERROR(I7/J7,0)</f>
        <v/>
      </c>
    </row>
    <row r="8">
      <c r="A8" s="15" t="n">
        <v>2027</v>
      </c>
      <c r="D8" s="16">
        <f>IF(DATE(A8,12,1)&lt;=LastActual,"Actual",IF(DATE(A8,1,1)&gt;LastActual,"Forecast","Blended"))</f>
        <v/>
      </c>
      <c r="E8" s="17">
        <f>SUMIFS($E$15:$E$62,$B$15:$B$62,$A8)</f>
        <v/>
      </c>
      <c r="F8" s="18">
        <f>SUMIFS($F$15:$F$62,$B$15:$B$62,$A8)</f>
        <v/>
      </c>
      <c r="G8" s="19">
        <f>SUMIFS($G$15:$G$62,$B$15:$B$62,$A8)</f>
        <v/>
      </c>
      <c r="H8" s="17">
        <f>SUMIFS($H$15:$H$62,$B$15:$B$62,$A8)</f>
        <v/>
      </c>
      <c r="I8" s="17">
        <f>SUMIFS($I$15:$I$62,$B$15:$B$62,$A8)</f>
        <v/>
      </c>
      <c r="J8" s="17">
        <f>SUMIFS($J$15:$J$62,$B$15:$B$62,$A8)</f>
        <v/>
      </c>
      <c r="K8" s="20">
        <f>IFERROR(F8/G8,0)</f>
        <v/>
      </c>
      <c r="L8" s="21">
        <f>IFERROR(H8/G8,0)</f>
        <v/>
      </c>
      <c r="M8" s="22">
        <f>IFERROR(J8/F8,0)</f>
        <v/>
      </c>
      <c r="N8" s="23">
        <f>IFERROR(J8/E8,0)</f>
        <v/>
      </c>
      <c r="O8" s="23">
        <f>IFERROR(I8/J8,0)</f>
        <v/>
      </c>
    </row>
    <row r="9">
      <c r="A9" s="15" t="n">
        <v>2028</v>
      </c>
      <c r="D9" s="16">
        <f>IF(DATE(A9,12,1)&lt;=LastActual,"Actual",IF(DATE(A9,1,1)&gt;LastActual,"Forecast","Blended"))</f>
        <v/>
      </c>
      <c r="E9" s="17">
        <f>SUMIFS($E$15:$E$62,$B$15:$B$62,$A9)</f>
        <v/>
      </c>
      <c r="F9" s="18">
        <f>SUMIFS($F$15:$F$62,$B$15:$B$62,$A9)</f>
        <v/>
      </c>
      <c r="G9" s="19">
        <f>SUMIFS($G$15:$G$62,$B$15:$B$62,$A9)</f>
        <v/>
      </c>
      <c r="H9" s="17">
        <f>SUMIFS($H$15:$H$62,$B$15:$B$62,$A9)</f>
        <v/>
      </c>
      <c r="I9" s="17">
        <f>SUMIFS($I$15:$I$62,$B$15:$B$62,$A9)</f>
        <v/>
      </c>
      <c r="J9" s="17">
        <f>SUMIFS($J$15:$J$62,$B$15:$B$62,$A9)</f>
        <v/>
      </c>
      <c r="K9" s="20">
        <f>IFERROR(F9/G9,0)</f>
        <v/>
      </c>
      <c r="L9" s="21">
        <f>IFERROR(H9/G9,0)</f>
        <v/>
      </c>
      <c r="M9" s="22">
        <f>IFERROR(J9/F9,0)</f>
        <v/>
      </c>
      <c r="N9" s="23">
        <f>IFERROR(J9/E9,0)</f>
        <v/>
      </c>
      <c r="O9" s="23">
        <f>IFERROR(I9/J9,0)</f>
        <v/>
      </c>
    </row>
    <row r="12">
      <c r="E12" s="5" t="inlineStr">
        <is>
          <t>Drivers</t>
        </is>
      </c>
      <c r="K12" s="5" t="inlineStr">
        <is>
          <t>Metrics</t>
        </is>
      </c>
      <c r="R12" s="5" t="inlineStr">
        <is>
          <t>Helper calculations (actuals, plan, same-month-last-year rates)</t>
        </is>
      </c>
    </row>
    <row r="13" ht="60" customHeight="1">
      <c r="A13" s="5" t="inlineStr">
        <is>
          <t>Month</t>
        </is>
      </c>
      <c r="B13" s="5" t="inlineStr">
        <is>
          <t>Year</t>
        </is>
      </c>
      <c r="C13" s="5" t="inlineStr">
        <is>
          <t>Mth</t>
        </is>
      </c>
      <c r="D13" s="5" t="inlineStr">
        <is>
          <t>Status</t>
        </is>
      </c>
      <c r="E13" s="5" t="inlineStr">
        <is>
          <t>Sales</t>
        </is>
      </c>
      <c r="F13" s="5" t="inlineStr">
        <is>
          <t>Cases picked</t>
        </is>
      </c>
      <c r="G13" s="5" t="inlineStr">
        <is>
          <t>WH hours worked</t>
        </is>
      </c>
      <c r="H13" s="5" t="inlineStr">
        <is>
          <t>Staff payroll</t>
        </is>
      </c>
      <c r="I13" s="5" t="inlineStr">
        <is>
          <t>Leadership payroll</t>
        </is>
      </c>
      <c r="J13" s="5" t="inlineStr">
        <is>
          <t>Total payroll</t>
        </is>
      </c>
      <c r="K13" s="5" t="inlineStr">
        <is>
          <t>CPLH (cases / hr)</t>
        </is>
      </c>
      <c r="L13" s="5" t="inlineStr">
        <is>
          <t>Cost per hour (staff)</t>
        </is>
      </c>
      <c r="M13" s="5" t="inlineStr">
        <is>
          <t>Cost per case (total payroll)</t>
        </is>
      </c>
      <c r="N13" s="5" t="inlineStr">
        <is>
          <t>Total payroll % sales</t>
        </is>
      </c>
      <c r="O13" s="5" t="inlineStr">
        <is>
          <t>Leadership % of total payroll</t>
        </is>
      </c>
      <c r="R13" s="41" t="inlineStr">
        <is>
          <t>Act sales</t>
        </is>
      </c>
      <c r="S13" s="41" t="inlineStr">
        <is>
          <t>Act cases</t>
        </is>
      </c>
      <c r="T13" s="41" t="inlineStr">
        <is>
          <t>Act hours</t>
        </is>
      </c>
      <c r="U13" s="41" t="inlineStr">
        <is>
          <t>Act staff $</t>
        </is>
      </c>
      <c r="V13" s="41" t="inlineStr">
        <is>
          <t>Act leadership $</t>
        </is>
      </c>
      <c r="W13" s="41" t="inlineStr">
        <is>
          <t>Plan sales</t>
        </is>
      </c>
      <c r="X13" s="41" t="inlineStr">
        <is>
          <t>Plan payroll %</t>
        </is>
      </c>
      <c r="Y13" s="41" t="inlineStr">
        <is>
          <t>Volume driver sales</t>
        </is>
      </c>
      <c r="Z13" s="41" t="inlineStr">
        <is>
          <t>PH factor</t>
        </is>
      </c>
      <c r="AA13" s="41" t="inlineStr">
        <is>
          <t>Wage index</t>
        </is>
      </c>
      <c r="AB13" s="41" t="inlineStr">
        <is>
          <t>Cases per $ (actual, else same month LY)</t>
        </is>
      </c>
      <c r="AC13" s="41" t="inlineStr">
        <is>
          <t>Cost per hour ex PH &amp; wage (actual, else same month LY)</t>
        </is>
      </c>
      <c r="AD13" s="41" t="inlineStr">
        <is>
          <t>Leadership share of total payroll (actual, else same month LY)</t>
        </is>
      </c>
      <c r="AE13" s="41" t="inlineStr">
        <is>
          <t>Fcst cost per hour (AC x PH x wage)</t>
        </is>
      </c>
      <c r="AF13" s="41" t="inlineStr">
        <is>
          <t>LY CPLH (same month)</t>
        </is>
      </c>
      <c r="AG13" s="41" t="inlineStr">
        <is>
          <t>Fcst CPLH vs LY</t>
        </is>
      </c>
    </row>
    <row r="14">
      <c r="E14" s="25" t="inlineStr">
        <is>
          <t>$m</t>
        </is>
      </c>
      <c r="F14" s="25" t="inlineStr">
        <is>
          <t>m</t>
        </is>
      </c>
      <c r="G14" s="25" t="inlineStr">
        <is>
          <t>#</t>
        </is>
      </c>
      <c r="H14" s="25" t="inlineStr">
        <is>
          <t>$m</t>
        </is>
      </c>
      <c r="I14" s="25" t="inlineStr">
        <is>
          <t>$m</t>
        </is>
      </c>
      <c r="J14" s="25" t="inlineStr">
        <is>
          <t>$m</t>
        </is>
      </c>
      <c r="K14" s="25" t="inlineStr">
        <is>
          <t>#</t>
        </is>
      </c>
      <c r="L14" s="25" t="inlineStr">
        <is>
          <t>$</t>
        </is>
      </c>
      <c r="M14" s="25" t="inlineStr">
        <is>
          <t>$</t>
        </is>
      </c>
      <c r="N14" s="25" t="inlineStr">
        <is>
          <t>%</t>
        </is>
      </c>
      <c r="O14" s="25" t="inlineStr">
        <is>
          <t>%</t>
        </is>
      </c>
    </row>
    <row r="15">
      <c r="A15" s="8" t="n">
        <v>45658</v>
      </c>
      <c r="B15" s="26">
        <f>YEAR(A15)</f>
        <v/>
      </c>
      <c r="C15" s="26">
        <f>MONTH(A15)</f>
        <v/>
      </c>
      <c r="D15">
        <f>IF(A15&lt;=LastActual,"Actual","Forecast")</f>
        <v/>
      </c>
      <c r="E15" s="24">
        <f>'NSW-1'!E15</f>
        <v/>
      </c>
      <c r="F15" s="27">
        <f>IF($D15="Actual",S15,Cases_Forecast!AR8)</f>
        <v/>
      </c>
      <c r="G15" s="9">
        <f>IF($D15="Actual",T15,IFERROR(H15/AE15,0))</f>
        <v/>
      </c>
      <c r="H15" s="24">
        <f>IF($D15="Actual",U15,J15-I15)</f>
        <v/>
      </c>
      <c r="I15" s="24">
        <f>IF($D15="Actual",V15,IFERROR(J15*AD15,0))</f>
        <v/>
      </c>
      <c r="J15" s="24">
        <f>IF($D15="Actual",U15+V15,E15*X15)</f>
        <v/>
      </c>
      <c r="K15" s="28">
        <f>IFERROR(F15/G15,0)</f>
        <v/>
      </c>
      <c r="L15" s="29">
        <f>IFERROR(H15/G15,0)</f>
        <v/>
      </c>
      <c r="M15" s="30">
        <f>IFERROR(J15/F15,0)</f>
        <v/>
      </c>
      <c r="N15" s="10">
        <f>IFERROR(J15/E15,0)</f>
        <v/>
      </c>
      <c r="O15" s="10">
        <f>IFERROR(I15/J15,0)</f>
        <v/>
      </c>
      <c r="R15" s="42">
        <f>IF($D15="Actual",E15,"")</f>
        <v/>
      </c>
      <c r="S15" s="42">
        <f>IF($D15="Actual",SUMIFS(Data_Actuals!$D$2:$D$5000,Data_Actuals!$A$2:$A$5000,$A15,Data_Actuals!$B$2:$B$5000,$B$2),"")</f>
        <v/>
      </c>
      <c r="T15" s="42">
        <f>IF($D15="Actual",SUMIFS(Data_Actuals!$E$2:$E$5000,Data_Actuals!$A$2:$A$5000,$A15,Data_Actuals!$B$2:$B$5000,$B$2),"")</f>
        <v/>
      </c>
      <c r="U15" s="42">
        <f>IF($D15="Actual",SUMIFS(Data_Actuals!$F$2:$F$5000,Data_Actuals!$A$2:$A$5000,$A15,Data_Actuals!$B$2:$B$5000,$B$2),"")</f>
        <v/>
      </c>
      <c r="V15" s="42">
        <f>IF($D15="Actual",SUMIFS(Data_Actuals!$G$2:$G$5000,Data_Actuals!$A$2:$A$5000,$A15,Data_Actuals!$B$2:$B$5000,$B$2),"")</f>
        <v/>
      </c>
      <c r="W15" s="42">
        <f>SUMIFS(Plan_Inputs!$C$2:$C$5000,Plan_Inputs!$A$2:$A$5000,$A15,Plan_Inputs!$B$2:$B$5000,$B$2)</f>
        <v/>
      </c>
      <c r="X15" s="43">
        <f>SUMIFS(Plan_Inputs!$D$2:$D$5000,Plan_Inputs!$A$2:$A$5000,$A15,Plan_Inputs!$B$2:$B$5000,$B$2)</f>
        <v/>
      </c>
      <c r="Y15" s="42">
        <f>'NSW-1'!E15+'NSW-2'!E15</f>
        <v/>
      </c>
      <c r="Z15" s="44">
        <f>INDEX(Calendar!$H$5:$L$52,MATCH($A15,Calendar!$A$5:$A$52,0),MATCH($D$2,Calendar!$H$4:$L$4,0))</f>
        <v/>
      </c>
      <c r="AA15" s="44">
        <f>INDEX(Calendar!$M$5:$M$52,MATCH($A15,Calendar!$A$5:$A$52,0))</f>
        <v/>
      </c>
      <c r="AB15" s="45">
        <f>IF($D15="Actual",IFERROR(S15/Y15,""),"")</f>
        <v/>
      </c>
      <c r="AC15" s="46">
        <f>IF($D15="Actual",IFERROR(U15/T15/Z15/AA15,""),"")</f>
        <v/>
      </c>
      <c r="AD15" s="43">
        <f>IF($D15="Actual",IFERROR(V15/(U15+V15),""),"")</f>
        <v/>
      </c>
      <c r="AE15" s="46">
        <f>IFERROR(AC15*Z15*AA15,"")</f>
        <v/>
      </c>
      <c r="AF15" s="47" t="n"/>
      <c r="AG15" s="43">
        <f>IF($D15="Forecast",IFERROR(K15/AF15-1,""),"")</f>
        <v/>
      </c>
    </row>
    <row r="16">
      <c r="A16" s="8" t="n">
        <v>45689</v>
      </c>
      <c r="B16" s="26">
        <f>YEAR(A16)</f>
        <v/>
      </c>
      <c r="C16" s="26">
        <f>MONTH(A16)</f>
        <v/>
      </c>
      <c r="D16">
        <f>IF(A16&lt;=LastActual,"Actual","Forecast")</f>
        <v/>
      </c>
      <c r="E16" s="24">
        <f>'NSW-1'!E16</f>
        <v/>
      </c>
      <c r="F16" s="27">
        <f>IF($D16="Actual",S16,Cases_Forecast!AR9)</f>
        <v/>
      </c>
      <c r="G16" s="9">
        <f>IF($D16="Actual",T16,IFERROR(H16/AE16,0))</f>
        <v/>
      </c>
      <c r="H16" s="24">
        <f>IF($D16="Actual",U16,J16-I16)</f>
        <v/>
      </c>
      <c r="I16" s="24">
        <f>IF($D16="Actual",V16,IFERROR(J16*AD16,0))</f>
        <v/>
      </c>
      <c r="J16" s="24">
        <f>IF($D16="Actual",U16+V16,E16*X16)</f>
        <v/>
      </c>
      <c r="K16" s="28">
        <f>IFERROR(F16/G16,0)</f>
        <v/>
      </c>
      <c r="L16" s="29">
        <f>IFERROR(H16/G16,0)</f>
        <v/>
      </c>
      <c r="M16" s="30">
        <f>IFERROR(J16/F16,0)</f>
        <v/>
      </c>
      <c r="N16" s="10">
        <f>IFERROR(J16/E16,0)</f>
        <v/>
      </c>
      <c r="O16" s="10">
        <f>IFERROR(I16/J16,0)</f>
        <v/>
      </c>
      <c r="R16" s="42">
        <f>IF($D16="Actual",E16,"")</f>
        <v/>
      </c>
      <c r="S16" s="42">
        <f>IF($D16="Actual",SUMIFS(Data_Actuals!$D$2:$D$5000,Data_Actuals!$A$2:$A$5000,$A16,Data_Actuals!$B$2:$B$5000,$B$2),"")</f>
        <v/>
      </c>
      <c r="T16" s="42">
        <f>IF($D16="Actual",SUMIFS(Data_Actuals!$E$2:$E$5000,Data_Actuals!$A$2:$A$5000,$A16,Data_Actuals!$B$2:$B$5000,$B$2),"")</f>
        <v/>
      </c>
      <c r="U16" s="42">
        <f>IF($D16="Actual",SUMIFS(Data_Actuals!$F$2:$F$5000,Data_Actuals!$A$2:$A$5000,$A16,Data_Actuals!$B$2:$B$5000,$B$2),"")</f>
        <v/>
      </c>
      <c r="V16" s="42">
        <f>IF($D16="Actual",SUMIFS(Data_Actuals!$G$2:$G$5000,Data_Actuals!$A$2:$A$5000,$A16,Data_Actuals!$B$2:$B$5000,$B$2),"")</f>
        <v/>
      </c>
      <c r="W16" s="42">
        <f>SUMIFS(Plan_Inputs!$C$2:$C$5000,Plan_Inputs!$A$2:$A$5000,$A16,Plan_Inputs!$B$2:$B$5000,$B$2)</f>
        <v/>
      </c>
      <c r="X16" s="43">
        <f>SUMIFS(Plan_Inputs!$D$2:$D$5000,Plan_Inputs!$A$2:$A$5000,$A16,Plan_Inputs!$B$2:$B$5000,$B$2)</f>
        <v/>
      </c>
      <c r="Y16" s="42">
        <f>'NSW-1'!E16+'NSW-2'!E16</f>
        <v/>
      </c>
      <c r="Z16" s="44">
        <f>INDEX(Calendar!$H$5:$L$52,MATCH($A16,Calendar!$A$5:$A$52,0),MATCH($D$2,Calendar!$H$4:$L$4,0))</f>
        <v/>
      </c>
      <c r="AA16" s="44">
        <f>INDEX(Calendar!$M$5:$M$52,MATCH($A16,Calendar!$A$5:$A$52,0))</f>
        <v/>
      </c>
      <c r="AB16" s="45">
        <f>IF($D16="Actual",IFERROR(S16/Y16,""),"")</f>
        <v/>
      </c>
      <c r="AC16" s="46">
        <f>IF($D16="Actual",IFERROR(U16/T16/Z16/AA16,""),"")</f>
        <v/>
      </c>
      <c r="AD16" s="43">
        <f>IF($D16="Actual",IFERROR(V16/(U16+V16),""),"")</f>
        <v/>
      </c>
      <c r="AE16" s="46">
        <f>IFERROR(AC16*Z16*AA16,"")</f>
        <v/>
      </c>
      <c r="AF16" s="47" t="n"/>
      <c r="AG16" s="43">
        <f>IF($D16="Forecast",IFERROR(K16/AF16-1,""),"")</f>
        <v/>
      </c>
    </row>
    <row r="17">
      <c r="A17" s="8" t="n">
        <v>45717</v>
      </c>
      <c r="B17" s="26">
        <f>YEAR(A17)</f>
        <v/>
      </c>
      <c r="C17" s="26">
        <f>MONTH(A17)</f>
        <v/>
      </c>
      <c r="D17">
        <f>IF(A17&lt;=LastActual,"Actual","Forecast")</f>
        <v/>
      </c>
      <c r="E17" s="24">
        <f>'NSW-1'!E17</f>
        <v/>
      </c>
      <c r="F17" s="27">
        <f>IF($D17="Actual",S17,Cases_Forecast!AR10)</f>
        <v/>
      </c>
      <c r="G17" s="9">
        <f>IF($D17="Actual",T17,IFERROR(H17/AE17,0))</f>
        <v/>
      </c>
      <c r="H17" s="24">
        <f>IF($D17="Actual",U17,J17-I17)</f>
        <v/>
      </c>
      <c r="I17" s="24">
        <f>IF($D17="Actual",V17,IFERROR(J17*AD17,0))</f>
        <v/>
      </c>
      <c r="J17" s="24">
        <f>IF($D17="Actual",U17+V17,E17*X17)</f>
        <v/>
      </c>
      <c r="K17" s="28">
        <f>IFERROR(F17/G17,0)</f>
        <v/>
      </c>
      <c r="L17" s="29">
        <f>IFERROR(H17/G17,0)</f>
        <v/>
      </c>
      <c r="M17" s="30">
        <f>IFERROR(J17/F17,0)</f>
        <v/>
      </c>
      <c r="N17" s="10">
        <f>IFERROR(J17/E17,0)</f>
        <v/>
      </c>
      <c r="O17" s="10">
        <f>IFERROR(I17/J17,0)</f>
        <v/>
      </c>
      <c r="R17" s="42">
        <f>IF($D17="Actual",E17,"")</f>
        <v/>
      </c>
      <c r="S17" s="42">
        <f>IF($D17="Actual",SUMIFS(Data_Actuals!$D$2:$D$5000,Data_Actuals!$A$2:$A$5000,$A17,Data_Actuals!$B$2:$B$5000,$B$2),"")</f>
        <v/>
      </c>
      <c r="T17" s="42">
        <f>IF($D17="Actual",SUMIFS(Data_Actuals!$E$2:$E$5000,Data_Actuals!$A$2:$A$5000,$A17,Data_Actuals!$B$2:$B$5000,$B$2),"")</f>
        <v/>
      </c>
      <c r="U17" s="42">
        <f>IF($D17="Actual",SUMIFS(Data_Actuals!$F$2:$F$5000,Data_Actuals!$A$2:$A$5000,$A17,Data_Actuals!$B$2:$B$5000,$B$2),"")</f>
        <v/>
      </c>
      <c r="V17" s="42">
        <f>IF($D17="Actual",SUMIFS(Data_Actuals!$G$2:$G$5000,Data_Actuals!$A$2:$A$5000,$A17,Data_Actuals!$B$2:$B$5000,$B$2),"")</f>
        <v/>
      </c>
      <c r="W17" s="42">
        <f>SUMIFS(Plan_Inputs!$C$2:$C$5000,Plan_Inputs!$A$2:$A$5000,$A17,Plan_Inputs!$B$2:$B$5000,$B$2)</f>
        <v/>
      </c>
      <c r="X17" s="43">
        <f>SUMIFS(Plan_Inputs!$D$2:$D$5000,Plan_Inputs!$A$2:$A$5000,$A17,Plan_Inputs!$B$2:$B$5000,$B$2)</f>
        <v/>
      </c>
      <c r="Y17" s="42">
        <f>'NSW-1'!E17+'NSW-2'!E17</f>
        <v/>
      </c>
      <c r="Z17" s="44">
        <f>INDEX(Calendar!$H$5:$L$52,MATCH($A17,Calendar!$A$5:$A$52,0),MATCH($D$2,Calendar!$H$4:$L$4,0))</f>
        <v/>
      </c>
      <c r="AA17" s="44">
        <f>INDEX(Calendar!$M$5:$M$52,MATCH($A17,Calendar!$A$5:$A$52,0))</f>
        <v/>
      </c>
      <c r="AB17" s="45">
        <f>IF($D17="Actual",IFERROR(S17/Y17,""),"")</f>
        <v/>
      </c>
      <c r="AC17" s="46">
        <f>IF($D17="Actual",IFERROR(U17/T17/Z17/AA17,""),"")</f>
        <v/>
      </c>
      <c r="AD17" s="43">
        <f>IF($D17="Actual",IFERROR(V17/(U17+V17),""),"")</f>
        <v/>
      </c>
      <c r="AE17" s="46">
        <f>IFERROR(AC17*Z17*AA17,"")</f>
        <v/>
      </c>
      <c r="AF17" s="47" t="n"/>
      <c r="AG17" s="43">
        <f>IF($D17="Forecast",IFERROR(K17/AF17-1,""),"")</f>
        <v/>
      </c>
    </row>
    <row r="18">
      <c r="A18" s="8" t="n">
        <v>45748</v>
      </c>
      <c r="B18" s="26">
        <f>YEAR(A18)</f>
        <v/>
      </c>
      <c r="C18" s="26">
        <f>MONTH(A18)</f>
        <v/>
      </c>
      <c r="D18">
        <f>IF(A18&lt;=LastActual,"Actual","Forecast")</f>
        <v/>
      </c>
      <c r="E18" s="24">
        <f>'NSW-1'!E18</f>
        <v/>
      </c>
      <c r="F18" s="27">
        <f>IF($D18="Actual",S18,Cases_Forecast!AR11)</f>
        <v/>
      </c>
      <c r="G18" s="9">
        <f>IF($D18="Actual",T18,IFERROR(H18/AE18,0))</f>
        <v/>
      </c>
      <c r="H18" s="24">
        <f>IF($D18="Actual",U18,J18-I18)</f>
        <v/>
      </c>
      <c r="I18" s="24">
        <f>IF($D18="Actual",V18,IFERROR(J18*AD18,0))</f>
        <v/>
      </c>
      <c r="J18" s="24">
        <f>IF($D18="Actual",U18+V18,E18*X18)</f>
        <v/>
      </c>
      <c r="K18" s="28">
        <f>IFERROR(F18/G18,0)</f>
        <v/>
      </c>
      <c r="L18" s="29">
        <f>IFERROR(H18/G18,0)</f>
        <v/>
      </c>
      <c r="M18" s="30">
        <f>IFERROR(J18/F18,0)</f>
        <v/>
      </c>
      <c r="N18" s="10">
        <f>IFERROR(J18/E18,0)</f>
        <v/>
      </c>
      <c r="O18" s="10">
        <f>IFERROR(I18/J18,0)</f>
        <v/>
      </c>
      <c r="R18" s="42">
        <f>IF($D18="Actual",E18,"")</f>
        <v/>
      </c>
      <c r="S18" s="42">
        <f>IF($D18="Actual",SUMIFS(Data_Actuals!$D$2:$D$5000,Data_Actuals!$A$2:$A$5000,$A18,Data_Actuals!$B$2:$B$5000,$B$2),"")</f>
        <v/>
      </c>
      <c r="T18" s="42">
        <f>IF($D18="Actual",SUMIFS(Data_Actuals!$E$2:$E$5000,Data_Actuals!$A$2:$A$5000,$A18,Data_Actuals!$B$2:$B$5000,$B$2),"")</f>
        <v/>
      </c>
      <c r="U18" s="42">
        <f>IF($D18="Actual",SUMIFS(Data_Actuals!$F$2:$F$5000,Data_Actuals!$A$2:$A$5000,$A18,Data_Actuals!$B$2:$B$5000,$B$2),"")</f>
        <v/>
      </c>
      <c r="V18" s="42">
        <f>IF($D18="Actual",SUMIFS(Data_Actuals!$G$2:$G$5000,Data_Actuals!$A$2:$A$5000,$A18,Data_Actuals!$B$2:$B$5000,$B$2),"")</f>
        <v/>
      </c>
      <c r="W18" s="42">
        <f>SUMIFS(Plan_Inputs!$C$2:$C$5000,Plan_Inputs!$A$2:$A$5000,$A18,Plan_Inputs!$B$2:$B$5000,$B$2)</f>
        <v/>
      </c>
      <c r="X18" s="43">
        <f>SUMIFS(Plan_Inputs!$D$2:$D$5000,Plan_Inputs!$A$2:$A$5000,$A18,Plan_Inputs!$B$2:$B$5000,$B$2)</f>
        <v/>
      </c>
      <c r="Y18" s="42">
        <f>'NSW-1'!E18+'NSW-2'!E18</f>
        <v/>
      </c>
      <c r="Z18" s="44">
        <f>INDEX(Calendar!$H$5:$L$52,MATCH($A18,Calendar!$A$5:$A$52,0),MATCH($D$2,Calendar!$H$4:$L$4,0))</f>
        <v/>
      </c>
      <c r="AA18" s="44">
        <f>INDEX(Calendar!$M$5:$M$52,MATCH($A18,Calendar!$A$5:$A$52,0))</f>
        <v/>
      </c>
      <c r="AB18" s="45">
        <f>IF($D18="Actual",IFERROR(S18/Y18,""),"")</f>
        <v/>
      </c>
      <c r="AC18" s="46">
        <f>IF($D18="Actual",IFERROR(U18/T18/Z18/AA18,""),"")</f>
        <v/>
      </c>
      <c r="AD18" s="43">
        <f>IF($D18="Actual",IFERROR(V18/(U18+V18),""),"")</f>
        <v/>
      </c>
      <c r="AE18" s="46">
        <f>IFERROR(AC18*Z18*AA18,"")</f>
        <v/>
      </c>
      <c r="AF18" s="47" t="n"/>
      <c r="AG18" s="43">
        <f>IF($D18="Forecast",IFERROR(K18/AF18-1,""),"")</f>
        <v/>
      </c>
    </row>
    <row r="19">
      <c r="A19" s="8" t="n">
        <v>45778</v>
      </c>
      <c r="B19" s="26">
        <f>YEAR(A19)</f>
        <v/>
      </c>
      <c r="C19" s="26">
        <f>MONTH(A19)</f>
        <v/>
      </c>
      <c r="D19">
        <f>IF(A19&lt;=LastActual,"Actual","Forecast")</f>
        <v/>
      </c>
      <c r="E19" s="24">
        <f>'NSW-1'!E19</f>
        <v/>
      </c>
      <c r="F19" s="27">
        <f>IF($D19="Actual",S19,Cases_Forecast!AR12)</f>
        <v/>
      </c>
      <c r="G19" s="9">
        <f>IF($D19="Actual",T19,IFERROR(H19/AE19,0))</f>
        <v/>
      </c>
      <c r="H19" s="24">
        <f>IF($D19="Actual",U19,J19-I19)</f>
        <v/>
      </c>
      <c r="I19" s="24">
        <f>IF($D19="Actual",V19,IFERROR(J19*AD19,0))</f>
        <v/>
      </c>
      <c r="J19" s="24">
        <f>IF($D19="Actual",U19+V19,E19*X19)</f>
        <v/>
      </c>
      <c r="K19" s="28">
        <f>IFERROR(F19/G19,0)</f>
        <v/>
      </c>
      <c r="L19" s="29">
        <f>IFERROR(H19/G19,0)</f>
        <v/>
      </c>
      <c r="M19" s="30">
        <f>IFERROR(J19/F19,0)</f>
        <v/>
      </c>
      <c r="N19" s="10">
        <f>IFERROR(J19/E19,0)</f>
        <v/>
      </c>
      <c r="O19" s="10">
        <f>IFERROR(I19/J19,0)</f>
        <v/>
      </c>
      <c r="R19" s="42">
        <f>IF($D19="Actual",E19,"")</f>
        <v/>
      </c>
      <c r="S19" s="42">
        <f>IF($D19="Actual",SUMIFS(Data_Actuals!$D$2:$D$5000,Data_Actuals!$A$2:$A$5000,$A19,Data_Actuals!$B$2:$B$5000,$B$2),"")</f>
        <v/>
      </c>
      <c r="T19" s="42">
        <f>IF($D19="Actual",SUMIFS(Data_Actuals!$E$2:$E$5000,Data_Actuals!$A$2:$A$5000,$A19,Data_Actuals!$B$2:$B$5000,$B$2),"")</f>
        <v/>
      </c>
      <c r="U19" s="42">
        <f>IF($D19="Actual",SUMIFS(Data_Actuals!$F$2:$F$5000,Data_Actuals!$A$2:$A$5000,$A19,Data_Actuals!$B$2:$B$5000,$B$2),"")</f>
        <v/>
      </c>
      <c r="V19" s="42">
        <f>IF($D19="Actual",SUMIFS(Data_Actuals!$G$2:$G$5000,Data_Actuals!$A$2:$A$5000,$A19,Data_Actuals!$B$2:$B$5000,$B$2),"")</f>
        <v/>
      </c>
      <c r="W19" s="42">
        <f>SUMIFS(Plan_Inputs!$C$2:$C$5000,Plan_Inputs!$A$2:$A$5000,$A19,Plan_Inputs!$B$2:$B$5000,$B$2)</f>
        <v/>
      </c>
      <c r="X19" s="43">
        <f>SUMIFS(Plan_Inputs!$D$2:$D$5000,Plan_Inputs!$A$2:$A$5000,$A19,Plan_Inputs!$B$2:$B$5000,$B$2)</f>
        <v/>
      </c>
      <c r="Y19" s="42">
        <f>'NSW-1'!E19+'NSW-2'!E19</f>
        <v/>
      </c>
      <c r="Z19" s="44">
        <f>INDEX(Calendar!$H$5:$L$52,MATCH($A19,Calendar!$A$5:$A$52,0),MATCH($D$2,Calendar!$H$4:$L$4,0))</f>
        <v/>
      </c>
      <c r="AA19" s="44">
        <f>INDEX(Calendar!$M$5:$M$52,MATCH($A19,Calendar!$A$5:$A$52,0))</f>
        <v/>
      </c>
      <c r="AB19" s="45">
        <f>IF($D19="Actual",IFERROR(S19/Y19,""),"")</f>
        <v/>
      </c>
      <c r="AC19" s="46">
        <f>IF($D19="Actual",IFERROR(U19/T19/Z19/AA19,""),"")</f>
        <v/>
      </c>
      <c r="AD19" s="43">
        <f>IF($D19="Actual",IFERROR(V19/(U19+V19),""),"")</f>
        <v/>
      </c>
      <c r="AE19" s="46">
        <f>IFERROR(AC19*Z19*AA19,"")</f>
        <v/>
      </c>
      <c r="AF19" s="47" t="n"/>
      <c r="AG19" s="43">
        <f>IF($D19="Forecast",IFERROR(K19/AF19-1,""),"")</f>
        <v/>
      </c>
    </row>
    <row r="20">
      <c r="A20" s="8" t="n">
        <v>45809</v>
      </c>
      <c r="B20" s="26">
        <f>YEAR(A20)</f>
        <v/>
      </c>
      <c r="C20" s="26">
        <f>MONTH(A20)</f>
        <v/>
      </c>
      <c r="D20">
        <f>IF(A20&lt;=LastActual,"Actual","Forecast")</f>
        <v/>
      </c>
      <c r="E20" s="24">
        <f>'NSW-1'!E20</f>
        <v/>
      </c>
      <c r="F20" s="27">
        <f>IF($D20="Actual",S20,Cases_Forecast!AR13)</f>
        <v/>
      </c>
      <c r="G20" s="9">
        <f>IF($D20="Actual",T20,IFERROR(H20/AE20,0))</f>
        <v/>
      </c>
      <c r="H20" s="24">
        <f>IF($D20="Actual",U20,J20-I20)</f>
        <v/>
      </c>
      <c r="I20" s="24">
        <f>IF($D20="Actual",V20,IFERROR(J20*AD20,0))</f>
        <v/>
      </c>
      <c r="J20" s="24">
        <f>IF($D20="Actual",U20+V20,E20*X20)</f>
        <v/>
      </c>
      <c r="K20" s="28">
        <f>IFERROR(F20/G20,0)</f>
        <v/>
      </c>
      <c r="L20" s="29">
        <f>IFERROR(H20/G20,0)</f>
        <v/>
      </c>
      <c r="M20" s="30">
        <f>IFERROR(J20/F20,0)</f>
        <v/>
      </c>
      <c r="N20" s="10">
        <f>IFERROR(J20/E20,0)</f>
        <v/>
      </c>
      <c r="O20" s="10">
        <f>IFERROR(I20/J20,0)</f>
        <v/>
      </c>
      <c r="R20" s="42">
        <f>IF($D20="Actual",E20,"")</f>
        <v/>
      </c>
      <c r="S20" s="42">
        <f>IF($D20="Actual",SUMIFS(Data_Actuals!$D$2:$D$5000,Data_Actuals!$A$2:$A$5000,$A20,Data_Actuals!$B$2:$B$5000,$B$2),"")</f>
        <v/>
      </c>
      <c r="T20" s="42">
        <f>IF($D20="Actual",SUMIFS(Data_Actuals!$E$2:$E$5000,Data_Actuals!$A$2:$A$5000,$A20,Data_Actuals!$B$2:$B$5000,$B$2),"")</f>
        <v/>
      </c>
      <c r="U20" s="42">
        <f>IF($D20="Actual",SUMIFS(Data_Actuals!$F$2:$F$5000,Data_Actuals!$A$2:$A$5000,$A20,Data_Actuals!$B$2:$B$5000,$B$2),"")</f>
        <v/>
      </c>
      <c r="V20" s="42">
        <f>IF($D20="Actual",SUMIFS(Data_Actuals!$G$2:$G$5000,Data_Actuals!$A$2:$A$5000,$A20,Data_Actuals!$B$2:$B$5000,$B$2),"")</f>
        <v/>
      </c>
      <c r="W20" s="42">
        <f>SUMIFS(Plan_Inputs!$C$2:$C$5000,Plan_Inputs!$A$2:$A$5000,$A20,Plan_Inputs!$B$2:$B$5000,$B$2)</f>
        <v/>
      </c>
      <c r="X20" s="43">
        <f>SUMIFS(Plan_Inputs!$D$2:$D$5000,Plan_Inputs!$A$2:$A$5000,$A20,Plan_Inputs!$B$2:$B$5000,$B$2)</f>
        <v/>
      </c>
      <c r="Y20" s="42">
        <f>'NSW-1'!E20+'NSW-2'!E20</f>
        <v/>
      </c>
      <c r="Z20" s="44">
        <f>INDEX(Calendar!$H$5:$L$52,MATCH($A20,Calendar!$A$5:$A$52,0),MATCH($D$2,Calendar!$H$4:$L$4,0))</f>
        <v/>
      </c>
      <c r="AA20" s="44">
        <f>INDEX(Calendar!$M$5:$M$52,MATCH($A20,Calendar!$A$5:$A$52,0))</f>
        <v/>
      </c>
      <c r="AB20" s="45">
        <f>IF($D20="Actual",IFERROR(S20/Y20,""),"")</f>
        <v/>
      </c>
      <c r="AC20" s="46">
        <f>IF($D20="Actual",IFERROR(U20/T20/Z20/AA20,""),"")</f>
        <v/>
      </c>
      <c r="AD20" s="43">
        <f>IF($D20="Actual",IFERROR(V20/(U20+V20),""),"")</f>
        <v/>
      </c>
      <c r="AE20" s="46">
        <f>IFERROR(AC20*Z20*AA20,"")</f>
        <v/>
      </c>
      <c r="AF20" s="47" t="n"/>
      <c r="AG20" s="43">
        <f>IF($D20="Forecast",IFERROR(K20/AF20-1,""),"")</f>
        <v/>
      </c>
    </row>
    <row r="21">
      <c r="A21" s="8" t="n">
        <v>45839</v>
      </c>
      <c r="B21" s="26">
        <f>YEAR(A21)</f>
        <v/>
      </c>
      <c r="C21" s="26">
        <f>MONTH(A21)</f>
        <v/>
      </c>
      <c r="D21">
        <f>IF(A21&lt;=LastActual,"Actual","Forecast")</f>
        <v/>
      </c>
      <c r="E21" s="24">
        <f>'NSW-1'!E21</f>
        <v/>
      </c>
      <c r="F21" s="27">
        <f>IF($D21="Actual",S21,Cases_Forecast!AR14)</f>
        <v/>
      </c>
      <c r="G21" s="9">
        <f>IF($D21="Actual",T21,IFERROR(H21/AE21,0))</f>
        <v/>
      </c>
      <c r="H21" s="24">
        <f>IF($D21="Actual",U21,J21-I21)</f>
        <v/>
      </c>
      <c r="I21" s="24">
        <f>IF($D21="Actual",V21,IFERROR(J21*AD21,0))</f>
        <v/>
      </c>
      <c r="J21" s="24">
        <f>IF($D21="Actual",U21+V21,E21*X21)</f>
        <v/>
      </c>
      <c r="K21" s="28">
        <f>IFERROR(F21/G21,0)</f>
        <v/>
      </c>
      <c r="L21" s="29">
        <f>IFERROR(H21/G21,0)</f>
        <v/>
      </c>
      <c r="M21" s="30">
        <f>IFERROR(J21/F21,0)</f>
        <v/>
      </c>
      <c r="N21" s="10">
        <f>IFERROR(J21/E21,0)</f>
        <v/>
      </c>
      <c r="O21" s="10">
        <f>IFERROR(I21/J21,0)</f>
        <v/>
      </c>
      <c r="R21" s="42">
        <f>IF($D21="Actual",E21,"")</f>
        <v/>
      </c>
      <c r="S21" s="42">
        <f>IF($D21="Actual",SUMIFS(Data_Actuals!$D$2:$D$5000,Data_Actuals!$A$2:$A$5000,$A21,Data_Actuals!$B$2:$B$5000,$B$2),"")</f>
        <v/>
      </c>
      <c r="T21" s="42">
        <f>IF($D21="Actual",SUMIFS(Data_Actuals!$E$2:$E$5000,Data_Actuals!$A$2:$A$5000,$A21,Data_Actuals!$B$2:$B$5000,$B$2),"")</f>
        <v/>
      </c>
      <c r="U21" s="42">
        <f>IF($D21="Actual",SUMIFS(Data_Actuals!$F$2:$F$5000,Data_Actuals!$A$2:$A$5000,$A21,Data_Actuals!$B$2:$B$5000,$B$2),"")</f>
        <v/>
      </c>
      <c r="V21" s="42">
        <f>IF($D21="Actual",SUMIFS(Data_Actuals!$G$2:$G$5000,Data_Actuals!$A$2:$A$5000,$A21,Data_Actuals!$B$2:$B$5000,$B$2),"")</f>
        <v/>
      </c>
      <c r="W21" s="42">
        <f>SUMIFS(Plan_Inputs!$C$2:$C$5000,Plan_Inputs!$A$2:$A$5000,$A21,Plan_Inputs!$B$2:$B$5000,$B$2)</f>
        <v/>
      </c>
      <c r="X21" s="43">
        <f>SUMIFS(Plan_Inputs!$D$2:$D$5000,Plan_Inputs!$A$2:$A$5000,$A21,Plan_Inputs!$B$2:$B$5000,$B$2)</f>
        <v/>
      </c>
      <c r="Y21" s="42">
        <f>'NSW-1'!E21+'NSW-2'!E21</f>
        <v/>
      </c>
      <c r="Z21" s="44">
        <f>INDEX(Calendar!$H$5:$L$52,MATCH($A21,Calendar!$A$5:$A$52,0),MATCH($D$2,Calendar!$H$4:$L$4,0))</f>
        <v/>
      </c>
      <c r="AA21" s="44">
        <f>INDEX(Calendar!$M$5:$M$52,MATCH($A21,Calendar!$A$5:$A$52,0))</f>
        <v/>
      </c>
      <c r="AB21" s="45">
        <f>IF($D21="Actual",IFERROR(S21/Y21,""),"")</f>
        <v/>
      </c>
      <c r="AC21" s="46">
        <f>IF($D21="Actual",IFERROR(U21/T21/Z21/AA21,""),"")</f>
        <v/>
      </c>
      <c r="AD21" s="43">
        <f>IF($D21="Actual",IFERROR(V21/(U21+V21),""),"")</f>
        <v/>
      </c>
      <c r="AE21" s="46">
        <f>IFERROR(AC21*Z21*AA21,"")</f>
        <v/>
      </c>
      <c r="AF21" s="47" t="n"/>
      <c r="AG21" s="43">
        <f>IF($D21="Forecast",IFERROR(K21/AF21-1,""),"")</f>
        <v/>
      </c>
    </row>
    <row r="22">
      <c r="A22" s="8" t="n">
        <v>45870</v>
      </c>
      <c r="B22" s="26">
        <f>YEAR(A22)</f>
        <v/>
      </c>
      <c r="C22" s="26">
        <f>MONTH(A22)</f>
        <v/>
      </c>
      <c r="D22">
        <f>IF(A22&lt;=LastActual,"Actual","Forecast")</f>
        <v/>
      </c>
      <c r="E22" s="24">
        <f>'NSW-1'!E22</f>
        <v/>
      </c>
      <c r="F22" s="27">
        <f>IF($D22="Actual",S22,Cases_Forecast!AR15)</f>
        <v/>
      </c>
      <c r="G22" s="9">
        <f>IF($D22="Actual",T22,IFERROR(H22/AE22,0))</f>
        <v/>
      </c>
      <c r="H22" s="24">
        <f>IF($D22="Actual",U22,J22-I22)</f>
        <v/>
      </c>
      <c r="I22" s="24">
        <f>IF($D22="Actual",V22,IFERROR(J22*AD22,0))</f>
        <v/>
      </c>
      <c r="J22" s="24">
        <f>IF($D22="Actual",U22+V22,E22*X22)</f>
        <v/>
      </c>
      <c r="K22" s="28">
        <f>IFERROR(F22/G22,0)</f>
        <v/>
      </c>
      <c r="L22" s="29">
        <f>IFERROR(H22/G22,0)</f>
        <v/>
      </c>
      <c r="M22" s="30">
        <f>IFERROR(J22/F22,0)</f>
        <v/>
      </c>
      <c r="N22" s="10">
        <f>IFERROR(J22/E22,0)</f>
        <v/>
      </c>
      <c r="O22" s="10">
        <f>IFERROR(I22/J22,0)</f>
        <v/>
      </c>
      <c r="R22" s="42">
        <f>IF($D22="Actual",E22,"")</f>
        <v/>
      </c>
      <c r="S22" s="42">
        <f>IF($D22="Actual",SUMIFS(Data_Actuals!$D$2:$D$5000,Data_Actuals!$A$2:$A$5000,$A22,Data_Actuals!$B$2:$B$5000,$B$2),"")</f>
        <v/>
      </c>
      <c r="T22" s="42">
        <f>IF($D22="Actual",SUMIFS(Data_Actuals!$E$2:$E$5000,Data_Actuals!$A$2:$A$5000,$A22,Data_Actuals!$B$2:$B$5000,$B$2),"")</f>
        <v/>
      </c>
      <c r="U22" s="42">
        <f>IF($D22="Actual",SUMIFS(Data_Actuals!$F$2:$F$5000,Data_Actuals!$A$2:$A$5000,$A22,Data_Actuals!$B$2:$B$5000,$B$2),"")</f>
        <v/>
      </c>
      <c r="V22" s="42">
        <f>IF($D22="Actual",SUMIFS(Data_Actuals!$G$2:$G$5000,Data_Actuals!$A$2:$A$5000,$A22,Data_Actuals!$B$2:$B$5000,$B$2),"")</f>
        <v/>
      </c>
      <c r="W22" s="42">
        <f>SUMIFS(Plan_Inputs!$C$2:$C$5000,Plan_Inputs!$A$2:$A$5000,$A22,Plan_Inputs!$B$2:$B$5000,$B$2)</f>
        <v/>
      </c>
      <c r="X22" s="43">
        <f>SUMIFS(Plan_Inputs!$D$2:$D$5000,Plan_Inputs!$A$2:$A$5000,$A22,Plan_Inputs!$B$2:$B$5000,$B$2)</f>
        <v/>
      </c>
      <c r="Y22" s="42">
        <f>'NSW-1'!E22+'NSW-2'!E22</f>
        <v/>
      </c>
      <c r="Z22" s="44">
        <f>INDEX(Calendar!$H$5:$L$52,MATCH($A22,Calendar!$A$5:$A$52,0),MATCH($D$2,Calendar!$H$4:$L$4,0))</f>
        <v/>
      </c>
      <c r="AA22" s="44">
        <f>INDEX(Calendar!$M$5:$M$52,MATCH($A22,Calendar!$A$5:$A$52,0))</f>
        <v/>
      </c>
      <c r="AB22" s="45">
        <f>IF($D22="Actual",IFERROR(S22/Y22,""),"")</f>
        <v/>
      </c>
      <c r="AC22" s="46">
        <f>IF($D22="Actual",IFERROR(U22/T22/Z22/AA22,""),"")</f>
        <v/>
      </c>
      <c r="AD22" s="43">
        <f>IF($D22="Actual",IFERROR(V22/(U22+V22),""),"")</f>
        <v/>
      </c>
      <c r="AE22" s="46">
        <f>IFERROR(AC22*Z22*AA22,"")</f>
        <v/>
      </c>
      <c r="AF22" s="47" t="n"/>
      <c r="AG22" s="43">
        <f>IF($D22="Forecast",IFERROR(K22/AF22-1,""),"")</f>
        <v/>
      </c>
    </row>
    <row r="23">
      <c r="A23" s="8" t="n">
        <v>45901</v>
      </c>
      <c r="B23" s="26">
        <f>YEAR(A23)</f>
        <v/>
      </c>
      <c r="C23" s="26">
        <f>MONTH(A23)</f>
        <v/>
      </c>
      <c r="D23">
        <f>IF(A23&lt;=LastActual,"Actual","Forecast")</f>
        <v/>
      </c>
      <c r="E23" s="24">
        <f>'NSW-1'!E23</f>
        <v/>
      </c>
      <c r="F23" s="27">
        <f>IF($D23="Actual",S23,Cases_Forecast!AR16)</f>
        <v/>
      </c>
      <c r="G23" s="9">
        <f>IF($D23="Actual",T23,IFERROR(H23/AE23,0))</f>
        <v/>
      </c>
      <c r="H23" s="24">
        <f>IF($D23="Actual",U23,J23-I23)</f>
        <v/>
      </c>
      <c r="I23" s="24">
        <f>IF($D23="Actual",V23,IFERROR(J23*AD23,0))</f>
        <v/>
      </c>
      <c r="J23" s="24">
        <f>IF($D23="Actual",U23+V23,E23*X23)</f>
        <v/>
      </c>
      <c r="K23" s="28">
        <f>IFERROR(F23/G23,0)</f>
        <v/>
      </c>
      <c r="L23" s="29">
        <f>IFERROR(H23/G23,0)</f>
        <v/>
      </c>
      <c r="M23" s="30">
        <f>IFERROR(J23/F23,0)</f>
        <v/>
      </c>
      <c r="N23" s="10">
        <f>IFERROR(J23/E23,0)</f>
        <v/>
      </c>
      <c r="O23" s="10">
        <f>IFERROR(I23/J23,0)</f>
        <v/>
      </c>
      <c r="R23" s="42">
        <f>IF($D23="Actual",E23,"")</f>
        <v/>
      </c>
      <c r="S23" s="42">
        <f>IF($D23="Actual",SUMIFS(Data_Actuals!$D$2:$D$5000,Data_Actuals!$A$2:$A$5000,$A23,Data_Actuals!$B$2:$B$5000,$B$2),"")</f>
        <v/>
      </c>
      <c r="T23" s="42">
        <f>IF($D23="Actual",SUMIFS(Data_Actuals!$E$2:$E$5000,Data_Actuals!$A$2:$A$5000,$A23,Data_Actuals!$B$2:$B$5000,$B$2),"")</f>
        <v/>
      </c>
      <c r="U23" s="42">
        <f>IF($D23="Actual",SUMIFS(Data_Actuals!$F$2:$F$5000,Data_Actuals!$A$2:$A$5000,$A23,Data_Actuals!$B$2:$B$5000,$B$2),"")</f>
        <v/>
      </c>
      <c r="V23" s="42">
        <f>IF($D23="Actual",SUMIFS(Data_Actuals!$G$2:$G$5000,Data_Actuals!$A$2:$A$5000,$A23,Data_Actuals!$B$2:$B$5000,$B$2),"")</f>
        <v/>
      </c>
      <c r="W23" s="42">
        <f>SUMIFS(Plan_Inputs!$C$2:$C$5000,Plan_Inputs!$A$2:$A$5000,$A23,Plan_Inputs!$B$2:$B$5000,$B$2)</f>
        <v/>
      </c>
      <c r="X23" s="43">
        <f>SUMIFS(Plan_Inputs!$D$2:$D$5000,Plan_Inputs!$A$2:$A$5000,$A23,Plan_Inputs!$B$2:$B$5000,$B$2)</f>
        <v/>
      </c>
      <c r="Y23" s="42">
        <f>'NSW-1'!E23+'NSW-2'!E23</f>
        <v/>
      </c>
      <c r="Z23" s="44">
        <f>INDEX(Calendar!$H$5:$L$52,MATCH($A23,Calendar!$A$5:$A$52,0),MATCH($D$2,Calendar!$H$4:$L$4,0))</f>
        <v/>
      </c>
      <c r="AA23" s="44">
        <f>INDEX(Calendar!$M$5:$M$52,MATCH($A23,Calendar!$A$5:$A$52,0))</f>
        <v/>
      </c>
      <c r="AB23" s="45">
        <f>IF($D23="Actual",IFERROR(S23/Y23,""),"")</f>
        <v/>
      </c>
      <c r="AC23" s="46">
        <f>IF($D23="Actual",IFERROR(U23/T23/Z23/AA23,""),"")</f>
        <v/>
      </c>
      <c r="AD23" s="43">
        <f>IF($D23="Actual",IFERROR(V23/(U23+V23),""),"")</f>
        <v/>
      </c>
      <c r="AE23" s="46">
        <f>IFERROR(AC23*Z23*AA23,"")</f>
        <v/>
      </c>
      <c r="AF23" s="47" t="n"/>
      <c r="AG23" s="43">
        <f>IF($D23="Forecast",IFERROR(K23/AF23-1,""),"")</f>
        <v/>
      </c>
    </row>
    <row r="24">
      <c r="A24" s="8" t="n">
        <v>45931</v>
      </c>
      <c r="B24" s="26">
        <f>YEAR(A24)</f>
        <v/>
      </c>
      <c r="C24" s="26">
        <f>MONTH(A24)</f>
        <v/>
      </c>
      <c r="D24">
        <f>IF(A24&lt;=LastActual,"Actual","Forecast")</f>
        <v/>
      </c>
      <c r="E24" s="24">
        <f>'NSW-1'!E24</f>
        <v/>
      </c>
      <c r="F24" s="27">
        <f>IF($D24="Actual",S24,Cases_Forecast!AR17)</f>
        <v/>
      </c>
      <c r="G24" s="9">
        <f>IF($D24="Actual",T24,IFERROR(H24/AE24,0))</f>
        <v/>
      </c>
      <c r="H24" s="24">
        <f>IF($D24="Actual",U24,J24-I24)</f>
        <v/>
      </c>
      <c r="I24" s="24">
        <f>IF($D24="Actual",V24,IFERROR(J24*AD24,0))</f>
        <v/>
      </c>
      <c r="J24" s="24">
        <f>IF($D24="Actual",U24+V24,E24*X24)</f>
        <v/>
      </c>
      <c r="K24" s="28">
        <f>IFERROR(F24/G24,0)</f>
        <v/>
      </c>
      <c r="L24" s="29">
        <f>IFERROR(H24/G24,0)</f>
        <v/>
      </c>
      <c r="M24" s="30">
        <f>IFERROR(J24/F24,0)</f>
        <v/>
      </c>
      <c r="N24" s="10">
        <f>IFERROR(J24/E24,0)</f>
        <v/>
      </c>
      <c r="O24" s="10">
        <f>IFERROR(I24/J24,0)</f>
        <v/>
      </c>
      <c r="R24" s="42">
        <f>IF($D24="Actual",E24,"")</f>
        <v/>
      </c>
      <c r="S24" s="42">
        <f>IF($D24="Actual",SUMIFS(Data_Actuals!$D$2:$D$5000,Data_Actuals!$A$2:$A$5000,$A24,Data_Actuals!$B$2:$B$5000,$B$2),"")</f>
        <v/>
      </c>
      <c r="T24" s="42">
        <f>IF($D24="Actual",SUMIFS(Data_Actuals!$E$2:$E$5000,Data_Actuals!$A$2:$A$5000,$A24,Data_Actuals!$B$2:$B$5000,$B$2),"")</f>
        <v/>
      </c>
      <c r="U24" s="42">
        <f>IF($D24="Actual",SUMIFS(Data_Actuals!$F$2:$F$5000,Data_Actuals!$A$2:$A$5000,$A24,Data_Actuals!$B$2:$B$5000,$B$2),"")</f>
        <v/>
      </c>
      <c r="V24" s="42">
        <f>IF($D24="Actual",SUMIFS(Data_Actuals!$G$2:$G$5000,Data_Actuals!$A$2:$A$5000,$A24,Data_Actuals!$B$2:$B$5000,$B$2),"")</f>
        <v/>
      </c>
      <c r="W24" s="42">
        <f>SUMIFS(Plan_Inputs!$C$2:$C$5000,Plan_Inputs!$A$2:$A$5000,$A24,Plan_Inputs!$B$2:$B$5000,$B$2)</f>
        <v/>
      </c>
      <c r="X24" s="43">
        <f>SUMIFS(Plan_Inputs!$D$2:$D$5000,Plan_Inputs!$A$2:$A$5000,$A24,Plan_Inputs!$B$2:$B$5000,$B$2)</f>
        <v/>
      </c>
      <c r="Y24" s="42">
        <f>'NSW-1'!E24+'NSW-2'!E24</f>
        <v/>
      </c>
      <c r="Z24" s="44">
        <f>INDEX(Calendar!$H$5:$L$52,MATCH($A24,Calendar!$A$5:$A$52,0),MATCH($D$2,Calendar!$H$4:$L$4,0))</f>
        <v/>
      </c>
      <c r="AA24" s="44">
        <f>INDEX(Calendar!$M$5:$M$52,MATCH($A24,Calendar!$A$5:$A$52,0))</f>
        <v/>
      </c>
      <c r="AB24" s="45">
        <f>IF($D24="Actual",IFERROR(S24/Y24,""),"")</f>
        <v/>
      </c>
      <c r="AC24" s="46">
        <f>IF($D24="Actual",IFERROR(U24/T24/Z24/AA24,""),"")</f>
        <v/>
      </c>
      <c r="AD24" s="43">
        <f>IF($D24="Actual",IFERROR(V24/(U24+V24),""),"")</f>
        <v/>
      </c>
      <c r="AE24" s="46">
        <f>IFERROR(AC24*Z24*AA24,"")</f>
        <v/>
      </c>
      <c r="AF24" s="47" t="n"/>
      <c r="AG24" s="43">
        <f>IF($D24="Forecast",IFERROR(K24/AF24-1,""),"")</f>
        <v/>
      </c>
    </row>
    <row r="25">
      <c r="A25" s="8" t="n">
        <v>45962</v>
      </c>
      <c r="B25" s="26">
        <f>YEAR(A25)</f>
        <v/>
      </c>
      <c r="C25" s="26">
        <f>MONTH(A25)</f>
        <v/>
      </c>
      <c r="D25">
        <f>IF(A25&lt;=LastActual,"Actual","Forecast")</f>
        <v/>
      </c>
      <c r="E25" s="24">
        <f>'NSW-1'!E25</f>
        <v/>
      </c>
      <c r="F25" s="27">
        <f>IF($D25="Actual",S25,Cases_Forecast!AR18)</f>
        <v/>
      </c>
      <c r="G25" s="9">
        <f>IF($D25="Actual",T25,IFERROR(H25/AE25,0))</f>
        <v/>
      </c>
      <c r="H25" s="24">
        <f>IF($D25="Actual",U25,J25-I25)</f>
        <v/>
      </c>
      <c r="I25" s="24">
        <f>IF($D25="Actual",V25,IFERROR(J25*AD25,0))</f>
        <v/>
      </c>
      <c r="J25" s="24">
        <f>IF($D25="Actual",U25+V25,E25*X25)</f>
        <v/>
      </c>
      <c r="K25" s="28">
        <f>IFERROR(F25/G25,0)</f>
        <v/>
      </c>
      <c r="L25" s="29">
        <f>IFERROR(H25/G25,0)</f>
        <v/>
      </c>
      <c r="M25" s="30">
        <f>IFERROR(J25/F25,0)</f>
        <v/>
      </c>
      <c r="N25" s="10">
        <f>IFERROR(J25/E25,0)</f>
        <v/>
      </c>
      <c r="O25" s="10">
        <f>IFERROR(I25/J25,0)</f>
        <v/>
      </c>
      <c r="R25" s="42">
        <f>IF($D25="Actual",E25,"")</f>
        <v/>
      </c>
      <c r="S25" s="42">
        <f>IF($D25="Actual",SUMIFS(Data_Actuals!$D$2:$D$5000,Data_Actuals!$A$2:$A$5000,$A25,Data_Actuals!$B$2:$B$5000,$B$2),"")</f>
        <v/>
      </c>
      <c r="T25" s="42">
        <f>IF($D25="Actual",SUMIFS(Data_Actuals!$E$2:$E$5000,Data_Actuals!$A$2:$A$5000,$A25,Data_Actuals!$B$2:$B$5000,$B$2),"")</f>
        <v/>
      </c>
      <c r="U25" s="42">
        <f>IF($D25="Actual",SUMIFS(Data_Actuals!$F$2:$F$5000,Data_Actuals!$A$2:$A$5000,$A25,Data_Actuals!$B$2:$B$5000,$B$2),"")</f>
        <v/>
      </c>
      <c r="V25" s="42">
        <f>IF($D25="Actual",SUMIFS(Data_Actuals!$G$2:$G$5000,Data_Actuals!$A$2:$A$5000,$A25,Data_Actuals!$B$2:$B$5000,$B$2),"")</f>
        <v/>
      </c>
      <c r="W25" s="42">
        <f>SUMIFS(Plan_Inputs!$C$2:$C$5000,Plan_Inputs!$A$2:$A$5000,$A25,Plan_Inputs!$B$2:$B$5000,$B$2)</f>
        <v/>
      </c>
      <c r="X25" s="43">
        <f>SUMIFS(Plan_Inputs!$D$2:$D$5000,Plan_Inputs!$A$2:$A$5000,$A25,Plan_Inputs!$B$2:$B$5000,$B$2)</f>
        <v/>
      </c>
      <c r="Y25" s="42">
        <f>'NSW-1'!E25+'NSW-2'!E25</f>
        <v/>
      </c>
      <c r="Z25" s="44">
        <f>INDEX(Calendar!$H$5:$L$52,MATCH($A25,Calendar!$A$5:$A$52,0),MATCH($D$2,Calendar!$H$4:$L$4,0))</f>
        <v/>
      </c>
      <c r="AA25" s="44">
        <f>INDEX(Calendar!$M$5:$M$52,MATCH($A25,Calendar!$A$5:$A$52,0))</f>
        <v/>
      </c>
      <c r="AB25" s="45">
        <f>IF($D25="Actual",IFERROR(S25/Y25,""),"")</f>
        <v/>
      </c>
      <c r="AC25" s="46">
        <f>IF($D25="Actual",IFERROR(U25/T25/Z25/AA25,""),"")</f>
        <v/>
      </c>
      <c r="AD25" s="43">
        <f>IF($D25="Actual",IFERROR(V25/(U25+V25),""),"")</f>
        <v/>
      </c>
      <c r="AE25" s="46">
        <f>IFERROR(AC25*Z25*AA25,"")</f>
        <v/>
      </c>
      <c r="AF25" s="47" t="n"/>
      <c r="AG25" s="43">
        <f>IF($D25="Forecast",IFERROR(K25/AF25-1,""),"")</f>
        <v/>
      </c>
    </row>
    <row r="26">
      <c r="A26" s="31" t="n">
        <v>45992</v>
      </c>
      <c r="B26" s="32">
        <f>YEAR(A26)</f>
        <v/>
      </c>
      <c r="C26" s="32">
        <f>MONTH(A26)</f>
        <v/>
      </c>
      <c r="D26" s="33">
        <f>IF(A26&lt;=LastActual,"Actual","Forecast")</f>
        <v/>
      </c>
      <c r="E26" s="34">
        <f>'NSW-1'!E26</f>
        <v/>
      </c>
      <c r="F26" s="35">
        <f>IF($D26="Actual",S26,Cases_Forecast!AR19)</f>
        <v/>
      </c>
      <c r="G26" s="36">
        <f>IF($D26="Actual",T26,IFERROR(H26/AE26,0))</f>
        <v/>
      </c>
      <c r="H26" s="34">
        <f>IF($D26="Actual",U26,J26-I26)</f>
        <v/>
      </c>
      <c r="I26" s="34">
        <f>IF($D26="Actual",V26,IFERROR(J26*AD26,0))</f>
        <v/>
      </c>
      <c r="J26" s="34">
        <f>IF($D26="Actual",U26+V26,E26*X26)</f>
        <v/>
      </c>
      <c r="K26" s="37">
        <f>IFERROR(F26/G26,0)</f>
        <v/>
      </c>
      <c r="L26" s="38">
        <f>IFERROR(H26/G26,0)</f>
        <v/>
      </c>
      <c r="M26" s="39">
        <f>IFERROR(J26/F26,0)</f>
        <v/>
      </c>
      <c r="N26" s="40">
        <f>IFERROR(J26/E26,0)</f>
        <v/>
      </c>
      <c r="O26" s="40">
        <f>IFERROR(I26/J26,0)</f>
        <v/>
      </c>
      <c r="R26" s="42">
        <f>IF($D26="Actual",E26,"")</f>
        <v/>
      </c>
      <c r="S26" s="42">
        <f>IF($D26="Actual",SUMIFS(Data_Actuals!$D$2:$D$5000,Data_Actuals!$A$2:$A$5000,$A26,Data_Actuals!$B$2:$B$5000,$B$2),"")</f>
        <v/>
      </c>
      <c r="T26" s="42">
        <f>IF($D26="Actual",SUMIFS(Data_Actuals!$E$2:$E$5000,Data_Actuals!$A$2:$A$5000,$A26,Data_Actuals!$B$2:$B$5000,$B$2),"")</f>
        <v/>
      </c>
      <c r="U26" s="42">
        <f>IF($D26="Actual",SUMIFS(Data_Actuals!$F$2:$F$5000,Data_Actuals!$A$2:$A$5000,$A26,Data_Actuals!$B$2:$B$5000,$B$2),"")</f>
        <v/>
      </c>
      <c r="V26" s="42">
        <f>IF($D26="Actual",SUMIFS(Data_Actuals!$G$2:$G$5000,Data_Actuals!$A$2:$A$5000,$A26,Data_Actuals!$B$2:$B$5000,$B$2),"")</f>
        <v/>
      </c>
      <c r="W26" s="42">
        <f>SUMIFS(Plan_Inputs!$C$2:$C$5000,Plan_Inputs!$A$2:$A$5000,$A26,Plan_Inputs!$B$2:$B$5000,$B$2)</f>
        <v/>
      </c>
      <c r="X26" s="43">
        <f>SUMIFS(Plan_Inputs!$D$2:$D$5000,Plan_Inputs!$A$2:$A$5000,$A26,Plan_Inputs!$B$2:$B$5000,$B$2)</f>
        <v/>
      </c>
      <c r="Y26" s="42">
        <f>'NSW-1'!E26+'NSW-2'!E26</f>
        <v/>
      </c>
      <c r="Z26" s="44">
        <f>INDEX(Calendar!$H$5:$L$52,MATCH($A26,Calendar!$A$5:$A$52,0),MATCH($D$2,Calendar!$H$4:$L$4,0))</f>
        <v/>
      </c>
      <c r="AA26" s="44">
        <f>INDEX(Calendar!$M$5:$M$52,MATCH($A26,Calendar!$A$5:$A$52,0))</f>
        <v/>
      </c>
      <c r="AB26" s="45">
        <f>IF($D26="Actual",IFERROR(S26/Y26,""),"")</f>
        <v/>
      </c>
      <c r="AC26" s="46">
        <f>IF($D26="Actual",IFERROR(U26/T26/Z26/AA26,""),"")</f>
        <v/>
      </c>
      <c r="AD26" s="43">
        <f>IF($D26="Actual",IFERROR(V26/(U26+V26),""),"")</f>
        <v/>
      </c>
      <c r="AE26" s="46">
        <f>IFERROR(AC26*Z26*AA26,"")</f>
        <v/>
      </c>
      <c r="AF26" s="47" t="n"/>
      <c r="AG26" s="43">
        <f>IF($D26="Forecast",IFERROR(K26/AF26-1,""),"")</f>
        <v/>
      </c>
    </row>
    <row r="27">
      <c r="A27" s="8" t="n">
        <v>46023</v>
      </c>
      <c r="B27" s="26">
        <f>YEAR(A27)</f>
        <v/>
      </c>
      <c r="C27" s="26">
        <f>MONTH(A27)</f>
        <v/>
      </c>
      <c r="D27">
        <f>IF(A27&lt;=LastActual,"Actual","Forecast")</f>
        <v/>
      </c>
      <c r="E27" s="24">
        <f>'NSW-1'!E27</f>
        <v/>
      </c>
      <c r="F27" s="27">
        <f>IF($D27="Actual",S27,Cases_Forecast!AR20)</f>
        <v/>
      </c>
      <c r="G27" s="9">
        <f>IF($D27="Actual",T27,IFERROR(H27/AE27,0))</f>
        <v/>
      </c>
      <c r="H27" s="24">
        <f>IF($D27="Actual",U27,J27-I27)</f>
        <v/>
      </c>
      <c r="I27" s="24">
        <f>IF($D27="Actual",V27,IFERROR(J27*AD27,0))</f>
        <v/>
      </c>
      <c r="J27" s="24">
        <f>IF($D27="Actual",U27+V27,E27*X27)</f>
        <v/>
      </c>
      <c r="K27" s="28">
        <f>IFERROR(F27/G27,0)</f>
        <v/>
      </c>
      <c r="L27" s="29">
        <f>IFERROR(H27/G27,0)</f>
        <v/>
      </c>
      <c r="M27" s="30">
        <f>IFERROR(J27/F27,0)</f>
        <v/>
      </c>
      <c r="N27" s="10">
        <f>IFERROR(J27/E27,0)</f>
        <v/>
      </c>
      <c r="O27" s="10">
        <f>IFERROR(I27/J27,0)</f>
        <v/>
      </c>
      <c r="R27" s="42">
        <f>IF($D27="Actual",E27,"")</f>
        <v/>
      </c>
      <c r="S27" s="42">
        <f>IF($D27="Actual",SUMIFS(Data_Actuals!$D$2:$D$5000,Data_Actuals!$A$2:$A$5000,$A27,Data_Actuals!$B$2:$B$5000,$B$2),"")</f>
        <v/>
      </c>
      <c r="T27" s="42">
        <f>IF($D27="Actual",SUMIFS(Data_Actuals!$E$2:$E$5000,Data_Actuals!$A$2:$A$5000,$A27,Data_Actuals!$B$2:$B$5000,$B$2),"")</f>
        <v/>
      </c>
      <c r="U27" s="42">
        <f>IF($D27="Actual",SUMIFS(Data_Actuals!$F$2:$F$5000,Data_Actuals!$A$2:$A$5000,$A27,Data_Actuals!$B$2:$B$5000,$B$2),"")</f>
        <v/>
      </c>
      <c r="V27" s="42">
        <f>IF($D27="Actual",SUMIFS(Data_Actuals!$G$2:$G$5000,Data_Actuals!$A$2:$A$5000,$A27,Data_Actuals!$B$2:$B$5000,$B$2),"")</f>
        <v/>
      </c>
      <c r="W27" s="42">
        <f>SUMIFS(Plan_Inputs!$C$2:$C$5000,Plan_Inputs!$A$2:$A$5000,$A27,Plan_Inputs!$B$2:$B$5000,$B$2)</f>
        <v/>
      </c>
      <c r="X27" s="43">
        <f>SUMIFS(Plan_Inputs!$D$2:$D$5000,Plan_Inputs!$A$2:$A$5000,$A27,Plan_Inputs!$B$2:$B$5000,$B$2)</f>
        <v/>
      </c>
      <c r="Y27" s="42">
        <f>'NSW-1'!E27+'NSW-2'!E27</f>
        <v/>
      </c>
      <c r="Z27" s="44">
        <f>INDEX(Calendar!$H$5:$L$52,MATCH($A27,Calendar!$A$5:$A$52,0),MATCH($D$2,Calendar!$H$4:$L$4,0))</f>
        <v/>
      </c>
      <c r="AA27" s="44">
        <f>INDEX(Calendar!$M$5:$M$52,MATCH($A27,Calendar!$A$5:$A$52,0))</f>
        <v/>
      </c>
      <c r="AB27" s="45">
        <f>IF($D27="Actual",IFERROR(S27/Y27,""),AB15)</f>
        <v/>
      </c>
      <c r="AC27" s="46">
        <f>IF($D27="Actual",IFERROR(U27/T27/Z27/AA27,""),AC15)</f>
        <v/>
      </c>
      <c r="AD27" s="43">
        <f>IF($D27="Actual",IFERROR(V27/(U27+V27),""),AD15)</f>
        <v/>
      </c>
      <c r="AE27" s="46">
        <f>IFERROR(AC27*Z27*AA27,"")</f>
        <v/>
      </c>
      <c r="AF27" s="47">
        <f>K15</f>
        <v/>
      </c>
      <c r="AG27" s="43">
        <f>IF($D27="Forecast",IFERROR(K27/AF27-1,""),"")</f>
        <v/>
      </c>
    </row>
    <row r="28">
      <c r="A28" s="8" t="n">
        <v>46054</v>
      </c>
      <c r="B28" s="26">
        <f>YEAR(A28)</f>
        <v/>
      </c>
      <c r="C28" s="26">
        <f>MONTH(A28)</f>
        <v/>
      </c>
      <c r="D28">
        <f>IF(A28&lt;=LastActual,"Actual","Forecast")</f>
        <v/>
      </c>
      <c r="E28" s="24">
        <f>'NSW-1'!E28</f>
        <v/>
      </c>
      <c r="F28" s="27">
        <f>IF($D28="Actual",S28,Cases_Forecast!AR21)</f>
        <v/>
      </c>
      <c r="G28" s="9">
        <f>IF($D28="Actual",T28,IFERROR(H28/AE28,0))</f>
        <v/>
      </c>
      <c r="H28" s="24">
        <f>IF($D28="Actual",U28,J28-I28)</f>
        <v/>
      </c>
      <c r="I28" s="24">
        <f>IF($D28="Actual",V28,IFERROR(J28*AD28,0))</f>
        <v/>
      </c>
      <c r="J28" s="24">
        <f>IF($D28="Actual",U28+V28,E28*X28)</f>
        <v/>
      </c>
      <c r="K28" s="28">
        <f>IFERROR(F28/G28,0)</f>
        <v/>
      </c>
      <c r="L28" s="29">
        <f>IFERROR(H28/G28,0)</f>
        <v/>
      </c>
      <c r="M28" s="30">
        <f>IFERROR(J28/F28,0)</f>
        <v/>
      </c>
      <c r="N28" s="10">
        <f>IFERROR(J28/E28,0)</f>
        <v/>
      </c>
      <c r="O28" s="10">
        <f>IFERROR(I28/J28,0)</f>
        <v/>
      </c>
      <c r="R28" s="42">
        <f>IF($D28="Actual",E28,"")</f>
        <v/>
      </c>
      <c r="S28" s="42">
        <f>IF($D28="Actual",SUMIFS(Data_Actuals!$D$2:$D$5000,Data_Actuals!$A$2:$A$5000,$A28,Data_Actuals!$B$2:$B$5000,$B$2),"")</f>
        <v/>
      </c>
      <c r="T28" s="42">
        <f>IF($D28="Actual",SUMIFS(Data_Actuals!$E$2:$E$5000,Data_Actuals!$A$2:$A$5000,$A28,Data_Actuals!$B$2:$B$5000,$B$2),"")</f>
        <v/>
      </c>
      <c r="U28" s="42">
        <f>IF($D28="Actual",SUMIFS(Data_Actuals!$F$2:$F$5000,Data_Actuals!$A$2:$A$5000,$A28,Data_Actuals!$B$2:$B$5000,$B$2),"")</f>
        <v/>
      </c>
      <c r="V28" s="42">
        <f>IF($D28="Actual",SUMIFS(Data_Actuals!$G$2:$G$5000,Data_Actuals!$A$2:$A$5000,$A28,Data_Actuals!$B$2:$B$5000,$B$2),"")</f>
        <v/>
      </c>
      <c r="W28" s="42">
        <f>SUMIFS(Plan_Inputs!$C$2:$C$5000,Plan_Inputs!$A$2:$A$5000,$A28,Plan_Inputs!$B$2:$B$5000,$B$2)</f>
        <v/>
      </c>
      <c r="X28" s="43">
        <f>SUMIFS(Plan_Inputs!$D$2:$D$5000,Plan_Inputs!$A$2:$A$5000,$A28,Plan_Inputs!$B$2:$B$5000,$B$2)</f>
        <v/>
      </c>
      <c r="Y28" s="42">
        <f>'NSW-1'!E28+'NSW-2'!E28</f>
        <v/>
      </c>
      <c r="Z28" s="44">
        <f>INDEX(Calendar!$H$5:$L$52,MATCH($A28,Calendar!$A$5:$A$52,0),MATCH($D$2,Calendar!$H$4:$L$4,0))</f>
        <v/>
      </c>
      <c r="AA28" s="44">
        <f>INDEX(Calendar!$M$5:$M$52,MATCH($A28,Calendar!$A$5:$A$52,0))</f>
        <v/>
      </c>
      <c r="AB28" s="45">
        <f>IF($D28="Actual",IFERROR(S28/Y28,""),AB16)</f>
        <v/>
      </c>
      <c r="AC28" s="46">
        <f>IF($D28="Actual",IFERROR(U28/T28/Z28/AA28,""),AC16)</f>
        <v/>
      </c>
      <c r="AD28" s="43">
        <f>IF($D28="Actual",IFERROR(V28/(U28+V28),""),AD16)</f>
        <v/>
      </c>
      <c r="AE28" s="46">
        <f>IFERROR(AC28*Z28*AA28,"")</f>
        <v/>
      </c>
      <c r="AF28" s="47">
        <f>K16</f>
        <v/>
      </c>
      <c r="AG28" s="43">
        <f>IF($D28="Forecast",IFERROR(K28/AF28-1,""),"")</f>
        <v/>
      </c>
    </row>
    <row r="29">
      <c r="A29" s="8" t="n">
        <v>46082</v>
      </c>
      <c r="B29" s="26">
        <f>YEAR(A29)</f>
        <v/>
      </c>
      <c r="C29" s="26">
        <f>MONTH(A29)</f>
        <v/>
      </c>
      <c r="D29">
        <f>IF(A29&lt;=LastActual,"Actual","Forecast")</f>
        <v/>
      </c>
      <c r="E29" s="24">
        <f>'NSW-1'!E29</f>
        <v/>
      </c>
      <c r="F29" s="27">
        <f>IF($D29="Actual",S29,Cases_Forecast!AR22)</f>
        <v/>
      </c>
      <c r="G29" s="9">
        <f>IF($D29="Actual",T29,IFERROR(H29/AE29,0))</f>
        <v/>
      </c>
      <c r="H29" s="24">
        <f>IF($D29="Actual",U29,J29-I29)</f>
        <v/>
      </c>
      <c r="I29" s="24">
        <f>IF($D29="Actual",V29,IFERROR(J29*AD29,0))</f>
        <v/>
      </c>
      <c r="J29" s="24">
        <f>IF($D29="Actual",U29+V29,E29*X29)</f>
        <v/>
      </c>
      <c r="K29" s="28">
        <f>IFERROR(F29/G29,0)</f>
        <v/>
      </c>
      <c r="L29" s="29">
        <f>IFERROR(H29/G29,0)</f>
        <v/>
      </c>
      <c r="M29" s="30">
        <f>IFERROR(J29/F29,0)</f>
        <v/>
      </c>
      <c r="N29" s="10">
        <f>IFERROR(J29/E29,0)</f>
        <v/>
      </c>
      <c r="O29" s="10">
        <f>IFERROR(I29/J29,0)</f>
        <v/>
      </c>
      <c r="R29" s="42">
        <f>IF($D29="Actual",E29,"")</f>
        <v/>
      </c>
      <c r="S29" s="42">
        <f>IF($D29="Actual",SUMIFS(Data_Actuals!$D$2:$D$5000,Data_Actuals!$A$2:$A$5000,$A29,Data_Actuals!$B$2:$B$5000,$B$2),"")</f>
        <v/>
      </c>
      <c r="T29" s="42">
        <f>IF($D29="Actual",SUMIFS(Data_Actuals!$E$2:$E$5000,Data_Actuals!$A$2:$A$5000,$A29,Data_Actuals!$B$2:$B$5000,$B$2),"")</f>
        <v/>
      </c>
      <c r="U29" s="42">
        <f>IF($D29="Actual",SUMIFS(Data_Actuals!$F$2:$F$5000,Data_Actuals!$A$2:$A$5000,$A29,Data_Actuals!$B$2:$B$5000,$B$2),"")</f>
        <v/>
      </c>
      <c r="V29" s="42">
        <f>IF($D29="Actual",SUMIFS(Data_Actuals!$G$2:$G$5000,Data_Actuals!$A$2:$A$5000,$A29,Data_Actuals!$B$2:$B$5000,$B$2),"")</f>
        <v/>
      </c>
      <c r="W29" s="42">
        <f>SUMIFS(Plan_Inputs!$C$2:$C$5000,Plan_Inputs!$A$2:$A$5000,$A29,Plan_Inputs!$B$2:$B$5000,$B$2)</f>
        <v/>
      </c>
      <c r="X29" s="43">
        <f>SUMIFS(Plan_Inputs!$D$2:$D$5000,Plan_Inputs!$A$2:$A$5000,$A29,Plan_Inputs!$B$2:$B$5000,$B$2)</f>
        <v/>
      </c>
      <c r="Y29" s="42">
        <f>'NSW-1'!E29+'NSW-2'!E29</f>
        <v/>
      </c>
      <c r="Z29" s="44">
        <f>INDEX(Calendar!$H$5:$L$52,MATCH($A29,Calendar!$A$5:$A$52,0),MATCH($D$2,Calendar!$H$4:$L$4,0))</f>
        <v/>
      </c>
      <c r="AA29" s="44">
        <f>INDEX(Calendar!$M$5:$M$52,MATCH($A29,Calendar!$A$5:$A$52,0))</f>
        <v/>
      </c>
      <c r="AB29" s="45">
        <f>IF($D29="Actual",IFERROR(S29/Y29,""),AB17)</f>
        <v/>
      </c>
      <c r="AC29" s="46">
        <f>IF($D29="Actual",IFERROR(U29/T29/Z29/AA29,""),AC17)</f>
        <v/>
      </c>
      <c r="AD29" s="43">
        <f>IF($D29="Actual",IFERROR(V29/(U29+V29),""),AD17)</f>
        <v/>
      </c>
      <c r="AE29" s="46">
        <f>IFERROR(AC29*Z29*AA29,"")</f>
        <v/>
      </c>
      <c r="AF29" s="47">
        <f>K17</f>
        <v/>
      </c>
      <c r="AG29" s="43">
        <f>IF($D29="Forecast",IFERROR(K29/AF29-1,""),"")</f>
        <v/>
      </c>
    </row>
    <row r="30">
      <c r="A30" s="8" t="n">
        <v>46113</v>
      </c>
      <c r="B30" s="26">
        <f>YEAR(A30)</f>
        <v/>
      </c>
      <c r="C30" s="26">
        <f>MONTH(A30)</f>
        <v/>
      </c>
      <c r="D30">
        <f>IF(A30&lt;=LastActual,"Actual","Forecast")</f>
        <v/>
      </c>
      <c r="E30" s="24">
        <f>'NSW-1'!E30</f>
        <v/>
      </c>
      <c r="F30" s="27">
        <f>IF($D30="Actual",S30,Cases_Forecast!AR23)</f>
        <v/>
      </c>
      <c r="G30" s="9">
        <f>IF($D30="Actual",T30,IFERROR(H30/AE30,0))</f>
        <v/>
      </c>
      <c r="H30" s="24">
        <f>IF($D30="Actual",U30,J30-I30)</f>
        <v/>
      </c>
      <c r="I30" s="24">
        <f>IF($D30="Actual",V30,IFERROR(J30*AD30,0))</f>
        <v/>
      </c>
      <c r="J30" s="24">
        <f>IF($D30="Actual",U30+V30,E30*X30)</f>
        <v/>
      </c>
      <c r="K30" s="28">
        <f>IFERROR(F30/G30,0)</f>
        <v/>
      </c>
      <c r="L30" s="29">
        <f>IFERROR(H30/G30,0)</f>
        <v/>
      </c>
      <c r="M30" s="30">
        <f>IFERROR(J30/F30,0)</f>
        <v/>
      </c>
      <c r="N30" s="10">
        <f>IFERROR(J30/E30,0)</f>
        <v/>
      </c>
      <c r="O30" s="10">
        <f>IFERROR(I30/J30,0)</f>
        <v/>
      </c>
      <c r="R30" s="42">
        <f>IF($D30="Actual",E30,"")</f>
        <v/>
      </c>
      <c r="S30" s="42">
        <f>IF($D30="Actual",SUMIFS(Data_Actuals!$D$2:$D$5000,Data_Actuals!$A$2:$A$5000,$A30,Data_Actuals!$B$2:$B$5000,$B$2),"")</f>
        <v/>
      </c>
      <c r="T30" s="42">
        <f>IF($D30="Actual",SUMIFS(Data_Actuals!$E$2:$E$5000,Data_Actuals!$A$2:$A$5000,$A30,Data_Actuals!$B$2:$B$5000,$B$2),"")</f>
        <v/>
      </c>
      <c r="U30" s="42">
        <f>IF($D30="Actual",SUMIFS(Data_Actuals!$F$2:$F$5000,Data_Actuals!$A$2:$A$5000,$A30,Data_Actuals!$B$2:$B$5000,$B$2),"")</f>
        <v/>
      </c>
      <c r="V30" s="42">
        <f>IF($D30="Actual",SUMIFS(Data_Actuals!$G$2:$G$5000,Data_Actuals!$A$2:$A$5000,$A30,Data_Actuals!$B$2:$B$5000,$B$2),"")</f>
        <v/>
      </c>
      <c r="W30" s="42">
        <f>SUMIFS(Plan_Inputs!$C$2:$C$5000,Plan_Inputs!$A$2:$A$5000,$A30,Plan_Inputs!$B$2:$B$5000,$B$2)</f>
        <v/>
      </c>
      <c r="X30" s="43">
        <f>SUMIFS(Plan_Inputs!$D$2:$D$5000,Plan_Inputs!$A$2:$A$5000,$A30,Plan_Inputs!$B$2:$B$5000,$B$2)</f>
        <v/>
      </c>
      <c r="Y30" s="42">
        <f>'NSW-1'!E30+'NSW-2'!E30</f>
        <v/>
      </c>
      <c r="Z30" s="44">
        <f>INDEX(Calendar!$H$5:$L$52,MATCH($A30,Calendar!$A$5:$A$52,0),MATCH($D$2,Calendar!$H$4:$L$4,0))</f>
        <v/>
      </c>
      <c r="AA30" s="44">
        <f>INDEX(Calendar!$M$5:$M$52,MATCH($A30,Calendar!$A$5:$A$52,0))</f>
        <v/>
      </c>
      <c r="AB30" s="45">
        <f>IF($D30="Actual",IFERROR(S30/Y30,""),AB18)</f>
        <v/>
      </c>
      <c r="AC30" s="46">
        <f>IF($D30="Actual",IFERROR(U30/T30/Z30/AA30,""),AC18)</f>
        <v/>
      </c>
      <c r="AD30" s="43">
        <f>IF($D30="Actual",IFERROR(V30/(U30+V30),""),AD18)</f>
        <v/>
      </c>
      <c r="AE30" s="46">
        <f>IFERROR(AC30*Z30*AA30,"")</f>
        <v/>
      </c>
      <c r="AF30" s="47">
        <f>K18</f>
        <v/>
      </c>
      <c r="AG30" s="43">
        <f>IF($D30="Forecast",IFERROR(K30/AF30-1,""),"")</f>
        <v/>
      </c>
    </row>
    <row r="31">
      <c r="A31" s="8" t="n">
        <v>46143</v>
      </c>
      <c r="B31" s="26">
        <f>YEAR(A31)</f>
        <v/>
      </c>
      <c r="C31" s="26">
        <f>MONTH(A31)</f>
        <v/>
      </c>
      <c r="D31">
        <f>IF(A31&lt;=LastActual,"Actual","Forecast")</f>
        <v/>
      </c>
      <c r="E31" s="24">
        <f>'NSW-1'!E31</f>
        <v/>
      </c>
      <c r="F31" s="27">
        <f>IF($D31="Actual",S31,Cases_Forecast!AR24)</f>
        <v/>
      </c>
      <c r="G31" s="9">
        <f>IF($D31="Actual",T31,IFERROR(H31/AE31,0))</f>
        <v/>
      </c>
      <c r="H31" s="24">
        <f>IF($D31="Actual",U31,J31-I31)</f>
        <v/>
      </c>
      <c r="I31" s="24">
        <f>IF($D31="Actual",V31,IFERROR(J31*AD31,0))</f>
        <v/>
      </c>
      <c r="J31" s="24">
        <f>IF($D31="Actual",U31+V31,E31*X31)</f>
        <v/>
      </c>
      <c r="K31" s="28">
        <f>IFERROR(F31/G31,0)</f>
        <v/>
      </c>
      <c r="L31" s="29">
        <f>IFERROR(H31/G31,0)</f>
        <v/>
      </c>
      <c r="M31" s="30">
        <f>IFERROR(J31/F31,0)</f>
        <v/>
      </c>
      <c r="N31" s="10">
        <f>IFERROR(J31/E31,0)</f>
        <v/>
      </c>
      <c r="O31" s="10">
        <f>IFERROR(I31/J31,0)</f>
        <v/>
      </c>
      <c r="R31" s="42">
        <f>IF($D31="Actual",E31,"")</f>
        <v/>
      </c>
      <c r="S31" s="42">
        <f>IF($D31="Actual",SUMIFS(Data_Actuals!$D$2:$D$5000,Data_Actuals!$A$2:$A$5000,$A31,Data_Actuals!$B$2:$B$5000,$B$2),"")</f>
        <v/>
      </c>
      <c r="T31" s="42">
        <f>IF($D31="Actual",SUMIFS(Data_Actuals!$E$2:$E$5000,Data_Actuals!$A$2:$A$5000,$A31,Data_Actuals!$B$2:$B$5000,$B$2),"")</f>
        <v/>
      </c>
      <c r="U31" s="42">
        <f>IF($D31="Actual",SUMIFS(Data_Actuals!$F$2:$F$5000,Data_Actuals!$A$2:$A$5000,$A31,Data_Actuals!$B$2:$B$5000,$B$2),"")</f>
        <v/>
      </c>
      <c r="V31" s="42">
        <f>IF($D31="Actual",SUMIFS(Data_Actuals!$G$2:$G$5000,Data_Actuals!$A$2:$A$5000,$A31,Data_Actuals!$B$2:$B$5000,$B$2),"")</f>
        <v/>
      </c>
      <c r="W31" s="42">
        <f>SUMIFS(Plan_Inputs!$C$2:$C$5000,Plan_Inputs!$A$2:$A$5000,$A31,Plan_Inputs!$B$2:$B$5000,$B$2)</f>
        <v/>
      </c>
      <c r="X31" s="43">
        <f>SUMIFS(Plan_Inputs!$D$2:$D$5000,Plan_Inputs!$A$2:$A$5000,$A31,Plan_Inputs!$B$2:$B$5000,$B$2)</f>
        <v/>
      </c>
      <c r="Y31" s="42">
        <f>'NSW-1'!E31+'NSW-2'!E31</f>
        <v/>
      </c>
      <c r="Z31" s="44">
        <f>INDEX(Calendar!$H$5:$L$52,MATCH($A31,Calendar!$A$5:$A$52,0),MATCH($D$2,Calendar!$H$4:$L$4,0))</f>
        <v/>
      </c>
      <c r="AA31" s="44">
        <f>INDEX(Calendar!$M$5:$M$52,MATCH($A31,Calendar!$A$5:$A$52,0))</f>
        <v/>
      </c>
      <c r="AB31" s="45">
        <f>IF($D31="Actual",IFERROR(S31/Y31,""),AB19)</f>
        <v/>
      </c>
      <c r="AC31" s="46">
        <f>IF($D31="Actual",IFERROR(U31/T31/Z31/AA31,""),AC19)</f>
        <v/>
      </c>
      <c r="AD31" s="43">
        <f>IF($D31="Actual",IFERROR(V31/(U31+V31),""),AD19)</f>
        <v/>
      </c>
      <c r="AE31" s="46">
        <f>IFERROR(AC31*Z31*AA31,"")</f>
        <v/>
      </c>
      <c r="AF31" s="47">
        <f>K19</f>
        <v/>
      </c>
      <c r="AG31" s="43">
        <f>IF($D31="Forecast",IFERROR(K31/AF31-1,""),"")</f>
        <v/>
      </c>
    </row>
    <row r="32">
      <c r="A32" s="8" t="n">
        <v>46174</v>
      </c>
      <c r="B32" s="26">
        <f>YEAR(A32)</f>
        <v/>
      </c>
      <c r="C32" s="26">
        <f>MONTH(A32)</f>
        <v/>
      </c>
      <c r="D32">
        <f>IF(A32&lt;=LastActual,"Actual","Forecast")</f>
        <v/>
      </c>
      <c r="E32" s="24">
        <f>'NSW-1'!E32</f>
        <v/>
      </c>
      <c r="F32" s="27">
        <f>IF($D32="Actual",S32,Cases_Forecast!AR25)</f>
        <v/>
      </c>
      <c r="G32" s="9">
        <f>IF($D32="Actual",T32,IFERROR(H32/AE32,0))</f>
        <v/>
      </c>
      <c r="H32" s="24">
        <f>IF($D32="Actual",U32,J32-I32)</f>
        <v/>
      </c>
      <c r="I32" s="24">
        <f>IF($D32="Actual",V32,IFERROR(J32*AD32,0))</f>
        <v/>
      </c>
      <c r="J32" s="24">
        <f>IF($D32="Actual",U32+V32,E32*X32)</f>
        <v/>
      </c>
      <c r="K32" s="28">
        <f>IFERROR(F32/G32,0)</f>
        <v/>
      </c>
      <c r="L32" s="29">
        <f>IFERROR(H32/G32,0)</f>
        <v/>
      </c>
      <c r="M32" s="30">
        <f>IFERROR(J32/F32,0)</f>
        <v/>
      </c>
      <c r="N32" s="10">
        <f>IFERROR(J32/E32,0)</f>
        <v/>
      </c>
      <c r="O32" s="10">
        <f>IFERROR(I32/J32,0)</f>
        <v/>
      </c>
      <c r="R32" s="42">
        <f>IF($D32="Actual",E32,"")</f>
        <v/>
      </c>
      <c r="S32" s="42">
        <f>IF($D32="Actual",SUMIFS(Data_Actuals!$D$2:$D$5000,Data_Actuals!$A$2:$A$5000,$A32,Data_Actuals!$B$2:$B$5000,$B$2),"")</f>
        <v/>
      </c>
      <c r="T32" s="42">
        <f>IF($D32="Actual",SUMIFS(Data_Actuals!$E$2:$E$5000,Data_Actuals!$A$2:$A$5000,$A32,Data_Actuals!$B$2:$B$5000,$B$2),"")</f>
        <v/>
      </c>
      <c r="U32" s="42">
        <f>IF($D32="Actual",SUMIFS(Data_Actuals!$F$2:$F$5000,Data_Actuals!$A$2:$A$5000,$A32,Data_Actuals!$B$2:$B$5000,$B$2),"")</f>
        <v/>
      </c>
      <c r="V32" s="42">
        <f>IF($D32="Actual",SUMIFS(Data_Actuals!$G$2:$G$5000,Data_Actuals!$A$2:$A$5000,$A32,Data_Actuals!$B$2:$B$5000,$B$2),"")</f>
        <v/>
      </c>
      <c r="W32" s="42">
        <f>SUMIFS(Plan_Inputs!$C$2:$C$5000,Plan_Inputs!$A$2:$A$5000,$A32,Plan_Inputs!$B$2:$B$5000,$B$2)</f>
        <v/>
      </c>
      <c r="X32" s="43">
        <f>SUMIFS(Plan_Inputs!$D$2:$D$5000,Plan_Inputs!$A$2:$A$5000,$A32,Plan_Inputs!$B$2:$B$5000,$B$2)</f>
        <v/>
      </c>
      <c r="Y32" s="42">
        <f>'NSW-1'!E32+'NSW-2'!E32</f>
        <v/>
      </c>
      <c r="Z32" s="44">
        <f>INDEX(Calendar!$H$5:$L$52,MATCH($A32,Calendar!$A$5:$A$52,0),MATCH($D$2,Calendar!$H$4:$L$4,0))</f>
        <v/>
      </c>
      <c r="AA32" s="44">
        <f>INDEX(Calendar!$M$5:$M$52,MATCH($A32,Calendar!$A$5:$A$52,0))</f>
        <v/>
      </c>
      <c r="AB32" s="45">
        <f>IF($D32="Actual",IFERROR(S32/Y32,""),AB20)</f>
        <v/>
      </c>
      <c r="AC32" s="46">
        <f>IF($D32="Actual",IFERROR(U32/T32/Z32/AA32,""),AC20)</f>
        <v/>
      </c>
      <c r="AD32" s="43">
        <f>IF($D32="Actual",IFERROR(V32/(U32+V32),""),AD20)</f>
        <v/>
      </c>
      <c r="AE32" s="46">
        <f>IFERROR(AC32*Z32*AA32,"")</f>
        <v/>
      </c>
      <c r="AF32" s="47">
        <f>K20</f>
        <v/>
      </c>
      <c r="AG32" s="43">
        <f>IF($D32="Forecast",IFERROR(K32/AF32-1,""),"")</f>
        <v/>
      </c>
    </row>
    <row r="33">
      <c r="A33" s="8" t="n">
        <v>46204</v>
      </c>
      <c r="B33" s="26">
        <f>YEAR(A33)</f>
        <v/>
      </c>
      <c r="C33" s="26">
        <f>MONTH(A33)</f>
        <v/>
      </c>
      <c r="D33">
        <f>IF(A33&lt;=LastActual,"Actual","Forecast")</f>
        <v/>
      </c>
      <c r="E33" s="24">
        <f>'NSW-1'!E33</f>
        <v/>
      </c>
      <c r="F33" s="27">
        <f>IF($D33="Actual",S33,Cases_Forecast!AR26)</f>
        <v/>
      </c>
      <c r="G33" s="9">
        <f>IF($D33="Actual",T33,IFERROR(H33/AE33,0))</f>
        <v/>
      </c>
      <c r="H33" s="24">
        <f>IF($D33="Actual",U33,J33-I33)</f>
        <v/>
      </c>
      <c r="I33" s="24">
        <f>IF($D33="Actual",V33,IFERROR(J33*AD33,0))</f>
        <v/>
      </c>
      <c r="J33" s="24">
        <f>IF($D33="Actual",U33+V33,E33*X33)</f>
        <v/>
      </c>
      <c r="K33" s="28">
        <f>IFERROR(F33/G33,0)</f>
        <v/>
      </c>
      <c r="L33" s="29">
        <f>IFERROR(H33/G33,0)</f>
        <v/>
      </c>
      <c r="M33" s="30">
        <f>IFERROR(J33/F33,0)</f>
        <v/>
      </c>
      <c r="N33" s="10">
        <f>IFERROR(J33/E33,0)</f>
        <v/>
      </c>
      <c r="O33" s="10">
        <f>IFERROR(I33/J33,0)</f>
        <v/>
      </c>
      <c r="R33" s="42">
        <f>IF($D33="Actual",E33,"")</f>
        <v/>
      </c>
      <c r="S33" s="42">
        <f>IF($D33="Actual",SUMIFS(Data_Actuals!$D$2:$D$5000,Data_Actuals!$A$2:$A$5000,$A33,Data_Actuals!$B$2:$B$5000,$B$2),"")</f>
        <v/>
      </c>
      <c r="T33" s="42">
        <f>IF($D33="Actual",SUMIFS(Data_Actuals!$E$2:$E$5000,Data_Actuals!$A$2:$A$5000,$A33,Data_Actuals!$B$2:$B$5000,$B$2),"")</f>
        <v/>
      </c>
      <c r="U33" s="42">
        <f>IF($D33="Actual",SUMIFS(Data_Actuals!$F$2:$F$5000,Data_Actuals!$A$2:$A$5000,$A33,Data_Actuals!$B$2:$B$5000,$B$2),"")</f>
        <v/>
      </c>
      <c r="V33" s="42">
        <f>IF($D33="Actual",SUMIFS(Data_Actuals!$G$2:$G$5000,Data_Actuals!$A$2:$A$5000,$A33,Data_Actuals!$B$2:$B$5000,$B$2),"")</f>
        <v/>
      </c>
      <c r="W33" s="42">
        <f>SUMIFS(Plan_Inputs!$C$2:$C$5000,Plan_Inputs!$A$2:$A$5000,$A33,Plan_Inputs!$B$2:$B$5000,$B$2)</f>
        <v/>
      </c>
      <c r="X33" s="43">
        <f>SUMIFS(Plan_Inputs!$D$2:$D$5000,Plan_Inputs!$A$2:$A$5000,$A33,Plan_Inputs!$B$2:$B$5000,$B$2)</f>
        <v/>
      </c>
      <c r="Y33" s="42">
        <f>'NSW-1'!E33+'NSW-2'!E33</f>
        <v/>
      </c>
      <c r="Z33" s="44">
        <f>INDEX(Calendar!$H$5:$L$52,MATCH($A33,Calendar!$A$5:$A$52,0),MATCH($D$2,Calendar!$H$4:$L$4,0))</f>
        <v/>
      </c>
      <c r="AA33" s="44">
        <f>INDEX(Calendar!$M$5:$M$52,MATCH($A33,Calendar!$A$5:$A$52,0))</f>
        <v/>
      </c>
      <c r="AB33" s="45">
        <f>IF($D33="Actual",IFERROR(S33/Y33,""),AB21)</f>
        <v/>
      </c>
      <c r="AC33" s="46">
        <f>IF($D33="Actual",IFERROR(U33/T33/Z33/AA33,""),AC21)</f>
        <v/>
      </c>
      <c r="AD33" s="43">
        <f>IF($D33="Actual",IFERROR(V33/(U33+V33),""),AD21)</f>
        <v/>
      </c>
      <c r="AE33" s="46">
        <f>IFERROR(AC33*Z33*AA33,"")</f>
        <v/>
      </c>
      <c r="AF33" s="47">
        <f>K21</f>
        <v/>
      </c>
      <c r="AG33" s="43">
        <f>IF($D33="Forecast",IFERROR(K33/AF33-1,""),"")</f>
        <v/>
      </c>
    </row>
    <row r="34">
      <c r="A34" s="8" t="n">
        <v>46235</v>
      </c>
      <c r="B34" s="26">
        <f>YEAR(A34)</f>
        <v/>
      </c>
      <c r="C34" s="26">
        <f>MONTH(A34)</f>
        <v/>
      </c>
      <c r="D34">
        <f>IF(A34&lt;=LastActual,"Actual","Forecast")</f>
        <v/>
      </c>
      <c r="E34" s="24">
        <f>'NSW-1'!E34</f>
        <v/>
      </c>
      <c r="F34" s="27">
        <f>IF($D34="Actual",S34,Cases_Forecast!AR27)</f>
        <v/>
      </c>
      <c r="G34" s="9">
        <f>IF($D34="Actual",T34,IFERROR(H34/AE34,0))</f>
        <v/>
      </c>
      <c r="H34" s="24">
        <f>IF($D34="Actual",U34,J34-I34)</f>
        <v/>
      </c>
      <c r="I34" s="24">
        <f>IF($D34="Actual",V34,IFERROR(J34*AD34,0))</f>
        <v/>
      </c>
      <c r="J34" s="24">
        <f>IF($D34="Actual",U34+V34,E34*X34)</f>
        <v/>
      </c>
      <c r="K34" s="28">
        <f>IFERROR(F34/G34,0)</f>
        <v/>
      </c>
      <c r="L34" s="29">
        <f>IFERROR(H34/G34,0)</f>
        <v/>
      </c>
      <c r="M34" s="30">
        <f>IFERROR(J34/F34,0)</f>
        <v/>
      </c>
      <c r="N34" s="10">
        <f>IFERROR(J34/E34,0)</f>
        <v/>
      </c>
      <c r="O34" s="10">
        <f>IFERROR(I34/J34,0)</f>
        <v/>
      </c>
      <c r="R34" s="42">
        <f>IF($D34="Actual",E34,"")</f>
        <v/>
      </c>
      <c r="S34" s="42">
        <f>IF($D34="Actual",SUMIFS(Data_Actuals!$D$2:$D$5000,Data_Actuals!$A$2:$A$5000,$A34,Data_Actuals!$B$2:$B$5000,$B$2),"")</f>
        <v/>
      </c>
      <c r="T34" s="42">
        <f>IF($D34="Actual",SUMIFS(Data_Actuals!$E$2:$E$5000,Data_Actuals!$A$2:$A$5000,$A34,Data_Actuals!$B$2:$B$5000,$B$2),"")</f>
        <v/>
      </c>
      <c r="U34" s="42">
        <f>IF($D34="Actual",SUMIFS(Data_Actuals!$F$2:$F$5000,Data_Actuals!$A$2:$A$5000,$A34,Data_Actuals!$B$2:$B$5000,$B$2),"")</f>
        <v/>
      </c>
      <c r="V34" s="42">
        <f>IF($D34="Actual",SUMIFS(Data_Actuals!$G$2:$G$5000,Data_Actuals!$A$2:$A$5000,$A34,Data_Actuals!$B$2:$B$5000,$B$2),"")</f>
        <v/>
      </c>
      <c r="W34" s="42">
        <f>SUMIFS(Plan_Inputs!$C$2:$C$5000,Plan_Inputs!$A$2:$A$5000,$A34,Plan_Inputs!$B$2:$B$5000,$B$2)</f>
        <v/>
      </c>
      <c r="X34" s="43">
        <f>SUMIFS(Plan_Inputs!$D$2:$D$5000,Plan_Inputs!$A$2:$A$5000,$A34,Plan_Inputs!$B$2:$B$5000,$B$2)</f>
        <v/>
      </c>
      <c r="Y34" s="42">
        <f>'NSW-1'!E34+'NSW-2'!E34</f>
        <v/>
      </c>
      <c r="Z34" s="44">
        <f>INDEX(Calendar!$H$5:$L$52,MATCH($A34,Calendar!$A$5:$A$52,0),MATCH($D$2,Calendar!$H$4:$L$4,0))</f>
        <v/>
      </c>
      <c r="AA34" s="44">
        <f>INDEX(Calendar!$M$5:$M$52,MATCH($A34,Calendar!$A$5:$A$52,0))</f>
        <v/>
      </c>
      <c r="AB34" s="45">
        <f>IF($D34="Actual",IFERROR(S34/Y34,""),AB22)</f>
        <v/>
      </c>
      <c r="AC34" s="46">
        <f>IF($D34="Actual",IFERROR(U34/T34/Z34/AA34,""),AC22)</f>
        <v/>
      </c>
      <c r="AD34" s="43">
        <f>IF($D34="Actual",IFERROR(V34/(U34+V34),""),AD22)</f>
        <v/>
      </c>
      <c r="AE34" s="46">
        <f>IFERROR(AC34*Z34*AA34,"")</f>
        <v/>
      </c>
      <c r="AF34" s="47">
        <f>K22</f>
        <v/>
      </c>
      <c r="AG34" s="43">
        <f>IF($D34="Forecast",IFERROR(K34/AF34-1,""),"")</f>
        <v/>
      </c>
    </row>
    <row r="35">
      <c r="A35" s="8" t="n">
        <v>46266</v>
      </c>
      <c r="B35" s="26">
        <f>YEAR(A35)</f>
        <v/>
      </c>
      <c r="C35" s="26">
        <f>MONTH(A35)</f>
        <v/>
      </c>
      <c r="D35">
        <f>IF(A35&lt;=LastActual,"Actual","Forecast")</f>
        <v/>
      </c>
      <c r="E35" s="24">
        <f>'NSW-1'!E35</f>
        <v/>
      </c>
      <c r="F35" s="27">
        <f>IF($D35="Actual",S35,Cases_Forecast!AR28)</f>
        <v/>
      </c>
      <c r="G35" s="9">
        <f>IF($D35="Actual",T35,IFERROR(H35/AE35,0))</f>
        <v/>
      </c>
      <c r="H35" s="24">
        <f>IF($D35="Actual",U35,J35-I35)</f>
        <v/>
      </c>
      <c r="I35" s="24">
        <f>IF($D35="Actual",V35,IFERROR(J35*AD35,0))</f>
        <v/>
      </c>
      <c r="J35" s="24">
        <f>IF($D35="Actual",U35+V35,E35*X35)</f>
        <v/>
      </c>
      <c r="K35" s="28">
        <f>IFERROR(F35/G35,0)</f>
        <v/>
      </c>
      <c r="L35" s="29">
        <f>IFERROR(H35/G35,0)</f>
        <v/>
      </c>
      <c r="M35" s="30">
        <f>IFERROR(J35/F35,0)</f>
        <v/>
      </c>
      <c r="N35" s="10">
        <f>IFERROR(J35/E35,0)</f>
        <v/>
      </c>
      <c r="O35" s="10">
        <f>IFERROR(I35/J35,0)</f>
        <v/>
      </c>
      <c r="R35" s="42">
        <f>IF($D35="Actual",E35,"")</f>
        <v/>
      </c>
      <c r="S35" s="42">
        <f>IF($D35="Actual",SUMIFS(Data_Actuals!$D$2:$D$5000,Data_Actuals!$A$2:$A$5000,$A35,Data_Actuals!$B$2:$B$5000,$B$2),"")</f>
        <v/>
      </c>
      <c r="T35" s="42">
        <f>IF($D35="Actual",SUMIFS(Data_Actuals!$E$2:$E$5000,Data_Actuals!$A$2:$A$5000,$A35,Data_Actuals!$B$2:$B$5000,$B$2),"")</f>
        <v/>
      </c>
      <c r="U35" s="42">
        <f>IF($D35="Actual",SUMIFS(Data_Actuals!$F$2:$F$5000,Data_Actuals!$A$2:$A$5000,$A35,Data_Actuals!$B$2:$B$5000,$B$2),"")</f>
        <v/>
      </c>
      <c r="V35" s="42">
        <f>IF($D35="Actual",SUMIFS(Data_Actuals!$G$2:$G$5000,Data_Actuals!$A$2:$A$5000,$A35,Data_Actuals!$B$2:$B$5000,$B$2),"")</f>
        <v/>
      </c>
      <c r="W35" s="42">
        <f>SUMIFS(Plan_Inputs!$C$2:$C$5000,Plan_Inputs!$A$2:$A$5000,$A35,Plan_Inputs!$B$2:$B$5000,$B$2)</f>
        <v/>
      </c>
      <c r="X35" s="43">
        <f>SUMIFS(Plan_Inputs!$D$2:$D$5000,Plan_Inputs!$A$2:$A$5000,$A35,Plan_Inputs!$B$2:$B$5000,$B$2)</f>
        <v/>
      </c>
      <c r="Y35" s="42">
        <f>'NSW-1'!E35+'NSW-2'!E35</f>
        <v/>
      </c>
      <c r="Z35" s="44">
        <f>INDEX(Calendar!$H$5:$L$52,MATCH($A35,Calendar!$A$5:$A$52,0),MATCH($D$2,Calendar!$H$4:$L$4,0))</f>
        <v/>
      </c>
      <c r="AA35" s="44">
        <f>INDEX(Calendar!$M$5:$M$52,MATCH($A35,Calendar!$A$5:$A$52,0))</f>
        <v/>
      </c>
      <c r="AB35" s="45">
        <f>IF($D35="Actual",IFERROR(S35/Y35,""),AB23)</f>
        <v/>
      </c>
      <c r="AC35" s="46">
        <f>IF($D35="Actual",IFERROR(U35/T35/Z35/AA35,""),AC23)</f>
        <v/>
      </c>
      <c r="AD35" s="43">
        <f>IF($D35="Actual",IFERROR(V35/(U35+V35),""),AD23)</f>
        <v/>
      </c>
      <c r="AE35" s="46">
        <f>IFERROR(AC35*Z35*AA35,"")</f>
        <v/>
      </c>
      <c r="AF35" s="47">
        <f>K23</f>
        <v/>
      </c>
      <c r="AG35" s="43">
        <f>IF($D35="Forecast",IFERROR(K35/AF35-1,""),"")</f>
        <v/>
      </c>
    </row>
    <row r="36">
      <c r="A36" s="8" t="n">
        <v>46296</v>
      </c>
      <c r="B36" s="26">
        <f>YEAR(A36)</f>
        <v/>
      </c>
      <c r="C36" s="26">
        <f>MONTH(A36)</f>
        <v/>
      </c>
      <c r="D36">
        <f>IF(A36&lt;=LastActual,"Actual","Forecast")</f>
        <v/>
      </c>
      <c r="E36" s="24">
        <f>'NSW-1'!E36</f>
        <v/>
      </c>
      <c r="F36" s="27">
        <f>IF($D36="Actual",S36,Cases_Forecast!AR29)</f>
        <v/>
      </c>
      <c r="G36" s="9">
        <f>IF($D36="Actual",T36,IFERROR(H36/AE36,0))</f>
        <v/>
      </c>
      <c r="H36" s="24">
        <f>IF($D36="Actual",U36,J36-I36)</f>
        <v/>
      </c>
      <c r="I36" s="24">
        <f>IF($D36="Actual",V36,IFERROR(J36*AD36,0))</f>
        <v/>
      </c>
      <c r="J36" s="24">
        <f>IF($D36="Actual",U36+V36,E36*X36)</f>
        <v/>
      </c>
      <c r="K36" s="28">
        <f>IFERROR(F36/G36,0)</f>
        <v/>
      </c>
      <c r="L36" s="29">
        <f>IFERROR(H36/G36,0)</f>
        <v/>
      </c>
      <c r="M36" s="30">
        <f>IFERROR(J36/F36,0)</f>
        <v/>
      </c>
      <c r="N36" s="10">
        <f>IFERROR(J36/E36,0)</f>
        <v/>
      </c>
      <c r="O36" s="10">
        <f>IFERROR(I36/J36,0)</f>
        <v/>
      </c>
      <c r="R36" s="42">
        <f>IF($D36="Actual",E36,"")</f>
        <v/>
      </c>
      <c r="S36" s="42">
        <f>IF($D36="Actual",SUMIFS(Data_Actuals!$D$2:$D$5000,Data_Actuals!$A$2:$A$5000,$A36,Data_Actuals!$B$2:$B$5000,$B$2),"")</f>
        <v/>
      </c>
      <c r="T36" s="42">
        <f>IF($D36="Actual",SUMIFS(Data_Actuals!$E$2:$E$5000,Data_Actuals!$A$2:$A$5000,$A36,Data_Actuals!$B$2:$B$5000,$B$2),"")</f>
        <v/>
      </c>
      <c r="U36" s="42">
        <f>IF($D36="Actual",SUMIFS(Data_Actuals!$F$2:$F$5000,Data_Actuals!$A$2:$A$5000,$A36,Data_Actuals!$B$2:$B$5000,$B$2),"")</f>
        <v/>
      </c>
      <c r="V36" s="42">
        <f>IF($D36="Actual",SUMIFS(Data_Actuals!$G$2:$G$5000,Data_Actuals!$A$2:$A$5000,$A36,Data_Actuals!$B$2:$B$5000,$B$2),"")</f>
        <v/>
      </c>
      <c r="W36" s="42">
        <f>SUMIFS(Plan_Inputs!$C$2:$C$5000,Plan_Inputs!$A$2:$A$5000,$A36,Plan_Inputs!$B$2:$B$5000,$B$2)</f>
        <v/>
      </c>
      <c r="X36" s="43">
        <f>SUMIFS(Plan_Inputs!$D$2:$D$5000,Plan_Inputs!$A$2:$A$5000,$A36,Plan_Inputs!$B$2:$B$5000,$B$2)</f>
        <v/>
      </c>
      <c r="Y36" s="42">
        <f>'NSW-1'!E36+'NSW-2'!E36</f>
        <v/>
      </c>
      <c r="Z36" s="44">
        <f>INDEX(Calendar!$H$5:$L$52,MATCH($A36,Calendar!$A$5:$A$52,0),MATCH($D$2,Calendar!$H$4:$L$4,0))</f>
        <v/>
      </c>
      <c r="AA36" s="44">
        <f>INDEX(Calendar!$M$5:$M$52,MATCH($A36,Calendar!$A$5:$A$52,0))</f>
        <v/>
      </c>
      <c r="AB36" s="45">
        <f>IF($D36="Actual",IFERROR(S36/Y36,""),AB24)</f>
        <v/>
      </c>
      <c r="AC36" s="46">
        <f>IF($D36="Actual",IFERROR(U36/T36/Z36/AA36,""),AC24)</f>
        <v/>
      </c>
      <c r="AD36" s="43">
        <f>IF($D36="Actual",IFERROR(V36/(U36+V36),""),AD24)</f>
        <v/>
      </c>
      <c r="AE36" s="46">
        <f>IFERROR(AC36*Z36*AA36,"")</f>
        <v/>
      </c>
      <c r="AF36" s="47">
        <f>K24</f>
        <v/>
      </c>
      <c r="AG36" s="43">
        <f>IF($D36="Forecast",IFERROR(K36/AF36-1,""),"")</f>
        <v/>
      </c>
    </row>
    <row r="37">
      <c r="A37" s="8" t="n">
        <v>46327</v>
      </c>
      <c r="B37" s="26">
        <f>YEAR(A37)</f>
        <v/>
      </c>
      <c r="C37" s="26">
        <f>MONTH(A37)</f>
        <v/>
      </c>
      <c r="D37">
        <f>IF(A37&lt;=LastActual,"Actual","Forecast")</f>
        <v/>
      </c>
      <c r="E37" s="24">
        <f>'NSW-1'!E37</f>
        <v/>
      </c>
      <c r="F37" s="27">
        <f>IF($D37="Actual",S37,Cases_Forecast!AR30)</f>
        <v/>
      </c>
      <c r="G37" s="9">
        <f>IF($D37="Actual",T37,IFERROR(H37/AE37,0))</f>
        <v/>
      </c>
      <c r="H37" s="24">
        <f>IF($D37="Actual",U37,J37-I37)</f>
        <v/>
      </c>
      <c r="I37" s="24">
        <f>IF($D37="Actual",V37,IFERROR(J37*AD37,0))</f>
        <v/>
      </c>
      <c r="J37" s="24">
        <f>IF($D37="Actual",U37+V37,E37*X37)</f>
        <v/>
      </c>
      <c r="K37" s="28">
        <f>IFERROR(F37/G37,0)</f>
        <v/>
      </c>
      <c r="L37" s="29">
        <f>IFERROR(H37/G37,0)</f>
        <v/>
      </c>
      <c r="M37" s="30">
        <f>IFERROR(J37/F37,0)</f>
        <v/>
      </c>
      <c r="N37" s="10">
        <f>IFERROR(J37/E37,0)</f>
        <v/>
      </c>
      <c r="O37" s="10">
        <f>IFERROR(I37/J37,0)</f>
        <v/>
      </c>
      <c r="R37" s="42">
        <f>IF($D37="Actual",E37,"")</f>
        <v/>
      </c>
      <c r="S37" s="42">
        <f>IF($D37="Actual",SUMIFS(Data_Actuals!$D$2:$D$5000,Data_Actuals!$A$2:$A$5000,$A37,Data_Actuals!$B$2:$B$5000,$B$2),"")</f>
        <v/>
      </c>
      <c r="T37" s="42">
        <f>IF($D37="Actual",SUMIFS(Data_Actuals!$E$2:$E$5000,Data_Actuals!$A$2:$A$5000,$A37,Data_Actuals!$B$2:$B$5000,$B$2),"")</f>
        <v/>
      </c>
      <c r="U37" s="42">
        <f>IF($D37="Actual",SUMIFS(Data_Actuals!$F$2:$F$5000,Data_Actuals!$A$2:$A$5000,$A37,Data_Actuals!$B$2:$B$5000,$B$2),"")</f>
        <v/>
      </c>
      <c r="V37" s="42">
        <f>IF($D37="Actual",SUMIFS(Data_Actuals!$G$2:$G$5000,Data_Actuals!$A$2:$A$5000,$A37,Data_Actuals!$B$2:$B$5000,$B$2),"")</f>
        <v/>
      </c>
      <c r="W37" s="42">
        <f>SUMIFS(Plan_Inputs!$C$2:$C$5000,Plan_Inputs!$A$2:$A$5000,$A37,Plan_Inputs!$B$2:$B$5000,$B$2)</f>
        <v/>
      </c>
      <c r="X37" s="43">
        <f>SUMIFS(Plan_Inputs!$D$2:$D$5000,Plan_Inputs!$A$2:$A$5000,$A37,Plan_Inputs!$B$2:$B$5000,$B$2)</f>
        <v/>
      </c>
      <c r="Y37" s="42">
        <f>'NSW-1'!E37+'NSW-2'!E37</f>
        <v/>
      </c>
      <c r="Z37" s="44">
        <f>INDEX(Calendar!$H$5:$L$52,MATCH($A37,Calendar!$A$5:$A$52,0),MATCH($D$2,Calendar!$H$4:$L$4,0))</f>
        <v/>
      </c>
      <c r="AA37" s="44">
        <f>INDEX(Calendar!$M$5:$M$52,MATCH($A37,Calendar!$A$5:$A$52,0))</f>
        <v/>
      </c>
      <c r="AB37" s="45">
        <f>IF($D37="Actual",IFERROR(S37/Y37,""),AB25)</f>
        <v/>
      </c>
      <c r="AC37" s="46">
        <f>IF($D37="Actual",IFERROR(U37/T37/Z37/AA37,""),AC25)</f>
        <v/>
      </c>
      <c r="AD37" s="43">
        <f>IF($D37="Actual",IFERROR(V37/(U37+V37),""),AD25)</f>
        <v/>
      </c>
      <c r="AE37" s="46">
        <f>IFERROR(AC37*Z37*AA37,"")</f>
        <v/>
      </c>
      <c r="AF37" s="47">
        <f>K25</f>
        <v/>
      </c>
      <c r="AG37" s="43">
        <f>IF($D37="Forecast",IFERROR(K37/AF37-1,""),"")</f>
        <v/>
      </c>
    </row>
    <row r="38">
      <c r="A38" s="31" t="n">
        <v>46357</v>
      </c>
      <c r="B38" s="32">
        <f>YEAR(A38)</f>
        <v/>
      </c>
      <c r="C38" s="32">
        <f>MONTH(A38)</f>
        <v/>
      </c>
      <c r="D38" s="33">
        <f>IF(A38&lt;=LastActual,"Actual","Forecast")</f>
        <v/>
      </c>
      <c r="E38" s="34">
        <f>'NSW-1'!E38</f>
        <v/>
      </c>
      <c r="F38" s="35">
        <f>IF($D38="Actual",S38,Cases_Forecast!AR31)</f>
        <v/>
      </c>
      <c r="G38" s="36">
        <f>IF($D38="Actual",T38,IFERROR(H38/AE38,0))</f>
        <v/>
      </c>
      <c r="H38" s="34">
        <f>IF($D38="Actual",U38,J38-I38)</f>
        <v/>
      </c>
      <c r="I38" s="34">
        <f>IF($D38="Actual",V38,IFERROR(J38*AD38,0))</f>
        <v/>
      </c>
      <c r="J38" s="34">
        <f>IF($D38="Actual",U38+V38,E38*X38)</f>
        <v/>
      </c>
      <c r="K38" s="37">
        <f>IFERROR(F38/G38,0)</f>
        <v/>
      </c>
      <c r="L38" s="38">
        <f>IFERROR(H38/G38,0)</f>
        <v/>
      </c>
      <c r="M38" s="39">
        <f>IFERROR(J38/F38,0)</f>
        <v/>
      </c>
      <c r="N38" s="40">
        <f>IFERROR(J38/E38,0)</f>
        <v/>
      </c>
      <c r="O38" s="40">
        <f>IFERROR(I38/J38,0)</f>
        <v/>
      </c>
      <c r="R38" s="42">
        <f>IF($D38="Actual",E38,"")</f>
        <v/>
      </c>
      <c r="S38" s="42">
        <f>IF($D38="Actual",SUMIFS(Data_Actuals!$D$2:$D$5000,Data_Actuals!$A$2:$A$5000,$A38,Data_Actuals!$B$2:$B$5000,$B$2),"")</f>
        <v/>
      </c>
      <c r="T38" s="42">
        <f>IF($D38="Actual",SUMIFS(Data_Actuals!$E$2:$E$5000,Data_Actuals!$A$2:$A$5000,$A38,Data_Actuals!$B$2:$B$5000,$B$2),"")</f>
        <v/>
      </c>
      <c r="U38" s="42">
        <f>IF($D38="Actual",SUMIFS(Data_Actuals!$F$2:$F$5000,Data_Actuals!$A$2:$A$5000,$A38,Data_Actuals!$B$2:$B$5000,$B$2),"")</f>
        <v/>
      </c>
      <c r="V38" s="42">
        <f>IF($D38="Actual",SUMIFS(Data_Actuals!$G$2:$G$5000,Data_Actuals!$A$2:$A$5000,$A38,Data_Actuals!$B$2:$B$5000,$B$2),"")</f>
        <v/>
      </c>
      <c r="W38" s="42">
        <f>SUMIFS(Plan_Inputs!$C$2:$C$5000,Plan_Inputs!$A$2:$A$5000,$A38,Plan_Inputs!$B$2:$B$5000,$B$2)</f>
        <v/>
      </c>
      <c r="X38" s="43">
        <f>SUMIFS(Plan_Inputs!$D$2:$D$5000,Plan_Inputs!$A$2:$A$5000,$A38,Plan_Inputs!$B$2:$B$5000,$B$2)</f>
        <v/>
      </c>
      <c r="Y38" s="42">
        <f>'NSW-1'!E38+'NSW-2'!E38</f>
        <v/>
      </c>
      <c r="Z38" s="44">
        <f>INDEX(Calendar!$H$5:$L$52,MATCH($A38,Calendar!$A$5:$A$52,0),MATCH($D$2,Calendar!$H$4:$L$4,0))</f>
        <v/>
      </c>
      <c r="AA38" s="44">
        <f>INDEX(Calendar!$M$5:$M$52,MATCH($A38,Calendar!$A$5:$A$52,0))</f>
        <v/>
      </c>
      <c r="AB38" s="45">
        <f>IF($D38="Actual",IFERROR(S38/Y38,""),AB26)</f>
        <v/>
      </c>
      <c r="AC38" s="46">
        <f>IF($D38="Actual",IFERROR(U38/T38/Z38/AA38,""),AC26)</f>
        <v/>
      </c>
      <c r="AD38" s="43">
        <f>IF($D38="Actual",IFERROR(V38/(U38+V38),""),AD26)</f>
        <v/>
      </c>
      <c r="AE38" s="46">
        <f>IFERROR(AC38*Z38*AA38,"")</f>
        <v/>
      </c>
      <c r="AF38" s="47">
        <f>K26</f>
        <v/>
      </c>
      <c r="AG38" s="43">
        <f>IF($D38="Forecast",IFERROR(K38/AF38-1,""),"")</f>
        <v/>
      </c>
    </row>
    <row r="39">
      <c r="A39" s="8" t="n">
        <v>46388</v>
      </c>
      <c r="B39" s="26">
        <f>YEAR(A39)</f>
        <v/>
      </c>
      <c r="C39" s="26">
        <f>MONTH(A39)</f>
        <v/>
      </c>
      <c r="D39">
        <f>IF(A39&lt;=LastActual,"Actual","Forecast")</f>
        <v/>
      </c>
      <c r="E39" s="24">
        <f>'NSW-1'!E39</f>
        <v/>
      </c>
      <c r="F39" s="27">
        <f>IF($D39="Actual",S39,Cases_Forecast!AR32)</f>
        <v/>
      </c>
      <c r="G39" s="9">
        <f>IF($D39="Actual",T39,IFERROR(H39/AE39,0))</f>
        <v/>
      </c>
      <c r="H39" s="24">
        <f>IF($D39="Actual",U39,J39-I39)</f>
        <v/>
      </c>
      <c r="I39" s="24">
        <f>IF($D39="Actual",V39,IFERROR(J39*AD39,0))</f>
        <v/>
      </c>
      <c r="J39" s="24">
        <f>IF($D39="Actual",U39+V39,E39*X39)</f>
        <v/>
      </c>
      <c r="K39" s="28">
        <f>IFERROR(F39/G39,0)</f>
        <v/>
      </c>
      <c r="L39" s="29">
        <f>IFERROR(H39/G39,0)</f>
        <v/>
      </c>
      <c r="M39" s="30">
        <f>IFERROR(J39/F39,0)</f>
        <v/>
      </c>
      <c r="N39" s="10">
        <f>IFERROR(J39/E39,0)</f>
        <v/>
      </c>
      <c r="O39" s="10">
        <f>IFERROR(I39/J39,0)</f>
        <v/>
      </c>
      <c r="R39" s="42">
        <f>IF($D39="Actual",E39,"")</f>
        <v/>
      </c>
      <c r="S39" s="42">
        <f>IF($D39="Actual",SUMIFS(Data_Actuals!$D$2:$D$5000,Data_Actuals!$A$2:$A$5000,$A39,Data_Actuals!$B$2:$B$5000,$B$2),"")</f>
        <v/>
      </c>
      <c r="T39" s="42">
        <f>IF($D39="Actual",SUMIFS(Data_Actuals!$E$2:$E$5000,Data_Actuals!$A$2:$A$5000,$A39,Data_Actuals!$B$2:$B$5000,$B$2),"")</f>
        <v/>
      </c>
      <c r="U39" s="42">
        <f>IF($D39="Actual",SUMIFS(Data_Actuals!$F$2:$F$5000,Data_Actuals!$A$2:$A$5000,$A39,Data_Actuals!$B$2:$B$5000,$B$2),"")</f>
        <v/>
      </c>
      <c r="V39" s="42">
        <f>IF($D39="Actual",SUMIFS(Data_Actuals!$G$2:$G$5000,Data_Actuals!$A$2:$A$5000,$A39,Data_Actuals!$B$2:$B$5000,$B$2),"")</f>
        <v/>
      </c>
      <c r="W39" s="42">
        <f>SUMIFS(Plan_Inputs!$C$2:$C$5000,Plan_Inputs!$A$2:$A$5000,$A39,Plan_Inputs!$B$2:$B$5000,$B$2)</f>
        <v/>
      </c>
      <c r="X39" s="43">
        <f>SUMIFS(Plan_Inputs!$D$2:$D$5000,Plan_Inputs!$A$2:$A$5000,$A39,Plan_Inputs!$B$2:$B$5000,$B$2)</f>
        <v/>
      </c>
      <c r="Y39" s="42">
        <f>'NSW-1'!E39+'NSW-2'!E39</f>
        <v/>
      </c>
      <c r="Z39" s="44">
        <f>INDEX(Calendar!$H$5:$L$52,MATCH($A39,Calendar!$A$5:$A$52,0),MATCH($D$2,Calendar!$H$4:$L$4,0))</f>
        <v/>
      </c>
      <c r="AA39" s="44">
        <f>INDEX(Calendar!$M$5:$M$52,MATCH($A39,Calendar!$A$5:$A$52,0))</f>
        <v/>
      </c>
      <c r="AB39" s="45">
        <f>IF($D39="Actual",IFERROR(S39/Y39,""),AB27)</f>
        <v/>
      </c>
      <c r="AC39" s="46">
        <f>IF($D39="Actual",IFERROR(U39/T39/Z39/AA39,""),AC27)</f>
        <v/>
      </c>
      <c r="AD39" s="43">
        <f>IF($D39="Actual",IFERROR(V39/(U39+V39),""),AD27)</f>
        <v/>
      </c>
      <c r="AE39" s="46">
        <f>IFERROR(AC39*Z39*AA39,"")</f>
        <v/>
      </c>
      <c r="AF39" s="47">
        <f>K27</f>
        <v/>
      </c>
      <c r="AG39" s="43">
        <f>IF($D39="Forecast",IFERROR(K39/AF39-1,""),"")</f>
        <v/>
      </c>
    </row>
    <row r="40">
      <c r="A40" s="8" t="n">
        <v>46419</v>
      </c>
      <c r="B40" s="26">
        <f>YEAR(A40)</f>
        <v/>
      </c>
      <c r="C40" s="26">
        <f>MONTH(A40)</f>
        <v/>
      </c>
      <c r="D40">
        <f>IF(A40&lt;=LastActual,"Actual","Forecast")</f>
        <v/>
      </c>
      <c r="E40" s="24">
        <f>'NSW-1'!E40</f>
        <v/>
      </c>
      <c r="F40" s="27">
        <f>IF($D40="Actual",S40,Cases_Forecast!AR33)</f>
        <v/>
      </c>
      <c r="G40" s="9">
        <f>IF($D40="Actual",T40,IFERROR(H40/AE40,0))</f>
        <v/>
      </c>
      <c r="H40" s="24">
        <f>IF($D40="Actual",U40,J40-I40)</f>
        <v/>
      </c>
      <c r="I40" s="24">
        <f>IF($D40="Actual",V40,IFERROR(J40*AD40,0))</f>
        <v/>
      </c>
      <c r="J40" s="24">
        <f>IF($D40="Actual",U40+V40,E40*X40)</f>
        <v/>
      </c>
      <c r="K40" s="28">
        <f>IFERROR(F40/G40,0)</f>
        <v/>
      </c>
      <c r="L40" s="29">
        <f>IFERROR(H40/G40,0)</f>
        <v/>
      </c>
      <c r="M40" s="30">
        <f>IFERROR(J40/F40,0)</f>
        <v/>
      </c>
      <c r="N40" s="10">
        <f>IFERROR(J40/E40,0)</f>
        <v/>
      </c>
      <c r="O40" s="10">
        <f>IFERROR(I40/J40,0)</f>
        <v/>
      </c>
      <c r="R40" s="42">
        <f>IF($D40="Actual",E40,"")</f>
        <v/>
      </c>
      <c r="S40" s="42">
        <f>IF($D40="Actual",SUMIFS(Data_Actuals!$D$2:$D$5000,Data_Actuals!$A$2:$A$5000,$A40,Data_Actuals!$B$2:$B$5000,$B$2),"")</f>
        <v/>
      </c>
      <c r="T40" s="42">
        <f>IF($D40="Actual",SUMIFS(Data_Actuals!$E$2:$E$5000,Data_Actuals!$A$2:$A$5000,$A40,Data_Actuals!$B$2:$B$5000,$B$2),"")</f>
        <v/>
      </c>
      <c r="U40" s="42">
        <f>IF($D40="Actual",SUMIFS(Data_Actuals!$F$2:$F$5000,Data_Actuals!$A$2:$A$5000,$A40,Data_Actuals!$B$2:$B$5000,$B$2),"")</f>
        <v/>
      </c>
      <c r="V40" s="42">
        <f>IF($D40="Actual",SUMIFS(Data_Actuals!$G$2:$G$5000,Data_Actuals!$A$2:$A$5000,$A40,Data_Actuals!$B$2:$B$5000,$B$2),"")</f>
        <v/>
      </c>
      <c r="W40" s="42">
        <f>SUMIFS(Plan_Inputs!$C$2:$C$5000,Plan_Inputs!$A$2:$A$5000,$A40,Plan_Inputs!$B$2:$B$5000,$B$2)</f>
        <v/>
      </c>
      <c r="X40" s="43">
        <f>SUMIFS(Plan_Inputs!$D$2:$D$5000,Plan_Inputs!$A$2:$A$5000,$A40,Plan_Inputs!$B$2:$B$5000,$B$2)</f>
        <v/>
      </c>
      <c r="Y40" s="42">
        <f>'NSW-1'!E40+'NSW-2'!E40</f>
        <v/>
      </c>
      <c r="Z40" s="44">
        <f>INDEX(Calendar!$H$5:$L$52,MATCH($A40,Calendar!$A$5:$A$52,0),MATCH($D$2,Calendar!$H$4:$L$4,0))</f>
        <v/>
      </c>
      <c r="AA40" s="44">
        <f>INDEX(Calendar!$M$5:$M$52,MATCH($A40,Calendar!$A$5:$A$52,0))</f>
        <v/>
      </c>
      <c r="AB40" s="45">
        <f>IF($D40="Actual",IFERROR(S40/Y40,""),AB28)</f>
        <v/>
      </c>
      <c r="AC40" s="46">
        <f>IF($D40="Actual",IFERROR(U40/T40/Z40/AA40,""),AC28)</f>
        <v/>
      </c>
      <c r="AD40" s="43">
        <f>IF($D40="Actual",IFERROR(V40/(U40+V40),""),AD28)</f>
        <v/>
      </c>
      <c r="AE40" s="46">
        <f>IFERROR(AC40*Z40*AA40,"")</f>
        <v/>
      </c>
      <c r="AF40" s="47">
        <f>K28</f>
        <v/>
      </c>
      <c r="AG40" s="43">
        <f>IF($D40="Forecast",IFERROR(K40/AF40-1,""),"")</f>
        <v/>
      </c>
    </row>
    <row r="41">
      <c r="A41" s="8" t="n">
        <v>46447</v>
      </c>
      <c r="B41" s="26">
        <f>YEAR(A41)</f>
        <v/>
      </c>
      <c r="C41" s="26">
        <f>MONTH(A41)</f>
        <v/>
      </c>
      <c r="D41">
        <f>IF(A41&lt;=LastActual,"Actual","Forecast")</f>
        <v/>
      </c>
      <c r="E41" s="24">
        <f>'NSW-1'!E41</f>
        <v/>
      </c>
      <c r="F41" s="27">
        <f>IF($D41="Actual",S41,Cases_Forecast!AR34)</f>
        <v/>
      </c>
      <c r="G41" s="9">
        <f>IF($D41="Actual",T41,IFERROR(H41/AE41,0))</f>
        <v/>
      </c>
      <c r="H41" s="24">
        <f>IF($D41="Actual",U41,J41-I41)</f>
        <v/>
      </c>
      <c r="I41" s="24">
        <f>IF($D41="Actual",V41,IFERROR(J41*AD41,0))</f>
        <v/>
      </c>
      <c r="J41" s="24">
        <f>IF($D41="Actual",U41+V41,E41*X41)</f>
        <v/>
      </c>
      <c r="K41" s="28">
        <f>IFERROR(F41/G41,0)</f>
        <v/>
      </c>
      <c r="L41" s="29">
        <f>IFERROR(H41/G41,0)</f>
        <v/>
      </c>
      <c r="M41" s="30">
        <f>IFERROR(J41/F41,0)</f>
        <v/>
      </c>
      <c r="N41" s="10">
        <f>IFERROR(J41/E41,0)</f>
        <v/>
      </c>
      <c r="O41" s="10">
        <f>IFERROR(I41/J41,0)</f>
        <v/>
      </c>
      <c r="R41" s="42">
        <f>IF($D41="Actual",E41,"")</f>
        <v/>
      </c>
      <c r="S41" s="42">
        <f>IF($D41="Actual",SUMIFS(Data_Actuals!$D$2:$D$5000,Data_Actuals!$A$2:$A$5000,$A41,Data_Actuals!$B$2:$B$5000,$B$2),"")</f>
        <v/>
      </c>
      <c r="T41" s="42">
        <f>IF($D41="Actual",SUMIFS(Data_Actuals!$E$2:$E$5000,Data_Actuals!$A$2:$A$5000,$A41,Data_Actuals!$B$2:$B$5000,$B$2),"")</f>
        <v/>
      </c>
      <c r="U41" s="42">
        <f>IF($D41="Actual",SUMIFS(Data_Actuals!$F$2:$F$5000,Data_Actuals!$A$2:$A$5000,$A41,Data_Actuals!$B$2:$B$5000,$B$2),"")</f>
        <v/>
      </c>
      <c r="V41" s="42">
        <f>IF($D41="Actual",SUMIFS(Data_Actuals!$G$2:$G$5000,Data_Actuals!$A$2:$A$5000,$A41,Data_Actuals!$B$2:$B$5000,$B$2),"")</f>
        <v/>
      </c>
      <c r="W41" s="42">
        <f>SUMIFS(Plan_Inputs!$C$2:$C$5000,Plan_Inputs!$A$2:$A$5000,$A41,Plan_Inputs!$B$2:$B$5000,$B$2)</f>
        <v/>
      </c>
      <c r="X41" s="43">
        <f>SUMIFS(Plan_Inputs!$D$2:$D$5000,Plan_Inputs!$A$2:$A$5000,$A41,Plan_Inputs!$B$2:$B$5000,$B$2)</f>
        <v/>
      </c>
      <c r="Y41" s="42">
        <f>'NSW-1'!E41+'NSW-2'!E41</f>
        <v/>
      </c>
      <c r="Z41" s="44">
        <f>INDEX(Calendar!$H$5:$L$52,MATCH($A41,Calendar!$A$5:$A$52,0),MATCH($D$2,Calendar!$H$4:$L$4,0))</f>
        <v/>
      </c>
      <c r="AA41" s="44">
        <f>INDEX(Calendar!$M$5:$M$52,MATCH($A41,Calendar!$A$5:$A$52,0))</f>
        <v/>
      </c>
      <c r="AB41" s="45">
        <f>IF($D41="Actual",IFERROR(S41/Y41,""),AB29)</f>
        <v/>
      </c>
      <c r="AC41" s="46">
        <f>IF($D41="Actual",IFERROR(U41/T41/Z41/AA41,""),AC29)</f>
        <v/>
      </c>
      <c r="AD41" s="43">
        <f>IF($D41="Actual",IFERROR(V41/(U41+V41),""),AD29)</f>
        <v/>
      </c>
      <c r="AE41" s="46">
        <f>IFERROR(AC41*Z41*AA41,"")</f>
        <v/>
      </c>
      <c r="AF41" s="47">
        <f>K29</f>
        <v/>
      </c>
      <c r="AG41" s="43">
        <f>IF($D41="Forecast",IFERROR(K41/AF41-1,""),"")</f>
        <v/>
      </c>
    </row>
    <row r="42">
      <c r="A42" s="8" t="n">
        <v>46478</v>
      </c>
      <c r="B42" s="26">
        <f>YEAR(A42)</f>
        <v/>
      </c>
      <c r="C42" s="26">
        <f>MONTH(A42)</f>
        <v/>
      </c>
      <c r="D42">
        <f>IF(A42&lt;=LastActual,"Actual","Forecast")</f>
        <v/>
      </c>
      <c r="E42" s="24">
        <f>'NSW-1'!E42</f>
        <v/>
      </c>
      <c r="F42" s="27">
        <f>IF($D42="Actual",S42,Cases_Forecast!AR35)</f>
        <v/>
      </c>
      <c r="G42" s="9">
        <f>IF($D42="Actual",T42,IFERROR(H42/AE42,0))</f>
        <v/>
      </c>
      <c r="H42" s="24">
        <f>IF($D42="Actual",U42,J42-I42)</f>
        <v/>
      </c>
      <c r="I42" s="24">
        <f>IF($D42="Actual",V42,IFERROR(J42*AD42,0))</f>
        <v/>
      </c>
      <c r="J42" s="24">
        <f>IF($D42="Actual",U42+V42,E42*X42)</f>
        <v/>
      </c>
      <c r="K42" s="28">
        <f>IFERROR(F42/G42,0)</f>
        <v/>
      </c>
      <c r="L42" s="29">
        <f>IFERROR(H42/G42,0)</f>
        <v/>
      </c>
      <c r="M42" s="30">
        <f>IFERROR(J42/F42,0)</f>
        <v/>
      </c>
      <c r="N42" s="10">
        <f>IFERROR(J42/E42,0)</f>
        <v/>
      </c>
      <c r="O42" s="10">
        <f>IFERROR(I42/J42,0)</f>
        <v/>
      </c>
      <c r="R42" s="42">
        <f>IF($D42="Actual",E42,"")</f>
        <v/>
      </c>
      <c r="S42" s="42">
        <f>IF($D42="Actual",SUMIFS(Data_Actuals!$D$2:$D$5000,Data_Actuals!$A$2:$A$5000,$A42,Data_Actuals!$B$2:$B$5000,$B$2),"")</f>
        <v/>
      </c>
      <c r="T42" s="42">
        <f>IF($D42="Actual",SUMIFS(Data_Actuals!$E$2:$E$5000,Data_Actuals!$A$2:$A$5000,$A42,Data_Actuals!$B$2:$B$5000,$B$2),"")</f>
        <v/>
      </c>
      <c r="U42" s="42">
        <f>IF($D42="Actual",SUMIFS(Data_Actuals!$F$2:$F$5000,Data_Actuals!$A$2:$A$5000,$A42,Data_Actuals!$B$2:$B$5000,$B$2),"")</f>
        <v/>
      </c>
      <c r="V42" s="42">
        <f>IF($D42="Actual",SUMIFS(Data_Actuals!$G$2:$G$5000,Data_Actuals!$A$2:$A$5000,$A42,Data_Actuals!$B$2:$B$5000,$B$2),"")</f>
        <v/>
      </c>
      <c r="W42" s="42">
        <f>SUMIFS(Plan_Inputs!$C$2:$C$5000,Plan_Inputs!$A$2:$A$5000,$A42,Plan_Inputs!$B$2:$B$5000,$B$2)</f>
        <v/>
      </c>
      <c r="X42" s="43">
        <f>SUMIFS(Plan_Inputs!$D$2:$D$5000,Plan_Inputs!$A$2:$A$5000,$A42,Plan_Inputs!$B$2:$B$5000,$B$2)</f>
        <v/>
      </c>
      <c r="Y42" s="42">
        <f>'NSW-1'!E42+'NSW-2'!E42</f>
        <v/>
      </c>
      <c r="Z42" s="44">
        <f>INDEX(Calendar!$H$5:$L$52,MATCH($A42,Calendar!$A$5:$A$52,0),MATCH($D$2,Calendar!$H$4:$L$4,0))</f>
        <v/>
      </c>
      <c r="AA42" s="44">
        <f>INDEX(Calendar!$M$5:$M$52,MATCH($A42,Calendar!$A$5:$A$52,0))</f>
        <v/>
      </c>
      <c r="AB42" s="45">
        <f>IF($D42="Actual",IFERROR(S42/Y42,""),AB30)</f>
        <v/>
      </c>
      <c r="AC42" s="46">
        <f>IF($D42="Actual",IFERROR(U42/T42/Z42/AA42,""),AC30)</f>
        <v/>
      </c>
      <c r="AD42" s="43">
        <f>IF($D42="Actual",IFERROR(V42/(U42+V42),""),AD30)</f>
        <v/>
      </c>
      <c r="AE42" s="46">
        <f>IFERROR(AC42*Z42*AA42,"")</f>
        <v/>
      </c>
      <c r="AF42" s="47">
        <f>K30</f>
        <v/>
      </c>
      <c r="AG42" s="43">
        <f>IF($D42="Forecast",IFERROR(K42/AF42-1,""),"")</f>
        <v/>
      </c>
    </row>
    <row r="43">
      <c r="A43" s="8" t="n">
        <v>46508</v>
      </c>
      <c r="B43" s="26">
        <f>YEAR(A43)</f>
        <v/>
      </c>
      <c r="C43" s="26">
        <f>MONTH(A43)</f>
        <v/>
      </c>
      <c r="D43">
        <f>IF(A43&lt;=LastActual,"Actual","Forecast")</f>
        <v/>
      </c>
      <c r="E43" s="24">
        <f>'NSW-1'!E43</f>
        <v/>
      </c>
      <c r="F43" s="27">
        <f>IF($D43="Actual",S43,Cases_Forecast!AR36)</f>
        <v/>
      </c>
      <c r="G43" s="9">
        <f>IF($D43="Actual",T43,IFERROR(H43/AE43,0))</f>
        <v/>
      </c>
      <c r="H43" s="24">
        <f>IF($D43="Actual",U43,J43-I43)</f>
        <v/>
      </c>
      <c r="I43" s="24">
        <f>IF($D43="Actual",V43,IFERROR(J43*AD43,0))</f>
        <v/>
      </c>
      <c r="J43" s="24">
        <f>IF($D43="Actual",U43+V43,E43*X43)</f>
        <v/>
      </c>
      <c r="K43" s="28">
        <f>IFERROR(F43/G43,0)</f>
        <v/>
      </c>
      <c r="L43" s="29">
        <f>IFERROR(H43/G43,0)</f>
        <v/>
      </c>
      <c r="M43" s="30">
        <f>IFERROR(J43/F43,0)</f>
        <v/>
      </c>
      <c r="N43" s="10">
        <f>IFERROR(J43/E43,0)</f>
        <v/>
      </c>
      <c r="O43" s="10">
        <f>IFERROR(I43/J43,0)</f>
        <v/>
      </c>
      <c r="R43" s="42">
        <f>IF($D43="Actual",E43,"")</f>
        <v/>
      </c>
      <c r="S43" s="42">
        <f>IF($D43="Actual",SUMIFS(Data_Actuals!$D$2:$D$5000,Data_Actuals!$A$2:$A$5000,$A43,Data_Actuals!$B$2:$B$5000,$B$2),"")</f>
        <v/>
      </c>
      <c r="T43" s="42">
        <f>IF($D43="Actual",SUMIFS(Data_Actuals!$E$2:$E$5000,Data_Actuals!$A$2:$A$5000,$A43,Data_Actuals!$B$2:$B$5000,$B$2),"")</f>
        <v/>
      </c>
      <c r="U43" s="42">
        <f>IF($D43="Actual",SUMIFS(Data_Actuals!$F$2:$F$5000,Data_Actuals!$A$2:$A$5000,$A43,Data_Actuals!$B$2:$B$5000,$B$2),"")</f>
        <v/>
      </c>
      <c r="V43" s="42">
        <f>IF($D43="Actual",SUMIFS(Data_Actuals!$G$2:$G$5000,Data_Actuals!$A$2:$A$5000,$A43,Data_Actuals!$B$2:$B$5000,$B$2),"")</f>
        <v/>
      </c>
      <c r="W43" s="42">
        <f>SUMIFS(Plan_Inputs!$C$2:$C$5000,Plan_Inputs!$A$2:$A$5000,$A43,Plan_Inputs!$B$2:$B$5000,$B$2)</f>
        <v/>
      </c>
      <c r="X43" s="43">
        <f>SUMIFS(Plan_Inputs!$D$2:$D$5000,Plan_Inputs!$A$2:$A$5000,$A43,Plan_Inputs!$B$2:$B$5000,$B$2)</f>
        <v/>
      </c>
      <c r="Y43" s="42">
        <f>'NSW-1'!E43+'NSW-2'!E43</f>
        <v/>
      </c>
      <c r="Z43" s="44">
        <f>INDEX(Calendar!$H$5:$L$52,MATCH($A43,Calendar!$A$5:$A$52,0),MATCH($D$2,Calendar!$H$4:$L$4,0))</f>
        <v/>
      </c>
      <c r="AA43" s="44">
        <f>INDEX(Calendar!$M$5:$M$52,MATCH($A43,Calendar!$A$5:$A$52,0))</f>
        <v/>
      </c>
      <c r="AB43" s="45">
        <f>IF($D43="Actual",IFERROR(S43/Y43,""),AB31)</f>
        <v/>
      </c>
      <c r="AC43" s="46">
        <f>IF($D43="Actual",IFERROR(U43/T43/Z43/AA43,""),AC31)</f>
        <v/>
      </c>
      <c r="AD43" s="43">
        <f>IF($D43="Actual",IFERROR(V43/(U43+V43),""),AD31)</f>
        <v/>
      </c>
      <c r="AE43" s="46">
        <f>IFERROR(AC43*Z43*AA43,"")</f>
        <v/>
      </c>
      <c r="AF43" s="47">
        <f>K31</f>
        <v/>
      </c>
      <c r="AG43" s="43">
        <f>IF($D43="Forecast",IFERROR(K43/AF43-1,""),"")</f>
        <v/>
      </c>
    </row>
    <row r="44">
      <c r="A44" s="8" t="n">
        <v>46539</v>
      </c>
      <c r="B44" s="26">
        <f>YEAR(A44)</f>
        <v/>
      </c>
      <c r="C44" s="26">
        <f>MONTH(A44)</f>
        <v/>
      </c>
      <c r="D44">
        <f>IF(A44&lt;=LastActual,"Actual","Forecast")</f>
        <v/>
      </c>
      <c r="E44" s="24">
        <f>'NSW-1'!E44</f>
        <v/>
      </c>
      <c r="F44" s="27">
        <f>IF($D44="Actual",S44,Cases_Forecast!AR37)</f>
        <v/>
      </c>
      <c r="G44" s="9">
        <f>IF($D44="Actual",T44,IFERROR(H44/AE44,0))</f>
        <v/>
      </c>
      <c r="H44" s="24">
        <f>IF($D44="Actual",U44,J44-I44)</f>
        <v/>
      </c>
      <c r="I44" s="24">
        <f>IF($D44="Actual",V44,IFERROR(J44*AD44,0))</f>
        <v/>
      </c>
      <c r="J44" s="24">
        <f>IF($D44="Actual",U44+V44,E44*X44)</f>
        <v/>
      </c>
      <c r="K44" s="28">
        <f>IFERROR(F44/G44,0)</f>
        <v/>
      </c>
      <c r="L44" s="29">
        <f>IFERROR(H44/G44,0)</f>
        <v/>
      </c>
      <c r="M44" s="30">
        <f>IFERROR(J44/F44,0)</f>
        <v/>
      </c>
      <c r="N44" s="10">
        <f>IFERROR(J44/E44,0)</f>
        <v/>
      </c>
      <c r="O44" s="10">
        <f>IFERROR(I44/J44,0)</f>
        <v/>
      </c>
      <c r="R44" s="42">
        <f>IF($D44="Actual",E44,"")</f>
        <v/>
      </c>
      <c r="S44" s="42">
        <f>IF($D44="Actual",SUMIFS(Data_Actuals!$D$2:$D$5000,Data_Actuals!$A$2:$A$5000,$A44,Data_Actuals!$B$2:$B$5000,$B$2),"")</f>
        <v/>
      </c>
      <c r="T44" s="42">
        <f>IF($D44="Actual",SUMIFS(Data_Actuals!$E$2:$E$5000,Data_Actuals!$A$2:$A$5000,$A44,Data_Actuals!$B$2:$B$5000,$B$2),"")</f>
        <v/>
      </c>
      <c r="U44" s="42">
        <f>IF($D44="Actual",SUMIFS(Data_Actuals!$F$2:$F$5000,Data_Actuals!$A$2:$A$5000,$A44,Data_Actuals!$B$2:$B$5000,$B$2),"")</f>
        <v/>
      </c>
      <c r="V44" s="42">
        <f>IF($D44="Actual",SUMIFS(Data_Actuals!$G$2:$G$5000,Data_Actuals!$A$2:$A$5000,$A44,Data_Actuals!$B$2:$B$5000,$B$2),"")</f>
        <v/>
      </c>
      <c r="W44" s="42">
        <f>SUMIFS(Plan_Inputs!$C$2:$C$5000,Plan_Inputs!$A$2:$A$5000,$A44,Plan_Inputs!$B$2:$B$5000,$B$2)</f>
        <v/>
      </c>
      <c r="X44" s="43">
        <f>SUMIFS(Plan_Inputs!$D$2:$D$5000,Plan_Inputs!$A$2:$A$5000,$A44,Plan_Inputs!$B$2:$B$5000,$B$2)</f>
        <v/>
      </c>
      <c r="Y44" s="42">
        <f>'NSW-1'!E44+'NSW-2'!E44</f>
        <v/>
      </c>
      <c r="Z44" s="44">
        <f>INDEX(Calendar!$H$5:$L$52,MATCH($A44,Calendar!$A$5:$A$52,0),MATCH($D$2,Calendar!$H$4:$L$4,0))</f>
        <v/>
      </c>
      <c r="AA44" s="44">
        <f>INDEX(Calendar!$M$5:$M$52,MATCH($A44,Calendar!$A$5:$A$52,0))</f>
        <v/>
      </c>
      <c r="AB44" s="45">
        <f>IF($D44="Actual",IFERROR(S44/Y44,""),AB32)</f>
        <v/>
      </c>
      <c r="AC44" s="46">
        <f>IF($D44="Actual",IFERROR(U44/T44/Z44/AA44,""),AC32)</f>
        <v/>
      </c>
      <c r="AD44" s="43">
        <f>IF($D44="Actual",IFERROR(V44/(U44+V44),""),AD32)</f>
        <v/>
      </c>
      <c r="AE44" s="46">
        <f>IFERROR(AC44*Z44*AA44,"")</f>
        <v/>
      </c>
      <c r="AF44" s="47">
        <f>K32</f>
        <v/>
      </c>
      <c r="AG44" s="43">
        <f>IF($D44="Forecast",IFERROR(K44/AF44-1,""),"")</f>
        <v/>
      </c>
    </row>
    <row r="45">
      <c r="A45" s="8" t="n">
        <v>46569</v>
      </c>
      <c r="B45" s="26">
        <f>YEAR(A45)</f>
        <v/>
      </c>
      <c r="C45" s="26">
        <f>MONTH(A45)</f>
        <v/>
      </c>
      <c r="D45">
        <f>IF(A45&lt;=LastActual,"Actual","Forecast")</f>
        <v/>
      </c>
      <c r="E45" s="24">
        <f>'NSW-1'!E45</f>
        <v/>
      </c>
      <c r="F45" s="27">
        <f>IF($D45="Actual",S45,Cases_Forecast!AR38)</f>
        <v/>
      </c>
      <c r="G45" s="9">
        <f>IF($D45="Actual",T45,IFERROR(H45/AE45,0))</f>
        <v/>
      </c>
      <c r="H45" s="24">
        <f>IF($D45="Actual",U45,J45-I45)</f>
        <v/>
      </c>
      <c r="I45" s="24">
        <f>IF($D45="Actual",V45,IFERROR(J45*AD45,0))</f>
        <v/>
      </c>
      <c r="J45" s="24">
        <f>IF($D45="Actual",U45+V45,E45*X45)</f>
        <v/>
      </c>
      <c r="K45" s="28">
        <f>IFERROR(F45/G45,0)</f>
        <v/>
      </c>
      <c r="L45" s="29">
        <f>IFERROR(H45/G45,0)</f>
        <v/>
      </c>
      <c r="M45" s="30">
        <f>IFERROR(J45/F45,0)</f>
        <v/>
      </c>
      <c r="N45" s="10">
        <f>IFERROR(J45/E45,0)</f>
        <v/>
      </c>
      <c r="O45" s="10">
        <f>IFERROR(I45/J45,0)</f>
        <v/>
      </c>
      <c r="R45" s="42">
        <f>IF($D45="Actual",E45,"")</f>
        <v/>
      </c>
      <c r="S45" s="42">
        <f>IF($D45="Actual",SUMIFS(Data_Actuals!$D$2:$D$5000,Data_Actuals!$A$2:$A$5000,$A45,Data_Actuals!$B$2:$B$5000,$B$2),"")</f>
        <v/>
      </c>
      <c r="T45" s="42">
        <f>IF($D45="Actual",SUMIFS(Data_Actuals!$E$2:$E$5000,Data_Actuals!$A$2:$A$5000,$A45,Data_Actuals!$B$2:$B$5000,$B$2),"")</f>
        <v/>
      </c>
      <c r="U45" s="42">
        <f>IF($D45="Actual",SUMIFS(Data_Actuals!$F$2:$F$5000,Data_Actuals!$A$2:$A$5000,$A45,Data_Actuals!$B$2:$B$5000,$B$2),"")</f>
        <v/>
      </c>
      <c r="V45" s="42">
        <f>IF($D45="Actual",SUMIFS(Data_Actuals!$G$2:$G$5000,Data_Actuals!$A$2:$A$5000,$A45,Data_Actuals!$B$2:$B$5000,$B$2),"")</f>
        <v/>
      </c>
      <c r="W45" s="42">
        <f>SUMIFS(Plan_Inputs!$C$2:$C$5000,Plan_Inputs!$A$2:$A$5000,$A45,Plan_Inputs!$B$2:$B$5000,$B$2)</f>
        <v/>
      </c>
      <c r="X45" s="43">
        <f>SUMIFS(Plan_Inputs!$D$2:$D$5000,Plan_Inputs!$A$2:$A$5000,$A45,Plan_Inputs!$B$2:$B$5000,$B$2)</f>
        <v/>
      </c>
      <c r="Y45" s="42">
        <f>'NSW-1'!E45+'NSW-2'!E45</f>
        <v/>
      </c>
      <c r="Z45" s="44">
        <f>INDEX(Calendar!$H$5:$L$52,MATCH($A45,Calendar!$A$5:$A$52,0),MATCH($D$2,Calendar!$H$4:$L$4,0))</f>
        <v/>
      </c>
      <c r="AA45" s="44">
        <f>INDEX(Calendar!$M$5:$M$52,MATCH($A45,Calendar!$A$5:$A$52,0))</f>
        <v/>
      </c>
      <c r="AB45" s="45">
        <f>IF($D45="Actual",IFERROR(S45/Y45,""),AB33)</f>
        <v/>
      </c>
      <c r="AC45" s="46">
        <f>IF($D45="Actual",IFERROR(U45/T45/Z45/AA45,""),AC33)</f>
        <v/>
      </c>
      <c r="AD45" s="43">
        <f>IF($D45="Actual",IFERROR(V45/(U45+V45),""),AD33)</f>
        <v/>
      </c>
      <c r="AE45" s="46">
        <f>IFERROR(AC45*Z45*AA45,"")</f>
        <v/>
      </c>
      <c r="AF45" s="47">
        <f>K33</f>
        <v/>
      </c>
      <c r="AG45" s="43">
        <f>IF($D45="Forecast",IFERROR(K45/AF45-1,""),"")</f>
        <v/>
      </c>
    </row>
    <row r="46">
      <c r="A46" s="8" t="n">
        <v>46600</v>
      </c>
      <c r="B46" s="26">
        <f>YEAR(A46)</f>
        <v/>
      </c>
      <c r="C46" s="26">
        <f>MONTH(A46)</f>
        <v/>
      </c>
      <c r="D46">
        <f>IF(A46&lt;=LastActual,"Actual","Forecast")</f>
        <v/>
      </c>
      <c r="E46" s="24">
        <f>'NSW-1'!E46</f>
        <v/>
      </c>
      <c r="F46" s="27">
        <f>IF($D46="Actual",S46,Cases_Forecast!AR39)</f>
        <v/>
      </c>
      <c r="G46" s="9">
        <f>IF($D46="Actual",T46,IFERROR(H46/AE46,0))</f>
        <v/>
      </c>
      <c r="H46" s="24">
        <f>IF($D46="Actual",U46,J46-I46)</f>
        <v/>
      </c>
      <c r="I46" s="24">
        <f>IF($D46="Actual",V46,IFERROR(J46*AD46,0))</f>
        <v/>
      </c>
      <c r="J46" s="24">
        <f>IF($D46="Actual",U46+V46,E46*X46)</f>
        <v/>
      </c>
      <c r="K46" s="28">
        <f>IFERROR(F46/G46,0)</f>
        <v/>
      </c>
      <c r="L46" s="29">
        <f>IFERROR(H46/G46,0)</f>
        <v/>
      </c>
      <c r="M46" s="30">
        <f>IFERROR(J46/F46,0)</f>
        <v/>
      </c>
      <c r="N46" s="10">
        <f>IFERROR(J46/E46,0)</f>
        <v/>
      </c>
      <c r="O46" s="10">
        <f>IFERROR(I46/J46,0)</f>
        <v/>
      </c>
      <c r="R46" s="42">
        <f>IF($D46="Actual",E46,"")</f>
        <v/>
      </c>
      <c r="S46" s="42">
        <f>IF($D46="Actual",SUMIFS(Data_Actuals!$D$2:$D$5000,Data_Actuals!$A$2:$A$5000,$A46,Data_Actuals!$B$2:$B$5000,$B$2),"")</f>
        <v/>
      </c>
      <c r="T46" s="42">
        <f>IF($D46="Actual",SUMIFS(Data_Actuals!$E$2:$E$5000,Data_Actuals!$A$2:$A$5000,$A46,Data_Actuals!$B$2:$B$5000,$B$2),"")</f>
        <v/>
      </c>
      <c r="U46" s="42">
        <f>IF($D46="Actual",SUMIFS(Data_Actuals!$F$2:$F$5000,Data_Actuals!$A$2:$A$5000,$A46,Data_Actuals!$B$2:$B$5000,$B$2),"")</f>
        <v/>
      </c>
      <c r="V46" s="42">
        <f>IF($D46="Actual",SUMIFS(Data_Actuals!$G$2:$G$5000,Data_Actuals!$A$2:$A$5000,$A46,Data_Actuals!$B$2:$B$5000,$B$2),"")</f>
        <v/>
      </c>
      <c r="W46" s="42">
        <f>SUMIFS(Plan_Inputs!$C$2:$C$5000,Plan_Inputs!$A$2:$A$5000,$A46,Plan_Inputs!$B$2:$B$5000,$B$2)</f>
        <v/>
      </c>
      <c r="X46" s="43">
        <f>SUMIFS(Plan_Inputs!$D$2:$D$5000,Plan_Inputs!$A$2:$A$5000,$A46,Plan_Inputs!$B$2:$B$5000,$B$2)</f>
        <v/>
      </c>
      <c r="Y46" s="42">
        <f>'NSW-1'!E46+'NSW-2'!E46</f>
        <v/>
      </c>
      <c r="Z46" s="44">
        <f>INDEX(Calendar!$H$5:$L$52,MATCH($A46,Calendar!$A$5:$A$52,0),MATCH($D$2,Calendar!$H$4:$L$4,0))</f>
        <v/>
      </c>
      <c r="AA46" s="44">
        <f>INDEX(Calendar!$M$5:$M$52,MATCH($A46,Calendar!$A$5:$A$52,0))</f>
        <v/>
      </c>
      <c r="AB46" s="45">
        <f>IF($D46="Actual",IFERROR(S46/Y46,""),AB34)</f>
        <v/>
      </c>
      <c r="AC46" s="46">
        <f>IF($D46="Actual",IFERROR(U46/T46/Z46/AA46,""),AC34)</f>
        <v/>
      </c>
      <c r="AD46" s="43">
        <f>IF($D46="Actual",IFERROR(V46/(U46+V46),""),AD34)</f>
        <v/>
      </c>
      <c r="AE46" s="46">
        <f>IFERROR(AC46*Z46*AA46,"")</f>
        <v/>
      </c>
      <c r="AF46" s="47">
        <f>K34</f>
        <v/>
      </c>
      <c r="AG46" s="43">
        <f>IF($D46="Forecast",IFERROR(K46/AF46-1,""),"")</f>
        <v/>
      </c>
    </row>
    <row r="47">
      <c r="A47" s="8" t="n">
        <v>46631</v>
      </c>
      <c r="B47" s="26">
        <f>YEAR(A47)</f>
        <v/>
      </c>
      <c r="C47" s="26">
        <f>MONTH(A47)</f>
        <v/>
      </c>
      <c r="D47">
        <f>IF(A47&lt;=LastActual,"Actual","Forecast")</f>
        <v/>
      </c>
      <c r="E47" s="24">
        <f>'NSW-1'!E47</f>
        <v/>
      </c>
      <c r="F47" s="27">
        <f>IF($D47="Actual",S47,Cases_Forecast!AR40)</f>
        <v/>
      </c>
      <c r="G47" s="9">
        <f>IF($D47="Actual",T47,IFERROR(H47/AE47,0))</f>
        <v/>
      </c>
      <c r="H47" s="24">
        <f>IF($D47="Actual",U47,J47-I47)</f>
        <v/>
      </c>
      <c r="I47" s="24">
        <f>IF($D47="Actual",V47,IFERROR(J47*AD47,0))</f>
        <v/>
      </c>
      <c r="J47" s="24">
        <f>IF($D47="Actual",U47+V47,E47*X47)</f>
        <v/>
      </c>
      <c r="K47" s="28">
        <f>IFERROR(F47/G47,0)</f>
        <v/>
      </c>
      <c r="L47" s="29">
        <f>IFERROR(H47/G47,0)</f>
        <v/>
      </c>
      <c r="M47" s="30">
        <f>IFERROR(J47/F47,0)</f>
        <v/>
      </c>
      <c r="N47" s="10">
        <f>IFERROR(J47/E47,0)</f>
        <v/>
      </c>
      <c r="O47" s="10">
        <f>IFERROR(I47/J47,0)</f>
        <v/>
      </c>
      <c r="R47" s="42">
        <f>IF($D47="Actual",E47,"")</f>
        <v/>
      </c>
      <c r="S47" s="42">
        <f>IF($D47="Actual",SUMIFS(Data_Actuals!$D$2:$D$5000,Data_Actuals!$A$2:$A$5000,$A47,Data_Actuals!$B$2:$B$5000,$B$2),"")</f>
        <v/>
      </c>
      <c r="T47" s="42">
        <f>IF($D47="Actual",SUMIFS(Data_Actuals!$E$2:$E$5000,Data_Actuals!$A$2:$A$5000,$A47,Data_Actuals!$B$2:$B$5000,$B$2),"")</f>
        <v/>
      </c>
      <c r="U47" s="42">
        <f>IF($D47="Actual",SUMIFS(Data_Actuals!$F$2:$F$5000,Data_Actuals!$A$2:$A$5000,$A47,Data_Actuals!$B$2:$B$5000,$B$2),"")</f>
        <v/>
      </c>
      <c r="V47" s="42">
        <f>IF($D47="Actual",SUMIFS(Data_Actuals!$G$2:$G$5000,Data_Actuals!$A$2:$A$5000,$A47,Data_Actuals!$B$2:$B$5000,$B$2),"")</f>
        <v/>
      </c>
      <c r="W47" s="42">
        <f>SUMIFS(Plan_Inputs!$C$2:$C$5000,Plan_Inputs!$A$2:$A$5000,$A47,Plan_Inputs!$B$2:$B$5000,$B$2)</f>
        <v/>
      </c>
      <c r="X47" s="43">
        <f>SUMIFS(Plan_Inputs!$D$2:$D$5000,Plan_Inputs!$A$2:$A$5000,$A47,Plan_Inputs!$B$2:$B$5000,$B$2)</f>
        <v/>
      </c>
      <c r="Y47" s="42">
        <f>'NSW-1'!E47+'NSW-2'!E47</f>
        <v/>
      </c>
      <c r="Z47" s="44">
        <f>INDEX(Calendar!$H$5:$L$52,MATCH($A47,Calendar!$A$5:$A$52,0),MATCH($D$2,Calendar!$H$4:$L$4,0))</f>
        <v/>
      </c>
      <c r="AA47" s="44">
        <f>INDEX(Calendar!$M$5:$M$52,MATCH($A47,Calendar!$A$5:$A$52,0))</f>
        <v/>
      </c>
      <c r="AB47" s="45">
        <f>IF($D47="Actual",IFERROR(S47/Y47,""),AB35)</f>
        <v/>
      </c>
      <c r="AC47" s="46">
        <f>IF($D47="Actual",IFERROR(U47/T47/Z47/AA47,""),AC35)</f>
        <v/>
      </c>
      <c r="AD47" s="43">
        <f>IF($D47="Actual",IFERROR(V47/(U47+V47),""),AD35)</f>
        <v/>
      </c>
      <c r="AE47" s="46">
        <f>IFERROR(AC47*Z47*AA47,"")</f>
        <v/>
      </c>
      <c r="AF47" s="47">
        <f>K35</f>
        <v/>
      </c>
      <c r="AG47" s="43">
        <f>IF($D47="Forecast",IFERROR(K47/AF47-1,""),"")</f>
        <v/>
      </c>
    </row>
    <row r="48">
      <c r="A48" s="8" t="n">
        <v>46661</v>
      </c>
      <c r="B48" s="26">
        <f>YEAR(A48)</f>
        <v/>
      </c>
      <c r="C48" s="26">
        <f>MONTH(A48)</f>
        <v/>
      </c>
      <c r="D48">
        <f>IF(A48&lt;=LastActual,"Actual","Forecast")</f>
        <v/>
      </c>
      <c r="E48" s="24">
        <f>'NSW-1'!E48</f>
        <v/>
      </c>
      <c r="F48" s="27">
        <f>IF($D48="Actual",S48,Cases_Forecast!AR41)</f>
        <v/>
      </c>
      <c r="G48" s="9">
        <f>IF($D48="Actual",T48,IFERROR(H48/AE48,0))</f>
        <v/>
      </c>
      <c r="H48" s="24">
        <f>IF($D48="Actual",U48,J48-I48)</f>
        <v/>
      </c>
      <c r="I48" s="24">
        <f>IF($D48="Actual",V48,IFERROR(J48*AD48,0))</f>
        <v/>
      </c>
      <c r="J48" s="24">
        <f>IF($D48="Actual",U48+V48,E48*X48)</f>
        <v/>
      </c>
      <c r="K48" s="28">
        <f>IFERROR(F48/G48,0)</f>
        <v/>
      </c>
      <c r="L48" s="29">
        <f>IFERROR(H48/G48,0)</f>
        <v/>
      </c>
      <c r="M48" s="30">
        <f>IFERROR(J48/F48,0)</f>
        <v/>
      </c>
      <c r="N48" s="10">
        <f>IFERROR(J48/E48,0)</f>
        <v/>
      </c>
      <c r="O48" s="10">
        <f>IFERROR(I48/J48,0)</f>
        <v/>
      </c>
      <c r="R48" s="42">
        <f>IF($D48="Actual",E48,"")</f>
        <v/>
      </c>
      <c r="S48" s="42">
        <f>IF($D48="Actual",SUMIFS(Data_Actuals!$D$2:$D$5000,Data_Actuals!$A$2:$A$5000,$A48,Data_Actuals!$B$2:$B$5000,$B$2),"")</f>
        <v/>
      </c>
      <c r="T48" s="42">
        <f>IF($D48="Actual",SUMIFS(Data_Actuals!$E$2:$E$5000,Data_Actuals!$A$2:$A$5000,$A48,Data_Actuals!$B$2:$B$5000,$B$2),"")</f>
        <v/>
      </c>
      <c r="U48" s="42">
        <f>IF($D48="Actual",SUMIFS(Data_Actuals!$F$2:$F$5000,Data_Actuals!$A$2:$A$5000,$A48,Data_Actuals!$B$2:$B$5000,$B$2),"")</f>
        <v/>
      </c>
      <c r="V48" s="42">
        <f>IF($D48="Actual",SUMIFS(Data_Actuals!$G$2:$G$5000,Data_Actuals!$A$2:$A$5000,$A48,Data_Actuals!$B$2:$B$5000,$B$2),"")</f>
        <v/>
      </c>
      <c r="W48" s="42">
        <f>SUMIFS(Plan_Inputs!$C$2:$C$5000,Plan_Inputs!$A$2:$A$5000,$A48,Plan_Inputs!$B$2:$B$5000,$B$2)</f>
        <v/>
      </c>
      <c r="X48" s="43">
        <f>SUMIFS(Plan_Inputs!$D$2:$D$5000,Plan_Inputs!$A$2:$A$5000,$A48,Plan_Inputs!$B$2:$B$5000,$B$2)</f>
        <v/>
      </c>
      <c r="Y48" s="42">
        <f>'NSW-1'!E48+'NSW-2'!E48</f>
        <v/>
      </c>
      <c r="Z48" s="44">
        <f>INDEX(Calendar!$H$5:$L$52,MATCH($A48,Calendar!$A$5:$A$52,0),MATCH($D$2,Calendar!$H$4:$L$4,0))</f>
        <v/>
      </c>
      <c r="AA48" s="44">
        <f>INDEX(Calendar!$M$5:$M$52,MATCH($A48,Calendar!$A$5:$A$52,0))</f>
        <v/>
      </c>
      <c r="AB48" s="45">
        <f>IF($D48="Actual",IFERROR(S48/Y48,""),AB36)</f>
        <v/>
      </c>
      <c r="AC48" s="46">
        <f>IF($D48="Actual",IFERROR(U48/T48/Z48/AA48,""),AC36)</f>
        <v/>
      </c>
      <c r="AD48" s="43">
        <f>IF($D48="Actual",IFERROR(V48/(U48+V48),""),AD36)</f>
        <v/>
      </c>
      <c r="AE48" s="46">
        <f>IFERROR(AC48*Z48*AA48,"")</f>
        <v/>
      </c>
      <c r="AF48" s="47">
        <f>K36</f>
        <v/>
      </c>
      <c r="AG48" s="43">
        <f>IF($D48="Forecast",IFERROR(K48/AF48-1,""),"")</f>
        <v/>
      </c>
    </row>
    <row r="49">
      <c r="A49" s="8" t="n">
        <v>46692</v>
      </c>
      <c r="B49" s="26">
        <f>YEAR(A49)</f>
        <v/>
      </c>
      <c r="C49" s="26">
        <f>MONTH(A49)</f>
        <v/>
      </c>
      <c r="D49">
        <f>IF(A49&lt;=LastActual,"Actual","Forecast")</f>
        <v/>
      </c>
      <c r="E49" s="24">
        <f>'NSW-1'!E49</f>
        <v/>
      </c>
      <c r="F49" s="27">
        <f>IF($D49="Actual",S49,Cases_Forecast!AR42)</f>
        <v/>
      </c>
      <c r="G49" s="9">
        <f>IF($D49="Actual",T49,IFERROR(H49/AE49,0))</f>
        <v/>
      </c>
      <c r="H49" s="24">
        <f>IF($D49="Actual",U49,J49-I49)</f>
        <v/>
      </c>
      <c r="I49" s="24">
        <f>IF($D49="Actual",V49,IFERROR(J49*AD49,0))</f>
        <v/>
      </c>
      <c r="J49" s="24">
        <f>IF($D49="Actual",U49+V49,E49*X49)</f>
        <v/>
      </c>
      <c r="K49" s="28">
        <f>IFERROR(F49/G49,0)</f>
        <v/>
      </c>
      <c r="L49" s="29">
        <f>IFERROR(H49/G49,0)</f>
        <v/>
      </c>
      <c r="M49" s="30">
        <f>IFERROR(J49/F49,0)</f>
        <v/>
      </c>
      <c r="N49" s="10">
        <f>IFERROR(J49/E49,0)</f>
        <v/>
      </c>
      <c r="O49" s="10">
        <f>IFERROR(I49/J49,0)</f>
        <v/>
      </c>
      <c r="R49" s="42">
        <f>IF($D49="Actual",E49,"")</f>
        <v/>
      </c>
      <c r="S49" s="42">
        <f>IF($D49="Actual",SUMIFS(Data_Actuals!$D$2:$D$5000,Data_Actuals!$A$2:$A$5000,$A49,Data_Actuals!$B$2:$B$5000,$B$2),"")</f>
        <v/>
      </c>
      <c r="T49" s="42">
        <f>IF($D49="Actual",SUMIFS(Data_Actuals!$E$2:$E$5000,Data_Actuals!$A$2:$A$5000,$A49,Data_Actuals!$B$2:$B$5000,$B$2),"")</f>
        <v/>
      </c>
      <c r="U49" s="42">
        <f>IF($D49="Actual",SUMIFS(Data_Actuals!$F$2:$F$5000,Data_Actuals!$A$2:$A$5000,$A49,Data_Actuals!$B$2:$B$5000,$B$2),"")</f>
        <v/>
      </c>
      <c r="V49" s="42">
        <f>IF($D49="Actual",SUMIFS(Data_Actuals!$G$2:$G$5000,Data_Actuals!$A$2:$A$5000,$A49,Data_Actuals!$B$2:$B$5000,$B$2),"")</f>
        <v/>
      </c>
      <c r="W49" s="42">
        <f>SUMIFS(Plan_Inputs!$C$2:$C$5000,Plan_Inputs!$A$2:$A$5000,$A49,Plan_Inputs!$B$2:$B$5000,$B$2)</f>
        <v/>
      </c>
      <c r="X49" s="43">
        <f>SUMIFS(Plan_Inputs!$D$2:$D$5000,Plan_Inputs!$A$2:$A$5000,$A49,Plan_Inputs!$B$2:$B$5000,$B$2)</f>
        <v/>
      </c>
      <c r="Y49" s="42">
        <f>'NSW-1'!E49+'NSW-2'!E49</f>
        <v/>
      </c>
      <c r="Z49" s="44">
        <f>INDEX(Calendar!$H$5:$L$52,MATCH($A49,Calendar!$A$5:$A$52,0),MATCH($D$2,Calendar!$H$4:$L$4,0))</f>
        <v/>
      </c>
      <c r="AA49" s="44">
        <f>INDEX(Calendar!$M$5:$M$52,MATCH($A49,Calendar!$A$5:$A$52,0))</f>
        <v/>
      </c>
      <c r="AB49" s="45">
        <f>IF($D49="Actual",IFERROR(S49/Y49,""),AB37)</f>
        <v/>
      </c>
      <c r="AC49" s="46">
        <f>IF($D49="Actual",IFERROR(U49/T49/Z49/AA49,""),AC37)</f>
        <v/>
      </c>
      <c r="AD49" s="43">
        <f>IF($D49="Actual",IFERROR(V49/(U49+V49),""),AD37)</f>
        <v/>
      </c>
      <c r="AE49" s="46">
        <f>IFERROR(AC49*Z49*AA49,"")</f>
        <v/>
      </c>
      <c r="AF49" s="47">
        <f>K37</f>
        <v/>
      </c>
      <c r="AG49" s="43">
        <f>IF($D49="Forecast",IFERROR(K49/AF49-1,""),"")</f>
        <v/>
      </c>
    </row>
    <row r="50">
      <c r="A50" s="31" t="n">
        <v>46722</v>
      </c>
      <c r="B50" s="32">
        <f>YEAR(A50)</f>
        <v/>
      </c>
      <c r="C50" s="32">
        <f>MONTH(A50)</f>
        <v/>
      </c>
      <c r="D50" s="33">
        <f>IF(A50&lt;=LastActual,"Actual","Forecast")</f>
        <v/>
      </c>
      <c r="E50" s="34">
        <f>'NSW-1'!E50</f>
        <v/>
      </c>
      <c r="F50" s="35">
        <f>IF($D50="Actual",S50,Cases_Forecast!AR43)</f>
        <v/>
      </c>
      <c r="G50" s="36">
        <f>IF($D50="Actual",T50,IFERROR(H50/AE50,0))</f>
        <v/>
      </c>
      <c r="H50" s="34">
        <f>IF($D50="Actual",U50,J50-I50)</f>
        <v/>
      </c>
      <c r="I50" s="34">
        <f>IF($D50="Actual",V50,IFERROR(J50*AD50,0))</f>
        <v/>
      </c>
      <c r="J50" s="34">
        <f>IF($D50="Actual",U50+V50,E50*X50)</f>
        <v/>
      </c>
      <c r="K50" s="37">
        <f>IFERROR(F50/G50,0)</f>
        <v/>
      </c>
      <c r="L50" s="38">
        <f>IFERROR(H50/G50,0)</f>
        <v/>
      </c>
      <c r="M50" s="39">
        <f>IFERROR(J50/F50,0)</f>
        <v/>
      </c>
      <c r="N50" s="40">
        <f>IFERROR(J50/E50,0)</f>
        <v/>
      </c>
      <c r="O50" s="40">
        <f>IFERROR(I50/J50,0)</f>
        <v/>
      </c>
      <c r="R50" s="42">
        <f>IF($D50="Actual",E50,"")</f>
        <v/>
      </c>
      <c r="S50" s="42">
        <f>IF($D50="Actual",SUMIFS(Data_Actuals!$D$2:$D$5000,Data_Actuals!$A$2:$A$5000,$A50,Data_Actuals!$B$2:$B$5000,$B$2),"")</f>
        <v/>
      </c>
      <c r="T50" s="42">
        <f>IF($D50="Actual",SUMIFS(Data_Actuals!$E$2:$E$5000,Data_Actuals!$A$2:$A$5000,$A50,Data_Actuals!$B$2:$B$5000,$B$2),"")</f>
        <v/>
      </c>
      <c r="U50" s="42">
        <f>IF($D50="Actual",SUMIFS(Data_Actuals!$F$2:$F$5000,Data_Actuals!$A$2:$A$5000,$A50,Data_Actuals!$B$2:$B$5000,$B$2),"")</f>
        <v/>
      </c>
      <c r="V50" s="42">
        <f>IF($D50="Actual",SUMIFS(Data_Actuals!$G$2:$G$5000,Data_Actuals!$A$2:$A$5000,$A50,Data_Actuals!$B$2:$B$5000,$B$2),"")</f>
        <v/>
      </c>
      <c r="W50" s="42">
        <f>SUMIFS(Plan_Inputs!$C$2:$C$5000,Plan_Inputs!$A$2:$A$5000,$A50,Plan_Inputs!$B$2:$B$5000,$B$2)</f>
        <v/>
      </c>
      <c r="X50" s="43">
        <f>SUMIFS(Plan_Inputs!$D$2:$D$5000,Plan_Inputs!$A$2:$A$5000,$A50,Plan_Inputs!$B$2:$B$5000,$B$2)</f>
        <v/>
      </c>
      <c r="Y50" s="42">
        <f>'NSW-1'!E50+'NSW-2'!E50</f>
        <v/>
      </c>
      <c r="Z50" s="44">
        <f>INDEX(Calendar!$H$5:$L$52,MATCH($A50,Calendar!$A$5:$A$52,0),MATCH($D$2,Calendar!$H$4:$L$4,0))</f>
        <v/>
      </c>
      <c r="AA50" s="44">
        <f>INDEX(Calendar!$M$5:$M$52,MATCH($A50,Calendar!$A$5:$A$52,0))</f>
        <v/>
      </c>
      <c r="AB50" s="45">
        <f>IF($D50="Actual",IFERROR(S50/Y50,""),AB38)</f>
        <v/>
      </c>
      <c r="AC50" s="46">
        <f>IF($D50="Actual",IFERROR(U50/T50/Z50/AA50,""),AC38)</f>
        <v/>
      </c>
      <c r="AD50" s="43">
        <f>IF($D50="Actual",IFERROR(V50/(U50+V50),""),AD38)</f>
        <v/>
      </c>
      <c r="AE50" s="46">
        <f>IFERROR(AC50*Z50*AA50,"")</f>
        <v/>
      </c>
      <c r="AF50" s="47">
        <f>K38</f>
        <v/>
      </c>
      <c r="AG50" s="43">
        <f>IF($D50="Forecast",IFERROR(K50/AF50-1,""),"")</f>
        <v/>
      </c>
    </row>
    <row r="51">
      <c r="A51" s="8" t="n">
        <v>46753</v>
      </c>
      <c r="B51" s="26">
        <f>YEAR(A51)</f>
        <v/>
      </c>
      <c r="C51" s="26">
        <f>MONTH(A51)</f>
        <v/>
      </c>
      <c r="D51">
        <f>IF(A51&lt;=LastActual,"Actual","Forecast")</f>
        <v/>
      </c>
      <c r="E51" s="24">
        <f>'NSW-1'!E51</f>
        <v/>
      </c>
      <c r="F51" s="27">
        <f>IF($D51="Actual",S51,Cases_Forecast!AR44)</f>
        <v/>
      </c>
      <c r="G51" s="9">
        <f>IF($D51="Actual",T51,IFERROR(H51/AE51,0))</f>
        <v/>
      </c>
      <c r="H51" s="24">
        <f>IF($D51="Actual",U51,J51-I51)</f>
        <v/>
      </c>
      <c r="I51" s="24">
        <f>IF($D51="Actual",V51,IFERROR(J51*AD51,0))</f>
        <v/>
      </c>
      <c r="J51" s="24">
        <f>IF($D51="Actual",U51+V51,E51*X51)</f>
        <v/>
      </c>
      <c r="K51" s="28">
        <f>IFERROR(F51/G51,0)</f>
        <v/>
      </c>
      <c r="L51" s="29">
        <f>IFERROR(H51/G51,0)</f>
        <v/>
      </c>
      <c r="M51" s="30">
        <f>IFERROR(J51/F51,0)</f>
        <v/>
      </c>
      <c r="N51" s="10">
        <f>IFERROR(J51/E51,0)</f>
        <v/>
      </c>
      <c r="O51" s="10">
        <f>IFERROR(I51/J51,0)</f>
        <v/>
      </c>
      <c r="R51" s="42">
        <f>IF($D51="Actual",E51,"")</f>
        <v/>
      </c>
      <c r="S51" s="42">
        <f>IF($D51="Actual",SUMIFS(Data_Actuals!$D$2:$D$5000,Data_Actuals!$A$2:$A$5000,$A51,Data_Actuals!$B$2:$B$5000,$B$2),"")</f>
        <v/>
      </c>
      <c r="T51" s="42">
        <f>IF($D51="Actual",SUMIFS(Data_Actuals!$E$2:$E$5000,Data_Actuals!$A$2:$A$5000,$A51,Data_Actuals!$B$2:$B$5000,$B$2),"")</f>
        <v/>
      </c>
      <c r="U51" s="42">
        <f>IF($D51="Actual",SUMIFS(Data_Actuals!$F$2:$F$5000,Data_Actuals!$A$2:$A$5000,$A51,Data_Actuals!$B$2:$B$5000,$B$2),"")</f>
        <v/>
      </c>
      <c r="V51" s="42">
        <f>IF($D51="Actual",SUMIFS(Data_Actuals!$G$2:$G$5000,Data_Actuals!$A$2:$A$5000,$A51,Data_Actuals!$B$2:$B$5000,$B$2),"")</f>
        <v/>
      </c>
      <c r="W51" s="42">
        <f>SUMIFS(Plan_Inputs!$C$2:$C$5000,Plan_Inputs!$A$2:$A$5000,$A51,Plan_Inputs!$B$2:$B$5000,$B$2)</f>
        <v/>
      </c>
      <c r="X51" s="43">
        <f>SUMIFS(Plan_Inputs!$D$2:$D$5000,Plan_Inputs!$A$2:$A$5000,$A51,Plan_Inputs!$B$2:$B$5000,$B$2)</f>
        <v/>
      </c>
      <c r="Y51" s="42">
        <f>'NSW-1'!E51+'NSW-2'!E51</f>
        <v/>
      </c>
      <c r="Z51" s="44">
        <f>INDEX(Calendar!$H$5:$L$52,MATCH($A51,Calendar!$A$5:$A$52,0),MATCH($D$2,Calendar!$H$4:$L$4,0))</f>
        <v/>
      </c>
      <c r="AA51" s="44">
        <f>INDEX(Calendar!$M$5:$M$52,MATCH($A51,Calendar!$A$5:$A$52,0))</f>
        <v/>
      </c>
      <c r="AB51" s="45">
        <f>IF($D51="Actual",IFERROR(S51/Y51,""),AB39)</f>
        <v/>
      </c>
      <c r="AC51" s="46">
        <f>IF($D51="Actual",IFERROR(U51/T51/Z51/AA51,""),AC39)</f>
        <v/>
      </c>
      <c r="AD51" s="43">
        <f>IF($D51="Actual",IFERROR(V51/(U51+V51),""),AD39)</f>
        <v/>
      </c>
      <c r="AE51" s="46">
        <f>IFERROR(AC51*Z51*AA51,"")</f>
        <v/>
      </c>
      <c r="AF51" s="47">
        <f>K39</f>
        <v/>
      </c>
      <c r="AG51" s="43">
        <f>IF($D51="Forecast",IFERROR(K51/AF51-1,""),"")</f>
        <v/>
      </c>
    </row>
    <row r="52">
      <c r="A52" s="8" t="n">
        <v>46784</v>
      </c>
      <c r="B52" s="26">
        <f>YEAR(A52)</f>
        <v/>
      </c>
      <c r="C52" s="26">
        <f>MONTH(A52)</f>
        <v/>
      </c>
      <c r="D52">
        <f>IF(A52&lt;=LastActual,"Actual","Forecast")</f>
        <v/>
      </c>
      <c r="E52" s="24">
        <f>'NSW-1'!E52</f>
        <v/>
      </c>
      <c r="F52" s="27">
        <f>IF($D52="Actual",S52,Cases_Forecast!AR45)</f>
        <v/>
      </c>
      <c r="G52" s="9">
        <f>IF($D52="Actual",T52,IFERROR(H52/AE52,0))</f>
        <v/>
      </c>
      <c r="H52" s="24">
        <f>IF($D52="Actual",U52,J52-I52)</f>
        <v/>
      </c>
      <c r="I52" s="24">
        <f>IF($D52="Actual",V52,IFERROR(J52*AD52,0))</f>
        <v/>
      </c>
      <c r="J52" s="24">
        <f>IF($D52="Actual",U52+V52,E52*X52)</f>
        <v/>
      </c>
      <c r="K52" s="28">
        <f>IFERROR(F52/G52,0)</f>
        <v/>
      </c>
      <c r="L52" s="29">
        <f>IFERROR(H52/G52,0)</f>
        <v/>
      </c>
      <c r="M52" s="30">
        <f>IFERROR(J52/F52,0)</f>
        <v/>
      </c>
      <c r="N52" s="10">
        <f>IFERROR(J52/E52,0)</f>
        <v/>
      </c>
      <c r="O52" s="10">
        <f>IFERROR(I52/J52,0)</f>
        <v/>
      </c>
      <c r="R52" s="42">
        <f>IF($D52="Actual",E52,"")</f>
        <v/>
      </c>
      <c r="S52" s="42">
        <f>IF($D52="Actual",SUMIFS(Data_Actuals!$D$2:$D$5000,Data_Actuals!$A$2:$A$5000,$A52,Data_Actuals!$B$2:$B$5000,$B$2),"")</f>
        <v/>
      </c>
      <c r="T52" s="42">
        <f>IF($D52="Actual",SUMIFS(Data_Actuals!$E$2:$E$5000,Data_Actuals!$A$2:$A$5000,$A52,Data_Actuals!$B$2:$B$5000,$B$2),"")</f>
        <v/>
      </c>
      <c r="U52" s="42">
        <f>IF($D52="Actual",SUMIFS(Data_Actuals!$F$2:$F$5000,Data_Actuals!$A$2:$A$5000,$A52,Data_Actuals!$B$2:$B$5000,$B$2),"")</f>
        <v/>
      </c>
      <c r="V52" s="42">
        <f>IF($D52="Actual",SUMIFS(Data_Actuals!$G$2:$G$5000,Data_Actuals!$A$2:$A$5000,$A52,Data_Actuals!$B$2:$B$5000,$B$2),"")</f>
        <v/>
      </c>
      <c r="W52" s="42">
        <f>SUMIFS(Plan_Inputs!$C$2:$C$5000,Plan_Inputs!$A$2:$A$5000,$A52,Plan_Inputs!$B$2:$B$5000,$B$2)</f>
        <v/>
      </c>
      <c r="X52" s="43">
        <f>SUMIFS(Plan_Inputs!$D$2:$D$5000,Plan_Inputs!$A$2:$A$5000,$A52,Plan_Inputs!$B$2:$B$5000,$B$2)</f>
        <v/>
      </c>
      <c r="Y52" s="42">
        <f>'NSW-1'!E52+'NSW-2'!E52</f>
        <v/>
      </c>
      <c r="Z52" s="44">
        <f>INDEX(Calendar!$H$5:$L$52,MATCH($A52,Calendar!$A$5:$A$52,0),MATCH($D$2,Calendar!$H$4:$L$4,0))</f>
        <v/>
      </c>
      <c r="AA52" s="44">
        <f>INDEX(Calendar!$M$5:$M$52,MATCH($A52,Calendar!$A$5:$A$52,0))</f>
        <v/>
      </c>
      <c r="AB52" s="45">
        <f>IF($D52="Actual",IFERROR(S52/Y52,""),AB40)</f>
        <v/>
      </c>
      <c r="AC52" s="46">
        <f>IF($D52="Actual",IFERROR(U52/T52/Z52/AA52,""),AC40)</f>
        <v/>
      </c>
      <c r="AD52" s="43">
        <f>IF($D52="Actual",IFERROR(V52/(U52+V52),""),AD40)</f>
        <v/>
      </c>
      <c r="AE52" s="46">
        <f>IFERROR(AC52*Z52*AA52,"")</f>
        <v/>
      </c>
      <c r="AF52" s="47">
        <f>K40</f>
        <v/>
      </c>
      <c r="AG52" s="43">
        <f>IF($D52="Forecast",IFERROR(K52/AF52-1,""),"")</f>
        <v/>
      </c>
    </row>
    <row r="53">
      <c r="A53" s="8" t="n">
        <v>46813</v>
      </c>
      <c r="B53" s="26">
        <f>YEAR(A53)</f>
        <v/>
      </c>
      <c r="C53" s="26">
        <f>MONTH(A53)</f>
        <v/>
      </c>
      <c r="D53">
        <f>IF(A53&lt;=LastActual,"Actual","Forecast")</f>
        <v/>
      </c>
      <c r="E53" s="24">
        <f>'NSW-1'!E53</f>
        <v/>
      </c>
      <c r="F53" s="27">
        <f>IF($D53="Actual",S53,Cases_Forecast!AR46)</f>
        <v/>
      </c>
      <c r="G53" s="9">
        <f>IF($D53="Actual",T53,IFERROR(H53/AE53,0))</f>
        <v/>
      </c>
      <c r="H53" s="24">
        <f>IF($D53="Actual",U53,J53-I53)</f>
        <v/>
      </c>
      <c r="I53" s="24">
        <f>IF($D53="Actual",V53,IFERROR(J53*AD53,0))</f>
        <v/>
      </c>
      <c r="J53" s="24">
        <f>IF($D53="Actual",U53+V53,E53*X53)</f>
        <v/>
      </c>
      <c r="K53" s="28">
        <f>IFERROR(F53/G53,0)</f>
        <v/>
      </c>
      <c r="L53" s="29">
        <f>IFERROR(H53/G53,0)</f>
        <v/>
      </c>
      <c r="M53" s="30">
        <f>IFERROR(J53/F53,0)</f>
        <v/>
      </c>
      <c r="N53" s="10">
        <f>IFERROR(J53/E53,0)</f>
        <v/>
      </c>
      <c r="O53" s="10">
        <f>IFERROR(I53/J53,0)</f>
        <v/>
      </c>
      <c r="R53" s="42">
        <f>IF($D53="Actual",E53,"")</f>
        <v/>
      </c>
      <c r="S53" s="42">
        <f>IF($D53="Actual",SUMIFS(Data_Actuals!$D$2:$D$5000,Data_Actuals!$A$2:$A$5000,$A53,Data_Actuals!$B$2:$B$5000,$B$2),"")</f>
        <v/>
      </c>
      <c r="T53" s="42">
        <f>IF($D53="Actual",SUMIFS(Data_Actuals!$E$2:$E$5000,Data_Actuals!$A$2:$A$5000,$A53,Data_Actuals!$B$2:$B$5000,$B$2),"")</f>
        <v/>
      </c>
      <c r="U53" s="42">
        <f>IF($D53="Actual",SUMIFS(Data_Actuals!$F$2:$F$5000,Data_Actuals!$A$2:$A$5000,$A53,Data_Actuals!$B$2:$B$5000,$B$2),"")</f>
        <v/>
      </c>
      <c r="V53" s="42">
        <f>IF($D53="Actual",SUMIFS(Data_Actuals!$G$2:$G$5000,Data_Actuals!$A$2:$A$5000,$A53,Data_Actuals!$B$2:$B$5000,$B$2),"")</f>
        <v/>
      </c>
      <c r="W53" s="42">
        <f>SUMIFS(Plan_Inputs!$C$2:$C$5000,Plan_Inputs!$A$2:$A$5000,$A53,Plan_Inputs!$B$2:$B$5000,$B$2)</f>
        <v/>
      </c>
      <c r="X53" s="43">
        <f>SUMIFS(Plan_Inputs!$D$2:$D$5000,Plan_Inputs!$A$2:$A$5000,$A53,Plan_Inputs!$B$2:$B$5000,$B$2)</f>
        <v/>
      </c>
      <c r="Y53" s="42">
        <f>'NSW-1'!E53+'NSW-2'!E53</f>
        <v/>
      </c>
      <c r="Z53" s="44">
        <f>INDEX(Calendar!$H$5:$L$52,MATCH($A53,Calendar!$A$5:$A$52,0),MATCH($D$2,Calendar!$H$4:$L$4,0))</f>
        <v/>
      </c>
      <c r="AA53" s="44">
        <f>INDEX(Calendar!$M$5:$M$52,MATCH($A53,Calendar!$A$5:$A$52,0))</f>
        <v/>
      </c>
      <c r="AB53" s="45">
        <f>IF($D53="Actual",IFERROR(S53/Y53,""),AB41)</f>
        <v/>
      </c>
      <c r="AC53" s="46">
        <f>IF($D53="Actual",IFERROR(U53/T53/Z53/AA53,""),AC41)</f>
        <v/>
      </c>
      <c r="AD53" s="43">
        <f>IF($D53="Actual",IFERROR(V53/(U53+V53),""),AD41)</f>
        <v/>
      </c>
      <c r="AE53" s="46">
        <f>IFERROR(AC53*Z53*AA53,"")</f>
        <v/>
      </c>
      <c r="AF53" s="47">
        <f>K41</f>
        <v/>
      </c>
      <c r="AG53" s="43">
        <f>IF($D53="Forecast",IFERROR(K53/AF53-1,""),"")</f>
        <v/>
      </c>
    </row>
    <row r="54">
      <c r="A54" s="8" t="n">
        <v>46844</v>
      </c>
      <c r="B54" s="26">
        <f>YEAR(A54)</f>
        <v/>
      </c>
      <c r="C54" s="26">
        <f>MONTH(A54)</f>
        <v/>
      </c>
      <c r="D54">
        <f>IF(A54&lt;=LastActual,"Actual","Forecast")</f>
        <v/>
      </c>
      <c r="E54" s="24">
        <f>'NSW-1'!E54</f>
        <v/>
      </c>
      <c r="F54" s="27">
        <f>IF($D54="Actual",S54,Cases_Forecast!AR47)</f>
        <v/>
      </c>
      <c r="G54" s="9">
        <f>IF($D54="Actual",T54,IFERROR(H54/AE54,0))</f>
        <v/>
      </c>
      <c r="H54" s="24">
        <f>IF($D54="Actual",U54,J54-I54)</f>
        <v/>
      </c>
      <c r="I54" s="24">
        <f>IF($D54="Actual",V54,IFERROR(J54*AD54,0))</f>
        <v/>
      </c>
      <c r="J54" s="24">
        <f>IF($D54="Actual",U54+V54,E54*X54)</f>
        <v/>
      </c>
      <c r="K54" s="28">
        <f>IFERROR(F54/G54,0)</f>
        <v/>
      </c>
      <c r="L54" s="29">
        <f>IFERROR(H54/G54,0)</f>
        <v/>
      </c>
      <c r="M54" s="30">
        <f>IFERROR(J54/F54,0)</f>
        <v/>
      </c>
      <c r="N54" s="10">
        <f>IFERROR(J54/E54,0)</f>
        <v/>
      </c>
      <c r="O54" s="10">
        <f>IFERROR(I54/J54,0)</f>
        <v/>
      </c>
      <c r="R54" s="42">
        <f>IF($D54="Actual",E54,"")</f>
        <v/>
      </c>
      <c r="S54" s="42">
        <f>IF($D54="Actual",SUMIFS(Data_Actuals!$D$2:$D$5000,Data_Actuals!$A$2:$A$5000,$A54,Data_Actuals!$B$2:$B$5000,$B$2),"")</f>
        <v/>
      </c>
      <c r="T54" s="42">
        <f>IF($D54="Actual",SUMIFS(Data_Actuals!$E$2:$E$5000,Data_Actuals!$A$2:$A$5000,$A54,Data_Actuals!$B$2:$B$5000,$B$2),"")</f>
        <v/>
      </c>
      <c r="U54" s="42">
        <f>IF($D54="Actual",SUMIFS(Data_Actuals!$F$2:$F$5000,Data_Actuals!$A$2:$A$5000,$A54,Data_Actuals!$B$2:$B$5000,$B$2),"")</f>
        <v/>
      </c>
      <c r="V54" s="42">
        <f>IF($D54="Actual",SUMIFS(Data_Actuals!$G$2:$G$5000,Data_Actuals!$A$2:$A$5000,$A54,Data_Actuals!$B$2:$B$5000,$B$2),"")</f>
        <v/>
      </c>
      <c r="W54" s="42">
        <f>SUMIFS(Plan_Inputs!$C$2:$C$5000,Plan_Inputs!$A$2:$A$5000,$A54,Plan_Inputs!$B$2:$B$5000,$B$2)</f>
        <v/>
      </c>
      <c r="X54" s="43">
        <f>SUMIFS(Plan_Inputs!$D$2:$D$5000,Plan_Inputs!$A$2:$A$5000,$A54,Plan_Inputs!$B$2:$B$5000,$B$2)</f>
        <v/>
      </c>
      <c r="Y54" s="42">
        <f>'NSW-1'!E54+'NSW-2'!E54</f>
        <v/>
      </c>
      <c r="Z54" s="44">
        <f>INDEX(Calendar!$H$5:$L$52,MATCH($A54,Calendar!$A$5:$A$52,0),MATCH($D$2,Calendar!$H$4:$L$4,0))</f>
        <v/>
      </c>
      <c r="AA54" s="44">
        <f>INDEX(Calendar!$M$5:$M$52,MATCH($A54,Calendar!$A$5:$A$52,0))</f>
        <v/>
      </c>
      <c r="AB54" s="45">
        <f>IF($D54="Actual",IFERROR(S54/Y54,""),AB42)</f>
        <v/>
      </c>
      <c r="AC54" s="46">
        <f>IF($D54="Actual",IFERROR(U54/T54/Z54/AA54,""),AC42)</f>
        <v/>
      </c>
      <c r="AD54" s="43">
        <f>IF($D54="Actual",IFERROR(V54/(U54+V54),""),AD42)</f>
        <v/>
      </c>
      <c r="AE54" s="46">
        <f>IFERROR(AC54*Z54*AA54,"")</f>
        <v/>
      </c>
      <c r="AF54" s="47">
        <f>K42</f>
        <v/>
      </c>
      <c r="AG54" s="43">
        <f>IF($D54="Forecast",IFERROR(K54/AF54-1,""),"")</f>
        <v/>
      </c>
    </row>
    <row r="55">
      <c r="A55" s="8" t="n">
        <v>46874</v>
      </c>
      <c r="B55" s="26">
        <f>YEAR(A55)</f>
        <v/>
      </c>
      <c r="C55" s="26">
        <f>MONTH(A55)</f>
        <v/>
      </c>
      <c r="D55">
        <f>IF(A55&lt;=LastActual,"Actual","Forecast")</f>
        <v/>
      </c>
      <c r="E55" s="24">
        <f>'NSW-1'!E55</f>
        <v/>
      </c>
      <c r="F55" s="27">
        <f>IF($D55="Actual",S55,Cases_Forecast!AR48)</f>
        <v/>
      </c>
      <c r="G55" s="9">
        <f>IF($D55="Actual",T55,IFERROR(H55/AE55,0))</f>
        <v/>
      </c>
      <c r="H55" s="24">
        <f>IF($D55="Actual",U55,J55-I55)</f>
        <v/>
      </c>
      <c r="I55" s="24">
        <f>IF($D55="Actual",V55,IFERROR(J55*AD55,0))</f>
        <v/>
      </c>
      <c r="J55" s="24">
        <f>IF($D55="Actual",U55+V55,E55*X55)</f>
        <v/>
      </c>
      <c r="K55" s="28">
        <f>IFERROR(F55/G55,0)</f>
        <v/>
      </c>
      <c r="L55" s="29">
        <f>IFERROR(H55/G55,0)</f>
        <v/>
      </c>
      <c r="M55" s="30">
        <f>IFERROR(J55/F55,0)</f>
        <v/>
      </c>
      <c r="N55" s="10">
        <f>IFERROR(J55/E55,0)</f>
        <v/>
      </c>
      <c r="O55" s="10">
        <f>IFERROR(I55/J55,0)</f>
        <v/>
      </c>
      <c r="R55" s="42">
        <f>IF($D55="Actual",E55,"")</f>
        <v/>
      </c>
      <c r="S55" s="42">
        <f>IF($D55="Actual",SUMIFS(Data_Actuals!$D$2:$D$5000,Data_Actuals!$A$2:$A$5000,$A55,Data_Actuals!$B$2:$B$5000,$B$2),"")</f>
        <v/>
      </c>
      <c r="T55" s="42">
        <f>IF($D55="Actual",SUMIFS(Data_Actuals!$E$2:$E$5000,Data_Actuals!$A$2:$A$5000,$A55,Data_Actuals!$B$2:$B$5000,$B$2),"")</f>
        <v/>
      </c>
      <c r="U55" s="42">
        <f>IF($D55="Actual",SUMIFS(Data_Actuals!$F$2:$F$5000,Data_Actuals!$A$2:$A$5000,$A55,Data_Actuals!$B$2:$B$5000,$B$2),"")</f>
        <v/>
      </c>
      <c r="V55" s="42">
        <f>IF($D55="Actual",SUMIFS(Data_Actuals!$G$2:$G$5000,Data_Actuals!$A$2:$A$5000,$A55,Data_Actuals!$B$2:$B$5000,$B$2),"")</f>
        <v/>
      </c>
      <c r="W55" s="42">
        <f>SUMIFS(Plan_Inputs!$C$2:$C$5000,Plan_Inputs!$A$2:$A$5000,$A55,Plan_Inputs!$B$2:$B$5000,$B$2)</f>
        <v/>
      </c>
      <c r="X55" s="43">
        <f>SUMIFS(Plan_Inputs!$D$2:$D$5000,Plan_Inputs!$A$2:$A$5000,$A55,Plan_Inputs!$B$2:$B$5000,$B$2)</f>
        <v/>
      </c>
      <c r="Y55" s="42">
        <f>'NSW-1'!E55+'NSW-2'!E55</f>
        <v/>
      </c>
      <c r="Z55" s="44">
        <f>INDEX(Calendar!$H$5:$L$52,MATCH($A55,Calendar!$A$5:$A$52,0),MATCH($D$2,Calendar!$H$4:$L$4,0))</f>
        <v/>
      </c>
      <c r="AA55" s="44">
        <f>INDEX(Calendar!$M$5:$M$52,MATCH($A55,Calendar!$A$5:$A$52,0))</f>
        <v/>
      </c>
      <c r="AB55" s="45">
        <f>IF($D55="Actual",IFERROR(S55/Y55,""),AB43)</f>
        <v/>
      </c>
      <c r="AC55" s="46">
        <f>IF($D55="Actual",IFERROR(U55/T55/Z55/AA55,""),AC43)</f>
        <v/>
      </c>
      <c r="AD55" s="43">
        <f>IF($D55="Actual",IFERROR(V55/(U55+V55),""),AD43)</f>
        <v/>
      </c>
      <c r="AE55" s="46">
        <f>IFERROR(AC55*Z55*AA55,"")</f>
        <v/>
      </c>
      <c r="AF55" s="47">
        <f>K43</f>
        <v/>
      </c>
      <c r="AG55" s="43">
        <f>IF($D55="Forecast",IFERROR(K55/AF55-1,""),"")</f>
        <v/>
      </c>
    </row>
    <row r="56">
      <c r="A56" s="8" t="n">
        <v>46905</v>
      </c>
      <c r="B56" s="26">
        <f>YEAR(A56)</f>
        <v/>
      </c>
      <c r="C56" s="26">
        <f>MONTH(A56)</f>
        <v/>
      </c>
      <c r="D56">
        <f>IF(A56&lt;=LastActual,"Actual","Forecast")</f>
        <v/>
      </c>
      <c r="E56" s="24">
        <f>'NSW-1'!E56</f>
        <v/>
      </c>
      <c r="F56" s="27">
        <f>IF($D56="Actual",S56,Cases_Forecast!AR49)</f>
        <v/>
      </c>
      <c r="G56" s="9">
        <f>IF($D56="Actual",T56,IFERROR(H56/AE56,0))</f>
        <v/>
      </c>
      <c r="H56" s="24">
        <f>IF($D56="Actual",U56,J56-I56)</f>
        <v/>
      </c>
      <c r="I56" s="24">
        <f>IF($D56="Actual",V56,IFERROR(J56*AD56,0))</f>
        <v/>
      </c>
      <c r="J56" s="24">
        <f>IF($D56="Actual",U56+V56,E56*X56)</f>
        <v/>
      </c>
      <c r="K56" s="28">
        <f>IFERROR(F56/G56,0)</f>
        <v/>
      </c>
      <c r="L56" s="29">
        <f>IFERROR(H56/G56,0)</f>
        <v/>
      </c>
      <c r="M56" s="30">
        <f>IFERROR(J56/F56,0)</f>
        <v/>
      </c>
      <c r="N56" s="10">
        <f>IFERROR(J56/E56,0)</f>
        <v/>
      </c>
      <c r="O56" s="10">
        <f>IFERROR(I56/J56,0)</f>
        <v/>
      </c>
      <c r="R56" s="42">
        <f>IF($D56="Actual",E56,"")</f>
        <v/>
      </c>
      <c r="S56" s="42">
        <f>IF($D56="Actual",SUMIFS(Data_Actuals!$D$2:$D$5000,Data_Actuals!$A$2:$A$5000,$A56,Data_Actuals!$B$2:$B$5000,$B$2),"")</f>
        <v/>
      </c>
      <c r="T56" s="42">
        <f>IF($D56="Actual",SUMIFS(Data_Actuals!$E$2:$E$5000,Data_Actuals!$A$2:$A$5000,$A56,Data_Actuals!$B$2:$B$5000,$B$2),"")</f>
        <v/>
      </c>
      <c r="U56" s="42">
        <f>IF($D56="Actual",SUMIFS(Data_Actuals!$F$2:$F$5000,Data_Actuals!$A$2:$A$5000,$A56,Data_Actuals!$B$2:$B$5000,$B$2),"")</f>
        <v/>
      </c>
      <c r="V56" s="42">
        <f>IF($D56="Actual",SUMIFS(Data_Actuals!$G$2:$G$5000,Data_Actuals!$A$2:$A$5000,$A56,Data_Actuals!$B$2:$B$5000,$B$2),"")</f>
        <v/>
      </c>
      <c r="W56" s="42">
        <f>SUMIFS(Plan_Inputs!$C$2:$C$5000,Plan_Inputs!$A$2:$A$5000,$A56,Plan_Inputs!$B$2:$B$5000,$B$2)</f>
        <v/>
      </c>
      <c r="X56" s="43">
        <f>SUMIFS(Plan_Inputs!$D$2:$D$5000,Plan_Inputs!$A$2:$A$5000,$A56,Plan_Inputs!$B$2:$B$5000,$B$2)</f>
        <v/>
      </c>
      <c r="Y56" s="42">
        <f>'NSW-1'!E56+'NSW-2'!E56</f>
        <v/>
      </c>
      <c r="Z56" s="44">
        <f>INDEX(Calendar!$H$5:$L$52,MATCH($A56,Calendar!$A$5:$A$52,0),MATCH($D$2,Calendar!$H$4:$L$4,0))</f>
        <v/>
      </c>
      <c r="AA56" s="44">
        <f>INDEX(Calendar!$M$5:$M$52,MATCH($A56,Calendar!$A$5:$A$52,0))</f>
        <v/>
      </c>
      <c r="AB56" s="45">
        <f>IF($D56="Actual",IFERROR(S56/Y56,""),AB44)</f>
        <v/>
      </c>
      <c r="AC56" s="46">
        <f>IF($D56="Actual",IFERROR(U56/T56/Z56/AA56,""),AC44)</f>
        <v/>
      </c>
      <c r="AD56" s="43">
        <f>IF($D56="Actual",IFERROR(V56/(U56+V56),""),AD44)</f>
        <v/>
      </c>
      <c r="AE56" s="46">
        <f>IFERROR(AC56*Z56*AA56,"")</f>
        <v/>
      </c>
      <c r="AF56" s="47">
        <f>K44</f>
        <v/>
      </c>
      <c r="AG56" s="43">
        <f>IF($D56="Forecast",IFERROR(K56/AF56-1,""),"")</f>
        <v/>
      </c>
    </row>
    <row r="57">
      <c r="A57" s="8" t="n">
        <v>46935</v>
      </c>
      <c r="B57" s="26">
        <f>YEAR(A57)</f>
        <v/>
      </c>
      <c r="C57" s="26">
        <f>MONTH(A57)</f>
        <v/>
      </c>
      <c r="D57">
        <f>IF(A57&lt;=LastActual,"Actual","Forecast")</f>
        <v/>
      </c>
      <c r="E57" s="24">
        <f>'NSW-1'!E57</f>
        <v/>
      </c>
      <c r="F57" s="27">
        <f>IF($D57="Actual",S57,Cases_Forecast!AR50)</f>
        <v/>
      </c>
      <c r="G57" s="9">
        <f>IF($D57="Actual",T57,IFERROR(H57/AE57,0))</f>
        <v/>
      </c>
      <c r="H57" s="24">
        <f>IF($D57="Actual",U57,J57-I57)</f>
        <v/>
      </c>
      <c r="I57" s="24">
        <f>IF($D57="Actual",V57,IFERROR(J57*AD57,0))</f>
        <v/>
      </c>
      <c r="J57" s="24">
        <f>IF($D57="Actual",U57+V57,E57*X57)</f>
        <v/>
      </c>
      <c r="K57" s="28">
        <f>IFERROR(F57/G57,0)</f>
        <v/>
      </c>
      <c r="L57" s="29">
        <f>IFERROR(H57/G57,0)</f>
        <v/>
      </c>
      <c r="M57" s="30">
        <f>IFERROR(J57/F57,0)</f>
        <v/>
      </c>
      <c r="N57" s="10">
        <f>IFERROR(J57/E57,0)</f>
        <v/>
      </c>
      <c r="O57" s="10">
        <f>IFERROR(I57/J57,0)</f>
        <v/>
      </c>
      <c r="R57" s="42">
        <f>IF($D57="Actual",E57,"")</f>
        <v/>
      </c>
      <c r="S57" s="42">
        <f>IF($D57="Actual",SUMIFS(Data_Actuals!$D$2:$D$5000,Data_Actuals!$A$2:$A$5000,$A57,Data_Actuals!$B$2:$B$5000,$B$2),"")</f>
        <v/>
      </c>
      <c r="T57" s="42">
        <f>IF($D57="Actual",SUMIFS(Data_Actuals!$E$2:$E$5000,Data_Actuals!$A$2:$A$5000,$A57,Data_Actuals!$B$2:$B$5000,$B$2),"")</f>
        <v/>
      </c>
      <c r="U57" s="42">
        <f>IF($D57="Actual",SUMIFS(Data_Actuals!$F$2:$F$5000,Data_Actuals!$A$2:$A$5000,$A57,Data_Actuals!$B$2:$B$5000,$B$2),"")</f>
        <v/>
      </c>
      <c r="V57" s="42">
        <f>IF($D57="Actual",SUMIFS(Data_Actuals!$G$2:$G$5000,Data_Actuals!$A$2:$A$5000,$A57,Data_Actuals!$B$2:$B$5000,$B$2),"")</f>
        <v/>
      </c>
      <c r="W57" s="42">
        <f>SUMIFS(Plan_Inputs!$C$2:$C$5000,Plan_Inputs!$A$2:$A$5000,$A57,Plan_Inputs!$B$2:$B$5000,$B$2)</f>
        <v/>
      </c>
      <c r="X57" s="43">
        <f>SUMIFS(Plan_Inputs!$D$2:$D$5000,Plan_Inputs!$A$2:$A$5000,$A57,Plan_Inputs!$B$2:$B$5000,$B$2)</f>
        <v/>
      </c>
      <c r="Y57" s="42">
        <f>'NSW-1'!E57+'NSW-2'!E57</f>
        <v/>
      </c>
      <c r="Z57" s="44">
        <f>INDEX(Calendar!$H$5:$L$52,MATCH($A57,Calendar!$A$5:$A$52,0),MATCH($D$2,Calendar!$H$4:$L$4,0))</f>
        <v/>
      </c>
      <c r="AA57" s="44">
        <f>INDEX(Calendar!$M$5:$M$52,MATCH($A57,Calendar!$A$5:$A$52,0))</f>
        <v/>
      </c>
      <c r="AB57" s="45">
        <f>IF($D57="Actual",IFERROR(S57/Y57,""),AB45)</f>
        <v/>
      </c>
      <c r="AC57" s="46">
        <f>IF($D57="Actual",IFERROR(U57/T57/Z57/AA57,""),AC45)</f>
        <v/>
      </c>
      <c r="AD57" s="43">
        <f>IF($D57="Actual",IFERROR(V57/(U57+V57),""),AD45)</f>
        <v/>
      </c>
      <c r="AE57" s="46">
        <f>IFERROR(AC57*Z57*AA57,"")</f>
        <v/>
      </c>
      <c r="AF57" s="47">
        <f>K45</f>
        <v/>
      </c>
      <c r="AG57" s="43">
        <f>IF($D57="Forecast",IFERROR(K57/AF57-1,""),"")</f>
        <v/>
      </c>
    </row>
    <row r="58">
      <c r="A58" s="8" t="n">
        <v>46966</v>
      </c>
      <c r="B58" s="26">
        <f>YEAR(A58)</f>
        <v/>
      </c>
      <c r="C58" s="26">
        <f>MONTH(A58)</f>
        <v/>
      </c>
      <c r="D58">
        <f>IF(A58&lt;=LastActual,"Actual","Forecast")</f>
        <v/>
      </c>
      <c r="E58" s="24">
        <f>'NSW-1'!E58</f>
        <v/>
      </c>
      <c r="F58" s="27">
        <f>IF($D58="Actual",S58,Cases_Forecast!AR51)</f>
        <v/>
      </c>
      <c r="G58" s="9">
        <f>IF($D58="Actual",T58,IFERROR(H58/AE58,0))</f>
        <v/>
      </c>
      <c r="H58" s="24">
        <f>IF($D58="Actual",U58,J58-I58)</f>
        <v/>
      </c>
      <c r="I58" s="24">
        <f>IF($D58="Actual",V58,IFERROR(J58*AD58,0))</f>
        <v/>
      </c>
      <c r="J58" s="24">
        <f>IF($D58="Actual",U58+V58,E58*X58)</f>
        <v/>
      </c>
      <c r="K58" s="28">
        <f>IFERROR(F58/G58,0)</f>
        <v/>
      </c>
      <c r="L58" s="29">
        <f>IFERROR(H58/G58,0)</f>
        <v/>
      </c>
      <c r="M58" s="30">
        <f>IFERROR(J58/F58,0)</f>
        <v/>
      </c>
      <c r="N58" s="10">
        <f>IFERROR(J58/E58,0)</f>
        <v/>
      </c>
      <c r="O58" s="10">
        <f>IFERROR(I58/J58,0)</f>
        <v/>
      </c>
      <c r="R58" s="42">
        <f>IF($D58="Actual",E58,"")</f>
        <v/>
      </c>
      <c r="S58" s="42">
        <f>IF($D58="Actual",SUMIFS(Data_Actuals!$D$2:$D$5000,Data_Actuals!$A$2:$A$5000,$A58,Data_Actuals!$B$2:$B$5000,$B$2),"")</f>
        <v/>
      </c>
      <c r="T58" s="42">
        <f>IF($D58="Actual",SUMIFS(Data_Actuals!$E$2:$E$5000,Data_Actuals!$A$2:$A$5000,$A58,Data_Actuals!$B$2:$B$5000,$B$2),"")</f>
        <v/>
      </c>
      <c r="U58" s="42">
        <f>IF($D58="Actual",SUMIFS(Data_Actuals!$F$2:$F$5000,Data_Actuals!$A$2:$A$5000,$A58,Data_Actuals!$B$2:$B$5000,$B$2),"")</f>
        <v/>
      </c>
      <c r="V58" s="42">
        <f>IF($D58="Actual",SUMIFS(Data_Actuals!$G$2:$G$5000,Data_Actuals!$A$2:$A$5000,$A58,Data_Actuals!$B$2:$B$5000,$B$2),"")</f>
        <v/>
      </c>
      <c r="W58" s="42">
        <f>SUMIFS(Plan_Inputs!$C$2:$C$5000,Plan_Inputs!$A$2:$A$5000,$A58,Plan_Inputs!$B$2:$B$5000,$B$2)</f>
        <v/>
      </c>
      <c r="X58" s="43">
        <f>SUMIFS(Plan_Inputs!$D$2:$D$5000,Plan_Inputs!$A$2:$A$5000,$A58,Plan_Inputs!$B$2:$B$5000,$B$2)</f>
        <v/>
      </c>
      <c r="Y58" s="42">
        <f>'NSW-1'!E58+'NSW-2'!E58</f>
        <v/>
      </c>
      <c r="Z58" s="44">
        <f>INDEX(Calendar!$H$5:$L$52,MATCH($A58,Calendar!$A$5:$A$52,0),MATCH($D$2,Calendar!$H$4:$L$4,0))</f>
        <v/>
      </c>
      <c r="AA58" s="44">
        <f>INDEX(Calendar!$M$5:$M$52,MATCH($A58,Calendar!$A$5:$A$52,0))</f>
        <v/>
      </c>
      <c r="AB58" s="45">
        <f>IF($D58="Actual",IFERROR(S58/Y58,""),AB46)</f>
        <v/>
      </c>
      <c r="AC58" s="46">
        <f>IF($D58="Actual",IFERROR(U58/T58/Z58/AA58,""),AC46)</f>
        <v/>
      </c>
      <c r="AD58" s="43">
        <f>IF($D58="Actual",IFERROR(V58/(U58+V58),""),AD46)</f>
        <v/>
      </c>
      <c r="AE58" s="46">
        <f>IFERROR(AC58*Z58*AA58,"")</f>
        <v/>
      </c>
      <c r="AF58" s="47">
        <f>K46</f>
        <v/>
      </c>
      <c r="AG58" s="43">
        <f>IF($D58="Forecast",IFERROR(K58/AF58-1,""),"")</f>
        <v/>
      </c>
    </row>
    <row r="59">
      <c r="A59" s="8" t="n">
        <v>46997</v>
      </c>
      <c r="B59" s="26">
        <f>YEAR(A59)</f>
        <v/>
      </c>
      <c r="C59" s="26">
        <f>MONTH(A59)</f>
        <v/>
      </c>
      <c r="D59">
        <f>IF(A59&lt;=LastActual,"Actual","Forecast")</f>
        <v/>
      </c>
      <c r="E59" s="24">
        <f>'NSW-1'!E59</f>
        <v/>
      </c>
      <c r="F59" s="27">
        <f>IF($D59="Actual",S59,Cases_Forecast!AR52)</f>
        <v/>
      </c>
      <c r="G59" s="9">
        <f>IF($D59="Actual",T59,IFERROR(H59/AE59,0))</f>
        <v/>
      </c>
      <c r="H59" s="24">
        <f>IF($D59="Actual",U59,J59-I59)</f>
        <v/>
      </c>
      <c r="I59" s="24">
        <f>IF($D59="Actual",V59,IFERROR(J59*AD59,0))</f>
        <v/>
      </c>
      <c r="J59" s="24">
        <f>IF($D59="Actual",U59+V59,E59*X59)</f>
        <v/>
      </c>
      <c r="K59" s="28">
        <f>IFERROR(F59/G59,0)</f>
        <v/>
      </c>
      <c r="L59" s="29">
        <f>IFERROR(H59/G59,0)</f>
        <v/>
      </c>
      <c r="M59" s="30">
        <f>IFERROR(J59/F59,0)</f>
        <v/>
      </c>
      <c r="N59" s="10">
        <f>IFERROR(J59/E59,0)</f>
        <v/>
      </c>
      <c r="O59" s="10">
        <f>IFERROR(I59/J59,0)</f>
        <v/>
      </c>
      <c r="R59" s="42">
        <f>IF($D59="Actual",E59,"")</f>
        <v/>
      </c>
      <c r="S59" s="42">
        <f>IF($D59="Actual",SUMIFS(Data_Actuals!$D$2:$D$5000,Data_Actuals!$A$2:$A$5000,$A59,Data_Actuals!$B$2:$B$5000,$B$2),"")</f>
        <v/>
      </c>
      <c r="T59" s="42">
        <f>IF($D59="Actual",SUMIFS(Data_Actuals!$E$2:$E$5000,Data_Actuals!$A$2:$A$5000,$A59,Data_Actuals!$B$2:$B$5000,$B$2),"")</f>
        <v/>
      </c>
      <c r="U59" s="42">
        <f>IF($D59="Actual",SUMIFS(Data_Actuals!$F$2:$F$5000,Data_Actuals!$A$2:$A$5000,$A59,Data_Actuals!$B$2:$B$5000,$B$2),"")</f>
        <v/>
      </c>
      <c r="V59" s="42">
        <f>IF($D59="Actual",SUMIFS(Data_Actuals!$G$2:$G$5000,Data_Actuals!$A$2:$A$5000,$A59,Data_Actuals!$B$2:$B$5000,$B$2),"")</f>
        <v/>
      </c>
      <c r="W59" s="42">
        <f>SUMIFS(Plan_Inputs!$C$2:$C$5000,Plan_Inputs!$A$2:$A$5000,$A59,Plan_Inputs!$B$2:$B$5000,$B$2)</f>
        <v/>
      </c>
      <c r="X59" s="43">
        <f>SUMIFS(Plan_Inputs!$D$2:$D$5000,Plan_Inputs!$A$2:$A$5000,$A59,Plan_Inputs!$B$2:$B$5000,$B$2)</f>
        <v/>
      </c>
      <c r="Y59" s="42">
        <f>'NSW-1'!E59+'NSW-2'!E59</f>
        <v/>
      </c>
      <c r="Z59" s="44">
        <f>INDEX(Calendar!$H$5:$L$52,MATCH($A59,Calendar!$A$5:$A$52,0),MATCH($D$2,Calendar!$H$4:$L$4,0))</f>
        <v/>
      </c>
      <c r="AA59" s="44">
        <f>INDEX(Calendar!$M$5:$M$52,MATCH($A59,Calendar!$A$5:$A$52,0))</f>
        <v/>
      </c>
      <c r="AB59" s="45">
        <f>IF($D59="Actual",IFERROR(S59/Y59,""),AB47)</f>
        <v/>
      </c>
      <c r="AC59" s="46">
        <f>IF($D59="Actual",IFERROR(U59/T59/Z59/AA59,""),AC47)</f>
        <v/>
      </c>
      <c r="AD59" s="43">
        <f>IF($D59="Actual",IFERROR(V59/(U59+V59),""),AD47)</f>
        <v/>
      </c>
      <c r="AE59" s="46">
        <f>IFERROR(AC59*Z59*AA59,"")</f>
        <v/>
      </c>
      <c r="AF59" s="47">
        <f>K47</f>
        <v/>
      </c>
      <c r="AG59" s="43">
        <f>IF($D59="Forecast",IFERROR(K59/AF59-1,""),"")</f>
        <v/>
      </c>
    </row>
    <row r="60">
      <c r="A60" s="8" t="n">
        <v>47027</v>
      </c>
      <c r="B60" s="26">
        <f>YEAR(A60)</f>
        <v/>
      </c>
      <c r="C60" s="26">
        <f>MONTH(A60)</f>
        <v/>
      </c>
      <c r="D60">
        <f>IF(A60&lt;=LastActual,"Actual","Forecast")</f>
        <v/>
      </c>
      <c r="E60" s="24">
        <f>'NSW-1'!E60</f>
        <v/>
      </c>
      <c r="F60" s="27">
        <f>IF($D60="Actual",S60,Cases_Forecast!AR53)</f>
        <v/>
      </c>
      <c r="G60" s="9">
        <f>IF($D60="Actual",T60,IFERROR(H60/AE60,0))</f>
        <v/>
      </c>
      <c r="H60" s="24">
        <f>IF($D60="Actual",U60,J60-I60)</f>
        <v/>
      </c>
      <c r="I60" s="24">
        <f>IF($D60="Actual",V60,IFERROR(J60*AD60,0))</f>
        <v/>
      </c>
      <c r="J60" s="24">
        <f>IF($D60="Actual",U60+V60,E60*X60)</f>
        <v/>
      </c>
      <c r="K60" s="28">
        <f>IFERROR(F60/G60,0)</f>
        <v/>
      </c>
      <c r="L60" s="29">
        <f>IFERROR(H60/G60,0)</f>
        <v/>
      </c>
      <c r="M60" s="30">
        <f>IFERROR(J60/F60,0)</f>
        <v/>
      </c>
      <c r="N60" s="10">
        <f>IFERROR(J60/E60,0)</f>
        <v/>
      </c>
      <c r="O60" s="10">
        <f>IFERROR(I60/J60,0)</f>
        <v/>
      </c>
      <c r="R60" s="42">
        <f>IF($D60="Actual",E60,"")</f>
        <v/>
      </c>
      <c r="S60" s="42">
        <f>IF($D60="Actual",SUMIFS(Data_Actuals!$D$2:$D$5000,Data_Actuals!$A$2:$A$5000,$A60,Data_Actuals!$B$2:$B$5000,$B$2),"")</f>
        <v/>
      </c>
      <c r="T60" s="42">
        <f>IF($D60="Actual",SUMIFS(Data_Actuals!$E$2:$E$5000,Data_Actuals!$A$2:$A$5000,$A60,Data_Actuals!$B$2:$B$5000,$B$2),"")</f>
        <v/>
      </c>
      <c r="U60" s="42">
        <f>IF($D60="Actual",SUMIFS(Data_Actuals!$F$2:$F$5000,Data_Actuals!$A$2:$A$5000,$A60,Data_Actuals!$B$2:$B$5000,$B$2),"")</f>
        <v/>
      </c>
      <c r="V60" s="42">
        <f>IF($D60="Actual",SUMIFS(Data_Actuals!$G$2:$G$5000,Data_Actuals!$A$2:$A$5000,$A60,Data_Actuals!$B$2:$B$5000,$B$2),"")</f>
        <v/>
      </c>
      <c r="W60" s="42">
        <f>SUMIFS(Plan_Inputs!$C$2:$C$5000,Plan_Inputs!$A$2:$A$5000,$A60,Plan_Inputs!$B$2:$B$5000,$B$2)</f>
        <v/>
      </c>
      <c r="X60" s="43">
        <f>SUMIFS(Plan_Inputs!$D$2:$D$5000,Plan_Inputs!$A$2:$A$5000,$A60,Plan_Inputs!$B$2:$B$5000,$B$2)</f>
        <v/>
      </c>
      <c r="Y60" s="42">
        <f>'NSW-1'!E60+'NSW-2'!E60</f>
        <v/>
      </c>
      <c r="Z60" s="44">
        <f>INDEX(Calendar!$H$5:$L$52,MATCH($A60,Calendar!$A$5:$A$52,0),MATCH($D$2,Calendar!$H$4:$L$4,0))</f>
        <v/>
      </c>
      <c r="AA60" s="44">
        <f>INDEX(Calendar!$M$5:$M$52,MATCH($A60,Calendar!$A$5:$A$52,0))</f>
        <v/>
      </c>
      <c r="AB60" s="45">
        <f>IF($D60="Actual",IFERROR(S60/Y60,""),AB48)</f>
        <v/>
      </c>
      <c r="AC60" s="46">
        <f>IF($D60="Actual",IFERROR(U60/T60/Z60/AA60,""),AC48)</f>
        <v/>
      </c>
      <c r="AD60" s="43">
        <f>IF($D60="Actual",IFERROR(V60/(U60+V60),""),AD48)</f>
        <v/>
      </c>
      <c r="AE60" s="46">
        <f>IFERROR(AC60*Z60*AA60,"")</f>
        <v/>
      </c>
      <c r="AF60" s="47">
        <f>K48</f>
        <v/>
      </c>
      <c r="AG60" s="43">
        <f>IF($D60="Forecast",IFERROR(K60/AF60-1,""),"")</f>
        <v/>
      </c>
    </row>
    <row r="61">
      <c r="A61" s="8" t="n">
        <v>47058</v>
      </c>
      <c r="B61" s="26">
        <f>YEAR(A61)</f>
        <v/>
      </c>
      <c r="C61" s="26">
        <f>MONTH(A61)</f>
        <v/>
      </c>
      <c r="D61">
        <f>IF(A61&lt;=LastActual,"Actual","Forecast")</f>
        <v/>
      </c>
      <c r="E61" s="24">
        <f>'NSW-1'!E61</f>
        <v/>
      </c>
      <c r="F61" s="27">
        <f>IF($D61="Actual",S61,Cases_Forecast!AR54)</f>
        <v/>
      </c>
      <c r="G61" s="9">
        <f>IF($D61="Actual",T61,IFERROR(H61/AE61,0))</f>
        <v/>
      </c>
      <c r="H61" s="24">
        <f>IF($D61="Actual",U61,J61-I61)</f>
        <v/>
      </c>
      <c r="I61" s="24">
        <f>IF($D61="Actual",V61,IFERROR(J61*AD61,0))</f>
        <v/>
      </c>
      <c r="J61" s="24">
        <f>IF($D61="Actual",U61+V61,E61*X61)</f>
        <v/>
      </c>
      <c r="K61" s="28">
        <f>IFERROR(F61/G61,0)</f>
        <v/>
      </c>
      <c r="L61" s="29">
        <f>IFERROR(H61/G61,0)</f>
        <v/>
      </c>
      <c r="M61" s="30">
        <f>IFERROR(J61/F61,0)</f>
        <v/>
      </c>
      <c r="N61" s="10">
        <f>IFERROR(J61/E61,0)</f>
        <v/>
      </c>
      <c r="O61" s="10">
        <f>IFERROR(I61/J61,0)</f>
        <v/>
      </c>
      <c r="R61" s="42">
        <f>IF($D61="Actual",E61,"")</f>
        <v/>
      </c>
      <c r="S61" s="42">
        <f>IF($D61="Actual",SUMIFS(Data_Actuals!$D$2:$D$5000,Data_Actuals!$A$2:$A$5000,$A61,Data_Actuals!$B$2:$B$5000,$B$2),"")</f>
        <v/>
      </c>
      <c r="T61" s="42">
        <f>IF($D61="Actual",SUMIFS(Data_Actuals!$E$2:$E$5000,Data_Actuals!$A$2:$A$5000,$A61,Data_Actuals!$B$2:$B$5000,$B$2),"")</f>
        <v/>
      </c>
      <c r="U61" s="42">
        <f>IF($D61="Actual",SUMIFS(Data_Actuals!$F$2:$F$5000,Data_Actuals!$A$2:$A$5000,$A61,Data_Actuals!$B$2:$B$5000,$B$2),"")</f>
        <v/>
      </c>
      <c r="V61" s="42">
        <f>IF($D61="Actual",SUMIFS(Data_Actuals!$G$2:$G$5000,Data_Actuals!$A$2:$A$5000,$A61,Data_Actuals!$B$2:$B$5000,$B$2),"")</f>
        <v/>
      </c>
      <c r="W61" s="42">
        <f>SUMIFS(Plan_Inputs!$C$2:$C$5000,Plan_Inputs!$A$2:$A$5000,$A61,Plan_Inputs!$B$2:$B$5000,$B$2)</f>
        <v/>
      </c>
      <c r="X61" s="43">
        <f>SUMIFS(Plan_Inputs!$D$2:$D$5000,Plan_Inputs!$A$2:$A$5000,$A61,Plan_Inputs!$B$2:$B$5000,$B$2)</f>
        <v/>
      </c>
      <c r="Y61" s="42">
        <f>'NSW-1'!E61+'NSW-2'!E61</f>
        <v/>
      </c>
      <c r="Z61" s="44">
        <f>INDEX(Calendar!$H$5:$L$52,MATCH($A61,Calendar!$A$5:$A$52,0),MATCH($D$2,Calendar!$H$4:$L$4,0))</f>
        <v/>
      </c>
      <c r="AA61" s="44">
        <f>INDEX(Calendar!$M$5:$M$52,MATCH($A61,Calendar!$A$5:$A$52,0))</f>
        <v/>
      </c>
      <c r="AB61" s="45">
        <f>IF($D61="Actual",IFERROR(S61/Y61,""),AB49)</f>
        <v/>
      </c>
      <c r="AC61" s="46">
        <f>IF($D61="Actual",IFERROR(U61/T61/Z61/AA61,""),AC49)</f>
        <v/>
      </c>
      <c r="AD61" s="43">
        <f>IF($D61="Actual",IFERROR(V61/(U61+V61),""),AD49)</f>
        <v/>
      </c>
      <c r="AE61" s="46">
        <f>IFERROR(AC61*Z61*AA61,"")</f>
        <v/>
      </c>
      <c r="AF61" s="47">
        <f>K49</f>
        <v/>
      </c>
      <c r="AG61" s="43">
        <f>IF($D61="Forecast",IFERROR(K61/AF61-1,""),"")</f>
        <v/>
      </c>
    </row>
    <row r="62">
      <c r="A62" s="31" t="n">
        <v>47088</v>
      </c>
      <c r="B62" s="32">
        <f>YEAR(A62)</f>
        <v/>
      </c>
      <c r="C62" s="32">
        <f>MONTH(A62)</f>
        <v/>
      </c>
      <c r="D62" s="33">
        <f>IF(A62&lt;=LastActual,"Actual","Forecast")</f>
        <v/>
      </c>
      <c r="E62" s="34">
        <f>'NSW-1'!E62</f>
        <v/>
      </c>
      <c r="F62" s="35">
        <f>IF($D62="Actual",S62,Cases_Forecast!AR55)</f>
        <v/>
      </c>
      <c r="G62" s="36">
        <f>IF($D62="Actual",T62,IFERROR(H62/AE62,0))</f>
        <v/>
      </c>
      <c r="H62" s="34">
        <f>IF($D62="Actual",U62,J62-I62)</f>
        <v/>
      </c>
      <c r="I62" s="34">
        <f>IF($D62="Actual",V62,IFERROR(J62*AD62,0))</f>
        <v/>
      </c>
      <c r="J62" s="34">
        <f>IF($D62="Actual",U62+V62,E62*X62)</f>
        <v/>
      </c>
      <c r="K62" s="37">
        <f>IFERROR(F62/G62,0)</f>
        <v/>
      </c>
      <c r="L62" s="38">
        <f>IFERROR(H62/G62,0)</f>
        <v/>
      </c>
      <c r="M62" s="39">
        <f>IFERROR(J62/F62,0)</f>
        <v/>
      </c>
      <c r="N62" s="40">
        <f>IFERROR(J62/E62,0)</f>
        <v/>
      </c>
      <c r="O62" s="40">
        <f>IFERROR(I62/J62,0)</f>
        <v/>
      </c>
      <c r="R62" s="42">
        <f>IF($D62="Actual",E62,"")</f>
        <v/>
      </c>
      <c r="S62" s="42">
        <f>IF($D62="Actual",SUMIFS(Data_Actuals!$D$2:$D$5000,Data_Actuals!$A$2:$A$5000,$A62,Data_Actuals!$B$2:$B$5000,$B$2),"")</f>
        <v/>
      </c>
      <c r="T62" s="42">
        <f>IF($D62="Actual",SUMIFS(Data_Actuals!$E$2:$E$5000,Data_Actuals!$A$2:$A$5000,$A62,Data_Actuals!$B$2:$B$5000,$B$2),"")</f>
        <v/>
      </c>
      <c r="U62" s="42">
        <f>IF($D62="Actual",SUMIFS(Data_Actuals!$F$2:$F$5000,Data_Actuals!$A$2:$A$5000,$A62,Data_Actuals!$B$2:$B$5000,$B$2),"")</f>
        <v/>
      </c>
      <c r="V62" s="42">
        <f>IF($D62="Actual",SUMIFS(Data_Actuals!$G$2:$G$5000,Data_Actuals!$A$2:$A$5000,$A62,Data_Actuals!$B$2:$B$5000,$B$2),"")</f>
        <v/>
      </c>
      <c r="W62" s="42">
        <f>SUMIFS(Plan_Inputs!$C$2:$C$5000,Plan_Inputs!$A$2:$A$5000,$A62,Plan_Inputs!$B$2:$B$5000,$B$2)</f>
        <v/>
      </c>
      <c r="X62" s="43">
        <f>SUMIFS(Plan_Inputs!$D$2:$D$5000,Plan_Inputs!$A$2:$A$5000,$A62,Plan_Inputs!$B$2:$B$5000,$B$2)</f>
        <v/>
      </c>
      <c r="Y62" s="42">
        <f>'NSW-1'!E62+'NSW-2'!E62</f>
        <v/>
      </c>
      <c r="Z62" s="44">
        <f>INDEX(Calendar!$H$5:$L$52,MATCH($A62,Calendar!$A$5:$A$52,0),MATCH($D$2,Calendar!$H$4:$L$4,0))</f>
        <v/>
      </c>
      <c r="AA62" s="44">
        <f>INDEX(Calendar!$M$5:$M$52,MATCH($A62,Calendar!$A$5:$A$52,0))</f>
        <v/>
      </c>
      <c r="AB62" s="45">
        <f>IF($D62="Actual",IFERROR(S62/Y62,""),AB50)</f>
        <v/>
      </c>
      <c r="AC62" s="46">
        <f>IF($D62="Actual",IFERROR(U62/T62/Z62/AA62,""),AC50)</f>
        <v/>
      </c>
      <c r="AD62" s="43">
        <f>IF($D62="Actual",IFERROR(V62/(U62+V62),""),AD50)</f>
        <v/>
      </c>
      <c r="AE62" s="46">
        <f>IFERROR(AC62*Z62*AA62,"")</f>
        <v/>
      </c>
      <c r="AF62" s="47">
        <f>K50</f>
        <v/>
      </c>
      <c r="AG62" s="43">
        <f>IF($D62="Forecast",IFERROR(K62/AF62-1,""),"")</f>
        <v/>
      </c>
    </row>
  </sheetData>
  <mergeCells count="3">
    <mergeCell ref="K12:O12"/>
    <mergeCell ref="R12:AG12"/>
    <mergeCell ref="E12:J12"/>
  </mergeCells>
  <conditionalFormatting sqref="A15:O62">
    <cfRule type="expression" priority="1" dxfId="4">
      <formula>$D15="Forecast"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2E75B6"/>
    <outlinePr summaryBelow="1" summaryRight="1"/>
    <pageSetUpPr/>
  </sheetPr>
  <dimension ref="A1:AG62"/>
  <sheetViews>
    <sheetView workbookViewId="0">
      <pane xSplit="4" ySplit="14" topLeftCell="E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" customWidth="1" min="2" max="2"/>
    <col width="5" customWidth="1" min="3" max="3"/>
    <col width="9" customWidth="1" min="4" max="4"/>
    <col width="10" customWidth="1" min="5" max="5"/>
    <col width="10" customWidth="1" min="6" max="6"/>
    <col width="11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1" customWidth="1" min="15" max="15"/>
    <col width="2" customWidth="1" min="17" max="17"/>
    <col width="11" customWidth="1" min="18" max="18"/>
    <col width="11" customWidth="1" min="19" max="19"/>
    <col width="10" customWidth="1" min="20" max="20"/>
    <col width="11" customWidth="1" min="21" max="21"/>
    <col width="11" customWidth="1" min="22" max="22"/>
    <col width="12" customWidth="1" min="23" max="23"/>
    <col width="9" customWidth="1" min="24" max="24"/>
    <col width="12" customWidth="1" min="25" max="25"/>
    <col width="8" customWidth="1" min="26" max="26"/>
    <col width="8" customWidth="1" min="27" max="27"/>
    <col width="11" customWidth="1" min="28" max="28"/>
    <col width="12" customWidth="1" min="29" max="29"/>
    <col width="12" customWidth="1" min="30" max="30"/>
    <col width="11" customWidth="1" min="31" max="31"/>
    <col width="9" customWidth="1" min="32" max="32"/>
    <col width="9" customWidth="1" min="33" max="33"/>
  </cols>
  <sheetData>
    <row r="1">
      <c r="A1" s="2">
        <f>$B$2&amp;"  |  IDC  |  VIC  |  payroll % of "&amp;Inputs!$A$37&amp;" sales  |  volume from "&amp;Inputs!$A$37&amp;"+"&amp;Inputs!$A$40&amp;" sales"</f>
        <v/>
      </c>
    </row>
    <row r="2">
      <c r="A2" t="inlineStr">
        <is>
          <t>Code</t>
        </is>
      </c>
      <c r="B2" s="1">
        <f>Inputs!$A$45</f>
        <v/>
      </c>
      <c r="C2" t="inlineStr">
        <is>
          <t>State</t>
        </is>
      </c>
      <c r="D2" s="1" t="inlineStr">
        <is>
          <t>VIC</t>
        </is>
      </c>
    </row>
    <row r="5" ht="45" customHeight="1">
      <c r="A5" s="5" t="inlineStr">
        <is>
          <t>FY</t>
        </is>
      </c>
      <c r="D5" s="5" t="inlineStr">
        <is>
          <t>Status</t>
        </is>
      </c>
      <c r="E5" s="5" t="inlineStr">
        <is>
          <t>Sales</t>
        </is>
      </c>
      <c r="F5" s="5" t="inlineStr">
        <is>
          <t>Cases picked</t>
        </is>
      </c>
      <c r="G5" s="5" t="inlineStr">
        <is>
          <t>WH hours worked</t>
        </is>
      </c>
      <c r="H5" s="5" t="inlineStr">
        <is>
          <t>Staff payroll</t>
        </is>
      </c>
      <c r="I5" s="5" t="inlineStr">
        <is>
          <t>Leadership payroll</t>
        </is>
      </c>
      <c r="J5" s="5" t="inlineStr">
        <is>
          <t>Total payroll</t>
        </is>
      </c>
      <c r="K5" s="5" t="inlineStr">
        <is>
          <t>CPLH (cases / hr)</t>
        </is>
      </c>
      <c r="L5" s="5" t="inlineStr">
        <is>
          <t>Cost per hour (staff)</t>
        </is>
      </c>
      <c r="M5" s="5" t="inlineStr">
        <is>
          <t>Cost per case (total payroll)</t>
        </is>
      </c>
      <c r="N5" s="5" t="inlineStr">
        <is>
          <t>Total payroll % sales</t>
        </is>
      </c>
      <c r="O5" s="5" t="inlineStr">
        <is>
          <t>Leadership % of total payroll</t>
        </is>
      </c>
    </row>
    <row r="6">
      <c r="A6" s="15" t="n">
        <v>2025</v>
      </c>
      <c r="D6" s="16">
        <f>IF(DATE(A6,12,1)&lt;=LastActual,"Actual",IF(DATE(A6,1,1)&gt;LastActual,"Forecast","Blended"))</f>
        <v/>
      </c>
      <c r="E6" s="17">
        <f>SUMIFS($E$15:$E$62,$B$15:$B$62,$A6)</f>
        <v/>
      </c>
      <c r="F6" s="18">
        <f>SUMIFS($F$15:$F$62,$B$15:$B$62,$A6)</f>
        <v/>
      </c>
      <c r="G6" s="19">
        <f>SUMIFS($G$15:$G$62,$B$15:$B$62,$A6)</f>
        <v/>
      </c>
      <c r="H6" s="17">
        <f>SUMIFS($H$15:$H$62,$B$15:$B$62,$A6)</f>
        <v/>
      </c>
      <c r="I6" s="17">
        <f>SUMIFS($I$15:$I$62,$B$15:$B$62,$A6)</f>
        <v/>
      </c>
      <c r="J6" s="17">
        <f>SUMIFS($J$15:$J$62,$B$15:$B$62,$A6)</f>
        <v/>
      </c>
      <c r="K6" s="20">
        <f>IFERROR(F6/G6,0)</f>
        <v/>
      </c>
      <c r="L6" s="21">
        <f>IFERROR(H6/G6,0)</f>
        <v/>
      </c>
      <c r="M6" s="22">
        <f>IFERROR(J6/F6,0)</f>
        <v/>
      </c>
      <c r="N6" s="23">
        <f>IFERROR(J6/E6,0)</f>
        <v/>
      </c>
      <c r="O6" s="23">
        <f>IFERROR(I6/J6,0)</f>
        <v/>
      </c>
    </row>
    <row r="7">
      <c r="A7" s="15" t="n">
        <v>2026</v>
      </c>
      <c r="D7" s="16">
        <f>IF(DATE(A7,12,1)&lt;=LastActual,"Actual",IF(DATE(A7,1,1)&gt;LastActual,"Forecast","Blended"))</f>
        <v/>
      </c>
      <c r="E7" s="17">
        <f>SUMIFS($E$15:$E$62,$B$15:$B$62,$A7)</f>
        <v/>
      </c>
      <c r="F7" s="18">
        <f>SUMIFS($F$15:$F$62,$B$15:$B$62,$A7)</f>
        <v/>
      </c>
      <c r="G7" s="19">
        <f>SUMIFS($G$15:$G$62,$B$15:$B$62,$A7)</f>
        <v/>
      </c>
      <c r="H7" s="17">
        <f>SUMIFS($H$15:$H$62,$B$15:$B$62,$A7)</f>
        <v/>
      </c>
      <c r="I7" s="17">
        <f>SUMIFS($I$15:$I$62,$B$15:$B$62,$A7)</f>
        <v/>
      </c>
      <c r="J7" s="17">
        <f>SUMIFS($J$15:$J$62,$B$15:$B$62,$A7)</f>
        <v/>
      </c>
      <c r="K7" s="20">
        <f>IFERROR(F7/G7,0)</f>
        <v/>
      </c>
      <c r="L7" s="21">
        <f>IFERROR(H7/G7,0)</f>
        <v/>
      </c>
      <c r="M7" s="22">
        <f>IFERROR(J7/F7,0)</f>
        <v/>
      </c>
      <c r="N7" s="23">
        <f>IFERROR(J7/E7,0)</f>
        <v/>
      </c>
      <c r="O7" s="23">
        <f>IFERROR(I7/J7,0)</f>
        <v/>
      </c>
    </row>
    <row r="8">
      <c r="A8" s="15" t="n">
        <v>2027</v>
      </c>
      <c r="D8" s="16">
        <f>IF(DATE(A8,12,1)&lt;=LastActual,"Actual",IF(DATE(A8,1,1)&gt;LastActual,"Forecast","Blended"))</f>
        <v/>
      </c>
      <c r="E8" s="17">
        <f>SUMIFS($E$15:$E$62,$B$15:$B$62,$A8)</f>
        <v/>
      </c>
      <c r="F8" s="18">
        <f>SUMIFS($F$15:$F$62,$B$15:$B$62,$A8)</f>
        <v/>
      </c>
      <c r="G8" s="19">
        <f>SUMIFS($G$15:$G$62,$B$15:$B$62,$A8)</f>
        <v/>
      </c>
      <c r="H8" s="17">
        <f>SUMIFS($H$15:$H$62,$B$15:$B$62,$A8)</f>
        <v/>
      </c>
      <c r="I8" s="17">
        <f>SUMIFS($I$15:$I$62,$B$15:$B$62,$A8)</f>
        <v/>
      </c>
      <c r="J8" s="17">
        <f>SUMIFS($J$15:$J$62,$B$15:$B$62,$A8)</f>
        <v/>
      </c>
      <c r="K8" s="20">
        <f>IFERROR(F8/G8,0)</f>
        <v/>
      </c>
      <c r="L8" s="21">
        <f>IFERROR(H8/G8,0)</f>
        <v/>
      </c>
      <c r="M8" s="22">
        <f>IFERROR(J8/F8,0)</f>
        <v/>
      </c>
      <c r="N8" s="23">
        <f>IFERROR(J8/E8,0)</f>
        <v/>
      </c>
      <c r="O8" s="23">
        <f>IFERROR(I8/J8,0)</f>
        <v/>
      </c>
    </row>
    <row r="9">
      <c r="A9" s="15" t="n">
        <v>2028</v>
      </c>
      <c r="D9" s="16">
        <f>IF(DATE(A9,12,1)&lt;=LastActual,"Actual",IF(DATE(A9,1,1)&gt;LastActual,"Forecast","Blended"))</f>
        <v/>
      </c>
      <c r="E9" s="17">
        <f>SUMIFS($E$15:$E$62,$B$15:$B$62,$A9)</f>
        <v/>
      </c>
      <c r="F9" s="18">
        <f>SUMIFS($F$15:$F$62,$B$15:$B$62,$A9)</f>
        <v/>
      </c>
      <c r="G9" s="19">
        <f>SUMIFS($G$15:$G$62,$B$15:$B$62,$A9)</f>
        <v/>
      </c>
      <c r="H9" s="17">
        <f>SUMIFS($H$15:$H$62,$B$15:$B$62,$A9)</f>
        <v/>
      </c>
      <c r="I9" s="17">
        <f>SUMIFS($I$15:$I$62,$B$15:$B$62,$A9)</f>
        <v/>
      </c>
      <c r="J9" s="17">
        <f>SUMIFS($J$15:$J$62,$B$15:$B$62,$A9)</f>
        <v/>
      </c>
      <c r="K9" s="20">
        <f>IFERROR(F9/G9,0)</f>
        <v/>
      </c>
      <c r="L9" s="21">
        <f>IFERROR(H9/G9,0)</f>
        <v/>
      </c>
      <c r="M9" s="22">
        <f>IFERROR(J9/F9,0)</f>
        <v/>
      </c>
      <c r="N9" s="23">
        <f>IFERROR(J9/E9,0)</f>
        <v/>
      </c>
      <c r="O9" s="23">
        <f>IFERROR(I9/J9,0)</f>
        <v/>
      </c>
    </row>
    <row r="12">
      <c r="E12" s="5" t="inlineStr">
        <is>
          <t>Drivers</t>
        </is>
      </c>
      <c r="K12" s="5" t="inlineStr">
        <is>
          <t>Metrics</t>
        </is>
      </c>
      <c r="R12" s="5" t="inlineStr">
        <is>
          <t>Helper calculations (actuals, plan, same-month-last-year rates)</t>
        </is>
      </c>
    </row>
    <row r="13" ht="60" customHeight="1">
      <c r="A13" s="5" t="inlineStr">
        <is>
          <t>Month</t>
        </is>
      </c>
      <c r="B13" s="5" t="inlineStr">
        <is>
          <t>Year</t>
        </is>
      </c>
      <c r="C13" s="5" t="inlineStr">
        <is>
          <t>Mth</t>
        </is>
      </c>
      <c r="D13" s="5" t="inlineStr">
        <is>
          <t>Status</t>
        </is>
      </c>
      <c r="E13" s="5" t="inlineStr">
        <is>
          <t>Sales</t>
        </is>
      </c>
      <c r="F13" s="5" t="inlineStr">
        <is>
          <t>Cases picked</t>
        </is>
      </c>
      <c r="G13" s="5" t="inlineStr">
        <is>
          <t>WH hours worked</t>
        </is>
      </c>
      <c r="H13" s="5" t="inlineStr">
        <is>
          <t>Staff payroll</t>
        </is>
      </c>
      <c r="I13" s="5" t="inlineStr">
        <is>
          <t>Leadership payroll</t>
        </is>
      </c>
      <c r="J13" s="5" t="inlineStr">
        <is>
          <t>Total payroll</t>
        </is>
      </c>
      <c r="K13" s="5" t="inlineStr">
        <is>
          <t>CPLH (cases / hr)</t>
        </is>
      </c>
      <c r="L13" s="5" t="inlineStr">
        <is>
          <t>Cost per hour (staff)</t>
        </is>
      </c>
      <c r="M13" s="5" t="inlineStr">
        <is>
          <t>Cost per case (total payroll)</t>
        </is>
      </c>
      <c r="N13" s="5" t="inlineStr">
        <is>
          <t>Total payroll % sales</t>
        </is>
      </c>
      <c r="O13" s="5" t="inlineStr">
        <is>
          <t>Leadership % of total payroll</t>
        </is>
      </c>
      <c r="R13" s="41" t="inlineStr">
        <is>
          <t>Act sales</t>
        </is>
      </c>
      <c r="S13" s="41" t="inlineStr">
        <is>
          <t>Act cases</t>
        </is>
      </c>
      <c r="T13" s="41" t="inlineStr">
        <is>
          <t>Act hours</t>
        </is>
      </c>
      <c r="U13" s="41" t="inlineStr">
        <is>
          <t>Act staff $</t>
        </is>
      </c>
      <c r="V13" s="41" t="inlineStr">
        <is>
          <t>Act leadership $</t>
        </is>
      </c>
      <c r="W13" s="41" t="inlineStr">
        <is>
          <t>Plan sales</t>
        </is>
      </c>
      <c r="X13" s="41" t="inlineStr">
        <is>
          <t>Plan payroll %</t>
        </is>
      </c>
      <c r="Y13" s="41" t="inlineStr">
        <is>
          <t>Volume driver sales</t>
        </is>
      </c>
      <c r="Z13" s="41" t="inlineStr">
        <is>
          <t>PH factor</t>
        </is>
      </c>
      <c r="AA13" s="41" t="inlineStr">
        <is>
          <t>Wage index</t>
        </is>
      </c>
      <c r="AB13" s="41" t="inlineStr">
        <is>
          <t>Cases per $ (actual, else same month LY)</t>
        </is>
      </c>
      <c r="AC13" s="41" t="inlineStr">
        <is>
          <t>Cost per hour ex PH &amp; wage (actual, else same month LY)</t>
        </is>
      </c>
      <c r="AD13" s="41" t="inlineStr">
        <is>
          <t>Leadership share of total payroll (actual, else same month LY)</t>
        </is>
      </c>
      <c r="AE13" s="41" t="inlineStr">
        <is>
          <t>Fcst cost per hour (AC x PH x wage)</t>
        </is>
      </c>
      <c r="AF13" s="41" t="inlineStr">
        <is>
          <t>LY CPLH (same month)</t>
        </is>
      </c>
      <c r="AG13" s="41" t="inlineStr">
        <is>
          <t>Fcst CPLH vs LY</t>
        </is>
      </c>
    </row>
    <row r="14">
      <c r="E14" s="25" t="inlineStr">
        <is>
          <t>$m</t>
        </is>
      </c>
      <c r="F14" s="25" t="inlineStr">
        <is>
          <t>m</t>
        </is>
      </c>
      <c r="G14" s="25" t="inlineStr">
        <is>
          <t>#</t>
        </is>
      </c>
      <c r="H14" s="25" t="inlineStr">
        <is>
          <t>$m</t>
        </is>
      </c>
      <c r="I14" s="25" t="inlineStr">
        <is>
          <t>$m</t>
        </is>
      </c>
      <c r="J14" s="25" t="inlineStr">
        <is>
          <t>$m</t>
        </is>
      </c>
      <c r="K14" s="25" t="inlineStr">
        <is>
          <t>#</t>
        </is>
      </c>
      <c r="L14" s="25" t="inlineStr">
        <is>
          <t>$</t>
        </is>
      </c>
      <c r="M14" s="25" t="inlineStr">
        <is>
          <t>$</t>
        </is>
      </c>
      <c r="N14" s="25" t="inlineStr">
        <is>
          <t>%</t>
        </is>
      </c>
      <c r="O14" s="25" t="inlineStr">
        <is>
          <t>%</t>
        </is>
      </c>
    </row>
    <row r="15">
      <c r="A15" s="8" t="n">
        <v>45658</v>
      </c>
      <c r="B15" s="26">
        <f>YEAR(A15)</f>
        <v/>
      </c>
      <c r="C15" s="26">
        <f>MONTH(A15)</f>
        <v/>
      </c>
      <c r="D15">
        <f>IF(A15&lt;=LastActual,"Actual","Forecast")</f>
        <v/>
      </c>
      <c r="E15" s="24">
        <f>'VIC-1'!E15</f>
        <v/>
      </c>
      <c r="F15" s="27">
        <f>IF($D15="Actual",S15,Cases_Forecast!AS8)</f>
        <v/>
      </c>
      <c r="G15" s="9">
        <f>IF($D15="Actual",T15,IFERROR(H15/AE15,0))</f>
        <v/>
      </c>
      <c r="H15" s="24">
        <f>IF($D15="Actual",U15,J15-I15)</f>
        <v/>
      </c>
      <c r="I15" s="24">
        <f>IF($D15="Actual",V15,IFERROR(J15*AD15,0))</f>
        <v/>
      </c>
      <c r="J15" s="24">
        <f>IF($D15="Actual",U15+V15,E15*X15)</f>
        <v/>
      </c>
      <c r="K15" s="28">
        <f>IFERROR(F15/G15,0)</f>
        <v/>
      </c>
      <c r="L15" s="29">
        <f>IFERROR(H15/G15,0)</f>
        <v/>
      </c>
      <c r="M15" s="30">
        <f>IFERROR(J15/F15,0)</f>
        <v/>
      </c>
      <c r="N15" s="10">
        <f>IFERROR(J15/E15,0)</f>
        <v/>
      </c>
      <c r="O15" s="10">
        <f>IFERROR(I15/J15,0)</f>
        <v/>
      </c>
      <c r="R15" s="42">
        <f>IF($D15="Actual",E15,"")</f>
        <v/>
      </c>
      <c r="S15" s="42">
        <f>IF($D15="Actual",SUMIFS(Data_Actuals!$D$2:$D$5000,Data_Actuals!$A$2:$A$5000,$A15,Data_Actuals!$B$2:$B$5000,$B$2),"")</f>
        <v/>
      </c>
      <c r="T15" s="42">
        <f>IF($D15="Actual",SUMIFS(Data_Actuals!$E$2:$E$5000,Data_Actuals!$A$2:$A$5000,$A15,Data_Actuals!$B$2:$B$5000,$B$2),"")</f>
        <v/>
      </c>
      <c r="U15" s="42">
        <f>IF($D15="Actual",SUMIFS(Data_Actuals!$F$2:$F$5000,Data_Actuals!$A$2:$A$5000,$A15,Data_Actuals!$B$2:$B$5000,$B$2),"")</f>
        <v/>
      </c>
      <c r="V15" s="42">
        <f>IF($D15="Actual",SUMIFS(Data_Actuals!$G$2:$G$5000,Data_Actuals!$A$2:$A$5000,$A15,Data_Actuals!$B$2:$B$5000,$B$2),"")</f>
        <v/>
      </c>
      <c r="W15" s="42">
        <f>SUMIFS(Plan_Inputs!$C$2:$C$5000,Plan_Inputs!$A$2:$A$5000,$A15,Plan_Inputs!$B$2:$B$5000,$B$2)</f>
        <v/>
      </c>
      <c r="X15" s="43">
        <f>SUMIFS(Plan_Inputs!$D$2:$D$5000,Plan_Inputs!$A$2:$A$5000,$A15,Plan_Inputs!$B$2:$B$5000,$B$2)</f>
        <v/>
      </c>
      <c r="Y15" s="42">
        <f>'VIC-1'!E15+'VIC-2'!E15</f>
        <v/>
      </c>
      <c r="Z15" s="44">
        <f>INDEX(Calendar!$H$5:$L$52,MATCH($A15,Calendar!$A$5:$A$52,0),MATCH($D$2,Calendar!$H$4:$L$4,0))</f>
        <v/>
      </c>
      <c r="AA15" s="44">
        <f>INDEX(Calendar!$M$5:$M$52,MATCH($A15,Calendar!$A$5:$A$52,0))</f>
        <v/>
      </c>
      <c r="AB15" s="45">
        <f>IF($D15="Actual",IFERROR(S15/Y15,""),"")</f>
        <v/>
      </c>
      <c r="AC15" s="46">
        <f>IF($D15="Actual",IFERROR(U15/T15/Z15/AA15,""),"")</f>
        <v/>
      </c>
      <c r="AD15" s="43">
        <f>IF($D15="Actual",IFERROR(V15/(U15+V15),""),"")</f>
        <v/>
      </c>
      <c r="AE15" s="46">
        <f>IFERROR(AC15*Z15*AA15,"")</f>
        <v/>
      </c>
      <c r="AF15" s="47" t="n"/>
      <c r="AG15" s="43">
        <f>IF($D15="Forecast",IFERROR(K15/AF15-1,""),"")</f>
        <v/>
      </c>
    </row>
    <row r="16">
      <c r="A16" s="8" t="n">
        <v>45689</v>
      </c>
      <c r="B16" s="26">
        <f>YEAR(A16)</f>
        <v/>
      </c>
      <c r="C16" s="26">
        <f>MONTH(A16)</f>
        <v/>
      </c>
      <c r="D16">
        <f>IF(A16&lt;=LastActual,"Actual","Forecast")</f>
        <v/>
      </c>
      <c r="E16" s="24">
        <f>'VIC-1'!E16</f>
        <v/>
      </c>
      <c r="F16" s="27">
        <f>IF($D16="Actual",S16,Cases_Forecast!AS9)</f>
        <v/>
      </c>
      <c r="G16" s="9">
        <f>IF($D16="Actual",T16,IFERROR(H16/AE16,0))</f>
        <v/>
      </c>
      <c r="H16" s="24">
        <f>IF($D16="Actual",U16,J16-I16)</f>
        <v/>
      </c>
      <c r="I16" s="24">
        <f>IF($D16="Actual",V16,IFERROR(J16*AD16,0))</f>
        <v/>
      </c>
      <c r="J16" s="24">
        <f>IF($D16="Actual",U16+V16,E16*X16)</f>
        <v/>
      </c>
      <c r="K16" s="28">
        <f>IFERROR(F16/G16,0)</f>
        <v/>
      </c>
      <c r="L16" s="29">
        <f>IFERROR(H16/G16,0)</f>
        <v/>
      </c>
      <c r="M16" s="30">
        <f>IFERROR(J16/F16,0)</f>
        <v/>
      </c>
      <c r="N16" s="10">
        <f>IFERROR(J16/E16,0)</f>
        <v/>
      </c>
      <c r="O16" s="10">
        <f>IFERROR(I16/J16,0)</f>
        <v/>
      </c>
      <c r="R16" s="42">
        <f>IF($D16="Actual",E16,"")</f>
        <v/>
      </c>
      <c r="S16" s="42">
        <f>IF($D16="Actual",SUMIFS(Data_Actuals!$D$2:$D$5000,Data_Actuals!$A$2:$A$5000,$A16,Data_Actuals!$B$2:$B$5000,$B$2),"")</f>
        <v/>
      </c>
      <c r="T16" s="42">
        <f>IF($D16="Actual",SUMIFS(Data_Actuals!$E$2:$E$5000,Data_Actuals!$A$2:$A$5000,$A16,Data_Actuals!$B$2:$B$5000,$B$2),"")</f>
        <v/>
      </c>
      <c r="U16" s="42">
        <f>IF($D16="Actual",SUMIFS(Data_Actuals!$F$2:$F$5000,Data_Actuals!$A$2:$A$5000,$A16,Data_Actuals!$B$2:$B$5000,$B$2),"")</f>
        <v/>
      </c>
      <c r="V16" s="42">
        <f>IF($D16="Actual",SUMIFS(Data_Actuals!$G$2:$G$5000,Data_Actuals!$A$2:$A$5000,$A16,Data_Actuals!$B$2:$B$5000,$B$2),"")</f>
        <v/>
      </c>
      <c r="W16" s="42">
        <f>SUMIFS(Plan_Inputs!$C$2:$C$5000,Plan_Inputs!$A$2:$A$5000,$A16,Plan_Inputs!$B$2:$B$5000,$B$2)</f>
        <v/>
      </c>
      <c r="X16" s="43">
        <f>SUMIFS(Plan_Inputs!$D$2:$D$5000,Plan_Inputs!$A$2:$A$5000,$A16,Plan_Inputs!$B$2:$B$5000,$B$2)</f>
        <v/>
      </c>
      <c r="Y16" s="42">
        <f>'VIC-1'!E16+'VIC-2'!E16</f>
        <v/>
      </c>
      <c r="Z16" s="44">
        <f>INDEX(Calendar!$H$5:$L$52,MATCH($A16,Calendar!$A$5:$A$52,0),MATCH($D$2,Calendar!$H$4:$L$4,0))</f>
        <v/>
      </c>
      <c r="AA16" s="44">
        <f>INDEX(Calendar!$M$5:$M$52,MATCH($A16,Calendar!$A$5:$A$52,0))</f>
        <v/>
      </c>
      <c r="AB16" s="45">
        <f>IF($D16="Actual",IFERROR(S16/Y16,""),"")</f>
        <v/>
      </c>
      <c r="AC16" s="46">
        <f>IF($D16="Actual",IFERROR(U16/T16/Z16/AA16,""),"")</f>
        <v/>
      </c>
      <c r="AD16" s="43">
        <f>IF($D16="Actual",IFERROR(V16/(U16+V16),""),"")</f>
        <v/>
      </c>
      <c r="AE16" s="46">
        <f>IFERROR(AC16*Z16*AA16,"")</f>
        <v/>
      </c>
      <c r="AF16" s="47" t="n"/>
      <c r="AG16" s="43">
        <f>IF($D16="Forecast",IFERROR(K16/AF16-1,""),"")</f>
        <v/>
      </c>
    </row>
    <row r="17">
      <c r="A17" s="8" t="n">
        <v>45717</v>
      </c>
      <c r="B17" s="26">
        <f>YEAR(A17)</f>
        <v/>
      </c>
      <c r="C17" s="26">
        <f>MONTH(A17)</f>
        <v/>
      </c>
      <c r="D17">
        <f>IF(A17&lt;=LastActual,"Actual","Forecast")</f>
        <v/>
      </c>
      <c r="E17" s="24">
        <f>'VIC-1'!E17</f>
        <v/>
      </c>
      <c r="F17" s="27">
        <f>IF($D17="Actual",S17,Cases_Forecast!AS10)</f>
        <v/>
      </c>
      <c r="G17" s="9">
        <f>IF($D17="Actual",T17,IFERROR(H17/AE17,0))</f>
        <v/>
      </c>
      <c r="H17" s="24">
        <f>IF($D17="Actual",U17,J17-I17)</f>
        <v/>
      </c>
      <c r="I17" s="24">
        <f>IF($D17="Actual",V17,IFERROR(J17*AD17,0))</f>
        <v/>
      </c>
      <c r="J17" s="24">
        <f>IF($D17="Actual",U17+V17,E17*X17)</f>
        <v/>
      </c>
      <c r="K17" s="28">
        <f>IFERROR(F17/G17,0)</f>
        <v/>
      </c>
      <c r="L17" s="29">
        <f>IFERROR(H17/G17,0)</f>
        <v/>
      </c>
      <c r="M17" s="30">
        <f>IFERROR(J17/F17,0)</f>
        <v/>
      </c>
      <c r="N17" s="10">
        <f>IFERROR(J17/E17,0)</f>
        <v/>
      </c>
      <c r="O17" s="10">
        <f>IFERROR(I17/J17,0)</f>
        <v/>
      </c>
      <c r="R17" s="42">
        <f>IF($D17="Actual",E17,"")</f>
        <v/>
      </c>
      <c r="S17" s="42">
        <f>IF($D17="Actual",SUMIFS(Data_Actuals!$D$2:$D$5000,Data_Actuals!$A$2:$A$5000,$A17,Data_Actuals!$B$2:$B$5000,$B$2),"")</f>
        <v/>
      </c>
      <c r="T17" s="42">
        <f>IF($D17="Actual",SUMIFS(Data_Actuals!$E$2:$E$5000,Data_Actuals!$A$2:$A$5000,$A17,Data_Actuals!$B$2:$B$5000,$B$2),"")</f>
        <v/>
      </c>
      <c r="U17" s="42">
        <f>IF($D17="Actual",SUMIFS(Data_Actuals!$F$2:$F$5000,Data_Actuals!$A$2:$A$5000,$A17,Data_Actuals!$B$2:$B$5000,$B$2),"")</f>
        <v/>
      </c>
      <c r="V17" s="42">
        <f>IF($D17="Actual",SUMIFS(Data_Actuals!$G$2:$G$5000,Data_Actuals!$A$2:$A$5000,$A17,Data_Actuals!$B$2:$B$5000,$B$2),"")</f>
        <v/>
      </c>
      <c r="W17" s="42">
        <f>SUMIFS(Plan_Inputs!$C$2:$C$5000,Plan_Inputs!$A$2:$A$5000,$A17,Plan_Inputs!$B$2:$B$5000,$B$2)</f>
        <v/>
      </c>
      <c r="X17" s="43">
        <f>SUMIFS(Plan_Inputs!$D$2:$D$5000,Plan_Inputs!$A$2:$A$5000,$A17,Plan_Inputs!$B$2:$B$5000,$B$2)</f>
        <v/>
      </c>
      <c r="Y17" s="42">
        <f>'VIC-1'!E17+'VIC-2'!E17</f>
        <v/>
      </c>
      <c r="Z17" s="44">
        <f>INDEX(Calendar!$H$5:$L$52,MATCH($A17,Calendar!$A$5:$A$52,0),MATCH($D$2,Calendar!$H$4:$L$4,0))</f>
        <v/>
      </c>
      <c r="AA17" s="44">
        <f>INDEX(Calendar!$M$5:$M$52,MATCH($A17,Calendar!$A$5:$A$52,0))</f>
        <v/>
      </c>
      <c r="AB17" s="45">
        <f>IF($D17="Actual",IFERROR(S17/Y17,""),"")</f>
        <v/>
      </c>
      <c r="AC17" s="46">
        <f>IF($D17="Actual",IFERROR(U17/T17/Z17/AA17,""),"")</f>
        <v/>
      </c>
      <c r="AD17" s="43">
        <f>IF($D17="Actual",IFERROR(V17/(U17+V17),""),"")</f>
        <v/>
      </c>
      <c r="AE17" s="46">
        <f>IFERROR(AC17*Z17*AA17,"")</f>
        <v/>
      </c>
      <c r="AF17" s="47" t="n"/>
      <c r="AG17" s="43">
        <f>IF($D17="Forecast",IFERROR(K17/AF17-1,""),"")</f>
        <v/>
      </c>
    </row>
    <row r="18">
      <c r="A18" s="8" t="n">
        <v>45748</v>
      </c>
      <c r="B18" s="26">
        <f>YEAR(A18)</f>
        <v/>
      </c>
      <c r="C18" s="26">
        <f>MONTH(A18)</f>
        <v/>
      </c>
      <c r="D18">
        <f>IF(A18&lt;=LastActual,"Actual","Forecast")</f>
        <v/>
      </c>
      <c r="E18" s="24">
        <f>'VIC-1'!E18</f>
        <v/>
      </c>
      <c r="F18" s="27">
        <f>IF($D18="Actual",S18,Cases_Forecast!AS11)</f>
        <v/>
      </c>
      <c r="G18" s="9">
        <f>IF($D18="Actual",T18,IFERROR(H18/AE18,0))</f>
        <v/>
      </c>
      <c r="H18" s="24">
        <f>IF($D18="Actual",U18,J18-I18)</f>
        <v/>
      </c>
      <c r="I18" s="24">
        <f>IF($D18="Actual",V18,IFERROR(J18*AD18,0))</f>
        <v/>
      </c>
      <c r="J18" s="24">
        <f>IF($D18="Actual",U18+V18,E18*X18)</f>
        <v/>
      </c>
      <c r="K18" s="28">
        <f>IFERROR(F18/G18,0)</f>
        <v/>
      </c>
      <c r="L18" s="29">
        <f>IFERROR(H18/G18,0)</f>
        <v/>
      </c>
      <c r="M18" s="30">
        <f>IFERROR(J18/F18,0)</f>
        <v/>
      </c>
      <c r="N18" s="10">
        <f>IFERROR(J18/E18,0)</f>
        <v/>
      </c>
      <c r="O18" s="10">
        <f>IFERROR(I18/J18,0)</f>
        <v/>
      </c>
      <c r="R18" s="42">
        <f>IF($D18="Actual",E18,"")</f>
        <v/>
      </c>
      <c r="S18" s="42">
        <f>IF($D18="Actual",SUMIFS(Data_Actuals!$D$2:$D$5000,Data_Actuals!$A$2:$A$5000,$A18,Data_Actuals!$B$2:$B$5000,$B$2),"")</f>
        <v/>
      </c>
      <c r="T18" s="42">
        <f>IF($D18="Actual",SUMIFS(Data_Actuals!$E$2:$E$5000,Data_Actuals!$A$2:$A$5000,$A18,Data_Actuals!$B$2:$B$5000,$B$2),"")</f>
        <v/>
      </c>
      <c r="U18" s="42">
        <f>IF($D18="Actual",SUMIFS(Data_Actuals!$F$2:$F$5000,Data_Actuals!$A$2:$A$5000,$A18,Data_Actuals!$B$2:$B$5000,$B$2),"")</f>
        <v/>
      </c>
      <c r="V18" s="42">
        <f>IF($D18="Actual",SUMIFS(Data_Actuals!$G$2:$G$5000,Data_Actuals!$A$2:$A$5000,$A18,Data_Actuals!$B$2:$B$5000,$B$2),"")</f>
        <v/>
      </c>
      <c r="W18" s="42">
        <f>SUMIFS(Plan_Inputs!$C$2:$C$5000,Plan_Inputs!$A$2:$A$5000,$A18,Plan_Inputs!$B$2:$B$5000,$B$2)</f>
        <v/>
      </c>
      <c r="X18" s="43">
        <f>SUMIFS(Plan_Inputs!$D$2:$D$5000,Plan_Inputs!$A$2:$A$5000,$A18,Plan_Inputs!$B$2:$B$5000,$B$2)</f>
        <v/>
      </c>
      <c r="Y18" s="42">
        <f>'VIC-1'!E18+'VIC-2'!E18</f>
        <v/>
      </c>
      <c r="Z18" s="44">
        <f>INDEX(Calendar!$H$5:$L$52,MATCH($A18,Calendar!$A$5:$A$52,0),MATCH($D$2,Calendar!$H$4:$L$4,0))</f>
        <v/>
      </c>
      <c r="AA18" s="44">
        <f>INDEX(Calendar!$M$5:$M$52,MATCH($A18,Calendar!$A$5:$A$52,0))</f>
        <v/>
      </c>
      <c r="AB18" s="45">
        <f>IF($D18="Actual",IFERROR(S18/Y18,""),"")</f>
        <v/>
      </c>
      <c r="AC18" s="46">
        <f>IF($D18="Actual",IFERROR(U18/T18/Z18/AA18,""),"")</f>
        <v/>
      </c>
      <c r="AD18" s="43">
        <f>IF($D18="Actual",IFERROR(V18/(U18+V18),""),"")</f>
        <v/>
      </c>
      <c r="AE18" s="46">
        <f>IFERROR(AC18*Z18*AA18,"")</f>
        <v/>
      </c>
      <c r="AF18" s="47" t="n"/>
      <c r="AG18" s="43">
        <f>IF($D18="Forecast",IFERROR(K18/AF18-1,""),"")</f>
        <v/>
      </c>
    </row>
    <row r="19">
      <c r="A19" s="8" t="n">
        <v>45778</v>
      </c>
      <c r="B19" s="26">
        <f>YEAR(A19)</f>
        <v/>
      </c>
      <c r="C19" s="26">
        <f>MONTH(A19)</f>
        <v/>
      </c>
      <c r="D19">
        <f>IF(A19&lt;=LastActual,"Actual","Forecast")</f>
        <v/>
      </c>
      <c r="E19" s="24">
        <f>'VIC-1'!E19</f>
        <v/>
      </c>
      <c r="F19" s="27">
        <f>IF($D19="Actual",S19,Cases_Forecast!AS12)</f>
        <v/>
      </c>
      <c r="G19" s="9">
        <f>IF($D19="Actual",T19,IFERROR(H19/AE19,0))</f>
        <v/>
      </c>
      <c r="H19" s="24">
        <f>IF($D19="Actual",U19,J19-I19)</f>
        <v/>
      </c>
      <c r="I19" s="24">
        <f>IF($D19="Actual",V19,IFERROR(J19*AD19,0))</f>
        <v/>
      </c>
      <c r="J19" s="24">
        <f>IF($D19="Actual",U19+V19,E19*X19)</f>
        <v/>
      </c>
      <c r="K19" s="28">
        <f>IFERROR(F19/G19,0)</f>
        <v/>
      </c>
      <c r="L19" s="29">
        <f>IFERROR(H19/G19,0)</f>
        <v/>
      </c>
      <c r="M19" s="30">
        <f>IFERROR(J19/F19,0)</f>
        <v/>
      </c>
      <c r="N19" s="10">
        <f>IFERROR(J19/E19,0)</f>
        <v/>
      </c>
      <c r="O19" s="10">
        <f>IFERROR(I19/J19,0)</f>
        <v/>
      </c>
      <c r="R19" s="42">
        <f>IF($D19="Actual",E19,"")</f>
        <v/>
      </c>
      <c r="S19" s="42">
        <f>IF($D19="Actual",SUMIFS(Data_Actuals!$D$2:$D$5000,Data_Actuals!$A$2:$A$5000,$A19,Data_Actuals!$B$2:$B$5000,$B$2),"")</f>
        <v/>
      </c>
      <c r="T19" s="42">
        <f>IF($D19="Actual",SUMIFS(Data_Actuals!$E$2:$E$5000,Data_Actuals!$A$2:$A$5000,$A19,Data_Actuals!$B$2:$B$5000,$B$2),"")</f>
        <v/>
      </c>
      <c r="U19" s="42">
        <f>IF($D19="Actual",SUMIFS(Data_Actuals!$F$2:$F$5000,Data_Actuals!$A$2:$A$5000,$A19,Data_Actuals!$B$2:$B$5000,$B$2),"")</f>
        <v/>
      </c>
      <c r="V19" s="42">
        <f>IF($D19="Actual",SUMIFS(Data_Actuals!$G$2:$G$5000,Data_Actuals!$A$2:$A$5000,$A19,Data_Actuals!$B$2:$B$5000,$B$2),"")</f>
        <v/>
      </c>
      <c r="W19" s="42">
        <f>SUMIFS(Plan_Inputs!$C$2:$C$5000,Plan_Inputs!$A$2:$A$5000,$A19,Plan_Inputs!$B$2:$B$5000,$B$2)</f>
        <v/>
      </c>
      <c r="X19" s="43">
        <f>SUMIFS(Plan_Inputs!$D$2:$D$5000,Plan_Inputs!$A$2:$A$5000,$A19,Plan_Inputs!$B$2:$B$5000,$B$2)</f>
        <v/>
      </c>
      <c r="Y19" s="42">
        <f>'VIC-1'!E19+'VIC-2'!E19</f>
        <v/>
      </c>
      <c r="Z19" s="44">
        <f>INDEX(Calendar!$H$5:$L$52,MATCH($A19,Calendar!$A$5:$A$52,0),MATCH($D$2,Calendar!$H$4:$L$4,0))</f>
        <v/>
      </c>
      <c r="AA19" s="44">
        <f>INDEX(Calendar!$M$5:$M$52,MATCH($A19,Calendar!$A$5:$A$52,0))</f>
        <v/>
      </c>
      <c r="AB19" s="45">
        <f>IF($D19="Actual",IFERROR(S19/Y19,""),"")</f>
        <v/>
      </c>
      <c r="AC19" s="46">
        <f>IF($D19="Actual",IFERROR(U19/T19/Z19/AA19,""),"")</f>
        <v/>
      </c>
      <c r="AD19" s="43">
        <f>IF($D19="Actual",IFERROR(V19/(U19+V19),""),"")</f>
        <v/>
      </c>
      <c r="AE19" s="46">
        <f>IFERROR(AC19*Z19*AA19,"")</f>
        <v/>
      </c>
      <c r="AF19" s="47" t="n"/>
      <c r="AG19" s="43">
        <f>IF($D19="Forecast",IFERROR(K19/AF19-1,""),"")</f>
        <v/>
      </c>
    </row>
    <row r="20">
      <c r="A20" s="8" t="n">
        <v>45809</v>
      </c>
      <c r="B20" s="26">
        <f>YEAR(A20)</f>
        <v/>
      </c>
      <c r="C20" s="26">
        <f>MONTH(A20)</f>
        <v/>
      </c>
      <c r="D20">
        <f>IF(A20&lt;=LastActual,"Actual","Forecast")</f>
        <v/>
      </c>
      <c r="E20" s="24">
        <f>'VIC-1'!E20</f>
        <v/>
      </c>
      <c r="F20" s="27">
        <f>IF($D20="Actual",S20,Cases_Forecast!AS13)</f>
        <v/>
      </c>
      <c r="G20" s="9">
        <f>IF($D20="Actual",T20,IFERROR(H20/AE20,0))</f>
        <v/>
      </c>
      <c r="H20" s="24">
        <f>IF($D20="Actual",U20,J20-I20)</f>
        <v/>
      </c>
      <c r="I20" s="24">
        <f>IF($D20="Actual",V20,IFERROR(J20*AD20,0))</f>
        <v/>
      </c>
      <c r="J20" s="24">
        <f>IF($D20="Actual",U20+V20,E20*X20)</f>
        <v/>
      </c>
      <c r="K20" s="28">
        <f>IFERROR(F20/G20,0)</f>
        <v/>
      </c>
      <c r="L20" s="29">
        <f>IFERROR(H20/G20,0)</f>
        <v/>
      </c>
      <c r="M20" s="30">
        <f>IFERROR(J20/F20,0)</f>
        <v/>
      </c>
      <c r="N20" s="10">
        <f>IFERROR(J20/E20,0)</f>
        <v/>
      </c>
      <c r="O20" s="10">
        <f>IFERROR(I20/J20,0)</f>
        <v/>
      </c>
      <c r="R20" s="42">
        <f>IF($D20="Actual",E20,"")</f>
        <v/>
      </c>
      <c r="S20" s="42">
        <f>IF($D20="Actual",SUMIFS(Data_Actuals!$D$2:$D$5000,Data_Actuals!$A$2:$A$5000,$A20,Data_Actuals!$B$2:$B$5000,$B$2),"")</f>
        <v/>
      </c>
      <c r="T20" s="42">
        <f>IF($D20="Actual",SUMIFS(Data_Actuals!$E$2:$E$5000,Data_Actuals!$A$2:$A$5000,$A20,Data_Actuals!$B$2:$B$5000,$B$2),"")</f>
        <v/>
      </c>
      <c r="U20" s="42">
        <f>IF($D20="Actual",SUMIFS(Data_Actuals!$F$2:$F$5000,Data_Actuals!$A$2:$A$5000,$A20,Data_Actuals!$B$2:$B$5000,$B$2),"")</f>
        <v/>
      </c>
      <c r="V20" s="42">
        <f>IF($D20="Actual",SUMIFS(Data_Actuals!$G$2:$G$5000,Data_Actuals!$A$2:$A$5000,$A20,Data_Actuals!$B$2:$B$5000,$B$2),"")</f>
        <v/>
      </c>
      <c r="W20" s="42">
        <f>SUMIFS(Plan_Inputs!$C$2:$C$5000,Plan_Inputs!$A$2:$A$5000,$A20,Plan_Inputs!$B$2:$B$5000,$B$2)</f>
        <v/>
      </c>
      <c r="X20" s="43">
        <f>SUMIFS(Plan_Inputs!$D$2:$D$5000,Plan_Inputs!$A$2:$A$5000,$A20,Plan_Inputs!$B$2:$B$5000,$B$2)</f>
        <v/>
      </c>
      <c r="Y20" s="42">
        <f>'VIC-1'!E20+'VIC-2'!E20</f>
        <v/>
      </c>
      <c r="Z20" s="44">
        <f>INDEX(Calendar!$H$5:$L$52,MATCH($A20,Calendar!$A$5:$A$52,0),MATCH($D$2,Calendar!$H$4:$L$4,0))</f>
        <v/>
      </c>
      <c r="AA20" s="44">
        <f>INDEX(Calendar!$M$5:$M$52,MATCH($A20,Calendar!$A$5:$A$52,0))</f>
        <v/>
      </c>
      <c r="AB20" s="45">
        <f>IF($D20="Actual",IFERROR(S20/Y20,""),"")</f>
        <v/>
      </c>
      <c r="AC20" s="46">
        <f>IF($D20="Actual",IFERROR(U20/T20/Z20/AA20,""),"")</f>
        <v/>
      </c>
      <c r="AD20" s="43">
        <f>IF($D20="Actual",IFERROR(V20/(U20+V20),""),"")</f>
        <v/>
      </c>
      <c r="AE20" s="46">
        <f>IFERROR(AC20*Z20*AA20,"")</f>
        <v/>
      </c>
      <c r="AF20" s="47" t="n"/>
      <c r="AG20" s="43">
        <f>IF($D20="Forecast",IFERROR(K20/AF20-1,""),"")</f>
        <v/>
      </c>
    </row>
    <row r="21">
      <c r="A21" s="8" t="n">
        <v>45839</v>
      </c>
      <c r="B21" s="26">
        <f>YEAR(A21)</f>
        <v/>
      </c>
      <c r="C21" s="26">
        <f>MONTH(A21)</f>
        <v/>
      </c>
      <c r="D21">
        <f>IF(A21&lt;=LastActual,"Actual","Forecast")</f>
        <v/>
      </c>
      <c r="E21" s="24">
        <f>'VIC-1'!E21</f>
        <v/>
      </c>
      <c r="F21" s="27">
        <f>IF($D21="Actual",S21,Cases_Forecast!AS14)</f>
        <v/>
      </c>
      <c r="G21" s="9">
        <f>IF($D21="Actual",T21,IFERROR(H21/AE21,0))</f>
        <v/>
      </c>
      <c r="H21" s="24">
        <f>IF($D21="Actual",U21,J21-I21)</f>
        <v/>
      </c>
      <c r="I21" s="24">
        <f>IF($D21="Actual",V21,IFERROR(J21*AD21,0))</f>
        <v/>
      </c>
      <c r="J21" s="24">
        <f>IF($D21="Actual",U21+V21,E21*X21)</f>
        <v/>
      </c>
      <c r="K21" s="28">
        <f>IFERROR(F21/G21,0)</f>
        <v/>
      </c>
      <c r="L21" s="29">
        <f>IFERROR(H21/G21,0)</f>
        <v/>
      </c>
      <c r="M21" s="30">
        <f>IFERROR(J21/F21,0)</f>
        <v/>
      </c>
      <c r="N21" s="10">
        <f>IFERROR(J21/E21,0)</f>
        <v/>
      </c>
      <c r="O21" s="10">
        <f>IFERROR(I21/J21,0)</f>
        <v/>
      </c>
      <c r="R21" s="42">
        <f>IF($D21="Actual",E21,"")</f>
        <v/>
      </c>
      <c r="S21" s="42">
        <f>IF($D21="Actual",SUMIFS(Data_Actuals!$D$2:$D$5000,Data_Actuals!$A$2:$A$5000,$A21,Data_Actuals!$B$2:$B$5000,$B$2),"")</f>
        <v/>
      </c>
      <c r="T21" s="42">
        <f>IF($D21="Actual",SUMIFS(Data_Actuals!$E$2:$E$5000,Data_Actuals!$A$2:$A$5000,$A21,Data_Actuals!$B$2:$B$5000,$B$2),"")</f>
        <v/>
      </c>
      <c r="U21" s="42">
        <f>IF($D21="Actual",SUMIFS(Data_Actuals!$F$2:$F$5000,Data_Actuals!$A$2:$A$5000,$A21,Data_Actuals!$B$2:$B$5000,$B$2),"")</f>
        <v/>
      </c>
      <c r="V21" s="42">
        <f>IF($D21="Actual",SUMIFS(Data_Actuals!$G$2:$G$5000,Data_Actuals!$A$2:$A$5000,$A21,Data_Actuals!$B$2:$B$5000,$B$2),"")</f>
        <v/>
      </c>
      <c r="W21" s="42">
        <f>SUMIFS(Plan_Inputs!$C$2:$C$5000,Plan_Inputs!$A$2:$A$5000,$A21,Plan_Inputs!$B$2:$B$5000,$B$2)</f>
        <v/>
      </c>
      <c r="X21" s="43">
        <f>SUMIFS(Plan_Inputs!$D$2:$D$5000,Plan_Inputs!$A$2:$A$5000,$A21,Plan_Inputs!$B$2:$B$5000,$B$2)</f>
        <v/>
      </c>
      <c r="Y21" s="42">
        <f>'VIC-1'!E21+'VIC-2'!E21</f>
        <v/>
      </c>
      <c r="Z21" s="44">
        <f>INDEX(Calendar!$H$5:$L$52,MATCH($A21,Calendar!$A$5:$A$52,0),MATCH($D$2,Calendar!$H$4:$L$4,0))</f>
        <v/>
      </c>
      <c r="AA21" s="44">
        <f>INDEX(Calendar!$M$5:$M$52,MATCH($A21,Calendar!$A$5:$A$52,0))</f>
        <v/>
      </c>
      <c r="AB21" s="45">
        <f>IF($D21="Actual",IFERROR(S21/Y21,""),"")</f>
        <v/>
      </c>
      <c r="AC21" s="46">
        <f>IF($D21="Actual",IFERROR(U21/T21/Z21/AA21,""),"")</f>
        <v/>
      </c>
      <c r="AD21" s="43">
        <f>IF($D21="Actual",IFERROR(V21/(U21+V21),""),"")</f>
        <v/>
      </c>
      <c r="AE21" s="46">
        <f>IFERROR(AC21*Z21*AA21,"")</f>
        <v/>
      </c>
      <c r="AF21" s="47" t="n"/>
      <c r="AG21" s="43">
        <f>IF($D21="Forecast",IFERROR(K21/AF21-1,""),"")</f>
        <v/>
      </c>
    </row>
    <row r="22">
      <c r="A22" s="8" t="n">
        <v>45870</v>
      </c>
      <c r="B22" s="26">
        <f>YEAR(A22)</f>
        <v/>
      </c>
      <c r="C22" s="26">
        <f>MONTH(A22)</f>
        <v/>
      </c>
      <c r="D22">
        <f>IF(A22&lt;=LastActual,"Actual","Forecast")</f>
        <v/>
      </c>
      <c r="E22" s="24">
        <f>'VIC-1'!E22</f>
        <v/>
      </c>
      <c r="F22" s="27">
        <f>IF($D22="Actual",S22,Cases_Forecast!AS15)</f>
        <v/>
      </c>
      <c r="G22" s="9">
        <f>IF($D22="Actual",T22,IFERROR(H22/AE22,0))</f>
        <v/>
      </c>
      <c r="H22" s="24">
        <f>IF($D22="Actual",U22,J22-I22)</f>
        <v/>
      </c>
      <c r="I22" s="24">
        <f>IF($D22="Actual",V22,IFERROR(J22*AD22,0))</f>
        <v/>
      </c>
      <c r="J22" s="24">
        <f>IF($D22="Actual",U22+V22,E22*X22)</f>
        <v/>
      </c>
      <c r="K22" s="28">
        <f>IFERROR(F22/G22,0)</f>
        <v/>
      </c>
      <c r="L22" s="29">
        <f>IFERROR(H22/G22,0)</f>
        <v/>
      </c>
      <c r="M22" s="30">
        <f>IFERROR(J22/F22,0)</f>
        <v/>
      </c>
      <c r="N22" s="10">
        <f>IFERROR(J22/E22,0)</f>
        <v/>
      </c>
      <c r="O22" s="10">
        <f>IFERROR(I22/J22,0)</f>
        <v/>
      </c>
      <c r="R22" s="42">
        <f>IF($D22="Actual",E22,"")</f>
        <v/>
      </c>
      <c r="S22" s="42">
        <f>IF($D22="Actual",SUMIFS(Data_Actuals!$D$2:$D$5000,Data_Actuals!$A$2:$A$5000,$A22,Data_Actuals!$B$2:$B$5000,$B$2),"")</f>
        <v/>
      </c>
      <c r="T22" s="42">
        <f>IF($D22="Actual",SUMIFS(Data_Actuals!$E$2:$E$5000,Data_Actuals!$A$2:$A$5000,$A22,Data_Actuals!$B$2:$B$5000,$B$2),"")</f>
        <v/>
      </c>
      <c r="U22" s="42">
        <f>IF($D22="Actual",SUMIFS(Data_Actuals!$F$2:$F$5000,Data_Actuals!$A$2:$A$5000,$A22,Data_Actuals!$B$2:$B$5000,$B$2),"")</f>
        <v/>
      </c>
      <c r="V22" s="42">
        <f>IF($D22="Actual",SUMIFS(Data_Actuals!$G$2:$G$5000,Data_Actuals!$A$2:$A$5000,$A22,Data_Actuals!$B$2:$B$5000,$B$2),"")</f>
        <v/>
      </c>
      <c r="W22" s="42">
        <f>SUMIFS(Plan_Inputs!$C$2:$C$5000,Plan_Inputs!$A$2:$A$5000,$A22,Plan_Inputs!$B$2:$B$5000,$B$2)</f>
        <v/>
      </c>
      <c r="X22" s="43">
        <f>SUMIFS(Plan_Inputs!$D$2:$D$5000,Plan_Inputs!$A$2:$A$5000,$A22,Plan_Inputs!$B$2:$B$5000,$B$2)</f>
        <v/>
      </c>
      <c r="Y22" s="42">
        <f>'VIC-1'!E22+'VIC-2'!E22</f>
        <v/>
      </c>
      <c r="Z22" s="44">
        <f>INDEX(Calendar!$H$5:$L$52,MATCH($A22,Calendar!$A$5:$A$52,0),MATCH($D$2,Calendar!$H$4:$L$4,0))</f>
        <v/>
      </c>
      <c r="AA22" s="44">
        <f>INDEX(Calendar!$M$5:$M$52,MATCH($A22,Calendar!$A$5:$A$52,0))</f>
        <v/>
      </c>
      <c r="AB22" s="45">
        <f>IF($D22="Actual",IFERROR(S22/Y22,""),"")</f>
        <v/>
      </c>
      <c r="AC22" s="46">
        <f>IF($D22="Actual",IFERROR(U22/T22/Z22/AA22,""),"")</f>
        <v/>
      </c>
      <c r="AD22" s="43">
        <f>IF($D22="Actual",IFERROR(V22/(U22+V22),""),"")</f>
        <v/>
      </c>
      <c r="AE22" s="46">
        <f>IFERROR(AC22*Z22*AA22,"")</f>
        <v/>
      </c>
      <c r="AF22" s="47" t="n"/>
      <c r="AG22" s="43">
        <f>IF($D22="Forecast",IFERROR(K22/AF22-1,""),"")</f>
        <v/>
      </c>
    </row>
    <row r="23">
      <c r="A23" s="8" t="n">
        <v>45901</v>
      </c>
      <c r="B23" s="26">
        <f>YEAR(A23)</f>
        <v/>
      </c>
      <c r="C23" s="26">
        <f>MONTH(A23)</f>
        <v/>
      </c>
      <c r="D23">
        <f>IF(A23&lt;=LastActual,"Actual","Forecast")</f>
        <v/>
      </c>
      <c r="E23" s="24">
        <f>'VIC-1'!E23</f>
        <v/>
      </c>
      <c r="F23" s="27">
        <f>IF($D23="Actual",S23,Cases_Forecast!AS16)</f>
        <v/>
      </c>
      <c r="G23" s="9">
        <f>IF($D23="Actual",T23,IFERROR(H23/AE23,0))</f>
        <v/>
      </c>
      <c r="H23" s="24">
        <f>IF($D23="Actual",U23,J23-I23)</f>
        <v/>
      </c>
      <c r="I23" s="24">
        <f>IF($D23="Actual",V23,IFERROR(J23*AD23,0))</f>
        <v/>
      </c>
      <c r="J23" s="24">
        <f>IF($D23="Actual",U23+V23,E23*X23)</f>
        <v/>
      </c>
      <c r="K23" s="28">
        <f>IFERROR(F23/G23,0)</f>
        <v/>
      </c>
      <c r="L23" s="29">
        <f>IFERROR(H23/G23,0)</f>
        <v/>
      </c>
      <c r="M23" s="30">
        <f>IFERROR(J23/F23,0)</f>
        <v/>
      </c>
      <c r="N23" s="10">
        <f>IFERROR(J23/E23,0)</f>
        <v/>
      </c>
      <c r="O23" s="10">
        <f>IFERROR(I23/J23,0)</f>
        <v/>
      </c>
      <c r="R23" s="42">
        <f>IF($D23="Actual",E23,"")</f>
        <v/>
      </c>
      <c r="S23" s="42">
        <f>IF($D23="Actual",SUMIFS(Data_Actuals!$D$2:$D$5000,Data_Actuals!$A$2:$A$5000,$A23,Data_Actuals!$B$2:$B$5000,$B$2),"")</f>
        <v/>
      </c>
      <c r="T23" s="42">
        <f>IF($D23="Actual",SUMIFS(Data_Actuals!$E$2:$E$5000,Data_Actuals!$A$2:$A$5000,$A23,Data_Actuals!$B$2:$B$5000,$B$2),"")</f>
        <v/>
      </c>
      <c r="U23" s="42">
        <f>IF($D23="Actual",SUMIFS(Data_Actuals!$F$2:$F$5000,Data_Actuals!$A$2:$A$5000,$A23,Data_Actuals!$B$2:$B$5000,$B$2),"")</f>
        <v/>
      </c>
      <c r="V23" s="42">
        <f>IF($D23="Actual",SUMIFS(Data_Actuals!$G$2:$G$5000,Data_Actuals!$A$2:$A$5000,$A23,Data_Actuals!$B$2:$B$5000,$B$2),"")</f>
        <v/>
      </c>
      <c r="W23" s="42">
        <f>SUMIFS(Plan_Inputs!$C$2:$C$5000,Plan_Inputs!$A$2:$A$5000,$A23,Plan_Inputs!$B$2:$B$5000,$B$2)</f>
        <v/>
      </c>
      <c r="X23" s="43">
        <f>SUMIFS(Plan_Inputs!$D$2:$D$5000,Plan_Inputs!$A$2:$A$5000,$A23,Plan_Inputs!$B$2:$B$5000,$B$2)</f>
        <v/>
      </c>
      <c r="Y23" s="42">
        <f>'VIC-1'!E23+'VIC-2'!E23</f>
        <v/>
      </c>
      <c r="Z23" s="44">
        <f>INDEX(Calendar!$H$5:$L$52,MATCH($A23,Calendar!$A$5:$A$52,0),MATCH($D$2,Calendar!$H$4:$L$4,0))</f>
        <v/>
      </c>
      <c r="AA23" s="44">
        <f>INDEX(Calendar!$M$5:$M$52,MATCH($A23,Calendar!$A$5:$A$52,0))</f>
        <v/>
      </c>
      <c r="AB23" s="45">
        <f>IF($D23="Actual",IFERROR(S23/Y23,""),"")</f>
        <v/>
      </c>
      <c r="AC23" s="46">
        <f>IF($D23="Actual",IFERROR(U23/T23/Z23/AA23,""),"")</f>
        <v/>
      </c>
      <c r="AD23" s="43">
        <f>IF($D23="Actual",IFERROR(V23/(U23+V23),""),"")</f>
        <v/>
      </c>
      <c r="AE23" s="46">
        <f>IFERROR(AC23*Z23*AA23,"")</f>
        <v/>
      </c>
      <c r="AF23" s="47" t="n"/>
      <c r="AG23" s="43">
        <f>IF($D23="Forecast",IFERROR(K23/AF23-1,""),"")</f>
        <v/>
      </c>
    </row>
    <row r="24">
      <c r="A24" s="8" t="n">
        <v>45931</v>
      </c>
      <c r="B24" s="26">
        <f>YEAR(A24)</f>
        <v/>
      </c>
      <c r="C24" s="26">
        <f>MONTH(A24)</f>
        <v/>
      </c>
      <c r="D24">
        <f>IF(A24&lt;=LastActual,"Actual","Forecast")</f>
        <v/>
      </c>
      <c r="E24" s="24">
        <f>'VIC-1'!E24</f>
        <v/>
      </c>
      <c r="F24" s="27">
        <f>IF($D24="Actual",S24,Cases_Forecast!AS17)</f>
        <v/>
      </c>
      <c r="G24" s="9">
        <f>IF($D24="Actual",T24,IFERROR(H24/AE24,0))</f>
        <v/>
      </c>
      <c r="H24" s="24">
        <f>IF($D24="Actual",U24,J24-I24)</f>
        <v/>
      </c>
      <c r="I24" s="24">
        <f>IF($D24="Actual",V24,IFERROR(J24*AD24,0))</f>
        <v/>
      </c>
      <c r="J24" s="24">
        <f>IF($D24="Actual",U24+V24,E24*X24)</f>
        <v/>
      </c>
      <c r="K24" s="28">
        <f>IFERROR(F24/G24,0)</f>
        <v/>
      </c>
      <c r="L24" s="29">
        <f>IFERROR(H24/G24,0)</f>
        <v/>
      </c>
      <c r="M24" s="30">
        <f>IFERROR(J24/F24,0)</f>
        <v/>
      </c>
      <c r="N24" s="10">
        <f>IFERROR(J24/E24,0)</f>
        <v/>
      </c>
      <c r="O24" s="10">
        <f>IFERROR(I24/J24,0)</f>
        <v/>
      </c>
      <c r="R24" s="42">
        <f>IF($D24="Actual",E24,"")</f>
        <v/>
      </c>
      <c r="S24" s="42">
        <f>IF($D24="Actual",SUMIFS(Data_Actuals!$D$2:$D$5000,Data_Actuals!$A$2:$A$5000,$A24,Data_Actuals!$B$2:$B$5000,$B$2),"")</f>
        <v/>
      </c>
      <c r="T24" s="42">
        <f>IF($D24="Actual",SUMIFS(Data_Actuals!$E$2:$E$5000,Data_Actuals!$A$2:$A$5000,$A24,Data_Actuals!$B$2:$B$5000,$B$2),"")</f>
        <v/>
      </c>
      <c r="U24" s="42">
        <f>IF($D24="Actual",SUMIFS(Data_Actuals!$F$2:$F$5000,Data_Actuals!$A$2:$A$5000,$A24,Data_Actuals!$B$2:$B$5000,$B$2),"")</f>
        <v/>
      </c>
      <c r="V24" s="42">
        <f>IF($D24="Actual",SUMIFS(Data_Actuals!$G$2:$G$5000,Data_Actuals!$A$2:$A$5000,$A24,Data_Actuals!$B$2:$B$5000,$B$2),"")</f>
        <v/>
      </c>
      <c r="W24" s="42">
        <f>SUMIFS(Plan_Inputs!$C$2:$C$5000,Plan_Inputs!$A$2:$A$5000,$A24,Plan_Inputs!$B$2:$B$5000,$B$2)</f>
        <v/>
      </c>
      <c r="X24" s="43">
        <f>SUMIFS(Plan_Inputs!$D$2:$D$5000,Plan_Inputs!$A$2:$A$5000,$A24,Plan_Inputs!$B$2:$B$5000,$B$2)</f>
        <v/>
      </c>
      <c r="Y24" s="42">
        <f>'VIC-1'!E24+'VIC-2'!E24</f>
        <v/>
      </c>
      <c r="Z24" s="44">
        <f>INDEX(Calendar!$H$5:$L$52,MATCH($A24,Calendar!$A$5:$A$52,0),MATCH($D$2,Calendar!$H$4:$L$4,0))</f>
        <v/>
      </c>
      <c r="AA24" s="44">
        <f>INDEX(Calendar!$M$5:$M$52,MATCH($A24,Calendar!$A$5:$A$52,0))</f>
        <v/>
      </c>
      <c r="AB24" s="45">
        <f>IF($D24="Actual",IFERROR(S24/Y24,""),"")</f>
        <v/>
      </c>
      <c r="AC24" s="46">
        <f>IF($D24="Actual",IFERROR(U24/T24/Z24/AA24,""),"")</f>
        <v/>
      </c>
      <c r="AD24" s="43">
        <f>IF($D24="Actual",IFERROR(V24/(U24+V24),""),"")</f>
        <v/>
      </c>
      <c r="AE24" s="46">
        <f>IFERROR(AC24*Z24*AA24,"")</f>
        <v/>
      </c>
      <c r="AF24" s="47" t="n"/>
      <c r="AG24" s="43">
        <f>IF($D24="Forecast",IFERROR(K24/AF24-1,""),"")</f>
        <v/>
      </c>
    </row>
    <row r="25">
      <c r="A25" s="8" t="n">
        <v>45962</v>
      </c>
      <c r="B25" s="26">
        <f>YEAR(A25)</f>
        <v/>
      </c>
      <c r="C25" s="26">
        <f>MONTH(A25)</f>
        <v/>
      </c>
      <c r="D25">
        <f>IF(A25&lt;=LastActual,"Actual","Forecast")</f>
        <v/>
      </c>
      <c r="E25" s="24">
        <f>'VIC-1'!E25</f>
        <v/>
      </c>
      <c r="F25" s="27">
        <f>IF($D25="Actual",S25,Cases_Forecast!AS18)</f>
        <v/>
      </c>
      <c r="G25" s="9">
        <f>IF($D25="Actual",T25,IFERROR(H25/AE25,0))</f>
        <v/>
      </c>
      <c r="H25" s="24">
        <f>IF($D25="Actual",U25,J25-I25)</f>
        <v/>
      </c>
      <c r="I25" s="24">
        <f>IF($D25="Actual",V25,IFERROR(J25*AD25,0))</f>
        <v/>
      </c>
      <c r="J25" s="24">
        <f>IF($D25="Actual",U25+V25,E25*X25)</f>
        <v/>
      </c>
      <c r="K25" s="28">
        <f>IFERROR(F25/G25,0)</f>
        <v/>
      </c>
      <c r="L25" s="29">
        <f>IFERROR(H25/G25,0)</f>
        <v/>
      </c>
      <c r="M25" s="30">
        <f>IFERROR(J25/F25,0)</f>
        <v/>
      </c>
      <c r="N25" s="10">
        <f>IFERROR(J25/E25,0)</f>
        <v/>
      </c>
      <c r="O25" s="10">
        <f>IFERROR(I25/J25,0)</f>
        <v/>
      </c>
      <c r="R25" s="42">
        <f>IF($D25="Actual",E25,"")</f>
        <v/>
      </c>
      <c r="S25" s="42">
        <f>IF($D25="Actual",SUMIFS(Data_Actuals!$D$2:$D$5000,Data_Actuals!$A$2:$A$5000,$A25,Data_Actuals!$B$2:$B$5000,$B$2),"")</f>
        <v/>
      </c>
      <c r="T25" s="42">
        <f>IF($D25="Actual",SUMIFS(Data_Actuals!$E$2:$E$5000,Data_Actuals!$A$2:$A$5000,$A25,Data_Actuals!$B$2:$B$5000,$B$2),"")</f>
        <v/>
      </c>
      <c r="U25" s="42">
        <f>IF($D25="Actual",SUMIFS(Data_Actuals!$F$2:$F$5000,Data_Actuals!$A$2:$A$5000,$A25,Data_Actuals!$B$2:$B$5000,$B$2),"")</f>
        <v/>
      </c>
      <c r="V25" s="42">
        <f>IF($D25="Actual",SUMIFS(Data_Actuals!$G$2:$G$5000,Data_Actuals!$A$2:$A$5000,$A25,Data_Actuals!$B$2:$B$5000,$B$2),"")</f>
        <v/>
      </c>
      <c r="W25" s="42">
        <f>SUMIFS(Plan_Inputs!$C$2:$C$5000,Plan_Inputs!$A$2:$A$5000,$A25,Plan_Inputs!$B$2:$B$5000,$B$2)</f>
        <v/>
      </c>
      <c r="X25" s="43">
        <f>SUMIFS(Plan_Inputs!$D$2:$D$5000,Plan_Inputs!$A$2:$A$5000,$A25,Plan_Inputs!$B$2:$B$5000,$B$2)</f>
        <v/>
      </c>
      <c r="Y25" s="42">
        <f>'VIC-1'!E25+'VIC-2'!E25</f>
        <v/>
      </c>
      <c r="Z25" s="44">
        <f>INDEX(Calendar!$H$5:$L$52,MATCH($A25,Calendar!$A$5:$A$52,0),MATCH($D$2,Calendar!$H$4:$L$4,0))</f>
        <v/>
      </c>
      <c r="AA25" s="44">
        <f>INDEX(Calendar!$M$5:$M$52,MATCH($A25,Calendar!$A$5:$A$52,0))</f>
        <v/>
      </c>
      <c r="AB25" s="45">
        <f>IF($D25="Actual",IFERROR(S25/Y25,""),"")</f>
        <v/>
      </c>
      <c r="AC25" s="46">
        <f>IF($D25="Actual",IFERROR(U25/T25/Z25/AA25,""),"")</f>
        <v/>
      </c>
      <c r="AD25" s="43">
        <f>IF($D25="Actual",IFERROR(V25/(U25+V25),""),"")</f>
        <v/>
      </c>
      <c r="AE25" s="46">
        <f>IFERROR(AC25*Z25*AA25,"")</f>
        <v/>
      </c>
      <c r="AF25" s="47" t="n"/>
      <c r="AG25" s="43">
        <f>IF($D25="Forecast",IFERROR(K25/AF25-1,""),"")</f>
        <v/>
      </c>
    </row>
    <row r="26">
      <c r="A26" s="31" t="n">
        <v>45992</v>
      </c>
      <c r="B26" s="32">
        <f>YEAR(A26)</f>
        <v/>
      </c>
      <c r="C26" s="32">
        <f>MONTH(A26)</f>
        <v/>
      </c>
      <c r="D26" s="33">
        <f>IF(A26&lt;=LastActual,"Actual","Forecast")</f>
        <v/>
      </c>
      <c r="E26" s="34">
        <f>'VIC-1'!E26</f>
        <v/>
      </c>
      <c r="F26" s="35">
        <f>IF($D26="Actual",S26,Cases_Forecast!AS19)</f>
        <v/>
      </c>
      <c r="G26" s="36">
        <f>IF($D26="Actual",T26,IFERROR(H26/AE26,0))</f>
        <v/>
      </c>
      <c r="H26" s="34">
        <f>IF($D26="Actual",U26,J26-I26)</f>
        <v/>
      </c>
      <c r="I26" s="34">
        <f>IF($D26="Actual",V26,IFERROR(J26*AD26,0))</f>
        <v/>
      </c>
      <c r="J26" s="34">
        <f>IF($D26="Actual",U26+V26,E26*X26)</f>
        <v/>
      </c>
      <c r="K26" s="37">
        <f>IFERROR(F26/G26,0)</f>
        <v/>
      </c>
      <c r="L26" s="38">
        <f>IFERROR(H26/G26,0)</f>
        <v/>
      </c>
      <c r="M26" s="39">
        <f>IFERROR(J26/F26,0)</f>
        <v/>
      </c>
      <c r="N26" s="40">
        <f>IFERROR(J26/E26,0)</f>
        <v/>
      </c>
      <c r="O26" s="40">
        <f>IFERROR(I26/J26,0)</f>
        <v/>
      </c>
      <c r="R26" s="42">
        <f>IF($D26="Actual",E26,"")</f>
        <v/>
      </c>
      <c r="S26" s="42">
        <f>IF($D26="Actual",SUMIFS(Data_Actuals!$D$2:$D$5000,Data_Actuals!$A$2:$A$5000,$A26,Data_Actuals!$B$2:$B$5000,$B$2),"")</f>
        <v/>
      </c>
      <c r="T26" s="42">
        <f>IF($D26="Actual",SUMIFS(Data_Actuals!$E$2:$E$5000,Data_Actuals!$A$2:$A$5000,$A26,Data_Actuals!$B$2:$B$5000,$B$2),"")</f>
        <v/>
      </c>
      <c r="U26" s="42">
        <f>IF($D26="Actual",SUMIFS(Data_Actuals!$F$2:$F$5000,Data_Actuals!$A$2:$A$5000,$A26,Data_Actuals!$B$2:$B$5000,$B$2),"")</f>
        <v/>
      </c>
      <c r="V26" s="42">
        <f>IF($D26="Actual",SUMIFS(Data_Actuals!$G$2:$G$5000,Data_Actuals!$A$2:$A$5000,$A26,Data_Actuals!$B$2:$B$5000,$B$2),"")</f>
        <v/>
      </c>
      <c r="W26" s="42">
        <f>SUMIFS(Plan_Inputs!$C$2:$C$5000,Plan_Inputs!$A$2:$A$5000,$A26,Plan_Inputs!$B$2:$B$5000,$B$2)</f>
        <v/>
      </c>
      <c r="X26" s="43">
        <f>SUMIFS(Plan_Inputs!$D$2:$D$5000,Plan_Inputs!$A$2:$A$5000,$A26,Plan_Inputs!$B$2:$B$5000,$B$2)</f>
        <v/>
      </c>
      <c r="Y26" s="42">
        <f>'VIC-1'!E26+'VIC-2'!E26</f>
        <v/>
      </c>
      <c r="Z26" s="44">
        <f>INDEX(Calendar!$H$5:$L$52,MATCH($A26,Calendar!$A$5:$A$52,0),MATCH($D$2,Calendar!$H$4:$L$4,0))</f>
        <v/>
      </c>
      <c r="AA26" s="44">
        <f>INDEX(Calendar!$M$5:$M$52,MATCH($A26,Calendar!$A$5:$A$52,0))</f>
        <v/>
      </c>
      <c r="AB26" s="45">
        <f>IF($D26="Actual",IFERROR(S26/Y26,""),"")</f>
        <v/>
      </c>
      <c r="AC26" s="46">
        <f>IF($D26="Actual",IFERROR(U26/T26/Z26/AA26,""),"")</f>
        <v/>
      </c>
      <c r="AD26" s="43">
        <f>IF($D26="Actual",IFERROR(V26/(U26+V26),""),"")</f>
        <v/>
      </c>
      <c r="AE26" s="46">
        <f>IFERROR(AC26*Z26*AA26,"")</f>
        <v/>
      </c>
      <c r="AF26" s="47" t="n"/>
      <c r="AG26" s="43">
        <f>IF($D26="Forecast",IFERROR(K26/AF26-1,""),"")</f>
        <v/>
      </c>
    </row>
    <row r="27">
      <c r="A27" s="8" t="n">
        <v>46023</v>
      </c>
      <c r="B27" s="26">
        <f>YEAR(A27)</f>
        <v/>
      </c>
      <c r="C27" s="26">
        <f>MONTH(A27)</f>
        <v/>
      </c>
      <c r="D27">
        <f>IF(A27&lt;=LastActual,"Actual","Forecast")</f>
        <v/>
      </c>
      <c r="E27" s="24">
        <f>'VIC-1'!E27</f>
        <v/>
      </c>
      <c r="F27" s="27">
        <f>IF($D27="Actual",S27,Cases_Forecast!AS20)</f>
        <v/>
      </c>
      <c r="G27" s="9">
        <f>IF($D27="Actual",T27,IFERROR(H27/AE27,0))</f>
        <v/>
      </c>
      <c r="H27" s="24">
        <f>IF($D27="Actual",U27,J27-I27)</f>
        <v/>
      </c>
      <c r="I27" s="24">
        <f>IF($D27="Actual",V27,IFERROR(J27*AD27,0))</f>
        <v/>
      </c>
      <c r="J27" s="24">
        <f>IF($D27="Actual",U27+V27,E27*X27)</f>
        <v/>
      </c>
      <c r="K27" s="28">
        <f>IFERROR(F27/G27,0)</f>
        <v/>
      </c>
      <c r="L27" s="29">
        <f>IFERROR(H27/G27,0)</f>
        <v/>
      </c>
      <c r="M27" s="30">
        <f>IFERROR(J27/F27,0)</f>
        <v/>
      </c>
      <c r="N27" s="10">
        <f>IFERROR(J27/E27,0)</f>
        <v/>
      </c>
      <c r="O27" s="10">
        <f>IFERROR(I27/J27,0)</f>
        <v/>
      </c>
      <c r="R27" s="42">
        <f>IF($D27="Actual",E27,"")</f>
        <v/>
      </c>
      <c r="S27" s="42">
        <f>IF($D27="Actual",SUMIFS(Data_Actuals!$D$2:$D$5000,Data_Actuals!$A$2:$A$5000,$A27,Data_Actuals!$B$2:$B$5000,$B$2),"")</f>
        <v/>
      </c>
      <c r="T27" s="42">
        <f>IF($D27="Actual",SUMIFS(Data_Actuals!$E$2:$E$5000,Data_Actuals!$A$2:$A$5000,$A27,Data_Actuals!$B$2:$B$5000,$B$2),"")</f>
        <v/>
      </c>
      <c r="U27" s="42">
        <f>IF($D27="Actual",SUMIFS(Data_Actuals!$F$2:$F$5000,Data_Actuals!$A$2:$A$5000,$A27,Data_Actuals!$B$2:$B$5000,$B$2),"")</f>
        <v/>
      </c>
      <c r="V27" s="42">
        <f>IF($D27="Actual",SUMIFS(Data_Actuals!$G$2:$G$5000,Data_Actuals!$A$2:$A$5000,$A27,Data_Actuals!$B$2:$B$5000,$B$2),"")</f>
        <v/>
      </c>
      <c r="W27" s="42">
        <f>SUMIFS(Plan_Inputs!$C$2:$C$5000,Plan_Inputs!$A$2:$A$5000,$A27,Plan_Inputs!$B$2:$B$5000,$B$2)</f>
        <v/>
      </c>
      <c r="X27" s="43">
        <f>SUMIFS(Plan_Inputs!$D$2:$D$5000,Plan_Inputs!$A$2:$A$5000,$A27,Plan_Inputs!$B$2:$B$5000,$B$2)</f>
        <v/>
      </c>
      <c r="Y27" s="42">
        <f>'VIC-1'!E27+'VIC-2'!E27</f>
        <v/>
      </c>
      <c r="Z27" s="44">
        <f>INDEX(Calendar!$H$5:$L$52,MATCH($A27,Calendar!$A$5:$A$52,0),MATCH($D$2,Calendar!$H$4:$L$4,0))</f>
        <v/>
      </c>
      <c r="AA27" s="44">
        <f>INDEX(Calendar!$M$5:$M$52,MATCH($A27,Calendar!$A$5:$A$52,0))</f>
        <v/>
      </c>
      <c r="AB27" s="45">
        <f>IF($D27="Actual",IFERROR(S27/Y27,""),AB15)</f>
        <v/>
      </c>
      <c r="AC27" s="46">
        <f>IF($D27="Actual",IFERROR(U27/T27/Z27/AA27,""),AC15)</f>
        <v/>
      </c>
      <c r="AD27" s="43">
        <f>IF($D27="Actual",IFERROR(V27/(U27+V27),""),AD15)</f>
        <v/>
      </c>
      <c r="AE27" s="46">
        <f>IFERROR(AC27*Z27*AA27,"")</f>
        <v/>
      </c>
      <c r="AF27" s="47">
        <f>K15</f>
        <v/>
      </c>
      <c r="AG27" s="43">
        <f>IF($D27="Forecast",IFERROR(K27/AF27-1,""),"")</f>
        <v/>
      </c>
    </row>
    <row r="28">
      <c r="A28" s="8" t="n">
        <v>46054</v>
      </c>
      <c r="B28" s="26">
        <f>YEAR(A28)</f>
        <v/>
      </c>
      <c r="C28" s="26">
        <f>MONTH(A28)</f>
        <v/>
      </c>
      <c r="D28">
        <f>IF(A28&lt;=LastActual,"Actual","Forecast")</f>
        <v/>
      </c>
      <c r="E28" s="24">
        <f>'VIC-1'!E28</f>
        <v/>
      </c>
      <c r="F28" s="27">
        <f>IF($D28="Actual",S28,Cases_Forecast!AS21)</f>
        <v/>
      </c>
      <c r="G28" s="9">
        <f>IF($D28="Actual",T28,IFERROR(H28/AE28,0))</f>
        <v/>
      </c>
      <c r="H28" s="24">
        <f>IF($D28="Actual",U28,J28-I28)</f>
        <v/>
      </c>
      <c r="I28" s="24">
        <f>IF($D28="Actual",V28,IFERROR(J28*AD28,0))</f>
        <v/>
      </c>
      <c r="J28" s="24">
        <f>IF($D28="Actual",U28+V28,E28*X28)</f>
        <v/>
      </c>
      <c r="K28" s="28">
        <f>IFERROR(F28/G28,0)</f>
        <v/>
      </c>
      <c r="L28" s="29">
        <f>IFERROR(H28/G28,0)</f>
        <v/>
      </c>
      <c r="M28" s="30">
        <f>IFERROR(J28/F28,0)</f>
        <v/>
      </c>
      <c r="N28" s="10">
        <f>IFERROR(J28/E28,0)</f>
        <v/>
      </c>
      <c r="O28" s="10">
        <f>IFERROR(I28/J28,0)</f>
        <v/>
      </c>
      <c r="R28" s="42">
        <f>IF($D28="Actual",E28,"")</f>
        <v/>
      </c>
      <c r="S28" s="42">
        <f>IF($D28="Actual",SUMIFS(Data_Actuals!$D$2:$D$5000,Data_Actuals!$A$2:$A$5000,$A28,Data_Actuals!$B$2:$B$5000,$B$2),"")</f>
        <v/>
      </c>
      <c r="T28" s="42">
        <f>IF($D28="Actual",SUMIFS(Data_Actuals!$E$2:$E$5000,Data_Actuals!$A$2:$A$5000,$A28,Data_Actuals!$B$2:$B$5000,$B$2),"")</f>
        <v/>
      </c>
      <c r="U28" s="42">
        <f>IF($D28="Actual",SUMIFS(Data_Actuals!$F$2:$F$5000,Data_Actuals!$A$2:$A$5000,$A28,Data_Actuals!$B$2:$B$5000,$B$2),"")</f>
        <v/>
      </c>
      <c r="V28" s="42">
        <f>IF($D28="Actual",SUMIFS(Data_Actuals!$G$2:$G$5000,Data_Actuals!$A$2:$A$5000,$A28,Data_Actuals!$B$2:$B$5000,$B$2),"")</f>
        <v/>
      </c>
      <c r="W28" s="42">
        <f>SUMIFS(Plan_Inputs!$C$2:$C$5000,Plan_Inputs!$A$2:$A$5000,$A28,Plan_Inputs!$B$2:$B$5000,$B$2)</f>
        <v/>
      </c>
      <c r="X28" s="43">
        <f>SUMIFS(Plan_Inputs!$D$2:$D$5000,Plan_Inputs!$A$2:$A$5000,$A28,Plan_Inputs!$B$2:$B$5000,$B$2)</f>
        <v/>
      </c>
      <c r="Y28" s="42">
        <f>'VIC-1'!E28+'VIC-2'!E28</f>
        <v/>
      </c>
      <c r="Z28" s="44">
        <f>INDEX(Calendar!$H$5:$L$52,MATCH($A28,Calendar!$A$5:$A$52,0),MATCH($D$2,Calendar!$H$4:$L$4,0))</f>
        <v/>
      </c>
      <c r="AA28" s="44">
        <f>INDEX(Calendar!$M$5:$M$52,MATCH($A28,Calendar!$A$5:$A$52,0))</f>
        <v/>
      </c>
      <c r="AB28" s="45">
        <f>IF($D28="Actual",IFERROR(S28/Y28,""),AB16)</f>
        <v/>
      </c>
      <c r="AC28" s="46">
        <f>IF($D28="Actual",IFERROR(U28/T28/Z28/AA28,""),AC16)</f>
        <v/>
      </c>
      <c r="AD28" s="43">
        <f>IF($D28="Actual",IFERROR(V28/(U28+V28),""),AD16)</f>
        <v/>
      </c>
      <c r="AE28" s="46">
        <f>IFERROR(AC28*Z28*AA28,"")</f>
        <v/>
      </c>
      <c r="AF28" s="47">
        <f>K16</f>
        <v/>
      </c>
      <c r="AG28" s="43">
        <f>IF($D28="Forecast",IFERROR(K28/AF28-1,""),"")</f>
        <v/>
      </c>
    </row>
    <row r="29">
      <c r="A29" s="8" t="n">
        <v>46082</v>
      </c>
      <c r="B29" s="26">
        <f>YEAR(A29)</f>
        <v/>
      </c>
      <c r="C29" s="26">
        <f>MONTH(A29)</f>
        <v/>
      </c>
      <c r="D29">
        <f>IF(A29&lt;=LastActual,"Actual","Forecast")</f>
        <v/>
      </c>
      <c r="E29" s="24">
        <f>'VIC-1'!E29</f>
        <v/>
      </c>
      <c r="F29" s="27">
        <f>IF($D29="Actual",S29,Cases_Forecast!AS22)</f>
        <v/>
      </c>
      <c r="G29" s="9">
        <f>IF($D29="Actual",T29,IFERROR(H29/AE29,0))</f>
        <v/>
      </c>
      <c r="H29" s="24">
        <f>IF($D29="Actual",U29,J29-I29)</f>
        <v/>
      </c>
      <c r="I29" s="24">
        <f>IF($D29="Actual",V29,IFERROR(J29*AD29,0))</f>
        <v/>
      </c>
      <c r="J29" s="24">
        <f>IF($D29="Actual",U29+V29,E29*X29)</f>
        <v/>
      </c>
      <c r="K29" s="28">
        <f>IFERROR(F29/G29,0)</f>
        <v/>
      </c>
      <c r="L29" s="29">
        <f>IFERROR(H29/G29,0)</f>
        <v/>
      </c>
      <c r="M29" s="30">
        <f>IFERROR(J29/F29,0)</f>
        <v/>
      </c>
      <c r="N29" s="10">
        <f>IFERROR(J29/E29,0)</f>
        <v/>
      </c>
      <c r="O29" s="10">
        <f>IFERROR(I29/J29,0)</f>
        <v/>
      </c>
      <c r="R29" s="42">
        <f>IF($D29="Actual",E29,"")</f>
        <v/>
      </c>
      <c r="S29" s="42">
        <f>IF($D29="Actual",SUMIFS(Data_Actuals!$D$2:$D$5000,Data_Actuals!$A$2:$A$5000,$A29,Data_Actuals!$B$2:$B$5000,$B$2),"")</f>
        <v/>
      </c>
      <c r="T29" s="42">
        <f>IF($D29="Actual",SUMIFS(Data_Actuals!$E$2:$E$5000,Data_Actuals!$A$2:$A$5000,$A29,Data_Actuals!$B$2:$B$5000,$B$2),"")</f>
        <v/>
      </c>
      <c r="U29" s="42">
        <f>IF($D29="Actual",SUMIFS(Data_Actuals!$F$2:$F$5000,Data_Actuals!$A$2:$A$5000,$A29,Data_Actuals!$B$2:$B$5000,$B$2),"")</f>
        <v/>
      </c>
      <c r="V29" s="42">
        <f>IF($D29="Actual",SUMIFS(Data_Actuals!$G$2:$G$5000,Data_Actuals!$A$2:$A$5000,$A29,Data_Actuals!$B$2:$B$5000,$B$2),"")</f>
        <v/>
      </c>
      <c r="W29" s="42">
        <f>SUMIFS(Plan_Inputs!$C$2:$C$5000,Plan_Inputs!$A$2:$A$5000,$A29,Plan_Inputs!$B$2:$B$5000,$B$2)</f>
        <v/>
      </c>
      <c r="X29" s="43">
        <f>SUMIFS(Plan_Inputs!$D$2:$D$5000,Plan_Inputs!$A$2:$A$5000,$A29,Plan_Inputs!$B$2:$B$5000,$B$2)</f>
        <v/>
      </c>
      <c r="Y29" s="42">
        <f>'VIC-1'!E29+'VIC-2'!E29</f>
        <v/>
      </c>
      <c r="Z29" s="44">
        <f>INDEX(Calendar!$H$5:$L$52,MATCH($A29,Calendar!$A$5:$A$52,0),MATCH($D$2,Calendar!$H$4:$L$4,0))</f>
        <v/>
      </c>
      <c r="AA29" s="44">
        <f>INDEX(Calendar!$M$5:$M$52,MATCH($A29,Calendar!$A$5:$A$52,0))</f>
        <v/>
      </c>
      <c r="AB29" s="45">
        <f>IF($D29="Actual",IFERROR(S29/Y29,""),AB17)</f>
        <v/>
      </c>
      <c r="AC29" s="46">
        <f>IF($D29="Actual",IFERROR(U29/T29/Z29/AA29,""),AC17)</f>
        <v/>
      </c>
      <c r="AD29" s="43">
        <f>IF($D29="Actual",IFERROR(V29/(U29+V29),""),AD17)</f>
        <v/>
      </c>
      <c r="AE29" s="46">
        <f>IFERROR(AC29*Z29*AA29,"")</f>
        <v/>
      </c>
      <c r="AF29" s="47">
        <f>K17</f>
        <v/>
      </c>
      <c r="AG29" s="43">
        <f>IF($D29="Forecast",IFERROR(K29/AF29-1,""),"")</f>
        <v/>
      </c>
    </row>
    <row r="30">
      <c r="A30" s="8" t="n">
        <v>46113</v>
      </c>
      <c r="B30" s="26">
        <f>YEAR(A30)</f>
        <v/>
      </c>
      <c r="C30" s="26">
        <f>MONTH(A30)</f>
        <v/>
      </c>
      <c r="D30">
        <f>IF(A30&lt;=LastActual,"Actual","Forecast")</f>
        <v/>
      </c>
      <c r="E30" s="24">
        <f>'VIC-1'!E30</f>
        <v/>
      </c>
      <c r="F30" s="27">
        <f>IF($D30="Actual",S30,Cases_Forecast!AS23)</f>
        <v/>
      </c>
      <c r="G30" s="9">
        <f>IF($D30="Actual",T30,IFERROR(H30/AE30,0))</f>
        <v/>
      </c>
      <c r="H30" s="24">
        <f>IF($D30="Actual",U30,J30-I30)</f>
        <v/>
      </c>
      <c r="I30" s="24">
        <f>IF($D30="Actual",V30,IFERROR(J30*AD30,0))</f>
        <v/>
      </c>
      <c r="J30" s="24">
        <f>IF($D30="Actual",U30+V30,E30*X30)</f>
        <v/>
      </c>
      <c r="K30" s="28">
        <f>IFERROR(F30/G30,0)</f>
        <v/>
      </c>
      <c r="L30" s="29">
        <f>IFERROR(H30/G30,0)</f>
        <v/>
      </c>
      <c r="M30" s="30">
        <f>IFERROR(J30/F30,0)</f>
        <v/>
      </c>
      <c r="N30" s="10">
        <f>IFERROR(J30/E30,0)</f>
        <v/>
      </c>
      <c r="O30" s="10">
        <f>IFERROR(I30/J30,0)</f>
        <v/>
      </c>
      <c r="R30" s="42">
        <f>IF($D30="Actual",E30,"")</f>
        <v/>
      </c>
      <c r="S30" s="42">
        <f>IF($D30="Actual",SUMIFS(Data_Actuals!$D$2:$D$5000,Data_Actuals!$A$2:$A$5000,$A30,Data_Actuals!$B$2:$B$5000,$B$2),"")</f>
        <v/>
      </c>
      <c r="T30" s="42">
        <f>IF($D30="Actual",SUMIFS(Data_Actuals!$E$2:$E$5000,Data_Actuals!$A$2:$A$5000,$A30,Data_Actuals!$B$2:$B$5000,$B$2),"")</f>
        <v/>
      </c>
      <c r="U30" s="42">
        <f>IF($D30="Actual",SUMIFS(Data_Actuals!$F$2:$F$5000,Data_Actuals!$A$2:$A$5000,$A30,Data_Actuals!$B$2:$B$5000,$B$2),"")</f>
        <v/>
      </c>
      <c r="V30" s="42">
        <f>IF($D30="Actual",SUMIFS(Data_Actuals!$G$2:$G$5000,Data_Actuals!$A$2:$A$5000,$A30,Data_Actuals!$B$2:$B$5000,$B$2),"")</f>
        <v/>
      </c>
      <c r="W30" s="42">
        <f>SUMIFS(Plan_Inputs!$C$2:$C$5000,Plan_Inputs!$A$2:$A$5000,$A30,Plan_Inputs!$B$2:$B$5000,$B$2)</f>
        <v/>
      </c>
      <c r="X30" s="43">
        <f>SUMIFS(Plan_Inputs!$D$2:$D$5000,Plan_Inputs!$A$2:$A$5000,$A30,Plan_Inputs!$B$2:$B$5000,$B$2)</f>
        <v/>
      </c>
      <c r="Y30" s="42">
        <f>'VIC-1'!E30+'VIC-2'!E30</f>
        <v/>
      </c>
      <c r="Z30" s="44">
        <f>INDEX(Calendar!$H$5:$L$52,MATCH($A30,Calendar!$A$5:$A$52,0),MATCH($D$2,Calendar!$H$4:$L$4,0))</f>
        <v/>
      </c>
      <c r="AA30" s="44">
        <f>INDEX(Calendar!$M$5:$M$52,MATCH($A30,Calendar!$A$5:$A$52,0))</f>
        <v/>
      </c>
      <c r="AB30" s="45">
        <f>IF($D30="Actual",IFERROR(S30/Y30,""),AB18)</f>
        <v/>
      </c>
      <c r="AC30" s="46">
        <f>IF($D30="Actual",IFERROR(U30/T30/Z30/AA30,""),AC18)</f>
        <v/>
      </c>
      <c r="AD30" s="43">
        <f>IF($D30="Actual",IFERROR(V30/(U30+V30),""),AD18)</f>
        <v/>
      </c>
      <c r="AE30" s="46">
        <f>IFERROR(AC30*Z30*AA30,"")</f>
        <v/>
      </c>
      <c r="AF30" s="47">
        <f>K18</f>
        <v/>
      </c>
      <c r="AG30" s="43">
        <f>IF($D30="Forecast",IFERROR(K30/AF30-1,""),"")</f>
        <v/>
      </c>
    </row>
    <row r="31">
      <c r="A31" s="8" t="n">
        <v>46143</v>
      </c>
      <c r="B31" s="26">
        <f>YEAR(A31)</f>
        <v/>
      </c>
      <c r="C31" s="26">
        <f>MONTH(A31)</f>
        <v/>
      </c>
      <c r="D31">
        <f>IF(A31&lt;=LastActual,"Actual","Forecast")</f>
        <v/>
      </c>
      <c r="E31" s="24">
        <f>'VIC-1'!E31</f>
        <v/>
      </c>
      <c r="F31" s="27">
        <f>IF($D31="Actual",S31,Cases_Forecast!AS24)</f>
        <v/>
      </c>
      <c r="G31" s="9">
        <f>IF($D31="Actual",T31,IFERROR(H31/AE31,0))</f>
        <v/>
      </c>
      <c r="H31" s="24">
        <f>IF($D31="Actual",U31,J31-I31)</f>
        <v/>
      </c>
      <c r="I31" s="24">
        <f>IF($D31="Actual",V31,IFERROR(J31*AD31,0))</f>
        <v/>
      </c>
      <c r="J31" s="24">
        <f>IF($D31="Actual",U31+V31,E31*X31)</f>
        <v/>
      </c>
      <c r="K31" s="28">
        <f>IFERROR(F31/G31,0)</f>
        <v/>
      </c>
      <c r="L31" s="29">
        <f>IFERROR(H31/G31,0)</f>
        <v/>
      </c>
      <c r="M31" s="30">
        <f>IFERROR(J31/F31,0)</f>
        <v/>
      </c>
      <c r="N31" s="10">
        <f>IFERROR(J31/E31,0)</f>
        <v/>
      </c>
      <c r="O31" s="10">
        <f>IFERROR(I31/J31,0)</f>
        <v/>
      </c>
      <c r="R31" s="42">
        <f>IF($D31="Actual",E31,"")</f>
        <v/>
      </c>
      <c r="S31" s="42">
        <f>IF($D31="Actual",SUMIFS(Data_Actuals!$D$2:$D$5000,Data_Actuals!$A$2:$A$5000,$A31,Data_Actuals!$B$2:$B$5000,$B$2),"")</f>
        <v/>
      </c>
      <c r="T31" s="42">
        <f>IF($D31="Actual",SUMIFS(Data_Actuals!$E$2:$E$5000,Data_Actuals!$A$2:$A$5000,$A31,Data_Actuals!$B$2:$B$5000,$B$2),"")</f>
        <v/>
      </c>
      <c r="U31" s="42">
        <f>IF($D31="Actual",SUMIFS(Data_Actuals!$F$2:$F$5000,Data_Actuals!$A$2:$A$5000,$A31,Data_Actuals!$B$2:$B$5000,$B$2),"")</f>
        <v/>
      </c>
      <c r="V31" s="42">
        <f>IF($D31="Actual",SUMIFS(Data_Actuals!$G$2:$G$5000,Data_Actuals!$A$2:$A$5000,$A31,Data_Actuals!$B$2:$B$5000,$B$2),"")</f>
        <v/>
      </c>
      <c r="W31" s="42">
        <f>SUMIFS(Plan_Inputs!$C$2:$C$5000,Plan_Inputs!$A$2:$A$5000,$A31,Plan_Inputs!$B$2:$B$5000,$B$2)</f>
        <v/>
      </c>
      <c r="X31" s="43">
        <f>SUMIFS(Plan_Inputs!$D$2:$D$5000,Plan_Inputs!$A$2:$A$5000,$A31,Plan_Inputs!$B$2:$B$5000,$B$2)</f>
        <v/>
      </c>
      <c r="Y31" s="42">
        <f>'VIC-1'!E31+'VIC-2'!E31</f>
        <v/>
      </c>
      <c r="Z31" s="44">
        <f>INDEX(Calendar!$H$5:$L$52,MATCH($A31,Calendar!$A$5:$A$52,0),MATCH($D$2,Calendar!$H$4:$L$4,0))</f>
        <v/>
      </c>
      <c r="AA31" s="44">
        <f>INDEX(Calendar!$M$5:$M$52,MATCH($A31,Calendar!$A$5:$A$52,0))</f>
        <v/>
      </c>
      <c r="AB31" s="45">
        <f>IF($D31="Actual",IFERROR(S31/Y31,""),AB19)</f>
        <v/>
      </c>
      <c r="AC31" s="46">
        <f>IF($D31="Actual",IFERROR(U31/T31/Z31/AA31,""),AC19)</f>
        <v/>
      </c>
      <c r="AD31" s="43">
        <f>IF($D31="Actual",IFERROR(V31/(U31+V31),""),AD19)</f>
        <v/>
      </c>
      <c r="AE31" s="46">
        <f>IFERROR(AC31*Z31*AA31,"")</f>
        <v/>
      </c>
      <c r="AF31" s="47">
        <f>K19</f>
        <v/>
      </c>
      <c r="AG31" s="43">
        <f>IF($D31="Forecast",IFERROR(K31/AF31-1,""),"")</f>
        <v/>
      </c>
    </row>
    <row r="32">
      <c r="A32" s="8" t="n">
        <v>46174</v>
      </c>
      <c r="B32" s="26">
        <f>YEAR(A32)</f>
        <v/>
      </c>
      <c r="C32" s="26">
        <f>MONTH(A32)</f>
        <v/>
      </c>
      <c r="D32">
        <f>IF(A32&lt;=LastActual,"Actual","Forecast")</f>
        <v/>
      </c>
      <c r="E32" s="24">
        <f>'VIC-1'!E32</f>
        <v/>
      </c>
      <c r="F32" s="27">
        <f>IF($D32="Actual",S32,Cases_Forecast!AS25)</f>
        <v/>
      </c>
      <c r="G32" s="9">
        <f>IF($D32="Actual",T32,IFERROR(H32/AE32,0))</f>
        <v/>
      </c>
      <c r="H32" s="24">
        <f>IF($D32="Actual",U32,J32-I32)</f>
        <v/>
      </c>
      <c r="I32" s="24">
        <f>IF($D32="Actual",V32,IFERROR(J32*AD32,0))</f>
        <v/>
      </c>
      <c r="J32" s="24">
        <f>IF($D32="Actual",U32+V32,E32*X32)</f>
        <v/>
      </c>
      <c r="K32" s="28">
        <f>IFERROR(F32/G32,0)</f>
        <v/>
      </c>
      <c r="L32" s="29">
        <f>IFERROR(H32/G32,0)</f>
        <v/>
      </c>
      <c r="M32" s="30">
        <f>IFERROR(J32/F32,0)</f>
        <v/>
      </c>
      <c r="N32" s="10">
        <f>IFERROR(J32/E32,0)</f>
        <v/>
      </c>
      <c r="O32" s="10">
        <f>IFERROR(I32/J32,0)</f>
        <v/>
      </c>
      <c r="R32" s="42">
        <f>IF($D32="Actual",E32,"")</f>
        <v/>
      </c>
      <c r="S32" s="42">
        <f>IF($D32="Actual",SUMIFS(Data_Actuals!$D$2:$D$5000,Data_Actuals!$A$2:$A$5000,$A32,Data_Actuals!$B$2:$B$5000,$B$2),"")</f>
        <v/>
      </c>
      <c r="T32" s="42">
        <f>IF($D32="Actual",SUMIFS(Data_Actuals!$E$2:$E$5000,Data_Actuals!$A$2:$A$5000,$A32,Data_Actuals!$B$2:$B$5000,$B$2),"")</f>
        <v/>
      </c>
      <c r="U32" s="42">
        <f>IF($D32="Actual",SUMIFS(Data_Actuals!$F$2:$F$5000,Data_Actuals!$A$2:$A$5000,$A32,Data_Actuals!$B$2:$B$5000,$B$2),"")</f>
        <v/>
      </c>
      <c r="V32" s="42">
        <f>IF($D32="Actual",SUMIFS(Data_Actuals!$G$2:$G$5000,Data_Actuals!$A$2:$A$5000,$A32,Data_Actuals!$B$2:$B$5000,$B$2),"")</f>
        <v/>
      </c>
      <c r="W32" s="42">
        <f>SUMIFS(Plan_Inputs!$C$2:$C$5000,Plan_Inputs!$A$2:$A$5000,$A32,Plan_Inputs!$B$2:$B$5000,$B$2)</f>
        <v/>
      </c>
      <c r="X32" s="43">
        <f>SUMIFS(Plan_Inputs!$D$2:$D$5000,Plan_Inputs!$A$2:$A$5000,$A32,Plan_Inputs!$B$2:$B$5000,$B$2)</f>
        <v/>
      </c>
      <c r="Y32" s="42">
        <f>'VIC-1'!E32+'VIC-2'!E32</f>
        <v/>
      </c>
      <c r="Z32" s="44">
        <f>INDEX(Calendar!$H$5:$L$52,MATCH($A32,Calendar!$A$5:$A$52,0),MATCH($D$2,Calendar!$H$4:$L$4,0))</f>
        <v/>
      </c>
      <c r="AA32" s="44">
        <f>INDEX(Calendar!$M$5:$M$52,MATCH($A32,Calendar!$A$5:$A$52,0))</f>
        <v/>
      </c>
      <c r="AB32" s="45">
        <f>IF($D32="Actual",IFERROR(S32/Y32,""),AB20)</f>
        <v/>
      </c>
      <c r="AC32" s="46">
        <f>IF($D32="Actual",IFERROR(U32/T32/Z32/AA32,""),AC20)</f>
        <v/>
      </c>
      <c r="AD32" s="43">
        <f>IF($D32="Actual",IFERROR(V32/(U32+V32),""),AD20)</f>
        <v/>
      </c>
      <c r="AE32" s="46">
        <f>IFERROR(AC32*Z32*AA32,"")</f>
        <v/>
      </c>
      <c r="AF32" s="47">
        <f>K20</f>
        <v/>
      </c>
      <c r="AG32" s="43">
        <f>IF($D32="Forecast",IFERROR(K32/AF32-1,""),"")</f>
        <v/>
      </c>
    </row>
    <row r="33">
      <c r="A33" s="8" t="n">
        <v>46204</v>
      </c>
      <c r="B33" s="26">
        <f>YEAR(A33)</f>
        <v/>
      </c>
      <c r="C33" s="26">
        <f>MONTH(A33)</f>
        <v/>
      </c>
      <c r="D33">
        <f>IF(A33&lt;=LastActual,"Actual","Forecast")</f>
        <v/>
      </c>
      <c r="E33" s="24">
        <f>'VIC-1'!E33</f>
        <v/>
      </c>
      <c r="F33" s="27">
        <f>IF($D33="Actual",S33,Cases_Forecast!AS26)</f>
        <v/>
      </c>
      <c r="G33" s="9">
        <f>IF($D33="Actual",T33,IFERROR(H33/AE33,0))</f>
        <v/>
      </c>
      <c r="H33" s="24">
        <f>IF($D33="Actual",U33,J33-I33)</f>
        <v/>
      </c>
      <c r="I33" s="24">
        <f>IF($D33="Actual",V33,IFERROR(J33*AD33,0))</f>
        <v/>
      </c>
      <c r="J33" s="24">
        <f>IF($D33="Actual",U33+V33,E33*X33)</f>
        <v/>
      </c>
      <c r="K33" s="28">
        <f>IFERROR(F33/G33,0)</f>
        <v/>
      </c>
      <c r="L33" s="29">
        <f>IFERROR(H33/G33,0)</f>
        <v/>
      </c>
      <c r="M33" s="30">
        <f>IFERROR(J33/F33,0)</f>
        <v/>
      </c>
      <c r="N33" s="10">
        <f>IFERROR(J33/E33,0)</f>
        <v/>
      </c>
      <c r="O33" s="10">
        <f>IFERROR(I33/J33,0)</f>
        <v/>
      </c>
      <c r="R33" s="42">
        <f>IF($D33="Actual",E33,"")</f>
        <v/>
      </c>
      <c r="S33" s="42">
        <f>IF($D33="Actual",SUMIFS(Data_Actuals!$D$2:$D$5000,Data_Actuals!$A$2:$A$5000,$A33,Data_Actuals!$B$2:$B$5000,$B$2),"")</f>
        <v/>
      </c>
      <c r="T33" s="42">
        <f>IF($D33="Actual",SUMIFS(Data_Actuals!$E$2:$E$5000,Data_Actuals!$A$2:$A$5000,$A33,Data_Actuals!$B$2:$B$5000,$B$2),"")</f>
        <v/>
      </c>
      <c r="U33" s="42">
        <f>IF($D33="Actual",SUMIFS(Data_Actuals!$F$2:$F$5000,Data_Actuals!$A$2:$A$5000,$A33,Data_Actuals!$B$2:$B$5000,$B$2),"")</f>
        <v/>
      </c>
      <c r="V33" s="42">
        <f>IF($D33="Actual",SUMIFS(Data_Actuals!$G$2:$G$5000,Data_Actuals!$A$2:$A$5000,$A33,Data_Actuals!$B$2:$B$5000,$B$2),"")</f>
        <v/>
      </c>
      <c r="W33" s="42">
        <f>SUMIFS(Plan_Inputs!$C$2:$C$5000,Plan_Inputs!$A$2:$A$5000,$A33,Plan_Inputs!$B$2:$B$5000,$B$2)</f>
        <v/>
      </c>
      <c r="X33" s="43">
        <f>SUMIFS(Plan_Inputs!$D$2:$D$5000,Plan_Inputs!$A$2:$A$5000,$A33,Plan_Inputs!$B$2:$B$5000,$B$2)</f>
        <v/>
      </c>
      <c r="Y33" s="42">
        <f>'VIC-1'!E33+'VIC-2'!E33</f>
        <v/>
      </c>
      <c r="Z33" s="44">
        <f>INDEX(Calendar!$H$5:$L$52,MATCH($A33,Calendar!$A$5:$A$52,0),MATCH($D$2,Calendar!$H$4:$L$4,0))</f>
        <v/>
      </c>
      <c r="AA33" s="44">
        <f>INDEX(Calendar!$M$5:$M$52,MATCH($A33,Calendar!$A$5:$A$52,0))</f>
        <v/>
      </c>
      <c r="AB33" s="45">
        <f>IF($D33="Actual",IFERROR(S33/Y33,""),AB21)</f>
        <v/>
      </c>
      <c r="AC33" s="46">
        <f>IF($D33="Actual",IFERROR(U33/T33/Z33/AA33,""),AC21)</f>
        <v/>
      </c>
      <c r="AD33" s="43">
        <f>IF($D33="Actual",IFERROR(V33/(U33+V33),""),AD21)</f>
        <v/>
      </c>
      <c r="AE33" s="46">
        <f>IFERROR(AC33*Z33*AA33,"")</f>
        <v/>
      </c>
      <c r="AF33" s="47">
        <f>K21</f>
        <v/>
      </c>
      <c r="AG33" s="43">
        <f>IF($D33="Forecast",IFERROR(K33/AF33-1,""),"")</f>
        <v/>
      </c>
    </row>
    <row r="34">
      <c r="A34" s="8" t="n">
        <v>46235</v>
      </c>
      <c r="B34" s="26">
        <f>YEAR(A34)</f>
        <v/>
      </c>
      <c r="C34" s="26">
        <f>MONTH(A34)</f>
        <v/>
      </c>
      <c r="D34">
        <f>IF(A34&lt;=LastActual,"Actual","Forecast")</f>
        <v/>
      </c>
      <c r="E34" s="24">
        <f>'VIC-1'!E34</f>
        <v/>
      </c>
      <c r="F34" s="27">
        <f>IF($D34="Actual",S34,Cases_Forecast!AS27)</f>
        <v/>
      </c>
      <c r="G34" s="9">
        <f>IF($D34="Actual",T34,IFERROR(H34/AE34,0))</f>
        <v/>
      </c>
      <c r="H34" s="24">
        <f>IF($D34="Actual",U34,J34-I34)</f>
        <v/>
      </c>
      <c r="I34" s="24">
        <f>IF($D34="Actual",V34,IFERROR(J34*AD34,0))</f>
        <v/>
      </c>
      <c r="J34" s="24">
        <f>IF($D34="Actual",U34+V34,E34*X34)</f>
        <v/>
      </c>
      <c r="K34" s="28">
        <f>IFERROR(F34/G34,0)</f>
        <v/>
      </c>
      <c r="L34" s="29">
        <f>IFERROR(H34/G34,0)</f>
        <v/>
      </c>
      <c r="M34" s="30">
        <f>IFERROR(J34/F34,0)</f>
        <v/>
      </c>
      <c r="N34" s="10">
        <f>IFERROR(J34/E34,0)</f>
        <v/>
      </c>
      <c r="O34" s="10">
        <f>IFERROR(I34/J34,0)</f>
        <v/>
      </c>
      <c r="R34" s="42">
        <f>IF($D34="Actual",E34,"")</f>
        <v/>
      </c>
      <c r="S34" s="42">
        <f>IF($D34="Actual",SUMIFS(Data_Actuals!$D$2:$D$5000,Data_Actuals!$A$2:$A$5000,$A34,Data_Actuals!$B$2:$B$5000,$B$2),"")</f>
        <v/>
      </c>
      <c r="T34" s="42">
        <f>IF($D34="Actual",SUMIFS(Data_Actuals!$E$2:$E$5000,Data_Actuals!$A$2:$A$5000,$A34,Data_Actuals!$B$2:$B$5000,$B$2),"")</f>
        <v/>
      </c>
      <c r="U34" s="42">
        <f>IF($D34="Actual",SUMIFS(Data_Actuals!$F$2:$F$5000,Data_Actuals!$A$2:$A$5000,$A34,Data_Actuals!$B$2:$B$5000,$B$2),"")</f>
        <v/>
      </c>
      <c r="V34" s="42">
        <f>IF($D34="Actual",SUMIFS(Data_Actuals!$G$2:$G$5000,Data_Actuals!$A$2:$A$5000,$A34,Data_Actuals!$B$2:$B$5000,$B$2),"")</f>
        <v/>
      </c>
      <c r="W34" s="42">
        <f>SUMIFS(Plan_Inputs!$C$2:$C$5000,Plan_Inputs!$A$2:$A$5000,$A34,Plan_Inputs!$B$2:$B$5000,$B$2)</f>
        <v/>
      </c>
      <c r="X34" s="43">
        <f>SUMIFS(Plan_Inputs!$D$2:$D$5000,Plan_Inputs!$A$2:$A$5000,$A34,Plan_Inputs!$B$2:$B$5000,$B$2)</f>
        <v/>
      </c>
      <c r="Y34" s="42">
        <f>'VIC-1'!E34+'VIC-2'!E34</f>
        <v/>
      </c>
      <c r="Z34" s="44">
        <f>INDEX(Calendar!$H$5:$L$52,MATCH($A34,Calendar!$A$5:$A$52,0),MATCH($D$2,Calendar!$H$4:$L$4,0))</f>
        <v/>
      </c>
      <c r="AA34" s="44">
        <f>INDEX(Calendar!$M$5:$M$52,MATCH($A34,Calendar!$A$5:$A$52,0))</f>
        <v/>
      </c>
      <c r="AB34" s="45">
        <f>IF($D34="Actual",IFERROR(S34/Y34,""),AB22)</f>
        <v/>
      </c>
      <c r="AC34" s="46">
        <f>IF($D34="Actual",IFERROR(U34/T34/Z34/AA34,""),AC22)</f>
        <v/>
      </c>
      <c r="AD34" s="43">
        <f>IF($D34="Actual",IFERROR(V34/(U34+V34),""),AD22)</f>
        <v/>
      </c>
      <c r="AE34" s="46">
        <f>IFERROR(AC34*Z34*AA34,"")</f>
        <v/>
      </c>
      <c r="AF34" s="47">
        <f>K22</f>
        <v/>
      </c>
      <c r="AG34" s="43">
        <f>IF($D34="Forecast",IFERROR(K34/AF34-1,""),"")</f>
        <v/>
      </c>
    </row>
    <row r="35">
      <c r="A35" s="8" t="n">
        <v>46266</v>
      </c>
      <c r="B35" s="26">
        <f>YEAR(A35)</f>
        <v/>
      </c>
      <c r="C35" s="26">
        <f>MONTH(A35)</f>
        <v/>
      </c>
      <c r="D35">
        <f>IF(A35&lt;=LastActual,"Actual","Forecast")</f>
        <v/>
      </c>
      <c r="E35" s="24">
        <f>'VIC-1'!E35</f>
        <v/>
      </c>
      <c r="F35" s="27">
        <f>IF($D35="Actual",S35,Cases_Forecast!AS28)</f>
        <v/>
      </c>
      <c r="G35" s="9">
        <f>IF($D35="Actual",T35,IFERROR(H35/AE35,0))</f>
        <v/>
      </c>
      <c r="H35" s="24">
        <f>IF($D35="Actual",U35,J35-I35)</f>
        <v/>
      </c>
      <c r="I35" s="24">
        <f>IF($D35="Actual",V35,IFERROR(J35*AD35,0))</f>
        <v/>
      </c>
      <c r="J35" s="24">
        <f>IF($D35="Actual",U35+V35,E35*X35)</f>
        <v/>
      </c>
      <c r="K35" s="28">
        <f>IFERROR(F35/G35,0)</f>
        <v/>
      </c>
      <c r="L35" s="29">
        <f>IFERROR(H35/G35,0)</f>
        <v/>
      </c>
      <c r="M35" s="30">
        <f>IFERROR(J35/F35,0)</f>
        <v/>
      </c>
      <c r="N35" s="10">
        <f>IFERROR(J35/E35,0)</f>
        <v/>
      </c>
      <c r="O35" s="10">
        <f>IFERROR(I35/J35,0)</f>
        <v/>
      </c>
      <c r="R35" s="42">
        <f>IF($D35="Actual",E35,"")</f>
        <v/>
      </c>
      <c r="S35" s="42">
        <f>IF($D35="Actual",SUMIFS(Data_Actuals!$D$2:$D$5000,Data_Actuals!$A$2:$A$5000,$A35,Data_Actuals!$B$2:$B$5000,$B$2),"")</f>
        <v/>
      </c>
      <c r="T35" s="42">
        <f>IF($D35="Actual",SUMIFS(Data_Actuals!$E$2:$E$5000,Data_Actuals!$A$2:$A$5000,$A35,Data_Actuals!$B$2:$B$5000,$B$2),"")</f>
        <v/>
      </c>
      <c r="U35" s="42">
        <f>IF($D35="Actual",SUMIFS(Data_Actuals!$F$2:$F$5000,Data_Actuals!$A$2:$A$5000,$A35,Data_Actuals!$B$2:$B$5000,$B$2),"")</f>
        <v/>
      </c>
      <c r="V35" s="42">
        <f>IF($D35="Actual",SUMIFS(Data_Actuals!$G$2:$G$5000,Data_Actuals!$A$2:$A$5000,$A35,Data_Actuals!$B$2:$B$5000,$B$2),"")</f>
        <v/>
      </c>
      <c r="W35" s="42">
        <f>SUMIFS(Plan_Inputs!$C$2:$C$5000,Plan_Inputs!$A$2:$A$5000,$A35,Plan_Inputs!$B$2:$B$5000,$B$2)</f>
        <v/>
      </c>
      <c r="X35" s="43">
        <f>SUMIFS(Plan_Inputs!$D$2:$D$5000,Plan_Inputs!$A$2:$A$5000,$A35,Plan_Inputs!$B$2:$B$5000,$B$2)</f>
        <v/>
      </c>
      <c r="Y35" s="42">
        <f>'VIC-1'!E35+'VIC-2'!E35</f>
        <v/>
      </c>
      <c r="Z35" s="44">
        <f>INDEX(Calendar!$H$5:$L$52,MATCH($A35,Calendar!$A$5:$A$52,0),MATCH($D$2,Calendar!$H$4:$L$4,0))</f>
        <v/>
      </c>
      <c r="AA35" s="44">
        <f>INDEX(Calendar!$M$5:$M$52,MATCH($A35,Calendar!$A$5:$A$52,0))</f>
        <v/>
      </c>
      <c r="AB35" s="45">
        <f>IF($D35="Actual",IFERROR(S35/Y35,""),AB23)</f>
        <v/>
      </c>
      <c r="AC35" s="46">
        <f>IF($D35="Actual",IFERROR(U35/T35/Z35/AA35,""),AC23)</f>
        <v/>
      </c>
      <c r="AD35" s="43">
        <f>IF($D35="Actual",IFERROR(V35/(U35+V35),""),AD23)</f>
        <v/>
      </c>
      <c r="AE35" s="46">
        <f>IFERROR(AC35*Z35*AA35,"")</f>
        <v/>
      </c>
      <c r="AF35" s="47">
        <f>K23</f>
        <v/>
      </c>
      <c r="AG35" s="43">
        <f>IF($D35="Forecast",IFERROR(K35/AF35-1,""),"")</f>
        <v/>
      </c>
    </row>
    <row r="36">
      <c r="A36" s="8" t="n">
        <v>46296</v>
      </c>
      <c r="B36" s="26">
        <f>YEAR(A36)</f>
        <v/>
      </c>
      <c r="C36" s="26">
        <f>MONTH(A36)</f>
        <v/>
      </c>
      <c r="D36">
        <f>IF(A36&lt;=LastActual,"Actual","Forecast")</f>
        <v/>
      </c>
      <c r="E36" s="24">
        <f>'VIC-1'!E36</f>
        <v/>
      </c>
      <c r="F36" s="27">
        <f>IF($D36="Actual",S36,Cases_Forecast!AS29)</f>
        <v/>
      </c>
      <c r="G36" s="9">
        <f>IF($D36="Actual",T36,IFERROR(H36/AE36,0))</f>
        <v/>
      </c>
      <c r="H36" s="24">
        <f>IF($D36="Actual",U36,J36-I36)</f>
        <v/>
      </c>
      <c r="I36" s="24">
        <f>IF($D36="Actual",V36,IFERROR(J36*AD36,0))</f>
        <v/>
      </c>
      <c r="J36" s="24">
        <f>IF($D36="Actual",U36+V36,E36*X36)</f>
        <v/>
      </c>
      <c r="K36" s="28">
        <f>IFERROR(F36/G36,0)</f>
        <v/>
      </c>
      <c r="L36" s="29">
        <f>IFERROR(H36/G36,0)</f>
        <v/>
      </c>
      <c r="M36" s="30">
        <f>IFERROR(J36/F36,0)</f>
        <v/>
      </c>
      <c r="N36" s="10">
        <f>IFERROR(J36/E36,0)</f>
        <v/>
      </c>
      <c r="O36" s="10">
        <f>IFERROR(I36/J36,0)</f>
        <v/>
      </c>
      <c r="R36" s="42">
        <f>IF($D36="Actual",E36,"")</f>
        <v/>
      </c>
      <c r="S36" s="42">
        <f>IF($D36="Actual",SUMIFS(Data_Actuals!$D$2:$D$5000,Data_Actuals!$A$2:$A$5000,$A36,Data_Actuals!$B$2:$B$5000,$B$2),"")</f>
        <v/>
      </c>
      <c r="T36" s="42">
        <f>IF($D36="Actual",SUMIFS(Data_Actuals!$E$2:$E$5000,Data_Actuals!$A$2:$A$5000,$A36,Data_Actuals!$B$2:$B$5000,$B$2),"")</f>
        <v/>
      </c>
      <c r="U36" s="42">
        <f>IF($D36="Actual",SUMIFS(Data_Actuals!$F$2:$F$5000,Data_Actuals!$A$2:$A$5000,$A36,Data_Actuals!$B$2:$B$5000,$B$2),"")</f>
        <v/>
      </c>
      <c r="V36" s="42">
        <f>IF($D36="Actual",SUMIFS(Data_Actuals!$G$2:$G$5000,Data_Actuals!$A$2:$A$5000,$A36,Data_Actuals!$B$2:$B$5000,$B$2),"")</f>
        <v/>
      </c>
      <c r="W36" s="42">
        <f>SUMIFS(Plan_Inputs!$C$2:$C$5000,Plan_Inputs!$A$2:$A$5000,$A36,Plan_Inputs!$B$2:$B$5000,$B$2)</f>
        <v/>
      </c>
      <c r="X36" s="43">
        <f>SUMIFS(Plan_Inputs!$D$2:$D$5000,Plan_Inputs!$A$2:$A$5000,$A36,Plan_Inputs!$B$2:$B$5000,$B$2)</f>
        <v/>
      </c>
      <c r="Y36" s="42">
        <f>'VIC-1'!E36+'VIC-2'!E36</f>
        <v/>
      </c>
      <c r="Z36" s="44">
        <f>INDEX(Calendar!$H$5:$L$52,MATCH($A36,Calendar!$A$5:$A$52,0),MATCH($D$2,Calendar!$H$4:$L$4,0))</f>
        <v/>
      </c>
      <c r="AA36" s="44">
        <f>INDEX(Calendar!$M$5:$M$52,MATCH($A36,Calendar!$A$5:$A$52,0))</f>
        <v/>
      </c>
      <c r="AB36" s="45">
        <f>IF($D36="Actual",IFERROR(S36/Y36,""),AB24)</f>
        <v/>
      </c>
      <c r="AC36" s="46">
        <f>IF($D36="Actual",IFERROR(U36/T36/Z36/AA36,""),AC24)</f>
        <v/>
      </c>
      <c r="AD36" s="43">
        <f>IF($D36="Actual",IFERROR(V36/(U36+V36),""),AD24)</f>
        <v/>
      </c>
      <c r="AE36" s="46">
        <f>IFERROR(AC36*Z36*AA36,"")</f>
        <v/>
      </c>
      <c r="AF36" s="47">
        <f>K24</f>
        <v/>
      </c>
      <c r="AG36" s="43">
        <f>IF($D36="Forecast",IFERROR(K36/AF36-1,""),"")</f>
        <v/>
      </c>
    </row>
    <row r="37">
      <c r="A37" s="8" t="n">
        <v>46327</v>
      </c>
      <c r="B37" s="26">
        <f>YEAR(A37)</f>
        <v/>
      </c>
      <c r="C37" s="26">
        <f>MONTH(A37)</f>
        <v/>
      </c>
      <c r="D37">
        <f>IF(A37&lt;=LastActual,"Actual","Forecast")</f>
        <v/>
      </c>
      <c r="E37" s="24">
        <f>'VIC-1'!E37</f>
        <v/>
      </c>
      <c r="F37" s="27">
        <f>IF($D37="Actual",S37,Cases_Forecast!AS30)</f>
        <v/>
      </c>
      <c r="G37" s="9">
        <f>IF($D37="Actual",T37,IFERROR(H37/AE37,0))</f>
        <v/>
      </c>
      <c r="H37" s="24">
        <f>IF($D37="Actual",U37,J37-I37)</f>
        <v/>
      </c>
      <c r="I37" s="24">
        <f>IF($D37="Actual",V37,IFERROR(J37*AD37,0))</f>
        <v/>
      </c>
      <c r="J37" s="24">
        <f>IF($D37="Actual",U37+V37,E37*X37)</f>
        <v/>
      </c>
      <c r="K37" s="28">
        <f>IFERROR(F37/G37,0)</f>
        <v/>
      </c>
      <c r="L37" s="29">
        <f>IFERROR(H37/G37,0)</f>
        <v/>
      </c>
      <c r="M37" s="30">
        <f>IFERROR(J37/F37,0)</f>
        <v/>
      </c>
      <c r="N37" s="10">
        <f>IFERROR(J37/E37,0)</f>
        <v/>
      </c>
      <c r="O37" s="10">
        <f>IFERROR(I37/J37,0)</f>
        <v/>
      </c>
      <c r="R37" s="42">
        <f>IF($D37="Actual",E37,"")</f>
        <v/>
      </c>
      <c r="S37" s="42">
        <f>IF($D37="Actual",SUMIFS(Data_Actuals!$D$2:$D$5000,Data_Actuals!$A$2:$A$5000,$A37,Data_Actuals!$B$2:$B$5000,$B$2),"")</f>
        <v/>
      </c>
      <c r="T37" s="42">
        <f>IF($D37="Actual",SUMIFS(Data_Actuals!$E$2:$E$5000,Data_Actuals!$A$2:$A$5000,$A37,Data_Actuals!$B$2:$B$5000,$B$2),"")</f>
        <v/>
      </c>
      <c r="U37" s="42">
        <f>IF($D37="Actual",SUMIFS(Data_Actuals!$F$2:$F$5000,Data_Actuals!$A$2:$A$5000,$A37,Data_Actuals!$B$2:$B$5000,$B$2),"")</f>
        <v/>
      </c>
      <c r="V37" s="42">
        <f>IF($D37="Actual",SUMIFS(Data_Actuals!$G$2:$G$5000,Data_Actuals!$A$2:$A$5000,$A37,Data_Actuals!$B$2:$B$5000,$B$2),"")</f>
        <v/>
      </c>
      <c r="W37" s="42">
        <f>SUMIFS(Plan_Inputs!$C$2:$C$5000,Plan_Inputs!$A$2:$A$5000,$A37,Plan_Inputs!$B$2:$B$5000,$B$2)</f>
        <v/>
      </c>
      <c r="X37" s="43">
        <f>SUMIFS(Plan_Inputs!$D$2:$D$5000,Plan_Inputs!$A$2:$A$5000,$A37,Plan_Inputs!$B$2:$B$5000,$B$2)</f>
        <v/>
      </c>
      <c r="Y37" s="42">
        <f>'VIC-1'!E37+'VIC-2'!E37</f>
        <v/>
      </c>
      <c r="Z37" s="44">
        <f>INDEX(Calendar!$H$5:$L$52,MATCH($A37,Calendar!$A$5:$A$52,0),MATCH($D$2,Calendar!$H$4:$L$4,0))</f>
        <v/>
      </c>
      <c r="AA37" s="44">
        <f>INDEX(Calendar!$M$5:$M$52,MATCH($A37,Calendar!$A$5:$A$52,0))</f>
        <v/>
      </c>
      <c r="AB37" s="45">
        <f>IF($D37="Actual",IFERROR(S37/Y37,""),AB25)</f>
        <v/>
      </c>
      <c r="AC37" s="46">
        <f>IF($D37="Actual",IFERROR(U37/T37/Z37/AA37,""),AC25)</f>
        <v/>
      </c>
      <c r="AD37" s="43">
        <f>IF($D37="Actual",IFERROR(V37/(U37+V37),""),AD25)</f>
        <v/>
      </c>
      <c r="AE37" s="46">
        <f>IFERROR(AC37*Z37*AA37,"")</f>
        <v/>
      </c>
      <c r="AF37" s="47">
        <f>K25</f>
        <v/>
      </c>
      <c r="AG37" s="43">
        <f>IF($D37="Forecast",IFERROR(K37/AF37-1,""),"")</f>
        <v/>
      </c>
    </row>
    <row r="38">
      <c r="A38" s="31" t="n">
        <v>46357</v>
      </c>
      <c r="B38" s="32">
        <f>YEAR(A38)</f>
        <v/>
      </c>
      <c r="C38" s="32">
        <f>MONTH(A38)</f>
        <v/>
      </c>
      <c r="D38" s="33">
        <f>IF(A38&lt;=LastActual,"Actual","Forecast")</f>
        <v/>
      </c>
      <c r="E38" s="34">
        <f>'VIC-1'!E38</f>
        <v/>
      </c>
      <c r="F38" s="35">
        <f>IF($D38="Actual",S38,Cases_Forecast!AS31)</f>
        <v/>
      </c>
      <c r="G38" s="36">
        <f>IF($D38="Actual",T38,IFERROR(H38/AE38,0))</f>
        <v/>
      </c>
      <c r="H38" s="34">
        <f>IF($D38="Actual",U38,J38-I38)</f>
        <v/>
      </c>
      <c r="I38" s="34">
        <f>IF($D38="Actual",V38,IFERROR(J38*AD38,0))</f>
        <v/>
      </c>
      <c r="J38" s="34">
        <f>IF($D38="Actual",U38+V38,E38*X38)</f>
        <v/>
      </c>
      <c r="K38" s="37">
        <f>IFERROR(F38/G38,0)</f>
        <v/>
      </c>
      <c r="L38" s="38">
        <f>IFERROR(H38/G38,0)</f>
        <v/>
      </c>
      <c r="M38" s="39">
        <f>IFERROR(J38/F38,0)</f>
        <v/>
      </c>
      <c r="N38" s="40">
        <f>IFERROR(J38/E38,0)</f>
        <v/>
      </c>
      <c r="O38" s="40">
        <f>IFERROR(I38/J38,0)</f>
        <v/>
      </c>
      <c r="R38" s="42">
        <f>IF($D38="Actual",E38,"")</f>
        <v/>
      </c>
      <c r="S38" s="42">
        <f>IF($D38="Actual",SUMIFS(Data_Actuals!$D$2:$D$5000,Data_Actuals!$A$2:$A$5000,$A38,Data_Actuals!$B$2:$B$5000,$B$2),"")</f>
        <v/>
      </c>
      <c r="T38" s="42">
        <f>IF($D38="Actual",SUMIFS(Data_Actuals!$E$2:$E$5000,Data_Actuals!$A$2:$A$5000,$A38,Data_Actuals!$B$2:$B$5000,$B$2),"")</f>
        <v/>
      </c>
      <c r="U38" s="42">
        <f>IF($D38="Actual",SUMIFS(Data_Actuals!$F$2:$F$5000,Data_Actuals!$A$2:$A$5000,$A38,Data_Actuals!$B$2:$B$5000,$B$2),"")</f>
        <v/>
      </c>
      <c r="V38" s="42">
        <f>IF($D38="Actual",SUMIFS(Data_Actuals!$G$2:$G$5000,Data_Actuals!$A$2:$A$5000,$A38,Data_Actuals!$B$2:$B$5000,$B$2),"")</f>
        <v/>
      </c>
      <c r="W38" s="42">
        <f>SUMIFS(Plan_Inputs!$C$2:$C$5000,Plan_Inputs!$A$2:$A$5000,$A38,Plan_Inputs!$B$2:$B$5000,$B$2)</f>
        <v/>
      </c>
      <c r="X38" s="43">
        <f>SUMIFS(Plan_Inputs!$D$2:$D$5000,Plan_Inputs!$A$2:$A$5000,$A38,Plan_Inputs!$B$2:$B$5000,$B$2)</f>
        <v/>
      </c>
      <c r="Y38" s="42">
        <f>'VIC-1'!E38+'VIC-2'!E38</f>
        <v/>
      </c>
      <c r="Z38" s="44">
        <f>INDEX(Calendar!$H$5:$L$52,MATCH($A38,Calendar!$A$5:$A$52,0),MATCH($D$2,Calendar!$H$4:$L$4,0))</f>
        <v/>
      </c>
      <c r="AA38" s="44">
        <f>INDEX(Calendar!$M$5:$M$52,MATCH($A38,Calendar!$A$5:$A$52,0))</f>
        <v/>
      </c>
      <c r="AB38" s="45">
        <f>IF($D38="Actual",IFERROR(S38/Y38,""),AB26)</f>
        <v/>
      </c>
      <c r="AC38" s="46">
        <f>IF($D38="Actual",IFERROR(U38/T38/Z38/AA38,""),AC26)</f>
        <v/>
      </c>
      <c r="AD38" s="43">
        <f>IF($D38="Actual",IFERROR(V38/(U38+V38),""),AD26)</f>
        <v/>
      </c>
      <c r="AE38" s="46">
        <f>IFERROR(AC38*Z38*AA38,"")</f>
        <v/>
      </c>
      <c r="AF38" s="47">
        <f>K26</f>
        <v/>
      </c>
      <c r="AG38" s="43">
        <f>IF($D38="Forecast",IFERROR(K38/AF38-1,""),"")</f>
        <v/>
      </c>
    </row>
    <row r="39">
      <c r="A39" s="8" t="n">
        <v>46388</v>
      </c>
      <c r="B39" s="26">
        <f>YEAR(A39)</f>
        <v/>
      </c>
      <c r="C39" s="26">
        <f>MONTH(A39)</f>
        <v/>
      </c>
      <c r="D39">
        <f>IF(A39&lt;=LastActual,"Actual","Forecast")</f>
        <v/>
      </c>
      <c r="E39" s="24">
        <f>'VIC-1'!E39</f>
        <v/>
      </c>
      <c r="F39" s="27">
        <f>IF($D39="Actual",S39,Cases_Forecast!AS32)</f>
        <v/>
      </c>
      <c r="G39" s="9">
        <f>IF($D39="Actual",T39,IFERROR(H39/AE39,0))</f>
        <v/>
      </c>
      <c r="H39" s="24">
        <f>IF($D39="Actual",U39,J39-I39)</f>
        <v/>
      </c>
      <c r="I39" s="24">
        <f>IF($D39="Actual",V39,IFERROR(J39*AD39,0))</f>
        <v/>
      </c>
      <c r="J39" s="24">
        <f>IF($D39="Actual",U39+V39,E39*X39)</f>
        <v/>
      </c>
      <c r="K39" s="28">
        <f>IFERROR(F39/G39,0)</f>
        <v/>
      </c>
      <c r="L39" s="29">
        <f>IFERROR(H39/G39,0)</f>
        <v/>
      </c>
      <c r="M39" s="30">
        <f>IFERROR(J39/F39,0)</f>
        <v/>
      </c>
      <c r="N39" s="10">
        <f>IFERROR(J39/E39,0)</f>
        <v/>
      </c>
      <c r="O39" s="10">
        <f>IFERROR(I39/J39,0)</f>
        <v/>
      </c>
      <c r="R39" s="42">
        <f>IF($D39="Actual",E39,"")</f>
        <v/>
      </c>
      <c r="S39" s="42">
        <f>IF($D39="Actual",SUMIFS(Data_Actuals!$D$2:$D$5000,Data_Actuals!$A$2:$A$5000,$A39,Data_Actuals!$B$2:$B$5000,$B$2),"")</f>
        <v/>
      </c>
      <c r="T39" s="42">
        <f>IF($D39="Actual",SUMIFS(Data_Actuals!$E$2:$E$5000,Data_Actuals!$A$2:$A$5000,$A39,Data_Actuals!$B$2:$B$5000,$B$2),"")</f>
        <v/>
      </c>
      <c r="U39" s="42">
        <f>IF($D39="Actual",SUMIFS(Data_Actuals!$F$2:$F$5000,Data_Actuals!$A$2:$A$5000,$A39,Data_Actuals!$B$2:$B$5000,$B$2),"")</f>
        <v/>
      </c>
      <c r="V39" s="42">
        <f>IF($D39="Actual",SUMIFS(Data_Actuals!$G$2:$G$5000,Data_Actuals!$A$2:$A$5000,$A39,Data_Actuals!$B$2:$B$5000,$B$2),"")</f>
        <v/>
      </c>
      <c r="W39" s="42">
        <f>SUMIFS(Plan_Inputs!$C$2:$C$5000,Plan_Inputs!$A$2:$A$5000,$A39,Plan_Inputs!$B$2:$B$5000,$B$2)</f>
        <v/>
      </c>
      <c r="X39" s="43">
        <f>SUMIFS(Plan_Inputs!$D$2:$D$5000,Plan_Inputs!$A$2:$A$5000,$A39,Plan_Inputs!$B$2:$B$5000,$B$2)</f>
        <v/>
      </c>
      <c r="Y39" s="42">
        <f>'VIC-1'!E39+'VIC-2'!E39</f>
        <v/>
      </c>
      <c r="Z39" s="44">
        <f>INDEX(Calendar!$H$5:$L$52,MATCH($A39,Calendar!$A$5:$A$52,0),MATCH($D$2,Calendar!$H$4:$L$4,0))</f>
        <v/>
      </c>
      <c r="AA39" s="44">
        <f>INDEX(Calendar!$M$5:$M$52,MATCH($A39,Calendar!$A$5:$A$52,0))</f>
        <v/>
      </c>
      <c r="AB39" s="45">
        <f>IF($D39="Actual",IFERROR(S39/Y39,""),AB27)</f>
        <v/>
      </c>
      <c r="AC39" s="46">
        <f>IF($D39="Actual",IFERROR(U39/T39/Z39/AA39,""),AC27)</f>
        <v/>
      </c>
      <c r="AD39" s="43">
        <f>IF($D39="Actual",IFERROR(V39/(U39+V39),""),AD27)</f>
        <v/>
      </c>
      <c r="AE39" s="46">
        <f>IFERROR(AC39*Z39*AA39,"")</f>
        <v/>
      </c>
      <c r="AF39" s="47">
        <f>K27</f>
        <v/>
      </c>
      <c r="AG39" s="43">
        <f>IF($D39="Forecast",IFERROR(K39/AF39-1,""),"")</f>
        <v/>
      </c>
    </row>
    <row r="40">
      <c r="A40" s="8" t="n">
        <v>46419</v>
      </c>
      <c r="B40" s="26">
        <f>YEAR(A40)</f>
        <v/>
      </c>
      <c r="C40" s="26">
        <f>MONTH(A40)</f>
        <v/>
      </c>
      <c r="D40">
        <f>IF(A40&lt;=LastActual,"Actual","Forecast")</f>
        <v/>
      </c>
      <c r="E40" s="24">
        <f>'VIC-1'!E40</f>
        <v/>
      </c>
      <c r="F40" s="27">
        <f>IF($D40="Actual",S40,Cases_Forecast!AS33)</f>
        <v/>
      </c>
      <c r="G40" s="9">
        <f>IF($D40="Actual",T40,IFERROR(H40/AE40,0))</f>
        <v/>
      </c>
      <c r="H40" s="24">
        <f>IF($D40="Actual",U40,J40-I40)</f>
        <v/>
      </c>
      <c r="I40" s="24">
        <f>IF($D40="Actual",V40,IFERROR(J40*AD40,0))</f>
        <v/>
      </c>
      <c r="J40" s="24">
        <f>IF($D40="Actual",U40+V40,E40*X40)</f>
        <v/>
      </c>
      <c r="K40" s="28">
        <f>IFERROR(F40/G40,0)</f>
        <v/>
      </c>
      <c r="L40" s="29">
        <f>IFERROR(H40/G40,0)</f>
        <v/>
      </c>
      <c r="M40" s="30">
        <f>IFERROR(J40/F40,0)</f>
        <v/>
      </c>
      <c r="N40" s="10">
        <f>IFERROR(J40/E40,0)</f>
        <v/>
      </c>
      <c r="O40" s="10">
        <f>IFERROR(I40/J40,0)</f>
        <v/>
      </c>
      <c r="R40" s="42">
        <f>IF($D40="Actual",E40,"")</f>
        <v/>
      </c>
      <c r="S40" s="42">
        <f>IF($D40="Actual",SUMIFS(Data_Actuals!$D$2:$D$5000,Data_Actuals!$A$2:$A$5000,$A40,Data_Actuals!$B$2:$B$5000,$B$2),"")</f>
        <v/>
      </c>
      <c r="T40" s="42">
        <f>IF($D40="Actual",SUMIFS(Data_Actuals!$E$2:$E$5000,Data_Actuals!$A$2:$A$5000,$A40,Data_Actuals!$B$2:$B$5000,$B$2),"")</f>
        <v/>
      </c>
      <c r="U40" s="42">
        <f>IF($D40="Actual",SUMIFS(Data_Actuals!$F$2:$F$5000,Data_Actuals!$A$2:$A$5000,$A40,Data_Actuals!$B$2:$B$5000,$B$2),"")</f>
        <v/>
      </c>
      <c r="V40" s="42">
        <f>IF($D40="Actual",SUMIFS(Data_Actuals!$G$2:$G$5000,Data_Actuals!$A$2:$A$5000,$A40,Data_Actuals!$B$2:$B$5000,$B$2),"")</f>
        <v/>
      </c>
      <c r="W40" s="42">
        <f>SUMIFS(Plan_Inputs!$C$2:$C$5000,Plan_Inputs!$A$2:$A$5000,$A40,Plan_Inputs!$B$2:$B$5000,$B$2)</f>
        <v/>
      </c>
      <c r="X40" s="43">
        <f>SUMIFS(Plan_Inputs!$D$2:$D$5000,Plan_Inputs!$A$2:$A$5000,$A40,Plan_Inputs!$B$2:$B$5000,$B$2)</f>
        <v/>
      </c>
      <c r="Y40" s="42">
        <f>'VIC-1'!E40+'VIC-2'!E40</f>
        <v/>
      </c>
      <c r="Z40" s="44">
        <f>INDEX(Calendar!$H$5:$L$52,MATCH($A40,Calendar!$A$5:$A$52,0),MATCH($D$2,Calendar!$H$4:$L$4,0))</f>
        <v/>
      </c>
      <c r="AA40" s="44">
        <f>INDEX(Calendar!$M$5:$M$52,MATCH($A40,Calendar!$A$5:$A$52,0))</f>
        <v/>
      </c>
      <c r="AB40" s="45">
        <f>IF($D40="Actual",IFERROR(S40/Y40,""),AB28)</f>
        <v/>
      </c>
      <c r="AC40" s="46">
        <f>IF($D40="Actual",IFERROR(U40/T40/Z40/AA40,""),AC28)</f>
        <v/>
      </c>
      <c r="AD40" s="43">
        <f>IF($D40="Actual",IFERROR(V40/(U40+V40),""),AD28)</f>
        <v/>
      </c>
      <c r="AE40" s="46">
        <f>IFERROR(AC40*Z40*AA40,"")</f>
        <v/>
      </c>
      <c r="AF40" s="47">
        <f>K28</f>
        <v/>
      </c>
      <c r="AG40" s="43">
        <f>IF($D40="Forecast",IFERROR(K40/AF40-1,""),"")</f>
        <v/>
      </c>
    </row>
    <row r="41">
      <c r="A41" s="8" t="n">
        <v>46447</v>
      </c>
      <c r="B41" s="26">
        <f>YEAR(A41)</f>
        <v/>
      </c>
      <c r="C41" s="26">
        <f>MONTH(A41)</f>
        <v/>
      </c>
      <c r="D41">
        <f>IF(A41&lt;=LastActual,"Actual","Forecast")</f>
        <v/>
      </c>
      <c r="E41" s="24">
        <f>'VIC-1'!E41</f>
        <v/>
      </c>
      <c r="F41" s="27">
        <f>IF($D41="Actual",S41,Cases_Forecast!AS34)</f>
        <v/>
      </c>
      <c r="G41" s="9">
        <f>IF($D41="Actual",T41,IFERROR(H41/AE41,0))</f>
        <v/>
      </c>
      <c r="H41" s="24">
        <f>IF($D41="Actual",U41,J41-I41)</f>
        <v/>
      </c>
      <c r="I41" s="24">
        <f>IF($D41="Actual",V41,IFERROR(J41*AD41,0))</f>
        <v/>
      </c>
      <c r="J41" s="24">
        <f>IF($D41="Actual",U41+V41,E41*X41)</f>
        <v/>
      </c>
      <c r="K41" s="28">
        <f>IFERROR(F41/G41,0)</f>
        <v/>
      </c>
      <c r="L41" s="29">
        <f>IFERROR(H41/G41,0)</f>
        <v/>
      </c>
      <c r="M41" s="30">
        <f>IFERROR(J41/F41,0)</f>
        <v/>
      </c>
      <c r="N41" s="10">
        <f>IFERROR(J41/E41,0)</f>
        <v/>
      </c>
      <c r="O41" s="10">
        <f>IFERROR(I41/J41,0)</f>
        <v/>
      </c>
      <c r="R41" s="42">
        <f>IF($D41="Actual",E41,"")</f>
        <v/>
      </c>
      <c r="S41" s="42">
        <f>IF($D41="Actual",SUMIFS(Data_Actuals!$D$2:$D$5000,Data_Actuals!$A$2:$A$5000,$A41,Data_Actuals!$B$2:$B$5000,$B$2),"")</f>
        <v/>
      </c>
      <c r="T41" s="42">
        <f>IF($D41="Actual",SUMIFS(Data_Actuals!$E$2:$E$5000,Data_Actuals!$A$2:$A$5000,$A41,Data_Actuals!$B$2:$B$5000,$B$2),"")</f>
        <v/>
      </c>
      <c r="U41" s="42">
        <f>IF($D41="Actual",SUMIFS(Data_Actuals!$F$2:$F$5000,Data_Actuals!$A$2:$A$5000,$A41,Data_Actuals!$B$2:$B$5000,$B$2),"")</f>
        <v/>
      </c>
      <c r="V41" s="42">
        <f>IF($D41="Actual",SUMIFS(Data_Actuals!$G$2:$G$5000,Data_Actuals!$A$2:$A$5000,$A41,Data_Actuals!$B$2:$B$5000,$B$2),"")</f>
        <v/>
      </c>
      <c r="W41" s="42">
        <f>SUMIFS(Plan_Inputs!$C$2:$C$5000,Plan_Inputs!$A$2:$A$5000,$A41,Plan_Inputs!$B$2:$B$5000,$B$2)</f>
        <v/>
      </c>
      <c r="X41" s="43">
        <f>SUMIFS(Plan_Inputs!$D$2:$D$5000,Plan_Inputs!$A$2:$A$5000,$A41,Plan_Inputs!$B$2:$B$5000,$B$2)</f>
        <v/>
      </c>
      <c r="Y41" s="42">
        <f>'VIC-1'!E41+'VIC-2'!E41</f>
        <v/>
      </c>
      <c r="Z41" s="44">
        <f>INDEX(Calendar!$H$5:$L$52,MATCH($A41,Calendar!$A$5:$A$52,0),MATCH($D$2,Calendar!$H$4:$L$4,0))</f>
        <v/>
      </c>
      <c r="AA41" s="44">
        <f>INDEX(Calendar!$M$5:$M$52,MATCH($A41,Calendar!$A$5:$A$52,0))</f>
        <v/>
      </c>
      <c r="AB41" s="45">
        <f>IF($D41="Actual",IFERROR(S41/Y41,""),AB29)</f>
        <v/>
      </c>
      <c r="AC41" s="46">
        <f>IF($D41="Actual",IFERROR(U41/T41/Z41/AA41,""),AC29)</f>
        <v/>
      </c>
      <c r="AD41" s="43">
        <f>IF($D41="Actual",IFERROR(V41/(U41+V41),""),AD29)</f>
        <v/>
      </c>
      <c r="AE41" s="46">
        <f>IFERROR(AC41*Z41*AA41,"")</f>
        <v/>
      </c>
      <c r="AF41" s="47">
        <f>K29</f>
        <v/>
      </c>
      <c r="AG41" s="43">
        <f>IF($D41="Forecast",IFERROR(K41/AF41-1,""),"")</f>
        <v/>
      </c>
    </row>
    <row r="42">
      <c r="A42" s="8" t="n">
        <v>46478</v>
      </c>
      <c r="B42" s="26">
        <f>YEAR(A42)</f>
        <v/>
      </c>
      <c r="C42" s="26">
        <f>MONTH(A42)</f>
        <v/>
      </c>
      <c r="D42">
        <f>IF(A42&lt;=LastActual,"Actual","Forecast")</f>
        <v/>
      </c>
      <c r="E42" s="24">
        <f>'VIC-1'!E42</f>
        <v/>
      </c>
      <c r="F42" s="27">
        <f>IF($D42="Actual",S42,Cases_Forecast!AS35)</f>
        <v/>
      </c>
      <c r="G42" s="9">
        <f>IF($D42="Actual",T42,IFERROR(H42/AE42,0))</f>
        <v/>
      </c>
      <c r="H42" s="24">
        <f>IF($D42="Actual",U42,J42-I42)</f>
        <v/>
      </c>
      <c r="I42" s="24">
        <f>IF($D42="Actual",V42,IFERROR(J42*AD42,0))</f>
        <v/>
      </c>
      <c r="J42" s="24">
        <f>IF($D42="Actual",U42+V42,E42*X42)</f>
        <v/>
      </c>
      <c r="K42" s="28">
        <f>IFERROR(F42/G42,0)</f>
        <v/>
      </c>
      <c r="L42" s="29">
        <f>IFERROR(H42/G42,0)</f>
        <v/>
      </c>
      <c r="M42" s="30">
        <f>IFERROR(J42/F42,0)</f>
        <v/>
      </c>
      <c r="N42" s="10">
        <f>IFERROR(J42/E42,0)</f>
        <v/>
      </c>
      <c r="O42" s="10">
        <f>IFERROR(I42/J42,0)</f>
        <v/>
      </c>
      <c r="R42" s="42">
        <f>IF($D42="Actual",E42,"")</f>
        <v/>
      </c>
      <c r="S42" s="42">
        <f>IF($D42="Actual",SUMIFS(Data_Actuals!$D$2:$D$5000,Data_Actuals!$A$2:$A$5000,$A42,Data_Actuals!$B$2:$B$5000,$B$2),"")</f>
        <v/>
      </c>
      <c r="T42" s="42">
        <f>IF($D42="Actual",SUMIFS(Data_Actuals!$E$2:$E$5000,Data_Actuals!$A$2:$A$5000,$A42,Data_Actuals!$B$2:$B$5000,$B$2),"")</f>
        <v/>
      </c>
      <c r="U42" s="42">
        <f>IF($D42="Actual",SUMIFS(Data_Actuals!$F$2:$F$5000,Data_Actuals!$A$2:$A$5000,$A42,Data_Actuals!$B$2:$B$5000,$B$2),"")</f>
        <v/>
      </c>
      <c r="V42" s="42">
        <f>IF($D42="Actual",SUMIFS(Data_Actuals!$G$2:$G$5000,Data_Actuals!$A$2:$A$5000,$A42,Data_Actuals!$B$2:$B$5000,$B$2),"")</f>
        <v/>
      </c>
      <c r="W42" s="42">
        <f>SUMIFS(Plan_Inputs!$C$2:$C$5000,Plan_Inputs!$A$2:$A$5000,$A42,Plan_Inputs!$B$2:$B$5000,$B$2)</f>
        <v/>
      </c>
      <c r="X42" s="43">
        <f>SUMIFS(Plan_Inputs!$D$2:$D$5000,Plan_Inputs!$A$2:$A$5000,$A42,Plan_Inputs!$B$2:$B$5000,$B$2)</f>
        <v/>
      </c>
      <c r="Y42" s="42">
        <f>'VIC-1'!E42+'VIC-2'!E42</f>
        <v/>
      </c>
      <c r="Z42" s="44">
        <f>INDEX(Calendar!$H$5:$L$52,MATCH($A42,Calendar!$A$5:$A$52,0),MATCH($D$2,Calendar!$H$4:$L$4,0))</f>
        <v/>
      </c>
      <c r="AA42" s="44">
        <f>INDEX(Calendar!$M$5:$M$52,MATCH($A42,Calendar!$A$5:$A$52,0))</f>
        <v/>
      </c>
      <c r="AB42" s="45">
        <f>IF($D42="Actual",IFERROR(S42/Y42,""),AB30)</f>
        <v/>
      </c>
      <c r="AC42" s="46">
        <f>IF($D42="Actual",IFERROR(U42/T42/Z42/AA42,""),AC30)</f>
        <v/>
      </c>
      <c r="AD42" s="43">
        <f>IF($D42="Actual",IFERROR(V42/(U42+V42),""),AD30)</f>
        <v/>
      </c>
      <c r="AE42" s="46">
        <f>IFERROR(AC42*Z42*AA42,"")</f>
        <v/>
      </c>
      <c r="AF42" s="47">
        <f>K30</f>
        <v/>
      </c>
      <c r="AG42" s="43">
        <f>IF($D42="Forecast",IFERROR(K42/AF42-1,""),"")</f>
        <v/>
      </c>
    </row>
    <row r="43">
      <c r="A43" s="8" t="n">
        <v>46508</v>
      </c>
      <c r="B43" s="26">
        <f>YEAR(A43)</f>
        <v/>
      </c>
      <c r="C43" s="26">
        <f>MONTH(A43)</f>
        <v/>
      </c>
      <c r="D43">
        <f>IF(A43&lt;=LastActual,"Actual","Forecast")</f>
        <v/>
      </c>
      <c r="E43" s="24">
        <f>'VIC-1'!E43</f>
        <v/>
      </c>
      <c r="F43" s="27">
        <f>IF($D43="Actual",S43,Cases_Forecast!AS36)</f>
        <v/>
      </c>
      <c r="G43" s="9">
        <f>IF($D43="Actual",T43,IFERROR(H43/AE43,0))</f>
        <v/>
      </c>
      <c r="H43" s="24">
        <f>IF($D43="Actual",U43,J43-I43)</f>
        <v/>
      </c>
      <c r="I43" s="24">
        <f>IF($D43="Actual",V43,IFERROR(J43*AD43,0))</f>
        <v/>
      </c>
      <c r="J43" s="24">
        <f>IF($D43="Actual",U43+V43,E43*X43)</f>
        <v/>
      </c>
      <c r="K43" s="28">
        <f>IFERROR(F43/G43,0)</f>
        <v/>
      </c>
      <c r="L43" s="29">
        <f>IFERROR(H43/G43,0)</f>
        <v/>
      </c>
      <c r="M43" s="30">
        <f>IFERROR(J43/F43,0)</f>
        <v/>
      </c>
      <c r="N43" s="10">
        <f>IFERROR(J43/E43,0)</f>
        <v/>
      </c>
      <c r="O43" s="10">
        <f>IFERROR(I43/J43,0)</f>
        <v/>
      </c>
      <c r="R43" s="42">
        <f>IF($D43="Actual",E43,"")</f>
        <v/>
      </c>
      <c r="S43" s="42">
        <f>IF($D43="Actual",SUMIFS(Data_Actuals!$D$2:$D$5000,Data_Actuals!$A$2:$A$5000,$A43,Data_Actuals!$B$2:$B$5000,$B$2),"")</f>
        <v/>
      </c>
      <c r="T43" s="42">
        <f>IF($D43="Actual",SUMIFS(Data_Actuals!$E$2:$E$5000,Data_Actuals!$A$2:$A$5000,$A43,Data_Actuals!$B$2:$B$5000,$B$2),"")</f>
        <v/>
      </c>
      <c r="U43" s="42">
        <f>IF($D43="Actual",SUMIFS(Data_Actuals!$F$2:$F$5000,Data_Actuals!$A$2:$A$5000,$A43,Data_Actuals!$B$2:$B$5000,$B$2),"")</f>
        <v/>
      </c>
      <c r="V43" s="42">
        <f>IF($D43="Actual",SUMIFS(Data_Actuals!$G$2:$G$5000,Data_Actuals!$A$2:$A$5000,$A43,Data_Actuals!$B$2:$B$5000,$B$2),"")</f>
        <v/>
      </c>
      <c r="W43" s="42">
        <f>SUMIFS(Plan_Inputs!$C$2:$C$5000,Plan_Inputs!$A$2:$A$5000,$A43,Plan_Inputs!$B$2:$B$5000,$B$2)</f>
        <v/>
      </c>
      <c r="X43" s="43">
        <f>SUMIFS(Plan_Inputs!$D$2:$D$5000,Plan_Inputs!$A$2:$A$5000,$A43,Plan_Inputs!$B$2:$B$5000,$B$2)</f>
        <v/>
      </c>
      <c r="Y43" s="42">
        <f>'VIC-1'!E43+'VIC-2'!E43</f>
        <v/>
      </c>
      <c r="Z43" s="44">
        <f>INDEX(Calendar!$H$5:$L$52,MATCH($A43,Calendar!$A$5:$A$52,0),MATCH($D$2,Calendar!$H$4:$L$4,0))</f>
        <v/>
      </c>
      <c r="AA43" s="44">
        <f>INDEX(Calendar!$M$5:$M$52,MATCH($A43,Calendar!$A$5:$A$52,0))</f>
        <v/>
      </c>
      <c r="AB43" s="45">
        <f>IF($D43="Actual",IFERROR(S43/Y43,""),AB31)</f>
        <v/>
      </c>
      <c r="AC43" s="46">
        <f>IF($D43="Actual",IFERROR(U43/T43/Z43/AA43,""),AC31)</f>
        <v/>
      </c>
      <c r="AD43" s="43">
        <f>IF($D43="Actual",IFERROR(V43/(U43+V43),""),AD31)</f>
        <v/>
      </c>
      <c r="AE43" s="46">
        <f>IFERROR(AC43*Z43*AA43,"")</f>
        <v/>
      </c>
      <c r="AF43" s="47">
        <f>K31</f>
        <v/>
      </c>
      <c r="AG43" s="43">
        <f>IF($D43="Forecast",IFERROR(K43/AF43-1,""),"")</f>
        <v/>
      </c>
    </row>
    <row r="44">
      <c r="A44" s="8" t="n">
        <v>46539</v>
      </c>
      <c r="B44" s="26">
        <f>YEAR(A44)</f>
        <v/>
      </c>
      <c r="C44" s="26">
        <f>MONTH(A44)</f>
        <v/>
      </c>
      <c r="D44">
        <f>IF(A44&lt;=LastActual,"Actual","Forecast")</f>
        <v/>
      </c>
      <c r="E44" s="24">
        <f>'VIC-1'!E44</f>
        <v/>
      </c>
      <c r="F44" s="27">
        <f>IF($D44="Actual",S44,Cases_Forecast!AS37)</f>
        <v/>
      </c>
      <c r="G44" s="9">
        <f>IF($D44="Actual",T44,IFERROR(H44/AE44,0))</f>
        <v/>
      </c>
      <c r="H44" s="24">
        <f>IF($D44="Actual",U44,J44-I44)</f>
        <v/>
      </c>
      <c r="I44" s="24">
        <f>IF($D44="Actual",V44,IFERROR(J44*AD44,0))</f>
        <v/>
      </c>
      <c r="J44" s="24">
        <f>IF($D44="Actual",U44+V44,E44*X44)</f>
        <v/>
      </c>
      <c r="K44" s="28">
        <f>IFERROR(F44/G44,0)</f>
        <v/>
      </c>
      <c r="L44" s="29">
        <f>IFERROR(H44/G44,0)</f>
        <v/>
      </c>
      <c r="M44" s="30">
        <f>IFERROR(J44/F44,0)</f>
        <v/>
      </c>
      <c r="N44" s="10">
        <f>IFERROR(J44/E44,0)</f>
        <v/>
      </c>
      <c r="O44" s="10">
        <f>IFERROR(I44/J44,0)</f>
        <v/>
      </c>
      <c r="R44" s="42">
        <f>IF($D44="Actual",E44,"")</f>
        <v/>
      </c>
      <c r="S44" s="42">
        <f>IF($D44="Actual",SUMIFS(Data_Actuals!$D$2:$D$5000,Data_Actuals!$A$2:$A$5000,$A44,Data_Actuals!$B$2:$B$5000,$B$2),"")</f>
        <v/>
      </c>
      <c r="T44" s="42">
        <f>IF($D44="Actual",SUMIFS(Data_Actuals!$E$2:$E$5000,Data_Actuals!$A$2:$A$5000,$A44,Data_Actuals!$B$2:$B$5000,$B$2),"")</f>
        <v/>
      </c>
      <c r="U44" s="42">
        <f>IF($D44="Actual",SUMIFS(Data_Actuals!$F$2:$F$5000,Data_Actuals!$A$2:$A$5000,$A44,Data_Actuals!$B$2:$B$5000,$B$2),"")</f>
        <v/>
      </c>
      <c r="V44" s="42">
        <f>IF($D44="Actual",SUMIFS(Data_Actuals!$G$2:$G$5000,Data_Actuals!$A$2:$A$5000,$A44,Data_Actuals!$B$2:$B$5000,$B$2),"")</f>
        <v/>
      </c>
      <c r="W44" s="42">
        <f>SUMIFS(Plan_Inputs!$C$2:$C$5000,Plan_Inputs!$A$2:$A$5000,$A44,Plan_Inputs!$B$2:$B$5000,$B$2)</f>
        <v/>
      </c>
      <c r="X44" s="43">
        <f>SUMIFS(Plan_Inputs!$D$2:$D$5000,Plan_Inputs!$A$2:$A$5000,$A44,Plan_Inputs!$B$2:$B$5000,$B$2)</f>
        <v/>
      </c>
      <c r="Y44" s="42">
        <f>'VIC-1'!E44+'VIC-2'!E44</f>
        <v/>
      </c>
      <c r="Z44" s="44">
        <f>INDEX(Calendar!$H$5:$L$52,MATCH($A44,Calendar!$A$5:$A$52,0),MATCH($D$2,Calendar!$H$4:$L$4,0))</f>
        <v/>
      </c>
      <c r="AA44" s="44">
        <f>INDEX(Calendar!$M$5:$M$52,MATCH($A44,Calendar!$A$5:$A$52,0))</f>
        <v/>
      </c>
      <c r="AB44" s="45">
        <f>IF($D44="Actual",IFERROR(S44/Y44,""),AB32)</f>
        <v/>
      </c>
      <c r="AC44" s="46">
        <f>IF($D44="Actual",IFERROR(U44/T44/Z44/AA44,""),AC32)</f>
        <v/>
      </c>
      <c r="AD44" s="43">
        <f>IF($D44="Actual",IFERROR(V44/(U44+V44),""),AD32)</f>
        <v/>
      </c>
      <c r="AE44" s="46">
        <f>IFERROR(AC44*Z44*AA44,"")</f>
        <v/>
      </c>
      <c r="AF44" s="47">
        <f>K32</f>
        <v/>
      </c>
      <c r="AG44" s="43">
        <f>IF($D44="Forecast",IFERROR(K44/AF44-1,""),"")</f>
        <v/>
      </c>
    </row>
    <row r="45">
      <c r="A45" s="8" t="n">
        <v>46569</v>
      </c>
      <c r="B45" s="26">
        <f>YEAR(A45)</f>
        <v/>
      </c>
      <c r="C45" s="26">
        <f>MONTH(A45)</f>
        <v/>
      </c>
      <c r="D45">
        <f>IF(A45&lt;=LastActual,"Actual","Forecast")</f>
        <v/>
      </c>
      <c r="E45" s="24">
        <f>'VIC-1'!E45</f>
        <v/>
      </c>
      <c r="F45" s="27">
        <f>IF($D45="Actual",S45,Cases_Forecast!AS38)</f>
        <v/>
      </c>
      <c r="G45" s="9">
        <f>IF($D45="Actual",T45,IFERROR(H45/AE45,0))</f>
        <v/>
      </c>
      <c r="H45" s="24">
        <f>IF($D45="Actual",U45,J45-I45)</f>
        <v/>
      </c>
      <c r="I45" s="24">
        <f>IF($D45="Actual",V45,IFERROR(J45*AD45,0))</f>
        <v/>
      </c>
      <c r="J45" s="24">
        <f>IF($D45="Actual",U45+V45,E45*X45)</f>
        <v/>
      </c>
      <c r="K45" s="28">
        <f>IFERROR(F45/G45,0)</f>
        <v/>
      </c>
      <c r="L45" s="29">
        <f>IFERROR(H45/G45,0)</f>
        <v/>
      </c>
      <c r="M45" s="30">
        <f>IFERROR(J45/F45,0)</f>
        <v/>
      </c>
      <c r="N45" s="10">
        <f>IFERROR(J45/E45,0)</f>
        <v/>
      </c>
      <c r="O45" s="10">
        <f>IFERROR(I45/J45,0)</f>
        <v/>
      </c>
      <c r="R45" s="42">
        <f>IF($D45="Actual",E45,"")</f>
        <v/>
      </c>
      <c r="S45" s="42">
        <f>IF($D45="Actual",SUMIFS(Data_Actuals!$D$2:$D$5000,Data_Actuals!$A$2:$A$5000,$A45,Data_Actuals!$B$2:$B$5000,$B$2),"")</f>
        <v/>
      </c>
      <c r="T45" s="42">
        <f>IF($D45="Actual",SUMIFS(Data_Actuals!$E$2:$E$5000,Data_Actuals!$A$2:$A$5000,$A45,Data_Actuals!$B$2:$B$5000,$B$2),"")</f>
        <v/>
      </c>
      <c r="U45" s="42">
        <f>IF($D45="Actual",SUMIFS(Data_Actuals!$F$2:$F$5000,Data_Actuals!$A$2:$A$5000,$A45,Data_Actuals!$B$2:$B$5000,$B$2),"")</f>
        <v/>
      </c>
      <c r="V45" s="42">
        <f>IF($D45="Actual",SUMIFS(Data_Actuals!$G$2:$G$5000,Data_Actuals!$A$2:$A$5000,$A45,Data_Actuals!$B$2:$B$5000,$B$2),"")</f>
        <v/>
      </c>
      <c r="W45" s="42">
        <f>SUMIFS(Plan_Inputs!$C$2:$C$5000,Plan_Inputs!$A$2:$A$5000,$A45,Plan_Inputs!$B$2:$B$5000,$B$2)</f>
        <v/>
      </c>
      <c r="X45" s="43">
        <f>SUMIFS(Plan_Inputs!$D$2:$D$5000,Plan_Inputs!$A$2:$A$5000,$A45,Plan_Inputs!$B$2:$B$5000,$B$2)</f>
        <v/>
      </c>
      <c r="Y45" s="42">
        <f>'VIC-1'!E45+'VIC-2'!E45</f>
        <v/>
      </c>
      <c r="Z45" s="44">
        <f>INDEX(Calendar!$H$5:$L$52,MATCH($A45,Calendar!$A$5:$A$52,0),MATCH($D$2,Calendar!$H$4:$L$4,0))</f>
        <v/>
      </c>
      <c r="AA45" s="44">
        <f>INDEX(Calendar!$M$5:$M$52,MATCH($A45,Calendar!$A$5:$A$52,0))</f>
        <v/>
      </c>
      <c r="AB45" s="45">
        <f>IF($D45="Actual",IFERROR(S45/Y45,""),AB33)</f>
        <v/>
      </c>
      <c r="AC45" s="46">
        <f>IF($D45="Actual",IFERROR(U45/T45/Z45/AA45,""),AC33)</f>
        <v/>
      </c>
      <c r="AD45" s="43">
        <f>IF($D45="Actual",IFERROR(V45/(U45+V45),""),AD33)</f>
        <v/>
      </c>
      <c r="AE45" s="46">
        <f>IFERROR(AC45*Z45*AA45,"")</f>
        <v/>
      </c>
      <c r="AF45" s="47">
        <f>K33</f>
        <v/>
      </c>
      <c r="AG45" s="43">
        <f>IF($D45="Forecast",IFERROR(K45/AF45-1,""),"")</f>
        <v/>
      </c>
    </row>
    <row r="46">
      <c r="A46" s="8" t="n">
        <v>46600</v>
      </c>
      <c r="B46" s="26">
        <f>YEAR(A46)</f>
        <v/>
      </c>
      <c r="C46" s="26">
        <f>MONTH(A46)</f>
        <v/>
      </c>
      <c r="D46">
        <f>IF(A46&lt;=LastActual,"Actual","Forecast")</f>
        <v/>
      </c>
      <c r="E46" s="24">
        <f>'VIC-1'!E46</f>
        <v/>
      </c>
      <c r="F46" s="27">
        <f>IF($D46="Actual",S46,Cases_Forecast!AS39)</f>
        <v/>
      </c>
      <c r="G46" s="9">
        <f>IF($D46="Actual",T46,IFERROR(H46/AE46,0))</f>
        <v/>
      </c>
      <c r="H46" s="24">
        <f>IF($D46="Actual",U46,J46-I46)</f>
        <v/>
      </c>
      <c r="I46" s="24">
        <f>IF($D46="Actual",V46,IFERROR(J46*AD46,0))</f>
        <v/>
      </c>
      <c r="J46" s="24">
        <f>IF($D46="Actual",U46+V46,E46*X46)</f>
        <v/>
      </c>
      <c r="K46" s="28">
        <f>IFERROR(F46/G46,0)</f>
        <v/>
      </c>
      <c r="L46" s="29">
        <f>IFERROR(H46/G46,0)</f>
        <v/>
      </c>
      <c r="M46" s="30">
        <f>IFERROR(J46/F46,0)</f>
        <v/>
      </c>
      <c r="N46" s="10">
        <f>IFERROR(J46/E46,0)</f>
        <v/>
      </c>
      <c r="O46" s="10">
        <f>IFERROR(I46/J46,0)</f>
        <v/>
      </c>
      <c r="R46" s="42">
        <f>IF($D46="Actual",E46,"")</f>
        <v/>
      </c>
      <c r="S46" s="42">
        <f>IF($D46="Actual",SUMIFS(Data_Actuals!$D$2:$D$5000,Data_Actuals!$A$2:$A$5000,$A46,Data_Actuals!$B$2:$B$5000,$B$2),"")</f>
        <v/>
      </c>
      <c r="T46" s="42">
        <f>IF($D46="Actual",SUMIFS(Data_Actuals!$E$2:$E$5000,Data_Actuals!$A$2:$A$5000,$A46,Data_Actuals!$B$2:$B$5000,$B$2),"")</f>
        <v/>
      </c>
      <c r="U46" s="42">
        <f>IF($D46="Actual",SUMIFS(Data_Actuals!$F$2:$F$5000,Data_Actuals!$A$2:$A$5000,$A46,Data_Actuals!$B$2:$B$5000,$B$2),"")</f>
        <v/>
      </c>
      <c r="V46" s="42">
        <f>IF($D46="Actual",SUMIFS(Data_Actuals!$G$2:$G$5000,Data_Actuals!$A$2:$A$5000,$A46,Data_Actuals!$B$2:$B$5000,$B$2),"")</f>
        <v/>
      </c>
      <c r="W46" s="42">
        <f>SUMIFS(Plan_Inputs!$C$2:$C$5000,Plan_Inputs!$A$2:$A$5000,$A46,Plan_Inputs!$B$2:$B$5000,$B$2)</f>
        <v/>
      </c>
      <c r="X46" s="43">
        <f>SUMIFS(Plan_Inputs!$D$2:$D$5000,Plan_Inputs!$A$2:$A$5000,$A46,Plan_Inputs!$B$2:$B$5000,$B$2)</f>
        <v/>
      </c>
      <c r="Y46" s="42">
        <f>'VIC-1'!E46+'VIC-2'!E46</f>
        <v/>
      </c>
      <c r="Z46" s="44">
        <f>INDEX(Calendar!$H$5:$L$52,MATCH($A46,Calendar!$A$5:$A$52,0),MATCH($D$2,Calendar!$H$4:$L$4,0))</f>
        <v/>
      </c>
      <c r="AA46" s="44">
        <f>INDEX(Calendar!$M$5:$M$52,MATCH($A46,Calendar!$A$5:$A$52,0))</f>
        <v/>
      </c>
      <c r="AB46" s="45">
        <f>IF($D46="Actual",IFERROR(S46/Y46,""),AB34)</f>
        <v/>
      </c>
      <c r="AC46" s="46">
        <f>IF($D46="Actual",IFERROR(U46/T46/Z46/AA46,""),AC34)</f>
        <v/>
      </c>
      <c r="AD46" s="43">
        <f>IF($D46="Actual",IFERROR(V46/(U46+V46),""),AD34)</f>
        <v/>
      </c>
      <c r="AE46" s="46">
        <f>IFERROR(AC46*Z46*AA46,"")</f>
        <v/>
      </c>
      <c r="AF46" s="47">
        <f>K34</f>
        <v/>
      </c>
      <c r="AG46" s="43">
        <f>IF($D46="Forecast",IFERROR(K46/AF46-1,""),"")</f>
        <v/>
      </c>
    </row>
    <row r="47">
      <c r="A47" s="8" t="n">
        <v>46631</v>
      </c>
      <c r="B47" s="26">
        <f>YEAR(A47)</f>
        <v/>
      </c>
      <c r="C47" s="26">
        <f>MONTH(A47)</f>
        <v/>
      </c>
      <c r="D47">
        <f>IF(A47&lt;=LastActual,"Actual","Forecast")</f>
        <v/>
      </c>
      <c r="E47" s="24">
        <f>'VIC-1'!E47</f>
        <v/>
      </c>
      <c r="F47" s="27">
        <f>IF($D47="Actual",S47,Cases_Forecast!AS40)</f>
        <v/>
      </c>
      <c r="G47" s="9">
        <f>IF($D47="Actual",T47,IFERROR(H47/AE47,0))</f>
        <v/>
      </c>
      <c r="H47" s="24">
        <f>IF($D47="Actual",U47,J47-I47)</f>
        <v/>
      </c>
      <c r="I47" s="24">
        <f>IF($D47="Actual",V47,IFERROR(J47*AD47,0))</f>
        <v/>
      </c>
      <c r="J47" s="24">
        <f>IF($D47="Actual",U47+V47,E47*X47)</f>
        <v/>
      </c>
      <c r="K47" s="28">
        <f>IFERROR(F47/G47,0)</f>
        <v/>
      </c>
      <c r="L47" s="29">
        <f>IFERROR(H47/G47,0)</f>
        <v/>
      </c>
      <c r="M47" s="30">
        <f>IFERROR(J47/F47,0)</f>
        <v/>
      </c>
      <c r="N47" s="10">
        <f>IFERROR(J47/E47,0)</f>
        <v/>
      </c>
      <c r="O47" s="10">
        <f>IFERROR(I47/J47,0)</f>
        <v/>
      </c>
      <c r="R47" s="42">
        <f>IF($D47="Actual",E47,"")</f>
        <v/>
      </c>
      <c r="S47" s="42">
        <f>IF($D47="Actual",SUMIFS(Data_Actuals!$D$2:$D$5000,Data_Actuals!$A$2:$A$5000,$A47,Data_Actuals!$B$2:$B$5000,$B$2),"")</f>
        <v/>
      </c>
      <c r="T47" s="42">
        <f>IF($D47="Actual",SUMIFS(Data_Actuals!$E$2:$E$5000,Data_Actuals!$A$2:$A$5000,$A47,Data_Actuals!$B$2:$B$5000,$B$2),"")</f>
        <v/>
      </c>
      <c r="U47" s="42">
        <f>IF($D47="Actual",SUMIFS(Data_Actuals!$F$2:$F$5000,Data_Actuals!$A$2:$A$5000,$A47,Data_Actuals!$B$2:$B$5000,$B$2),"")</f>
        <v/>
      </c>
      <c r="V47" s="42">
        <f>IF($D47="Actual",SUMIFS(Data_Actuals!$G$2:$G$5000,Data_Actuals!$A$2:$A$5000,$A47,Data_Actuals!$B$2:$B$5000,$B$2),"")</f>
        <v/>
      </c>
      <c r="W47" s="42">
        <f>SUMIFS(Plan_Inputs!$C$2:$C$5000,Plan_Inputs!$A$2:$A$5000,$A47,Plan_Inputs!$B$2:$B$5000,$B$2)</f>
        <v/>
      </c>
      <c r="X47" s="43">
        <f>SUMIFS(Plan_Inputs!$D$2:$D$5000,Plan_Inputs!$A$2:$A$5000,$A47,Plan_Inputs!$B$2:$B$5000,$B$2)</f>
        <v/>
      </c>
      <c r="Y47" s="42">
        <f>'VIC-1'!E47+'VIC-2'!E47</f>
        <v/>
      </c>
      <c r="Z47" s="44">
        <f>INDEX(Calendar!$H$5:$L$52,MATCH($A47,Calendar!$A$5:$A$52,0),MATCH($D$2,Calendar!$H$4:$L$4,0))</f>
        <v/>
      </c>
      <c r="AA47" s="44">
        <f>INDEX(Calendar!$M$5:$M$52,MATCH($A47,Calendar!$A$5:$A$52,0))</f>
        <v/>
      </c>
      <c r="AB47" s="45">
        <f>IF($D47="Actual",IFERROR(S47/Y47,""),AB35)</f>
        <v/>
      </c>
      <c r="AC47" s="46">
        <f>IF($D47="Actual",IFERROR(U47/T47/Z47/AA47,""),AC35)</f>
        <v/>
      </c>
      <c r="AD47" s="43">
        <f>IF($D47="Actual",IFERROR(V47/(U47+V47),""),AD35)</f>
        <v/>
      </c>
      <c r="AE47" s="46">
        <f>IFERROR(AC47*Z47*AA47,"")</f>
        <v/>
      </c>
      <c r="AF47" s="47">
        <f>K35</f>
        <v/>
      </c>
      <c r="AG47" s="43">
        <f>IF($D47="Forecast",IFERROR(K47/AF47-1,""),"")</f>
        <v/>
      </c>
    </row>
    <row r="48">
      <c r="A48" s="8" t="n">
        <v>46661</v>
      </c>
      <c r="B48" s="26">
        <f>YEAR(A48)</f>
        <v/>
      </c>
      <c r="C48" s="26">
        <f>MONTH(A48)</f>
        <v/>
      </c>
      <c r="D48">
        <f>IF(A48&lt;=LastActual,"Actual","Forecast")</f>
        <v/>
      </c>
      <c r="E48" s="24">
        <f>'VIC-1'!E48</f>
        <v/>
      </c>
      <c r="F48" s="27">
        <f>IF($D48="Actual",S48,Cases_Forecast!AS41)</f>
        <v/>
      </c>
      <c r="G48" s="9">
        <f>IF($D48="Actual",T48,IFERROR(H48/AE48,0))</f>
        <v/>
      </c>
      <c r="H48" s="24">
        <f>IF($D48="Actual",U48,J48-I48)</f>
        <v/>
      </c>
      <c r="I48" s="24">
        <f>IF($D48="Actual",V48,IFERROR(J48*AD48,0))</f>
        <v/>
      </c>
      <c r="J48" s="24">
        <f>IF($D48="Actual",U48+V48,E48*X48)</f>
        <v/>
      </c>
      <c r="K48" s="28">
        <f>IFERROR(F48/G48,0)</f>
        <v/>
      </c>
      <c r="L48" s="29">
        <f>IFERROR(H48/G48,0)</f>
        <v/>
      </c>
      <c r="M48" s="30">
        <f>IFERROR(J48/F48,0)</f>
        <v/>
      </c>
      <c r="N48" s="10">
        <f>IFERROR(J48/E48,0)</f>
        <v/>
      </c>
      <c r="O48" s="10">
        <f>IFERROR(I48/J48,0)</f>
        <v/>
      </c>
      <c r="R48" s="42">
        <f>IF($D48="Actual",E48,"")</f>
        <v/>
      </c>
      <c r="S48" s="42">
        <f>IF($D48="Actual",SUMIFS(Data_Actuals!$D$2:$D$5000,Data_Actuals!$A$2:$A$5000,$A48,Data_Actuals!$B$2:$B$5000,$B$2),"")</f>
        <v/>
      </c>
      <c r="T48" s="42">
        <f>IF($D48="Actual",SUMIFS(Data_Actuals!$E$2:$E$5000,Data_Actuals!$A$2:$A$5000,$A48,Data_Actuals!$B$2:$B$5000,$B$2),"")</f>
        <v/>
      </c>
      <c r="U48" s="42">
        <f>IF($D48="Actual",SUMIFS(Data_Actuals!$F$2:$F$5000,Data_Actuals!$A$2:$A$5000,$A48,Data_Actuals!$B$2:$B$5000,$B$2),"")</f>
        <v/>
      </c>
      <c r="V48" s="42">
        <f>IF($D48="Actual",SUMIFS(Data_Actuals!$G$2:$G$5000,Data_Actuals!$A$2:$A$5000,$A48,Data_Actuals!$B$2:$B$5000,$B$2),"")</f>
        <v/>
      </c>
      <c r="W48" s="42">
        <f>SUMIFS(Plan_Inputs!$C$2:$C$5000,Plan_Inputs!$A$2:$A$5000,$A48,Plan_Inputs!$B$2:$B$5000,$B$2)</f>
        <v/>
      </c>
      <c r="X48" s="43">
        <f>SUMIFS(Plan_Inputs!$D$2:$D$5000,Plan_Inputs!$A$2:$A$5000,$A48,Plan_Inputs!$B$2:$B$5000,$B$2)</f>
        <v/>
      </c>
      <c r="Y48" s="42">
        <f>'VIC-1'!E48+'VIC-2'!E48</f>
        <v/>
      </c>
      <c r="Z48" s="44">
        <f>INDEX(Calendar!$H$5:$L$52,MATCH($A48,Calendar!$A$5:$A$52,0),MATCH($D$2,Calendar!$H$4:$L$4,0))</f>
        <v/>
      </c>
      <c r="AA48" s="44">
        <f>INDEX(Calendar!$M$5:$M$52,MATCH($A48,Calendar!$A$5:$A$52,0))</f>
        <v/>
      </c>
      <c r="AB48" s="45">
        <f>IF($D48="Actual",IFERROR(S48/Y48,""),AB36)</f>
        <v/>
      </c>
      <c r="AC48" s="46">
        <f>IF($D48="Actual",IFERROR(U48/T48/Z48/AA48,""),AC36)</f>
        <v/>
      </c>
      <c r="AD48" s="43">
        <f>IF($D48="Actual",IFERROR(V48/(U48+V48),""),AD36)</f>
        <v/>
      </c>
      <c r="AE48" s="46">
        <f>IFERROR(AC48*Z48*AA48,"")</f>
        <v/>
      </c>
      <c r="AF48" s="47">
        <f>K36</f>
        <v/>
      </c>
      <c r="AG48" s="43">
        <f>IF($D48="Forecast",IFERROR(K48/AF48-1,""),"")</f>
        <v/>
      </c>
    </row>
    <row r="49">
      <c r="A49" s="8" t="n">
        <v>46692</v>
      </c>
      <c r="B49" s="26">
        <f>YEAR(A49)</f>
        <v/>
      </c>
      <c r="C49" s="26">
        <f>MONTH(A49)</f>
        <v/>
      </c>
      <c r="D49">
        <f>IF(A49&lt;=LastActual,"Actual","Forecast")</f>
        <v/>
      </c>
      <c r="E49" s="24">
        <f>'VIC-1'!E49</f>
        <v/>
      </c>
      <c r="F49" s="27">
        <f>IF($D49="Actual",S49,Cases_Forecast!AS42)</f>
        <v/>
      </c>
      <c r="G49" s="9">
        <f>IF($D49="Actual",T49,IFERROR(H49/AE49,0))</f>
        <v/>
      </c>
      <c r="H49" s="24">
        <f>IF($D49="Actual",U49,J49-I49)</f>
        <v/>
      </c>
      <c r="I49" s="24">
        <f>IF($D49="Actual",V49,IFERROR(J49*AD49,0))</f>
        <v/>
      </c>
      <c r="J49" s="24">
        <f>IF($D49="Actual",U49+V49,E49*X49)</f>
        <v/>
      </c>
      <c r="K49" s="28">
        <f>IFERROR(F49/G49,0)</f>
        <v/>
      </c>
      <c r="L49" s="29">
        <f>IFERROR(H49/G49,0)</f>
        <v/>
      </c>
      <c r="M49" s="30">
        <f>IFERROR(J49/F49,0)</f>
        <v/>
      </c>
      <c r="N49" s="10">
        <f>IFERROR(J49/E49,0)</f>
        <v/>
      </c>
      <c r="O49" s="10">
        <f>IFERROR(I49/J49,0)</f>
        <v/>
      </c>
      <c r="R49" s="42">
        <f>IF($D49="Actual",E49,"")</f>
        <v/>
      </c>
      <c r="S49" s="42">
        <f>IF($D49="Actual",SUMIFS(Data_Actuals!$D$2:$D$5000,Data_Actuals!$A$2:$A$5000,$A49,Data_Actuals!$B$2:$B$5000,$B$2),"")</f>
        <v/>
      </c>
      <c r="T49" s="42">
        <f>IF($D49="Actual",SUMIFS(Data_Actuals!$E$2:$E$5000,Data_Actuals!$A$2:$A$5000,$A49,Data_Actuals!$B$2:$B$5000,$B$2),"")</f>
        <v/>
      </c>
      <c r="U49" s="42">
        <f>IF($D49="Actual",SUMIFS(Data_Actuals!$F$2:$F$5000,Data_Actuals!$A$2:$A$5000,$A49,Data_Actuals!$B$2:$B$5000,$B$2),"")</f>
        <v/>
      </c>
      <c r="V49" s="42">
        <f>IF($D49="Actual",SUMIFS(Data_Actuals!$G$2:$G$5000,Data_Actuals!$A$2:$A$5000,$A49,Data_Actuals!$B$2:$B$5000,$B$2),"")</f>
        <v/>
      </c>
      <c r="W49" s="42">
        <f>SUMIFS(Plan_Inputs!$C$2:$C$5000,Plan_Inputs!$A$2:$A$5000,$A49,Plan_Inputs!$B$2:$B$5000,$B$2)</f>
        <v/>
      </c>
      <c r="X49" s="43">
        <f>SUMIFS(Plan_Inputs!$D$2:$D$5000,Plan_Inputs!$A$2:$A$5000,$A49,Plan_Inputs!$B$2:$B$5000,$B$2)</f>
        <v/>
      </c>
      <c r="Y49" s="42">
        <f>'VIC-1'!E49+'VIC-2'!E49</f>
        <v/>
      </c>
      <c r="Z49" s="44">
        <f>INDEX(Calendar!$H$5:$L$52,MATCH($A49,Calendar!$A$5:$A$52,0),MATCH($D$2,Calendar!$H$4:$L$4,0))</f>
        <v/>
      </c>
      <c r="AA49" s="44">
        <f>INDEX(Calendar!$M$5:$M$52,MATCH($A49,Calendar!$A$5:$A$52,0))</f>
        <v/>
      </c>
      <c r="AB49" s="45">
        <f>IF($D49="Actual",IFERROR(S49/Y49,""),AB37)</f>
        <v/>
      </c>
      <c r="AC49" s="46">
        <f>IF($D49="Actual",IFERROR(U49/T49/Z49/AA49,""),AC37)</f>
        <v/>
      </c>
      <c r="AD49" s="43">
        <f>IF($D49="Actual",IFERROR(V49/(U49+V49),""),AD37)</f>
        <v/>
      </c>
      <c r="AE49" s="46">
        <f>IFERROR(AC49*Z49*AA49,"")</f>
        <v/>
      </c>
      <c r="AF49" s="47">
        <f>K37</f>
        <v/>
      </c>
      <c r="AG49" s="43">
        <f>IF($D49="Forecast",IFERROR(K49/AF49-1,""),"")</f>
        <v/>
      </c>
    </row>
    <row r="50">
      <c r="A50" s="31" t="n">
        <v>46722</v>
      </c>
      <c r="B50" s="32">
        <f>YEAR(A50)</f>
        <v/>
      </c>
      <c r="C50" s="32">
        <f>MONTH(A50)</f>
        <v/>
      </c>
      <c r="D50" s="33">
        <f>IF(A50&lt;=LastActual,"Actual","Forecast")</f>
        <v/>
      </c>
      <c r="E50" s="34">
        <f>'VIC-1'!E50</f>
        <v/>
      </c>
      <c r="F50" s="35">
        <f>IF($D50="Actual",S50,Cases_Forecast!AS43)</f>
        <v/>
      </c>
      <c r="G50" s="36">
        <f>IF($D50="Actual",T50,IFERROR(H50/AE50,0))</f>
        <v/>
      </c>
      <c r="H50" s="34">
        <f>IF($D50="Actual",U50,J50-I50)</f>
        <v/>
      </c>
      <c r="I50" s="34">
        <f>IF($D50="Actual",V50,IFERROR(J50*AD50,0))</f>
        <v/>
      </c>
      <c r="J50" s="34">
        <f>IF($D50="Actual",U50+V50,E50*X50)</f>
        <v/>
      </c>
      <c r="K50" s="37">
        <f>IFERROR(F50/G50,0)</f>
        <v/>
      </c>
      <c r="L50" s="38">
        <f>IFERROR(H50/G50,0)</f>
        <v/>
      </c>
      <c r="M50" s="39">
        <f>IFERROR(J50/F50,0)</f>
        <v/>
      </c>
      <c r="N50" s="40">
        <f>IFERROR(J50/E50,0)</f>
        <v/>
      </c>
      <c r="O50" s="40">
        <f>IFERROR(I50/J50,0)</f>
        <v/>
      </c>
      <c r="R50" s="42">
        <f>IF($D50="Actual",E50,"")</f>
        <v/>
      </c>
      <c r="S50" s="42">
        <f>IF($D50="Actual",SUMIFS(Data_Actuals!$D$2:$D$5000,Data_Actuals!$A$2:$A$5000,$A50,Data_Actuals!$B$2:$B$5000,$B$2),"")</f>
        <v/>
      </c>
      <c r="T50" s="42">
        <f>IF($D50="Actual",SUMIFS(Data_Actuals!$E$2:$E$5000,Data_Actuals!$A$2:$A$5000,$A50,Data_Actuals!$B$2:$B$5000,$B$2),"")</f>
        <v/>
      </c>
      <c r="U50" s="42">
        <f>IF($D50="Actual",SUMIFS(Data_Actuals!$F$2:$F$5000,Data_Actuals!$A$2:$A$5000,$A50,Data_Actuals!$B$2:$B$5000,$B$2),"")</f>
        <v/>
      </c>
      <c r="V50" s="42">
        <f>IF($D50="Actual",SUMIFS(Data_Actuals!$G$2:$G$5000,Data_Actuals!$A$2:$A$5000,$A50,Data_Actuals!$B$2:$B$5000,$B$2),"")</f>
        <v/>
      </c>
      <c r="W50" s="42">
        <f>SUMIFS(Plan_Inputs!$C$2:$C$5000,Plan_Inputs!$A$2:$A$5000,$A50,Plan_Inputs!$B$2:$B$5000,$B$2)</f>
        <v/>
      </c>
      <c r="X50" s="43">
        <f>SUMIFS(Plan_Inputs!$D$2:$D$5000,Plan_Inputs!$A$2:$A$5000,$A50,Plan_Inputs!$B$2:$B$5000,$B$2)</f>
        <v/>
      </c>
      <c r="Y50" s="42">
        <f>'VIC-1'!E50+'VIC-2'!E50</f>
        <v/>
      </c>
      <c r="Z50" s="44">
        <f>INDEX(Calendar!$H$5:$L$52,MATCH($A50,Calendar!$A$5:$A$52,0),MATCH($D$2,Calendar!$H$4:$L$4,0))</f>
        <v/>
      </c>
      <c r="AA50" s="44">
        <f>INDEX(Calendar!$M$5:$M$52,MATCH($A50,Calendar!$A$5:$A$52,0))</f>
        <v/>
      </c>
      <c r="AB50" s="45">
        <f>IF($D50="Actual",IFERROR(S50/Y50,""),AB38)</f>
        <v/>
      </c>
      <c r="AC50" s="46">
        <f>IF($D50="Actual",IFERROR(U50/T50/Z50/AA50,""),AC38)</f>
        <v/>
      </c>
      <c r="AD50" s="43">
        <f>IF($D50="Actual",IFERROR(V50/(U50+V50),""),AD38)</f>
        <v/>
      </c>
      <c r="AE50" s="46">
        <f>IFERROR(AC50*Z50*AA50,"")</f>
        <v/>
      </c>
      <c r="AF50" s="47">
        <f>K38</f>
        <v/>
      </c>
      <c r="AG50" s="43">
        <f>IF($D50="Forecast",IFERROR(K50/AF50-1,""),"")</f>
        <v/>
      </c>
    </row>
    <row r="51">
      <c r="A51" s="8" t="n">
        <v>46753</v>
      </c>
      <c r="B51" s="26">
        <f>YEAR(A51)</f>
        <v/>
      </c>
      <c r="C51" s="26">
        <f>MONTH(A51)</f>
        <v/>
      </c>
      <c r="D51">
        <f>IF(A51&lt;=LastActual,"Actual","Forecast")</f>
        <v/>
      </c>
      <c r="E51" s="24">
        <f>'VIC-1'!E51</f>
        <v/>
      </c>
      <c r="F51" s="27">
        <f>IF($D51="Actual",S51,Cases_Forecast!AS44)</f>
        <v/>
      </c>
      <c r="G51" s="9">
        <f>IF($D51="Actual",T51,IFERROR(H51/AE51,0))</f>
        <v/>
      </c>
      <c r="H51" s="24">
        <f>IF($D51="Actual",U51,J51-I51)</f>
        <v/>
      </c>
      <c r="I51" s="24">
        <f>IF($D51="Actual",V51,IFERROR(J51*AD51,0))</f>
        <v/>
      </c>
      <c r="J51" s="24">
        <f>IF($D51="Actual",U51+V51,E51*X51)</f>
        <v/>
      </c>
      <c r="K51" s="28">
        <f>IFERROR(F51/G51,0)</f>
        <v/>
      </c>
      <c r="L51" s="29">
        <f>IFERROR(H51/G51,0)</f>
        <v/>
      </c>
      <c r="M51" s="30">
        <f>IFERROR(J51/F51,0)</f>
        <v/>
      </c>
      <c r="N51" s="10">
        <f>IFERROR(J51/E51,0)</f>
        <v/>
      </c>
      <c r="O51" s="10">
        <f>IFERROR(I51/J51,0)</f>
        <v/>
      </c>
      <c r="R51" s="42">
        <f>IF($D51="Actual",E51,"")</f>
        <v/>
      </c>
      <c r="S51" s="42">
        <f>IF($D51="Actual",SUMIFS(Data_Actuals!$D$2:$D$5000,Data_Actuals!$A$2:$A$5000,$A51,Data_Actuals!$B$2:$B$5000,$B$2),"")</f>
        <v/>
      </c>
      <c r="T51" s="42">
        <f>IF($D51="Actual",SUMIFS(Data_Actuals!$E$2:$E$5000,Data_Actuals!$A$2:$A$5000,$A51,Data_Actuals!$B$2:$B$5000,$B$2),"")</f>
        <v/>
      </c>
      <c r="U51" s="42">
        <f>IF($D51="Actual",SUMIFS(Data_Actuals!$F$2:$F$5000,Data_Actuals!$A$2:$A$5000,$A51,Data_Actuals!$B$2:$B$5000,$B$2),"")</f>
        <v/>
      </c>
      <c r="V51" s="42">
        <f>IF($D51="Actual",SUMIFS(Data_Actuals!$G$2:$G$5000,Data_Actuals!$A$2:$A$5000,$A51,Data_Actuals!$B$2:$B$5000,$B$2),"")</f>
        <v/>
      </c>
      <c r="W51" s="42">
        <f>SUMIFS(Plan_Inputs!$C$2:$C$5000,Plan_Inputs!$A$2:$A$5000,$A51,Plan_Inputs!$B$2:$B$5000,$B$2)</f>
        <v/>
      </c>
      <c r="X51" s="43">
        <f>SUMIFS(Plan_Inputs!$D$2:$D$5000,Plan_Inputs!$A$2:$A$5000,$A51,Plan_Inputs!$B$2:$B$5000,$B$2)</f>
        <v/>
      </c>
      <c r="Y51" s="42">
        <f>'VIC-1'!E51+'VIC-2'!E51</f>
        <v/>
      </c>
      <c r="Z51" s="44">
        <f>INDEX(Calendar!$H$5:$L$52,MATCH($A51,Calendar!$A$5:$A$52,0),MATCH($D$2,Calendar!$H$4:$L$4,0))</f>
        <v/>
      </c>
      <c r="AA51" s="44">
        <f>INDEX(Calendar!$M$5:$M$52,MATCH($A51,Calendar!$A$5:$A$52,0))</f>
        <v/>
      </c>
      <c r="AB51" s="45">
        <f>IF($D51="Actual",IFERROR(S51/Y51,""),AB39)</f>
        <v/>
      </c>
      <c r="AC51" s="46">
        <f>IF($D51="Actual",IFERROR(U51/T51/Z51/AA51,""),AC39)</f>
        <v/>
      </c>
      <c r="AD51" s="43">
        <f>IF($D51="Actual",IFERROR(V51/(U51+V51),""),AD39)</f>
        <v/>
      </c>
      <c r="AE51" s="46">
        <f>IFERROR(AC51*Z51*AA51,"")</f>
        <v/>
      </c>
      <c r="AF51" s="47">
        <f>K39</f>
        <v/>
      </c>
      <c r="AG51" s="43">
        <f>IF($D51="Forecast",IFERROR(K51/AF51-1,""),"")</f>
        <v/>
      </c>
    </row>
    <row r="52">
      <c r="A52" s="8" t="n">
        <v>46784</v>
      </c>
      <c r="B52" s="26">
        <f>YEAR(A52)</f>
        <v/>
      </c>
      <c r="C52" s="26">
        <f>MONTH(A52)</f>
        <v/>
      </c>
      <c r="D52">
        <f>IF(A52&lt;=LastActual,"Actual","Forecast")</f>
        <v/>
      </c>
      <c r="E52" s="24">
        <f>'VIC-1'!E52</f>
        <v/>
      </c>
      <c r="F52" s="27">
        <f>IF($D52="Actual",S52,Cases_Forecast!AS45)</f>
        <v/>
      </c>
      <c r="G52" s="9">
        <f>IF($D52="Actual",T52,IFERROR(H52/AE52,0))</f>
        <v/>
      </c>
      <c r="H52" s="24">
        <f>IF($D52="Actual",U52,J52-I52)</f>
        <v/>
      </c>
      <c r="I52" s="24">
        <f>IF($D52="Actual",V52,IFERROR(J52*AD52,0))</f>
        <v/>
      </c>
      <c r="J52" s="24">
        <f>IF($D52="Actual",U52+V52,E52*X52)</f>
        <v/>
      </c>
      <c r="K52" s="28">
        <f>IFERROR(F52/G52,0)</f>
        <v/>
      </c>
      <c r="L52" s="29">
        <f>IFERROR(H52/G52,0)</f>
        <v/>
      </c>
      <c r="M52" s="30">
        <f>IFERROR(J52/F52,0)</f>
        <v/>
      </c>
      <c r="N52" s="10">
        <f>IFERROR(J52/E52,0)</f>
        <v/>
      </c>
      <c r="O52" s="10">
        <f>IFERROR(I52/J52,0)</f>
        <v/>
      </c>
      <c r="R52" s="42">
        <f>IF($D52="Actual",E52,"")</f>
        <v/>
      </c>
      <c r="S52" s="42">
        <f>IF($D52="Actual",SUMIFS(Data_Actuals!$D$2:$D$5000,Data_Actuals!$A$2:$A$5000,$A52,Data_Actuals!$B$2:$B$5000,$B$2),"")</f>
        <v/>
      </c>
      <c r="T52" s="42">
        <f>IF($D52="Actual",SUMIFS(Data_Actuals!$E$2:$E$5000,Data_Actuals!$A$2:$A$5000,$A52,Data_Actuals!$B$2:$B$5000,$B$2),"")</f>
        <v/>
      </c>
      <c r="U52" s="42">
        <f>IF($D52="Actual",SUMIFS(Data_Actuals!$F$2:$F$5000,Data_Actuals!$A$2:$A$5000,$A52,Data_Actuals!$B$2:$B$5000,$B$2),"")</f>
        <v/>
      </c>
      <c r="V52" s="42">
        <f>IF($D52="Actual",SUMIFS(Data_Actuals!$G$2:$G$5000,Data_Actuals!$A$2:$A$5000,$A52,Data_Actuals!$B$2:$B$5000,$B$2),"")</f>
        <v/>
      </c>
      <c r="W52" s="42">
        <f>SUMIFS(Plan_Inputs!$C$2:$C$5000,Plan_Inputs!$A$2:$A$5000,$A52,Plan_Inputs!$B$2:$B$5000,$B$2)</f>
        <v/>
      </c>
      <c r="X52" s="43">
        <f>SUMIFS(Plan_Inputs!$D$2:$D$5000,Plan_Inputs!$A$2:$A$5000,$A52,Plan_Inputs!$B$2:$B$5000,$B$2)</f>
        <v/>
      </c>
      <c r="Y52" s="42">
        <f>'VIC-1'!E52+'VIC-2'!E52</f>
        <v/>
      </c>
      <c r="Z52" s="44">
        <f>INDEX(Calendar!$H$5:$L$52,MATCH($A52,Calendar!$A$5:$A$52,0),MATCH($D$2,Calendar!$H$4:$L$4,0))</f>
        <v/>
      </c>
      <c r="AA52" s="44">
        <f>INDEX(Calendar!$M$5:$M$52,MATCH($A52,Calendar!$A$5:$A$52,0))</f>
        <v/>
      </c>
      <c r="AB52" s="45">
        <f>IF($D52="Actual",IFERROR(S52/Y52,""),AB40)</f>
        <v/>
      </c>
      <c r="AC52" s="46">
        <f>IF($D52="Actual",IFERROR(U52/T52/Z52/AA52,""),AC40)</f>
        <v/>
      </c>
      <c r="AD52" s="43">
        <f>IF($D52="Actual",IFERROR(V52/(U52+V52),""),AD40)</f>
        <v/>
      </c>
      <c r="AE52" s="46">
        <f>IFERROR(AC52*Z52*AA52,"")</f>
        <v/>
      </c>
      <c r="AF52" s="47">
        <f>K40</f>
        <v/>
      </c>
      <c r="AG52" s="43">
        <f>IF($D52="Forecast",IFERROR(K52/AF52-1,""),"")</f>
        <v/>
      </c>
    </row>
    <row r="53">
      <c r="A53" s="8" t="n">
        <v>46813</v>
      </c>
      <c r="B53" s="26">
        <f>YEAR(A53)</f>
        <v/>
      </c>
      <c r="C53" s="26">
        <f>MONTH(A53)</f>
        <v/>
      </c>
      <c r="D53">
        <f>IF(A53&lt;=LastActual,"Actual","Forecast")</f>
        <v/>
      </c>
      <c r="E53" s="24">
        <f>'VIC-1'!E53</f>
        <v/>
      </c>
      <c r="F53" s="27">
        <f>IF($D53="Actual",S53,Cases_Forecast!AS46)</f>
        <v/>
      </c>
      <c r="G53" s="9">
        <f>IF($D53="Actual",T53,IFERROR(H53/AE53,0))</f>
        <v/>
      </c>
      <c r="H53" s="24">
        <f>IF($D53="Actual",U53,J53-I53)</f>
        <v/>
      </c>
      <c r="I53" s="24">
        <f>IF($D53="Actual",V53,IFERROR(J53*AD53,0))</f>
        <v/>
      </c>
      <c r="J53" s="24">
        <f>IF($D53="Actual",U53+V53,E53*X53)</f>
        <v/>
      </c>
      <c r="K53" s="28">
        <f>IFERROR(F53/G53,0)</f>
        <v/>
      </c>
      <c r="L53" s="29">
        <f>IFERROR(H53/G53,0)</f>
        <v/>
      </c>
      <c r="M53" s="30">
        <f>IFERROR(J53/F53,0)</f>
        <v/>
      </c>
      <c r="N53" s="10">
        <f>IFERROR(J53/E53,0)</f>
        <v/>
      </c>
      <c r="O53" s="10">
        <f>IFERROR(I53/J53,0)</f>
        <v/>
      </c>
      <c r="R53" s="42">
        <f>IF($D53="Actual",E53,"")</f>
        <v/>
      </c>
      <c r="S53" s="42">
        <f>IF($D53="Actual",SUMIFS(Data_Actuals!$D$2:$D$5000,Data_Actuals!$A$2:$A$5000,$A53,Data_Actuals!$B$2:$B$5000,$B$2),"")</f>
        <v/>
      </c>
      <c r="T53" s="42">
        <f>IF($D53="Actual",SUMIFS(Data_Actuals!$E$2:$E$5000,Data_Actuals!$A$2:$A$5000,$A53,Data_Actuals!$B$2:$B$5000,$B$2),"")</f>
        <v/>
      </c>
      <c r="U53" s="42">
        <f>IF($D53="Actual",SUMIFS(Data_Actuals!$F$2:$F$5000,Data_Actuals!$A$2:$A$5000,$A53,Data_Actuals!$B$2:$B$5000,$B$2),"")</f>
        <v/>
      </c>
      <c r="V53" s="42">
        <f>IF($D53="Actual",SUMIFS(Data_Actuals!$G$2:$G$5000,Data_Actuals!$A$2:$A$5000,$A53,Data_Actuals!$B$2:$B$5000,$B$2),"")</f>
        <v/>
      </c>
      <c r="W53" s="42">
        <f>SUMIFS(Plan_Inputs!$C$2:$C$5000,Plan_Inputs!$A$2:$A$5000,$A53,Plan_Inputs!$B$2:$B$5000,$B$2)</f>
        <v/>
      </c>
      <c r="X53" s="43">
        <f>SUMIFS(Plan_Inputs!$D$2:$D$5000,Plan_Inputs!$A$2:$A$5000,$A53,Plan_Inputs!$B$2:$B$5000,$B$2)</f>
        <v/>
      </c>
      <c r="Y53" s="42">
        <f>'VIC-1'!E53+'VIC-2'!E53</f>
        <v/>
      </c>
      <c r="Z53" s="44">
        <f>INDEX(Calendar!$H$5:$L$52,MATCH($A53,Calendar!$A$5:$A$52,0),MATCH($D$2,Calendar!$H$4:$L$4,0))</f>
        <v/>
      </c>
      <c r="AA53" s="44">
        <f>INDEX(Calendar!$M$5:$M$52,MATCH($A53,Calendar!$A$5:$A$52,0))</f>
        <v/>
      </c>
      <c r="AB53" s="45">
        <f>IF($D53="Actual",IFERROR(S53/Y53,""),AB41)</f>
        <v/>
      </c>
      <c r="AC53" s="46">
        <f>IF($D53="Actual",IFERROR(U53/T53/Z53/AA53,""),AC41)</f>
        <v/>
      </c>
      <c r="AD53" s="43">
        <f>IF($D53="Actual",IFERROR(V53/(U53+V53),""),AD41)</f>
        <v/>
      </c>
      <c r="AE53" s="46">
        <f>IFERROR(AC53*Z53*AA53,"")</f>
        <v/>
      </c>
      <c r="AF53" s="47">
        <f>K41</f>
        <v/>
      </c>
      <c r="AG53" s="43">
        <f>IF($D53="Forecast",IFERROR(K53/AF53-1,""),"")</f>
        <v/>
      </c>
    </row>
    <row r="54">
      <c r="A54" s="8" t="n">
        <v>46844</v>
      </c>
      <c r="B54" s="26">
        <f>YEAR(A54)</f>
        <v/>
      </c>
      <c r="C54" s="26">
        <f>MONTH(A54)</f>
        <v/>
      </c>
      <c r="D54">
        <f>IF(A54&lt;=LastActual,"Actual","Forecast")</f>
        <v/>
      </c>
      <c r="E54" s="24">
        <f>'VIC-1'!E54</f>
        <v/>
      </c>
      <c r="F54" s="27">
        <f>IF($D54="Actual",S54,Cases_Forecast!AS47)</f>
        <v/>
      </c>
      <c r="G54" s="9">
        <f>IF($D54="Actual",T54,IFERROR(H54/AE54,0))</f>
        <v/>
      </c>
      <c r="H54" s="24">
        <f>IF($D54="Actual",U54,J54-I54)</f>
        <v/>
      </c>
      <c r="I54" s="24">
        <f>IF($D54="Actual",V54,IFERROR(J54*AD54,0))</f>
        <v/>
      </c>
      <c r="J54" s="24">
        <f>IF($D54="Actual",U54+V54,E54*X54)</f>
        <v/>
      </c>
      <c r="K54" s="28">
        <f>IFERROR(F54/G54,0)</f>
        <v/>
      </c>
      <c r="L54" s="29">
        <f>IFERROR(H54/G54,0)</f>
        <v/>
      </c>
      <c r="M54" s="30">
        <f>IFERROR(J54/F54,0)</f>
        <v/>
      </c>
      <c r="N54" s="10">
        <f>IFERROR(J54/E54,0)</f>
        <v/>
      </c>
      <c r="O54" s="10">
        <f>IFERROR(I54/J54,0)</f>
        <v/>
      </c>
      <c r="R54" s="42">
        <f>IF($D54="Actual",E54,"")</f>
        <v/>
      </c>
      <c r="S54" s="42">
        <f>IF($D54="Actual",SUMIFS(Data_Actuals!$D$2:$D$5000,Data_Actuals!$A$2:$A$5000,$A54,Data_Actuals!$B$2:$B$5000,$B$2),"")</f>
        <v/>
      </c>
      <c r="T54" s="42">
        <f>IF($D54="Actual",SUMIFS(Data_Actuals!$E$2:$E$5000,Data_Actuals!$A$2:$A$5000,$A54,Data_Actuals!$B$2:$B$5000,$B$2),"")</f>
        <v/>
      </c>
      <c r="U54" s="42">
        <f>IF($D54="Actual",SUMIFS(Data_Actuals!$F$2:$F$5000,Data_Actuals!$A$2:$A$5000,$A54,Data_Actuals!$B$2:$B$5000,$B$2),"")</f>
        <v/>
      </c>
      <c r="V54" s="42">
        <f>IF($D54="Actual",SUMIFS(Data_Actuals!$G$2:$G$5000,Data_Actuals!$A$2:$A$5000,$A54,Data_Actuals!$B$2:$B$5000,$B$2),"")</f>
        <v/>
      </c>
      <c r="W54" s="42">
        <f>SUMIFS(Plan_Inputs!$C$2:$C$5000,Plan_Inputs!$A$2:$A$5000,$A54,Plan_Inputs!$B$2:$B$5000,$B$2)</f>
        <v/>
      </c>
      <c r="X54" s="43">
        <f>SUMIFS(Plan_Inputs!$D$2:$D$5000,Plan_Inputs!$A$2:$A$5000,$A54,Plan_Inputs!$B$2:$B$5000,$B$2)</f>
        <v/>
      </c>
      <c r="Y54" s="42">
        <f>'VIC-1'!E54+'VIC-2'!E54</f>
        <v/>
      </c>
      <c r="Z54" s="44">
        <f>INDEX(Calendar!$H$5:$L$52,MATCH($A54,Calendar!$A$5:$A$52,0),MATCH($D$2,Calendar!$H$4:$L$4,0))</f>
        <v/>
      </c>
      <c r="AA54" s="44">
        <f>INDEX(Calendar!$M$5:$M$52,MATCH($A54,Calendar!$A$5:$A$52,0))</f>
        <v/>
      </c>
      <c r="AB54" s="45">
        <f>IF($D54="Actual",IFERROR(S54/Y54,""),AB42)</f>
        <v/>
      </c>
      <c r="AC54" s="46">
        <f>IF($D54="Actual",IFERROR(U54/T54/Z54/AA54,""),AC42)</f>
        <v/>
      </c>
      <c r="AD54" s="43">
        <f>IF($D54="Actual",IFERROR(V54/(U54+V54),""),AD42)</f>
        <v/>
      </c>
      <c r="AE54" s="46">
        <f>IFERROR(AC54*Z54*AA54,"")</f>
        <v/>
      </c>
      <c r="AF54" s="47">
        <f>K42</f>
        <v/>
      </c>
      <c r="AG54" s="43">
        <f>IF($D54="Forecast",IFERROR(K54/AF54-1,""),"")</f>
        <v/>
      </c>
    </row>
    <row r="55">
      <c r="A55" s="8" t="n">
        <v>46874</v>
      </c>
      <c r="B55" s="26">
        <f>YEAR(A55)</f>
        <v/>
      </c>
      <c r="C55" s="26">
        <f>MONTH(A55)</f>
        <v/>
      </c>
      <c r="D55">
        <f>IF(A55&lt;=LastActual,"Actual","Forecast")</f>
        <v/>
      </c>
      <c r="E55" s="24">
        <f>'VIC-1'!E55</f>
        <v/>
      </c>
      <c r="F55" s="27">
        <f>IF($D55="Actual",S55,Cases_Forecast!AS48)</f>
        <v/>
      </c>
      <c r="G55" s="9">
        <f>IF($D55="Actual",T55,IFERROR(H55/AE55,0))</f>
        <v/>
      </c>
      <c r="H55" s="24">
        <f>IF($D55="Actual",U55,J55-I55)</f>
        <v/>
      </c>
      <c r="I55" s="24">
        <f>IF($D55="Actual",V55,IFERROR(J55*AD55,0))</f>
        <v/>
      </c>
      <c r="J55" s="24">
        <f>IF($D55="Actual",U55+V55,E55*X55)</f>
        <v/>
      </c>
      <c r="K55" s="28">
        <f>IFERROR(F55/G55,0)</f>
        <v/>
      </c>
      <c r="L55" s="29">
        <f>IFERROR(H55/G55,0)</f>
        <v/>
      </c>
      <c r="M55" s="30">
        <f>IFERROR(J55/F55,0)</f>
        <v/>
      </c>
      <c r="N55" s="10">
        <f>IFERROR(J55/E55,0)</f>
        <v/>
      </c>
      <c r="O55" s="10">
        <f>IFERROR(I55/J55,0)</f>
        <v/>
      </c>
      <c r="R55" s="42">
        <f>IF($D55="Actual",E55,"")</f>
        <v/>
      </c>
      <c r="S55" s="42">
        <f>IF($D55="Actual",SUMIFS(Data_Actuals!$D$2:$D$5000,Data_Actuals!$A$2:$A$5000,$A55,Data_Actuals!$B$2:$B$5000,$B$2),"")</f>
        <v/>
      </c>
      <c r="T55" s="42">
        <f>IF($D55="Actual",SUMIFS(Data_Actuals!$E$2:$E$5000,Data_Actuals!$A$2:$A$5000,$A55,Data_Actuals!$B$2:$B$5000,$B$2),"")</f>
        <v/>
      </c>
      <c r="U55" s="42">
        <f>IF($D55="Actual",SUMIFS(Data_Actuals!$F$2:$F$5000,Data_Actuals!$A$2:$A$5000,$A55,Data_Actuals!$B$2:$B$5000,$B$2),"")</f>
        <v/>
      </c>
      <c r="V55" s="42">
        <f>IF($D55="Actual",SUMIFS(Data_Actuals!$G$2:$G$5000,Data_Actuals!$A$2:$A$5000,$A55,Data_Actuals!$B$2:$B$5000,$B$2),"")</f>
        <v/>
      </c>
      <c r="W55" s="42">
        <f>SUMIFS(Plan_Inputs!$C$2:$C$5000,Plan_Inputs!$A$2:$A$5000,$A55,Plan_Inputs!$B$2:$B$5000,$B$2)</f>
        <v/>
      </c>
      <c r="X55" s="43">
        <f>SUMIFS(Plan_Inputs!$D$2:$D$5000,Plan_Inputs!$A$2:$A$5000,$A55,Plan_Inputs!$B$2:$B$5000,$B$2)</f>
        <v/>
      </c>
      <c r="Y55" s="42">
        <f>'VIC-1'!E55+'VIC-2'!E55</f>
        <v/>
      </c>
      <c r="Z55" s="44">
        <f>INDEX(Calendar!$H$5:$L$52,MATCH($A55,Calendar!$A$5:$A$52,0),MATCH($D$2,Calendar!$H$4:$L$4,0))</f>
        <v/>
      </c>
      <c r="AA55" s="44">
        <f>INDEX(Calendar!$M$5:$M$52,MATCH($A55,Calendar!$A$5:$A$52,0))</f>
        <v/>
      </c>
      <c r="AB55" s="45">
        <f>IF($D55="Actual",IFERROR(S55/Y55,""),AB43)</f>
        <v/>
      </c>
      <c r="AC55" s="46">
        <f>IF($D55="Actual",IFERROR(U55/T55/Z55/AA55,""),AC43)</f>
        <v/>
      </c>
      <c r="AD55" s="43">
        <f>IF($D55="Actual",IFERROR(V55/(U55+V55),""),AD43)</f>
        <v/>
      </c>
      <c r="AE55" s="46">
        <f>IFERROR(AC55*Z55*AA55,"")</f>
        <v/>
      </c>
      <c r="AF55" s="47">
        <f>K43</f>
        <v/>
      </c>
      <c r="AG55" s="43">
        <f>IF($D55="Forecast",IFERROR(K55/AF55-1,""),"")</f>
        <v/>
      </c>
    </row>
    <row r="56">
      <c r="A56" s="8" t="n">
        <v>46905</v>
      </c>
      <c r="B56" s="26">
        <f>YEAR(A56)</f>
        <v/>
      </c>
      <c r="C56" s="26">
        <f>MONTH(A56)</f>
        <v/>
      </c>
      <c r="D56">
        <f>IF(A56&lt;=LastActual,"Actual","Forecast")</f>
        <v/>
      </c>
      <c r="E56" s="24">
        <f>'VIC-1'!E56</f>
        <v/>
      </c>
      <c r="F56" s="27">
        <f>IF($D56="Actual",S56,Cases_Forecast!AS49)</f>
        <v/>
      </c>
      <c r="G56" s="9">
        <f>IF($D56="Actual",T56,IFERROR(H56/AE56,0))</f>
        <v/>
      </c>
      <c r="H56" s="24">
        <f>IF($D56="Actual",U56,J56-I56)</f>
        <v/>
      </c>
      <c r="I56" s="24">
        <f>IF($D56="Actual",V56,IFERROR(J56*AD56,0))</f>
        <v/>
      </c>
      <c r="J56" s="24">
        <f>IF($D56="Actual",U56+V56,E56*X56)</f>
        <v/>
      </c>
      <c r="K56" s="28">
        <f>IFERROR(F56/G56,0)</f>
        <v/>
      </c>
      <c r="L56" s="29">
        <f>IFERROR(H56/G56,0)</f>
        <v/>
      </c>
      <c r="M56" s="30">
        <f>IFERROR(J56/F56,0)</f>
        <v/>
      </c>
      <c r="N56" s="10">
        <f>IFERROR(J56/E56,0)</f>
        <v/>
      </c>
      <c r="O56" s="10">
        <f>IFERROR(I56/J56,0)</f>
        <v/>
      </c>
      <c r="R56" s="42">
        <f>IF($D56="Actual",E56,"")</f>
        <v/>
      </c>
      <c r="S56" s="42">
        <f>IF($D56="Actual",SUMIFS(Data_Actuals!$D$2:$D$5000,Data_Actuals!$A$2:$A$5000,$A56,Data_Actuals!$B$2:$B$5000,$B$2),"")</f>
        <v/>
      </c>
      <c r="T56" s="42">
        <f>IF($D56="Actual",SUMIFS(Data_Actuals!$E$2:$E$5000,Data_Actuals!$A$2:$A$5000,$A56,Data_Actuals!$B$2:$B$5000,$B$2),"")</f>
        <v/>
      </c>
      <c r="U56" s="42">
        <f>IF($D56="Actual",SUMIFS(Data_Actuals!$F$2:$F$5000,Data_Actuals!$A$2:$A$5000,$A56,Data_Actuals!$B$2:$B$5000,$B$2),"")</f>
        <v/>
      </c>
      <c r="V56" s="42">
        <f>IF($D56="Actual",SUMIFS(Data_Actuals!$G$2:$G$5000,Data_Actuals!$A$2:$A$5000,$A56,Data_Actuals!$B$2:$B$5000,$B$2),"")</f>
        <v/>
      </c>
      <c r="W56" s="42">
        <f>SUMIFS(Plan_Inputs!$C$2:$C$5000,Plan_Inputs!$A$2:$A$5000,$A56,Plan_Inputs!$B$2:$B$5000,$B$2)</f>
        <v/>
      </c>
      <c r="X56" s="43">
        <f>SUMIFS(Plan_Inputs!$D$2:$D$5000,Plan_Inputs!$A$2:$A$5000,$A56,Plan_Inputs!$B$2:$B$5000,$B$2)</f>
        <v/>
      </c>
      <c r="Y56" s="42">
        <f>'VIC-1'!E56+'VIC-2'!E56</f>
        <v/>
      </c>
      <c r="Z56" s="44">
        <f>INDEX(Calendar!$H$5:$L$52,MATCH($A56,Calendar!$A$5:$A$52,0),MATCH($D$2,Calendar!$H$4:$L$4,0))</f>
        <v/>
      </c>
      <c r="AA56" s="44">
        <f>INDEX(Calendar!$M$5:$M$52,MATCH($A56,Calendar!$A$5:$A$52,0))</f>
        <v/>
      </c>
      <c r="AB56" s="45">
        <f>IF($D56="Actual",IFERROR(S56/Y56,""),AB44)</f>
        <v/>
      </c>
      <c r="AC56" s="46">
        <f>IF($D56="Actual",IFERROR(U56/T56/Z56/AA56,""),AC44)</f>
        <v/>
      </c>
      <c r="AD56" s="43">
        <f>IF($D56="Actual",IFERROR(V56/(U56+V56),""),AD44)</f>
        <v/>
      </c>
      <c r="AE56" s="46">
        <f>IFERROR(AC56*Z56*AA56,"")</f>
        <v/>
      </c>
      <c r="AF56" s="47">
        <f>K44</f>
        <v/>
      </c>
      <c r="AG56" s="43">
        <f>IF($D56="Forecast",IFERROR(K56/AF56-1,""),"")</f>
        <v/>
      </c>
    </row>
    <row r="57">
      <c r="A57" s="8" t="n">
        <v>46935</v>
      </c>
      <c r="B57" s="26">
        <f>YEAR(A57)</f>
        <v/>
      </c>
      <c r="C57" s="26">
        <f>MONTH(A57)</f>
        <v/>
      </c>
      <c r="D57">
        <f>IF(A57&lt;=LastActual,"Actual","Forecast")</f>
        <v/>
      </c>
      <c r="E57" s="24">
        <f>'VIC-1'!E57</f>
        <v/>
      </c>
      <c r="F57" s="27">
        <f>IF($D57="Actual",S57,Cases_Forecast!AS50)</f>
        <v/>
      </c>
      <c r="G57" s="9">
        <f>IF($D57="Actual",T57,IFERROR(H57/AE57,0))</f>
        <v/>
      </c>
      <c r="H57" s="24">
        <f>IF($D57="Actual",U57,J57-I57)</f>
        <v/>
      </c>
      <c r="I57" s="24">
        <f>IF($D57="Actual",V57,IFERROR(J57*AD57,0))</f>
        <v/>
      </c>
      <c r="J57" s="24">
        <f>IF($D57="Actual",U57+V57,E57*X57)</f>
        <v/>
      </c>
      <c r="K57" s="28">
        <f>IFERROR(F57/G57,0)</f>
        <v/>
      </c>
      <c r="L57" s="29">
        <f>IFERROR(H57/G57,0)</f>
        <v/>
      </c>
      <c r="M57" s="30">
        <f>IFERROR(J57/F57,0)</f>
        <v/>
      </c>
      <c r="N57" s="10">
        <f>IFERROR(J57/E57,0)</f>
        <v/>
      </c>
      <c r="O57" s="10">
        <f>IFERROR(I57/J57,0)</f>
        <v/>
      </c>
      <c r="R57" s="42">
        <f>IF($D57="Actual",E57,"")</f>
        <v/>
      </c>
      <c r="S57" s="42">
        <f>IF($D57="Actual",SUMIFS(Data_Actuals!$D$2:$D$5000,Data_Actuals!$A$2:$A$5000,$A57,Data_Actuals!$B$2:$B$5000,$B$2),"")</f>
        <v/>
      </c>
      <c r="T57" s="42">
        <f>IF($D57="Actual",SUMIFS(Data_Actuals!$E$2:$E$5000,Data_Actuals!$A$2:$A$5000,$A57,Data_Actuals!$B$2:$B$5000,$B$2),"")</f>
        <v/>
      </c>
      <c r="U57" s="42">
        <f>IF($D57="Actual",SUMIFS(Data_Actuals!$F$2:$F$5000,Data_Actuals!$A$2:$A$5000,$A57,Data_Actuals!$B$2:$B$5000,$B$2),"")</f>
        <v/>
      </c>
      <c r="V57" s="42">
        <f>IF($D57="Actual",SUMIFS(Data_Actuals!$G$2:$G$5000,Data_Actuals!$A$2:$A$5000,$A57,Data_Actuals!$B$2:$B$5000,$B$2),"")</f>
        <v/>
      </c>
      <c r="W57" s="42">
        <f>SUMIFS(Plan_Inputs!$C$2:$C$5000,Plan_Inputs!$A$2:$A$5000,$A57,Plan_Inputs!$B$2:$B$5000,$B$2)</f>
        <v/>
      </c>
      <c r="X57" s="43">
        <f>SUMIFS(Plan_Inputs!$D$2:$D$5000,Plan_Inputs!$A$2:$A$5000,$A57,Plan_Inputs!$B$2:$B$5000,$B$2)</f>
        <v/>
      </c>
      <c r="Y57" s="42">
        <f>'VIC-1'!E57+'VIC-2'!E57</f>
        <v/>
      </c>
      <c r="Z57" s="44">
        <f>INDEX(Calendar!$H$5:$L$52,MATCH($A57,Calendar!$A$5:$A$52,0),MATCH($D$2,Calendar!$H$4:$L$4,0))</f>
        <v/>
      </c>
      <c r="AA57" s="44">
        <f>INDEX(Calendar!$M$5:$M$52,MATCH($A57,Calendar!$A$5:$A$52,0))</f>
        <v/>
      </c>
      <c r="AB57" s="45">
        <f>IF($D57="Actual",IFERROR(S57/Y57,""),AB45)</f>
        <v/>
      </c>
      <c r="AC57" s="46">
        <f>IF($D57="Actual",IFERROR(U57/T57/Z57/AA57,""),AC45)</f>
        <v/>
      </c>
      <c r="AD57" s="43">
        <f>IF($D57="Actual",IFERROR(V57/(U57+V57),""),AD45)</f>
        <v/>
      </c>
      <c r="AE57" s="46">
        <f>IFERROR(AC57*Z57*AA57,"")</f>
        <v/>
      </c>
      <c r="AF57" s="47">
        <f>K45</f>
        <v/>
      </c>
      <c r="AG57" s="43">
        <f>IF($D57="Forecast",IFERROR(K57/AF57-1,""),"")</f>
        <v/>
      </c>
    </row>
    <row r="58">
      <c r="A58" s="8" t="n">
        <v>46966</v>
      </c>
      <c r="B58" s="26">
        <f>YEAR(A58)</f>
        <v/>
      </c>
      <c r="C58" s="26">
        <f>MONTH(A58)</f>
        <v/>
      </c>
      <c r="D58">
        <f>IF(A58&lt;=LastActual,"Actual","Forecast")</f>
        <v/>
      </c>
      <c r="E58" s="24">
        <f>'VIC-1'!E58</f>
        <v/>
      </c>
      <c r="F58" s="27">
        <f>IF($D58="Actual",S58,Cases_Forecast!AS51)</f>
        <v/>
      </c>
      <c r="G58" s="9">
        <f>IF($D58="Actual",T58,IFERROR(H58/AE58,0))</f>
        <v/>
      </c>
      <c r="H58" s="24">
        <f>IF($D58="Actual",U58,J58-I58)</f>
        <v/>
      </c>
      <c r="I58" s="24">
        <f>IF($D58="Actual",V58,IFERROR(J58*AD58,0))</f>
        <v/>
      </c>
      <c r="J58" s="24">
        <f>IF($D58="Actual",U58+V58,E58*X58)</f>
        <v/>
      </c>
      <c r="K58" s="28">
        <f>IFERROR(F58/G58,0)</f>
        <v/>
      </c>
      <c r="L58" s="29">
        <f>IFERROR(H58/G58,0)</f>
        <v/>
      </c>
      <c r="M58" s="30">
        <f>IFERROR(J58/F58,0)</f>
        <v/>
      </c>
      <c r="N58" s="10">
        <f>IFERROR(J58/E58,0)</f>
        <v/>
      </c>
      <c r="O58" s="10">
        <f>IFERROR(I58/J58,0)</f>
        <v/>
      </c>
      <c r="R58" s="42">
        <f>IF($D58="Actual",E58,"")</f>
        <v/>
      </c>
      <c r="S58" s="42">
        <f>IF($D58="Actual",SUMIFS(Data_Actuals!$D$2:$D$5000,Data_Actuals!$A$2:$A$5000,$A58,Data_Actuals!$B$2:$B$5000,$B$2),"")</f>
        <v/>
      </c>
      <c r="T58" s="42">
        <f>IF($D58="Actual",SUMIFS(Data_Actuals!$E$2:$E$5000,Data_Actuals!$A$2:$A$5000,$A58,Data_Actuals!$B$2:$B$5000,$B$2),"")</f>
        <v/>
      </c>
      <c r="U58" s="42">
        <f>IF($D58="Actual",SUMIFS(Data_Actuals!$F$2:$F$5000,Data_Actuals!$A$2:$A$5000,$A58,Data_Actuals!$B$2:$B$5000,$B$2),"")</f>
        <v/>
      </c>
      <c r="V58" s="42">
        <f>IF($D58="Actual",SUMIFS(Data_Actuals!$G$2:$G$5000,Data_Actuals!$A$2:$A$5000,$A58,Data_Actuals!$B$2:$B$5000,$B$2),"")</f>
        <v/>
      </c>
      <c r="W58" s="42">
        <f>SUMIFS(Plan_Inputs!$C$2:$C$5000,Plan_Inputs!$A$2:$A$5000,$A58,Plan_Inputs!$B$2:$B$5000,$B$2)</f>
        <v/>
      </c>
      <c r="X58" s="43">
        <f>SUMIFS(Plan_Inputs!$D$2:$D$5000,Plan_Inputs!$A$2:$A$5000,$A58,Plan_Inputs!$B$2:$B$5000,$B$2)</f>
        <v/>
      </c>
      <c r="Y58" s="42">
        <f>'VIC-1'!E58+'VIC-2'!E58</f>
        <v/>
      </c>
      <c r="Z58" s="44">
        <f>INDEX(Calendar!$H$5:$L$52,MATCH($A58,Calendar!$A$5:$A$52,0),MATCH($D$2,Calendar!$H$4:$L$4,0))</f>
        <v/>
      </c>
      <c r="AA58" s="44">
        <f>INDEX(Calendar!$M$5:$M$52,MATCH($A58,Calendar!$A$5:$A$52,0))</f>
        <v/>
      </c>
      <c r="AB58" s="45">
        <f>IF($D58="Actual",IFERROR(S58/Y58,""),AB46)</f>
        <v/>
      </c>
      <c r="AC58" s="46">
        <f>IF($D58="Actual",IFERROR(U58/T58/Z58/AA58,""),AC46)</f>
        <v/>
      </c>
      <c r="AD58" s="43">
        <f>IF($D58="Actual",IFERROR(V58/(U58+V58),""),AD46)</f>
        <v/>
      </c>
      <c r="AE58" s="46">
        <f>IFERROR(AC58*Z58*AA58,"")</f>
        <v/>
      </c>
      <c r="AF58" s="47">
        <f>K46</f>
        <v/>
      </c>
      <c r="AG58" s="43">
        <f>IF($D58="Forecast",IFERROR(K58/AF58-1,""),"")</f>
        <v/>
      </c>
    </row>
    <row r="59">
      <c r="A59" s="8" t="n">
        <v>46997</v>
      </c>
      <c r="B59" s="26">
        <f>YEAR(A59)</f>
        <v/>
      </c>
      <c r="C59" s="26">
        <f>MONTH(A59)</f>
        <v/>
      </c>
      <c r="D59">
        <f>IF(A59&lt;=LastActual,"Actual","Forecast")</f>
        <v/>
      </c>
      <c r="E59" s="24">
        <f>'VIC-1'!E59</f>
        <v/>
      </c>
      <c r="F59" s="27">
        <f>IF($D59="Actual",S59,Cases_Forecast!AS52)</f>
        <v/>
      </c>
      <c r="G59" s="9">
        <f>IF($D59="Actual",T59,IFERROR(H59/AE59,0))</f>
        <v/>
      </c>
      <c r="H59" s="24">
        <f>IF($D59="Actual",U59,J59-I59)</f>
        <v/>
      </c>
      <c r="I59" s="24">
        <f>IF($D59="Actual",V59,IFERROR(J59*AD59,0))</f>
        <v/>
      </c>
      <c r="J59" s="24">
        <f>IF($D59="Actual",U59+V59,E59*X59)</f>
        <v/>
      </c>
      <c r="K59" s="28">
        <f>IFERROR(F59/G59,0)</f>
        <v/>
      </c>
      <c r="L59" s="29">
        <f>IFERROR(H59/G59,0)</f>
        <v/>
      </c>
      <c r="M59" s="30">
        <f>IFERROR(J59/F59,0)</f>
        <v/>
      </c>
      <c r="N59" s="10">
        <f>IFERROR(J59/E59,0)</f>
        <v/>
      </c>
      <c r="O59" s="10">
        <f>IFERROR(I59/J59,0)</f>
        <v/>
      </c>
      <c r="R59" s="42">
        <f>IF($D59="Actual",E59,"")</f>
        <v/>
      </c>
      <c r="S59" s="42">
        <f>IF($D59="Actual",SUMIFS(Data_Actuals!$D$2:$D$5000,Data_Actuals!$A$2:$A$5000,$A59,Data_Actuals!$B$2:$B$5000,$B$2),"")</f>
        <v/>
      </c>
      <c r="T59" s="42">
        <f>IF($D59="Actual",SUMIFS(Data_Actuals!$E$2:$E$5000,Data_Actuals!$A$2:$A$5000,$A59,Data_Actuals!$B$2:$B$5000,$B$2),"")</f>
        <v/>
      </c>
      <c r="U59" s="42">
        <f>IF($D59="Actual",SUMIFS(Data_Actuals!$F$2:$F$5000,Data_Actuals!$A$2:$A$5000,$A59,Data_Actuals!$B$2:$B$5000,$B$2),"")</f>
        <v/>
      </c>
      <c r="V59" s="42">
        <f>IF($D59="Actual",SUMIFS(Data_Actuals!$G$2:$G$5000,Data_Actuals!$A$2:$A$5000,$A59,Data_Actuals!$B$2:$B$5000,$B$2),"")</f>
        <v/>
      </c>
      <c r="W59" s="42">
        <f>SUMIFS(Plan_Inputs!$C$2:$C$5000,Plan_Inputs!$A$2:$A$5000,$A59,Plan_Inputs!$B$2:$B$5000,$B$2)</f>
        <v/>
      </c>
      <c r="X59" s="43">
        <f>SUMIFS(Plan_Inputs!$D$2:$D$5000,Plan_Inputs!$A$2:$A$5000,$A59,Plan_Inputs!$B$2:$B$5000,$B$2)</f>
        <v/>
      </c>
      <c r="Y59" s="42">
        <f>'VIC-1'!E59+'VIC-2'!E59</f>
        <v/>
      </c>
      <c r="Z59" s="44">
        <f>INDEX(Calendar!$H$5:$L$52,MATCH($A59,Calendar!$A$5:$A$52,0),MATCH($D$2,Calendar!$H$4:$L$4,0))</f>
        <v/>
      </c>
      <c r="AA59" s="44">
        <f>INDEX(Calendar!$M$5:$M$52,MATCH($A59,Calendar!$A$5:$A$52,0))</f>
        <v/>
      </c>
      <c r="AB59" s="45">
        <f>IF($D59="Actual",IFERROR(S59/Y59,""),AB47)</f>
        <v/>
      </c>
      <c r="AC59" s="46">
        <f>IF($D59="Actual",IFERROR(U59/T59/Z59/AA59,""),AC47)</f>
        <v/>
      </c>
      <c r="AD59" s="43">
        <f>IF($D59="Actual",IFERROR(V59/(U59+V59),""),AD47)</f>
        <v/>
      </c>
      <c r="AE59" s="46">
        <f>IFERROR(AC59*Z59*AA59,"")</f>
        <v/>
      </c>
      <c r="AF59" s="47">
        <f>K47</f>
        <v/>
      </c>
      <c r="AG59" s="43">
        <f>IF($D59="Forecast",IFERROR(K59/AF59-1,""),"")</f>
        <v/>
      </c>
    </row>
    <row r="60">
      <c r="A60" s="8" t="n">
        <v>47027</v>
      </c>
      <c r="B60" s="26">
        <f>YEAR(A60)</f>
        <v/>
      </c>
      <c r="C60" s="26">
        <f>MONTH(A60)</f>
        <v/>
      </c>
      <c r="D60">
        <f>IF(A60&lt;=LastActual,"Actual","Forecast")</f>
        <v/>
      </c>
      <c r="E60" s="24">
        <f>'VIC-1'!E60</f>
        <v/>
      </c>
      <c r="F60" s="27">
        <f>IF($D60="Actual",S60,Cases_Forecast!AS53)</f>
        <v/>
      </c>
      <c r="G60" s="9">
        <f>IF($D60="Actual",T60,IFERROR(H60/AE60,0))</f>
        <v/>
      </c>
      <c r="H60" s="24">
        <f>IF($D60="Actual",U60,J60-I60)</f>
        <v/>
      </c>
      <c r="I60" s="24">
        <f>IF($D60="Actual",V60,IFERROR(J60*AD60,0))</f>
        <v/>
      </c>
      <c r="J60" s="24">
        <f>IF($D60="Actual",U60+V60,E60*X60)</f>
        <v/>
      </c>
      <c r="K60" s="28">
        <f>IFERROR(F60/G60,0)</f>
        <v/>
      </c>
      <c r="L60" s="29">
        <f>IFERROR(H60/G60,0)</f>
        <v/>
      </c>
      <c r="M60" s="30">
        <f>IFERROR(J60/F60,0)</f>
        <v/>
      </c>
      <c r="N60" s="10">
        <f>IFERROR(J60/E60,0)</f>
        <v/>
      </c>
      <c r="O60" s="10">
        <f>IFERROR(I60/J60,0)</f>
        <v/>
      </c>
      <c r="R60" s="42">
        <f>IF($D60="Actual",E60,"")</f>
        <v/>
      </c>
      <c r="S60" s="42">
        <f>IF($D60="Actual",SUMIFS(Data_Actuals!$D$2:$D$5000,Data_Actuals!$A$2:$A$5000,$A60,Data_Actuals!$B$2:$B$5000,$B$2),"")</f>
        <v/>
      </c>
      <c r="T60" s="42">
        <f>IF($D60="Actual",SUMIFS(Data_Actuals!$E$2:$E$5000,Data_Actuals!$A$2:$A$5000,$A60,Data_Actuals!$B$2:$B$5000,$B$2),"")</f>
        <v/>
      </c>
      <c r="U60" s="42">
        <f>IF($D60="Actual",SUMIFS(Data_Actuals!$F$2:$F$5000,Data_Actuals!$A$2:$A$5000,$A60,Data_Actuals!$B$2:$B$5000,$B$2),"")</f>
        <v/>
      </c>
      <c r="V60" s="42">
        <f>IF($D60="Actual",SUMIFS(Data_Actuals!$G$2:$G$5000,Data_Actuals!$A$2:$A$5000,$A60,Data_Actuals!$B$2:$B$5000,$B$2),"")</f>
        <v/>
      </c>
      <c r="W60" s="42">
        <f>SUMIFS(Plan_Inputs!$C$2:$C$5000,Plan_Inputs!$A$2:$A$5000,$A60,Plan_Inputs!$B$2:$B$5000,$B$2)</f>
        <v/>
      </c>
      <c r="X60" s="43">
        <f>SUMIFS(Plan_Inputs!$D$2:$D$5000,Plan_Inputs!$A$2:$A$5000,$A60,Plan_Inputs!$B$2:$B$5000,$B$2)</f>
        <v/>
      </c>
      <c r="Y60" s="42">
        <f>'VIC-1'!E60+'VIC-2'!E60</f>
        <v/>
      </c>
      <c r="Z60" s="44">
        <f>INDEX(Calendar!$H$5:$L$52,MATCH($A60,Calendar!$A$5:$A$52,0),MATCH($D$2,Calendar!$H$4:$L$4,0))</f>
        <v/>
      </c>
      <c r="AA60" s="44">
        <f>INDEX(Calendar!$M$5:$M$52,MATCH($A60,Calendar!$A$5:$A$52,0))</f>
        <v/>
      </c>
      <c r="AB60" s="45">
        <f>IF($D60="Actual",IFERROR(S60/Y60,""),AB48)</f>
        <v/>
      </c>
      <c r="AC60" s="46">
        <f>IF($D60="Actual",IFERROR(U60/T60/Z60/AA60,""),AC48)</f>
        <v/>
      </c>
      <c r="AD60" s="43">
        <f>IF($D60="Actual",IFERROR(V60/(U60+V60),""),AD48)</f>
        <v/>
      </c>
      <c r="AE60" s="46">
        <f>IFERROR(AC60*Z60*AA60,"")</f>
        <v/>
      </c>
      <c r="AF60" s="47">
        <f>K48</f>
        <v/>
      </c>
      <c r="AG60" s="43">
        <f>IF($D60="Forecast",IFERROR(K60/AF60-1,""),"")</f>
        <v/>
      </c>
    </row>
    <row r="61">
      <c r="A61" s="8" t="n">
        <v>47058</v>
      </c>
      <c r="B61" s="26">
        <f>YEAR(A61)</f>
        <v/>
      </c>
      <c r="C61" s="26">
        <f>MONTH(A61)</f>
        <v/>
      </c>
      <c r="D61">
        <f>IF(A61&lt;=LastActual,"Actual","Forecast")</f>
        <v/>
      </c>
      <c r="E61" s="24">
        <f>'VIC-1'!E61</f>
        <v/>
      </c>
      <c r="F61" s="27">
        <f>IF($D61="Actual",S61,Cases_Forecast!AS54)</f>
        <v/>
      </c>
      <c r="G61" s="9">
        <f>IF($D61="Actual",T61,IFERROR(H61/AE61,0))</f>
        <v/>
      </c>
      <c r="H61" s="24">
        <f>IF($D61="Actual",U61,J61-I61)</f>
        <v/>
      </c>
      <c r="I61" s="24">
        <f>IF($D61="Actual",V61,IFERROR(J61*AD61,0))</f>
        <v/>
      </c>
      <c r="J61" s="24">
        <f>IF($D61="Actual",U61+V61,E61*X61)</f>
        <v/>
      </c>
      <c r="K61" s="28">
        <f>IFERROR(F61/G61,0)</f>
        <v/>
      </c>
      <c r="L61" s="29">
        <f>IFERROR(H61/G61,0)</f>
        <v/>
      </c>
      <c r="M61" s="30">
        <f>IFERROR(J61/F61,0)</f>
        <v/>
      </c>
      <c r="N61" s="10">
        <f>IFERROR(J61/E61,0)</f>
        <v/>
      </c>
      <c r="O61" s="10">
        <f>IFERROR(I61/J61,0)</f>
        <v/>
      </c>
      <c r="R61" s="42">
        <f>IF($D61="Actual",E61,"")</f>
        <v/>
      </c>
      <c r="S61" s="42">
        <f>IF($D61="Actual",SUMIFS(Data_Actuals!$D$2:$D$5000,Data_Actuals!$A$2:$A$5000,$A61,Data_Actuals!$B$2:$B$5000,$B$2),"")</f>
        <v/>
      </c>
      <c r="T61" s="42">
        <f>IF($D61="Actual",SUMIFS(Data_Actuals!$E$2:$E$5000,Data_Actuals!$A$2:$A$5000,$A61,Data_Actuals!$B$2:$B$5000,$B$2),"")</f>
        <v/>
      </c>
      <c r="U61" s="42">
        <f>IF($D61="Actual",SUMIFS(Data_Actuals!$F$2:$F$5000,Data_Actuals!$A$2:$A$5000,$A61,Data_Actuals!$B$2:$B$5000,$B$2),"")</f>
        <v/>
      </c>
      <c r="V61" s="42">
        <f>IF($D61="Actual",SUMIFS(Data_Actuals!$G$2:$G$5000,Data_Actuals!$A$2:$A$5000,$A61,Data_Actuals!$B$2:$B$5000,$B$2),"")</f>
        <v/>
      </c>
      <c r="W61" s="42">
        <f>SUMIFS(Plan_Inputs!$C$2:$C$5000,Plan_Inputs!$A$2:$A$5000,$A61,Plan_Inputs!$B$2:$B$5000,$B$2)</f>
        <v/>
      </c>
      <c r="X61" s="43">
        <f>SUMIFS(Plan_Inputs!$D$2:$D$5000,Plan_Inputs!$A$2:$A$5000,$A61,Plan_Inputs!$B$2:$B$5000,$B$2)</f>
        <v/>
      </c>
      <c r="Y61" s="42">
        <f>'VIC-1'!E61+'VIC-2'!E61</f>
        <v/>
      </c>
      <c r="Z61" s="44">
        <f>INDEX(Calendar!$H$5:$L$52,MATCH($A61,Calendar!$A$5:$A$52,0),MATCH($D$2,Calendar!$H$4:$L$4,0))</f>
        <v/>
      </c>
      <c r="AA61" s="44">
        <f>INDEX(Calendar!$M$5:$M$52,MATCH($A61,Calendar!$A$5:$A$52,0))</f>
        <v/>
      </c>
      <c r="AB61" s="45">
        <f>IF($D61="Actual",IFERROR(S61/Y61,""),AB49)</f>
        <v/>
      </c>
      <c r="AC61" s="46">
        <f>IF($D61="Actual",IFERROR(U61/T61/Z61/AA61,""),AC49)</f>
        <v/>
      </c>
      <c r="AD61" s="43">
        <f>IF($D61="Actual",IFERROR(V61/(U61+V61),""),AD49)</f>
        <v/>
      </c>
      <c r="AE61" s="46">
        <f>IFERROR(AC61*Z61*AA61,"")</f>
        <v/>
      </c>
      <c r="AF61" s="47">
        <f>K49</f>
        <v/>
      </c>
      <c r="AG61" s="43">
        <f>IF($D61="Forecast",IFERROR(K61/AF61-1,""),"")</f>
        <v/>
      </c>
    </row>
    <row r="62">
      <c r="A62" s="31" t="n">
        <v>47088</v>
      </c>
      <c r="B62" s="32">
        <f>YEAR(A62)</f>
        <v/>
      </c>
      <c r="C62" s="32">
        <f>MONTH(A62)</f>
        <v/>
      </c>
      <c r="D62" s="33">
        <f>IF(A62&lt;=LastActual,"Actual","Forecast")</f>
        <v/>
      </c>
      <c r="E62" s="34">
        <f>'VIC-1'!E62</f>
        <v/>
      </c>
      <c r="F62" s="35">
        <f>IF($D62="Actual",S62,Cases_Forecast!AS55)</f>
        <v/>
      </c>
      <c r="G62" s="36">
        <f>IF($D62="Actual",T62,IFERROR(H62/AE62,0))</f>
        <v/>
      </c>
      <c r="H62" s="34">
        <f>IF($D62="Actual",U62,J62-I62)</f>
        <v/>
      </c>
      <c r="I62" s="34">
        <f>IF($D62="Actual",V62,IFERROR(J62*AD62,0))</f>
        <v/>
      </c>
      <c r="J62" s="34">
        <f>IF($D62="Actual",U62+V62,E62*X62)</f>
        <v/>
      </c>
      <c r="K62" s="37">
        <f>IFERROR(F62/G62,0)</f>
        <v/>
      </c>
      <c r="L62" s="38">
        <f>IFERROR(H62/G62,0)</f>
        <v/>
      </c>
      <c r="M62" s="39">
        <f>IFERROR(J62/F62,0)</f>
        <v/>
      </c>
      <c r="N62" s="40">
        <f>IFERROR(J62/E62,0)</f>
        <v/>
      </c>
      <c r="O62" s="40">
        <f>IFERROR(I62/J62,0)</f>
        <v/>
      </c>
      <c r="R62" s="42">
        <f>IF($D62="Actual",E62,"")</f>
        <v/>
      </c>
      <c r="S62" s="42">
        <f>IF($D62="Actual",SUMIFS(Data_Actuals!$D$2:$D$5000,Data_Actuals!$A$2:$A$5000,$A62,Data_Actuals!$B$2:$B$5000,$B$2),"")</f>
        <v/>
      </c>
      <c r="T62" s="42">
        <f>IF($D62="Actual",SUMIFS(Data_Actuals!$E$2:$E$5000,Data_Actuals!$A$2:$A$5000,$A62,Data_Actuals!$B$2:$B$5000,$B$2),"")</f>
        <v/>
      </c>
      <c r="U62" s="42">
        <f>IF($D62="Actual",SUMIFS(Data_Actuals!$F$2:$F$5000,Data_Actuals!$A$2:$A$5000,$A62,Data_Actuals!$B$2:$B$5000,$B$2),"")</f>
        <v/>
      </c>
      <c r="V62" s="42">
        <f>IF($D62="Actual",SUMIFS(Data_Actuals!$G$2:$G$5000,Data_Actuals!$A$2:$A$5000,$A62,Data_Actuals!$B$2:$B$5000,$B$2),"")</f>
        <v/>
      </c>
      <c r="W62" s="42">
        <f>SUMIFS(Plan_Inputs!$C$2:$C$5000,Plan_Inputs!$A$2:$A$5000,$A62,Plan_Inputs!$B$2:$B$5000,$B$2)</f>
        <v/>
      </c>
      <c r="X62" s="43">
        <f>SUMIFS(Plan_Inputs!$D$2:$D$5000,Plan_Inputs!$A$2:$A$5000,$A62,Plan_Inputs!$B$2:$B$5000,$B$2)</f>
        <v/>
      </c>
      <c r="Y62" s="42">
        <f>'VIC-1'!E62+'VIC-2'!E62</f>
        <v/>
      </c>
      <c r="Z62" s="44">
        <f>INDEX(Calendar!$H$5:$L$52,MATCH($A62,Calendar!$A$5:$A$52,0),MATCH($D$2,Calendar!$H$4:$L$4,0))</f>
        <v/>
      </c>
      <c r="AA62" s="44">
        <f>INDEX(Calendar!$M$5:$M$52,MATCH($A62,Calendar!$A$5:$A$52,0))</f>
        <v/>
      </c>
      <c r="AB62" s="45">
        <f>IF($D62="Actual",IFERROR(S62/Y62,""),AB50)</f>
        <v/>
      </c>
      <c r="AC62" s="46">
        <f>IF($D62="Actual",IFERROR(U62/T62/Z62/AA62,""),AC50)</f>
        <v/>
      </c>
      <c r="AD62" s="43">
        <f>IF($D62="Actual",IFERROR(V62/(U62+V62),""),AD50)</f>
        <v/>
      </c>
      <c r="AE62" s="46">
        <f>IFERROR(AC62*Z62*AA62,"")</f>
        <v/>
      </c>
      <c r="AF62" s="47">
        <f>K50</f>
        <v/>
      </c>
      <c r="AG62" s="43">
        <f>IF($D62="Forecast",IFERROR(K62/AF62-1,""),"")</f>
        <v/>
      </c>
    </row>
  </sheetData>
  <mergeCells count="3">
    <mergeCell ref="K12:O12"/>
    <mergeCell ref="R12:AG12"/>
    <mergeCell ref="E12:J12"/>
  </mergeCells>
  <conditionalFormatting sqref="A15:O62">
    <cfRule type="expression" priority="1" dxfId="4">
      <formula>$D15="Forecast"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2026-10-14T05:54:10Z</dcterms:created>
  <dcterms:modified xsi:type="dcterms:W3CDTF">2026-10-14T05:54:11Z</dcterms:modified>
</cp:coreProperties>
</file>