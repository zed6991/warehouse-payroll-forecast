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Data_Actuals" sheetId="3" state="visible" r:id="rId3"/>
    <sheet name="Plan_Inputs" sheetId="4" state="visible" r:id="rId4"/>
    <sheet name="Cases_Forecast" sheetId="5" state="visible" r:id="rId5"/>
    <sheet name="CPLH_Forecast" sheetId="6" state="visible" r:id="rId6"/>
    <sheet name="CPLH_Breakdown" sheetId="7" state="visible" r:id="rId7"/>
    <sheet name="Chamber Weights" sheetId="8" state="visible" r:id="rId8"/>
    <sheet name="CLR" sheetId="9" state="visible" r:id="rId9"/>
    <sheet name="Holidays" sheetId="10" state="visible" r:id="rId10"/>
    <sheet name="Calendar" sheetId="11" state="visible" r:id="rId11"/>
    <sheet name="Checks" sheetId="12" state="visible" r:id="rId12"/>
    <sheet name="National" sheetId="13" state="visible" r:id="rId13"/>
    <sheet name="Chamber_Summary" sheetId="14" state="visible" r:id="rId14"/>
    <sheet name="NSW-1" sheetId="15" state="visible" r:id="rId15"/>
    <sheet name="VIC-1" sheetId="16" state="visible" r:id="rId16"/>
    <sheet name="QLD-1" sheetId="17" state="visible" r:id="rId17"/>
    <sheet name="NSW-2" sheetId="18" state="visible" r:id="rId18"/>
    <sheet name="VIC-2" sheetId="19" state="visible" r:id="rId19"/>
    <sheet name="QLD-2" sheetId="20" state="visible" r:id="rId20"/>
    <sheet name="SA-1" sheetId="21" state="visible" r:id="rId21"/>
    <sheet name="WA-1" sheetId="22" state="visible" r:id="rId22"/>
    <sheet name="IDC-NSW" sheetId="23" state="visible" r:id="rId23"/>
    <sheet name="IDC-VIC" sheetId="24" state="visible" r:id="rId24"/>
  </sheets>
  <definedNames>
    <definedName name="LastActual">Inputs!$B$3</definedName>
    <definedName name="CPLHTol">Inputs!$B$7</definedName>
    <definedName name="CPLHSource">Inputs!$B$9</definedName>
    <definedName name="WageDates">Inputs!$A$21:$A$28</definedName>
    <definedName name="WageRates">Inputs!$B$21:$B$28</definedName>
    <definedName name="PH_Roster">Inputs!$B$31</definedName>
    <definedName name="PH_Loading">Inputs!$B$32</definedName>
    <definedName name="SiteCodes">Inputs!$A$36:$A$45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-mm-dd"/>
    <numFmt numFmtId="165" formatCode="0.0%"/>
    <numFmt numFmtId="166" formatCode="0.0"/>
    <numFmt numFmtId="167" formatCode="#,##0.00,,"/>
    <numFmt numFmtId="168" formatCode="0.0000"/>
    <numFmt numFmtId="169" formatCode="dd-mmm-yy"/>
    <numFmt numFmtId="170" formatCode="#,##0.0,,"/>
    <numFmt numFmtId="171" formatCode="$#,##0.00"/>
    <numFmt numFmtId="172" formatCode="$#,##0.000"/>
    <numFmt numFmtId="173" formatCode="0.00000"/>
  </numFmts>
  <fonts count="8">
    <font>
      <name val="Calibri"/>
      <family val="2"/>
      <color theme="1"/>
      <sz val="11"/>
      <scheme val="minor"/>
    </font>
    <font>
      <b val="1"/>
    </font>
    <font>
      <b val="1"/>
      <sz val="14"/>
    </font>
    <font>
      <color rgb="000000FF"/>
    </font>
    <font>
      <i val="1"/>
      <color rgb="00808080"/>
    </font>
    <font>
      <b val="1"/>
      <color rgb="00FFFFFF"/>
    </font>
    <font>
      <i val="1"/>
    </font>
    <font>
      <color rgb="0059595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bottom style="thin">
        <color rgb="001F3864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7" fontId="3" fillId="2" borderId="0" pivotButton="0" quotePrefix="0" xfId="0"/>
    <xf numFmtId="165" fontId="3" fillId="2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17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3" fontId="3" fillId="2" borderId="0" pivotButton="0" quotePrefix="0" xfId="0"/>
    <xf numFmtId="3" fontId="1" fillId="0" borderId="0" pivotButton="0" quotePrefix="0" xfId="0"/>
    <xf numFmtId="166" fontId="3" fillId="2" borderId="0" pivotButton="0" quotePrefix="0" xfId="0"/>
    <xf numFmtId="166" fontId="1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165" fontId="4" fillId="0" borderId="0" pivotButton="0" quotePrefix="0" xfId="0"/>
    <xf numFmtId="169" fontId="0" fillId="0" borderId="0" pivotButton="0" quotePrefix="0" xfId="0"/>
    <xf numFmtId="0" fontId="5" fillId="6" borderId="0" applyAlignment="1" pivotButton="0" quotePrefix="0" xfId="0">
      <alignment horizontal="center" vertical="center" wrapText="1"/>
    </xf>
    <xf numFmtId="17" fontId="1" fillId="4" borderId="0" pivotButton="0" quotePrefix="0" xfId="0"/>
    <xf numFmtId="0" fontId="0" fillId="4" borderId="0" pivotButton="0" quotePrefix="0" xfId="0"/>
    <xf numFmtId="170" fontId="0" fillId="4" borderId="0" pivotButton="0" quotePrefix="0" xfId="0"/>
    <xf numFmtId="167" fontId="0" fillId="4" borderId="0" pivotButton="0" quotePrefix="0" xfId="0"/>
    <xf numFmtId="3" fontId="0" fillId="4" borderId="0" pivotButton="0" quotePrefix="0" xfId="0"/>
    <xf numFmtId="166" fontId="0" fillId="4" borderId="0" pivotButton="0" quotePrefix="0" xfId="0"/>
    <xf numFmtId="171" fontId="0" fillId="4" borderId="0" pivotButton="0" quotePrefix="0" xfId="0"/>
    <xf numFmtId="172" fontId="0" fillId="4" borderId="0" pivotButton="0" quotePrefix="0" xfId="0"/>
    <xf numFmtId="10" fontId="0" fillId="4" borderId="0" pivotButton="0" quotePrefix="0" xfId="0"/>
    <xf numFmtId="170" fontId="0" fillId="0" borderId="0" pivotButton="0" quotePrefix="0" xfId="0"/>
    <xf numFmtId="165" fontId="1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1" fontId="0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0" fontId="0" fillId="0" borderId="0" pivotButton="0" quotePrefix="0" xfId="0"/>
    <xf numFmtId="17" fontId="0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170" fontId="0" fillId="0" borderId="1" pivotButton="0" quotePrefix="0" xfId="0"/>
    <xf numFmtId="167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71" fontId="0" fillId="0" borderId="1" pivotButton="0" quotePrefix="0" xfId="0"/>
    <xf numFmtId="172" fontId="0" fillId="0" borderId="1" pivotButton="0" quotePrefix="0" xfId="0"/>
    <xf numFmtId="10" fontId="0" fillId="0" borderId="1" pivotButton="0" quotePrefix="0" xfId="0"/>
    <xf numFmtId="167" fontId="1" fillId="4" borderId="0" pivotButton="0" quotePrefix="0" xfId="0"/>
    <xf numFmtId="3" fontId="1" fillId="4" borderId="0" pivotButton="0" quotePrefix="0" xfId="0"/>
    <xf numFmtId="170" fontId="1" fillId="4" borderId="0" pivotButton="0" quotePrefix="0" xfId="0"/>
    <xf numFmtId="10" fontId="1" fillId="0" borderId="0" pivotButton="0" quotePrefix="0" xfId="0"/>
    <xf numFmtId="0" fontId="5" fillId="5" borderId="0" applyAlignment="1" pivotButton="0" quotePrefix="0" xfId="0">
      <alignment horizontal="center" vertical="center" wrapText="1"/>
    </xf>
    <xf numFmtId="3" fontId="7" fillId="0" borderId="0" pivotButton="0" quotePrefix="0" xfId="0"/>
    <xf numFmtId="166" fontId="7" fillId="0" borderId="0" pivotButton="0" quotePrefix="0" xfId="0"/>
    <xf numFmtId="168" fontId="7" fillId="0" borderId="0" pivotButton="0" quotePrefix="0" xfId="0"/>
    <xf numFmtId="173" fontId="7" fillId="0" borderId="0" pivotButton="0" quotePrefix="0" xfId="0"/>
    <xf numFmtId="171" fontId="7" fillId="0" borderId="0" pivotButton="0" quotePrefix="0" xfId="0"/>
    <xf numFmtId="10" fontId="7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2F2F2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Warehouse payroll forecast model (CPLH-driven version, with chambers)</t>
        </is>
      </c>
    </row>
    <row r="2">
      <c r="A2" t="inlineStr">
        <is>
          <t>Synthetic data only. Monthly, Jan 2025 to Dec 2028.</t>
        </is>
      </c>
    </row>
    <row r="3">
      <c r="A3" t="inlineStr"/>
    </row>
    <row r="4">
      <c r="A4" s="1" t="inlineStr">
        <is>
          <t>THE MODEL (per site, per forecast month)</t>
        </is>
      </c>
    </row>
    <row r="5">
      <c r="A5" t="inlineStr">
        <is>
          <t>CPLH and cases are the inputs. Payroll, and payroll % of sales, are the result.</t>
        </is>
      </c>
    </row>
    <row r="6">
      <c r="A6" t="inlineStr">
        <is>
          <t>CPLH comes from the CPLH_Forecast tab: plan CPLH (Plan_Inputs, or CPLH_Breakdown if picked on Inputs),</t>
        </is>
      </c>
    </row>
    <row r="7">
      <c r="A7" t="inlineStr">
        <is>
          <t xml:space="preserve">   else CPLH in the same month last year; plus your adjustments, or your override.</t>
        </is>
      </c>
    </row>
    <row r="8">
      <c r="A8" t="inlineStr">
        <is>
          <t>Cases come from the Cases_Forecast tab: volume driver sales x cases per $ in the same month last year,</t>
        </is>
      </c>
    </row>
    <row r="9">
      <c r="A9" t="inlineStr">
        <is>
          <t xml:space="preserve">   plus your adjustments, or your override.</t>
        </is>
      </c>
    </row>
    <row r="10">
      <c r="A10" t="inlineStr">
        <is>
          <t>Hours = cases / CPLH.</t>
        </is>
      </c>
    </row>
    <row r="11">
      <c r="A11" t="inlineStr">
        <is>
          <t>Cost per hour = same month last year's cost per hour, with last year's public holidays and wage index taken out</t>
        </is>
      </c>
    </row>
    <row r="12">
      <c r="A12" t="inlineStr">
        <is>
          <t xml:space="preserve">   and this month's put back in.  Staff payroll = hours x cost per hour.</t>
        </is>
      </c>
    </row>
    <row r="13">
      <c r="A13" t="inlineStr">
        <is>
          <t>Total payroll = staff payroll / (1 - leadership share of total payroll in the last actual month).</t>
        </is>
      </c>
    </row>
    <row r="14">
      <c r="A14" t="inlineStr">
        <is>
          <t>Leadership = total payroll - staff payroll.</t>
        </is>
      </c>
    </row>
    <row r="15">
      <c r="A15" t="inlineStr">
        <is>
          <t>Payroll % of sales = total payroll / sales (plan sales from Plan_Inputs).  Cost per case = total payroll / cases.</t>
        </is>
      </c>
    </row>
    <row r="16">
      <c r="A16" t="inlineStr"/>
    </row>
    <row r="17">
      <c r="A17" s="1" t="inlineStr">
        <is>
          <t>CHAMBERS (ambient / chiller / freezer)</t>
        </is>
      </c>
    </row>
    <row r="18">
      <c r="A18" t="inlineStr">
        <is>
          <t>Each site's cases, hours, staff, leadership and total payroll are split by its case mix on the Chamber Weights tab.</t>
        </is>
      </c>
    </row>
    <row r="19">
      <c r="A19" t="inlineStr">
        <is>
          <t>Every chamber uses the site's CPLH and cost per hour, so hours and payroll follow the case mix.</t>
        </is>
      </c>
    </row>
    <row r="20">
      <c r="A20" t="inlineStr">
        <is>
          <t>The split is on the right of each site tab and on National; Chamber_Summary shows one FY by site.</t>
        </is>
      </c>
    </row>
    <row r="21">
      <c r="A21" t="inlineStr"/>
    </row>
    <row r="22">
      <c r="A22" s="1" t="inlineStr">
        <is>
          <t>NATIONAL CPLH BREAKDOWN</t>
        </is>
      </c>
    </row>
    <row r="23">
      <c r="A23" t="inlineStr">
        <is>
          <t>CPLH_Breakdown turns one national CPLH target per year into site CPLH by month. It scales every included</t>
        </is>
      </c>
    </row>
    <row r="24">
      <c r="A24" t="inlineStr">
        <is>
          <t xml:space="preserve">   site's actual CPLH (same month last year) by one factor, so the year's national CPLH hits the target.</t>
        </is>
      </c>
    </row>
    <row r="25">
      <c r="A25" t="inlineStr">
        <is>
          <t>Use it as a guide and copy into Plan_Inputs, or set 'Plan CPLH source' on Inputs to feed it in directly.</t>
        </is>
      </c>
    </row>
    <row r="26">
      <c r="A26" t="inlineStr"/>
    </row>
    <row r="27">
      <c r="A27" s="1" t="inlineStr">
        <is>
          <t>SAME MONTH LAST YEAR</t>
        </is>
      </c>
    </row>
    <row r="28">
      <c r="A28" t="inlineStr">
        <is>
          <t>CPLH, cases per $ and cost per hour look 12 rows up. If that month is an actual, the rate comes from actuals;</t>
        </is>
      </c>
    </row>
    <row r="29">
      <c r="A29" t="inlineStr">
        <is>
          <t>if it is a forecast, it uses that month's run rate. So Mar-28 uses Mar-27, which uses Mar-26 actuals.</t>
        </is>
      </c>
    </row>
    <row r="30">
      <c r="A30" t="inlineStr">
        <is>
          <t>Adjustments and overrides are not carried into the next year. Roll forward by moving Last actual month.</t>
        </is>
      </c>
    </row>
    <row r="31">
      <c r="A31" t="inlineStr"/>
    </row>
    <row r="32">
      <c r="A32" s="1" t="inlineStr">
        <is>
          <t>HOW TO UPDATE</t>
        </is>
      </c>
    </row>
    <row r="33">
      <c r="A33" t="inlineStr">
        <is>
          <t>1. Paste new actuals into Data_Actuals and the plan (sales, CPLH) into Plan_Inputs (same columns).</t>
        </is>
      </c>
    </row>
    <row r="34">
      <c r="A34" t="inlineStr">
        <is>
          <t xml:space="preserve">   Paste the latest case mix by chamber into Chamber Weights.</t>
        </is>
      </c>
    </row>
    <row r="35">
      <c r="A35" t="inlineStr">
        <is>
          <t>2. Move 'Last actual month' on Inputs forward.</t>
        </is>
      </c>
    </row>
    <row r="36">
      <c r="A36" t="inlineStr">
        <is>
          <t>3. Review Cases_Forecast and CPLH_Forecast; clear adjustments or overrides for months that are now actuals.</t>
        </is>
      </c>
    </row>
    <row r="37">
      <c r="A37" t="inlineStr">
        <is>
          <t>4. Check the Checks tab says ALL CHECKS OK.</t>
        </is>
      </c>
    </row>
    <row r="38">
      <c r="A38" t="inlineStr"/>
    </row>
    <row r="39">
      <c r="A39" s="1" t="inlineStr">
        <is>
          <t>SITE CODES</t>
        </is>
      </c>
    </row>
    <row r="40">
      <c r="A40" t="inlineStr">
        <is>
          <t>Type your own codes in the Code column of the Sites table on Inputs; every tab follows. Renaming tabs is optional.</t>
        </is>
      </c>
    </row>
    <row r="41">
      <c r="A41" t="inlineStr"/>
    </row>
    <row r="42">
      <c r="A42" s="1" t="inlineStr">
        <is>
          <t>COLOURS</t>
        </is>
      </c>
    </row>
    <row r="43">
      <c r="A43" t="inlineStr">
        <is>
          <t>Yellow cells with blue text are inputs. Blue-shaded rows are forecast months. Grey columns are helper calculations.</t>
        </is>
      </c>
    </row>
    <row r="44">
      <c r="A44" t="inlineStr">
        <is>
          <t>Public holidays are generated by rule; check against the official state lists (AFL Grand Final Friday in particular).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Inputs</t>
        </is>
      </c>
    </row>
    <row r="3">
      <c r="A3" t="inlineStr">
        <is>
          <t>Last actual month</t>
        </is>
      </c>
      <c r="B3" s="3" t="n">
        <v>46266</v>
      </c>
    </row>
    <row r="5">
      <c r="A5" t="inlineStr">
        <is>
          <t>Model status</t>
        </is>
      </c>
      <c r="B5" s="1">
        <f>Checks!B3</f>
        <v/>
      </c>
    </row>
    <row r="7">
      <c r="A7" t="inlineStr">
        <is>
          <t>Warn if forecast CPLH moves more than this vs LY</t>
        </is>
      </c>
      <c r="B7" s="4" t="n">
        <v>0.1</v>
      </c>
    </row>
    <row r="9">
      <c r="A9" t="inlineStr">
        <is>
          <t>Plan CPLH source</t>
        </is>
      </c>
      <c r="B9" s="5" t="inlineStr">
        <is>
          <t>Plan_Inputs</t>
        </is>
      </c>
      <c r="C9" s="6" t="inlineStr">
        <is>
          <t>Plan_Inputs = CPLH typed per site per month.  National breakdown = the CPLH_Breakdown tab.</t>
        </is>
      </c>
    </row>
    <row r="19">
      <c r="A19" s="1" t="inlineStr">
        <is>
          <t>Wage increases (staff cost per hour)</t>
        </is>
      </c>
    </row>
    <row r="20">
      <c r="A20" s="7" t="inlineStr">
        <is>
          <t>Effective month</t>
        </is>
      </c>
      <c r="B20" s="7" t="inlineStr">
        <is>
          <t>Increase</t>
        </is>
      </c>
    </row>
    <row r="21">
      <c r="A21" s="3" t="n">
        <v>46023</v>
      </c>
      <c r="B21" s="4" t="n">
        <v>0.04</v>
      </c>
      <c r="C21" s="6" t="inlineStr">
        <is>
          <t>Include past increases too: last year's cost per hour is divided by its wage index before this year's is applied.</t>
        </is>
      </c>
    </row>
    <row r="22">
      <c r="A22" s="3" t="n">
        <v>46388</v>
      </c>
      <c r="B22" s="4" t="n">
        <v>0.045</v>
      </c>
    </row>
    <row r="23">
      <c r="A23" s="3" t="n">
        <v>46753</v>
      </c>
      <c r="B23" s="4" t="n">
        <v>0.045</v>
      </c>
    </row>
    <row r="24">
      <c r="A24" s="3" t="n"/>
      <c r="B24" s="4" t="n"/>
    </row>
    <row r="25">
      <c r="A25" s="3" t="n"/>
      <c r="B25" s="4" t="n"/>
    </row>
    <row r="26">
      <c r="A26" s="3" t="n"/>
      <c r="B26" s="4" t="n"/>
    </row>
    <row r="27">
      <c r="A27" s="3" t="n"/>
      <c r="B27" s="4" t="n"/>
    </row>
    <row r="28">
      <c r="A28" s="3" t="n"/>
      <c r="B28" s="4" t="n"/>
    </row>
    <row r="30">
      <c r="A30" s="1" t="inlineStr">
        <is>
          <t>Public holidays</t>
        </is>
      </c>
    </row>
    <row r="31">
      <c r="A31" t="inlineStr">
        <is>
          <t>Share of normal hours worked on a PH</t>
        </is>
      </c>
      <c r="B31" s="5" t="n">
        <v>0.5</v>
      </c>
    </row>
    <row r="32">
      <c r="A32" t="inlineStr">
        <is>
          <t>PH pay loading (1.5 = paid 250%)</t>
        </is>
      </c>
      <c r="B32" s="5" t="n">
        <v>1.5</v>
      </c>
    </row>
    <row r="34">
      <c r="A34" s="1" t="inlineStr">
        <is>
          <t>Sites</t>
        </is>
      </c>
      <c r="B34" s="6" t="inlineStr">
        <is>
          <t>Type your own codes in the Code column; every tab follows. Renaming the tabs to match is optional.</t>
        </is>
      </c>
    </row>
    <row r="35">
      <c r="A35" s="7" t="inlineStr">
        <is>
          <t>Code</t>
        </is>
      </c>
      <c r="B35" s="7" t="inlineStr">
        <is>
          <t>Type</t>
        </is>
      </c>
      <c r="C35" s="7" t="inlineStr">
        <is>
          <t>State</t>
        </is>
      </c>
      <c r="D35" s="7" t="inlineStr">
        <is>
          <t>Payroll % basis</t>
        </is>
      </c>
      <c r="E35" s="7" t="inlineStr">
        <is>
          <t>In national sales?</t>
        </is>
      </c>
      <c r="F35" s="7" t="inlineStr">
        <is>
          <t>Volume driver</t>
        </is>
      </c>
    </row>
    <row r="36">
      <c r="A36" s="5" t="inlineStr">
        <is>
          <t>NSW-1</t>
        </is>
      </c>
      <c r="B36" t="inlineStr">
        <is>
          <t>Region</t>
        </is>
      </c>
      <c r="C36" t="inlineStr">
        <is>
          <t>NSW</t>
        </is>
      </c>
      <c r="D36">
        <f>A36</f>
        <v/>
      </c>
      <c r="E36" t="inlineStr">
        <is>
          <t>Yes</t>
        </is>
      </c>
      <c r="F36">
        <f>A36</f>
        <v/>
      </c>
    </row>
    <row r="37">
      <c r="A37" s="5" t="inlineStr">
        <is>
          <t>VIC-1</t>
        </is>
      </c>
      <c r="B37" t="inlineStr">
        <is>
          <t>Region</t>
        </is>
      </c>
      <c r="C37" t="inlineStr">
        <is>
          <t>VIC</t>
        </is>
      </c>
      <c r="D37">
        <f>A37</f>
        <v/>
      </c>
      <c r="E37" t="inlineStr">
        <is>
          <t>Yes</t>
        </is>
      </c>
      <c r="F37">
        <f>A37</f>
        <v/>
      </c>
    </row>
    <row r="38">
      <c r="A38" s="5" t="inlineStr">
        <is>
          <t>QLD-1</t>
        </is>
      </c>
      <c r="B38" t="inlineStr">
        <is>
          <t>Region</t>
        </is>
      </c>
      <c r="C38" t="inlineStr">
        <is>
          <t>QLD</t>
        </is>
      </c>
      <c r="D38">
        <f>A38</f>
        <v/>
      </c>
      <c r="E38" t="inlineStr">
        <is>
          <t>Yes</t>
        </is>
      </c>
      <c r="F38">
        <f>A38</f>
        <v/>
      </c>
    </row>
    <row r="39">
      <c r="A39" s="5" t="inlineStr">
        <is>
          <t>NSW-2</t>
        </is>
      </c>
      <c r="B39" t="inlineStr">
        <is>
          <t>Region</t>
        </is>
      </c>
      <c r="C39" t="inlineStr">
        <is>
          <t>NSW</t>
        </is>
      </c>
      <c r="D39">
        <f>A39</f>
        <v/>
      </c>
      <c r="E39" t="inlineStr">
        <is>
          <t>Yes</t>
        </is>
      </c>
      <c r="F39">
        <f>A39</f>
        <v/>
      </c>
    </row>
    <row r="40">
      <c r="A40" s="5" t="inlineStr">
        <is>
          <t>VIC-2</t>
        </is>
      </c>
      <c r="B40" t="inlineStr">
        <is>
          <t>Region</t>
        </is>
      </c>
      <c r="C40" t="inlineStr">
        <is>
          <t>VIC</t>
        </is>
      </c>
      <c r="D40">
        <f>A40</f>
        <v/>
      </c>
      <c r="E40" t="inlineStr">
        <is>
          <t>Yes</t>
        </is>
      </c>
      <c r="F40">
        <f>A40</f>
        <v/>
      </c>
    </row>
    <row r="41">
      <c r="A41" s="5" t="inlineStr">
        <is>
          <t>QLD-2</t>
        </is>
      </c>
      <c r="B41" t="inlineStr">
        <is>
          <t>Region</t>
        </is>
      </c>
      <c r="C41" t="inlineStr">
        <is>
          <t>QLD</t>
        </is>
      </c>
      <c r="D41">
        <f>A41</f>
        <v/>
      </c>
      <c r="E41" t="inlineStr">
        <is>
          <t>Yes</t>
        </is>
      </c>
      <c r="F41">
        <f>A41</f>
        <v/>
      </c>
    </row>
    <row r="42">
      <c r="A42" s="5" t="inlineStr">
        <is>
          <t>SA-1</t>
        </is>
      </c>
      <c r="B42" t="inlineStr">
        <is>
          <t>Region</t>
        </is>
      </c>
      <c r="C42" t="inlineStr">
        <is>
          <t>SA</t>
        </is>
      </c>
      <c r="D42">
        <f>A42</f>
        <v/>
      </c>
      <c r="E42" t="inlineStr">
        <is>
          <t>Yes</t>
        </is>
      </c>
      <c r="F42">
        <f>A42</f>
        <v/>
      </c>
    </row>
    <row r="43">
      <c r="A43" s="5" t="inlineStr">
        <is>
          <t>WA-1</t>
        </is>
      </c>
      <c r="B43" t="inlineStr">
        <is>
          <t>Region</t>
        </is>
      </c>
      <c r="C43" t="inlineStr">
        <is>
          <t>WA</t>
        </is>
      </c>
      <c r="D43">
        <f>A43</f>
        <v/>
      </c>
      <c r="E43" t="inlineStr">
        <is>
          <t>Yes</t>
        </is>
      </c>
      <c r="F43">
        <f>A43</f>
        <v/>
      </c>
    </row>
    <row r="44">
      <c r="A44" s="5" t="inlineStr">
        <is>
          <t>IDC-NSW</t>
        </is>
      </c>
      <c r="B44" t="inlineStr">
        <is>
          <t>IDC</t>
        </is>
      </c>
      <c r="C44" t="inlineStr">
        <is>
          <t>NSW</t>
        </is>
      </c>
      <c r="D44">
        <f>A36</f>
        <v/>
      </c>
      <c r="E44" t="inlineStr">
        <is>
          <t>No</t>
        </is>
      </c>
      <c r="F44">
        <f>A36&amp;"+"&amp;A39</f>
        <v/>
      </c>
    </row>
    <row r="45">
      <c r="A45" s="5" t="inlineStr">
        <is>
          <t>IDC-VIC</t>
        </is>
      </c>
      <c r="B45" t="inlineStr">
        <is>
          <t>IDC</t>
        </is>
      </c>
      <c r="C45" t="inlineStr">
        <is>
          <t>VIC</t>
        </is>
      </c>
      <c r="D45">
        <f>A37</f>
        <v/>
      </c>
      <c r="E45" t="inlineStr">
        <is>
          <t>No</t>
        </is>
      </c>
      <c r="F45">
        <f>A37&amp;"+"&amp;A40</f>
        <v/>
      </c>
    </row>
  </sheetData>
  <dataValidations count="1">
    <dataValidation sqref="B9" showDropDown="0" showInputMessage="0" showErrorMessage="0" allowBlank="0" type="list">
      <formula1>"Plan_Inputs,National breakdown"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G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7" t="inlineStr">
        <is>
          <t>Month</t>
        </is>
      </c>
      <c r="B1" s="7" t="inlineStr">
        <is>
          <t>Site</t>
        </is>
      </c>
      <c r="C1" s="7" t="inlineStr">
        <is>
          <t>Sales $</t>
        </is>
      </c>
      <c r="D1" s="7" t="inlineStr">
        <is>
          <t>Cases picked</t>
        </is>
      </c>
      <c r="E1" s="7" t="inlineStr">
        <is>
          <t>WH hours worked</t>
        </is>
      </c>
      <c r="F1" s="7" t="inlineStr">
        <is>
          <t>Staff payroll $</t>
        </is>
      </c>
      <c r="G1" s="7" t="inlineStr">
        <is>
          <t>Leadership payroll $</t>
        </is>
      </c>
    </row>
    <row r="2">
      <c r="A2" s="8" t="n">
        <v>45658</v>
      </c>
      <c r="B2" s="9">
        <f>Inputs!$A$36</f>
        <v/>
      </c>
      <c r="C2" s="9" t="n">
        <v>145185523</v>
      </c>
      <c r="D2" s="9" t="n">
        <v>3043624</v>
      </c>
      <c r="E2" s="9" t="n">
        <v>40295</v>
      </c>
      <c r="F2" s="9" t="n">
        <v>2808121</v>
      </c>
      <c r="G2" s="9" t="n">
        <v>319183</v>
      </c>
    </row>
    <row r="3">
      <c r="A3" s="8" t="n">
        <v>45658</v>
      </c>
      <c r="B3" s="9">
        <f>Inputs!$A$37</f>
        <v/>
      </c>
      <c r="C3" s="9" t="n">
        <v>133443243</v>
      </c>
      <c r="D3" s="9" t="n">
        <v>2887489</v>
      </c>
      <c r="E3" s="9" t="n">
        <v>38547</v>
      </c>
      <c r="F3" s="9" t="n">
        <v>2623810</v>
      </c>
      <c r="G3" s="9" t="n">
        <v>302699</v>
      </c>
    </row>
    <row r="4">
      <c r="A4" s="8" t="n">
        <v>45658</v>
      </c>
      <c r="B4" s="9">
        <f>Inputs!$A$38</f>
        <v/>
      </c>
      <c r="C4" s="9" t="n">
        <v>111417052</v>
      </c>
      <c r="D4" s="9" t="n">
        <v>2452995</v>
      </c>
      <c r="E4" s="9" t="n">
        <v>34693</v>
      </c>
      <c r="F4" s="9" t="n">
        <v>2319628</v>
      </c>
      <c r="G4" s="9" t="n">
        <v>267794</v>
      </c>
    </row>
    <row r="5">
      <c r="A5" s="8" t="n">
        <v>45658</v>
      </c>
      <c r="B5" s="9">
        <f>Inputs!$A$39</f>
        <v/>
      </c>
      <c r="C5" s="9" t="n">
        <v>125154901</v>
      </c>
      <c r="D5" s="9" t="n">
        <v>2690106</v>
      </c>
      <c r="E5" s="9" t="n">
        <v>36126</v>
      </c>
      <c r="F5" s="9" t="n">
        <v>2481070</v>
      </c>
      <c r="G5" s="9" t="n">
        <v>301012</v>
      </c>
    </row>
    <row r="6">
      <c r="A6" s="8" t="n">
        <v>45658</v>
      </c>
      <c r="B6" s="9">
        <f>Inputs!$A$40</f>
        <v/>
      </c>
      <c r="C6" s="9" t="n">
        <v>129729431</v>
      </c>
      <c r="D6" s="9" t="n">
        <v>2666780</v>
      </c>
      <c r="E6" s="9" t="n">
        <v>34264</v>
      </c>
      <c r="F6" s="9" t="n">
        <v>2298653</v>
      </c>
      <c r="G6" s="9" t="n">
        <v>303403</v>
      </c>
    </row>
    <row r="7">
      <c r="A7" s="8" t="n">
        <v>45658</v>
      </c>
      <c r="B7" s="9">
        <f>Inputs!$A$41</f>
        <v/>
      </c>
      <c r="C7" s="9" t="n">
        <v>117129351</v>
      </c>
      <c r="D7" s="9" t="n">
        <v>2537615</v>
      </c>
      <c r="E7" s="9" t="n">
        <v>35430</v>
      </c>
      <c r="F7" s="9" t="n">
        <v>2331622</v>
      </c>
      <c r="G7" s="9" t="n">
        <v>266309</v>
      </c>
    </row>
    <row r="8">
      <c r="A8" s="8" t="n">
        <v>45658</v>
      </c>
      <c r="B8" s="9">
        <f>Inputs!$A$42</f>
        <v/>
      </c>
      <c r="C8" s="9" t="n">
        <v>78517402</v>
      </c>
      <c r="D8" s="9" t="n">
        <v>1794006</v>
      </c>
      <c r="E8" s="9" t="n">
        <v>26280</v>
      </c>
      <c r="F8" s="9" t="n">
        <v>1687827</v>
      </c>
      <c r="G8" s="9" t="n">
        <v>204809</v>
      </c>
    </row>
    <row r="9">
      <c r="A9" s="8" t="n">
        <v>45658</v>
      </c>
      <c r="B9" s="9">
        <f>Inputs!$A$43</f>
        <v/>
      </c>
      <c r="C9" s="9" t="n">
        <v>99253181</v>
      </c>
      <c r="D9" s="9" t="n">
        <v>2212340</v>
      </c>
      <c r="E9" s="9" t="n">
        <v>31507</v>
      </c>
      <c r="F9" s="9" t="n">
        <v>2336629</v>
      </c>
      <c r="G9" s="9" t="n">
        <v>248935</v>
      </c>
    </row>
    <row r="10">
      <c r="A10" s="8" t="n">
        <v>45658</v>
      </c>
      <c r="B10" s="9">
        <f>Inputs!$A$44</f>
        <v/>
      </c>
      <c r="C10" s="9" t="n"/>
      <c r="D10" s="9" t="n">
        <v>814235</v>
      </c>
      <c r="E10" s="9" t="n">
        <v>7750</v>
      </c>
      <c r="F10" s="9" t="n">
        <v>564304</v>
      </c>
      <c r="G10" s="9" t="n">
        <v>149724</v>
      </c>
    </row>
    <row r="11">
      <c r="A11" s="8" t="n">
        <v>45658</v>
      </c>
      <c r="B11" s="9">
        <f>Inputs!$A$45</f>
        <v/>
      </c>
      <c r="C11" s="9" t="n"/>
      <c r="D11" s="9" t="n">
        <v>745617</v>
      </c>
      <c r="E11" s="9" t="n">
        <v>7313</v>
      </c>
      <c r="F11" s="9" t="n">
        <v>524974</v>
      </c>
      <c r="G11" s="9" t="n">
        <v>142777</v>
      </c>
    </row>
    <row r="12">
      <c r="A12" s="8" t="n">
        <v>45689</v>
      </c>
      <c r="B12" s="9">
        <f>Inputs!$A$36</f>
        <v/>
      </c>
      <c r="C12" s="9" t="n">
        <v>132346726</v>
      </c>
      <c r="D12" s="9" t="n">
        <v>2785007</v>
      </c>
      <c r="E12" s="9" t="n">
        <v>36181</v>
      </c>
      <c r="F12" s="9" t="n">
        <v>2383806</v>
      </c>
      <c r="G12" s="9" t="n">
        <v>320742</v>
      </c>
    </row>
    <row r="13">
      <c r="A13" s="8" t="n">
        <v>45689</v>
      </c>
      <c r="B13" s="9">
        <f>Inputs!$A$37</f>
        <v/>
      </c>
      <c r="C13" s="9" t="n">
        <v>129246596</v>
      </c>
      <c r="D13" s="9" t="n">
        <v>2777283</v>
      </c>
      <c r="E13" s="9" t="n">
        <v>34519</v>
      </c>
      <c r="F13" s="9" t="n">
        <v>2236585</v>
      </c>
      <c r="G13" s="9" t="n">
        <v>295534</v>
      </c>
    </row>
    <row r="14">
      <c r="A14" s="8" t="n">
        <v>45689</v>
      </c>
      <c r="B14" s="9">
        <f>Inputs!$A$38</f>
        <v/>
      </c>
      <c r="C14" s="9" t="n">
        <v>100727414</v>
      </c>
      <c r="D14" s="9" t="n">
        <v>2181145</v>
      </c>
      <c r="E14" s="9" t="n">
        <v>29392</v>
      </c>
      <c r="F14" s="9" t="n">
        <v>1832372</v>
      </c>
      <c r="G14" s="9" t="n">
        <v>257979</v>
      </c>
    </row>
    <row r="15">
      <c r="A15" s="8" t="n">
        <v>45689</v>
      </c>
      <c r="B15" s="9">
        <f>Inputs!$A$39</f>
        <v/>
      </c>
      <c r="C15" s="9" t="n">
        <v>110794435</v>
      </c>
      <c r="D15" s="9" t="n">
        <v>2337164</v>
      </c>
      <c r="E15" s="9" t="n">
        <v>31366</v>
      </c>
      <c r="F15" s="9" t="n">
        <v>2097121</v>
      </c>
      <c r="G15" s="9" t="n">
        <v>282353</v>
      </c>
    </row>
    <row r="16">
      <c r="A16" s="8" t="n">
        <v>45689</v>
      </c>
      <c r="B16" s="9">
        <f>Inputs!$A$40</f>
        <v/>
      </c>
      <c r="C16" s="9" t="n">
        <v>122688392</v>
      </c>
      <c r="D16" s="9" t="n">
        <v>2600981</v>
      </c>
      <c r="E16" s="9" t="n">
        <v>33068</v>
      </c>
      <c r="F16" s="9" t="n">
        <v>2113994</v>
      </c>
      <c r="G16" s="9" t="n">
        <v>294983</v>
      </c>
    </row>
    <row r="17">
      <c r="A17" s="8" t="n">
        <v>45689</v>
      </c>
      <c r="B17" s="9">
        <f>Inputs!$A$41</f>
        <v/>
      </c>
      <c r="C17" s="9" t="n">
        <v>109162992</v>
      </c>
      <c r="D17" s="9" t="n">
        <v>2365350</v>
      </c>
      <c r="E17" s="9" t="n">
        <v>31471</v>
      </c>
      <c r="F17" s="9" t="n">
        <v>1991983</v>
      </c>
      <c r="G17" s="9" t="n">
        <v>275619</v>
      </c>
    </row>
    <row r="18">
      <c r="A18" s="8" t="n">
        <v>45689</v>
      </c>
      <c r="B18" s="9">
        <f>Inputs!$A$42</f>
        <v/>
      </c>
      <c r="C18" s="9" t="n">
        <v>70749655</v>
      </c>
      <c r="D18" s="9" t="n">
        <v>1615239</v>
      </c>
      <c r="E18" s="9" t="n">
        <v>22417</v>
      </c>
      <c r="F18" s="9" t="n">
        <v>1358641</v>
      </c>
      <c r="G18" s="9" t="n">
        <v>210920</v>
      </c>
    </row>
    <row r="19">
      <c r="A19" s="8" t="n">
        <v>45689</v>
      </c>
      <c r="B19" s="9">
        <f>Inputs!$A$43</f>
        <v/>
      </c>
      <c r="C19" s="9" t="n">
        <v>94123598</v>
      </c>
      <c r="D19" s="9" t="n">
        <v>2117036</v>
      </c>
      <c r="E19" s="9" t="n">
        <v>29338</v>
      </c>
      <c r="F19" s="9" t="n">
        <v>2028412</v>
      </c>
      <c r="G19" s="9" t="n">
        <v>245629</v>
      </c>
    </row>
    <row r="20">
      <c r="A20" s="8" t="n">
        <v>45689</v>
      </c>
      <c r="B20" s="9">
        <f>Inputs!$A$44</f>
        <v/>
      </c>
      <c r="C20" s="9" t="n"/>
      <c r="D20" s="9" t="n">
        <v>736093</v>
      </c>
      <c r="E20" s="9" t="n">
        <v>6714</v>
      </c>
      <c r="F20" s="9" t="n">
        <v>471815</v>
      </c>
      <c r="G20" s="9" t="n">
        <v>145495</v>
      </c>
    </row>
    <row r="21">
      <c r="A21" s="8" t="n">
        <v>45689</v>
      </c>
      <c r="B21" s="9">
        <f>Inputs!$A$45</f>
        <v/>
      </c>
      <c r="C21" s="9" t="n"/>
      <c r="D21" s="9" t="n">
        <v>699658</v>
      </c>
      <c r="E21" s="9" t="n">
        <v>6848</v>
      </c>
      <c r="F21" s="9" t="n">
        <v>467508</v>
      </c>
      <c r="G21" s="9" t="n">
        <v>140341</v>
      </c>
    </row>
    <row r="22">
      <c r="A22" s="8" t="n">
        <v>45717</v>
      </c>
      <c r="B22" s="9">
        <f>Inputs!$A$36</f>
        <v/>
      </c>
      <c r="C22" s="9" t="n">
        <v>151388181</v>
      </c>
      <c r="D22" s="9" t="n">
        <v>3208052</v>
      </c>
      <c r="E22" s="9" t="n">
        <v>40660</v>
      </c>
      <c r="F22" s="9" t="n">
        <v>2685948</v>
      </c>
      <c r="G22" s="9" t="n">
        <v>315275</v>
      </c>
    </row>
    <row r="23">
      <c r="A23" s="8" t="n">
        <v>45717</v>
      </c>
      <c r="B23" s="9">
        <f>Inputs!$A$37</f>
        <v/>
      </c>
      <c r="C23" s="9" t="n">
        <v>139380637</v>
      </c>
      <c r="D23" s="9" t="n">
        <v>3034799</v>
      </c>
      <c r="E23" s="9" t="n">
        <v>37316</v>
      </c>
      <c r="F23" s="9" t="n">
        <v>2494850</v>
      </c>
      <c r="G23" s="9" t="n">
        <v>319982</v>
      </c>
    </row>
    <row r="24">
      <c r="A24" s="8" t="n">
        <v>45717</v>
      </c>
      <c r="B24" s="9">
        <f>Inputs!$A$38</f>
        <v/>
      </c>
      <c r="C24" s="9" t="n">
        <v>115886017</v>
      </c>
      <c r="D24" s="9" t="n">
        <v>2560673</v>
      </c>
      <c r="E24" s="9" t="n">
        <v>34662</v>
      </c>
      <c r="F24" s="9" t="n">
        <v>2185396</v>
      </c>
      <c r="G24" s="9" t="n">
        <v>255961</v>
      </c>
    </row>
    <row r="25">
      <c r="A25" s="8" t="n">
        <v>45717</v>
      </c>
      <c r="B25" s="9">
        <f>Inputs!$A$39</f>
        <v/>
      </c>
      <c r="C25" s="9" t="n">
        <v>123027509</v>
      </c>
      <c r="D25" s="9" t="n">
        <v>2608583</v>
      </c>
      <c r="E25" s="9" t="n">
        <v>33988</v>
      </c>
      <c r="F25" s="9" t="n">
        <v>2237477</v>
      </c>
      <c r="G25" s="9" t="n">
        <v>273167</v>
      </c>
    </row>
    <row r="26">
      <c r="A26" s="8" t="n">
        <v>45717</v>
      </c>
      <c r="B26" s="9">
        <f>Inputs!$A$40</f>
        <v/>
      </c>
      <c r="C26" s="9" t="n">
        <v>135907959</v>
      </c>
      <c r="D26" s="9" t="n">
        <v>2829800</v>
      </c>
      <c r="E26" s="9" t="n">
        <v>35242</v>
      </c>
      <c r="F26" s="9" t="n">
        <v>2310290</v>
      </c>
      <c r="G26" s="9" t="n">
        <v>298020</v>
      </c>
    </row>
    <row r="27">
      <c r="A27" s="8" t="n">
        <v>45717</v>
      </c>
      <c r="B27" s="9">
        <f>Inputs!$A$41</f>
        <v/>
      </c>
      <c r="C27" s="9" t="n">
        <v>122320621</v>
      </c>
      <c r="D27" s="9" t="n">
        <v>2680744</v>
      </c>
      <c r="E27" s="9" t="n">
        <v>35277</v>
      </c>
      <c r="F27" s="9" t="n">
        <v>2213243</v>
      </c>
      <c r="G27" s="9" t="n">
        <v>268586</v>
      </c>
    </row>
    <row r="28">
      <c r="A28" s="8" t="n">
        <v>45717</v>
      </c>
      <c r="B28" s="9">
        <f>Inputs!$A$42</f>
        <v/>
      </c>
      <c r="C28" s="9" t="n">
        <v>81234768</v>
      </c>
      <c r="D28" s="9" t="n">
        <v>1826489</v>
      </c>
      <c r="E28" s="9" t="n">
        <v>24500</v>
      </c>
      <c r="F28" s="9" t="n">
        <v>1538671</v>
      </c>
      <c r="G28" s="9" t="n">
        <v>197429</v>
      </c>
    </row>
    <row r="29">
      <c r="A29" s="8" t="n">
        <v>45717</v>
      </c>
      <c r="B29" s="9">
        <f>Inputs!$A$43</f>
        <v/>
      </c>
      <c r="C29" s="9" t="n">
        <v>108067323</v>
      </c>
      <c r="D29" s="9" t="n">
        <v>2388750</v>
      </c>
      <c r="E29" s="9" t="n">
        <v>32485</v>
      </c>
      <c r="F29" s="9" t="n">
        <v>2317422</v>
      </c>
      <c r="G29" s="9" t="n">
        <v>248477</v>
      </c>
    </row>
    <row r="30">
      <c r="A30" s="8" t="n">
        <v>45717</v>
      </c>
      <c r="B30" s="9">
        <f>Inputs!$A$44</f>
        <v/>
      </c>
      <c r="C30" s="9" t="n"/>
      <c r="D30" s="9" t="n">
        <v>809173</v>
      </c>
      <c r="E30" s="9" t="n">
        <v>7223</v>
      </c>
      <c r="F30" s="9" t="n">
        <v>505153</v>
      </c>
      <c r="G30" s="9" t="n">
        <v>146059</v>
      </c>
    </row>
    <row r="31">
      <c r="A31" s="8" t="n">
        <v>45717</v>
      </c>
      <c r="B31" s="9">
        <f>Inputs!$A$45</f>
        <v/>
      </c>
      <c r="C31" s="9" t="n"/>
      <c r="D31" s="9" t="n">
        <v>778599</v>
      </c>
      <c r="E31" s="9" t="n">
        <v>7397</v>
      </c>
      <c r="F31" s="9" t="n">
        <v>527308</v>
      </c>
      <c r="G31" s="9" t="n">
        <v>140256</v>
      </c>
    </row>
    <row r="32">
      <c r="A32" s="8" t="n">
        <v>45748</v>
      </c>
      <c r="B32" s="9">
        <f>Inputs!$A$36</f>
        <v/>
      </c>
      <c r="C32" s="9" t="n">
        <v>147502978</v>
      </c>
      <c r="D32" s="9" t="n">
        <v>3093483</v>
      </c>
      <c r="E32" s="9" t="n">
        <v>39190</v>
      </c>
      <c r="F32" s="9" t="n">
        <v>2940258</v>
      </c>
      <c r="G32" s="9" t="n">
        <v>319320</v>
      </c>
    </row>
    <row r="33">
      <c r="A33" s="8" t="n">
        <v>45748</v>
      </c>
      <c r="B33" s="9">
        <f>Inputs!$A$37</f>
        <v/>
      </c>
      <c r="C33" s="9" t="n">
        <v>139729332</v>
      </c>
      <c r="D33" s="9" t="n">
        <v>3011417</v>
      </c>
      <c r="E33" s="9" t="n">
        <v>37754</v>
      </c>
      <c r="F33" s="9" t="n">
        <v>2783718</v>
      </c>
      <c r="G33" s="9" t="n">
        <v>313897</v>
      </c>
    </row>
    <row r="34">
      <c r="A34" s="8" t="n">
        <v>45748</v>
      </c>
      <c r="B34" s="9">
        <f>Inputs!$A$38</f>
        <v/>
      </c>
      <c r="C34" s="9" t="n">
        <v>117059467</v>
      </c>
      <c r="D34" s="9" t="n">
        <v>2552888</v>
      </c>
      <c r="E34" s="9" t="n">
        <v>34584</v>
      </c>
      <c r="F34" s="9" t="n">
        <v>2465776</v>
      </c>
      <c r="G34" s="9" t="n">
        <v>260553</v>
      </c>
    </row>
    <row r="35">
      <c r="A35" s="8" t="n">
        <v>45748</v>
      </c>
      <c r="B35" s="9">
        <f>Inputs!$A$39</f>
        <v/>
      </c>
      <c r="C35" s="9" t="n">
        <v>123461416</v>
      </c>
      <c r="D35" s="9" t="n">
        <v>2596120</v>
      </c>
      <c r="E35" s="9" t="n">
        <v>34407</v>
      </c>
      <c r="F35" s="9" t="n">
        <v>2569797</v>
      </c>
      <c r="G35" s="9" t="n">
        <v>284117</v>
      </c>
    </row>
    <row r="36">
      <c r="A36" s="8" t="n">
        <v>45748</v>
      </c>
      <c r="B36" s="9">
        <f>Inputs!$A$40</f>
        <v/>
      </c>
      <c r="C36" s="9" t="n">
        <v>136765517</v>
      </c>
      <c r="D36" s="9" t="n">
        <v>2877751</v>
      </c>
      <c r="E36" s="9" t="n">
        <v>35707</v>
      </c>
      <c r="F36" s="9" t="n">
        <v>2629214</v>
      </c>
      <c r="G36" s="9" t="n">
        <v>306586</v>
      </c>
    </row>
    <row r="37">
      <c r="A37" s="8" t="n">
        <v>45748</v>
      </c>
      <c r="B37" s="9">
        <f>Inputs!$A$41</f>
        <v/>
      </c>
      <c r="C37" s="9" t="n">
        <v>116536673</v>
      </c>
      <c r="D37" s="9" t="n">
        <v>2538303</v>
      </c>
      <c r="E37" s="9" t="n">
        <v>34449</v>
      </c>
      <c r="F37" s="9" t="n">
        <v>2474166</v>
      </c>
      <c r="G37" s="9" t="n">
        <v>272848</v>
      </c>
    </row>
    <row r="38">
      <c r="A38" s="8" t="n">
        <v>45748</v>
      </c>
      <c r="B38" s="9">
        <f>Inputs!$A$42</f>
        <v/>
      </c>
      <c r="C38" s="9" t="n">
        <v>79536351</v>
      </c>
      <c r="D38" s="9" t="n">
        <v>1769687</v>
      </c>
      <c r="E38" s="9" t="n">
        <v>24842</v>
      </c>
      <c r="F38" s="9" t="n">
        <v>1722163</v>
      </c>
      <c r="G38" s="9" t="n">
        <v>207265</v>
      </c>
    </row>
    <row r="39">
      <c r="A39" s="8" t="n">
        <v>45748</v>
      </c>
      <c r="B39" s="9">
        <f>Inputs!$A$43</f>
        <v/>
      </c>
      <c r="C39" s="9" t="n">
        <v>104847628</v>
      </c>
      <c r="D39" s="9" t="n">
        <v>2342946</v>
      </c>
      <c r="E39" s="9" t="n">
        <v>32011</v>
      </c>
      <c r="F39" s="9" t="n">
        <v>2424086</v>
      </c>
      <c r="G39" s="9" t="n">
        <v>250907</v>
      </c>
    </row>
    <row r="40">
      <c r="A40" s="8" t="n">
        <v>45748</v>
      </c>
      <c r="B40" s="9">
        <f>Inputs!$A$44</f>
        <v/>
      </c>
      <c r="C40" s="9" t="n"/>
      <c r="D40" s="9" t="n">
        <v>816972</v>
      </c>
      <c r="E40" s="9" t="n">
        <v>7455</v>
      </c>
      <c r="F40" s="9" t="n">
        <v>606629</v>
      </c>
      <c r="G40" s="9" t="n">
        <v>153750</v>
      </c>
    </row>
    <row r="41">
      <c r="A41" s="8" t="n">
        <v>45748</v>
      </c>
      <c r="B41" s="9">
        <f>Inputs!$A$45</f>
        <v/>
      </c>
      <c r="C41" s="9" t="n"/>
      <c r="D41" s="9" t="n">
        <v>767977</v>
      </c>
      <c r="E41" s="9" t="n">
        <v>7081</v>
      </c>
      <c r="F41" s="9" t="n">
        <v>562453</v>
      </c>
      <c r="G41" s="9" t="n">
        <v>140551</v>
      </c>
    </row>
    <row r="42">
      <c r="A42" s="8" t="n">
        <v>45778</v>
      </c>
      <c r="B42" s="9">
        <f>Inputs!$A$36</f>
        <v/>
      </c>
      <c r="C42" s="9" t="n">
        <v>149881462</v>
      </c>
      <c r="D42" s="9" t="n">
        <v>3086173</v>
      </c>
      <c r="E42" s="9" t="n">
        <v>39621</v>
      </c>
      <c r="F42" s="9" t="n">
        <v>2625238</v>
      </c>
      <c r="G42" s="9" t="n">
        <v>325590</v>
      </c>
    </row>
    <row r="43">
      <c r="A43" s="8" t="n">
        <v>45778</v>
      </c>
      <c r="B43" s="9">
        <f>Inputs!$A$37</f>
        <v/>
      </c>
      <c r="C43" s="9" t="n">
        <v>141918699</v>
      </c>
      <c r="D43" s="9" t="n">
        <v>2993432</v>
      </c>
      <c r="E43" s="9" t="n">
        <v>37519</v>
      </c>
      <c r="F43" s="9" t="n">
        <v>2447093</v>
      </c>
      <c r="G43" s="9" t="n">
        <v>304699</v>
      </c>
    </row>
    <row r="44">
      <c r="A44" s="8" t="n">
        <v>45778</v>
      </c>
      <c r="B44" s="9">
        <f>Inputs!$A$38</f>
        <v/>
      </c>
      <c r="C44" s="9" t="n">
        <v>113712227</v>
      </c>
      <c r="D44" s="9" t="n">
        <v>2485054</v>
      </c>
      <c r="E44" s="9" t="n">
        <v>33987</v>
      </c>
      <c r="F44" s="9" t="n">
        <v>2207839</v>
      </c>
      <c r="G44" s="9" t="n">
        <v>267353</v>
      </c>
    </row>
    <row r="45">
      <c r="A45" s="8" t="n">
        <v>45778</v>
      </c>
      <c r="B45" s="9">
        <f>Inputs!$A$39</f>
        <v/>
      </c>
      <c r="C45" s="9" t="n">
        <v>122147150</v>
      </c>
      <c r="D45" s="9" t="n">
        <v>2531897</v>
      </c>
      <c r="E45" s="9" t="n">
        <v>33577</v>
      </c>
      <c r="F45" s="9" t="n">
        <v>2239964</v>
      </c>
      <c r="G45" s="9" t="n">
        <v>276790</v>
      </c>
    </row>
    <row r="46">
      <c r="A46" s="8" t="n">
        <v>45778</v>
      </c>
      <c r="B46" s="9">
        <f>Inputs!$A$40</f>
        <v/>
      </c>
      <c r="C46" s="9" t="n">
        <v>137261905</v>
      </c>
      <c r="D46" s="9" t="n">
        <v>2874734</v>
      </c>
      <c r="E46" s="9" t="n">
        <v>35879</v>
      </c>
      <c r="F46" s="9" t="n">
        <v>2347584</v>
      </c>
      <c r="G46" s="9" t="n">
        <v>295261</v>
      </c>
    </row>
    <row r="47">
      <c r="A47" s="8" t="n">
        <v>45778</v>
      </c>
      <c r="B47" s="9">
        <f>Inputs!$A$41</f>
        <v/>
      </c>
      <c r="C47" s="9" t="n">
        <v>116543697</v>
      </c>
      <c r="D47" s="9" t="n">
        <v>2502257</v>
      </c>
      <c r="E47" s="9" t="n">
        <v>33428</v>
      </c>
      <c r="F47" s="9" t="n">
        <v>2148823</v>
      </c>
      <c r="G47" s="9" t="n">
        <v>270902</v>
      </c>
    </row>
    <row r="48">
      <c r="A48" s="8" t="n">
        <v>45778</v>
      </c>
      <c r="B48" s="9">
        <f>Inputs!$A$42</f>
        <v/>
      </c>
      <c r="C48" s="9" t="n">
        <v>78013621</v>
      </c>
      <c r="D48" s="9" t="n">
        <v>1770297</v>
      </c>
      <c r="E48" s="9" t="n">
        <v>24288</v>
      </c>
      <c r="F48" s="9" t="n">
        <v>1473644</v>
      </c>
      <c r="G48" s="9" t="n">
        <v>212855</v>
      </c>
    </row>
    <row r="49">
      <c r="A49" s="8" t="n">
        <v>45778</v>
      </c>
      <c r="B49" s="9">
        <f>Inputs!$A$43</f>
        <v/>
      </c>
      <c r="C49" s="9" t="n">
        <v>102610754</v>
      </c>
      <c r="D49" s="9" t="n">
        <v>2259751</v>
      </c>
      <c r="E49" s="9" t="n">
        <v>31156</v>
      </c>
      <c r="F49" s="9" t="n">
        <v>2170677</v>
      </c>
      <c r="G49" s="9" t="n">
        <v>257983</v>
      </c>
    </row>
    <row r="50">
      <c r="A50" s="8" t="n">
        <v>45778</v>
      </c>
      <c r="B50" s="9">
        <f>Inputs!$A$44</f>
        <v/>
      </c>
      <c r="C50" s="9" t="n"/>
      <c r="D50" s="9" t="n">
        <v>814800</v>
      </c>
      <c r="E50" s="9" t="n">
        <v>7400</v>
      </c>
      <c r="F50" s="9" t="n">
        <v>518632</v>
      </c>
      <c r="G50" s="9" t="n">
        <v>149692</v>
      </c>
    </row>
    <row r="51">
      <c r="A51" s="8" t="n">
        <v>45778</v>
      </c>
      <c r="B51" s="9">
        <f>Inputs!$A$45</f>
        <v/>
      </c>
      <c r="C51" s="9" t="n"/>
      <c r="D51" s="9" t="n">
        <v>771305</v>
      </c>
      <c r="E51" s="9" t="n">
        <v>7503</v>
      </c>
      <c r="F51" s="9" t="n">
        <v>518583</v>
      </c>
      <c r="G51" s="9" t="n">
        <v>139285</v>
      </c>
    </row>
    <row r="52">
      <c r="A52" s="8" t="n">
        <v>45809</v>
      </c>
      <c r="B52" s="9">
        <f>Inputs!$A$36</f>
        <v/>
      </c>
      <c r="C52" s="9" t="n">
        <v>145551686</v>
      </c>
      <c r="D52" s="9" t="n">
        <v>3048836</v>
      </c>
      <c r="E52" s="9" t="n">
        <v>38782</v>
      </c>
      <c r="F52" s="9" t="n">
        <v>2641082</v>
      </c>
      <c r="G52" s="9" t="n">
        <v>312875</v>
      </c>
    </row>
    <row r="53">
      <c r="A53" s="8" t="n">
        <v>45809</v>
      </c>
      <c r="B53" s="9">
        <f>Inputs!$A$37</f>
        <v/>
      </c>
      <c r="C53" s="9" t="n">
        <v>133582637</v>
      </c>
      <c r="D53" s="9" t="n">
        <v>2789624</v>
      </c>
      <c r="E53" s="9" t="n">
        <v>35748</v>
      </c>
      <c r="F53" s="9" t="n">
        <v>2381357</v>
      </c>
      <c r="G53" s="9" t="n">
        <v>299381</v>
      </c>
    </row>
    <row r="54">
      <c r="A54" s="8" t="n">
        <v>45809</v>
      </c>
      <c r="B54" s="9">
        <f>Inputs!$A$38</f>
        <v/>
      </c>
      <c r="C54" s="9" t="n">
        <v>112402328</v>
      </c>
      <c r="D54" s="9" t="n">
        <v>2475324</v>
      </c>
      <c r="E54" s="9" t="n">
        <v>32898</v>
      </c>
      <c r="F54" s="9" t="n">
        <v>2087983</v>
      </c>
      <c r="G54" s="9" t="n">
        <v>261577</v>
      </c>
    </row>
    <row r="55">
      <c r="A55" s="8" t="n">
        <v>45809</v>
      </c>
      <c r="B55" s="9">
        <f>Inputs!$A$39</f>
        <v/>
      </c>
      <c r="C55" s="9" t="n">
        <v>126006744</v>
      </c>
      <c r="D55" s="9" t="n">
        <v>2667620</v>
      </c>
      <c r="E55" s="9" t="n">
        <v>35576</v>
      </c>
      <c r="F55" s="9" t="n">
        <v>2391671</v>
      </c>
      <c r="G55" s="9" t="n">
        <v>281363</v>
      </c>
    </row>
    <row r="56">
      <c r="A56" s="8" t="n">
        <v>45809</v>
      </c>
      <c r="B56" s="9">
        <f>Inputs!$A$40</f>
        <v/>
      </c>
      <c r="C56" s="9" t="n">
        <v>128616983</v>
      </c>
      <c r="D56" s="9" t="n">
        <v>2684568</v>
      </c>
      <c r="E56" s="9" t="n">
        <v>34018</v>
      </c>
      <c r="F56" s="9" t="n">
        <v>2266901</v>
      </c>
      <c r="G56" s="9" t="n">
        <v>296528</v>
      </c>
    </row>
    <row r="57">
      <c r="A57" s="8" t="n">
        <v>45809</v>
      </c>
      <c r="B57" s="9">
        <f>Inputs!$A$41</f>
        <v/>
      </c>
      <c r="C57" s="9" t="n">
        <v>114837763</v>
      </c>
      <c r="D57" s="9" t="n">
        <v>2488921</v>
      </c>
      <c r="E57" s="9" t="n">
        <v>33907</v>
      </c>
      <c r="F57" s="9" t="n">
        <v>2099318</v>
      </c>
      <c r="G57" s="9" t="n">
        <v>273870</v>
      </c>
    </row>
    <row r="58">
      <c r="A58" s="8" t="n">
        <v>45809</v>
      </c>
      <c r="B58" s="9">
        <f>Inputs!$A$42</f>
        <v/>
      </c>
      <c r="C58" s="9" t="n">
        <v>78697811</v>
      </c>
      <c r="D58" s="9" t="n">
        <v>1781884</v>
      </c>
      <c r="E58" s="9" t="n">
        <v>25042</v>
      </c>
      <c r="F58" s="9" t="n">
        <v>1576197</v>
      </c>
      <c r="G58" s="9" t="n">
        <v>207447</v>
      </c>
    </row>
    <row r="59">
      <c r="A59" s="8" t="n">
        <v>45809</v>
      </c>
      <c r="B59" s="9">
        <f>Inputs!$A$43</f>
        <v/>
      </c>
      <c r="C59" s="9" t="n">
        <v>106251584</v>
      </c>
      <c r="D59" s="9" t="n">
        <v>2353205</v>
      </c>
      <c r="E59" s="9" t="n">
        <v>32513</v>
      </c>
      <c r="F59" s="9" t="n">
        <v>2282566</v>
      </c>
      <c r="G59" s="9" t="n">
        <v>258037</v>
      </c>
    </row>
    <row r="60">
      <c r="A60" s="8" t="n">
        <v>45809</v>
      </c>
      <c r="B60" s="9">
        <f>Inputs!$A$44</f>
        <v/>
      </c>
      <c r="C60" s="9" t="n"/>
      <c r="D60" s="9" t="n">
        <v>797913</v>
      </c>
      <c r="E60" s="9" t="n">
        <v>7125</v>
      </c>
      <c r="F60" s="9" t="n">
        <v>512235</v>
      </c>
      <c r="G60" s="9" t="n">
        <v>141736</v>
      </c>
    </row>
    <row r="61">
      <c r="A61" s="8" t="n">
        <v>45809</v>
      </c>
      <c r="B61" s="9">
        <f>Inputs!$A$45</f>
        <v/>
      </c>
      <c r="C61" s="9" t="n"/>
      <c r="D61" s="9" t="n">
        <v>732957</v>
      </c>
      <c r="E61" s="9" t="n">
        <v>6918</v>
      </c>
      <c r="F61" s="9" t="n">
        <v>490484</v>
      </c>
      <c r="G61" s="9" t="n">
        <v>143198</v>
      </c>
    </row>
    <row r="62">
      <c r="A62" s="8" t="n">
        <v>45839</v>
      </c>
      <c r="B62" s="9">
        <f>Inputs!$A$36</f>
        <v/>
      </c>
      <c r="C62" s="9" t="n">
        <v>150825108</v>
      </c>
      <c r="D62" s="9" t="n">
        <v>3095874</v>
      </c>
      <c r="E62" s="9" t="n">
        <v>41109</v>
      </c>
      <c r="F62" s="9" t="n">
        <v>2700039</v>
      </c>
      <c r="G62" s="9" t="n">
        <v>314139</v>
      </c>
    </row>
    <row r="63">
      <c r="A63" s="8" t="n">
        <v>45839</v>
      </c>
      <c r="B63" s="9">
        <f>Inputs!$A$37</f>
        <v/>
      </c>
      <c r="C63" s="9" t="n">
        <v>140303139</v>
      </c>
      <c r="D63" s="9" t="n">
        <v>2970766</v>
      </c>
      <c r="E63" s="9" t="n">
        <v>37642</v>
      </c>
      <c r="F63" s="9" t="n">
        <v>2407100</v>
      </c>
      <c r="G63" s="9" t="n">
        <v>301975</v>
      </c>
    </row>
    <row r="64">
      <c r="A64" s="8" t="n">
        <v>45839</v>
      </c>
      <c r="B64" s="9">
        <f>Inputs!$A$38</f>
        <v/>
      </c>
      <c r="C64" s="9" t="n">
        <v>115020335</v>
      </c>
      <c r="D64" s="9" t="n">
        <v>2533096</v>
      </c>
      <c r="E64" s="9" t="n">
        <v>34026</v>
      </c>
      <c r="F64" s="9" t="n">
        <v>2126937</v>
      </c>
      <c r="G64" s="9" t="n">
        <v>260124</v>
      </c>
    </row>
    <row r="65">
      <c r="A65" s="8" t="n">
        <v>45839</v>
      </c>
      <c r="B65" s="9">
        <f>Inputs!$A$39</f>
        <v/>
      </c>
      <c r="C65" s="9" t="n">
        <v>122423850</v>
      </c>
      <c r="D65" s="9" t="n">
        <v>2637012</v>
      </c>
      <c r="E65" s="9" t="n">
        <v>35046</v>
      </c>
      <c r="F65" s="9" t="n">
        <v>2325652</v>
      </c>
      <c r="G65" s="9" t="n">
        <v>288177</v>
      </c>
    </row>
    <row r="66">
      <c r="A66" s="8" t="n">
        <v>45839</v>
      </c>
      <c r="B66" s="9">
        <f>Inputs!$A$40</f>
        <v/>
      </c>
      <c r="C66" s="9" t="n">
        <v>133802087</v>
      </c>
      <c r="D66" s="9" t="n">
        <v>2768560</v>
      </c>
      <c r="E66" s="9" t="n">
        <v>35414</v>
      </c>
      <c r="F66" s="9" t="n">
        <v>2303169</v>
      </c>
      <c r="G66" s="9" t="n">
        <v>301476</v>
      </c>
    </row>
    <row r="67">
      <c r="A67" s="8" t="n">
        <v>45839</v>
      </c>
      <c r="B67" s="9">
        <f>Inputs!$A$41</f>
        <v/>
      </c>
      <c r="C67" s="9" t="n">
        <v>117297779</v>
      </c>
      <c r="D67" s="9" t="n">
        <v>2523631</v>
      </c>
      <c r="E67" s="9" t="n">
        <v>34209</v>
      </c>
      <c r="F67" s="9" t="n">
        <v>2130859</v>
      </c>
      <c r="G67" s="9" t="n">
        <v>267846</v>
      </c>
    </row>
    <row r="68">
      <c r="A68" s="8" t="n">
        <v>45839</v>
      </c>
      <c r="B68" s="9">
        <f>Inputs!$A$42</f>
        <v/>
      </c>
      <c r="C68" s="9" t="n">
        <v>81142099</v>
      </c>
      <c r="D68" s="9" t="n">
        <v>1808466</v>
      </c>
      <c r="E68" s="9" t="n">
        <v>25875</v>
      </c>
      <c r="F68" s="9" t="n">
        <v>1578800</v>
      </c>
      <c r="G68" s="9" t="n">
        <v>202507</v>
      </c>
    </row>
    <row r="69">
      <c r="A69" s="8" t="n">
        <v>45839</v>
      </c>
      <c r="B69" s="9">
        <f>Inputs!$A$43</f>
        <v/>
      </c>
      <c r="C69" s="9" t="n">
        <v>102269580</v>
      </c>
      <c r="D69" s="9" t="n">
        <v>2256268</v>
      </c>
      <c r="E69" s="9" t="n">
        <v>31018</v>
      </c>
      <c r="F69" s="9" t="n">
        <v>2170189</v>
      </c>
      <c r="G69" s="9" t="n">
        <v>244933</v>
      </c>
    </row>
    <row r="70">
      <c r="A70" s="8" t="n">
        <v>45839</v>
      </c>
      <c r="B70" s="9">
        <f>Inputs!$A$44</f>
        <v/>
      </c>
      <c r="C70" s="9" t="n"/>
      <c r="D70" s="9" t="n">
        <v>808405</v>
      </c>
      <c r="E70" s="9" t="n">
        <v>7405</v>
      </c>
      <c r="F70" s="9" t="n">
        <v>522099</v>
      </c>
      <c r="G70" s="9" t="n">
        <v>149868</v>
      </c>
    </row>
    <row r="71">
      <c r="A71" s="8" t="n">
        <v>45839</v>
      </c>
      <c r="B71" s="9">
        <f>Inputs!$A$45</f>
        <v/>
      </c>
      <c r="C71" s="9" t="n"/>
      <c r="D71" s="9" t="n">
        <v>764110</v>
      </c>
      <c r="E71" s="9" t="n">
        <v>7321</v>
      </c>
      <c r="F71" s="9" t="n">
        <v>501278</v>
      </c>
      <c r="G71" s="9" t="n">
        <v>141633</v>
      </c>
    </row>
    <row r="72">
      <c r="A72" s="8" t="n">
        <v>45870</v>
      </c>
      <c r="B72" s="9">
        <f>Inputs!$A$36</f>
        <v/>
      </c>
      <c r="C72" s="9" t="n">
        <v>150399966</v>
      </c>
      <c r="D72" s="9" t="n">
        <v>3151472</v>
      </c>
      <c r="E72" s="9" t="n">
        <v>40918</v>
      </c>
      <c r="F72" s="9" t="n">
        <v>2718887</v>
      </c>
      <c r="G72" s="9" t="n">
        <v>313586</v>
      </c>
    </row>
    <row r="73">
      <c r="A73" s="8" t="n">
        <v>45870</v>
      </c>
      <c r="B73" s="9">
        <f>Inputs!$A$37</f>
        <v/>
      </c>
      <c r="C73" s="9" t="n">
        <v>139321773</v>
      </c>
      <c r="D73" s="9" t="n">
        <v>2998609</v>
      </c>
      <c r="E73" s="9" t="n">
        <v>36829</v>
      </c>
      <c r="F73" s="9" t="n">
        <v>2390221</v>
      </c>
      <c r="G73" s="9" t="n">
        <v>308096</v>
      </c>
    </row>
    <row r="74">
      <c r="A74" s="8" t="n">
        <v>45870</v>
      </c>
      <c r="B74" s="9">
        <f>Inputs!$A$38</f>
        <v/>
      </c>
      <c r="C74" s="9" t="n">
        <v>110587301</v>
      </c>
      <c r="D74" s="9" t="n">
        <v>2411423</v>
      </c>
      <c r="E74" s="9" t="n">
        <v>32199</v>
      </c>
      <c r="F74" s="9" t="n">
        <v>2048566</v>
      </c>
      <c r="G74" s="9" t="n">
        <v>260787</v>
      </c>
    </row>
    <row r="75">
      <c r="A75" s="8" t="n">
        <v>45870</v>
      </c>
      <c r="B75" s="9">
        <f>Inputs!$A$39</f>
        <v/>
      </c>
      <c r="C75" s="9" t="n">
        <v>123505128</v>
      </c>
      <c r="D75" s="9" t="n">
        <v>2569481</v>
      </c>
      <c r="E75" s="9" t="n">
        <v>33752</v>
      </c>
      <c r="F75" s="9" t="n">
        <v>2234056</v>
      </c>
      <c r="G75" s="9" t="n">
        <v>284904</v>
      </c>
    </row>
    <row r="76">
      <c r="A76" s="8" t="n">
        <v>45870</v>
      </c>
      <c r="B76" s="9">
        <f>Inputs!$A$40</f>
        <v/>
      </c>
      <c r="C76" s="9" t="n">
        <v>133449358</v>
      </c>
      <c r="D76" s="9" t="n">
        <v>2730922</v>
      </c>
      <c r="E76" s="9" t="n">
        <v>33968</v>
      </c>
      <c r="F76" s="9" t="n">
        <v>2240982</v>
      </c>
      <c r="G76" s="9" t="n">
        <v>296393</v>
      </c>
    </row>
    <row r="77">
      <c r="A77" s="8" t="n">
        <v>45870</v>
      </c>
      <c r="B77" s="9">
        <f>Inputs!$A$41</f>
        <v/>
      </c>
      <c r="C77" s="9" t="n">
        <v>118028853</v>
      </c>
      <c r="D77" s="9" t="n">
        <v>2575504</v>
      </c>
      <c r="E77" s="9" t="n">
        <v>33913</v>
      </c>
      <c r="F77" s="9" t="n">
        <v>2132034</v>
      </c>
      <c r="G77" s="9" t="n">
        <v>274091</v>
      </c>
    </row>
    <row r="78">
      <c r="A78" s="8" t="n">
        <v>45870</v>
      </c>
      <c r="B78" s="9">
        <f>Inputs!$A$42</f>
        <v/>
      </c>
      <c r="C78" s="9" t="n">
        <v>78915082</v>
      </c>
      <c r="D78" s="9" t="n">
        <v>1758980</v>
      </c>
      <c r="E78" s="9" t="n">
        <v>24436</v>
      </c>
      <c r="F78" s="9" t="n">
        <v>1472864</v>
      </c>
      <c r="G78" s="9" t="n">
        <v>205314</v>
      </c>
    </row>
    <row r="79">
      <c r="A79" s="8" t="n">
        <v>45870</v>
      </c>
      <c r="B79" s="9">
        <f>Inputs!$A$43</f>
        <v/>
      </c>
      <c r="C79" s="9" t="n">
        <v>105631703</v>
      </c>
      <c r="D79" s="9" t="n">
        <v>2365576</v>
      </c>
      <c r="E79" s="9" t="n">
        <v>32298</v>
      </c>
      <c r="F79" s="9" t="n">
        <v>2236889</v>
      </c>
      <c r="G79" s="9" t="n">
        <v>242306</v>
      </c>
    </row>
    <row r="80">
      <c r="A80" s="8" t="n">
        <v>45870</v>
      </c>
      <c r="B80" s="9">
        <f>Inputs!$A$44</f>
        <v/>
      </c>
      <c r="C80" s="9" t="n"/>
      <c r="D80" s="9" t="n">
        <v>826618</v>
      </c>
      <c r="E80" s="9" t="n">
        <v>7654</v>
      </c>
      <c r="F80" s="9" t="n">
        <v>530861</v>
      </c>
      <c r="G80" s="9" t="n">
        <v>153201</v>
      </c>
    </row>
    <row r="81">
      <c r="A81" s="8" t="n">
        <v>45870</v>
      </c>
      <c r="B81" s="9">
        <f>Inputs!$A$45</f>
        <v/>
      </c>
      <c r="C81" s="9" t="n"/>
      <c r="D81" s="9" t="n">
        <v>748941</v>
      </c>
      <c r="E81" s="9" t="n">
        <v>7016</v>
      </c>
      <c r="F81" s="9" t="n">
        <v>486157</v>
      </c>
      <c r="G81" s="9" t="n">
        <v>139877</v>
      </c>
    </row>
    <row r="82">
      <c r="A82" s="8" t="n">
        <v>45901</v>
      </c>
      <c r="B82" s="9">
        <f>Inputs!$A$36</f>
        <v/>
      </c>
      <c r="C82" s="9" t="n">
        <v>147150090</v>
      </c>
      <c r="D82" s="9" t="n">
        <v>3050182</v>
      </c>
      <c r="E82" s="9" t="n">
        <v>38780</v>
      </c>
      <c r="F82" s="9" t="n">
        <v>2576228</v>
      </c>
      <c r="G82" s="9" t="n">
        <v>324086</v>
      </c>
    </row>
    <row r="83">
      <c r="A83" s="8" t="n">
        <v>45901</v>
      </c>
      <c r="B83" s="9">
        <f>Inputs!$A$37</f>
        <v/>
      </c>
      <c r="C83" s="9" t="n">
        <v>137236692</v>
      </c>
      <c r="D83" s="9" t="n">
        <v>2901706</v>
      </c>
      <c r="E83" s="9" t="n">
        <v>36315</v>
      </c>
      <c r="F83" s="9" t="n">
        <v>2409168</v>
      </c>
      <c r="G83" s="9" t="n">
        <v>287006</v>
      </c>
    </row>
    <row r="84">
      <c r="A84" s="8" t="n">
        <v>45901</v>
      </c>
      <c r="B84" s="9">
        <f>Inputs!$A$38</f>
        <v/>
      </c>
      <c r="C84" s="9" t="n">
        <v>114533859</v>
      </c>
      <c r="D84" s="9" t="n">
        <v>2494471</v>
      </c>
      <c r="E84" s="9" t="n">
        <v>34008</v>
      </c>
      <c r="F84" s="9" t="n">
        <v>2118331</v>
      </c>
      <c r="G84" s="9" t="n">
        <v>254957</v>
      </c>
    </row>
    <row r="85">
      <c r="A85" s="8" t="n">
        <v>45901</v>
      </c>
      <c r="B85" s="9">
        <f>Inputs!$A$39</f>
        <v/>
      </c>
      <c r="C85" s="9" t="n">
        <v>122888375</v>
      </c>
      <c r="D85" s="9" t="n">
        <v>2543002</v>
      </c>
      <c r="E85" s="9" t="n">
        <v>33218</v>
      </c>
      <c r="F85" s="9" t="n">
        <v>2180594</v>
      </c>
      <c r="G85" s="9" t="n">
        <v>267774</v>
      </c>
    </row>
    <row r="86">
      <c r="A86" s="8" t="n">
        <v>45901</v>
      </c>
      <c r="B86" s="9">
        <f>Inputs!$A$40</f>
        <v/>
      </c>
      <c r="C86" s="9" t="n">
        <v>135062098</v>
      </c>
      <c r="D86" s="9" t="n">
        <v>2805860</v>
      </c>
      <c r="E86" s="9" t="n">
        <v>36745</v>
      </c>
      <c r="F86" s="9" t="n">
        <v>2434219</v>
      </c>
      <c r="G86" s="9" t="n">
        <v>296185</v>
      </c>
    </row>
    <row r="87">
      <c r="A87" s="8" t="n">
        <v>45901</v>
      </c>
      <c r="B87" s="9">
        <f>Inputs!$A$41</f>
        <v/>
      </c>
      <c r="C87" s="9" t="n">
        <v>119846726</v>
      </c>
      <c r="D87" s="9" t="n">
        <v>2597104</v>
      </c>
      <c r="E87" s="9" t="n">
        <v>34610</v>
      </c>
      <c r="F87" s="9" t="n">
        <v>2198201</v>
      </c>
      <c r="G87" s="9" t="n">
        <v>279550</v>
      </c>
    </row>
    <row r="88">
      <c r="A88" s="8" t="n">
        <v>45901</v>
      </c>
      <c r="B88" s="9">
        <f>Inputs!$A$42</f>
        <v/>
      </c>
      <c r="C88" s="9" t="n">
        <v>77586165</v>
      </c>
      <c r="D88" s="9" t="n">
        <v>1723900</v>
      </c>
      <c r="E88" s="9" t="n">
        <v>23334</v>
      </c>
      <c r="F88" s="9" t="n">
        <v>1431434</v>
      </c>
      <c r="G88" s="9" t="n">
        <v>208017</v>
      </c>
    </row>
    <row r="89">
      <c r="A89" s="8" t="n">
        <v>45901</v>
      </c>
      <c r="B89" s="9">
        <f>Inputs!$A$43</f>
        <v/>
      </c>
      <c r="C89" s="9" t="n">
        <v>103002025</v>
      </c>
      <c r="D89" s="9" t="n">
        <v>2269028</v>
      </c>
      <c r="E89" s="9" t="n">
        <v>32120</v>
      </c>
      <c r="F89" s="9" t="n">
        <v>2280172</v>
      </c>
      <c r="G89" s="9" t="n">
        <v>251776</v>
      </c>
    </row>
    <row r="90">
      <c r="A90" s="8" t="n">
        <v>45901</v>
      </c>
      <c r="B90" s="9">
        <f>Inputs!$A$44</f>
        <v/>
      </c>
      <c r="C90" s="9" t="n"/>
      <c r="D90" s="9" t="n">
        <v>796739</v>
      </c>
      <c r="E90" s="9" t="n">
        <v>7311</v>
      </c>
      <c r="F90" s="9" t="n">
        <v>509343</v>
      </c>
      <c r="G90" s="9" t="n">
        <v>147721</v>
      </c>
    </row>
    <row r="91">
      <c r="A91" s="8" t="n">
        <v>45901</v>
      </c>
      <c r="B91" s="9">
        <f>Inputs!$A$45</f>
        <v/>
      </c>
      <c r="C91" s="9" t="n"/>
      <c r="D91" s="9" t="n">
        <v>748895</v>
      </c>
      <c r="E91" s="9" t="n">
        <v>7279</v>
      </c>
      <c r="F91" s="9" t="n">
        <v>509659</v>
      </c>
      <c r="G91" s="9" t="n">
        <v>135447</v>
      </c>
    </row>
    <row r="92">
      <c r="A92" s="8" t="n">
        <v>45931</v>
      </c>
      <c r="B92" s="9">
        <f>Inputs!$A$36</f>
        <v/>
      </c>
      <c r="C92" s="9" t="n">
        <v>154728337</v>
      </c>
      <c r="D92" s="9" t="n">
        <v>3233552</v>
      </c>
      <c r="E92" s="9" t="n">
        <v>40450</v>
      </c>
      <c r="F92" s="9" t="n">
        <v>2721618</v>
      </c>
      <c r="G92" s="9" t="n">
        <v>315409</v>
      </c>
    </row>
    <row r="93">
      <c r="A93" s="8" t="n">
        <v>45931</v>
      </c>
      <c r="B93" s="9">
        <f>Inputs!$A$37</f>
        <v/>
      </c>
      <c r="C93" s="9" t="n">
        <v>143996017</v>
      </c>
      <c r="D93" s="9" t="n">
        <v>3068669</v>
      </c>
      <c r="E93" s="9" t="n">
        <v>37902</v>
      </c>
      <c r="F93" s="9" t="n">
        <v>2449571</v>
      </c>
      <c r="G93" s="9" t="n">
        <v>302231</v>
      </c>
    </row>
    <row r="94">
      <c r="A94" s="8" t="n">
        <v>45931</v>
      </c>
      <c r="B94" s="9">
        <f>Inputs!$A$38</f>
        <v/>
      </c>
      <c r="C94" s="9" t="n">
        <v>115587533</v>
      </c>
      <c r="D94" s="9" t="n">
        <v>2530197</v>
      </c>
      <c r="E94" s="9" t="n">
        <v>33707</v>
      </c>
      <c r="F94" s="9" t="n">
        <v>2185659</v>
      </c>
      <c r="G94" s="9" t="n">
        <v>260382</v>
      </c>
    </row>
    <row r="95">
      <c r="A95" s="8" t="n">
        <v>45931</v>
      </c>
      <c r="B95" s="9">
        <f>Inputs!$A$39</f>
        <v/>
      </c>
      <c r="C95" s="9" t="n">
        <v>126924990</v>
      </c>
      <c r="D95" s="9" t="n">
        <v>2622371</v>
      </c>
      <c r="E95" s="9" t="n">
        <v>33613</v>
      </c>
      <c r="F95" s="9" t="n">
        <v>2308387</v>
      </c>
      <c r="G95" s="9" t="n">
        <v>290409</v>
      </c>
    </row>
    <row r="96">
      <c r="A96" s="8" t="n">
        <v>45931</v>
      </c>
      <c r="B96" s="9">
        <f>Inputs!$A$40</f>
        <v/>
      </c>
      <c r="C96" s="9" t="n">
        <v>140152932</v>
      </c>
      <c r="D96" s="9" t="n">
        <v>2887756</v>
      </c>
      <c r="E96" s="9" t="n">
        <v>35669</v>
      </c>
      <c r="F96" s="9" t="n">
        <v>2330290</v>
      </c>
      <c r="G96" s="9" t="n">
        <v>294606</v>
      </c>
    </row>
    <row r="97">
      <c r="A97" s="8" t="n">
        <v>45931</v>
      </c>
      <c r="B97" s="9">
        <f>Inputs!$A$41</f>
        <v/>
      </c>
      <c r="C97" s="9" t="n">
        <v>124356453</v>
      </c>
      <c r="D97" s="9" t="n">
        <v>2727876</v>
      </c>
      <c r="E97" s="9" t="n">
        <v>35254</v>
      </c>
      <c r="F97" s="9" t="n">
        <v>2291059</v>
      </c>
      <c r="G97" s="9" t="n">
        <v>264113</v>
      </c>
    </row>
    <row r="98">
      <c r="A98" s="8" t="n">
        <v>45931</v>
      </c>
      <c r="B98" s="9">
        <f>Inputs!$A$42</f>
        <v/>
      </c>
      <c r="C98" s="9" t="n">
        <v>83659551</v>
      </c>
      <c r="D98" s="9" t="n">
        <v>1835662</v>
      </c>
      <c r="E98" s="9" t="n">
        <v>24800</v>
      </c>
      <c r="F98" s="9" t="n">
        <v>1547850</v>
      </c>
      <c r="G98" s="9" t="n">
        <v>210993</v>
      </c>
    </row>
    <row r="99">
      <c r="A99" s="8" t="n">
        <v>45931</v>
      </c>
      <c r="B99" s="9">
        <f>Inputs!$A$43</f>
        <v/>
      </c>
      <c r="C99" s="9" t="n">
        <v>105007588</v>
      </c>
      <c r="D99" s="9" t="n">
        <v>2282578</v>
      </c>
      <c r="E99" s="9" t="n">
        <v>31078</v>
      </c>
      <c r="F99" s="9" t="n">
        <v>2135284</v>
      </c>
      <c r="G99" s="9" t="n">
        <v>248468</v>
      </c>
    </row>
    <row r="100">
      <c r="A100" s="8" t="n">
        <v>45931</v>
      </c>
      <c r="B100" s="9">
        <f>Inputs!$A$44</f>
        <v/>
      </c>
      <c r="C100" s="9" t="n"/>
      <c r="D100" s="9" t="n">
        <v>839942</v>
      </c>
      <c r="E100" s="9" t="n">
        <v>7380</v>
      </c>
      <c r="F100" s="9" t="n">
        <v>522302</v>
      </c>
      <c r="G100" s="9" t="n">
        <v>149128</v>
      </c>
    </row>
    <row r="101">
      <c r="A101" s="8" t="n">
        <v>45931</v>
      </c>
      <c r="B101" s="9">
        <f>Inputs!$A$45</f>
        <v/>
      </c>
      <c r="C101" s="9" t="n"/>
      <c r="D101" s="9" t="n">
        <v>786859</v>
      </c>
      <c r="E101" s="9" t="n">
        <v>7414</v>
      </c>
      <c r="F101" s="9" t="n">
        <v>507043</v>
      </c>
      <c r="G101" s="9" t="n">
        <v>142443</v>
      </c>
    </row>
    <row r="102">
      <c r="A102" s="8" t="n">
        <v>45962</v>
      </c>
      <c r="B102" s="9">
        <f>Inputs!$A$36</f>
        <v/>
      </c>
      <c r="C102" s="9" t="n">
        <v>157872455</v>
      </c>
      <c r="D102" s="9" t="n">
        <v>3290175</v>
      </c>
      <c r="E102" s="9" t="n">
        <v>40768</v>
      </c>
      <c r="F102" s="9" t="n">
        <v>2740960</v>
      </c>
      <c r="G102" s="9" t="n">
        <v>330494</v>
      </c>
    </row>
    <row r="103">
      <c r="A103" s="8" t="n">
        <v>45962</v>
      </c>
      <c r="B103" s="9">
        <f>Inputs!$A$37</f>
        <v/>
      </c>
      <c r="C103" s="9" t="n">
        <v>152215323</v>
      </c>
      <c r="D103" s="9" t="n">
        <v>3232906</v>
      </c>
      <c r="E103" s="9" t="n">
        <v>39209</v>
      </c>
      <c r="F103" s="9" t="n">
        <v>2601006</v>
      </c>
      <c r="G103" s="9" t="n">
        <v>314561</v>
      </c>
    </row>
    <row r="104">
      <c r="A104" s="8" t="n">
        <v>45962</v>
      </c>
      <c r="B104" s="9">
        <f>Inputs!$A$38</f>
        <v/>
      </c>
      <c r="C104" s="9" t="n">
        <v>123803814</v>
      </c>
      <c r="D104" s="9" t="n">
        <v>2718110</v>
      </c>
      <c r="E104" s="9" t="n">
        <v>35713</v>
      </c>
      <c r="F104" s="9" t="n">
        <v>2244956</v>
      </c>
      <c r="G104" s="9" t="n">
        <v>270091</v>
      </c>
    </row>
    <row r="105">
      <c r="A105" s="8" t="n">
        <v>45962</v>
      </c>
      <c r="B105" s="9">
        <f>Inputs!$A$39</f>
        <v/>
      </c>
      <c r="C105" s="9" t="n">
        <v>131355198</v>
      </c>
      <c r="D105" s="9" t="n">
        <v>2737025</v>
      </c>
      <c r="E105" s="9" t="n">
        <v>34321</v>
      </c>
      <c r="F105" s="9" t="n">
        <v>2284433</v>
      </c>
      <c r="G105" s="9" t="n">
        <v>291538</v>
      </c>
    </row>
    <row r="106">
      <c r="A106" s="8" t="n">
        <v>45962</v>
      </c>
      <c r="B106" s="9">
        <f>Inputs!$A$40</f>
        <v/>
      </c>
      <c r="C106" s="9" t="n">
        <v>141491552</v>
      </c>
      <c r="D106" s="9" t="n">
        <v>2870651</v>
      </c>
      <c r="E106" s="9" t="n">
        <v>35077</v>
      </c>
      <c r="F106" s="9" t="n">
        <v>2335760</v>
      </c>
      <c r="G106" s="9" t="n">
        <v>316079</v>
      </c>
    </row>
    <row r="107">
      <c r="A107" s="8" t="n">
        <v>45962</v>
      </c>
      <c r="B107" s="9">
        <f>Inputs!$A$41</f>
        <v/>
      </c>
      <c r="C107" s="9" t="n">
        <v>125070063</v>
      </c>
      <c r="D107" s="9" t="n">
        <v>2691071</v>
      </c>
      <c r="E107" s="9" t="n">
        <v>35436</v>
      </c>
      <c r="F107" s="9" t="n">
        <v>2221851</v>
      </c>
      <c r="G107" s="9" t="n">
        <v>288418</v>
      </c>
    </row>
    <row r="108">
      <c r="A108" s="8" t="n">
        <v>45962</v>
      </c>
      <c r="B108" s="9">
        <f>Inputs!$A$42</f>
        <v/>
      </c>
      <c r="C108" s="9" t="n">
        <v>85608507</v>
      </c>
      <c r="D108" s="9" t="n">
        <v>1889158</v>
      </c>
      <c r="E108" s="9" t="n">
        <v>24964</v>
      </c>
      <c r="F108" s="9" t="n">
        <v>1522674</v>
      </c>
      <c r="G108" s="9" t="n">
        <v>231136</v>
      </c>
    </row>
    <row r="109">
      <c r="A109" s="8" t="n">
        <v>45962</v>
      </c>
      <c r="B109" s="9">
        <f>Inputs!$A$43</f>
        <v/>
      </c>
      <c r="C109" s="9" t="n">
        <v>109695777</v>
      </c>
      <c r="D109" s="9" t="n">
        <v>2391254</v>
      </c>
      <c r="E109" s="9" t="n">
        <v>31396</v>
      </c>
      <c r="F109" s="9" t="n">
        <v>2158078</v>
      </c>
      <c r="G109" s="9" t="n">
        <v>261939</v>
      </c>
    </row>
    <row r="110">
      <c r="A110" s="8" t="n">
        <v>45962</v>
      </c>
      <c r="B110" s="9">
        <f>Inputs!$A$44</f>
        <v/>
      </c>
      <c r="C110" s="9" t="n"/>
      <c r="D110" s="9" t="n">
        <v>856945</v>
      </c>
      <c r="E110" s="9" t="n">
        <v>7492</v>
      </c>
      <c r="F110" s="9" t="n">
        <v>527621</v>
      </c>
      <c r="G110" s="9" t="n">
        <v>157878</v>
      </c>
    </row>
    <row r="111">
      <c r="A111" s="8" t="n">
        <v>45962</v>
      </c>
      <c r="B111" s="9">
        <f>Inputs!$A$45</f>
        <v/>
      </c>
      <c r="C111" s="9" t="n"/>
      <c r="D111" s="9" t="n">
        <v>813137</v>
      </c>
      <c r="E111" s="9" t="n">
        <v>7451</v>
      </c>
      <c r="F111" s="9" t="n">
        <v>528790</v>
      </c>
      <c r="G111" s="9" t="n">
        <v>150047</v>
      </c>
    </row>
    <row r="112">
      <c r="A112" s="8" t="n">
        <v>45992</v>
      </c>
      <c r="B112" s="9">
        <f>Inputs!$A$36</f>
        <v/>
      </c>
      <c r="C112" s="9" t="n">
        <v>190317363</v>
      </c>
      <c r="D112" s="9" t="n">
        <v>3892527</v>
      </c>
      <c r="E112" s="9" t="n">
        <v>45678</v>
      </c>
      <c r="F112" s="9" t="n">
        <v>3178275</v>
      </c>
      <c r="G112" s="9" t="n">
        <v>374152</v>
      </c>
    </row>
    <row r="113">
      <c r="A113" s="8" t="n">
        <v>45992</v>
      </c>
      <c r="B113" s="9">
        <f>Inputs!$A$37</f>
        <v/>
      </c>
      <c r="C113" s="9" t="n">
        <v>177180124</v>
      </c>
      <c r="D113" s="9" t="n">
        <v>3677210</v>
      </c>
      <c r="E113" s="9" t="n">
        <v>42930</v>
      </c>
      <c r="F113" s="9" t="n">
        <v>2973225</v>
      </c>
      <c r="G113" s="9" t="n">
        <v>351510</v>
      </c>
    </row>
    <row r="114">
      <c r="A114" s="8" t="n">
        <v>45992</v>
      </c>
      <c r="B114" s="9">
        <f>Inputs!$A$38</f>
        <v/>
      </c>
      <c r="C114" s="9" t="n">
        <v>144747382</v>
      </c>
      <c r="D114" s="9" t="n">
        <v>3098598</v>
      </c>
      <c r="E114" s="9" t="n">
        <v>38458</v>
      </c>
      <c r="F114" s="9" t="n">
        <v>2543887</v>
      </c>
      <c r="G114" s="9" t="n">
        <v>296051</v>
      </c>
    </row>
    <row r="115">
      <c r="A115" s="8" t="n">
        <v>45992</v>
      </c>
      <c r="B115" s="9">
        <f>Inputs!$A$39</f>
        <v/>
      </c>
      <c r="C115" s="9" t="n">
        <v>160910788</v>
      </c>
      <c r="D115" s="9" t="n">
        <v>3369851</v>
      </c>
      <c r="E115" s="9" t="n">
        <v>41517</v>
      </c>
      <c r="F115" s="9" t="n">
        <v>2865987</v>
      </c>
      <c r="G115" s="9" t="n">
        <v>322772</v>
      </c>
    </row>
    <row r="116">
      <c r="A116" s="8" t="n">
        <v>45992</v>
      </c>
      <c r="B116" s="9">
        <f>Inputs!$A$40</f>
        <v/>
      </c>
      <c r="C116" s="9" t="n">
        <v>172256287</v>
      </c>
      <c r="D116" s="9" t="n">
        <v>3494354</v>
      </c>
      <c r="E116" s="9" t="n">
        <v>40789</v>
      </c>
      <c r="F116" s="9" t="n">
        <v>2818265</v>
      </c>
      <c r="G116" s="9" t="n">
        <v>349908</v>
      </c>
    </row>
    <row r="117">
      <c r="A117" s="8" t="n">
        <v>45992</v>
      </c>
      <c r="B117" s="9">
        <f>Inputs!$A$41</f>
        <v/>
      </c>
      <c r="C117" s="9" t="n">
        <v>153261022</v>
      </c>
      <c r="D117" s="9" t="n">
        <v>3246437</v>
      </c>
      <c r="E117" s="9" t="n">
        <v>41302</v>
      </c>
      <c r="F117" s="9" t="n">
        <v>2721341</v>
      </c>
      <c r="G117" s="9" t="n">
        <v>316856</v>
      </c>
    </row>
    <row r="118">
      <c r="A118" s="8" t="n">
        <v>45992</v>
      </c>
      <c r="B118" s="9">
        <f>Inputs!$A$42</f>
        <v/>
      </c>
      <c r="C118" s="9" t="n">
        <v>102732699</v>
      </c>
      <c r="D118" s="9" t="n">
        <v>2262444</v>
      </c>
      <c r="E118" s="9" t="n">
        <v>29093</v>
      </c>
      <c r="F118" s="9" t="n">
        <v>1845881</v>
      </c>
      <c r="G118" s="9" t="n">
        <v>248072</v>
      </c>
    </row>
    <row r="119">
      <c r="A119" s="8" t="n">
        <v>45992</v>
      </c>
      <c r="B119" s="9">
        <f>Inputs!$A$43</f>
        <v/>
      </c>
      <c r="C119" s="9" t="n">
        <v>134988204</v>
      </c>
      <c r="D119" s="9" t="n">
        <v>2922746</v>
      </c>
      <c r="E119" s="9" t="n">
        <v>37515</v>
      </c>
      <c r="F119" s="9" t="n">
        <v>2736709</v>
      </c>
      <c r="G119" s="9" t="n">
        <v>288092</v>
      </c>
    </row>
    <row r="120">
      <c r="A120" s="8" t="n">
        <v>45992</v>
      </c>
      <c r="B120" s="9">
        <f>Inputs!$A$44</f>
        <v/>
      </c>
      <c r="C120" s="9" t="n"/>
      <c r="D120" s="9" t="n">
        <v>1012499</v>
      </c>
      <c r="E120" s="9" t="n">
        <v>8751</v>
      </c>
      <c r="F120" s="9" t="n">
        <v>633420</v>
      </c>
      <c r="G120" s="9" t="n">
        <v>171220</v>
      </c>
    </row>
    <row r="121">
      <c r="A121" s="8" t="n">
        <v>45992</v>
      </c>
      <c r="B121" s="9">
        <f>Inputs!$A$45</f>
        <v/>
      </c>
      <c r="C121" s="9" t="n"/>
      <c r="D121" s="9" t="n">
        <v>930504</v>
      </c>
      <c r="E121" s="9" t="n">
        <v>8198</v>
      </c>
      <c r="F121" s="9" t="n">
        <v>584467</v>
      </c>
      <c r="G121" s="9" t="n">
        <v>158442</v>
      </c>
    </row>
    <row r="122">
      <c r="A122" s="8" t="n">
        <v>46023</v>
      </c>
      <c r="B122" s="9">
        <f>Inputs!$A$36</f>
        <v/>
      </c>
      <c r="C122" s="9" t="n">
        <v>153814453</v>
      </c>
      <c r="D122" s="9" t="n">
        <v>3178660</v>
      </c>
      <c r="E122" s="9" t="n">
        <v>42504</v>
      </c>
      <c r="F122" s="9" t="n">
        <v>3050286</v>
      </c>
      <c r="G122" s="9" t="n">
        <v>339142</v>
      </c>
    </row>
    <row r="123">
      <c r="A123" s="8" t="n">
        <v>46023</v>
      </c>
      <c r="B123" s="9">
        <f>Inputs!$A$37</f>
        <v/>
      </c>
      <c r="C123" s="9" t="n">
        <v>142733039</v>
      </c>
      <c r="D123" s="9" t="n">
        <v>3001178</v>
      </c>
      <c r="E123" s="9" t="n">
        <v>37911</v>
      </c>
      <c r="F123" s="9" t="n">
        <v>2666402</v>
      </c>
      <c r="G123" s="9" t="n">
        <v>313947</v>
      </c>
    </row>
    <row r="124">
      <c r="A124" s="8" t="n">
        <v>46023</v>
      </c>
      <c r="B124" s="9">
        <f>Inputs!$A$38</f>
        <v/>
      </c>
      <c r="C124" s="9" t="n">
        <v>117343494</v>
      </c>
      <c r="D124" s="9" t="n">
        <v>2483205</v>
      </c>
      <c r="E124" s="9" t="n">
        <v>34161</v>
      </c>
      <c r="F124" s="9" t="n">
        <v>2352848</v>
      </c>
      <c r="G124" s="9" t="n">
        <v>267313</v>
      </c>
    </row>
    <row r="125">
      <c r="A125" s="8" t="n">
        <v>46023</v>
      </c>
      <c r="B125" s="9">
        <f>Inputs!$A$39</f>
        <v/>
      </c>
      <c r="C125" s="9" t="n">
        <v>126584985</v>
      </c>
      <c r="D125" s="9" t="n">
        <v>2616342</v>
      </c>
      <c r="E125" s="9" t="n">
        <v>35270</v>
      </c>
      <c r="F125" s="9" t="n">
        <v>2518281</v>
      </c>
      <c r="G125" s="9" t="n">
        <v>289579</v>
      </c>
    </row>
    <row r="126">
      <c r="A126" s="8" t="n">
        <v>46023</v>
      </c>
      <c r="B126" s="9">
        <f>Inputs!$A$40</f>
        <v/>
      </c>
      <c r="C126" s="9" t="n">
        <v>135910394</v>
      </c>
      <c r="D126" s="9" t="n">
        <v>2803256</v>
      </c>
      <c r="E126" s="9" t="n">
        <v>35891</v>
      </c>
      <c r="F126" s="9" t="n">
        <v>2534276</v>
      </c>
      <c r="G126" s="9" t="n">
        <v>320046</v>
      </c>
    </row>
    <row r="127">
      <c r="A127" s="8" t="n">
        <v>46023</v>
      </c>
      <c r="B127" s="9">
        <f>Inputs!$A$41</f>
        <v/>
      </c>
      <c r="C127" s="9" t="n">
        <v>120850805</v>
      </c>
      <c r="D127" s="9" t="n">
        <v>2602562</v>
      </c>
      <c r="E127" s="9" t="n">
        <v>34537</v>
      </c>
      <c r="F127" s="9" t="n">
        <v>2400638</v>
      </c>
      <c r="G127" s="9" t="n">
        <v>275876</v>
      </c>
    </row>
    <row r="128">
      <c r="A128" s="8" t="n">
        <v>46023</v>
      </c>
      <c r="B128" s="9">
        <f>Inputs!$A$42</f>
        <v/>
      </c>
      <c r="C128" s="9" t="n">
        <v>79038481</v>
      </c>
      <c r="D128" s="9" t="n">
        <v>1712593</v>
      </c>
      <c r="E128" s="9" t="n">
        <v>23972</v>
      </c>
      <c r="F128" s="9" t="n">
        <v>1610481</v>
      </c>
      <c r="G128" s="9" t="n">
        <v>218627</v>
      </c>
    </row>
    <row r="129">
      <c r="A129" s="8" t="n">
        <v>46023</v>
      </c>
      <c r="B129" s="9">
        <f>Inputs!$A$43</f>
        <v/>
      </c>
      <c r="C129" s="9" t="n">
        <v>106820510</v>
      </c>
      <c r="D129" s="9" t="n">
        <v>2375627</v>
      </c>
      <c r="E129" s="9" t="n">
        <v>33961</v>
      </c>
      <c r="F129" s="9" t="n">
        <v>2577778</v>
      </c>
      <c r="G129" s="9" t="n">
        <v>269271</v>
      </c>
    </row>
    <row r="130">
      <c r="A130" s="8" t="n">
        <v>46023</v>
      </c>
      <c r="B130" s="9">
        <f>Inputs!$A$44</f>
        <v/>
      </c>
      <c r="C130" s="9" t="n"/>
      <c r="D130" s="9" t="n">
        <v>828700</v>
      </c>
      <c r="E130" s="9" t="n">
        <v>7585</v>
      </c>
      <c r="F130" s="9" t="n">
        <v>577705</v>
      </c>
      <c r="G130" s="9" t="n">
        <v>163250</v>
      </c>
    </row>
    <row r="131">
      <c r="A131" s="8" t="n">
        <v>46023</v>
      </c>
      <c r="B131" s="9">
        <f>Inputs!$A$45</f>
        <v/>
      </c>
      <c r="C131" s="9" t="n"/>
      <c r="D131" s="9" t="n">
        <v>776277</v>
      </c>
      <c r="E131" s="9" t="n">
        <v>7469</v>
      </c>
      <c r="F131" s="9" t="n">
        <v>564937</v>
      </c>
      <c r="G131" s="9" t="n">
        <v>146130</v>
      </c>
    </row>
    <row r="132">
      <c r="A132" s="8" t="n">
        <v>46054</v>
      </c>
      <c r="B132" s="9">
        <f>Inputs!$A$36</f>
        <v/>
      </c>
      <c r="C132" s="9" t="n">
        <v>137091680</v>
      </c>
      <c r="D132" s="9" t="n">
        <v>2833122</v>
      </c>
      <c r="E132" s="9" t="n">
        <v>36158</v>
      </c>
      <c r="F132" s="9" t="n">
        <v>2475636</v>
      </c>
      <c r="G132" s="9" t="n">
        <v>337616</v>
      </c>
    </row>
    <row r="133">
      <c r="A133" s="8" t="n">
        <v>46054</v>
      </c>
      <c r="B133" s="9">
        <f>Inputs!$A$37</f>
        <v/>
      </c>
      <c r="C133" s="9" t="n">
        <v>131605858</v>
      </c>
      <c r="D133" s="9" t="n">
        <v>2762241</v>
      </c>
      <c r="E133" s="9" t="n">
        <v>33498</v>
      </c>
      <c r="F133" s="9" t="n">
        <v>2274758</v>
      </c>
      <c r="G133" s="9" t="n">
        <v>300127</v>
      </c>
    </row>
    <row r="134">
      <c r="A134" s="8" t="n">
        <v>46054</v>
      </c>
      <c r="B134" s="9">
        <f>Inputs!$A$38</f>
        <v/>
      </c>
      <c r="C134" s="9" t="n">
        <v>109672491</v>
      </c>
      <c r="D134" s="9" t="n">
        <v>2396653</v>
      </c>
      <c r="E134" s="9" t="n">
        <v>32491</v>
      </c>
      <c r="F134" s="9" t="n">
        <v>2127326</v>
      </c>
      <c r="G134" s="9" t="n">
        <v>268302</v>
      </c>
    </row>
    <row r="135">
      <c r="A135" s="8" t="n">
        <v>46054</v>
      </c>
      <c r="B135" s="9">
        <f>Inputs!$A$39</f>
        <v/>
      </c>
      <c r="C135" s="9" t="n">
        <v>120059358</v>
      </c>
      <c r="D135" s="9" t="n">
        <v>2522496</v>
      </c>
      <c r="E135" s="9" t="n">
        <v>33213</v>
      </c>
      <c r="F135" s="9" t="n">
        <v>2262698</v>
      </c>
      <c r="G135" s="9" t="n">
        <v>289386</v>
      </c>
    </row>
    <row r="136">
      <c r="A136" s="8" t="n">
        <v>46054</v>
      </c>
      <c r="B136" s="9">
        <f>Inputs!$A$40</f>
        <v/>
      </c>
      <c r="C136" s="9" t="n">
        <v>129364448</v>
      </c>
      <c r="D136" s="9" t="n">
        <v>2699414</v>
      </c>
      <c r="E136" s="9" t="n">
        <v>34127</v>
      </c>
      <c r="F136" s="9" t="n">
        <v>2312961</v>
      </c>
      <c r="G136" s="9" t="n">
        <v>314598</v>
      </c>
    </row>
    <row r="137">
      <c r="A137" s="8" t="n">
        <v>46054</v>
      </c>
      <c r="B137" s="9">
        <f>Inputs!$A$41</f>
        <v/>
      </c>
      <c r="C137" s="9" t="n">
        <v>114316974</v>
      </c>
      <c r="D137" s="9" t="n">
        <v>2436555</v>
      </c>
      <c r="E137" s="9" t="n">
        <v>32472</v>
      </c>
      <c r="F137" s="9" t="n">
        <v>2127843</v>
      </c>
      <c r="G137" s="9" t="n">
        <v>286826</v>
      </c>
    </row>
    <row r="138">
      <c r="A138" s="8" t="n">
        <v>46054</v>
      </c>
      <c r="B138" s="9">
        <f>Inputs!$A$42</f>
        <v/>
      </c>
      <c r="C138" s="9" t="n">
        <v>74441334</v>
      </c>
      <c r="D138" s="9" t="n">
        <v>1673824</v>
      </c>
      <c r="E138" s="9" t="n">
        <v>22985</v>
      </c>
      <c r="F138" s="9" t="n">
        <v>1450529</v>
      </c>
      <c r="G138" s="9" t="n">
        <v>221595</v>
      </c>
    </row>
    <row r="139">
      <c r="A139" s="8" t="n">
        <v>46054</v>
      </c>
      <c r="B139" s="9">
        <f>Inputs!$A$43</f>
        <v/>
      </c>
      <c r="C139" s="9" t="n">
        <v>96657390</v>
      </c>
      <c r="D139" s="9" t="n">
        <v>2119780</v>
      </c>
      <c r="E139" s="9" t="n">
        <v>29173</v>
      </c>
      <c r="F139" s="9" t="n">
        <v>2100854</v>
      </c>
      <c r="G139" s="9" t="n">
        <v>262704</v>
      </c>
    </row>
    <row r="140">
      <c r="A140" s="8" t="n">
        <v>46054</v>
      </c>
      <c r="B140" s="9">
        <f>Inputs!$A$44</f>
        <v/>
      </c>
      <c r="C140" s="9" t="n"/>
      <c r="D140" s="9" t="n">
        <v>758344</v>
      </c>
      <c r="E140" s="9" t="n">
        <v>6939</v>
      </c>
      <c r="F140" s="9" t="n">
        <v>506432</v>
      </c>
      <c r="G140" s="9" t="n">
        <v>152972</v>
      </c>
    </row>
    <row r="141">
      <c r="A141" s="8" t="n">
        <v>46054</v>
      </c>
      <c r="B141" s="9">
        <f>Inputs!$A$45</f>
        <v/>
      </c>
      <c r="C141" s="9" t="n"/>
      <c r="D141" s="9" t="n">
        <v>729007</v>
      </c>
      <c r="E141" s="9" t="n">
        <v>7102</v>
      </c>
      <c r="F141" s="9" t="n">
        <v>507659</v>
      </c>
      <c r="G141" s="9" t="n">
        <v>145738</v>
      </c>
    </row>
    <row r="142">
      <c r="A142" s="8" t="n">
        <v>46082</v>
      </c>
      <c r="B142" s="9">
        <f>Inputs!$A$36</f>
        <v/>
      </c>
      <c r="C142" s="9" t="n">
        <v>157502961</v>
      </c>
      <c r="D142" s="9" t="n">
        <v>3325193</v>
      </c>
      <c r="E142" s="9" t="n">
        <v>41750</v>
      </c>
      <c r="F142" s="9" t="n">
        <v>2851776</v>
      </c>
      <c r="G142" s="9" t="n">
        <v>329061</v>
      </c>
    </row>
    <row r="143">
      <c r="A143" s="8" t="n">
        <v>46082</v>
      </c>
      <c r="B143" s="9">
        <f>Inputs!$A$37</f>
        <v/>
      </c>
      <c r="C143" s="9" t="n">
        <v>146941731</v>
      </c>
      <c r="D143" s="9" t="n">
        <v>3091384</v>
      </c>
      <c r="E143" s="9" t="n">
        <v>38196</v>
      </c>
      <c r="F143" s="9" t="n">
        <v>2655366</v>
      </c>
      <c r="G143" s="9" t="n">
        <v>314437</v>
      </c>
    </row>
    <row r="144">
      <c r="A144" s="8" t="n">
        <v>46082</v>
      </c>
      <c r="B144" s="9">
        <f>Inputs!$A$38</f>
        <v/>
      </c>
      <c r="C144" s="9" t="n">
        <v>118789815</v>
      </c>
      <c r="D144" s="9" t="n">
        <v>2534109</v>
      </c>
      <c r="E144" s="9" t="n">
        <v>33163</v>
      </c>
      <c r="F144" s="9" t="n">
        <v>2190711</v>
      </c>
      <c r="G144" s="9" t="n">
        <v>274716</v>
      </c>
    </row>
    <row r="145">
      <c r="A145" s="8" t="n">
        <v>46082</v>
      </c>
      <c r="B145" s="9">
        <f>Inputs!$A$39</f>
        <v/>
      </c>
      <c r="C145" s="9" t="n">
        <v>132169716</v>
      </c>
      <c r="D145" s="9" t="n">
        <v>2737561</v>
      </c>
      <c r="E145" s="9" t="n">
        <v>34847</v>
      </c>
      <c r="F145" s="9" t="n">
        <v>2365591</v>
      </c>
      <c r="G145" s="9" t="n">
        <v>289511</v>
      </c>
    </row>
    <row r="146">
      <c r="A146" s="8" t="n">
        <v>46082</v>
      </c>
      <c r="B146" s="9">
        <f>Inputs!$A$40</f>
        <v/>
      </c>
      <c r="C146" s="9" t="n">
        <v>140523058</v>
      </c>
      <c r="D146" s="9" t="n">
        <v>2889578</v>
      </c>
      <c r="E146" s="9" t="n">
        <v>36221</v>
      </c>
      <c r="F146" s="9" t="n">
        <v>2504834</v>
      </c>
      <c r="G146" s="9" t="n">
        <v>322976</v>
      </c>
    </row>
    <row r="147">
      <c r="A147" s="8" t="n">
        <v>46082</v>
      </c>
      <c r="B147" s="9">
        <f>Inputs!$A$41</f>
        <v/>
      </c>
      <c r="C147" s="9" t="n">
        <v>122798234</v>
      </c>
      <c r="D147" s="9" t="n">
        <v>2642098</v>
      </c>
      <c r="E147" s="9" t="n">
        <v>34550</v>
      </c>
      <c r="F147" s="9" t="n">
        <v>2278400</v>
      </c>
      <c r="G147" s="9" t="n">
        <v>279618</v>
      </c>
    </row>
    <row r="148">
      <c r="A148" s="8" t="n">
        <v>46082</v>
      </c>
      <c r="B148" s="9">
        <f>Inputs!$A$42</f>
        <v/>
      </c>
      <c r="C148" s="9" t="n">
        <v>81723056</v>
      </c>
      <c r="D148" s="9" t="n">
        <v>1796532</v>
      </c>
      <c r="E148" s="9" t="n">
        <v>25059</v>
      </c>
      <c r="F148" s="9" t="n">
        <v>1600164</v>
      </c>
      <c r="G148" s="9" t="n">
        <v>213258</v>
      </c>
    </row>
    <row r="149">
      <c r="A149" s="8" t="n">
        <v>46082</v>
      </c>
      <c r="B149" s="9">
        <f>Inputs!$A$43</f>
        <v/>
      </c>
      <c r="C149" s="9" t="n">
        <v>108202577</v>
      </c>
      <c r="D149" s="9" t="n">
        <v>2401862</v>
      </c>
      <c r="E149" s="9" t="n">
        <v>32946</v>
      </c>
      <c r="F149" s="9" t="n">
        <v>2419648</v>
      </c>
      <c r="G149" s="9" t="n">
        <v>265323</v>
      </c>
    </row>
    <row r="150">
      <c r="A150" s="8" t="n">
        <v>46082</v>
      </c>
      <c r="B150" s="9">
        <f>Inputs!$A$44</f>
        <v/>
      </c>
      <c r="C150" s="9" t="n"/>
      <c r="D150" s="9" t="n">
        <v>855613</v>
      </c>
      <c r="E150" s="9" t="n">
        <v>7934</v>
      </c>
      <c r="F150" s="9" t="n">
        <v>580401</v>
      </c>
      <c r="G150" s="9" t="n">
        <v>156208</v>
      </c>
    </row>
    <row r="151">
      <c r="A151" s="8" t="n">
        <v>46082</v>
      </c>
      <c r="B151" s="9">
        <f>Inputs!$A$45</f>
        <v/>
      </c>
      <c r="C151" s="9" t="n"/>
      <c r="D151" s="9" t="n">
        <v>806929</v>
      </c>
      <c r="E151" s="9" t="n">
        <v>7481</v>
      </c>
      <c r="F151" s="9" t="n">
        <v>553814</v>
      </c>
      <c r="G151" s="9" t="n">
        <v>143383</v>
      </c>
    </row>
    <row r="152">
      <c r="A152" s="8" t="n">
        <v>46113</v>
      </c>
      <c r="B152" s="9">
        <f>Inputs!$A$36</f>
        <v/>
      </c>
      <c r="C152" s="9" t="n">
        <v>153091315</v>
      </c>
      <c r="D152" s="9" t="n">
        <v>3184793</v>
      </c>
      <c r="E152" s="9" t="n">
        <v>41083</v>
      </c>
      <c r="F152" s="9" t="n">
        <v>3202643</v>
      </c>
      <c r="G152" s="9" t="n">
        <v>337787</v>
      </c>
    </row>
    <row r="153">
      <c r="A153" s="8" t="n">
        <v>46113</v>
      </c>
      <c r="B153" s="9">
        <f>Inputs!$A$37</f>
        <v/>
      </c>
      <c r="C153" s="9" t="n">
        <v>140264377</v>
      </c>
      <c r="D153" s="9" t="n">
        <v>2924969</v>
      </c>
      <c r="E153" s="9" t="n">
        <v>36057</v>
      </c>
      <c r="F153" s="9" t="n">
        <v>2798669</v>
      </c>
      <c r="G153" s="9" t="n">
        <v>323876</v>
      </c>
    </row>
    <row r="154">
      <c r="A154" s="8" t="n">
        <v>46113</v>
      </c>
      <c r="B154" s="9">
        <f>Inputs!$A$38</f>
        <v/>
      </c>
      <c r="C154" s="9" t="n">
        <v>116901572</v>
      </c>
      <c r="D154" s="9" t="n">
        <v>2576218</v>
      </c>
      <c r="E154" s="9" t="n">
        <v>33729</v>
      </c>
      <c r="F154" s="9" t="n">
        <v>2515048</v>
      </c>
      <c r="G154" s="9" t="n">
        <v>265510</v>
      </c>
    </row>
    <row r="155">
      <c r="A155" s="8" t="n">
        <v>46113</v>
      </c>
      <c r="B155" s="9">
        <f>Inputs!$A$39</f>
        <v/>
      </c>
      <c r="C155" s="9" t="n">
        <v>132564697</v>
      </c>
      <c r="D155" s="9" t="n">
        <v>2702405</v>
      </c>
      <c r="E155" s="9" t="n">
        <v>34852</v>
      </c>
      <c r="F155" s="9" t="n">
        <v>2678184</v>
      </c>
      <c r="G155" s="9" t="n">
        <v>290675</v>
      </c>
    </row>
    <row r="156">
      <c r="A156" s="8" t="n">
        <v>46113</v>
      </c>
      <c r="B156" s="9">
        <f>Inputs!$A$40</f>
        <v/>
      </c>
      <c r="C156" s="9" t="n">
        <v>139867271</v>
      </c>
      <c r="D156" s="9" t="n">
        <v>2856707</v>
      </c>
      <c r="E156" s="9" t="n">
        <v>35604</v>
      </c>
      <c r="F156" s="9" t="n">
        <v>2738290</v>
      </c>
      <c r="G156" s="9" t="n">
        <v>313820</v>
      </c>
    </row>
    <row r="157">
      <c r="A157" s="8" t="n">
        <v>46113</v>
      </c>
      <c r="B157" s="9">
        <f>Inputs!$A$41</f>
        <v/>
      </c>
      <c r="C157" s="9" t="n">
        <v>125886692</v>
      </c>
      <c r="D157" s="9" t="n">
        <v>2673809</v>
      </c>
      <c r="E157" s="9" t="n">
        <v>34964</v>
      </c>
      <c r="F157" s="9" t="n">
        <v>2610578</v>
      </c>
      <c r="G157" s="9" t="n">
        <v>272937</v>
      </c>
    </row>
    <row r="158">
      <c r="A158" s="8" t="n">
        <v>46113</v>
      </c>
      <c r="B158" s="9">
        <f>Inputs!$A$42</f>
        <v/>
      </c>
      <c r="C158" s="9" t="n">
        <v>84195960</v>
      </c>
      <c r="D158" s="9" t="n">
        <v>1838548</v>
      </c>
      <c r="E158" s="9" t="n">
        <v>25686</v>
      </c>
      <c r="F158" s="9" t="n">
        <v>1834558</v>
      </c>
      <c r="G158" s="9" t="n">
        <v>222181</v>
      </c>
    </row>
    <row r="159">
      <c r="A159" s="8" t="n">
        <v>46113</v>
      </c>
      <c r="B159" s="9">
        <f>Inputs!$A$43</f>
        <v/>
      </c>
      <c r="C159" s="9" t="n">
        <v>111697272</v>
      </c>
      <c r="D159" s="9" t="n">
        <v>2431703</v>
      </c>
      <c r="E159" s="9" t="n">
        <v>32846</v>
      </c>
      <c r="F159" s="9" t="n">
        <v>2683168</v>
      </c>
      <c r="G159" s="9" t="n">
        <v>251771</v>
      </c>
    </row>
    <row r="160">
      <c r="A160" s="8" t="n">
        <v>46113</v>
      </c>
      <c r="B160" s="9">
        <f>Inputs!$A$44</f>
        <v/>
      </c>
      <c r="C160" s="9" t="n"/>
      <c r="D160" s="9" t="n">
        <v>842701</v>
      </c>
      <c r="E160" s="9" t="n">
        <v>7625</v>
      </c>
      <c r="F160" s="9" t="n">
        <v>624006</v>
      </c>
      <c r="G160" s="9" t="n">
        <v>153196</v>
      </c>
    </row>
    <row r="161">
      <c r="A161" s="8" t="n">
        <v>46113</v>
      </c>
      <c r="B161" s="9">
        <f>Inputs!$A$45</f>
        <v/>
      </c>
      <c r="C161" s="9" t="n"/>
      <c r="D161" s="9" t="n">
        <v>787005</v>
      </c>
      <c r="E161" s="9" t="n">
        <v>7425</v>
      </c>
      <c r="F161" s="9" t="n">
        <v>599721</v>
      </c>
      <c r="G161" s="9" t="n">
        <v>152430</v>
      </c>
    </row>
    <row r="162">
      <c r="A162" s="8" t="n">
        <v>46143</v>
      </c>
      <c r="B162" s="9">
        <f>Inputs!$A$36</f>
        <v/>
      </c>
      <c r="C162" s="9" t="n">
        <v>152229599</v>
      </c>
      <c r="D162" s="9" t="n">
        <v>3123845</v>
      </c>
      <c r="E162" s="9" t="n">
        <v>40644</v>
      </c>
      <c r="F162" s="9" t="n">
        <v>2765647</v>
      </c>
      <c r="G162" s="9" t="n">
        <v>329021</v>
      </c>
    </row>
    <row r="163">
      <c r="A163" s="8" t="n">
        <v>46143</v>
      </c>
      <c r="B163" s="9">
        <f>Inputs!$A$37</f>
        <v/>
      </c>
      <c r="C163" s="9" t="n">
        <v>147524828</v>
      </c>
      <c r="D163" s="9" t="n">
        <v>3044611</v>
      </c>
      <c r="E163" s="9" t="n">
        <v>37128</v>
      </c>
      <c r="F163" s="9" t="n">
        <v>2471344</v>
      </c>
      <c r="G163" s="9" t="n">
        <v>322069</v>
      </c>
    </row>
    <row r="164">
      <c r="A164" s="8" t="n">
        <v>46143</v>
      </c>
      <c r="B164" s="9">
        <f>Inputs!$A$38</f>
        <v/>
      </c>
      <c r="C164" s="9" t="n">
        <v>116456329</v>
      </c>
      <c r="D164" s="9" t="n">
        <v>2521436</v>
      </c>
      <c r="E164" s="9" t="n">
        <v>34091</v>
      </c>
      <c r="F164" s="9" t="n">
        <v>2287961</v>
      </c>
      <c r="G164" s="9" t="n">
        <v>276287</v>
      </c>
    </row>
    <row r="165">
      <c r="A165" s="8" t="n">
        <v>46143</v>
      </c>
      <c r="B165" s="9">
        <f>Inputs!$A$39</f>
        <v/>
      </c>
      <c r="C165" s="9" t="n">
        <v>127917845</v>
      </c>
      <c r="D165" s="9" t="n">
        <v>2679665</v>
      </c>
      <c r="E165" s="9" t="n">
        <v>36522</v>
      </c>
      <c r="F165" s="9" t="n">
        <v>2468423</v>
      </c>
      <c r="G165" s="9" t="n">
        <v>287904</v>
      </c>
    </row>
    <row r="166">
      <c r="A166" s="8" t="n">
        <v>46143</v>
      </c>
      <c r="B166" s="9">
        <f>Inputs!$A$40</f>
        <v/>
      </c>
      <c r="C166" s="9" t="n">
        <v>138377675</v>
      </c>
      <c r="D166" s="9" t="n">
        <v>2786409</v>
      </c>
      <c r="E166" s="9" t="n">
        <v>34822</v>
      </c>
      <c r="F166" s="9" t="n">
        <v>2332579</v>
      </c>
      <c r="G166" s="9" t="n">
        <v>313311</v>
      </c>
    </row>
    <row r="167">
      <c r="A167" s="8" t="n">
        <v>46143</v>
      </c>
      <c r="B167" s="9">
        <f>Inputs!$A$41</f>
        <v/>
      </c>
      <c r="C167" s="9" t="n">
        <v>123873114</v>
      </c>
      <c r="D167" s="9" t="n">
        <v>2651306</v>
      </c>
      <c r="E167" s="9" t="n">
        <v>35072</v>
      </c>
      <c r="F167" s="9" t="n">
        <v>2340552</v>
      </c>
      <c r="G167" s="9" t="n">
        <v>279451</v>
      </c>
    </row>
    <row r="168">
      <c r="A168" s="8" t="n">
        <v>46143</v>
      </c>
      <c r="B168" s="9">
        <f>Inputs!$A$42</f>
        <v/>
      </c>
      <c r="C168" s="9" t="n">
        <v>82081320</v>
      </c>
      <c r="D168" s="9" t="n">
        <v>1818868</v>
      </c>
      <c r="E168" s="9" t="n">
        <v>24969</v>
      </c>
      <c r="F168" s="9" t="n">
        <v>1569175</v>
      </c>
      <c r="G168" s="9" t="n">
        <v>214146</v>
      </c>
    </row>
    <row r="169">
      <c r="A169" s="8" t="n">
        <v>46143</v>
      </c>
      <c r="B169" s="9">
        <f>Inputs!$A$43</f>
        <v/>
      </c>
      <c r="C169" s="9" t="n">
        <v>106186263</v>
      </c>
      <c r="D169" s="9" t="n">
        <v>2292754</v>
      </c>
      <c r="E169" s="9" t="n">
        <v>31229</v>
      </c>
      <c r="F169" s="9" t="n">
        <v>2233552</v>
      </c>
      <c r="G169" s="9" t="n">
        <v>260145</v>
      </c>
    </row>
    <row r="170">
      <c r="A170" s="8" t="n">
        <v>46143</v>
      </c>
      <c r="B170" s="9">
        <f>Inputs!$A$44</f>
        <v/>
      </c>
      <c r="C170" s="9" t="n"/>
      <c r="D170" s="9" t="n">
        <v>836578</v>
      </c>
      <c r="E170" s="9" t="n">
        <v>7450</v>
      </c>
      <c r="F170" s="9" t="n">
        <v>539442</v>
      </c>
      <c r="G170" s="9" t="n">
        <v>157314</v>
      </c>
    </row>
    <row r="171">
      <c r="A171" s="8" t="n">
        <v>46143</v>
      </c>
      <c r="B171" s="9">
        <f>Inputs!$A$45</f>
        <v/>
      </c>
      <c r="C171" s="9" t="n"/>
      <c r="D171" s="9" t="n">
        <v>773362</v>
      </c>
      <c r="E171" s="9" t="n">
        <v>7364</v>
      </c>
      <c r="F171" s="9" t="n">
        <v>526704</v>
      </c>
      <c r="G171" s="9" t="n">
        <v>142745</v>
      </c>
    </row>
    <row r="172">
      <c r="A172" s="8" t="n">
        <v>46174</v>
      </c>
      <c r="B172" s="9">
        <f>Inputs!$A$36</f>
        <v/>
      </c>
      <c r="C172" s="9" t="n">
        <v>152134607</v>
      </c>
      <c r="D172" s="9" t="n">
        <v>3164472</v>
      </c>
      <c r="E172" s="9" t="n">
        <v>40013</v>
      </c>
      <c r="F172" s="9" t="n">
        <v>2822232</v>
      </c>
      <c r="G172" s="9" t="n">
        <v>333918</v>
      </c>
    </row>
    <row r="173">
      <c r="A173" s="8" t="n">
        <v>46174</v>
      </c>
      <c r="B173" s="9">
        <f>Inputs!$A$37</f>
        <v/>
      </c>
      <c r="C173" s="9" t="n">
        <v>141648526</v>
      </c>
      <c r="D173" s="9" t="n">
        <v>2946913</v>
      </c>
      <c r="E173" s="9" t="n">
        <v>35258</v>
      </c>
      <c r="F173" s="9" t="n">
        <v>2456616</v>
      </c>
      <c r="G173" s="9" t="n">
        <v>300199</v>
      </c>
    </row>
    <row r="174">
      <c r="A174" s="8" t="n">
        <v>46174</v>
      </c>
      <c r="B174" s="9">
        <f>Inputs!$A$38</f>
        <v/>
      </c>
      <c r="C174" s="9" t="n">
        <v>113293725</v>
      </c>
      <c r="D174" s="9" t="n">
        <v>2488596</v>
      </c>
      <c r="E174" s="9" t="n">
        <v>32398</v>
      </c>
      <c r="F174" s="9" t="n">
        <v>2101682</v>
      </c>
      <c r="G174" s="9" t="n">
        <v>262755</v>
      </c>
    </row>
    <row r="175">
      <c r="A175" s="8" t="n">
        <v>46174</v>
      </c>
      <c r="B175" s="9">
        <f>Inputs!$A$39</f>
        <v/>
      </c>
      <c r="C175" s="9" t="n">
        <v>126062822</v>
      </c>
      <c r="D175" s="9" t="n">
        <v>2592553</v>
      </c>
      <c r="E175" s="9" t="n">
        <v>33747</v>
      </c>
      <c r="F175" s="9" t="n">
        <v>2352735</v>
      </c>
      <c r="G175" s="9" t="n">
        <v>288863</v>
      </c>
    </row>
    <row r="176">
      <c r="A176" s="8" t="n">
        <v>46174</v>
      </c>
      <c r="B176" s="9">
        <f>Inputs!$A$40</f>
        <v/>
      </c>
      <c r="C176" s="9" t="n">
        <v>133661122</v>
      </c>
      <c r="D176" s="9" t="n">
        <v>2746204</v>
      </c>
      <c r="E176" s="9" t="n">
        <v>33895</v>
      </c>
      <c r="F176" s="9" t="n">
        <v>2354797</v>
      </c>
      <c r="G176" s="9" t="n">
        <v>311375</v>
      </c>
    </row>
    <row r="177">
      <c r="A177" s="8" t="n">
        <v>46174</v>
      </c>
      <c r="B177" s="9">
        <f>Inputs!$A$41</f>
        <v/>
      </c>
      <c r="C177" s="9" t="n">
        <v>118336864</v>
      </c>
      <c r="D177" s="9" t="n">
        <v>2567788</v>
      </c>
      <c r="E177" s="9" t="n">
        <v>34339</v>
      </c>
      <c r="F177" s="9" t="n">
        <v>2237996</v>
      </c>
      <c r="G177" s="9" t="n">
        <v>287230</v>
      </c>
    </row>
    <row r="178">
      <c r="A178" s="8" t="n">
        <v>46174</v>
      </c>
      <c r="B178" s="9">
        <f>Inputs!$A$42</f>
        <v/>
      </c>
      <c r="C178" s="9" t="n">
        <v>81648282</v>
      </c>
      <c r="D178" s="9" t="n">
        <v>1797138</v>
      </c>
      <c r="E178" s="9" t="n">
        <v>24328</v>
      </c>
      <c r="F178" s="9" t="n">
        <v>1542583</v>
      </c>
      <c r="G178" s="9" t="n">
        <v>223249</v>
      </c>
    </row>
    <row r="179">
      <c r="A179" s="8" t="n">
        <v>46174</v>
      </c>
      <c r="B179" s="9">
        <f>Inputs!$A$43</f>
        <v/>
      </c>
      <c r="C179" s="9" t="n">
        <v>107862555</v>
      </c>
      <c r="D179" s="9" t="n">
        <v>2364329</v>
      </c>
      <c r="E179" s="9" t="n">
        <v>30712</v>
      </c>
      <c r="F179" s="9" t="n">
        <v>2255559</v>
      </c>
      <c r="G179" s="9" t="n">
        <v>264104</v>
      </c>
    </row>
    <row r="180">
      <c r="A180" s="8" t="n">
        <v>46174</v>
      </c>
      <c r="B180" s="9">
        <f>Inputs!$A$44</f>
        <v/>
      </c>
      <c r="C180" s="9" t="n"/>
      <c r="D180" s="9" t="n">
        <v>820243</v>
      </c>
      <c r="E180" s="9" t="n">
        <v>7143</v>
      </c>
      <c r="F180" s="9" t="n">
        <v>537658</v>
      </c>
      <c r="G180" s="9" t="n">
        <v>157283</v>
      </c>
    </row>
    <row r="181">
      <c r="A181" s="8" t="n">
        <v>46174</v>
      </c>
      <c r="B181" s="9">
        <f>Inputs!$A$45</f>
        <v/>
      </c>
      <c r="C181" s="9" t="n"/>
      <c r="D181" s="9" t="n">
        <v>758515</v>
      </c>
      <c r="E181" s="9" t="n">
        <v>7093</v>
      </c>
      <c r="F181" s="9" t="n">
        <v>521680</v>
      </c>
      <c r="G181" s="9" t="n">
        <v>151115</v>
      </c>
    </row>
    <row r="182">
      <c r="A182" s="8" t="n">
        <v>46204</v>
      </c>
      <c r="B182" s="9">
        <f>Inputs!$A$36</f>
        <v/>
      </c>
      <c r="C182" s="9" t="n">
        <v>157303158</v>
      </c>
      <c r="D182" s="9" t="n">
        <v>3258169</v>
      </c>
      <c r="E182" s="9" t="n">
        <v>40984</v>
      </c>
      <c r="F182" s="9" t="n">
        <v>2790412</v>
      </c>
      <c r="G182" s="9" t="n">
        <v>338813</v>
      </c>
    </row>
    <row r="183">
      <c r="A183" s="8" t="n">
        <v>46204</v>
      </c>
      <c r="B183" s="9">
        <f>Inputs!$A$37</f>
        <v/>
      </c>
      <c r="C183" s="9" t="n">
        <v>145101604</v>
      </c>
      <c r="D183" s="9" t="n">
        <v>3027457</v>
      </c>
      <c r="E183" s="9" t="n">
        <v>37220</v>
      </c>
      <c r="F183" s="9" t="n">
        <v>2506738</v>
      </c>
      <c r="G183" s="9" t="n">
        <v>320571</v>
      </c>
    </row>
    <row r="184">
      <c r="A184" s="8" t="n">
        <v>46204</v>
      </c>
      <c r="B184" s="9">
        <f>Inputs!$A$38</f>
        <v/>
      </c>
      <c r="C184" s="9" t="n">
        <v>118163726</v>
      </c>
      <c r="D184" s="9" t="n">
        <v>2515126</v>
      </c>
      <c r="E184" s="9" t="n">
        <v>33618</v>
      </c>
      <c r="F184" s="9" t="n">
        <v>2157145</v>
      </c>
      <c r="G184" s="9" t="n">
        <v>269163</v>
      </c>
    </row>
    <row r="185">
      <c r="A185" s="8" t="n">
        <v>46204</v>
      </c>
      <c r="B185" s="9">
        <f>Inputs!$A$39</f>
        <v/>
      </c>
      <c r="C185" s="9" t="n">
        <v>127348869</v>
      </c>
      <c r="D185" s="9" t="n">
        <v>2645719</v>
      </c>
      <c r="E185" s="9" t="n">
        <v>34000</v>
      </c>
      <c r="F185" s="9" t="n">
        <v>2360502</v>
      </c>
      <c r="G185" s="9" t="n">
        <v>287377</v>
      </c>
    </row>
    <row r="186">
      <c r="A186" s="8" t="n">
        <v>46204</v>
      </c>
      <c r="B186" s="9">
        <f>Inputs!$A$40</f>
        <v/>
      </c>
      <c r="C186" s="9" t="n">
        <v>140176075</v>
      </c>
      <c r="D186" s="9" t="n">
        <v>2794298</v>
      </c>
      <c r="E186" s="9" t="n">
        <v>35430</v>
      </c>
      <c r="F186" s="9" t="n">
        <v>2392202</v>
      </c>
      <c r="G186" s="9" t="n">
        <v>314154</v>
      </c>
    </row>
    <row r="187">
      <c r="A187" s="8" t="n">
        <v>46204</v>
      </c>
      <c r="B187" s="9">
        <f>Inputs!$A$41</f>
        <v/>
      </c>
      <c r="C187" s="9" t="n">
        <v>124914357</v>
      </c>
      <c r="D187" s="9" t="n">
        <v>2681266</v>
      </c>
      <c r="E187" s="9" t="n">
        <v>34437</v>
      </c>
      <c r="F187" s="9" t="n">
        <v>2250686</v>
      </c>
      <c r="G187" s="9" t="n">
        <v>274923</v>
      </c>
    </row>
    <row r="188">
      <c r="A188" s="8" t="n">
        <v>46204</v>
      </c>
      <c r="B188" s="9">
        <f>Inputs!$A$42</f>
        <v/>
      </c>
      <c r="C188" s="9" t="n">
        <v>81940139</v>
      </c>
      <c r="D188" s="9" t="n">
        <v>1841489</v>
      </c>
      <c r="E188" s="9" t="n">
        <v>25392</v>
      </c>
      <c r="F188" s="9" t="n">
        <v>1611224</v>
      </c>
      <c r="G188" s="9" t="n">
        <v>221285</v>
      </c>
    </row>
    <row r="189">
      <c r="A189" s="8" t="n">
        <v>46204</v>
      </c>
      <c r="B189" s="9">
        <f>Inputs!$A$43</f>
        <v/>
      </c>
      <c r="C189" s="9" t="n">
        <v>109022765</v>
      </c>
      <c r="D189" s="9" t="n">
        <v>2412518</v>
      </c>
      <c r="E189" s="9" t="n">
        <v>32745</v>
      </c>
      <c r="F189" s="9" t="n">
        <v>2365642</v>
      </c>
      <c r="G189" s="9" t="n">
        <v>268471</v>
      </c>
    </row>
    <row r="190">
      <c r="A190" s="8" t="n">
        <v>46204</v>
      </c>
      <c r="B190" s="9">
        <f>Inputs!$A$44</f>
        <v/>
      </c>
      <c r="C190" s="9" t="n"/>
      <c r="D190" s="9" t="n">
        <v>831064</v>
      </c>
      <c r="E190" s="9" t="n">
        <v>7249</v>
      </c>
      <c r="F190" s="9" t="n">
        <v>527015</v>
      </c>
      <c r="G190" s="9" t="n">
        <v>153284</v>
      </c>
    </row>
    <row r="191">
      <c r="A191" s="8" t="n">
        <v>46204</v>
      </c>
      <c r="B191" s="9">
        <f>Inputs!$A$45</f>
        <v/>
      </c>
      <c r="C191" s="9" t="n"/>
      <c r="D191" s="9" t="n">
        <v>768113</v>
      </c>
      <c r="E191" s="9" t="n">
        <v>7062</v>
      </c>
      <c r="F191" s="9" t="n">
        <v>502714</v>
      </c>
      <c r="G191" s="9" t="n">
        <v>149858</v>
      </c>
    </row>
    <row r="192">
      <c r="A192" s="8" t="n">
        <v>46235</v>
      </c>
      <c r="B192" s="9">
        <f>Inputs!$A$36</f>
        <v/>
      </c>
      <c r="C192" s="9" t="n">
        <v>154523231</v>
      </c>
      <c r="D192" s="9" t="n">
        <v>3207130</v>
      </c>
      <c r="E192" s="9" t="n">
        <v>40493</v>
      </c>
      <c r="F192" s="9" t="n">
        <v>2822833</v>
      </c>
      <c r="G192" s="9" t="n">
        <v>330411</v>
      </c>
    </row>
    <row r="193">
      <c r="A193" s="8" t="n">
        <v>46235</v>
      </c>
      <c r="B193" s="9">
        <f>Inputs!$A$37</f>
        <v/>
      </c>
      <c r="C193" s="9" t="n">
        <v>140340506</v>
      </c>
      <c r="D193" s="9" t="n">
        <v>2955324</v>
      </c>
      <c r="E193" s="9" t="n">
        <v>35401</v>
      </c>
      <c r="F193" s="9" t="n">
        <v>2377259</v>
      </c>
      <c r="G193" s="9" t="n">
        <v>313314</v>
      </c>
    </row>
    <row r="194">
      <c r="A194" s="8" t="n">
        <v>46235</v>
      </c>
      <c r="B194" s="9">
        <f>Inputs!$A$38</f>
        <v/>
      </c>
      <c r="C194" s="9" t="n">
        <v>120980031</v>
      </c>
      <c r="D194" s="9" t="n">
        <v>2569610</v>
      </c>
      <c r="E194" s="9" t="n">
        <v>34322</v>
      </c>
      <c r="F194" s="9" t="n">
        <v>2221995</v>
      </c>
      <c r="G194" s="9" t="n">
        <v>273852</v>
      </c>
    </row>
    <row r="195">
      <c r="A195" s="8" t="n">
        <v>46235</v>
      </c>
      <c r="B195" s="9">
        <f>Inputs!$A$39</f>
        <v/>
      </c>
      <c r="C195" s="9" t="n">
        <v>127426811</v>
      </c>
      <c r="D195" s="9" t="n">
        <v>2638830</v>
      </c>
      <c r="E195" s="9" t="n">
        <v>34331</v>
      </c>
      <c r="F195" s="9" t="n">
        <v>2355471</v>
      </c>
      <c r="G195" s="9" t="n">
        <v>282102</v>
      </c>
    </row>
    <row r="196">
      <c r="A196" s="8" t="n">
        <v>46235</v>
      </c>
      <c r="B196" s="9">
        <f>Inputs!$A$40</f>
        <v/>
      </c>
      <c r="C196" s="9" t="n">
        <v>138115853</v>
      </c>
      <c r="D196" s="9" t="n">
        <v>2776702</v>
      </c>
      <c r="E196" s="9" t="n">
        <v>34530</v>
      </c>
      <c r="F196" s="9" t="n">
        <v>2325728</v>
      </c>
      <c r="G196" s="9" t="n">
        <v>305332</v>
      </c>
    </row>
    <row r="197">
      <c r="A197" s="8" t="n">
        <v>46235</v>
      </c>
      <c r="B197" s="9">
        <f>Inputs!$A$41</f>
        <v/>
      </c>
      <c r="C197" s="9" t="n">
        <v>124472644</v>
      </c>
      <c r="D197" s="9" t="n">
        <v>2670437</v>
      </c>
      <c r="E197" s="9" t="n">
        <v>35222</v>
      </c>
      <c r="F197" s="9" t="n">
        <v>2284378</v>
      </c>
      <c r="G197" s="9" t="n">
        <v>287759</v>
      </c>
    </row>
    <row r="198">
      <c r="A198" s="8" t="n">
        <v>46235</v>
      </c>
      <c r="B198" s="9">
        <f>Inputs!$A$42</f>
        <v/>
      </c>
      <c r="C198" s="9" t="n">
        <v>80867529</v>
      </c>
      <c r="D198" s="9" t="n">
        <v>1791999</v>
      </c>
      <c r="E198" s="9" t="n">
        <v>24739</v>
      </c>
      <c r="F198" s="9" t="n">
        <v>1585645</v>
      </c>
      <c r="G198" s="9" t="n">
        <v>221865</v>
      </c>
    </row>
    <row r="199">
      <c r="A199" s="8" t="n">
        <v>46235</v>
      </c>
      <c r="B199" s="9">
        <f>Inputs!$A$43</f>
        <v/>
      </c>
      <c r="C199" s="9" t="n">
        <v>106388661</v>
      </c>
      <c r="D199" s="9" t="n">
        <v>2314634</v>
      </c>
      <c r="E199" s="9" t="n">
        <v>30977</v>
      </c>
      <c r="F199" s="9" t="n">
        <v>2215203</v>
      </c>
      <c r="G199" s="9" t="n">
        <v>255449</v>
      </c>
    </row>
    <row r="200">
      <c r="A200" s="8" t="n">
        <v>46235</v>
      </c>
      <c r="B200" s="9">
        <f>Inputs!$A$44</f>
        <v/>
      </c>
      <c r="C200" s="9" t="n"/>
      <c r="D200" s="9" t="n">
        <v>815772</v>
      </c>
      <c r="E200" s="9" t="n">
        <v>7396</v>
      </c>
      <c r="F200" s="9" t="n">
        <v>536543</v>
      </c>
      <c r="G200" s="9" t="n">
        <v>158388</v>
      </c>
    </row>
    <row r="201">
      <c r="A201" s="8" t="n">
        <v>46235</v>
      </c>
      <c r="B201" s="9">
        <f>Inputs!$A$45</f>
        <v/>
      </c>
      <c r="C201" s="9" t="n"/>
      <c r="D201" s="9" t="n">
        <v>775745</v>
      </c>
      <c r="E201" s="9" t="n">
        <v>7030</v>
      </c>
      <c r="F201" s="9" t="n">
        <v>502965</v>
      </c>
      <c r="G201" s="9" t="n">
        <v>142213</v>
      </c>
    </row>
    <row r="202">
      <c r="A202" s="8" t="n">
        <v>46266</v>
      </c>
      <c r="B202" s="9">
        <f>Inputs!$A$36</f>
        <v/>
      </c>
      <c r="C202" s="9" t="n">
        <v>156141692</v>
      </c>
      <c r="D202" s="9" t="n">
        <v>3201093</v>
      </c>
      <c r="E202" s="9" t="n">
        <v>40680</v>
      </c>
      <c r="F202" s="9" t="n">
        <v>2767047</v>
      </c>
      <c r="G202" s="9" t="n">
        <v>331795</v>
      </c>
    </row>
    <row r="203">
      <c r="A203" s="8" t="n">
        <v>46266</v>
      </c>
      <c r="B203" s="9">
        <f>Inputs!$A$37</f>
        <v/>
      </c>
      <c r="C203" s="9" t="n">
        <v>142762382</v>
      </c>
      <c r="D203" s="9" t="n">
        <v>2972398</v>
      </c>
      <c r="E203" s="9" t="n">
        <v>36192</v>
      </c>
      <c r="F203" s="9" t="n">
        <v>2510738</v>
      </c>
      <c r="G203" s="9" t="n">
        <v>306111</v>
      </c>
    </row>
    <row r="204">
      <c r="A204" s="8" t="n">
        <v>46266</v>
      </c>
      <c r="B204" s="9">
        <f>Inputs!$A$38</f>
        <v/>
      </c>
      <c r="C204" s="9" t="n">
        <v>116519697</v>
      </c>
      <c r="D204" s="9" t="n">
        <v>2548180</v>
      </c>
      <c r="E204" s="9" t="n">
        <v>33764</v>
      </c>
      <c r="F204" s="9" t="n">
        <v>2205615</v>
      </c>
      <c r="G204" s="9" t="n">
        <v>273376</v>
      </c>
    </row>
    <row r="205">
      <c r="A205" s="8" t="n">
        <v>46266</v>
      </c>
      <c r="B205" s="9">
        <f>Inputs!$A$39</f>
        <v/>
      </c>
      <c r="C205" s="9" t="n">
        <v>127789999</v>
      </c>
      <c r="D205" s="9" t="n">
        <v>2617581</v>
      </c>
      <c r="E205" s="9" t="n">
        <v>34369</v>
      </c>
      <c r="F205" s="9" t="n">
        <v>2329098</v>
      </c>
      <c r="G205" s="9" t="n">
        <v>297962</v>
      </c>
    </row>
    <row r="206">
      <c r="A206" s="8" t="n">
        <v>46266</v>
      </c>
      <c r="B206" s="9">
        <f>Inputs!$A$40</f>
        <v/>
      </c>
      <c r="C206" s="9" t="n">
        <v>137926213</v>
      </c>
      <c r="D206" s="9" t="n">
        <v>2791629</v>
      </c>
      <c r="E206" s="9" t="n">
        <v>34143</v>
      </c>
      <c r="F206" s="9" t="n">
        <v>2379355</v>
      </c>
      <c r="G206" s="9" t="n">
        <v>316584</v>
      </c>
    </row>
    <row r="207">
      <c r="A207" s="8" t="n">
        <v>46266</v>
      </c>
      <c r="B207" s="9">
        <f>Inputs!$A$41</f>
        <v/>
      </c>
      <c r="C207" s="9" t="n">
        <v>123051883</v>
      </c>
      <c r="D207" s="9" t="n">
        <v>2579876</v>
      </c>
      <c r="E207" s="9" t="n">
        <v>33441</v>
      </c>
      <c r="F207" s="9" t="n">
        <v>2165819</v>
      </c>
      <c r="G207" s="9" t="n">
        <v>278090</v>
      </c>
    </row>
    <row r="208">
      <c r="A208" s="8" t="n">
        <v>46266</v>
      </c>
      <c r="B208" s="9">
        <f>Inputs!$A$42</f>
        <v/>
      </c>
      <c r="C208" s="9" t="n">
        <v>81936733</v>
      </c>
      <c r="D208" s="9" t="n">
        <v>1784699</v>
      </c>
      <c r="E208" s="9" t="n">
        <v>24457</v>
      </c>
      <c r="F208" s="9" t="n">
        <v>1555278</v>
      </c>
      <c r="G208" s="9" t="n">
        <v>209518</v>
      </c>
    </row>
    <row r="209">
      <c r="A209" s="8" t="n">
        <v>46266</v>
      </c>
      <c r="B209" s="9">
        <f>Inputs!$A$43</f>
        <v/>
      </c>
      <c r="C209" s="9" t="n">
        <v>109682954</v>
      </c>
      <c r="D209" s="9" t="n">
        <v>2379611</v>
      </c>
      <c r="E209" s="9" t="n">
        <v>31248</v>
      </c>
      <c r="F209" s="9" t="n">
        <v>2290046</v>
      </c>
      <c r="G209" s="9" t="n">
        <v>258923</v>
      </c>
    </row>
    <row r="210">
      <c r="A210" s="8" t="n">
        <v>46266</v>
      </c>
      <c r="B210" s="9">
        <f>Inputs!$A$44</f>
        <v/>
      </c>
      <c r="C210" s="9" t="n"/>
      <c r="D210" s="9" t="n">
        <v>838192</v>
      </c>
      <c r="E210" s="9" t="n">
        <v>7367</v>
      </c>
      <c r="F210" s="9" t="n">
        <v>536696</v>
      </c>
      <c r="G210" s="9" t="n">
        <v>158594</v>
      </c>
    </row>
    <row r="211">
      <c r="A211" s="8" t="n">
        <v>46266</v>
      </c>
      <c r="B211" s="9">
        <f>Inputs!$A$45</f>
        <v/>
      </c>
      <c r="C211" s="9" t="n"/>
      <c r="D211" s="9" t="n">
        <v>768891</v>
      </c>
      <c r="E211" s="9" t="n">
        <v>7208</v>
      </c>
      <c r="F211" s="9" t="n">
        <v>522166</v>
      </c>
      <c r="G211" s="9" t="n">
        <v>147742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F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7" t="inlineStr">
        <is>
          <t>Month</t>
        </is>
      </c>
      <c r="B1" s="7" t="inlineStr">
        <is>
          <t>Site</t>
        </is>
      </c>
      <c r="C1" s="7" t="inlineStr">
        <is>
          <t>Sales forecast $</t>
        </is>
      </c>
      <c r="D1" s="7" t="inlineStr">
        <is>
          <t>Plan CPLH (cases / hr)</t>
        </is>
      </c>
      <c r="F1" s="6" t="inlineStr">
        <is>
          <t>From the long-range plan. IDCs have no sales; their payroll % is shown against the host region's sales.</t>
        </is>
      </c>
    </row>
    <row r="2">
      <c r="A2" s="8" t="n">
        <v>46023</v>
      </c>
      <c r="B2">
        <f>Inputs!$A$36</f>
        <v/>
      </c>
      <c r="C2" s="9" t="n">
        <v>153814000</v>
      </c>
      <c r="D2" s="10" t="n">
        <v>76.3</v>
      </c>
      <c r="F2" s="6" t="inlineStr">
        <is>
          <t>Plan CPLH: blank uses CPLH in the same month last year. CPLH_Breakdown's column-for-pasting matches these rows.</t>
        </is>
      </c>
    </row>
    <row r="3">
      <c r="A3" s="8" t="n">
        <v>46023</v>
      </c>
      <c r="B3">
        <f>Inputs!$A$37</f>
        <v/>
      </c>
      <c r="C3" s="9" t="n">
        <v>142733000</v>
      </c>
      <c r="D3" s="10" t="n">
        <v>80.7</v>
      </c>
    </row>
    <row r="4">
      <c r="A4" s="8" t="n">
        <v>46023</v>
      </c>
      <c r="B4">
        <f>Inputs!$A$38</f>
        <v/>
      </c>
      <c r="C4" s="9" t="n">
        <v>117343000</v>
      </c>
      <c r="D4" s="10" t="n">
        <v>74.09999999999999</v>
      </c>
    </row>
    <row r="5">
      <c r="A5" s="8" t="n">
        <v>46023</v>
      </c>
      <c r="B5">
        <f>Inputs!$A$39</f>
        <v/>
      </c>
      <c r="C5" s="9" t="n">
        <v>126585000</v>
      </c>
      <c r="D5" s="10" t="n">
        <v>75.7</v>
      </c>
    </row>
    <row r="6">
      <c r="A6" s="8" t="n">
        <v>46023</v>
      </c>
      <c r="B6">
        <f>Inputs!$A$40</f>
        <v/>
      </c>
      <c r="C6" s="9" t="n">
        <v>135910000</v>
      </c>
      <c r="D6" s="10" t="n">
        <v>79.7</v>
      </c>
    </row>
    <row r="7">
      <c r="A7" s="8" t="n">
        <v>46023</v>
      </c>
      <c r="B7">
        <f>Inputs!$A$41</f>
        <v/>
      </c>
      <c r="C7" s="9" t="n">
        <v>120851000</v>
      </c>
      <c r="D7" s="10" t="n">
        <v>76.90000000000001</v>
      </c>
    </row>
    <row r="8">
      <c r="A8" s="8" t="n">
        <v>46023</v>
      </c>
      <c r="B8">
        <f>Inputs!$A$42</f>
        <v/>
      </c>
      <c r="C8" s="9" t="n">
        <v>79038000</v>
      </c>
      <c r="D8" s="10" t="n">
        <v>72.90000000000001</v>
      </c>
    </row>
    <row r="9">
      <c r="A9" s="8" t="n">
        <v>46023</v>
      </c>
      <c r="B9">
        <f>Inputs!$A$43</f>
        <v/>
      </c>
      <c r="C9" s="9" t="n">
        <v>106821000</v>
      </c>
      <c r="D9" s="10" t="n">
        <v>71.40000000000001</v>
      </c>
    </row>
    <row r="10">
      <c r="A10" s="8" t="n">
        <v>46023</v>
      </c>
      <c r="B10">
        <f>Inputs!$A$44</f>
        <v/>
      </c>
      <c r="C10" s="9" t="n"/>
      <c r="D10" s="10" t="n">
        <v>111.4</v>
      </c>
    </row>
    <row r="11">
      <c r="A11" s="8" t="n">
        <v>46023</v>
      </c>
      <c r="B11">
        <f>Inputs!$A$45</f>
        <v/>
      </c>
      <c r="C11" s="9" t="n"/>
      <c r="D11" s="10" t="n">
        <v>106</v>
      </c>
    </row>
    <row r="12">
      <c r="A12" s="8" t="n">
        <v>46054</v>
      </c>
      <c r="B12">
        <f>Inputs!$A$36</f>
        <v/>
      </c>
      <c r="C12" s="9" t="n">
        <v>137092000</v>
      </c>
      <c r="D12" s="10" t="n">
        <v>79.90000000000001</v>
      </c>
    </row>
    <row r="13">
      <c r="A13" s="8" t="n">
        <v>46054</v>
      </c>
      <c r="B13">
        <f>Inputs!$A$37</f>
        <v/>
      </c>
      <c r="C13" s="9" t="n">
        <v>131606000</v>
      </c>
      <c r="D13" s="10" t="n">
        <v>84.09999999999999</v>
      </c>
    </row>
    <row r="14">
      <c r="A14" s="8" t="n">
        <v>46054</v>
      </c>
      <c r="B14">
        <f>Inputs!$A$38</f>
        <v/>
      </c>
      <c r="C14" s="9" t="n">
        <v>109672000</v>
      </c>
      <c r="D14" s="10" t="n">
        <v>75.2</v>
      </c>
    </row>
    <row r="15">
      <c r="A15" s="8" t="n">
        <v>46054</v>
      </c>
      <c r="B15">
        <f>Inputs!$A$39</f>
        <v/>
      </c>
      <c r="C15" s="9" t="n">
        <v>120059000</v>
      </c>
      <c r="D15" s="10" t="n">
        <v>77.5</v>
      </c>
    </row>
    <row r="16">
      <c r="A16" s="8" t="n">
        <v>46054</v>
      </c>
      <c r="B16">
        <f>Inputs!$A$40</f>
        <v/>
      </c>
      <c r="C16" s="9" t="n">
        <v>129364000</v>
      </c>
      <c r="D16" s="10" t="n">
        <v>80.7</v>
      </c>
    </row>
    <row r="17">
      <c r="A17" s="8" t="n">
        <v>46054</v>
      </c>
      <c r="B17">
        <f>Inputs!$A$41</f>
        <v/>
      </c>
      <c r="C17" s="9" t="n">
        <v>114317000</v>
      </c>
      <c r="D17" s="10" t="n">
        <v>76.5</v>
      </c>
    </row>
    <row r="18">
      <c r="A18" s="8" t="n">
        <v>46054</v>
      </c>
      <c r="B18">
        <f>Inputs!$A$42</f>
        <v/>
      </c>
      <c r="C18" s="9" t="n">
        <v>74441000</v>
      </c>
      <c r="D18" s="10" t="n">
        <v>74.3</v>
      </c>
    </row>
    <row r="19">
      <c r="A19" s="8" t="n">
        <v>46054</v>
      </c>
      <c r="B19">
        <f>Inputs!$A$43</f>
        <v/>
      </c>
      <c r="C19" s="9" t="n">
        <v>96657000</v>
      </c>
      <c r="D19" s="10" t="n">
        <v>74.09999999999999</v>
      </c>
    </row>
    <row r="20">
      <c r="A20" s="8" t="n">
        <v>46054</v>
      </c>
      <c r="B20">
        <f>Inputs!$A$44</f>
        <v/>
      </c>
      <c r="C20" s="9" t="n"/>
      <c r="D20" s="10" t="n">
        <v>111.5</v>
      </c>
    </row>
    <row r="21">
      <c r="A21" s="8" t="n">
        <v>46054</v>
      </c>
      <c r="B21">
        <f>Inputs!$A$45</f>
        <v/>
      </c>
      <c r="C21" s="9" t="n"/>
      <c r="D21" s="10" t="n">
        <v>104.7</v>
      </c>
    </row>
    <row r="22">
      <c r="A22" s="8" t="n">
        <v>46082</v>
      </c>
      <c r="B22">
        <f>Inputs!$A$36</f>
        <v/>
      </c>
      <c r="C22" s="9" t="n">
        <v>157503000</v>
      </c>
      <c r="D22" s="10" t="n">
        <v>81.2</v>
      </c>
    </row>
    <row r="23">
      <c r="A23" s="8" t="n">
        <v>46082</v>
      </c>
      <c r="B23">
        <f>Inputs!$A$37</f>
        <v/>
      </c>
      <c r="C23" s="9" t="n">
        <v>146942000</v>
      </c>
      <c r="D23" s="10" t="n">
        <v>82.59999999999999</v>
      </c>
    </row>
    <row r="24">
      <c r="A24" s="8" t="n">
        <v>46082</v>
      </c>
      <c r="B24">
        <f>Inputs!$A$38</f>
        <v/>
      </c>
      <c r="C24" s="9" t="n">
        <v>118790000</v>
      </c>
      <c r="D24" s="10" t="n">
        <v>77.90000000000001</v>
      </c>
    </row>
    <row r="25">
      <c r="A25" s="8" t="n">
        <v>46082</v>
      </c>
      <c r="B25">
        <f>Inputs!$A$39</f>
        <v/>
      </c>
      <c r="C25" s="9" t="n">
        <v>132170000</v>
      </c>
      <c r="D25" s="10" t="n">
        <v>80.09999999999999</v>
      </c>
    </row>
    <row r="26">
      <c r="A26" s="8" t="n">
        <v>46082</v>
      </c>
      <c r="B26">
        <f>Inputs!$A$40</f>
        <v/>
      </c>
      <c r="C26" s="9" t="n">
        <v>140523000</v>
      </c>
      <c r="D26" s="10" t="n">
        <v>81.40000000000001</v>
      </c>
    </row>
    <row r="27">
      <c r="A27" s="8" t="n">
        <v>46082</v>
      </c>
      <c r="B27">
        <f>Inputs!$A$41</f>
        <v/>
      </c>
      <c r="C27" s="9" t="n">
        <v>122798000</v>
      </c>
      <c r="D27" s="10" t="n">
        <v>78</v>
      </c>
    </row>
    <row r="28">
      <c r="A28" s="8" t="n">
        <v>46082</v>
      </c>
      <c r="B28">
        <f>Inputs!$A$42</f>
        <v/>
      </c>
      <c r="C28" s="9" t="n">
        <v>81723000</v>
      </c>
      <c r="D28" s="10" t="n">
        <v>73.09999999999999</v>
      </c>
    </row>
    <row r="29">
      <c r="A29" s="8" t="n">
        <v>46082</v>
      </c>
      <c r="B29">
        <f>Inputs!$A$43</f>
        <v/>
      </c>
      <c r="C29" s="9" t="n">
        <v>108203000</v>
      </c>
      <c r="D29" s="10" t="n">
        <v>74.40000000000001</v>
      </c>
    </row>
    <row r="30">
      <c r="A30" s="8" t="n">
        <v>46082</v>
      </c>
      <c r="B30">
        <f>Inputs!$A$44</f>
        <v/>
      </c>
      <c r="C30" s="9" t="n"/>
      <c r="D30" s="10" t="n">
        <v>110</v>
      </c>
    </row>
    <row r="31">
      <c r="A31" s="8" t="n">
        <v>46082</v>
      </c>
      <c r="B31">
        <f>Inputs!$A$45</f>
        <v/>
      </c>
      <c r="C31" s="9" t="n"/>
      <c r="D31" s="10" t="n">
        <v>110</v>
      </c>
    </row>
    <row r="32">
      <c r="A32" s="8" t="n">
        <v>46113</v>
      </c>
      <c r="B32">
        <f>Inputs!$A$36</f>
        <v/>
      </c>
      <c r="C32" s="9" t="n">
        <v>153091000</v>
      </c>
      <c r="D32" s="10" t="n">
        <v>79.09999999999999</v>
      </c>
    </row>
    <row r="33">
      <c r="A33" s="8" t="n">
        <v>46113</v>
      </c>
      <c r="B33">
        <f>Inputs!$A$37</f>
        <v/>
      </c>
      <c r="C33" s="9" t="n">
        <v>140264000</v>
      </c>
      <c r="D33" s="10" t="n">
        <v>82.7</v>
      </c>
    </row>
    <row r="34">
      <c r="A34" s="8" t="n">
        <v>46113</v>
      </c>
      <c r="B34">
        <f>Inputs!$A$38</f>
        <v/>
      </c>
      <c r="C34" s="9" t="n">
        <v>116902000</v>
      </c>
      <c r="D34" s="10" t="n">
        <v>77.90000000000001</v>
      </c>
    </row>
    <row r="35">
      <c r="A35" s="8" t="n">
        <v>46113</v>
      </c>
      <c r="B35">
        <f>Inputs!$A$39</f>
        <v/>
      </c>
      <c r="C35" s="9" t="n">
        <v>132565000</v>
      </c>
      <c r="D35" s="10" t="n">
        <v>79.09999999999999</v>
      </c>
    </row>
    <row r="36">
      <c r="A36" s="8" t="n">
        <v>46113</v>
      </c>
      <c r="B36">
        <f>Inputs!$A$40</f>
        <v/>
      </c>
      <c r="C36" s="9" t="n">
        <v>139867000</v>
      </c>
      <c r="D36" s="10" t="n">
        <v>81.8</v>
      </c>
    </row>
    <row r="37">
      <c r="A37" s="8" t="n">
        <v>46113</v>
      </c>
      <c r="B37">
        <f>Inputs!$A$41</f>
        <v/>
      </c>
      <c r="C37" s="9" t="n">
        <v>125887000</v>
      </c>
      <c r="D37" s="10" t="n">
        <v>78</v>
      </c>
    </row>
    <row r="38">
      <c r="A38" s="8" t="n">
        <v>46113</v>
      </c>
      <c r="B38">
        <f>Inputs!$A$42</f>
        <v/>
      </c>
      <c r="C38" s="9" t="n">
        <v>84196000</v>
      </c>
      <c r="D38" s="10" t="n">
        <v>73</v>
      </c>
    </row>
    <row r="39">
      <c r="A39" s="8" t="n">
        <v>46113</v>
      </c>
      <c r="B39">
        <f>Inputs!$A$43</f>
        <v/>
      </c>
      <c r="C39" s="9" t="n">
        <v>111697000</v>
      </c>
      <c r="D39" s="10" t="n">
        <v>75.5</v>
      </c>
    </row>
    <row r="40">
      <c r="A40" s="8" t="n">
        <v>46113</v>
      </c>
      <c r="B40">
        <f>Inputs!$A$44</f>
        <v/>
      </c>
      <c r="C40" s="9" t="n"/>
      <c r="D40" s="10" t="n">
        <v>112.7</v>
      </c>
    </row>
    <row r="41">
      <c r="A41" s="8" t="n">
        <v>46113</v>
      </c>
      <c r="B41">
        <f>Inputs!$A$45</f>
        <v/>
      </c>
      <c r="C41" s="9" t="n"/>
      <c r="D41" s="10" t="n">
        <v>108.1</v>
      </c>
    </row>
    <row r="42">
      <c r="A42" s="8" t="n">
        <v>46143</v>
      </c>
      <c r="B42">
        <f>Inputs!$A$36</f>
        <v/>
      </c>
      <c r="C42" s="9" t="n">
        <v>152230000</v>
      </c>
      <c r="D42" s="10" t="n">
        <v>78.40000000000001</v>
      </c>
    </row>
    <row r="43">
      <c r="A43" s="8" t="n">
        <v>46143</v>
      </c>
      <c r="B43">
        <f>Inputs!$A$37</f>
        <v/>
      </c>
      <c r="C43" s="9" t="n">
        <v>147525000</v>
      </c>
      <c r="D43" s="10" t="n">
        <v>83.59999999999999</v>
      </c>
    </row>
    <row r="44">
      <c r="A44" s="8" t="n">
        <v>46143</v>
      </c>
      <c r="B44">
        <f>Inputs!$A$38</f>
        <v/>
      </c>
      <c r="C44" s="9" t="n">
        <v>116456000</v>
      </c>
      <c r="D44" s="10" t="n">
        <v>75.40000000000001</v>
      </c>
    </row>
    <row r="45">
      <c r="A45" s="8" t="n">
        <v>46143</v>
      </c>
      <c r="B45">
        <f>Inputs!$A$39</f>
        <v/>
      </c>
      <c r="C45" s="9" t="n">
        <v>127918000</v>
      </c>
      <c r="D45" s="10" t="n">
        <v>74.8</v>
      </c>
    </row>
    <row r="46">
      <c r="A46" s="8" t="n">
        <v>46143</v>
      </c>
      <c r="B46">
        <f>Inputs!$A$40</f>
        <v/>
      </c>
      <c r="C46" s="9" t="n">
        <v>138378000</v>
      </c>
      <c r="D46" s="10" t="n">
        <v>81.59999999999999</v>
      </c>
    </row>
    <row r="47">
      <c r="A47" s="8" t="n">
        <v>46143</v>
      </c>
      <c r="B47">
        <f>Inputs!$A$41</f>
        <v/>
      </c>
      <c r="C47" s="9" t="n">
        <v>123873000</v>
      </c>
      <c r="D47" s="10" t="n">
        <v>77.09999999999999</v>
      </c>
    </row>
    <row r="48">
      <c r="A48" s="8" t="n">
        <v>46143</v>
      </c>
      <c r="B48">
        <f>Inputs!$A$42</f>
        <v/>
      </c>
      <c r="C48" s="9" t="n">
        <v>82081000</v>
      </c>
      <c r="D48" s="10" t="n">
        <v>74.3</v>
      </c>
    </row>
    <row r="49">
      <c r="A49" s="8" t="n">
        <v>46143</v>
      </c>
      <c r="B49">
        <f>Inputs!$A$43</f>
        <v/>
      </c>
      <c r="C49" s="9" t="n">
        <v>106186000</v>
      </c>
      <c r="D49" s="10" t="n">
        <v>74.90000000000001</v>
      </c>
    </row>
    <row r="50">
      <c r="A50" s="8" t="n">
        <v>46143</v>
      </c>
      <c r="B50">
        <f>Inputs!$A$44</f>
        <v/>
      </c>
      <c r="C50" s="9" t="n"/>
      <c r="D50" s="10" t="n">
        <v>114.5</v>
      </c>
    </row>
    <row r="51">
      <c r="A51" s="8" t="n">
        <v>46143</v>
      </c>
      <c r="B51">
        <f>Inputs!$A$45</f>
        <v/>
      </c>
      <c r="C51" s="9" t="n"/>
      <c r="D51" s="10" t="n">
        <v>107.1</v>
      </c>
    </row>
    <row r="52">
      <c r="A52" s="8" t="n">
        <v>46174</v>
      </c>
      <c r="B52">
        <f>Inputs!$A$36</f>
        <v/>
      </c>
      <c r="C52" s="9" t="n">
        <v>152135000</v>
      </c>
      <c r="D52" s="10" t="n">
        <v>80.7</v>
      </c>
    </row>
    <row r="53">
      <c r="A53" s="8" t="n">
        <v>46174</v>
      </c>
      <c r="B53">
        <f>Inputs!$A$37</f>
        <v/>
      </c>
      <c r="C53" s="9" t="n">
        <v>141649000</v>
      </c>
      <c r="D53" s="10" t="n">
        <v>85.3</v>
      </c>
    </row>
    <row r="54">
      <c r="A54" s="8" t="n">
        <v>46174</v>
      </c>
      <c r="B54">
        <f>Inputs!$A$38</f>
        <v/>
      </c>
      <c r="C54" s="9" t="n">
        <v>113294000</v>
      </c>
      <c r="D54" s="10" t="n">
        <v>78.40000000000001</v>
      </c>
    </row>
    <row r="55">
      <c r="A55" s="8" t="n">
        <v>46174</v>
      </c>
      <c r="B55">
        <f>Inputs!$A$39</f>
        <v/>
      </c>
      <c r="C55" s="9" t="n">
        <v>126063000</v>
      </c>
      <c r="D55" s="10" t="n">
        <v>78.40000000000001</v>
      </c>
    </row>
    <row r="56">
      <c r="A56" s="8" t="n">
        <v>46174</v>
      </c>
      <c r="B56">
        <f>Inputs!$A$40</f>
        <v/>
      </c>
      <c r="C56" s="9" t="n">
        <v>133661000</v>
      </c>
      <c r="D56" s="10" t="n">
        <v>82.59999999999999</v>
      </c>
    </row>
    <row r="57">
      <c r="A57" s="8" t="n">
        <v>46174</v>
      </c>
      <c r="B57">
        <f>Inputs!$A$41</f>
        <v/>
      </c>
      <c r="C57" s="9" t="n">
        <v>118337000</v>
      </c>
      <c r="D57" s="10" t="n">
        <v>76.3</v>
      </c>
    </row>
    <row r="58">
      <c r="A58" s="8" t="n">
        <v>46174</v>
      </c>
      <c r="B58">
        <f>Inputs!$A$42</f>
        <v/>
      </c>
      <c r="C58" s="9" t="n">
        <v>81648000</v>
      </c>
      <c r="D58" s="10" t="n">
        <v>75.3</v>
      </c>
    </row>
    <row r="59">
      <c r="A59" s="8" t="n">
        <v>46174</v>
      </c>
      <c r="B59">
        <f>Inputs!$A$43</f>
        <v/>
      </c>
      <c r="C59" s="9" t="n">
        <v>107863000</v>
      </c>
      <c r="D59" s="10" t="n">
        <v>78.5</v>
      </c>
    </row>
    <row r="60">
      <c r="A60" s="8" t="n">
        <v>46174</v>
      </c>
      <c r="B60">
        <f>Inputs!$A$44</f>
        <v/>
      </c>
      <c r="C60" s="9" t="n"/>
      <c r="D60" s="10" t="n">
        <v>117.1</v>
      </c>
    </row>
    <row r="61">
      <c r="A61" s="8" t="n">
        <v>46174</v>
      </c>
      <c r="B61">
        <f>Inputs!$A$45</f>
        <v/>
      </c>
      <c r="C61" s="9" t="n"/>
      <c r="D61" s="10" t="n">
        <v>109.1</v>
      </c>
    </row>
    <row r="62">
      <c r="A62" s="8" t="n">
        <v>46204</v>
      </c>
      <c r="B62">
        <f>Inputs!$A$36</f>
        <v/>
      </c>
      <c r="C62" s="9" t="n">
        <v>157303000</v>
      </c>
      <c r="D62" s="10" t="n">
        <v>81.09999999999999</v>
      </c>
    </row>
    <row r="63">
      <c r="A63" s="8" t="n">
        <v>46204</v>
      </c>
      <c r="B63">
        <f>Inputs!$A$37</f>
        <v/>
      </c>
      <c r="C63" s="9" t="n">
        <v>145102000</v>
      </c>
      <c r="D63" s="10" t="n">
        <v>83</v>
      </c>
    </row>
    <row r="64">
      <c r="A64" s="8" t="n">
        <v>46204</v>
      </c>
      <c r="B64">
        <f>Inputs!$A$38</f>
        <v/>
      </c>
      <c r="C64" s="9" t="n">
        <v>118164000</v>
      </c>
      <c r="D64" s="10" t="n">
        <v>76.3</v>
      </c>
    </row>
    <row r="65">
      <c r="A65" s="8" t="n">
        <v>46204</v>
      </c>
      <c r="B65">
        <f>Inputs!$A$39</f>
        <v/>
      </c>
      <c r="C65" s="9" t="n">
        <v>127349000</v>
      </c>
      <c r="D65" s="10" t="n">
        <v>79.40000000000001</v>
      </c>
    </row>
    <row r="66">
      <c r="A66" s="8" t="n">
        <v>46204</v>
      </c>
      <c r="B66">
        <f>Inputs!$A$40</f>
        <v/>
      </c>
      <c r="C66" s="9" t="n">
        <v>140176000</v>
      </c>
      <c r="D66" s="10" t="n">
        <v>80.40000000000001</v>
      </c>
    </row>
    <row r="67">
      <c r="A67" s="8" t="n">
        <v>46204</v>
      </c>
      <c r="B67">
        <f>Inputs!$A$41</f>
        <v/>
      </c>
      <c r="C67" s="9" t="n">
        <v>124914000</v>
      </c>
      <c r="D67" s="10" t="n">
        <v>79.40000000000001</v>
      </c>
    </row>
    <row r="68">
      <c r="A68" s="8" t="n">
        <v>46204</v>
      </c>
      <c r="B68">
        <f>Inputs!$A$42</f>
        <v/>
      </c>
      <c r="C68" s="9" t="n">
        <v>81940000</v>
      </c>
      <c r="D68" s="10" t="n">
        <v>74</v>
      </c>
    </row>
    <row r="69">
      <c r="A69" s="8" t="n">
        <v>46204</v>
      </c>
      <c r="B69">
        <f>Inputs!$A$43</f>
        <v/>
      </c>
      <c r="C69" s="9" t="n">
        <v>109023000</v>
      </c>
      <c r="D69" s="10" t="n">
        <v>75.2</v>
      </c>
    </row>
    <row r="70">
      <c r="A70" s="8" t="n">
        <v>46204</v>
      </c>
      <c r="B70">
        <f>Inputs!$A$44</f>
        <v/>
      </c>
      <c r="C70" s="9" t="n"/>
      <c r="D70" s="10" t="n">
        <v>116.9</v>
      </c>
    </row>
    <row r="71">
      <c r="A71" s="8" t="n">
        <v>46204</v>
      </c>
      <c r="B71">
        <f>Inputs!$A$45</f>
        <v/>
      </c>
      <c r="C71" s="9" t="n"/>
      <c r="D71" s="10" t="n">
        <v>110.9</v>
      </c>
    </row>
    <row r="72">
      <c r="A72" s="8" t="n">
        <v>46235</v>
      </c>
      <c r="B72">
        <f>Inputs!$A$36</f>
        <v/>
      </c>
      <c r="C72" s="9" t="n">
        <v>154523000</v>
      </c>
      <c r="D72" s="10" t="n">
        <v>80.8</v>
      </c>
    </row>
    <row r="73">
      <c r="A73" s="8" t="n">
        <v>46235</v>
      </c>
      <c r="B73">
        <f>Inputs!$A$37</f>
        <v/>
      </c>
      <c r="C73" s="9" t="n">
        <v>140341000</v>
      </c>
      <c r="D73" s="10" t="n">
        <v>85.2</v>
      </c>
    </row>
    <row r="74">
      <c r="A74" s="8" t="n">
        <v>46235</v>
      </c>
      <c r="B74">
        <f>Inputs!$A$38</f>
        <v/>
      </c>
      <c r="C74" s="9" t="n">
        <v>120980000</v>
      </c>
      <c r="D74" s="10" t="n">
        <v>76.40000000000001</v>
      </c>
    </row>
    <row r="75">
      <c r="A75" s="8" t="n">
        <v>46235</v>
      </c>
      <c r="B75">
        <f>Inputs!$A$39</f>
        <v/>
      </c>
      <c r="C75" s="9" t="n">
        <v>127427000</v>
      </c>
      <c r="D75" s="10" t="n">
        <v>78.40000000000001</v>
      </c>
    </row>
    <row r="76">
      <c r="A76" s="8" t="n">
        <v>46235</v>
      </c>
      <c r="B76">
        <f>Inputs!$A$40</f>
        <v/>
      </c>
      <c r="C76" s="9" t="n">
        <v>138116000</v>
      </c>
      <c r="D76" s="10" t="n">
        <v>82</v>
      </c>
    </row>
    <row r="77">
      <c r="A77" s="8" t="n">
        <v>46235</v>
      </c>
      <c r="B77">
        <f>Inputs!$A$41</f>
        <v/>
      </c>
      <c r="C77" s="9" t="n">
        <v>124473000</v>
      </c>
      <c r="D77" s="10" t="n">
        <v>77.3</v>
      </c>
    </row>
    <row r="78">
      <c r="A78" s="8" t="n">
        <v>46235</v>
      </c>
      <c r="B78">
        <f>Inputs!$A$42</f>
        <v/>
      </c>
      <c r="C78" s="9" t="n">
        <v>80868000</v>
      </c>
      <c r="D78" s="10" t="n">
        <v>73.90000000000001</v>
      </c>
    </row>
    <row r="79">
      <c r="A79" s="8" t="n">
        <v>46235</v>
      </c>
      <c r="B79">
        <f>Inputs!$A$43</f>
        <v/>
      </c>
      <c r="C79" s="9" t="n">
        <v>106389000</v>
      </c>
      <c r="D79" s="10" t="n">
        <v>76.2</v>
      </c>
    </row>
    <row r="80">
      <c r="A80" s="8" t="n">
        <v>46235</v>
      </c>
      <c r="B80">
        <f>Inputs!$A$44</f>
        <v/>
      </c>
      <c r="C80" s="9" t="n"/>
      <c r="D80" s="10" t="n">
        <v>112.5</v>
      </c>
    </row>
    <row r="81">
      <c r="A81" s="8" t="n">
        <v>46235</v>
      </c>
      <c r="B81">
        <f>Inputs!$A$45</f>
        <v/>
      </c>
      <c r="C81" s="9" t="n"/>
      <c r="D81" s="10" t="n">
        <v>112.6</v>
      </c>
    </row>
    <row r="82">
      <c r="A82" s="8" t="n">
        <v>46266</v>
      </c>
      <c r="B82">
        <f>Inputs!$A$36</f>
        <v/>
      </c>
      <c r="C82" s="9" t="n">
        <v>156142000</v>
      </c>
      <c r="D82" s="10" t="n">
        <v>80.3</v>
      </c>
    </row>
    <row r="83">
      <c r="A83" s="8" t="n">
        <v>46266</v>
      </c>
      <c r="B83">
        <f>Inputs!$A$37</f>
        <v/>
      </c>
      <c r="C83" s="9" t="n">
        <v>142762000</v>
      </c>
      <c r="D83" s="10" t="n">
        <v>83.8</v>
      </c>
    </row>
    <row r="84">
      <c r="A84" s="8" t="n">
        <v>46266</v>
      </c>
      <c r="B84">
        <f>Inputs!$A$38</f>
        <v/>
      </c>
      <c r="C84" s="9" t="n">
        <v>116520000</v>
      </c>
      <c r="D84" s="10" t="n">
        <v>77</v>
      </c>
    </row>
    <row r="85">
      <c r="A85" s="8" t="n">
        <v>46266</v>
      </c>
      <c r="B85">
        <f>Inputs!$A$39</f>
        <v/>
      </c>
      <c r="C85" s="9" t="n">
        <v>127790000</v>
      </c>
      <c r="D85" s="10" t="n">
        <v>77.7</v>
      </c>
    </row>
    <row r="86">
      <c r="A86" s="8" t="n">
        <v>46266</v>
      </c>
      <c r="B86">
        <f>Inputs!$A$40</f>
        <v/>
      </c>
      <c r="C86" s="9" t="n">
        <v>137926000</v>
      </c>
      <c r="D86" s="10" t="n">
        <v>83.40000000000001</v>
      </c>
    </row>
    <row r="87">
      <c r="A87" s="8" t="n">
        <v>46266</v>
      </c>
      <c r="B87">
        <f>Inputs!$A$41</f>
        <v/>
      </c>
      <c r="C87" s="9" t="n">
        <v>123052000</v>
      </c>
      <c r="D87" s="10" t="n">
        <v>78.7</v>
      </c>
    </row>
    <row r="88">
      <c r="A88" s="8" t="n">
        <v>46266</v>
      </c>
      <c r="B88">
        <f>Inputs!$A$42</f>
        <v/>
      </c>
      <c r="C88" s="9" t="n">
        <v>81937000</v>
      </c>
      <c r="D88" s="10" t="n">
        <v>74.40000000000001</v>
      </c>
    </row>
    <row r="89">
      <c r="A89" s="8" t="n">
        <v>46266</v>
      </c>
      <c r="B89">
        <f>Inputs!$A$43</f>
        <v/>
      </c>
      <c r="C89" s="9" t="n">
        <v>109683000</v>
      </c>
      <c r="D89" s="10" t="n">
        <v>77.7</v>
      </c>
    </row>
    <row r="90">
      <c r="A90" s="8" t="n">
        <v>46266</v>
      </c>
      <c r="B90">
        <f>Inputs!$A$44</f>
        <v/>
      </c>
      <c r="C90" s="9" t="n"/>
      <c r="D90" s="10" t="n">
        <v>116</v>
      </c>
    </row>
    <row r="91">
      <c r="A91" s="8" t="n">
        <v>46266</v>
      </c>
      <c r="B91">
        <f>Inputs!$A$45</f>
        <v/>
      </c>
      <c r="C91" s="9" t="n"/>
      <c r="D91" s="10" t="n">
        <v>108.8</v>
      </c>
    </row>
    <row r="92">
      <c r="A92" s="8" t="n">
        <v>46296</v>
      </c>
      <c r="B92">
        <f>Inputs!$A$36</f>
        <v/>
      </c>
      <c r="C92" s="9" t="n">
        <v>162709000</v>
      </c>
      <c r="D92" s="10" t="n">
        <v>82.59999999999999</v>
      </c>
    </row>
    <row r="93">
      <c r="A93" s="8" t="n">
        <v>46296</v>
      </c>
      <c r="B93">
        <f>Inputs!$A$37</f>
        <v/>
      </c>
      <c r="C93" s="9" t="n">
        <v>152617000</v>
      </c>
      <c r="D93" s="10" t="n">
        <v>83.7</v>
      </c>
    </row>
    <row r="94">
      <c r="A94" s="8" t="n">
        <v>46296</v>
      </c>
      <c r="B94">
        <f>Inputs!$A$38</f>
        <v/>
      </c>
      <c r="C94" s="9" t="n">
        <v>121209000</v>
      </c>
      <c r="D94" s="10" t="n">
        <v>77.90000000000001</v>
      </c>
    </row>
    <row r="95">
      <c r="A95" s="8" t="n">
        <v>46296</v>
      </c>
      <c r="B95">
        <f>Inputs!$A$39</f>
        <v/>
      </c>
      <c r="C95" s="9" t="n">
        <v>132476000</v>
      </c>
      <c r="D95" s="10" t="n">
        <v>80</v>
      </c>
    </row>
    <row r="96">
      <c r="A96" s="8" t="n">
        <v>46296</v>
      </c>
      <c r="B96">
        <f>Inputs!$A$40</f>
        <v/>
      </c>
      <c r="C96" s="9" t="n">
        <v>144069000</v>
      </c>
      <c r="D96" s="10" t="n">
        <v>81.7</v>
      </c>
    </row>
    <row r="97">
      <c r="A97" s="8" t="n">
        <v>46296</v>
      </c>
      <c r="B97">
        <f>Inputs!$A$41</f>
        <v/>
      </c>
      <c r="C97" s="9" t="n">
        <v>125299000</v>
      </c>
      <c r="D97" s="10" t="n">
        <v>77.59999999999999</v>
      </c>
    </row>
    <row r="98">
      <c r="A98" s="8" t="n">
        <v>46296</v>
      </c>
      <c r="B98">
        <f>Inputs!$A$42</f>
        <v/>
      </c>
      <c r="C98" s="9" t="n">
        <v>84261000</v>
      </c>
      <c r="D98" s="10" t="n">
        <v>74</v>
      </c>
    </row>
    <row r="99">
      <c r="A99" s="8" t="n">
        <v>46296</v>
      </c>
      <c r="B99">
        <f>Inputs!$A$43</f>
        <v/>
      </c>
      <c r="C99" s="9" t="n">
        <v>112849000</v>
      </c>
      <c r="D99" s="10" t="n">
        <v>75.5</v>
      </c>
    </row>
    <row r="100">
      <c r="A100" s="8" t="n">
        <v>46296</v>
      </c>
      <c r="B100">
        <f>Inputs!$A$44</f>
        <v/>
      </c>
      <c r="C100" s="9" t="n"/>
      <c r="D100" s="10" t="n">
        <v>116.9</v>
      </c>
    </row>
    <row r="101">
      <c r="A101" s="8" t="n">
        <v>46296</v>
      </c>
      <c r="B101">
        <f>Inputs!$A$45</f>
        <v/>
      </c>
      <c r="C101" s="9" t="n"/>
      <c r="D101" s="10" t="n">
        <v>112.5</v>
      </c>
    </row>
    <row r="102">
      <c r="A102" s="8" t="n">
        <v>46327</v>
      </c>
      <c r="B102">
        <f>Inputs!$A$36</f>
        <v/>
      </c>
      <c r="C102" s="9" t="n">
        <v>165930000</v>
      </c>
      <c r="D102" s="10" t="n">
        <v>82.7</v>
      </c>
    </row>
    <row r="103">
      <c r="A103" s="8" t="n">
        <v>46327</v>
      </c>
      <c r="B103">
        <f>Inputs!$A$37</f>
        <v/>
      </c>
      <c r="C103" s="9" t="n">
        <v>156423000</v>
      </c>
      <c r="D103" s="10" t="n">
        <v>86.2</v>
      </c>
    </row>
    <row r="104">
      <c r="A104" s="8" t="n">
        <v>46327</v>
      </c>
      <c r="B104">
        <f>Inputs!$A$38</f>
        <v/>
      </c>
      <c r="C104" s="9" t="n">
        <v>126872000</v>
      </c>
      <c r="D104" s="10" t="n">
        <v>79.7</v>
      </c>
    </row>
    <row r="105">
      <c r="A105" s="8" t="n">
        <v>46327</v>
      </c>
      <c r="B105">
        <f>Inputs!$A$39</f>
        <v/>
      </c>
      <c r="C105" s="9" t="n">
        <v>138691000</v>
      </c>
      <c r="D105" s="10" t="n">
        <v>80</v>
      </c>
    </row>
    <row r="106">
      <c r="A106" s="8" t="n">
        <v>46327</v>
      </c>
      <c r="B106">
        <f>Inputs!$A$40</f>
        <v/>
      </c>
      <c r="C106" s="9" t="n">
        <v>145704000</v>
      </c>
      <c r="D106" s="10" t="n">
        <v>84.09999999999999</v>
      </c>
    </row>
    <row r="107">
      <c r="A107" s="8" t="n">
        <v>46327</v>
      </c>
      <c r="B107">
        <f>Inputs!$A$41</f>
        <v/>
      </c>
      <c r="C107" s="9" t="n">
        <v>132228000</v>
      </c>
      <c r="D107" s="10" t="n">
        <v>81.59999999999999</v>
      </c>
    </row>
    <row r="108">
      <c r="A108" s="8" t="n">
        <v>46327</v>
      </c>
      <c r="B108">
        <f>Inputs!$A$42</f>
        <v/>
      </c>
      <c r="C108" s="9" t="n">
        <v>88190000</v>
      </c>
      <c r="D108" s="10" t="n">
        <v>77.59999999999999</v>
      </c>
    </row>
    <row r="109">
      <c r="A109" s="8" t="n">
        <v>46327</v>
      </c>
      <c r="B109">
        <f>Inputs!$A$43</f>
        <v/>
      </c>
      <c r="C109" s="9" t="n">
        <v>114040000</v>
      </c>
      <c r="D109" s="10" t="n">
        <v>75.5</v>
      </c>
    </row>
    <row r="110">
      <c r="A110" s="8" t="n">
        <v>46327</v>
      </c>
      <c r="B110">
        <f>Inputs!$A$44</f>
        <v/>
      </c>
      <c r="C110" s="9" t="n"/>
      <c r="D110" s="10" t="n">
        <v>116.4</v>
      </c>
    </row>
    <row r="111">
      <c r="A111" s="8" t="n">
        <v>46327</v>
      </c>
      <c r="B111">
        <f>Inputs!$A$45</f>
        <v/>
      </c>
      <c r="C111" s="9" t="n"/>
      <c r="D111" s="10" t="n">
        <v>111.9</v>
      </c>
    </row>
    <row r="112">
      <c r="A112" s="8" t="n">
        <v>46357</v>
      </c>
      <c r="B112">
        <f>Inputs!$A$36</f>
        <v/>
      </c>
      <c r="C112" s="9" t="n">
        <v>197110000</v>
      </c>
      <c r="D112" s="10" t="n">
        <v>87.7</v>
      </c>
    </row>
    <row r="113">
      <c r="A113" s="8" t="n">
        <v>46357</v>
      </c>
      <c r="B113">
        <f>Inputs!$A$37</f>
        <v/>
      </c>
      <c r="C113" s="9" t="n">
        <v>186603000</v>
      </c>
      <c r="D113" s="10" t="n">
        <v>87.90000000000001</v>
      </c>
    </row>
    <row r="114">
      <c r="A114" s="8" t="n">
        <v>46357</v>
      </c>
      <c r="B114">
        <f>Inputs!$A$38</f>
        <v/>
      </c>
      <c r="C114" s="9" t="n">
        <v>157549000</v>
      </c>
      <c r="D114" s="10" t="n">
        <v>80.59999999999999</v>
      </c>
    </row>
    <row r="115">
      <c r="A115" s="8" t="n">
        <v>46357</v>
      </c>
      <c r="B115">
        <f>Inputs!$A$39</f>
        <v/>
      </c>
      <c r="C115" s="9" t="n">
        <v>164367000</v>
      </c>
      <c r="D115" s="10" t="n">
        <v>83.2</v>
      </c>
    </row>
    <row r="116">
      <c r="A116" s="8" t="n">
        <v>46357</v>
      </c>
      <c r="B116">
        <f>Inputs!$A$40</f>
        <v/>
      </c>
      <c r="C116" s="9" t="n">
        <v>175200000</v>
      </c>
      <c r="D116" s="10" t="n">
        <v>85.2</v>
      </c>
    </row>
    <row r="117">
      <c r="A117" s="8" t="n">
        <v>46357</v>
      </c>
      <c r="B117">
        <f>Inputs!$A$41</f>
        <v/>
      </c>
      <c r="C117" s="9" t="n">
        <v>161517000</v>
      </c>
      <c r="D117" s="10" t="n">
        <v>83.8</v>
      </c>
    </row>
    <row r="118">
      <c r="A118" s="8" t="n">
        <v>46357</v>
      </c>
      <c r="B118">
        <f>Inputs!$A$42</f>
        <v/>
      </c>
      <c r="C118" s="9" t="n">
        <v>108985000</v>
      </c>
      <c r="D118" s="10" t="n">
        <v>79.59999999999999</v>
      </c>
    </row>
    <row r="119">
      <c r="A119" s="8" t="n">
        <v>46357</v>
      </c>
      <c r="B119">
        <f>Inputs!$A$43</f>
        <v/>
      </c>
      <c r="C119" s="9" t="n">
        <v>139118000</v>
      </c>
      <c r="D119" s="10" t="n">
        <v>79.40000000000001</v>
      </c>
    </row>
    <row r="120">
      <c r="A120" s="8" t="n">
        <v>46357</v>
      </c>
      <c r="B120">
        <f>Inputs!$A$44</f>
        <v/>
      </c>
      <c r="C120" s="9" t="n"/>
      <c r="D120" s="10" t="n">
        <v>120.2</v>
      </c>
    </row>
    <row r="121">
      <c r="A121" s="8" t="n">
        <v>46357</v>
      </c>
      <c r="B121">
        <f>Inputs!$A$45</f>
        <v/>
      </c>
      <c r="C121" s="9" t="n"/>
      <c r="D121" s="10" t="n">
        <v>115.8</v>
      </c>
    </row>
    <row r="122">
      <c r="A122" s="8" t="n">
        <v>46388</v>
      </c>
      <c r="B122">
        <f>Inputs!$A$36</f>
        <v/>
      </c>
      <c r="C122" s="9" t="n">
        <v>156092000</v>
      </c>
      <c r="D122" s="10" t="n">
        <v>79</v>
      </c>
    </row>
    <row r="123">
      <c r="A123" s="8" t="n">
        <v>46388</v>
      </c>
      <c r="B123">
        <f>Inputs!$A$37</f>
        <v/>
      </c>
      <c r="C123" s="9" t="n">
        <v>145218000</v>
      </c>
      <c r="D123" s="10" t="n">
        <v>79.59999999999999</v>
      </c>
    </row>
    <row r="124">
      <c r="A124" s="8" t="n">
        <v>46388</v>
      </c>
      <c r="B124">
        <f>Inputs!$A$38</f>
        <v/>
      </c>
      <c r="C124" s="9" t="n">
        <v>121951000</v>
      </c>
      <c r="D124" s="10" t="n">
        <v>72.8</v>
      </c>
    </row>
    <row r="125">
      <c r="A125" s="8" t="n">
        <v>46388</v>
      </c>
      <c r="B125">
        <f>Inputs!$A$39</f>
        <v/>
      </c>
      <c r="C125" s="9" t="n">
        <v>128305000</v>
      </c>
      <c r="D125" s="10" t="n">
        <v>75.40000000000001</v>
      </c>
    </row>
    <row r="126">
      <c r="A126" s="8" t="n">
        <v>46388</v>
      </c>
      <c r="B126">
        <f>Inputs!$A$40</f>
        <v/>
      </c>
      <c r="C126" s="9" t="n">
        <v>138831000</v>
      </c>
      <c r="D126" s="10" t="n">
        <v>79</v>
      </c>
    </row>
    <row r="127">
      <c r="A127" s="8" t="n">
        <v>46388</v>
      </c>
      <c r="B127">
        <f>Inputs!$A$41</f>
        <v/>
      </c>
      <c r="C127" s="9" t="n">
        <v>126668000</v>
      </c>
      <c r="D127" s="10" t="n">
        <v>76.7</v>
      </c>
    </row>
    <row r="128">
      <c r="A128" s="8" t="n">
        <v>46388</v>
      </c>
      <c r="B128">
        <f>Inputs!$A$42</f>
        <v/>
      </c>
      <c r="C128" s="9" t="n">
        <v>81501000</v>
      </c>
      <c r="D128" s="10" t="n">
        <v>73.5</v>
      </c>
    </row>
    <row r="129">
      <c r="A129" s="8" t="n">
        <v>46388</v>
      </c>
      <c r="B129">
        <f>Inputs!$A$43</f>
        <v/>
      </c>
      <c r="C129" s="9" t="n">
        <v>106816000</v>
      </c>
      <c r="D129" s="10" t="n">
        <v>74.8</v>
      </c>
    </row>
    <row r="130">
      <c r="A130" s="8" t="n">
        <v>46388</v>
      </c>
      <c r="B130">
        <f>Inputs!$A$44</f>
        <v/>
      </c>
      <c r="C130" s="9" t="n"/>
      <c r="D130" s="10" t="n">
        <v>111.5</v>
      </c>
    </row>
    <row r="131">
      <c r="A131" s="8" t="n">
        <v>46388</v>
      </c>
      <c r="B131">
        <f>Inputs!$A$45</f>
        <v/>
      </c>
      <c r="C131" s="9" t="n"/>
      <c r="D131" s="10" t="n">
        <v>103.9</v>
      </c>
    </row>
    <row r="132">
      <c r="A132" s="8" t="n">
        <v>46419</v>
      </c>
      <c r="B132">
        <f>Inputs!$A$36</f>
        <v/>
      </c>
      <c r="C132" s="9" t="n">
        <v>145037000</v>
      </c>
      <c r="D132" s="10" t="n">
        <v>80.8</v>
      </c>
    </row>
    <row r="133">
      <c r="A133" s="8" t="n">
        <v>46419</v>
      </c>
      <c r="B133">
        <f>Inputs!$A$37</f>
        <v/>
      </c>
      <c r="C133" s="9" t="n">
        <v>137120000</v>
      </c>
      <c r="D133" s="10" t="n">
        <v>84.40000000000001</v>
      </c>
    </row>
    <row r="134">
      <c r="A134" s="8" t="n">
        <v>46419</v>
      </c>
      <c r="B134">
        <f>Inputs!$A$38</f>
        <v/>
      </c>
      <c r="C134" s="9" t="n">
        <v>108952000</v>
      </c>
      <c r="D134" s="10" t="n">
        <v>76.40000000000001</v>
      </c>
    </row>
    <row r="135">
      <c r="A135" s="8" t="n">
        <v>46419</v>
      </c>
      <c r="B135">
        <f>Inputs!$A$39</f>
        <v/>
      </c>
      <c r="C135" s="9" t="n">
        <v>117985000</v>
      </c>
      <c r="D135" s="10" t="n">
        <v>79.09999999999999</v>
      </c>
    </row>
    <row r="136">
      <c r="A136" s="8" t="n">
        <v>46419</v>
      </c>
      <c r="B136">
        <f>Inputs!$A$40</f>
        <v/>
      </c>
      <c r="C136" s="9" t="n">
        <v>130968000</v>
      </c>
      <c r="D136" s="10" t="n">
        <v>82.2</v>
      </c>
    </row>
    <row r="137">
      <c r="A137" s="8" t="n">
        <v>46419</v>
      </c>
      <c r="B137">
        <f>Inputs!$A$41</f>
        <v/>
      </c>
      <c r="C137" s="9" t="n">
        <v>115107000</v>
      </c>
      <c r="D137" s="10" t="n">
        <v>77.8</v>
      </c>
    </row>
    <row r="138">
      <c r="A138" s="8" t="n">
        <v>46419</v>
      </c>
      <c r="B138">
        <f>Inputs!$A$42</f>
        <v/>
      </c>
      <c r="C138" s="9" t="n">
        <v>77345000</v>
      </c>
      <c r="D138" s="10" t="n">
        <v>73.90000000000001</v>
      </c>
    </row>
    <row r="139">
      <c r="A139" s="8" t="n">
        <v>46419</v>
      </c>
      <c r="B139">
        <f>Inputs!$A$43</f>
        <v/>
      </c>
      <c r="C139" s="9" t="n">
        <v>100835000</v>
      </c>
      <c r="D139" s="10" t="n">
        <v>75.09999999999999</v>
      </c>
    </row>
    <row r="140">
      <c r="A140" s="8" t="n">
        <v>46419</v>
      </c>
      <c r="B140">
        <f>Inputs!$A$44</f>
        <v/>
      </c>
      <c r="C140" s="9" t="n"/>
      <c r="D140" s="10" t="n">
        <v>114</v>
      </c>
    </row>
    <row r="141">
      <c r="A141" s="8" t="n">
        <v>46419</v>
      </c>
      <c r="B141">
        <f>Inputs!$A$45</f>
        <v/>
      </c>
      <c r="C141" s="9" t="n"/>
      <c r="D141" s="10" t="n">
        <v>105.8</v>
      </c>
    </row>
    <row r="142">
      <c r="A142" s="8" t="n">
        <v>46447</v>
      </c>
      <c r="B142">
        <f>Inputs!$A$36</f>
        <v/>
      </c>
      <c r="C142" s="9" t="n">
        <v>161312000</v>
      </c>
      <c r="D142" s="10" t="n">
        <v>83.40000000000001</v>
      </c>
    </row>
    <row r="143">
      <c r="A143" s="8" t="n">
        <v>46447</v>
      </c>
      <c r="B143">
        <f>Inputs!$A$37</f>
        <v/>
      </c>
      <c r="C143" s="9" t="n">
        <v>147331000</v>
      </c>
      <c r="D143" s="10" t="n">
        <v>83.3</v>
      </c>
    </row>
    <row r="144">
      <c r="A144" s="8" t="n">
        <v>46447</v>
      </c>
      <c r="B144">
        <f>Inputs!$A$38</f>
        <v/>
      </c>
      <c r="C144" s="9" t="n">
        <v>123331000</v>
      </c>
      <c r="D144" s="10" t="n">
        <v>76</v>
      </c>
    </row>
    <row r="145">
      <c r="A145" s="8" t="n">
        <v>46447</v>
      </c>
      <c r="B145">
        <f>Inputs!$A$39</f>
        <v/>
      </c>
      <c r="C145" s="9" t="n">
        <v>135053000</v>
      </c>
      <c r="D145" s="10" t="n">
        <v>80.7</v>
      </c>
    </row>
    <row r="146">
      <c r="A146" s="8" t="n">
        <v>46447</v>
      </c>
      <c r="B146">
        <f>Inputs!$A$40</f>
        <v/>
      </c>
      <c r="C146" s="9" t="n">
        <v>146167000</v>
      </c>
      <c r="D146" s="10" t="n">
        <v>82.59999999999999</v>
      </c>
    </row>
    <row r="147">
      <c r="A147" s="8" t="n">
        <v>46447</v>
      </c>
      <c r="B147">
        <f>Inputs!$A$41</f>
        <v/>
      </c>
      <c r="C147" s="9" t="n">
        <v>129709000</v>
      </c>
      <c r="D147" s="10" t="n">
        <v>77.09999999999999</v>
      </c>
    </row>
    <row r="148">
      <c r="A148" s="8" t="n">
        <v>46447</v>
      </c>
      <c r="B148">
        <f>Inputs!$A$42</f>
        <v/>
      </c>
      <c r="C148" s="9" t="n">
        <v>88017000</v>
      </c>
      <c r="D148" s="10" t="n">
        <v>73.40000000000001</v>
      </c>
    </row>
    <row r="149">
      <c r="A149" s="8" t="n">
        <v>46447</v>
      </c>
      <c r="B149">
        <f>Inputs!$A$43</f>
        <v/>
      </c>
      <c r="C149" s="9" t="n">
        <v>109817000</v>
      </c>
      <c r="D149" s="10" t="n">
        <v>77</v>
      </c>
    </row>
    <row r="150">
      <c r="A150" s="8" t="n">
        <v>46447</v>
      </c>
      <c r="B150">
        <f>Inputs!$A$44</f>
        <v/>
      </c>
      <c r="C150" s="9" t="n"/>
      <c r="D150" s="10" t="n">
        <v>111.1</v>
      </c>
    </row>
    <row r="151">
      <c r="A151" s="8" t="n">
        <v>46447</v>
      </c>
      <c r="B151">
        <f>Inputs!$A$45</f>
        <v/>
      </c>
      <c r="C151" s="9" t="n"/>
      <c r="D151" s="10" t="n">
        <v>107.2</v>
      </c>
    </row>
    <row r="152">
      <c r="A152" s="8" t="n">
        <v>46478</v>
      </c>
      <c r="B152">
        <f>Inputs!$A$36</f>
        <v/>
      </c>
      <c r="C152" s="9" t="n">
        <v>161874000</v>
      </c>
      <c r="D152" s="10" t="n">
        <v>81.40000000000001</v>
      </c>
    </row>
    <row r="153">
      <c r="A153" s="8" t="n">
        <v>46478</v>
      </c>
      <c r="B153">
        <f>Inputs!$A$37</f>
        <v/>
      </c>
      <c r="C153" s="9" t="n">
        <v>150399000</v>
      </c>
      <c r="D153" s="10" t="n">
        <v>81.7</v>
      </c>
    </row>
    <row r="154">
      <c r="A154" s="8" t="n">
        <v>46478</v>
      </c>
      <c r="B154">
        <f>Inputs!$A$38</f>
        <v/>
      </c>
      <c r="C154" s="9" t="n">
        <v>122637000</v>
      </c>
      <c r="D154" s="10" t="n">
        <v>75.40000000000001</v>
      </c>
    </row>
    <row r="155">
      <c r="A155" s="8" t="n">
        <v>46478</v>
      </c>
      <c r="B155">
        <f>Inputs!$A$39</f>
        <v/>
      </c>
      <c r="C155" s="9" t="n">
        <v>130408000</v>
      </c>
      <c r="D155" s="10" t="n">
        <v>77.2</v>
      </c>
    </row>
    <row r="156">
      <c r="A156" s="8" t="n">
        <v>46478</v>
      </c>
      <c r="B156">
        <f>Inputs!$A$40</f>
        <v/>
      </c>
      <c r="C156" s="9" t="n">
        <v>146430000</v>
      </c>
      <c r="D156" s="10" t="n">
        <v>80.09999999999999</v>
      </c>
    </row>
    <row r="157">
      <c r="A157" s="8" t="n">
        <v>46478</v>
      </c>
      <c r="B157">
        <f>Inputs!$A$41</f>
        <v/>
      </c>
      <c r="C157" s="9" t="n">
        <v>127092000</v>
      </c>
      <c r="D157" s="10" t="n">
        <v>77.8</v>
      </c>
    </row>
    <row r="158">
      <c r="A158" s="8" t="n">
        <v>46478</v>
      </c>
      <c r="B158">
        <f>Inputs!$A$42</f>
        <v/>
      </c>
      <c r="C158" s="9" t="n">
        <v>87756000</v>
      </c>
      <c r="D158" s="10" t="n">
        <v>72.8</v>
      </c>
    </row>
    <row r="159">
      <c r="A159" s="8" t="n">
        <v>46478</v>
      </c>
      <c r="B159">
        <f>Inputs!$A$43</f>
        <v/>
      </c>
      <c r="C159" s="9" t="n">
        <v>116441000</v>
      </c>
      <c r="D159" s="10" t="n">
        <v>76.90000000000001</v>
      </c>
    </row>
    <row r="160">
      <c r="A160" s="8" t="n">
        <v>46478</v>
      </c>
      <c r="B160">
        <f>Inputs!$A$44</f>
        <v/>
      </c>
      <c r="C160" s="9" t="n"/>
      <c r="D160" s="10" t="n">
        <v>113.3</v>
      </c>
    </row>
    <row r="161">
      <c r="A161" s="8" t="n">
        <v>46478</v>
      </c>
      <c r="B161">
        <f>Inputs!$A$45</f>
        <v/>
      </c>
      <c r="C161" s="9" t="n"/>
      <c r="D161" s="10" t="n">
        <v>108.5</v>
      </c>
    </row>
    <row r="162">
      <c r="A162" s="8" t="n">
        <v>46508</v>
      </c>
      <c r="B162">
        <f>Inputs!$A$36</f>
        <v/>
      </c>
      <c r="C162" s="9" t="n">
        <v>156304000</v>
      </c>
      <c r="D162" s="10" t="n">
        <v>81.2</v>
      </c>
    </row>
    <row r="163">
      <c r="A163" s="8" t="n">
        <v>46508</v>
      </c>
      <c r="B163">
        <f>Inputs!$A$37</f>
        <v/>
      </c>
      <c r="C163" s="9" t="n">
        <v>148311000</v>
      </c>
      <c r="D163" s="10" t="n">
        <v>83</v>
      </c>
    </row>
    <row r="164">
      <c r="A164" s="8" t="n">
        <v>46508</v>
      </c>
      <c r="B164">
        <f>Inputs!$A$38</f>
        <v/>
      </c>
      <c r="C164" s="9" t="n">
        <v>122111000</v>
      </c>
      <c r="D164" s="10" t="n">
        <v>77.5</v>
      </c>
    </row>
    <row r="165">
      <c r="A165" s="8" t="n">
        <v>46508</v>
      </c>
      <c r="B165">
        <f>Inputs!$A$39</f>
        <v/>
      </c>
      <c r="C165" s="9" t="n">
        <v>134240000</v>
      </c>
      <c r="D165" s="10" t="n">
        <v>78.5</v>
      </c>
    </row>
    <row r="166">
      <c r="A166" s="8" t="n">
        <v>46508</v>
      </c>
      <c r="B166">
        <f>Inputs!$A$40</f>
        <v/>
      </c>
      <c r="C166" s="9" t="n">
        <v>142831000</v>
      </c>
      <c r="D166" s="10" t="n">
        <v>81.40000000000001</v>
      </c>
    </row>
    <row r="167">
      <c r="A167" s="8" t="n">
        <v>46508</v>
      </c>
      <c r="B167">
        <f>Inputs!$A$41</f>
        <v/>
      </c>
      <c r="C167" s="9" t="n">
        <v>125821000</v>
      </c>
      <c r="D167" s="10" t="n">
        <v>78.8</v>
      </c>
    </row>
    <row r="168">
      <c r="A168" s="8" t="n">
        <v>46508</v>
      </c>
      <c r="B168">
        <f>Inputs!$A$42</f>
        <v/>
      </c>
      <c r="C168" s="9" t="n">
        <v>82399000</v>
      </c>
      <c r="D168" s="10" t="n">
        <v>75.7</v>
      </c>
    </row>
    <row r="169">
      <c r="A169" s="8" t="n">
        <v>46508</v>
      </c>
      <c r="B169">
        <f>Inputs!$A$43</f>
        <v/>
      </c>
      <c r="C169" s="9" t="n">
        <v>109651000</v>
      </c>
      <c r="D169" s="10" t="n">
        <v>75.8</v>
      </c>
    </row>
    <row r="170">
      <c r="A170" s="8" t="n">
        <v>46508</v>
      </c>
      <c r="B170">
        <f>Inputs!$A$44</f>
        <v/>
      </c>
      <c r="C170" s="9" t="n"/>
      <c r="D170" s="10" t="n">
        <v>111.7</v>
      </c>
    </row>
    <row r="171">
      <c r="A171" s="8" t="n">
        <v>46508</v>
      </c>
      <c r="B171">
        <f>Inputs!$A$45</f>
        <v/>
      </c>
      <c r="C171" s="9" t="n"/>
      <c r="D171" s="10" t="n">
        <v>110.5</v>
      </c>
    </row>
    <row r="172">
      <c r="A172" s="8" t="n">
        <v>46539</v>
      </c>
      <c r="B172">
        <f>Inputs!$A$36</f>
        <v/>
      </c>
      <c r="C172" s="9" t="n">
        <v>157235000</v>
      </c>
      <c r="D172" s="10" t="n">
        <v>81</v>
      </c>
    </row>
    <row r="173">
      <c r="A173" s="8" t="n">
        <v>46539</v>
      </c>
      <c r="B173">
        <f>Inputs!$A$37</f>
        <v/>
      </c>
      <c r="C173" s="9" t="n">
        <v>147107000</v>
      </c>
      <c r="D173" s="10" t="n">
        <v>84.5</v>
      </c>
    </row>
    <row r="174">
      <c r="A174" s="8" t="n">
        <v>46539</v>
      </c>
      <c r="B174">
        <f>Inputs!$A$38</f>
        <v/>
      </c>
      <c r="C174" s="9" t="n">
        <v>119289000</v>
      </c>
      <c r="D174" s="10" t="n">
        <v>78.09999999999999</v>
      </c>
    </row>
    <row r="175">
      <c r="A175" s="8" t="n">
        <v>46539</v>
      </c>
      <c r="B175">
        <f>Inputs!$A$39</f>
        <v/>
      </c>
      <c r="C175" s="9" t="n">
        <v>131397000</v>
      </c>
      <c r="D175" s="10" t="n">
        <v>80.5</v>
      </c>
    </row>
    <row r="176">
      <c r="A176" s="8" t="n">
        <v>46539</v>
      </c>
      <c r="B176">
        <f>Inputs!$A$40</f>
        <v/>
      </c>
      <c r="C176" s="9" t="n">
        <v>136583000</v>
      </c>
      <c r="D176" s="10" t="n">
        <v>79.3</v>
      </c>
    </row>
    <row r="177">
      <c r="A177" s="8" t="n">
        <v>46539</v>
      </c>
      <c r="B177">
        <f>Inputs!$A$41</f>
        <v/>
      </c>
      <c r="C177" s="9" t="n">
        <v>123639000</v>
      </c>
      <c r="D177" s="10" t="n">
        <v>77.3</v>
      </c>
    </row>
    <row r="178">
      <c r="A178" s="8" t="n">
        <v>46539</v>
      </c>
      <c r="B178">
        <f>Inputs!$A$42</f>
        <v/>
      </c>
      <c r="C178" s="9" t="n">
        <v>84074000</v>
      </c>
      <c r="D178" s="10" t="n">
        <v>76.8</v>
      </c>
    </row>
    <row r="179">
      <c r="A179" s="8" t="n">
        <v>46539</v>
      </c>
      <c r="B179">
        <f>Inputs!$A$43</f>
        <v/>
      </c>
      <c r="C179" s="9" t="n">
        <v>109010000</v>
      </c>
      <c r="D179" s="10" t="n">
        <v>75.8</v>
      </c>
    </row>
    <row r="180">
      <c r="A180" s="8" t="n">
        <v>46539</v>
      </c>
      <c r="B180">
        <f>Inputs!$A$44</f>
        <v/>
      </c>
      <c r="C180" s="9" t="n"/>
      <c r="D180" s="10" t="n">
        <v>113.8</v>
      </c>
    </row>
    <row r="181">
      <c r="A181" s="8" t="n">
        <v>46539</v>
      </c>
      <c r="B181">
        <f>Inputs!$A$45</f>
        <v/>
      </c>
      <c r="C181" s="9" t="n"/>
      <c r="D181" s="10" t="n">
        <v>109.1</v>
      </c>
    </row>
    <row r="182">
      <c r="A182" s="8" t="n">
        <v>46569</v>
      </c>
      <c r="B182">
        <f>Inputs!$A$36</f>
        <v/>
      </c>
      <c r="C182" s="9" t="n">
        <v>163682000</v>
      </c>
      <c r="D182" s="10" t="n">
        <v>80.2</v>
      </c>
    </row>
    <row r="183">
      <c r="A183" s="8" t="n">
        <v>46569</v>
      </c>
      <c r="B183">
        <f>Inputs!$A$37</f>
        <v/>
      </c>
      <c r="C183" s="9" t="n">
        <v>152062000</v>
      </c>
      <c r="D183" s="10" t="n">
        <v>83.2</v>
      </c>
    </row>
    <row r="184">
      <c r="A184" s="8" t="n">
        <v>46569</v>
      </c>
      <c r="B184">
        <f>Inputs!$A$38</f>
        <v/>
      </c>
      <c r="C184" s="9" t="n">
        <v>125044000</v>
      </c>
      <c r="D184" s="10" t="n">
        <v>77.3</v>
      </c>
    </row>
    <row r="185">
      <c r="A185" s="8" t="n">
        <v>46569</v>
      </c>
      <c r="B185">
        <f>Inputs!$A$39</f>
        <v/>
      </c>
      <c r="C185" s="9" t="n">
        <v>130251000</v>
      </c>
      <c r="D185" s="10" t="n">
        <v>79.7</v>
      </c>
    </row>
    <row r="186">
      <c r="A186" s="8" t="n">
        <v>46569</v>
      </c>
      <c r="B186">
        <f>Inputs!$A$40</f>
        <v/>
      </c>
      <c r="C186" s="9" t="n">
        <v>142862000</v>
      </c>
      <c r="D186" s="10" t="n">
        <v>82.09999999999999</v>
      </c>
    </row>
    <row r="187">
      <c r="A187" s="8" t="n">
        <v>46569</v>
      </c>
      <c r="B187">
        <f>Inputs!$A$41</f>
        <v/>
      </c>
      <c r="C187" s="9" t="n">
        <v>126427000</v>
      </c>
      <c r="D187" s="10" t="n">
        <v>80.5</v>
      </c>
    </row>
    <row r="188">
      <c r="A188" s="8" t="n">
        <v>46569</v>
      </c>
      <c r="B188">
        <f>Inputs!$A$42</f>
        <v/>
      </c>
      <c r="C188" s="9" t="n">
        <v>87399000</v>
      </c>
      <c r="D188" s="10" t="n">
        <v>75.3</v>
      </c>
    </row>
    <row r="189">
      <c r="A189" s="8" t="n">
        <v>46569</v>
      </c>
      <c r="B189">
        <f>Inputs!$A$43</f>
        <v/>
      </c>
      <c r="C189" s="9" t="n">
        <v>110572000</v>
      </c>
      <c r="D189" s="10" t="n">
        <v>79</v>
      </c>
    </row>
    <row r="190">
      <c r="A190" s="8" t="n">
        <v>46569</v>
      </c>
      <c r="B190">
        <f>Inputs!$A$44</f>
        <v/>
      </c>
      <c r="C190" s="9" t="n"/>
      <c r="D190" s="10" t="n">
        <v>112.9</v>
      </c>
    </row>
    <row r="191">
      <c r="A191" s="8" t="n">
        <v>46569</v>
      </c>
      <c r="B191">
        <f>Inputs!$A$45</f>
        <v/>
      </c>
      <c r="C191" s="9" t="n"/>
      <c r="D191" s="10" t="n">
        <v>111</v>
      </c>
    </row>
    <row r="192">
      <c r="A192" s="8" t="n">
        <v>46600</v>
      </c>
      <c r="B192">
        <f>Inputs!$A$36</f>
        <v/>
      </c>
      <c r="C192" s="9" t="n">
        <v>160195000</v>
      </c>
      <c r="D192" s="10" t="n">
        <v>83</v>
      </c>
    </row>
    <row r="193">
      <c r="A193" s="8" t="n">
        <v>46600</v>
      </c>
      <c r="B193">
        <f>Inputs!$A$37</f>
        <v/>
      </c>
      <c r="C193" s="9" t="n">
        <v>148426000</v>
      </c>
      <c r="D193" s="10" t="n">
        <v>84.40000000000001</v>
      </c>
    </row>
    <row r="194">
      <c r="A194" s="8" t="n">
        <v>46600</v>
      </c>
      <c r="B194">
        <f>Inputs!$A$38</f>
        <v/>
      </c>
      <c r="C194" s="9" t="n">
        <v>123151000</v>
      </c>
      <c r="D194" s="10" t="n">
        <v>77.59999999999999</v>
      </c>
    </row>
    <row r="195">
      <c r="A195" s="8" t="n">
        <v>46600</v>
      </c>
      <c r="B195">
        <f>Inputs!$A$39</f>
        <v/>
      </c>
      <c r="C195" s="9" t="n">
        <v>130514000</v>
      </c>
      <c r="D195" s="10" t="n">
        <v>82.2</v>
      </c>
    </row>
    <row r="196">
      <c r="A196" s="8" t="n">
        <v>46600</v>
      </c>
      <c r="B196">
        <f>Inputs!$A$40</f>
        <v/>
      </c>
      <c r="C196" s="9" t="n">
        <v>145729000</v>
      </c>
      <c r="D196" s="10" t="n">
        <v>84.2</v>
      </c>
    </row>
    <row r="197">
      <c r="A197" s="8" t="n">
        <v>46600</v>
      </c>
      <c r="B197">
        <f>Inputs!$A$41</f>
        <v/>
      </c>
      <c r="C197" s="9" t="n">
        <v>126230000</v>
      </c>
      <c r="D197" s="10" t="n">
        <v>80.2</v>
      </c>
    </row>
    <row r="198">
      <c r="A198" s="8" t="n">
        <v>46600</v>
      </c>
      <c r="B198">
        <f>Inputs!$A$42</f>
        <v/>
      </c>
      <c r="C198" s="9" t="n">
        <v>84605000</v>
      </c>
      <c r="D198" s="10" t="n">
        <v>76.7</v>
      </c>
    </row>
    <row r="199">
      <c r="A199" s="8" t="n">
        <v>46600</v>
      </c>
      <c r="B199">
        <f>Inputs!$A$43</f>
        <v/>
      </c>
      <c r="C199" s="9" t="n">
        <v>109785000</v>
      </c>
      <c r="D199" s="10" t="n">
        <v>76.5</v>
      </c>
    </row>
    <row r="200">
      <c r="A200" s="8" t="n">
        <v>46600</v>
      </c>
      <c r="B200">
        <f>Inputs!$A$44</f>
        <v/>
      </c>
      <c r="C200" s="9" t="n"/>
      <c r="D200" s="10" t="n">
        <v>112.9</v>
      </c>
    </row>
    <row r="201">
      <c r="A201" s="8" t="n">
        <v>46600</v>
      </c>
      <c r="B201">
        <f>Inputs!$A$45</f>
        <v/>
      </c>
      <c r="C201" s="9" t="n"/>
      <c r="D201" s="10" t="n">
        <v>111.5</v>
      </c>
    </row>
    <row r="202">
      <c r="A202" s="8" t="n">
        <v>46631</v>
      </c>
      <c r="B202">
        <f>Inputs!$A$36</f>
        <v/>
      </c>
      <c r="C202" s="9" t="n">
        <v>160851000</v>
      </c>
      <c r="D202" s="10" t="n">
        <v>82.09999999999999</v>
      </c>
    </row>
    <row r="203">
      <c r="A203" s="8" t="n">
        <v>46631</v>
      </c>
      <c r="B203">
        <f>Inputs!$A$37</f>
        <v/>
      </c>
      <c r="C203" s="9" t="n">
        <v>145881000</v>
      </c>
      <c r="D203" s="10" t="n">
        <v>81.09999999999999</v>
      </c>
    </row>
    <row r="204">
      <c r="A204" s="8" t="n">
        <v>46631</v>
      </c>
      <c r="B204">
        <f>Inputs!$A$38</f>
        <v/>
      </c>
      <c r="C204" s="9" t="n">
        <v>123281000</v>
      </c>
      <c r="D204" s="10" t="n">
        <v>77.3</v>
      </c>
    </row>
    <row r="205">
      <c r="A205" s="8" t="n">
        <v>46631</v>
      </c>
      <c r="B205">
        <f>Inputs!$A$39</f>
        <v/>
      </c>
      <c r="C205" s="9" t="n">
        <v>131491000</v>
      </c>
      <c r="D205" s="10" t="n">
        <v>81.8</v>
      </c>
    </row>
    <row r="206">
      <c r="A206" s="8" t="n">
        <v>46631</v>
      </c>
      <c r="B206">
        <f>Inputs!$A$40</f>
        <v/>
      </c>
      <c r="C206" s="9" t="n">
        <v>145301000</v>
      </c>
      <c r="D206" s="10" t="n">
        <v>83.5</v>
      </c>
    </row>
    <row r="207">
      <c r="A207" s="8" t="n">
        <v>46631</v>
      </c>
      <c r="B207">
        <f>Inputs!$A$41</f>
        <v/>
      </c>
      <c r="C207" s="9" t="n">
        <v>129196000</v>
      </c>
      <c r="D207" s="10" t="n">
        <v>79.09999999999999</v>
      </c>
    </row>
    <row r="208">
      <c r="A208" s="8" t="n">
        <v>46631</v>
      </c>
      <c r="B208">
        <f>Inputs!$A$42</f>
        <v/>
      </c>
      <c r="C208" s="9" t="n">
        <v>84861000</v>
      </c>
      <c r="D208" s="10" t="n">
        <v>74.40000000000001</v>
      </c>
    </row>
    <row r="209">
      <c r="A209" s="8" t="n">
        <v>46631</v>
      </c>
      <c r="B209">
        <f>Inputs!$A$43</f>
        <v/>
      </c>
      <c r="C209" s="9" t="n">
        <v>109411000</v>
      </c>
      <c r="D209" s="10" t="n">
        <v>75.2</v>
      </c>
    </row>
    <row r="210">
      <c r="A210" s="8" t="n">
        <v>46631</v>
      </c>
      <c r="B210">
        <f>Inputs!$A$44</f>
        <v/>
      </c>
      <c r="C210" s="9" t="n"/>
      <c r="D210" s="10" t="n">
        <v>119</v>
      </c>
    </row>
    <row r="211">
      <c r="A211" s="8" t="n">
        <v>46631</v>
      </c>
      <c r="B211">
        <f>Inputs!$A$45</f>
        <v/>
      </c>
      <c r="C211" s="9" t="n"/>
      <c r="D211" s="10" t="n">
        <v>107.4</v>
      </c>
    </row>
    <row r="212">
      <c r="A212" s="8" t="n">
        <v>46661</v>
      </c>
      <c r="B212">
        <f>Inputs!$A$36</f>
        <v/>
      </c>
      <c r="C212" s="9" t="n">
        <v>164152000</v>
      </c>
      <c r="D212" s="10" t="n">
        <v>84.40000000000001</v>
      </c>
    </row>
    <row r="213">
      <c r="A213" s="8" t="n">
        <v>46661</v>
      </c>
      <c r="B213">
        <f>Inputs!$A$37</f>
        <v/>
      </c>
      <c r="C213" s="9" t="n">
        <v>152542000</v>
      </c>
      <c r="D213" s="10" t="n">
        <v>85.5</v>
      </c>
    </row>
    <row r="214">
      <c r="A214" s="8" t="n">
        <v>46661</v>
      </c>
      <c r="B214">
        <f>Inputs!$A$38</f>
        <v/>
      </c>
      <c r="C214" s="9" t="n">
        <v>124790000</v>
      </c>
      <c r="D214" s="10" t="n">
        <v>77.2</v>
      </c>
    </row>
    <row r="215">
      <c r="A215" s="8" t="n">
        <v>46661</v>
      </c>
      <c r="B215">
        <f>Inputs!$A$39</f>
        <v/>
      </c>
      <c r="C215" s="9" t="n">
        <v>135599000</v>
      </c>
      <c r="D215" s="10" t="n">
        <v>81.59999999999999</v>
      </c>
    </row>
    <row r="216">
      <c r="A216" s="8" t="n">
        <v>46661</v>
      </c>
      <c r="B216">
        <f>Inputs!$A$40</f>
        <v/>
      </c>
      <c r="C216" s="9" t="n">
        <v>147994000</v>
      </c>
      <c r="D216" s="10" t="n">
        <v>82.59999999999999</v>
      </c>
    </row>
    <row r="217">
      <c r="A217" s="8" t="n">
        <v>46661</v>
      </c>
      <c r="B217">
        <f>Inputs!$A$41</f>
        <v/>
      </c>
      <c r="C217" s="9" t="n">
        <v>130333000</v>
      </c>
      <c r="D217" s="10" t="n">
        <v>79</v>
      </c>
    </row>
    <row r="218">
      <c r="A218" s="8" t="n">
        <v>46661</v>
      </c>
      <c r="B218">
        <f>Inputs!$A$42</f>
        <v/>
      </c>
      <c r="C218" s="9" t="n">
        <v>86382000</v>
      </c>
      <c r="D218" s="10" t="n">
        <v>75.40000000000001</v>
      </c>
    </row>
    <row r="219">
      <c r="A219" s="8" t="n">
        <v>46661</v>
      </c>
      <c r="B219">
        <f>Inputs!$A$43</f>
        <v/>
      </c>
      <c r="C219" s="9" t="n">
        <v>114146000</v>
      </c>
      <c r="D219" s="10" t="n">
        <v>77.40000000000001</v>
      </c>
    </row>
    <row r="220">
      <c r="A220" s="8" t="n">
        <v>46661</v>
      </c>
      <c r="B220">
        <f>Inputs!$A$44</f>
        <v/>
      </c>
      <c r="C220" s="9" t="n"/>
      <c r="D220" s="10" t="n">
        <v>116.3</v>
      </c>
    </row>
    <row r="221">
      <c r="A221" s="8" t="n">
        <v>46661</v>
      </c>
      <c r="B221">
        <f>Inputs!$A$45</f>
        <v/>
      </c>
      <c r="C221" s="9" t="n"/>
      <c r="D221" s="10" t="n">
        <v>111.8</v>
      </c>
    </row>
    <row r="222">
      <c r="A222" s="8" t="n">
        <v>46692</v>
      </c>
      <c r="B222">
        <f>Inputs!$A$36</f>
        <v/>
      </c>
      <c r="C222" s="9" t="n">
        <v>173372000</v>
      </c>
      <c r="D222" s="10" t="n">
        <v>82.09999999999999</v>
      </c>
    </row>
    <row r="223">
      <c r="A223" s="8" t="n">
        <v>46692</v>
      </c>
      <c r="B223">
        <f>Inputs!$A$37</f>
        <v/>
      </c>
      <c r="C223" s="9" t="n">
        <v>160621000</v>
      </c>
      <c r="D223" s="10" t="n">
        <v>86</v>
      </c>
    </row>
    <row r="224">
      <c r="A224" s="8" t="n">
        <v>46692</v>
      </c>
      <c r="B224">
        <f>Inputs!$A$38</f>
        <v/>
      </c>
      <c r="C224" s="9" t="n">
        <v>130832000</v>
      </c>
      <c r="D224" s="10" t="n">
        <v>81.2</v>
      </c>
    </row>
    <row r="225">
      <c r="A225" s="8" t="n">
        <v>46692</v>
      </c>
      <c r="B225">
        <f>Inputs!$A$39</f>
        <v/>
      </c>
      <c r="C225" s="9" t="n">
        <v>140494000</v>
      </c>
      <c r="D225" s="10" t="n">
        <v>82.09999999999999</v>
      </c>
    </row>
    <row r="226">
      <c r="A226" s="8" t="n">
        <v>46692</v>
      </c>
      <c r="B226">
        <f>Inputs!$A$40</f>
        <v/>
      </c>
      <c r="C226" s="9" t="n">
        <v>152707000</v>
      </c>
      <c r="D226" s="10" t="n">
        <v>85.3</v>
      </c>
    </row>
    <row r="227">
      <c r="A227" s="8" t="n">
        <v>46692</v>
      </c>
      <c r="B227">
        <f>Inputs!$A$41</f>
        <v/>
      </c>
      <c r="C227" s="9" t="n">
        <v>136645000</v>
      </c>
      <c r="D227" s="10" t="n">
        <v>80.90000000000001</v>
      </c>
    </row>
    <row r="228">
      <c r="A228" s="8" t="n">
        <v>46692</v>
      </c>
      <c r="B228">
        <f>Inputs!$A$42</f>
        <v/>
      </c>
      <c r="C228" s="9" t="n">
        <v>89710000</v>
      </c>
      <c r="D228" s="10" t="n">
        <v>76.59999999999999</v>
      </c>
    </row>
    <row r="229">
      <c r="A229" s="8" t="n">
        <v>46692</v>
      </c>
      <c r="B229">
        <f>Inputs!$A$43</f>
        <v/>
      </c>
      <c r="C229" s="9" t="n">
        <v>117889000</v>
      </c>
      <c r="D229" s="10" t="n">
        <v>79.59999999999999</v>
      </c>
    </row>
    <row r="230">
      <c r="A230" s="8" t="n">
        <v>46692</v>
      </c>
      <c r="B230">
        <f>Inputs!$A$44</f>
        <v/>
      </c>
      <c r="C230" s="9" t="n"/>
      <c r="D230" s="10" t="n">
        <v>121.3</v>
      </c>
    </row>
    <row r="231">
      <c r="A231" s="8" t="n">
        <v>46692</v>
      </c>
      <c r="B231">
        <f>Inputs!$A$45</f>
        <v/>
      </c>
      <c r="C231" s="9" t="n"/>
      <c r="D231" s="10" t="n">
        <v>114.2</v>
      </c>
    </row>
    <row r="232">
      <c r="A232" s="8" t="n">
        <v>46722</v>
      </c>
      <c r="B232">
        <f>Inputs!$A$36</f>
        <v/>
      </c>
      <c r="C232" s="9" t="n">
        <v>205399000</v>
      </c>
      <c r="D232" s="10" t="n">
        <v>87.59999999999999</v>
      </c>
    </row>
    <row r="233">
      <c r="A233" s="8" t="n">
        <v>46722</v>
      </c>
      <c r="B233">
        <f>Inputs!$A$37</f>
        <v/>
      </c>
      <c r="C233" s="9" t="n">
        <v>194083000</v>
      </c>
      <c r="D233" s="10" t="n">
        <v>90.59999999999999</v>
      </c>
    </row>
    <row r="234">
      <c r="A234" s="8" t="n">
        <v>46722</v>
      </c>
      <c r="B234">
        <f>Inputs!$A$38</f>
        <v/>
      </c>
      <c r="C234" s="9" t="n">
        <v>156753000</v>
      </c>
      <c r="D234" s="10" t="n">
        <v>83.09999999999999</v>
      </c>
    </row>
    <row r="235">
      <c r="A235" s="8" t="n">
        <v>46722</v>
      </c>
      <c r="B235">
        <f>Inputs!$A$39</f>
        <v/>
      </c>
      <c r="C235" s="9" t="n">
        <v>175166000</v>
      </c>
      <c r="D235" s="10" t="n">
        <v>84.7</v>
      </c>
    </row>
    <row r="236">
      <c r="A236" s="8" t="n">
        <v>46722</v>
      </c>
      <c r="B236">
        <f>Inputs!$A$40</f>
        <v/>
      </c>
      <c r="C236" s="9" t="n">
        <v>183921000</v>
      </c>
      <c r="D236" s="10" t="n">
        <v>88.40000000000001</v>
      </c>
    </row>
    <row r="237">
      <c r="A237" s="8" t="n">
        <v>46722</v>
      </c>
      <c r="B237">
        <f>Inputs!$A$41</f>
        <v/>
      </c>
      <c r="C237" s="9" t="n">
        <v>166796000</v>
      </c>
      <c r="D237" s="10" t="n">
        <v>87.5</v>
      </c>
    </row>
    <row r="238">
      <c r="A238" s="8" t="n">
        <v>46722</v>
      </c>
      <c r="B238">
        <f>Inputs!$A$42</f>
        <v/>
      </c>
      <c r="C238" s="9" t="n">
        <v>111739000</v>
      </c>
      <c r="D238" s="10" t="n">
        <v>80.2</v>
      </c>
    </row>
    <row r="239">
      <c r="A239" s="8" t="n">
        <v>46722</v>
      </c>
      <c r="B239">
        <f>Inputs!$A$43</f>
        <v/>
      </c>
      <c r="C239" s="9" t="n">
        <v>142375000</v>
      </c>
      <c r="D239" s="10" t="n">
        <v>80.5</v>
      </c>
    </row>
    <row r="240">
      <c r="A240" s="8" t="n">
        <v>46722</v>
      </c>
      <c r="B240">
        <f>Inputs!$A$44</f>
        <v/>
      </c>
      <c r="C240" s="9" t="n"/>
      <c r="D240" s="10" t="n">
        <v>121.4</v>
      </c>
    </row>
    <row r="241">
      <c r="A241" s="8" t="n">
        <v>46722</v>
      </c>
      <c r="B241">
        <f>Inputs!$A$45</f>
        <v/>
      </c>
      <c r="C241" s="9" t="n"/>
      <c r="D241" s="10" t="n">
        <v>117.5</v>
      </c>
    </row>
    <row r="242">
      <c r="A242" s="8" t="n">
        <v>46753</v>
      </c>
      <c r="B242">
        <f>Inputs!$A$36</f>
        <v/>
      </c>
      <c r="C242" s="9" t="n">
        <v>160844000</v>
      </c>
      <c r="D242" s="10" t="n">
        <v>80.09999999999999</v>
      </c>
    </row>
    <row r="243">
      <c r="A243" s="8" t="n">
        <v>46753</v>
      </c>
      <c r="B243">
        <f>Inputs!$A$37</f>
        <v/>
      </c>
      <c r="C243" s="9" t="n">
        <v>147829000</v>
      </c>
      <c r="D243" s="10" t="n">
        <v>82.2</v>
      </c>
    </row>
    <row r="244">
      <c r="A244" s="8" t="n">
        <v>46753</v>
      </c>
      <c r="B244">
        <f>Inputs!$A$38</f>
        <v/>
      </c>
      <c r="C244" s="9" t="n">
        <v>122220000</v>
      </c>
      <c r="D244" s="10" t="n">
        <v>76</v>
      </c>
    </row>
    <row r="245">
      <c r="A245" s="8" t="n">
        <v>46753</v>
      </c>
      <c r="B245">
        <f>Inputs!$A$39</f>
        <v/>
      </c>
      <c r="C245" s="9" t="n">
        <v>136117000</v>
      </c>
      <c r="D245" s="10" t="n">
        <v>79.2</v>
      </c>
    </row>
    <row r="246">
      <c r="A246" s="8" t="n">
        <v>46753</v>
      </c>
      <c r="B246">
        <f>Inputs!$A$40</f>
        <v/>
      </c>
      <c r="C246" s="9" t="n">
        <v>145150000</v>
      </c>
      <c r="D246" s="10" t="n">
        <v>79.59999999999999</v>
      </c>
    </row>
    <row r="247">
      <c r="A247" s="8" t="n">
        <v>46753</v>
      </c>
      <c r="B247">
        <f>Inputs!$A$41</f>
        <v/>
      </c>
      <c r="C247" s="9" t="n">
        <v>132412000</v>
      </c>
      <c r="D247" s="10" t="n">
        <v>75.3</v>
      </c>
    </row>
    <row r="248">
      <c r="A248" s="8" t="n">
        <v>46753</v>
      </c>
      <c r="B248">
        <f>Inputs!$A$42</f>
        <v/>
      </c>
      <c r="C248" s="9" t="n">
        <v>83717000</v>
      </c>
      <c r="D248" s="10" t="n">
        <v>73</v>
      </c>
    </row>
    <row r="249">
      <c r="A249" s="8" t="n">
        <v>46753</v>
      </c>
      <c r="B249">
        <f>Inputs!$A$43</f>
        <v/>
      </c>
      <c r="C249" s="9" t="n">
        <v>113871000</v>
      </c>
      <c r="D249" s="10" t="n">
        <v>75.8</v>
      </c>
    </row>
    <row r="250">
      <c r="A250" s="8" t="n">
        <v>46753</v>
      </c>
      <c r="B250">
        <f>Inputs!$A$44</f>
        <v/>
      </c>
      <c r="C250" s="9" t="n"/>
      <c r="D250" s="10" t="n">
        <v>113.1</v>
      </c>
    </row>
    <row r="251">
      <c r="A251" s="8" t="n">
        <v>46753</v>
      </c>
      <c r="B251">
        <f>Inputs!$A$45</f>
        <v/>
      </c>
      <c r="C251" s="9" t="n"/>
      <c r="D251" s="10" t="n">
        <v>106.4</v>
      </c>
    </row>
    <row r="252">
      <c r="A252" s="8" t="n">
        <v>46784</v>
      </c>
      <c r="B252">
        <f>Inputs!$A$36</f>
        <v/>
      </c>
      <c r="C252" s="9" t="n">
        <v>151284000</v>
      </c>
      <c r="D252" s="10" t="n">
        <v>80.5</v>
      </c>
    </row>
    <row r="253">
      <c r="A253" s="8" t="n">
        <v>46784</v>
      </c>
      <c r="B253">
        <f>Inputs!$A$37</f>
        <v/>
      </c>
      <c r="C253" s="9" t="n">
        <v>140155000</v>
      </c>
      <c r="D253" s="10" t="n">
        <v>83.2</v>
      </c>
    </row>
    <row r="254">
      <c r="A254" s="8" t="n">
        <v>46784</v>
      </c>
      <c r="B254">
        <f>Inputs!$A$38</f>
        <v/>
      </c>
      <c r="C254" s="9" t="n">
        <v>112734000</v>
      </c>
      <c r="D254" s="10" t="n">
        <v>76.3</v>
      </c>
    </row>
    <row r="255">
      <c r="A255" s="8" t="n">
        <v>46784</v>
      </c>
      <c r="B255">
        <f>Inputs!$A$39</f>
        <v/>
      </c>
      <c r="C255" s="9" t="n">
        <v>127484000</v>
      </c>
      <c r="D255" s="10" t="n">
        <v>77.3</v>
      </c>
    </row>
    <row r="256">
      <c r="A256" s="8" t="n">
        <v>46784</v>
      </c>
      <c r="B256">
        <f>Inputs!$A$40</f>
        <v/>
      </c>
      <c r="C256" s="9" t="n">
        <v>137458000</v>
      </c>
      <c r="D256" s="10" t="n">
        <v>80.7</v>
      </c>
    </row>
    <row r="257">
      <c r="A257" s="8" t="n">
        <v>46784</v>
      </c>
      <c r="B257">
        <f>Inputs!$A$41</f>
        <v/>
      </c>
      <c r="C257" s="9" t="n">
        <v>121212000</v>
      </c>
      <c r="D257" s="10" t="n">
        <v>76.5</v>
      </c>
    </row>
    <row r="258">
      <c r="A258" s="8" t="n">
        <v>46784</v>
      </c>
      <c r="B258">
        <f>Inputs!$A$42</f>
        <v/>
      </c>
      <c r="C258" s="9" t="n">
        <v>80244000</v>
      </c>
      <c r="D258" s="10" t="n">
        <v>75.5</v>
      </c>
    </row>
    <row r="259">
      <c r="A259" s="8" t="n">
        <v>46784</v>
      </c>
      <c r="B259">
        <f>Inputs!$A$43</f>
        <v/>
      </c>
      <c r="C259" s="9" t="n">
        <v>105870000</v>
      </c>
      <c r="D259" s="10" t="n">
        <v>76.8</v>
      </c>
    </row>
    <row r="260">
      <c r="A260" s="8" t="n">
        <v>46784</v>
      </c>
      <c r="B260">
        <f>Inputs!$A$44</f>
        <v/>
      </c>
      <c r="C260" s="9" t="n"/>
      <c r="D260" s="10" t="n">
        <v>117.4</v>
      </c>
    </row>
    <row r="261">
      <c r="A261" s="8" t="n">
        <v>46784</v>
      </c>
      <c r="B261">
        <f>Inputs!$A$45</f>
        <v/>
      </c>
      <c r="C261" s="9" t="n"/>
      <c r="D261" s="10" t="n">
        <v>108.9</v>
      </c>
    </row>
    <row r="262">
      <c r="A262" s="8" t="n">
        <v>46813</v>
      </c>
      <c r="B262">
        <f>Inputs!$A$36</f>
        <v/>
      </c>
      <c r="C262" s="9" t="n">
        <v>165476000</v>
      </c>
      <c r="D262" s="10" t="n">
        <v>82.09999999999999</v>
      </c>
    </row>
    <row r="263">
      <c r="A263" s="8" t="n">
        <v>46813</v>
      </c>
      <c r="B263">
        <f>Inputs!$A$37</f>
        <v/>
      </c>
      <c r="C263" s="9" t="n">
        <v>158045000</v>
      </c>
      <c r="D263" s="10" t="n">
        <v>85.59999999999999</v>
      </c>
    </row>
    <row r="264">
      <c r="A264" s="8" t="n">
        <v>46813</v>
      </c>
      <c r="B264">
        <f>Inputs!$A$38</f>
        <v/>
      </c>
      <c r="C264" s="9" t="n">
        <v>124665000</v>
      </c>
      <c r="D264" s="10" t="n">
        <v>78.90000000000001</v>
      </c>
    </row>
    <row r="265">
      <c r="A265" s="8" t="n">
        <v>46813</v>
      </c>
      <c r="B265">
        <f>Inputs!$A$39</f>
        <v/>
      </c>
      <c r="C265" s="9" t="n">
        <v>134860000</v>
      </c>
      <c r="D265" s="10" t="n">
        <v>79.5</v>
      </c>
    </row>
    <row r="266">
      <c r="A266" s="8" t="n">
        <v>46813</v>
      </c>
      <c r="B266">
        <f>Inputs!$A$40</f>
        <v/>
      </c>
      <c r="C266" s="9" t="n">
        <v>152259000</v>
      </c>
      <c r="D266" s="10" t="n">
        <v>82.7</v>
      </c>
    </row>
    <row r="267">
      <c r="A267" s="8" t="n">
        <v>46813</v>
      </c>
      <c r="B267">
        <f>Inputs!$A$41</f>
        <v/>
      </c>
      <c r="C267" s="9" t="n">
        <v>133616000</v>
      </c>
      <c r="D267" s="10" t="n">
        <v>79.7</v>
      </c>
    </row>
    <row r="268">
      <c r="A268" s="8" t="n">
        <v>46813</v>
      </c>
      <c r="B268">
        <f>Inputs!$A$42</f>
        <v/>
      </c>
      <c r="C268" s="9" t="n">
        <v>88391000</v>
      </c>
      <c r="D268" s="10" t="n">
        <v>75.59999999999999</v>
      </c>
    </row>
    <row r="269">
      <c r="A269" s="8" t="n">
        <v>46813</v>
      </c>
      <c r="B269">
        <f>Inputs!$A$43</f>
        <v/>
      </c>
      <c r="C269" s="9" t="n">
        <v>117188000</v>
      </c>
      <c r="D269" s="10" t="n">
        <v>76.3</v>
      </c>
    </row>
    <row r="270">
      <c r="A270" s="8" t="n">
        <v>46813</v>
      </c>
      <c r="B270">
        <f>Inputs!$A$44</f>
        <v/>
      </c>
      <c r="C270" s="9" t="n"/>
      <c r="D270" s="10" t="n">
        <v>114.9</v>
      </c>
    </row>
    <row r="271">
      <c r="A271" s="8" t="n">
        <v>46813</v>
      </c>
      <c r="B271">
        <f>Inputs!$A$45</f>
        <v/>
      </c>
      <c r="C271" s="9" t="n"/>
      <c r="D271" s="10" t="n">
        <v>111.8</v>
      </c>
    </row>
    <row r="272">
      <c r="A272" s="8" t="n">
        <v>46844</v>
      </c>
      <c r="B272">
        <f>Inputs!$A$36</f>
        <v/>
      </c>
      <c r="C272" s="9" t="n">
        <v>167799000</v>
      </c>
      <c r="D272" s="10" t="n">
        <v>81.2</v>
      </c>
    </row>
    <row r="273">
      <c r="A273" s="8" t="n">
        <v>46844</v>
      </c>
      <c r="B273">
        <f>Inputs!$A$37</f>
        <v/>
      </c>
      <c r="C273" s="9" t="n">
        <v>154912000</v>
      </c>
      <c r="D273" s="10" t="n">
        <v>85.90000000000001</v>
      </c>
    </row>
    <row r="274">
      <c r="A274" s="8" t="n">
        <v>46844</v>
      </c>
      <c r="B274">
        <f>Inputs!$A$38</f>
        <v/>
      </c>
      <c r="C274" s="9" t="n">
        <v>125512000</v>
      </c>
      <c r="D274" s="10" t="n">
        <v>74.40000000000001</v>
      </c>
    </row>
    <row r="275">
      <c r="A275" s="8" t="n">
        <v>46844</v>
      </c>
      <c r="B275">
        <f>Inputs!$A$39</f>
        <v/>
      </c>
      <c r="C275" s="9" t="n">
        <v>137183000</v>
      </c>
      <c r="D275" s="10" t="n">
        <v>78</v>
      </c>
    </row>
    <row r="276">
      <c r="A276" s="8" t="n">
        <v>46844</v>
      </c>
      <c r="B276">
        <f>Inputs!$A$40</f>
        <v/>
      </c>
      <c r="C276" s="9" t="n">
        <v>147261000</v>
      </c>
      <c r="D276" s="10" t="n">
        <v>82.7</v>
      </c>
    </row>
    <row r="277">
      <c r="A277" s="8" t="n">
        <v>46844</v>
      </c>
      <c r="B277">
        <f>Inputs!$A$41</f>
        <v/>
      </c>
      <c r="C277" s="9" t="n">
        <v>130689000</v>
      </c>
      <c r="D277" s="10" t="n">
        <v>76.8</v>
      </c>
    </row>
    <row r="278">
      <c r="A278" s="8" t="n">
        <v>46844</v>
      </c>
      <c r="B278">
        <f>Inputs!$A$42</f>
        <v/>
      </c>
      <c r="C278" s="9" t="n">
        <v>88461000</v>
      </c>
      <c r="D278" s="10" t="n">
        <v>76.09999999999999</v>
      </c>
    </row>
    <row r="279">
      <c r="A279" s="8" t="n">
        <v>46844</v>
      </c>
      <c r="B279">
        <f>Inputs!$A$43</f>
        <v/>
      </c>
      <c r="C279" s="9" t="n">
        <v>116429000</v>
      </c>
      <c r="D279" s="10" t="n">
        <v>75.8</v>
      </c>
    </row>
    <row r="280">
      <c r="A280" s="8" t="n">
        <v>46844</v>
      </c>
      <c r="B280">
        <f>Inputs!$A$44</f>
        <v/>
      </c>
      <c r="C280" s="9" t="n"/>
      <c r="D280" s="10" t="n">
        <v>115.7</v>
      </c>
    </row>
    <row r="281">
      <c r="A281" s="8" t="n">
        <v>46844</v>
      </c>
      <c r="B281">
        <f>Inputs!$A$45</f>
        <v/>
      </c>
      <c r="C281" s="9" t="n"/>
      <c r="D281" s="10" t="n">
        <v>109.4</v>
      </c>
    </row>
    <row r="282">
      <c r="A282" s="8" t="n">
        <v>46874</v>
      </c>
      <c r="B282">
        <f>Inputs!$A$36</f>
        <v/>
      </c>
      <c r="C282" s="9" t="n">
        <v>170403000</v>
      </c>
      <c r="D282" s="10" t="n">
        <v>82.7</v>
      </c>
    </row>
    <row r="283">
      <c r="A283" s="8" t="n">
        <v>46874</v>
      </c>
      <c r="B283">
        <f>Inputs!$A$37</f>
        <v/>
      </c>
      <c r="C283" s="9" t="n">
        <v>150476000</v>
      </c>
      <c r="D283" s="10" t="n">
        <v>81.8</v>
      </c>
    </row>
    <row r="284">
      <c r="A284" s="8" t="n">
        <v>46874</v>
      </c>
      <c r="B284">
        <f>Inputs!$A$38</f>
        <v/>
      </c>
      <c r="C284" s="9" t="n">
        <v>125802000</v>
      </c>
      <c r="D284" s="10" t="n">
        <v>78.2</v>
      </c>
    </row>
    <row r="285">
      <c r="A285" s="8" t="n">
        <v>46874</v>
      </c>
      <c r="B285">
        <f>Inputs!$A$39</f>
        <v/>
      </c>
      <c r="C285" s="9" t="n">
        <v>135259000</v>
      </c>
      <c r="D285" s="10" t="n">
        <v>78.3</v>
      </c>
    </row>
    <row r="286">
      <c r="A286" s="8" t="n">
        <v>46874</v>
      </c>
      <c r="B286">
        <f>Inputs!$A$40</f>
        <v/>
      </c>
      <c r="C286" s="9" t="n">
        <v>146732000</v>
      </c>
      <c r="D286" s="10" t="n">
        <v>82.7</v>
      </c>
    </row>
    <row r="287">
      <c r="A287" s="8" t="n">
        <v>46874</v>
      </c>
      <c r="B287">
        <f>Inputs!$A$41</f>
        <v/>
      </c>
      <c r="C287" s="9" t="n">
        <v>131693000</v>
      </c>
      <c r="D287" s="10" t="n">
        <v>77.2</v>
      </c>
    </row>
    <row r="288">
      <c r="A288" s="8" t="n">
        <v>46874</v>
      </c>
      <c r="B288">
        <f>Inputs!$A$42</f>
        <v/>
      </c>
      <c r="C288" s="9" t="n">
        <v>87817000</v>
      </c>
      <c r="D288" s="10" t="n">
        <v>76.7</v>
      </c>
    </row>
    <row r="289">
      <c r="A289" s="8" t="n">
        <v>46874</v>
      </c>
      <c r="B289">
        <f>Inputs!$A$43</f>
        <v/>
      </c>
      <c r="C289" s="9" t="n">
        <v>113708000</v>
      </c>
      <c r="D289" s="10" t="n">
        <v>78.40000000000001</v>
      </c>
    </row>
    <row r="290">
      <c r="A290" s="8" t="n">
        <v>46874</v>
      </c>
      <c r="B290">
        <f>Inputs!$A$44</f>
        <v/>
      </c>
      <c r="C290" s="9" t="n"/>
      <c r="D290" s="10" t="n">
        <v>115.1</v>
      </c>
    </row>
    <row r="291">
      <c r="A291" s="8" t="n">
        <v>46874</v>
      </c>
      <c r="B291">
        <f>Inputs!$A$45</f>
        <v/>
      </c>
      <c r="C291" s="9" t="n"/>
      <c r="D291" s="10" t="n">
        <v>112.1</v>
      </c>
    </row>
    <row r="292">
      <c r="A292" s="8" t="n">
        <v>46905</v>
      </c>
      <c r="B292">
        <f>Inputs!$A$36</f>
        <v/>
      </c>
      <c r="C292" s="9" t="n">
        <v>162112000</v>
      </c>
      <c r="D292" s="10" t="n">
        <v>82.59999999999999</v>
      </c>
    </row>
    <row r="293">
      <c r="A293" s="8" t="n">
        <v>46905</v>
      </c>
      <c r="B293">
        <f>Inputs!$A$37</f>
        <v/>
      </c>
      <c r="C293" s="9" t="n">
        <v>149194000</v>
      </c>
      <c r="D293" s="10" t="n">
        <v>82.90000000000001</v>
      </c>
    </row>
    <row r="294">
      <c r="A294" s="8" t="n">
        <v>46905</v>
      </c>
      <c r="B294">
        <f>Inputs!$A$38</f>
        <v/>
      </c>
      <c r="C294" s="9" t="n">
        <v>124204000</v>
      </c>
      <c r="D294" s="10" t="n">
        <v>77.5</v>
      </c>
    </row>
    <row r="295">
      <c r="A295" s="8" t="n">
        <v>46905</v>
      </c>
      <c r="B295">
        <f>Inputs!$A$39</f>
        <v/>
      </c>
      <c r="C295" s="9" t="n">
        <v>133583000</v>
      </c>
      <c r="D295" s="10" t="n">
        <v>80.8</v>
      </c>
    </row>
    <row r="296">
      <c r="A296" s="8" t="n">
        <v>46905</v>
      </c>
      <c r="B296">
        <f>Inputs!$A$40</f>
        <v/>
      </c>
      <c r="C296" s="9" t="n">
        <v>145186000</v>
      </c>
      <c r="D296" s="10" t="n">
        <v>84.40000000000001</v>
      </c>
    </row>
    <row r="297">
      <c r="A297" s="8" t="n">
        <v>46905</v>
      </c>
      <c r="B297">
        <f>Inputs!$A$41</f>
        <v/>
      </c>
      <c r="C297" s="9" t="n">
        <v>129819000</v>
      </c>
      <c r="D297" s="10" t="n">
        <v>78.2</v>
      </c>
    </row>
    <row r="298">
      <c r="A298" s="8" t="n">
        <v>46905</v>
      </c>
      <c r="B298">
        <f>Inputs!$A$42</f>
        <v/>
      </c>
      <c r="C298" s="9" t="n">
        <v>87571000</v>
      </c>
      <c r="D298" s="10" t="n">
        <v>78.3</v>
      </c>
    </row>
    <row r="299">
      <c r="A299" s="8" t="n">
        <v>46905</v>
      </c>
      <c r="B299">
        <f>Inputs!$A$43</f>
        <v/>
      </c>
      <c r="C299" s="9" t="n">
        <v>114161000</v>
      </c>
      <c r="D299" s="10" t="n">
        <v>76.5</v>
      </c>
    </row>
    <row r="300">
      <c r="A300" s="8" t="n">
        <v>46905</v>
      </c>
      <c r="B300">
        <f>Inputs!$A$44</f>
        <v/>
      </c>
      <c r="C300" s="9" t="n"/>
      <c r="D300" s="10" t="n">
        <v>118.3</v>
      </c>
    </row>
    <row r="301">
      <c r="A301" s="8" t="n">
        <v>46905</v>
      </c>
      <c r="B301">
        <f>Inputs!$A$45</f>
        <v/>
      </c>
      <c r="C301" s="9" t="n"/>
      <c r="D301" s="10" t="n">
        <v>113.3</v>
      </c>
    </row>
    <row r="302">
      <c r="A302" s="8" t="n">
        <v>46935</v>
      </c>
      <c r="B302">
        <f>Inputs!$A$36</f>
        <v/>
      </c>
      <c r="C302" s="9" t="n">
        <v>165394000</v>
      </c>
      <c r="D302" s="10" t="n">
        <v>81.09999999999999</v>
      </c>
    </row>
    <row r="303">
      <c r="A303" s="8" t="n">
        <v>46935</v>
      </c>
      <c r="B303">
        <f>Inputs!$A$37</f>
        <v/>
      </c>
      <c r="C303" s="9" t="n">
        <v>157814000</v>
      </c>
      <c r="D303" s="10" t="n">
        <v>83.5</v>
      </c>
    </row>
    <row r="304">
      <c r="A304" s="8" t="n">
        <v>46935</v>
      </c>
      <c r="B304">
        <f>Inputs!$A$38</f>
        <v/>
      </c>
      <c r="C304" s="9" t="n">
        <v>126510000</v>
      </c>
      <c r="D304" s="10" t="n">
        <v>77.09999999999999</v>
      </c>
    </row>
    <row r="305">
      <c r="A305" s="8" t="n">
        <v>46935</v>
      </c>
      <c r="B305">
        <f>Inputs!$A$39</f>
        <v/>
      </c>
      <c r="C305" s="9" t="n">
        <v>137213000</v>
      </c>
      <c r="D305" s="10" t="n">
        <v>80.59999999999999</v>
      </c>
    </row>
    <row r="306">
      <c r="A306" s="8" t="n">
        <v>46935</v>
      </c>
      <c r="B306">
        <f>Inputs!$A$40</f>
        <v/>
      </c>
      <c r="C306" s="9" t="n">
        <v>149522000</v>
      </c>
      <c r="D306" s="10" t="n">
        <v>83.40000000000001</v>
      </c>
    </row>
    <row r="307">
      <c r="A307" s="8" t="n">
        <v>46935</v>
      </c>
      <c r="B307">
        <f>Inputs!$A$41</f>
        <v/>
      </c>
      <c r="C307" s="9" t="n">
        <v>132703000</v>
      </c>
      <c r="D307" s="10" t="n">
        <v>77.7</v>
      </c>
    </row>
    <row r="308">
      <c r="A308" s="8" t="n">
        <v>46935</v>
      </c>
      <c r="B308">
        <f>Inputs!$A$42</f>
        <v/>
      </c>
      <c r="C308" s="9" t="n">
        <v>87417000</v>
      </c>
      <c r="D308" s="10" t="n">
        <v>76.2</v>
      </c>
    </row>
    <row r="309">
      <c r="A309" s="8" t="n">
        <v>46935</v>
      </c>
      <c r="B309">
        <f>Inputs!$A$43</f>
        <v/>
      </c>
      <c r="C309" s="9" t="n">
        <v>116737000</v>
      </c>
      <c r="D309" s="10" t="n">
        <v>77.09999999999999</v>
      </c>
    </row>
    <row r="310">
      <c r="A310" s="8" t="n">
        <v>46935</v>
      </c>
      <c r="B310">
        <f>Inputs!$A$44</f>
        <v/>
      </c>
      <c r="C310" s="9" t="n"/>
      <c r="D310" s="10" t="n">
        <v>114.9</v>
      </c>
    </row>
    <row r="311">
      <c r="A311" s="8" t="n">
        <v>46935</v>
      </c>
      <c r="B311">
        <f>Inputs!$A$45</f>
        <v/>
      </c>
      <c r="C311" s="9" t="n"/>
      <c r="D311" s="10" t="n">
        <v>112.5</v>
      </c>
    </row>
    <row r="312">
      <c r="A312" s="8" t="n">
        <v>46966</v>
      </c>
      <c r="B312">
        <f>Inputs!$A$36</f>
        <v/>
      </c>
      <c r="C312" s="9" t="n">
        <v>162441000</v>
      </c>
      <c r="D312" s="10" t="n">
        <v>81.8</v>
      </c>
    </row>
    <row r="313">
      <c r="A313" s="8" t="n">
        <v>46966</v>
      </c>
      <c r="B313">
        <f>Inputs!$A$37</f>
        <v/>
      </c>
      <c r="C313" s="9" t="n">
        <v>156899000</v>
      </c>
      <c r="D313" s="10" t="n">
        <v>83</v>
      </c>
    </row>
    <row r="314">
      <c r="A314" s="8" t="n">
        <v>46966</v>
      </c>
      <c r="B314">
        <f>Inputs!$A$38</f>
        <v/>
      </c>
      <c r="C314" s="9" t="n">
        <v>123608000</v>
      </c>
      <c r="D314" s="10" t="n">
        <v>75.90000000000001</v>
      </c>
    </row>
    <row r="315">
      <c r="A315" s="8" t="n">
        <v>46966</v>
      </c>
      <c r="B315">
        <f>Inputs!$A$39</f>
        <v/>
      </c>
      <c r="C315" s="9" t="n">
        <v>135812000</v>
      </c>
      <c r="D315" s="10" t="n">
        <v>79.8</v>
      </c>
    </row>
    <row r="316">
      <c r="A316" s="8" t="n">
        <v>46966</v>
      </c>
      <c r="B316">
        <f>Inputs!$A$40</f>
        <v/>
      </c>
      <c r="C316" s="9" t="n">
        <v>148308000</v>
      </c>
      <c r="D316" s="10" t="n">
        <v>84.59999999999999</v>
      </c>
    </row>
    <row r="317">
      <c r="A317" s="8" t="n">
        <v>46966</v>
      </c>
      <c r="B317">
        <f>Inputs!$A$41</f>
        <v/>
      </c>
      <c r="C317" s="9" t="n">
        <v>133717000</v>
      </c>
      <c r="D317" s="10" t="n">
        <v>78.8</v>
      </c>
    </row>
    <row r="318">
      <c r="A318" s="8" t="n">
        <v>46966</v>
      </c>
      <c r="B318">
        <f>Inputs!$A$42</f>
        <v/>
      </c>
      <c r="C318" s="9" t="n">
        <v>87638000</v>
      </c>
      <c r="D318" s="10" t="n">
        <v>76.3</v>
      </c>
    </row>
    <row r="319">
      <c r="A319" s="8" t="n">
        <v>46966</v>
      </c>
      <c r="B319">
        <f>Inputs!$A$43</f>
        <v/>
      </c>
      <c r="C319" s="9" t="n">
        <v>116312000</v>
      </c>
      <c r="D319" s="10" t="n">
        <v>77.40000000000001</v>
      </c>
    </row>
    <row r="320">
      <c r="A320" s="8" t="n">
        <v>46966</v>
      </c>
      <c r="B320">
        <f>Inputs!$A$44</f>
        <v/>
      </c>
      <c r="C320" s="9" t="n"/>
      <c r="D320" s="10" t="n">
        <v>114.7</v>
      </c>
    </row>
    <row r="321">
      <c r="A321" s="8" t="n">
        <v>46966</v>
      </c>
      <c r="B321">
        <f>Inputs!$A$45</f>
        <v/>
      </c>
      <c r="C321" s="9" t="n"/>
      <c r="D321" s="10" t="n">
        <v>112.4</v>
      </c>
    </row>
    <row r="322">
      <c r="A322" s="8" t="n">
        <v>46997</v>
      </c>
      <c r="B322">
        <f>Inputs!$A$36</f>
        <v/>
      </c>
      <c r="C322" s="9" t="n">
        <v>166521000</v>
      </c>
      <c r="D322" s="10" t="n">
        <v>80.5</v>
      </c>
    </row>
    <row r="323">
      <c r="A323" s="8" t="n">
        <v>46997</v>
      </c>
      <c r="B323">
        <f>Inputs!$A$37</f>
        <v/>
      </c>
      <c r="C323" s="9" t="n">
        <v>154127000</v>
      </c>
      <c r="D323" s="10" t="n">
        <v>84.5</v>
      </c>
    </row>
    <row r="324">
      <c r="A324" s="8" t="n">
        <v>46997</v>
      </c>
      <c r="B324">
        <f>Inputs!$A$38</f>
        <v/>
      </c>
      <c r="C324" s="9" t="n">
        <v>122779000</v>
      </c>
      <c r="D324" s="10" t="n">
        <v>78.5</v>
      </c>
    </row>
    <row r="325">
      <c r="A325" s="8" t="n">
        <v>46997</v>
      </c>
      <c r="B325">
        <f>Inputs!$A$39</f>
        <v/>
      </c>
      <c r="C325" s="9" t="n">
        <v>137192000</v>
      </c>
      <c r="D325" s="10" t="n">
        <v>81.09999999999999</v>
      </c>
    </row>
    <row r="326">
      <c r="A326" s="8" t="n">
        <v>46997</v>
      </c>
      <c r="B326">
        <f>Inputs!$A$40</f>
        <v/>
      </c>
      <c r="C326" s="9" t="n">
        <v>149021000</v>
      </c>
      <c r="D326" s="10" t="n">
        <v>85.8</v>
      </c>
    </row>
    <row r="327">
      <c r="A327" s="8" t="n">
        <v>46997</v>
      </c>
      <c r="B327">
        <f>Inputs!$A$41</f>
        <v/>
      </c>
      <c r="C327" s="9" t="n">
        <v>128386000</v>
      </c>
      <c r="D327" s="10" t="n">
        <v>80.90000000000001</v>
      </c>
    </row>
    <row r="328">
      <c r="A328" s="8" t="n">
        <v>46997</v>
      </c>
      <c r="B328">
        <f>Inputs!$A$42</f>
        <v/>
      </c>
      <c r="C328" s="9" t="n">
        <v>88015000</v>
      </c>
      <c r="D328" s="10" t="n">
        <v>75.90000000000001</v>
      </c>
    </row>
    <row r="329">
      <c r="A329" s="8" t="n">
        <v>46997</v>
      </c>
      <c r="B329">
        <f>Inputs!$A$43</f>
        <v/>
      </c>
      <c r="C329" s="9" t="n">
        <v>114397000</v>
      </c>
      <c r="D329" s="10" t="n">
        <v>77.59999999999999</v>
      </c>
    </row>
    <row r="330">
      <c r="A330" s="8" t="n">
        <v>46997</v>
      </c>
      <c r="B330">
        <f>Inputs!$A$44</f>
        <v/>
      </c>
      <c r="C330" s="9" t="n"/>
      <c r="D330" s="10" t="n">
        <v>118.8</v>
      </c>
    </row>
    <row r="331">
      <c r="A331" s="8" t="n">
        <v>46997</v>
      </c>
      <c r="B331">
        <f>Inputs!$A$45</f>
        <v/>
      </c>
      <c r="C331" s="9" t="n"/>
      <c r="D331" s="10" t="n">
        <v>109.2</v>
      </c>
    </row>
    <row r="332">
      <c r="A332" s="8" t="n">
        <v>47027</v>
      </c>
      <c r="B332">
        <f>Inputs!$A$36</f>
        <v/>
      </c>
      <c r="C332" s="9" t="n">
        <v>171846000</v>
      </c>
      <c r="D332" s="10" t="n">
        <v>83.40000000000001</v>
      </c>
    </row>
    <row r="333">
      <c r="A333" s="8" t="n">
        <v>47027</v>
      </c>
      <c r="B333">
        <f>Inputs!$A$37</f>
        <v/>
      </c>
      <c r="C333" s="9" t="n">
        <v>158952000</v>
      </c>
      <c r="D333" s="10" t="n">
        <v>87.5</v>
      </c>
    </row>
    <row r="334">
      <c r="A334" s="8" t="n">
        <v>47027</v>
      </c>
      <c r="B334">
        <f>Inputs!$A$38</f>
        <v/>
      </c>
      <c r="C334" s="9" t="n">
        <v>132288000</v>
      </c>
      <c r="D334" s="10" t="n">
        <v>77.59999999999999</v>
      </c>
    </row>
    <row r="335">
      <c r="A335" s="8" t="n">
        <v>47027</v>
      </c>
      <c r="B335">
        <f>Inputs!$A$39</f>
        <v/>
      </c>
      <c r="C335" s="9" t="n">
        <v>143108000</v>
      </c>
      <c r="D335" s="10" t="n">
        <v>81.09999999999999</v>
      </c>
    </row>
    <row r="336">
      <c r="A336" s="8" t="n">
        <v>47027</v>
      </c>
      <c r="B336">
        <f>Inputs!$A$40</f>
        <v/>
      </c>
      <c r="C336" s="9" t="n">
        <v>153707000</v>
      </c>
      <c r="D336" s="10" t="n">
        <v>83.3</v>
      </c>
    </row>
    <row r="337">
      <c r="A337" s="8" t="n">
        <v>47027</v>
      </c>
      <c r="B337">
        <f>Inputs!$A$41</f>
        <v/>
      </c>
      <c r="C337" s="9" t="n">
        <v>137990000</v>
      </c>
      <c r="D337" s="10" t="n">
        <v>77.7</v>
      </c>
    </row>
    <row r="338">
      <c r="A338" s="8" t="n">
        <v>47027</v>
      </c>
      <c r="B338">
        <f>Inputs!$A$42</f>
        <v/>
      </c>
      <c r="C338" s="9" t="n">
        <v>91106000</v>
      </c>
      <c r="D338" s="10" t="n">
        <v>75.90000000000001</v>
      </c>
    </row>
    <row r="339">
      <c r="A339" s="8" t="n">
        <v>47027</v>
      </c>
      <c r="B339">
        <f>Inputs!$A$43</f>
        <v/>
      </c>
      <c r="C339" s="9" t="n">
        <v>120376000</v>
      </c>
      <c r="D339" s="10" t="n">
        <v>78.8</v>
      </c>
    </row>
    <row r="340">
      <c r="A340" s="8" t="n">
        <v>47027</v>
      </c>
      <c r="B340">
        <f>Inputs!$A$44</f>
        <v/>
      </c>
      <c r="C340" s="9" t="n"/>
      <c r="D340" s="10" t="n">
        <v>117</v>
      </c>
    </row>
    <row r="341">
      <c r="A341" s="8" t="n">
        <v>47027</v>
      </c>
      <c r="B341">
        <f>Inputs!$A$45</f>
        <v/>
      </c>
      <c r="C341" s="9" t="n"/>
      <c r="D341" s="10" t="n">
        <v>110.5</v>
      </c>
    </row>
    <row r="342">
      <c r="A342" s="8" t="n">
        <v>47058</v>
      </c>
      <c r="B342">
        <f>Inputs!$A$36</f>
        <v/>
      </c>
      <c r="C342" s="9" t="n">
        <v>177764000</v>
      </c>
      <c r="D342" s="10" t="n">
        <v>83.5</v>
      </c>
    </row>
    <row r="343">
      <c r="A343" s="8" t="n">
        <v>47058</v>
      </c>
      <c r="B343">
        <f>Inputs!$A$37</f>
        <v/>
      </c>
      <c r="C343" s="9" t="n">
        <v>161946000</v>
      </c>
      <c r="D343" s="10" t="n">
        <v>86.5</v>
      </c>
    </row>
    <row r="344">
      <c r="A344" s="8" t="n">
        <v>47058</v>
      </c>
      <c r="B344">
        <f>Inputs!$A$38</f>
        <v/>
      </c>
      <c r="C344" s="9" t="n">
        <v>133965000</v>
      </c>
      <c r="D344" s="10" t="n">
        <v>82.09999999999999</v>
      </c>
    </row>
    <row r="345">
      <c r="A345" s="8" t="n">
        <v>47058</v>
      </c>
      <c r="B345">
        <f>Inputs!$A$39</f>
        <v/>
      </c>
      <c r="C345" s="9" t="n">
        <v>145905000</v>
      </c>
      <c r="D345" s="10" t="n">
        <v>85.2</v>
      </c>
    </row>
    <row r="346">
      <c r="A346" s="8" t="n">
        <v>47058</v>
      </c>
      <c r="B346">
        <f>Inputs!$A$40</f>
        <v/>
      </c>
      <c r="C346" s="9" t="n">
        <v>158028000</v>
      </c>
      <c r="D346" s="10" t="n">
        <v>86.40000000000001</v>
      </c>
    </row>
    <row r="347">
      <c r="A347" s="8" t="n">
        <v>47058</v>
      </c>
      <c r="B347">
        <f>Inputs!$A$41</f>
        <v/>
      </c>
      <c r="C347" s="9" t="n">
        <v>141489000</v>
      </c>
      <c r="D347" s="10" t="n">
        <v>81.7</v>
      </c>
    </row>
    <row r="348">
      <c r="A348" s="8" t="n">
        <v>47058</v>
      </c>
      <c r="B348">
        <f>Inputs!$A$42</f>
        <v/>
      </c>
      <c r="C348" s="9" t="n">
        <v>91368000</v>
      </c>
      <c r="D348" s="10" t="n">
        <v>78.3</v>
      </c>
    </row>
    <row r="349">
      <c r="A349" s="8" t="n">
        <v>47058</v>
      </c>
      <c r="B349">
        <f>Inputs!$A$43</f>
        <v/>
      </c>
      <c r="C349" s="9" t="n">
        <v>120983000</v>
      </c>
      <c r="D349" s="10" t="n">
        <v>80.3</v>
      </c>
    </row>
    <row r="350">
      <c r="A350" s="8" t="n">
        <v>47058</v>
      </c>
      <c r="B350">
        <f>Inputs!$A$44</f>
        <v/>
      </c>
      <c r="C350" s="9" t="n"/>
      <c r="D350" s="10" t="n">
        <v>116.5</v>
      </c>
    </row>
    <row r="351">
      <c r="A351" s="8" t="n">
        <v>47058</v>
      </c>
      <c r="B351">
        <f>Inputs!$A$45</f>
        <v/>
      </c>
      <c r="C351" s="9" t="n"/>
      <c r="D351" s="10" t="n">
        <v>111.8</v>
      </c>
    </row>
    <row r="352">
      <c r="A352" s="8" t="n">
        <v>47088</v>
      </c>
      <c r="B352">
        <f>Inputs!$A$36</f>
        <v/>
      </c>
      <c r="C352" s="9" t="n">
        <v>216164000</v>
      </c>
      <c r="D352" s="10" t="n">
        <v>87.09999999999999</v>
      </c>
    </row>
    <row r="353">
      <c r="A353" s="8" t="n">
        <v>47088</v>
      </c>
      <c r="B353">
        <f>Inputs!$A$37</f>
        <v/>
      </c>
      <c r="C353" s="9" t="n">
        <v>203375000</v>
      </c>
      <c r="D353" s="10" t="n">
        <v>88.90000000000001</v>
      </c>
    </row>
    <row r="354">
      <c r="A354" s="8" t="n">
        <v>47088</v>
      </c>
      <c r="B354">
        <f>Inputs!$A$38</f>
        <v/>
      </c>
      <c r="C354" s="9" t="n">
        <v>164524000</v>
      </c>
      <c r="D354" s="10" t="n">
        <v>83.5</v>
      </c>
    </row>
    <row r="355">
      <c r="A355" s="8" t="n">
        <v>47088</v>
      </c>
      <c r="B355">
        <f>Inputs!$A$39</f>
        <v/>
      </c>
      <c r="C355" s="9" t="n">
        <v>182330000</v>
      </c>
      <c r="D355" s="10" t="n">
        <v>85.59999999999999</v>
      </c>
    </row>
    <row r="356">
      <c r="A356" s="8" t="n">
        <v>47088</v>
      </c>
      <c r="B356">
        <f>Inputs!$A$40</f>
        <v/>
      </c>
      <c r="C356" s="9" t="n">
        <v>197733000</v>
      </c>
      <c r="D356" s="10" t="n">
        <v>87.09999999999999</v>
      </c>
    </row>
    <row r="357">
      <c r="A357" s="8" t="n">
        <v>47088</v>
      </c>
      <c r="B357">
        <f>Inputs!$A$41</f>
        <v/>
      </c>
      <c r="C357" s="9" t="n">
        <v>167477000</v>
      </c>
      <c r="D357" s="10" t="n">
        <v>84.59999999999999</v>
      </c>
    </row>
    <row r="358">
      <c r="A358" s="8" t="n">
        <v>47088</v>
      </c>
      <c r="B358">
        <f>Inputs!$A$42</f>
        <v/>
      </c>
      <c r="C358" s="9" t="n">
        <v>115720000</v>
      </c>
      <c r="D358" s="10" t="n">
        <v>80.59999999999999</v>
      </c>
    </row>
    <row r="359">
      <c r="A359" s="8" t="n">
        <v>47088</v>
      </c>
      <c r="B359">
        <f>Inputs!$A$43</f>
        <v/>
      </c>
      <c r="C359" s="9" t="n">
        <v>150038000</v>
      </c>
      <c r="D359" s="10" t="n">
        <v>83.59999999999999</v>
      </c>
    </row>
    <row r="360">
      <c r="A360" s="8" t="n">
        <v>47088</v>
      </c>
      <c r="B360">
        <f>Inputs!$A$44</f>
        <v/>
      </c>
      <c r="C360" s="9" t="n"/>
      <c r="D360" s="10" t="n">
        <v>125.5</v>
      </c>
    </row>
    <row r="361">
      <c r="A361" s="8" t="n">
        <v>47088</v>
      </c>
      <c r="B361">
        <f>Inputs!$A$45</f>
        <v/>
      </c>
      <c r="C361" s="9" t="n"/>
      <c r="D361" s="10" t="n">
        <v>117.1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S5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2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2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2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2" customWidth="1" min="46" max="46"/>
  </cols>
  <sheetData>
    <row r="1">
      <c r="A1" s="2" t="inlineStr">
        <is>
          <t>Cases forecast</t>
        </is>
      </c>
    </row>
    <row r="2">
      <c r="A2" s="6" t="inlineStr">
        <is>
          <t>1. Run rate: volume driver sales x cases per $ of sales in the same month last year. Actual months show actuals.</t>
        </is>
      </c>
    </row>
    <row r="3">
      <c r="A3" s="6" t="inlineStr">
        <is>
          <t>2. Adjustments: type extra cases (or negative) for a site and month, e.g. a new store or volume moving between sites.</t>
        </is>
      </c>
    </row>
    <row r="4">
      <c r="A4" s="6" t="inlineStr">
        <is>
          <t>3. Override: type the cases you want for a site and month. It replaces 1 + 2. Leave blank to use the model.</t>
        </is>
      </c>
    </row>
    <row r="5">
      <c r="A5" s="6" t="inlineStr">
        <is>
          <t>4. Cases used = override if there is one, otherwise run rate + adjustment. This feeds Cases picked on each site tab.</t>
        </is>
      </c>
    </row>
    <row r="6">
      <c r="C6" s="7" t="inlineStr">
        <is>
          <t>1. Run-rate forecast</t>
        </is>
      </c>
      <c r="N6" s="7" t="inlineStr">
        <is>
          <t>2. Adjustments (+/- cases)</t>
        </is>
      </c>
      <c r="Y6" s="7" t="inlineStr">
        <is>
          <t>3. Override (replaces 1 + 2)</t>
        </is>
      </c>
      <c r="AJ6" s="7" t="inlineStr">
        <is>
          <t>4. Cases forecast used</t>
        </is>
      </c>
    </row>
    <row r="7">
      <c r="A7" s="7" t="inlineStr">
        <is>
          <t>Month</t>
        </is>
      </c>
      <c r="B7" s="7" t="inlineStr">
        <is>
          <t>Status</t>
        </is>
      </c>
      <c r="C7" s="7">
        <f>Inputs!$A$36</f>
        <v/>
      </c>
      <c r="D7" s="7">
        <f>Inputs!$A$37</f>
        <v/>
      </c>
      <c r="E7" s="7">
        <f>Inputs!$A$38</f>
        <v/>
      </c>
      <c r="F7" s="7">
        <f>Inputs!$A$39</f>
        <v/>
      </c>
      <c r="G7" s="7">
        <f>Inputs!$A$40</f>
        <v/>
      </c>
      <c r="H7" s="7">
        <f>Inputs!$A$41</f>
        <v/>
      </c>
      <c r="I7" s="7">
        <f>Inputs!$A$42</f>
        <v/>
      </c>
      <c r="J7" s="7">
        <f>Inputs!$A$43</f>
        <v/>
      </c>
      <c r="K7" s="7">
        <f>Inputs!$A$44</f>
        <v/>
      </c>
      <c r="L7" s="7">
        <f>Inputs!$A$45</f>
        <v/>
      </c>
      <c r="N7" s="7">
        <f>Inputs!$A$36</f>
        <v/>
      </c>
      <c r="O7" s="7">
        <f>Inputs!$A$37</f>
        <v/>
      </c>
      <c r="P7" s="7">
        <f>Inputs!$A$38</f>
        <v/>
      </c>
      <c r="Q7" s="7">
        <f>Inputs!$A$39</f>
        <v/>
      </c>
      <c r="R7" s="7">
        <f>Inputs!$A$40</f>
        <v/>
      </c>
      <c r="S7" s="7">
        <f>Inputs!$A$41</f>
        <v/>
      </c>
      <c r="T7" s="7">
        <f>Inputs!$A$42</f>
        <v/>
      </c>
      <c r="U7" s="7">
        <f>Inputs!$A$43</f>
        <v/>
      </c>
      <c r="V7" s="7">
        <f>Inputs!$A$44</f>
        <v/>
      </c>
      <c r="W7" s="7">
        <f>Inputs!$A$45</f>
        <v/>
      </c>
      <c r="Y7" s="7">
        <f>Inputs!$A$36</f>
        <v/>
      </c>
      <c r="Z7" s="7">
        <f>Inputs!$A$37</f>
        <v/>
      </c>
      <c r="AA7" s="7">
        <f>Inputs!$A$38</f>
        <v/>
      </c>
      <c r="AB7" s="7">
        <f>Inputs!$A$39</f>
        <v/>
      </c>
      <c r="AC7" s="7">
        <f>Inputs!$A$40</f>
        <v/>
      </c>
      <c r="AD7" s="7">
        <f>Inputs!$A$41</f>
        <v/>
      </c>
      <c r="AE7" s="7">
        <f>Inputs!$A$42</f>
        <v/>
      </c>
      <c r="AF7" s="7">
        <f>Inputs!$A$43</f>
        <v/>
      </c>
      <c r="AG7" s="7">
        <f>Inputs!$A$44</f>
        <v/>
      </c>
      <c r="AH7" s="7">
        <f>Inputs!$A$45</f>
        <v/>
      </c>
      <c r="AJ7" s="7">
        <f>Inputs!$A$36</f>
        <v/>
      </c>
      <c r="AK7" s="7">
        <f>Inputs!$A$37</f>
        <v/>
      </c>
      <c r="AL7" s="7">
        <f>Inputs!$A$38</f>
        <v/>
      </c>
      <c r="AM7" s="7">
        <f>Inputs!$A$39</f>
        <v/>
      </c>
      <c r="AN7" s="7">
        <f>Inputs!$A$40</f>
        <v/>
      </c>
      <c r="AO7" s="7">
        <f>Inputs!$A$41</f>
        <v/>
      </c>
      <c r="AP7" s="7">
        <f>Inputs!$A$42</f>
        <v/>
      </c>
      <c r="AQ7" s="7">
        <f>Inputs!$A$43</f>
        <v/>
      </c>
      <c r="AR7" s="7">
        <f>Inputs!$A$44</f>
        <v/>
      </c>
      <c r="AS7" s="7">
        <f>Inputs!$A$45</f>
        <v/>
      </c>
    </row>
    <row r="8">
      <c r="A8" s="8" t="n">
        <v>45658</v>
      </c>
      <c r="B8">
        <f>IF(A8&lt;=LastActual,"Actual","Forecast")</f>
        <v/>
      </c>
      <c r="C8" s="9">
        <f>IF($B8="Actual",'NSW-1'!S15,IFERROR('NSW-1'!Y15*'NSW-1'!AB15,0))</f>
        <v/>
      </c>
      <c r="D8" s="9">
        <f>IF($B8="Actual",'VIC-1'!S15,IFERROR('VIC-1'!Y15*'VIC-1'!AB15,0))</f>
        <v/>
      </c>
      <c r="E8" s="9">
        <f>IF($B8="Actual",'QLD-1'!S15,IFERROR('QLD-1'!Y15*'QLD-1'!AB15,0))</f>
        <v/>
      </c>
      <c r="F8" s="9">
        <f>IF($B8="Actual",'NSW-2'!S15,IFERROR('NSW-2'!Y15*'NSW-2'!AB15,0))</f>
        <v/>
      </c>
      <c r="G8" s="9">
        <f>IF($B8="Actual",'VIC-2'!S15,IFERROR('VIC-2'!Y15*'VIC-2'!AB15,0))</f>
        <v/>
      </c>
      <c r="H8" s="9">
        <f>IF($B8="Actual",'QLD-2'!S15,IFERROR('QLD-2'!Y15*'QLD-2'!AB15,0))</f>
        <v/>
      </c>
      <c r="I8" s="9">
        <f>IF($B8="Actual",'SA-1'!S15,IFERROR('SA-1'!Y15*'SA-1'!AB15,0))</f>
        <v/>
      </c>
      <c r="J8" s="9">
        <f>IF($B8="Actual",'WA-1'!S15,IFERROR('WA-1'!Y15*'WA-1'!AB15,0))</f>
        <v/>
      </c>
      <c r="K8" s="9">
        <f>IF($B8="Actual",'IDC-NSW'!S15,IFERROR('IDC-NSW'!Y15*'IDC-NSW'!AB15,0))</f>
        <v/>
      </c>
      <c r="L8" s="9">
        <f>IF($B8="Actual",'IDC-VIC'!S15,IFERROR('IDC-VIC'!Y15*'IDC-VIC'!AB15,0))</f>
        <v/>
      </c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J8" s="12">
        <f>IF($B8="Actual",C8,IF(Y8&lt;&gt;"",Y8,C8+N(N8)))</f>
        <v/>
      </c>
      <c r="AK8" s="12">
        <f>IF($B8="Actual",D8,IF(Z8&lt;&gt;"",Z8,D8+N(O8)))</f>
        <v/>
      </c>
      <c r="AL8" s="12">
        <f>IF($B8="Actual",E8,IF(AA8&lt;&gt;"",AA8,E8+N(P8)))</f>
        <v/>
      </c>
      <c r="AM8" s="12">
        <f>IF($B8="Actual",F8,IF(AB8&lt;&gt;"",AB8,F8+N(Q8)))</f>
        <v/>
      </c>
      <c r="AN8" s="12">
        <f>IF($B8="Actual",G8,IF(AC8&lt;&gt;"",AC8,G8+N(R8)))</f>
        <v/>
      </c>
      <c r="AO8" s="12">
        <f>IF($B8="Actual",H8,IF(AD8&lt;&gt;"",AD8,H8+N(S8)))</f>
        <v/>
      </c>
      <c r="AP8" s="12">
        <f>IF($B8="Actual",I8,IF(AE8&lt;&gt;"",AE8,I8+N(T8)))</f>
        <v/>
      </c>
      <c r="AQ8" s="12">
        <f>IF($B8="Actual",J8,IF(AF8&lt;&gt;"",AF8,J8+N(U8)))</f>
        <v/>
      </c>
      <c r="AR8" s="12">
        <f>IF($B8="Actual",K8,IF(AG8&lt;&gt;"",AG8,K8+N(V8)))</f>
        <v/>
      </c>
      <c r="AS8" s="12">
        <f>IF($B8="Actual",L8,IF(AH8&lt;&gt;"",AH8,L8+N(W8)))</f>
        <v/>
      </c>
    </row>
    <row r="9">
      <c r="A9" s="8" t="n">
        <v>45689</v>
      </c>
      <c r="B9">
        <f>IF(A9&lt;=LastActual,"Actual","Forecast")</f>
        <v/>
      </c>
      <c r="C9" s="9">
        <f>IF($B9="Actual",'NSW-1'!S16,IFERROR('NSW-1'!Y16*'NSW-1'!AB16,0))</f>
        <v/>
      </c>
      <c r="D9" s="9">
        <f>IF($B9="Actual",'VIC-1'!S16,IFERROR('VIC-1'!Y16*'VIC-1'!AB16,0))</f>
        <v/>
      </c>
      <c r="E9" s="9">
        <f>IF($B9="Actual",'QLD-1'!S16,IFERROR('QLD-1'!Y16*'QLD-1'!AB16,0))</f>
        <v/>
      </c>
      <c r="F9" s="9">
        <f>IF($B9="Actual",'NSW-2'!S16,IFERROR('NSW-2'!Y16*'NSW-2'!AB16,0))</f>
        <v/>
      </c>
      <c r="G9" s="9">
        <f>IF($B9="Actual",'VIC-2'!S16,IFERROR('VIC-2'!Y16*'VIC-2'!AB16,0))</f>
        <v/>
      </c>
      <c r="H9" s="9">
        <f>IF($B9="Actual",'QLD-2'!S16,IFERROR('QLD-2'!Y16*'QLD-2'!AB16,0))</f>
        <v/>
      </c>
      <c r="I9" s="9">
        <f>IF($B9="Actual",'SA-1'!S16,IFERROR('SA-1'!Y16*'SA-1'!AB16,0))</f>
        <v/>
      </c>
      <c r="J9" s="9">
        <f>IF($B9="Actual",'WA-1'!S16,IFERROR('WA-1'!Y16*'WA-1'!AB16,0))</f>
        <v/>
      </c>
      <c r="K9" s="9">
        <f>IF($B9="Actual",'IDC-NSW'!S16,IFERROR('IDC-NSW'!Y16*'IDC-NSW'!AB16,0))</f>
        <v/>
      </c>
      <c r="L9" s="9">
        <f>IF($B9="Actual",'IDC-VIC'!S16,IFERROR('IDC-VIC'!Y16*'IDC-VIC'!AB16,0))</f>
        <v/>
      </c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J9" s="12">
        <f>IF($B9="Actual",C9,IF(Y9&lt;&gt;"",Y9,C9+N(N9)))</f>
        <v/>
      </c>
      <c r="AK9" s="12">
        <f>IF($B9="Actual",D9,IF(Z9&lt;&gt;"",Z9,D9+N(O9)))</f>
        <v/>
      </c>
      <c r="AL9" s="12">
        <f>IF($B9="Actual",E9,IF(AA9&lt;&gt;"",AA9,E9+N(P9)))</f>
        <v/>
      </c>
      <c r="AM9" s="12">
        <f>IF($B9="Actual",F9,IF(AB9&lt;&gt;"",AB9,F9+N(Q9)))</f>
        <v/>
      </c>
      <c r="AN9" s="12">
        <f>IF($B9="Actual",G9,IF(AC9&lt;&gt;"",AC9,G9+N(R9)))</f>
        <v/>
      </c>
      <c r="AO9" s="12">
        <f>IF($B9="Actual",H9,IF(AD9&lt;&gt;"",AD9,H9+N(S9)))</f>
        <v/>
      </c>
      <c r="AP9" s="12">
        <f>IF($B9="Actual",I9,IF(AE9&lt;&gt;"",AE9,I9+N(T9)))</f>
        <v/>
      </c>
      <c r="AQ9" s="12">
        <f>IF($B9="Actual",J9,IF(AF9&lt;&gt;"",AF9,J9+N(U9)))</f>
        <v/>
      </c>
      <c r="AR9" s="12">
        <f>IF($B9="Actual",K9,IF(AG9&lt;&gt;"",AG9,K9+N(V9)))</f>
        <v/>
      </c>
      <c r="AS9" s="12">
        <f>IF($B9="Actual",L9,IF(AH9&lt;&gt;"",AH9,L9+N(W9)))</f>
        <v/>
      </c>
    </row>
    <row r="10">
      <c r="A10" s="8" t="n">
        <v>45717</v>
      </c>
      <c r="B10">
        <f>IF(A10&lt;=LastActual,"Actual","Forecast")</f>
        <v/>
      </c>
      <c r="C10" s="9">
        <f>IF($B10="Actual",'NSW-1'!S17,IFERROR('NSW-1'!Y17*'NSW-1'!AB17,0))</f>
        <v/>
      </c>
      <c r="D10" s="9">
        <f>IF($B10="Actual",'VIC-1'!S17,IFERROR('VIC-1'!Y17*'VIC-1'!AB17,0))</f>
        <v/>
      </c>
      <c r="E10" s="9">
        <f>IF($B10="Actual",'QLD-1'!S17,IFERROR('QLD-1'!Y17*'QLD-1'!AB17,0))</f>
        <v/>
      </c>
      <c r="F10" s="9">
        <f>IF($B10="Actual",'NSW-2'!S17,IFERROR('NSW-2'!Y17*'NSW-2'!AB17,0))</f>
        <v/>
      </c>
      <c r="G10" s="9">
        <f>IF($B10="Actual",'VIC-2'!S17,IFERROR('VIC-2'!Y17*'VIC-2'!AB17,0))</f>
        <v/>
      </c>
      <c r="H10" s="9">
        <f>IF($B10="Actual",'QLD-2'!S17,IFERROR('QLD-2'!Y17*'QLD-2'!AB17,0))</f>
        <v/>
      </c>
      <c r="I10" s="9">
        <f>IF($B10="Actual",'SA-1'!S17,IFERROR('SA-1'!Y17*'SA-1'!AB17,0))</f>
        <v/>
      </c>
      <c r="J10" s="9">
        <f>IF($B10="Actual",'WA-1'!S17,IFERROR('WA-1'!Y17*'WA-1'!AB17,0))</f>
        <v/>
      </c>
      <c r="K10" s="9">
        <f>IF($B10="Actual",'IDC-NSW'!S17,IFERROR('IDC-NSW'!Y17*'IDC-NSW'!AB17,0))</f>
        <v/>
      </c>
      <c r="L10" s="9">
        <f>IF($B10="Actual",'IDC-VIC'!S17,IFERROR('IDC-VIC'!Y17*'IDC-VIC'!AB17,0))</f>
        <v/>
      </c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J10" s="12">
        <f>IF($B10="Actual",C10,IF(Y10&lt;&gt;"",Y10,C10+N(N10)))</f>
        <v/>
      </c>
      <c r="AK10" s="12">
        <f>IF($B10="Actual",D10,IF(Z10&lt;&gt;"",Z10,D10+N(O10)))</f>
        <v/>
      </c>
      <c r="AL10" s="12">
        <f>IF($B10="Actual",E10,IF(AA10&lt;&gt;"",AA10,E10+N(P10)))</f>
        <v/>
      </c>
      <c r="AM10" s="12">
        <f>IF($B10="Actual",F10,IF(AB10&lt;&gt;"",AB10,F10+N(Q10)))</f>
        <v/>
      </c>
      <c r="AN10" s="12">
        <f>IF($B10="Actual",G10,IF(AC10&lt;&gt;"",AC10,G10+N(R10)))</f>
        <v/>
      </c>
      <c r="AO10" s="12">
        <f>IF($B10="Actual",H10,IF(AD10&lt;&gt;"",AD10,H10+N(S10)))</f>
        <v/>
      </c>
      <c r="AP10" s="12">
        <f>IF($B10="Actual",I10,IF(AE10&lt;&gt;"",AE10,I10+N(T10)))</f>
        <v/>
      </c>
      <c r="AQ10" s="12">
        <f>IF($B10="Actual",J10,IF(AF10&lt;&gt;"",AF10,J10+N(U10)))</f>
        <v/>
      </c>
      <c r="AR10" s="12">
        <f>IF($B10="Actual",K10,IF(AG10&lt;&gt;"",AG10,K10+N(V10)))</f>
        <v/>
      </c>
      <c r="AS10" s="12">
        <f>IF($B10="Actual",L10,IF(AH10&lt;&gt;"",AH10,L10+N(W10)))</f>
        <v/>
      </c>
    </row>
    <row r="11">
      <c r="A11" s="8" t="n">
        <v>45748</v>
      </c>
      <c r="B11">
        <f>IF(A11&lt;=LastActual,"Actual","Forecast")</f>
        <v/>
      </c>
      <c r="C11" s="9">
        <f>IF($B11="Actual",'NSW-1'!S18,IFERROR('NSW-1'!Y18*'NSW-1'!AB18,0))</f>
        <v/>
      </c>
      <c r="D11" s="9">
        <f>IF($B11="Actual",'VIC-1'!S18,IFERROR('VIC-1'!Y18*'VIC-1'!AB18,0))</f>
        <v/>
      </c>
      <c r="E11" s="9">
        <f>IF($B11="Actual",'QLD-1'!S18,IFERROR('QLD-1'!Y18*'QLD-1'!AB18,0))</f>
        <v/>
      </c>
      <c r="F11" s="9">
        <f>IF($B11="Actual",'NSW-2'!S18,IFERROR('NSW-2'!Y18*'NSW-2'!AB18,0))</f>
        <v/>
      </c>
      <c r="G11" s="9">
        <f>IF($B11="Actual",'VIC-2'!S18,IFERROR('VIC-2'!Y18*'VIC-2'!AB18,0))</f>
        <v/>
      </c>
      <c r="H11" s="9">
        <f>IF($B11="Actual",'QLD-2'!S18,IFERROR('QLD-2'!Y18*'QLD-2'!AB18,0))</f>
        <v/>
      </c>
      <c r="I11" s="9">
        <f>IF($B11="Actual",'SA-1'!S18,IFERROR('SA-1'!Y18*'SA-1'!AB18,0))</f>
        <v/>
      </c>
      <c r="J11" s="9">
        <f>IF($B11="Actual",'WA-1'!S18,IFERROR('WA-1'!Y18*'WA-1'!AB18,0))</f>
        <v/>
      </c>
      <c r="K11" s="9">
        <f>IF($B11="Actual",'IDC-NSW'!S18,IFERROR('IDC-NSW'!Y18*'IDC-NSW'!AB18,0))</f>
        <v/>
      </c>
      <c r="L11" s="9">
        <f>IF($B11="Actual",'IDC-VIC'!S18,IFERROR('IDC-VIC'!Y18*'IDC-VIC'!AB18,0))</f>
        <v/>
      </c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J11" s="12">
        <f>IF($B11="Actual",C11,IF(Y11&lt;&gt;"",Y11,C11+N(N11)))</f>
        <v/>
      </c>
      <c r="AK11" s="12">
        <f>IF($B11="Actual",D11,IF(Z11&lt;&gt;"",Z11,D11+N(O11)))</f>
        <v/>
      </c>
      <c r="AL11" s="12">
        <f>IF($B11="Actual",E11,IF(AA11&lt;&gt;"",AA11,E11+N(P11)))</f>
        <v/>
      </c>
      <c r="AM11" s="12">
        <f>IF($B11="Actual",F11,IF(AB11&lt;&gt;"",AB11,F11+N(Q11)))</f>
        <v/>
      </c>
      <c r="AN11" s="12">
        <f>IF($B11="Actual",G11,IF(AC11&lt;&gt;"",AC11,G11+N(R11)))</f>
        <v/>
      </c>
      <c r="AO11" s="12">
        <f>IF($B11="Actual",H11,IF(AD11&lt;&gt;"",AD11,H11+N(S11)))</f>
        <v/>
      </c>
      <c r="AP11" s="12">
        <f>IF($B11="Actual",I11,IF(AE11&lt;&gt;"",AE11,I11+N(T11)))</f>
        <v/>
      </c>
      <c r="AQ11" s="12">
        <f>IF($B11="Actual",J11,IF(AF11&lt;&gt;"",AF11,J11+N(U11)))</f>
        <v/>
      </c>
      <c r="AR11" s="12">
        <f>IF($B11="Actual",K11,IF(AG11&lt;&gt;"",AG11,K11+N(V11)))</f>
        <v/>
      </c>
      <c r="AS11" s="12">
        <f>IF($B11="Actual",L11,IF(AH11&lt;&gt;"",AH11,L11+N(W11)))</f>
        <v/>
      </c>
    </row>
    <row r="12">
      <c r="A12" s="8" t="n">
        <v>45778</v>
      </c>
      <c r="B12">
        <f>IF(A12&lt;=LastActual,"Actual","Forecast")</f>
        <v/>
      </c>
      <c r="C12" s="9">
        <f>IF($B12="Actual",'NSW-1'!S19,IFERROR('NSW-1'!Y19*'NSW-1'!AB19,0))</f>
        <v/>
      </c>
      <c r="D12" s="9">
        <f>IF($B12="Actual",'VIC-1'!S19,IFERROR('VIC-1'!Y19*'VIC-1'!AB19,0))</f>
        <v/>
      </c>
      <c r="E12" s="9">
        <f>IF($B12="Actual",'QLD-1'!S19,IFERROR('QLD-1'!Y19*'QLD-1'!AB19,0))</f>
        <v/>
      </c>
      <c r="F12" s="9">
        <f>IF($B12="Actual",'NSW-2'!S19,IFERROR('NSW-2'!Y19*'NSW-2'!AB19,0))</f>
        <v/>
      </c>
      <c r="G12" s="9">
        <f>IF($B12="Actual",'VIC-2'!S19,IFERROR('VIC-2'!Y19*'VIC-2'!AB19,0))</f>
        <v/>
      </c>
      <c r="H12" s="9">
        <f>IF($B12="Actual",'QLD-2'!S19,IFERROR('QLD-2'!Y19*'QLD-2'!AB19,0))</f>
        <v/>
      </c>
      <c r="I12" s="9">
        <f>IF($B12="Actual",'SA-1'!S19,IFERROR('SA-1'!Y19*'SA-1'!AB19,0))</f>
        <v/>
      </c>
      <c r="J12" s="9">
        <f>IF($B12="Actual",'WA-1'!S19,IFERROR('WA-1'!Y19*'WA-1'!AB19,0))</f>
        <v/>
      </c>
      <c r="K12" s="9">
        <f>IF($B12="Actual",'IDC-NSW'!S19,IFERROR('IDC-NSW'!Y19*'IDC-NSW'!AB19,0))</f>
        <v/>
      </c>
      <c r="L12" s="9">
        <f>IF($B12="Actual",'IDC-VIC'!S19,IFERROR('IDC-VIC'!Y19*'IDC-VIC'!AB19,0))</f>
        <v/>
      </c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J12" s="12">
        <f>IF($B12="Actual",C12,IF(Y12&lt;&gt;"",Y12,C12+N(N12)))</f>
        <v/>
      </c>
      <c r="AK12" s="12">
        <f>IF($B12="Actual",D12,IF(Z12&lt;&gt;"",Z12,D12+N(O12)))</f>
        <v/>
      </c>
      <c r="AL12" s="12">
        <f>IF($B12="Actual",E12,IF(AA12&lt;&gt;"",AA12,E12+N(P12)))</f>
        <v/>
      </c>
      <c r="AM12" s="12">
        <f>IF($B12="Actual",F12,IF(AB12&lt;&gt;"",AB12,F12+N(Q12)))</f>
        <v/>
      </c>
      <c r="AN12" s="12">
        <f>IF($B12="Actual",G12,IF(AC12&lt;&gt;"",AC12,G12+N(R12)))</f>
        <v/>
      </c>
      <c r="AO12" s="12">
        <f>IF($B12="Actual",H12,IF(AD12&lt;&gt;"",AD12,H12+N(S12)))</f>
        <v/>
      </c>
      <c r="AP12" s="12">
        <f>IF($B12="Actual",I12,IF(AE12&lt;&gt;"",AE12,I12+N(T12)))</f>
        <v/>
      </c>
      <c r="AQ12" s="12">
        <f>IF($B12="Actual",J12,IF(AF12&lt;&gt;"",AF12,J12+N(U12)))</f>
        <v/>
      </c>
      <c r="AR12" s="12">
        <f>IF($B12="Actual",K12,IF(AG12&lt;&gt;"",AG12,K12+N(V12)))</f>
        <v/>
      </c>
      <c r="AS12" s="12">
        <f>IF($B12="Actual",L12,IF(AH12&lt;&gt;"",AH12,L12+N(W12)))</f>
        <v/>
      </c>
    </row>
    <row r="13">
      <c r="A13" s="8" t="n">
        <v>45809</v>
      </c>
      <c r="B13">
        <f>IF(A13&lt;=LastActual,"Actual","Forecast")</f>
        <v/>
      </c>
      <c r="C13" s="9">
        <f>IF($B13="Actual",'NSW-1'!S20,IFERROR('NSW-1'!Y20*'NSW-1'!AB20,0))</f>
        <v/>
      </c>
      <c r="D13" s="9">
        <f>IF($B13="Actual",'VIC-1'!S20,IFERROR('VIC-1'!Y20*'VIC-1'!AB20,0))</f>
        <v/>
      </c>
      <c r="E13" s="9">
        <f>IF($B13="Actual",'QLD-1'!S20,IFERROR('QLD-1'!Y20*'QLD-1'!AB20,0))</f>
        <v/>
      </c>
      <c r="F13" s="9">
        <f>IF($B13="Actual",'NSW-2'!S20,IFERROR('NSW-2'!Y20*'NSW-2'!AB20,0))</f>
        <v/>
      </c>
      <c r="G13" s="9">
        <f>IF($B13="Actual",'VIC-2'!S20,IFERROR('VIC-2'!Y20*'VIC-2'!AB20,0))</f>
        <v/>
      </c>
      <c r="H13" s="9">
        <f>IF($B13="Actual",'QLD-2'!S20,IFERROR('QLD-2'!Y20*'QLD-2'!AB20,0))</f>
        <v/>
      </c>
      <c r="I13" s="9">
        <f>IF($B13="Actual",'SA-1'!S20,IFERROR('SA-1'!Y20*'SA-1'!AB20,0))</f>
        <v/>
      </c>
      <c r="J13" s="9">
        <f>IF($B13="Actual",'WA-1'!S20,IFERROR('WA-1'!Y20*'WA-1'!AB20,0))</f>
        <v/>
      </c>
      <c r="K13" s="9">
        <f>IF($B13="Actual",'IDC-NSW'!S20,IFERROR('IDC-NSW'!Y20*'IDC-NSW'!AB20,0))</f>
        <v/>
      </c>
      <c r="L13" s="9">
        <f>IF($B13="Actual",'IDC-VIC'!S20,IFERROR('IDC-VIC'!Y20*'IDC-VIC'!AB20,0))</f>
        <v/>
      </c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J13" s="12">
        <f>IF($B13="Actual",C13,IF(Y13&lt;&gt;"",Y13,C13+N(N13)))</f>
        <v/>
      </c>
      <c r="AK13" s="12">
        <f>IF($B13="Actual",D13,IF(Z13&lt;&gt;"",Z13,D13+N(O13)))</f>
        <v/>
      </c>
      <c r="AL13" s="12">
        <f>IF($B13="Actual",E13,IF(AA13&lt;&gt;"",AA13,E13+N(P13)))</f>
        <v/>
      </c>
      <c r="AM13" s="12">
        <f>IF($B13="Actual",F13,IF(AB13&lt;&gt;"",AB13,F13+N(Q13)))</f>
        <v/>
      </c>
      <c r="AN13" s="12">
        <f>IF($B13="Actual",G13,IF(AC13&lt;&gt;"",AC13,G13+N(R13)))</f>
        <v/>
      </c>
      <c r="AO13" s="12">
        <f>IF($B13="Actual",H13,IF(AD13&lt;&gt;"",AD13,H13+N(S13)))</f>
        <v/>
      </c>
      <c r="AP13" s="12">
        <f>IF($B13="Actual",I13,IF(AE13&lt;&gt;"",AE13,I13+N(T13)))</f>
        <v/>
      </c>
      <c r="AQ13" s="12">
        <f>IF($B13="Actual",J13,IF(AF13&lt;&gt;"",AF13,J13+N(U13)))</f>
        <v/>
      </c>
      <c r="AR13" s="12">
        <f>IF($B13="Actual",K13,IF(AG13&lt;&gt;"",AG13,K13+N(V13)))</f>
        <v/>
      </c>
      <c r="AS13" s="12">
        <f>IF($B13="Actual",L13,IF(AH13&lt;&gt;"",AH13,L13+N(W13)))</f>
        <v/>
      </c>
    </row>
    <row r="14">
      <c r="A14" s="8" t="n">
        <v>45839</v>
      </c>
      <c r="B14">
        <f>IF(A14&lt;=LastActual,"Actual","Forecast")</f>
        <v/>
      </c>
      <c r="C14" s="9">
        <f>IF($B14="Actual",'NSW-1'!S21,IFERROR('NSW-1'!Y21*'NSW-1'!AB21,0))</f>
        <v/>
      </c>
      <c r="D14" s="9">
        <f>IF($B14="Actual",'VIC-1'!S21,IFERROR('VIC-1'!Y21*'VIC-1'!AB21,0))</f>
        <v/>
      </c>
      <c r="E14" s="9">
        <f>IF($B14="Actual",'QLD-1'!S21,IFERROR('QLD-1'!Y21*'QLD-1'!AB21,0))</f>
        <v/>
      </c>
      <c r="F14" s="9">
        <f>IF($B14="Actual",'NSW-2'!S21,IFERROR('NSW-2'!Y21*'NSW-2'!AB21,0))</f>
        <v/>
      </c>
      <c r="G14" s="9">
        <f>IF($B14="Actual",'VIC-2'!S21,IFERROR('VIC-2'!Y21*'VIC-2'!AB21,0))</f>
        <v/>
      </c>
      <c r="H14" s="9">
        <f>IF($B14="Actual",'QLD-2'!S21,IFERROR('QLD-2'!Y21*'QLD-2'!AB21,0))</f>
        <v/>
      </c>
      <c r="I14" s="9">
        <f>IF($B14="Actual",'SA-1'!S21,IFERROR('SA-1'!Y21*'SA-1'!AB21,0))</f>
        <v/>
      </c>
      <c r="J14" s="9">
        <f>IF($B14="Actual",'WA-1'!S21,IFERROR('WA-1'!Y21*'WA-1'!AB21,0))</f>
        <v/>
      </c>
      <c r="K14" s="9">
        <f>IF($B14="Actual",'IDC-NSW'!S21,IFERROR('IDC-NSW'!Y21*'IDC-NSW'!AB21,0))</f>
        <v/>
      </c>
      <c r="L14" s="9">
        <f>IF($B14="Actual",'IDC-VIC'!S21,IFERROR('IDC-VIC'!Y21*'IDC-VIC'!AB21,0))</f>
        <v/>
      </c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J14" s="12">
        <f>IF($B14="Actual",C14,IF(Y14&lt;&gt;"",Y14,C14+N(N14)))</f>
        <v/>
      </c>
      <c r="AK14" s="12">
        <f>IF($B14="Actual",D14,IF(Z14&lt;&gt;"",Z14,D14+N(O14)))</f>
        <v/>
      </c>
      <c r="AL14" s="12">
        <f>IF($B14="Actual",E14,IF(AA14&lt;&gt;"",AA14,E14+N(P14)))</f>
        <v/>
      </c>
      <c r="AM14" s="12">
        <f>IF($B14="Actual",F14,IF(AB14&lt;&gt;"",AB14,F14+N(Q14)))</f>
        <v/>
      </c>
      <c r="AN14" s="12">
        <f>IF($B14="Actual",G14,IF(AC14&lt;&gt;"",AC14,G14+N(R14)))</f>
        <v/>
      </c>
      <c r="AO14" s="12">
        <f>IF($B14="Actual",H14,IF(AD14&lt;&gt;"",AD14,H14+N(S14)))</f>
        <v/>
      </c>
      <c r="AP14" s="12">
        <f>IF($B14="Actual",I14,IF(AE14&lt;&gt;"",AE14,I14+N(T14)))</f>
        <v/>
      </c>
      <c r="AQ14" s="12">
        <f>IF($B14="Actual",J14,IF(AF14&lt;&gt;"",AF14,J14+N(U14)))</f>
        <v/>
      </c>
      <c r="AR14" s="12">
        <f>IF($B14="Actual",K14,IF(AG14&lt;&gt;"",AG14,K14+N(V14)))</f>
        <v/>
      </c>
      <c r="AS14" s="12">
        <f>IF($B14="Actual",L14,IF(AH14&lt;&gt;"",AH14,L14+N(W14)))</f>
        <v/>
      </c>
    </row>
    <row r="15">
      <c r="A15" s="8" t="n">
        <v>45870</v>
      </c>
      <c r="B15">
        <f>IF(A15&lt;=LastActual,"Actual","Forecast")</f>
        <v/>
      </c>
      <c r="C15" s="9">
        <f>IF($B15="Actual",'NSW-1'!S22,IFERROR('NSW-1'!Y22*'NSW-1'!AB22,0))</f>
        <v/>
      </c>
      <c r="D15" s="9">
        <f>IF($B15="Actual",'VIC-1'!S22,IFERROR('VIC-1'!Y22*'VIC-1'!AB22,0))</f>
        <v/>
      </c>
      <c r="E15" s="9">
        <f>IF($B15="Actual",'QLD-1'!S22,IFERROR('QLD-1'!Y22*'QLD-1'!AB22,0))</f>
        <v/>
      </c>
      <c r="F15" s="9">
        <f>IF($B15="Actual",'NSW-2'!S22,IFERROR('NSW-2'!Y22*'NSW-2'!AB22,0))</f>
        <v/>
      </c>
      <c r="G15" s="9">
        <f>IF($B15="Actual",'VIC-2'!S22,IFERROR('VIC-2'!Y22*'VIC-2'!AB22,0))</f>
        <v/>
      </c>
      <c r="H15" s="9">
        <f>IF($B15="Actual",'QLD-2'!S22,IFERROR('QLD-2'!Y22*'QLD-2'!AB22,0))</f>
        <v/>
      </c>
      <c r="I15" s="9">
        <f>IF($B15="Actual",'SA-1'!S22,IFERROR('SA-1'!Y22*'SA-1'!AB22,0))</f>
        <v/>
      </c>
      <c r="J15" s="9">
        <f>IF($B15="Actual",'WA-1'!S22,IFERROR('WA-1'!Y22*'WA-1'!AB22,0))</f>
        <v/>
      </c>
      <c r="K15" s="9">
        <f>IF($B15="Actual",'IDC-NSW'!S22,IFERROR('IDC-NSW'!Y22*'IDC-NSW'!AB22,0))</f>
        <v/>
      </c>
      <c r="L15" s="9">
        <f>IF($B15="Actual",'IDC-VIC'!S22,IFERROR('IDC-VIC'!Y22*'IDC-VIC'!AB22,0))</f>
        <v/>
      </c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J15" s="12">
        <f>IF($B15="Actual",C15,IF(Y15&lt;&gt;"",Y15,C15+N(N15)))</f>
        <v/>
      </c>
      <c r="AK15" s="12">
        <f>IF($B15="Actual",D15,IF(Z15&lt;&gt;"",Z15,D15+N(O15)))</f>
        <v/>
      </c>
      <c r="AL15" s="12">
        <f>IF($B15="Actual",E15,IF(AA15&lt;&gt;"",AA15,E15+N(P15)))</f>
        <v/>
      </c>
      <c r="AM15" s="12">
        <f>IF($B15="Actual",F15,IF(AB15&lt;&gt;"",AB15,F15+N(Q15)))</f>
        <v/>
      </c>
      <c r="AN15" s="12">
        <f>IF($B15="Actual",G15,IF(AC15&lt;&gt;"",AC15,G15+N(R15)))</f>
        <v/>
      </c>
      <c r="AO15" s="12">
        <f>IF($B15="Actual",H15,IF(AD15&lt;&gt;"",AD15,H15+N(S15)))</f>
        <v/>
      </c>
      <c r="AP15" s="12">
        <f>IF($B15="Actual",I15,IF(AE15&lt;&gt;"",AE15,I15+N(T15)))</f>
        <v/>
      </c>
      <c r="AQ15" s="12">
        <f>IF($B15="Actual",J15,IF(AF15&lt;&gt;"",AF15,J15+N(U15)))</f>
        <v/>
      </c>
      <c r="AR15" s="12">
        <f>IF($B15="Actual",K15,IF(AG15&lt;&gt;"",AG15,K15+N(V15)))</f>
        <v/>
      </c>
      <c r="AS15" s="12">
        <f>IF($B15="Actual",L15,IF(AH15&lt;&gt;"",AH15,L15+N(W15)))</f>
        <v/>
      </c>
    </row>
    <row r="16">
      <c r="A16" s="8" t="n">
        <v>45901</v>
      </c>
      <c r="B16">
        <f>IF(A16&lt;=LastActual,"Actual","Forecast")</f>
        <v/>
      </c>
      <c r="C16" s="9">
        <f>IF($B16="Actual",'NSW-1'!S23,IFERROR('NSW-1'!Y23*'NSW-1'!AB23,0))</f>
        <v/>
      </c>
      <c r="D16" s="9">
        <f>IF($B16="Actual",'VIC-1'!S23,IFERROR('VIC-1'!Y23*'VIC-1'!AB23,0))</f>
        <v/>
      </c>
      <c r="E16" s="9">
        <f>IF($B16="Actual",'QLD-1'!S23,IFERROR('QLD-1'!Y23*'QLD-1'!AB23,0))</f>
        <v/>
      </c>
      <c r="F16" s="9">
        <f>IF($B16="Actual",'NSW-2'!S23,IFERROR('NSW-2'!Y23*'NSW-2'!AB23,0))</f>
        <v/>
      </c>
      <c r="G16" s="9">
        <f>IF($B16="Actual",'VIC-2'!S23,IFERROR('VIC-2'!Y23*'VIC-2'!AB23,0))</f>
        <v/>
      </c>
      <c r="H16" s="9">
        <f>IF($B16="Actual",'QLD-2'!S23,IFERROR('QLD-2'!Y23*'QLD-2'!AB23,0))</f>
        <v/>
      </c>
      <c r="I16" s="9">
        <f>IF($B16="Actual",'SA-1'!S23,IFERROR('SA-1'!Y23*'SA-1'!AB23,0))</f>
        <v/>
      </c>
      <c r="J16" s="9">
        <f>IF($B16="Actual",'WA-1'!S23,IFERROR('WA-1'!Y23*'WA-1'!AB23,0))</f>
        <v/>
      </c>
      <c r="K16" s="9">
        <f>IF($B16="Actual",'IDC-NSW'!S23,IFERROR('IDC-NSW'!Y23*'IDC-NSW'!AB23,0))</f>
        <v/>
      </c>
      <c r="L16" s="9">
        <f>IF($B16="Actual",'IDC-VIC'!S23,IFERROR('IDC-VIC'!Y23*'IDC-VIC'!AB23,0))</f>
        <v/>
      </c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J16" s="12">
        <f>IF($B16="Actual",C16,IF(Y16&lt;&gt;"",Y16,C16+N(N16)))</f>
        <v/>
      </c>
      <c r="AK16" s="12">
        <f>IF($B16="Actual",D16,IF(Z16&lt;&gt;"",Z16,D16+N(O16)))</f>
        <v/>
      </c>
      <c r="AL16" s="12">
        <f>IF($B16="Actual",E16,IF(AA16&lt;&gt;"",AA16,E16+N(P16)))</f>
        <v/>
      </c>
      <c r="AM16" s="12">
        <f>IF($B16="Actual",F16,IF(AB16&lt;&gt;"",AB16,F16+N(Q16)))</f>
        <v/>
      </c>
      <c r="AN16" s="12">
        <f>IF($B16="Actual",G16,IF(AC16&lt;&gt;"",AC16,G16+N(R16)))</f>
        <v/>
      </c>
      <c r="AO16" s="12">
        <f>IF($B16="Actual",H16,IF(AD16&lt;&gt;"",AD16,H16+N(S16)))</f>
        <v/>
      </c>
      <c r="AP16" s="12">
        <f>IF($B16="Actual",I16,IF(AE16&lt;&gt;"",AE16,I16+N(T16)))</f>
        <v/>
      </c>
      <c r="AQ16" s="12">
        <f>IF($B16="Actual",J16,IF(AF16&lt;&gt;"",AF16,J16+N(U16)))</f>
        <v/>
      </c>
      <c r="AR16" s="12">
        <f>IF($B16="Actual",K16,IF(AG16&lt;&gt;"",AG16,K16+N(V16)))</f>
        <v/>
      </c>
      <c r="AS16" s="12">
        <f>IF($B16="Actual",L16,IF(AH16&lt;&gt;"",AH16,L16+N(W16)))</f>
        <v/>
      </c>
    </row>
    <row r="17">
      <c r="A17" s="8" t="n">
        <v>45931</v>
      </c>
      <c r="B17">
        <f>IF(A17&lt;=LastActual,"Actual","Forecast")</f>
        <v/>
      </c>
      <c r="C17" s="9">
        <f>IF($B17="Actual",'NSW-1'!S24,IFERROR('NSW-1'!Y24*'NSW-1'!AB24,0))</f>
        <v/>
      </c>
      <c r="D17" s="9">
        <f>IF($B17="Actual",'VIC-1'!S24,IFERROR('VIC-1'!Y24*'VIC-1'!AB24,0))</f>
        <v/>
      </c>
      <c r="E17" s="9">
        <f>IF($B17="Actual",'QLD-1'!S24,IFERROR('QLD-1'!Y24*'QLD-1'!AB24,0))</f>
        <v/>
      </c>
      <c r="F17" s="9">
        <f>IF($B17="Actual",'NSW-2'!S24,IFERROR('NSW-2'!Y24*'NSW-2'!AB24,0))</f>
        <v/>
      </c>
      <c r="G17" s="9">
        <f>IF($B17="Actual",'VIC-2'!S24,IFERROR('VIC-2'!Y24*'VIC-2'!AB24,0))</f>
        <v/>
      </c>
      <c r="H17" s="9">
        <f>IF($B17="Actual",'QLD-2'!S24,IFERROR('QLD-2'!Y24*'QLD-2'!AB24,0))</f>
        <v/>
      </c>
      <c r="I17" s="9">
        <f>IF($B17="Actual",'SA-1'!S24,IFERROR('SA-1'!Y24*'SA-1'!AB24,0))</f>
        <v/>
      </c>
      <c r="J17" s="9">
        <f>IF($B17="Actual",'WA-1'!S24,IFERROR('WA-1'!Y24*'WA-1'!AB24,0))</f>
        <v/>
      </c>
      <c r="K17" s="9">
        <f>IF($B17="Actual",'IDC-NSW'!S24,IFERROR('IDC-NSW'!Y24*'IDC-NSW'!AB24,0))</f>
        <v/>
      </c>
      <c r="L17" s="9">
        <f>IF($B17="Actual",'IDC-VIC'!S24,IFERROR('IDC-VIC'!Y24*'IDC-VIC'!AB24,0))</f>
        <v/>
      </c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J17" s="12">
        <f>IF($B17="Actual",C17,IF(Y17&lt;&gt;"",Y17,C17+N(N17)))</f>
        <v/>
      </c>
      <c r="AK17" s="12">
        <f>IF($B17="Actual",D17,IF(Z17&lt;&gt;"",Z17,D17+N(O17)))</f>
        <v/>
      </c>
      <c r="AL17" s="12">
        <f>IF($B17="Actual",E17,IF(AA17&lt;&gt;"",AA17,E17+N(P17)))</f>
        <v/>
      </c>
      <c r="AM17" s="12">
        <f>IF($B17="Actual",F17,IF(AB17&lt;&gt;"",AB17,F17+N(Q17)))</f>
        <v/>
      </c>
      <c r="AN17" s="12">
        <f>IF($B17="Actual",G17,IF(AC17&lt;&gt;"",AC17,G17+N(R17)))</f>
        <v/>
      </c>
      <c r="AO17" s="12">
        <f>IF($B17="Actual",H17,IF(AD17&lt;&gt;"",AD17,H17+N(S17)))</f>
        <v/>
      </c>
      <c r="AP17" s="12">
        <f>IF($B17="Actual",I17,IF(AE17&lt;&gt;"",AE17,I17+N(T17)))</f>
        <v/>
      </c>
      <c r="AQ17" s="12">
        <f>IF($B17="Actual",J17,IF(AF17&lt;&gt;"",AF17,J17+N(U17)))</f>
        <v/>
      </c>
      <c r="AR17" s="12">
        <f>IF($B17="Actual",K17,IF(AG17&lt;&gt;"",AG17,K17+N(V17)))</f>
        <v/>
      </c>
      <c r="AS17" s="12">
        <f>IF($B17="Actual",L17,IF(AH17&lt;&gt;"",AH17,L17+N(W17)))</f>
        <v/>
      </c>
    </row>
    <row r="18">
      <c r="A18" s="8" t="n">
        <v>45962</v>
      </c>
      <c r="B18">
        <f>IF(A18&lt;=LastActual,"Actual","Forecast")</f>
        <v/>
      </c>
      <c r="C18" s="9">
        <f>IF($B18="Actual",'NSW-1'!S25,IFERROR('NSW-1'!Y25*'NSW-1'!AB25,0))</f>
        <v/>
      </c>
      <c r="D18" s="9">
        <f>IF($B18="Actual",'VIC-1'!S25,IFERROR('VIC-1'!Y25*'VIC-1'!AB25,0))</f>
        <v/>
      </c>
      <c r="E18" s="9">
        <f>IF($B18="Actual",'QLD-1'!S25,IFERROR('QLD-1'!Y25*'QLD-1'!AB25,0))</f>
        <v/>
      </c>
      <c r="F18" s="9">
        <f>IF($B18="Actual",'NSW-2'!S25,IFERROR('NSW-2'!Y25*'NSW-2'!AB25,0))</f>
        <v/>
      </c>
      <c r="G18" s="9">
        <f>IF($B18="Actual",'VIC-2'!S25,IFERROR('VIC-2'!Y25*'VIC-2'!AB25,0))</f>
        <v/>
      </c>
      <c r="H18" s="9">
        <f>IF($B18="Actual",'QLD-2'!S25,IFERROR('QLD-2'!Y25*'QLD-2'!AB25,0))</f>
        <v/>
      </c>
      <c r="I18" s="9">
        <f>IF($B18="Actual",'SA-1'!S25,IFERROR('SA-1'!Y25*'SA-1'!AB25,0))</f>
        <v/>
      </c>
      <c r="J18" s="9">
        <f>IF($B18="Actual",'WA-1'!S25,IFERROR('WA-1'!Y25*'WA-1'!AB25,0))</f>
        <v/>
      </c>
      <c r="K18" s="9">
        <f>IF($B18="Actual",'IDC-NSW'!S25,IFERROR('IDC-NSW'!Y25*'IDC-NSW'!AB25,0))</f>
        <v/>
      </c>
      <c r="L18" s="9">
        <f>IF($B18="Actual",'IDC-VIC'!S25,IFERROR('IDC-VIC'!Y25*'IDC-VIC'!AB25,0))</f>
        <v/>
      </c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J18" s="12">
        <f>IF($B18="Actual",C18,IF(Y18&lt;&gt;"",Y18,C18+N(N18)))</f>
        <v/>
      </c>
      <c r="AK18" s="12">
        <f>IF($B18="Actual",D18,IF(Z18&lt;&gt;"",Z18,D18+N(O18)))</f>
        <v/>
      </c>
      <c r="AL18" s="12">
        <f>IF($B18="Actual",E18,IF(AA18&lt;&gt;"",AA18,E18+N(P18)))</f>
        <v/>
      </c>
      <c r="AM18" s="12">
        <f>IF($B18="Actual",F18,IF(AB18&lt;&gt;"",AB18,F18+N(Q18)))</f>
        <v/>
      </c>
      <c r="AN18" s="12">
        <f>IF($B18="Actual",G18,IF(AC18&lt;&gt;"",AC18,G18+N(R18)))</f>
        <v/>
      </c>
      <c r="AO18" s="12">
        <f>IF($B18="Actual",H18,IF(AD18&lt;&gt;"",AD18,H18+N(S18)))</f>
        <v/>
      </c>
      <c r="AP18" s="12">
        <f>IF($B18="Actual",I18,IF(AE18&lt;&gt;"",AE18,I18+N(T18)))</f>
        <v/>
      </c>
      <c r="AQ18" s="12">
        <f>IF($B18="Actual",J18,IF(AF18&lt;&gt;"",AF18,J18+N(U18)))</f>
        <v/>
      </c>
      <c r="AR18" s="12">
        <f>IF($B18="Actual",K18,IF(AG18&lt;&gt;"",AG18,K18+N(V18)))</f>
        <v/>
      </c>
      <c r="AS18" s="12">
        <f>IF($B18="Actual",L18,IF(AH18&lt;&gt;"",AH18,L18+N(W18)))</f>
        <v/>
      </c>
    </row>
    <row r="19">
      <c r="A19" s="8" t="n">
        <v>45992</v>
      </c>
      <c r="B19">
        <f>IF(A19&lt;=LastActual,"Actual","Forecast")</f>
        <v/>
      </c>
      <c r="C19" s="9">
        <f>IF($B19="Actual",'NSW-1'!S26,IFERROR('NSW-1'!Y26*'NSW-1'!AB26,0))</f>
        <v/>
      </c>
      <c r="D19" s="9">
        <f>IF($B19="Actual",'VIC-1'!S26,IFERROR('VIC-1'!Y26*'VIC-1'!AB26,0))</f>
        <v/>
      </c>
      <c r="E19" s="9">
        <f>IF($B19="Actual",'QLD-1'!S26,IFERROR('QLD-1'!Y26*'QLD-1'!AB26,0))</f>
        <v/>
      </c>
      <c r="F19" s="9">
        <f>IF($B19="Actual",'NSW-2'!S26,IFERROR('NSW-2'!Y26*'NSW-2'!AB26,0))</f>
        <v/>
      </c>
      <c r="G19" s="9">
        <f>IF($B19="Actual",'VIC-2'!S26,IFERROR('VIC-2'!Y26*'VIC-2'!AB26,0))</f>
        <v/>
      </c>
      <c r="H19" s="9">
        <f>IF($B19="Actual",'QLD-2'!S26,IFERROR('QLD-2'!Y26*'QLD-2'!AB26,0))</f>
        <v/>
      </c>
      <c r="I19" s="9">
        <f>IF($B19="Actual",'SA-1'!S26,IFERROR('SA-1'!Y26*'SA-1'!AB26,0))</f>
        <v/>
      </c>
      <c r="J19" s="9">
        <f>IF($B19="Actual",'WA-1'!S26,IFERROR('WA-1'!Y26*'WA-1'!AB26,0))</f>
        <v/>
      </c>
      <c r="K19" s="9">
        <f>IF($B19="Actual",'IDC-NSW'!S26,IFERROR('IDC-NSW'!Y26*'IDC-NSW'!AB26,0))</f>
        <v/>
      </c>
      <c r="L19" s="9">
        <f>IF($B19="Actual",'IDC-VIC'!S26,IFERROR('IDC-VIC'!Y26*'IDC-VIC'!AB26,0))</f>
        <v/>
      </c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J19" s="12">
        <f>IF($B19="Actual",C19,IF(Y19&lt;&gt;"",Y19,C19+N(N19)))</f>
        <v/>
      </c>
      <c r="AK19" s="12">
        <f>IF($B19="Actual",D19,IF(Z19&lt;&gt;"",Z19,D19+N(O19)))</f>
        <v/>
      </c>
      <c r="AL19" s="12">
        <f>IF($B19="Actual",E19,IF(AA19&lt;&gt;"",AA19,E19+N(P19)))</f>
        <v/>
      </c>
      <c r="AM19" s="12">
        <f>IF($B19="Actual",F19,IF(AB19&lt;&gt;"",AB19,F19+N(Q19)))</f>
        <v/>
      </c>
      <c r="AN19" s="12">
        <f>IF($B19="Actual",G19,IF(AC19&lt;&gt;"",AC19,G19+N(R19)))</f>
        <v/>
      </c>
      <c r="AO19" s="12">
        <f>IF($B19="Actual",H19,IF(AD19&lt;&gt;"",AD19,H19+N(S19)))</f>
        <v/>
      </c>
      <c r="AP19" s="12">
        <f>IF($B19="Actual",I19,IF(AE19&lt;&gt;"",AE19,I19+N(T19)))</f>
        <v/>
      </c>
      <c r="AQ19" s="12">
        <f>IF($B19="Actual",J19,IF(AF19&lt;&gt;"",AF19,J19+N(U19)))</f>
        <v/>
      </c>
      <c r="AR19" s="12">
        <f>IF($B19="Actual",K19,IF(AG19&lt;&gt;"",AG19,K19+N(V19)))</f>
        <v/>
      </c>
      <c r="AS19" s="12">
        <f>IF($B19="Actual",L19,IF(AH19&lt;&gt;"",AH19,L19+N(W19)))</f>
        <v/>
      </c>
    </row>
    <row r="20">
      <c r="A20" s="8" t="n">
        <v>46023</v>
      </c>
      <c r="B20">
        <f>IF(A20&lt;=LastActual,"Actual","Forecast")</f>
        <v/>
      </c>
      <c r="C20" s="9">
        <f>IF($B20="Actual",'NSW-1'!S27,IFERROR('NSW-1'!Y27*'NSW-1'!AB27,0))</f>
        <v/>
      </c>
      <c r="D20" s="9">
        <f>IF($B20="Actual",'VIC-1'!S27,IFERROR('VIC-1'!Y27*'VIC-1'!AB27,0))</f>
        <v/>
      </c>
      <c r="E20" s="9">
        <f>IF($B20="Actual",'QLD-1'!S27,IFERROR('QLD-1'!Y27*'QLD-1'!AB27,0))</f>
        <v/>
      </c>
      <c r="F20" s="9">
        <f>IF($B20="Actual",'NSW-2'!S27,IFERROR('NSW-2'!Y27*'NSW-2'!AB27,0))</f>
        <v/>
      </c>
      <c r="G20" s="9">
        <f>IF($B20="Actual",'VIC-2'!S27,IFERROR('VIC-2'!Y27*'VIC-2'!AB27,0))</f>
        <v/>
      </c>
      <c r="H20" s="9">
        <f>IF($B20="Actual",'QLD-2'!S27,IFERROR('QLD-2'!Y27*'QLD-2'!AB27,0))</f>
        <v/>
      </c>
      <c r="I20" s="9">
        <f>IF($B20="Actual",'SA-1'!S27,IFERROR('SA-1'!Y27*'SA-1'!AB27,0))</f>
        <v/>
      </c>
      <c r="J20" s="9">
        <f>IF($B20="Actual",'WA-1'!S27,IFERROR('WA-1'!Y27*'WA-1'!AB27,0))</f>
        <v/>
      </c>
      <c r="K20" s="9">
        <f>IF($B20="Actual",'IDC-NSW'!S27,IFERROR('IDC-NSW'!Y27*'IDC-NSW'!AB27,0))</f>
        <v/>
      </c>
      <c r="L20" s="9">
        <f>IF($B20="Actual",'IDC-VIC'!S27,IFERROR('IDC-VIC'!Y27*'IDC-VIC'!AB27,0))</f>
        <v/>
      </c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J20" s="12">
        <f>IF($B20="Actual",C20,IF(Y20&lt;&gt;"",Y20,C20+N(N20)))</f>
        <v/>
      </c>
      <c r="AK20" s="12">
        <f>IF($B20="Actual",D20,IF(Z20&lt;&gt;"",Z20,D20+N(O20)))</f>
        <v/>
      </c>
      <c r="AL20" s="12">
        <f>IF($B20="Actual",E20,IF(AA20&lt;&gt;"",AA20,E20+N(P20)))</f>
        <v/>
      </c>
      <c r="AM20" s="12">
        <f>IF($B20="Actual",F20,IF(AB20&lt;&gt;"",AB20,F20+N(Q20)))</f>
        <v/>
      </c>
      <c r="AN20" s="12">
        <f>IF($B20="Actual",G20,IF(AC20&lt;&gt;"",AC20,G20+N(R20)))</f>
        <v/>
      </c>
      <c r="AO20" s="12">
        <f>IF($B20="Actual",H20,IF(AD20&lt;&gt;"",AD20,H20+N(S20)))</f>
        <v/>
      </c>
      <c r="AP20" s="12">
        <f>IF($B20="Actual",I20,IF(AE20&lt;&gt;"",AE20,I20+N(T20)))</f>
        <v/>
      </c>
      <c r="AQ20" s="12">
        <f>IF($B20="Actual",J20,IF(AF20&lt;&gt;"",AF20,J20+N(U20)))</f>
        <v/>
      </c>
      <c r="AR20" s="12">
        <f>IF($B20="Actual",K20,IF(AG20&lt;&gt;"",AG20,K20+N(V20)))</f>
        <v/>
      </c>
      <c r="AS20" s="12">
        <f>IF($B20="Actual",L20,IF(AH20&lt;&gt;"",AH20,L20+N(W20)))</f>
        <v/>
      </c>
    </row>
    <row r="21">
      <c r="A21" s="8" t="n">
        <v>46054</v>
      </c>
      <c r="B21">
        <f>IF(A21&lt;=LastActual,"Actual","Forecast")</f>
        <v/>
      </c>
      <c r="C21" s="9">
        <f>IF($B21="Actual",'NSW-1'!S28,IFERROR('NSW-1'!Y28*'NSW-1'!AB28,0))</f>
        <v/>
      </c>
      <c r="D21" s="9">
        <f>IF($B21="Actual",'VIC-1'!S28,IFERROR('VIC-1'!Y28*'VIC-1'!AB28,0))</f>
        <v/>
      </c>
      <c r="E21" s="9">
        <f>IF($B21="Actual",'QLD-1'!S28,IFERROR('QLD-1'!Y28*'QLD-1'!AB28,0))</f>
        <v/>
      </c>
      <c r="F21" s="9">
        <f>IF($B21="Actual",'NSW-2'!S28,IFERROR('NSW-2'!Y28*'NSW-2'!AB28,0))</f>
        <v/>
      </c>
      <c r="G21" s="9">
        <f>IF($B21="Actual",'VIC-2'!S28,IFERROR('VIC-2'!Y28*'VIC-2'!AB28,0))</f>
        <v/>
      </c>
      <c r="H21" s="9">
        <f>IF($B21="Actual",'QLD-2'!S28,IFERROR('QLD-2'!Y28*'QLD-2'!AB28,0))</f>
        <v/>
      </c>
      <c r="I21" s="9">
        <f>IF($B21="Actual",'SA-1'!S28,IFERROR('SA-1'!Y28*'SA-1'!AB28,0))</f>
        <v/>
      </c>
      <c r="J21" s="9">
        <f>IF($B21="Actual",'WA-1'!S28,IFERROR('WA-1'!Y28*'WA-1'!AB28,0))</f>
        <v/>
      </c>
      <c r="K21" s="9">
        <f>IF($B21="Actual",'IDC-NSW'!S28,IFERROR('IDC-NSW'!Y28*'IDC-NSW'!AB28,0))</f>
        <v/>
      </c>
      <c r="L21" s="9">
        <f>IF($B21="Actual",'IDC-VIC'!S28,IFERROR('IDC-VIC'!Y28*'IDC-VIC'!AB28,0))</f>
        <v/>
      </c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J21" s="12">
        <f>IF($B21="Actual",C21,IF(Y21&lt;&gt;"",Y21,C21+N(N21)))</f>
        <v/>
      </c>
      <c r="AK21" s="12">
        <f>IF($B21="Actual",D21,IF(Z21&lt;&gt;"",Z21,D21+N(O21)))</f>
        <v/>
      </c>
      <c r="AL21" s="12">
        <f>IF($B21="Actual",E21,IF(AA21&lt;&gt;"",AA21,E21+N(P21)))</f>
        <v/>
      </c>
      <c r="AM21" s="12">
        <f>IF($B21="Actual",F21,IF(AB21&lt;&gt;"",AB21,F21+N(Q21)))</f>
        <v/>
      </c>
      <c r="AN21" s="12">
        <f>IF($B21="Actual",G21,IF(AC21&lt;&gt;"",AC21,G21+N(R21)))</f>
        <v/>
      </c>
      <c r="AO21" s="12">
        <f>IF($B21="Actual",H21,IF(AD21&lt;&gt;"",AD21,H21+N(S21)))</f>
        <v/>
      </c>
      <c r="AP21" s="12">
        <f>IF($B21="Actual",I21,IF(AE21&lt;&gt;"",AE21,I21+N(T21)))</f>
        <v/>
      </c>
      <c r="AQ21" s="12">
        <f>IF($B21="Actual",J21,IF(AF21&lt;&gt;"",AF21,J21+N(U21)))</f>
        <v/>
      </c>
      <c r="AR21" s="12">
        <f>IF($B21="Actual",K21,IF(AG21&lt;&gt;"",AG21,K21+N(V21)))</f>
        <v/>
      </c>
      <c r="AS21" s="12">
        <f>IF($B21="Actual",L21,IF(AH21&lt;&gt;"",AH21,L21+N(W21)))</f>
        <v/>
      </c>
    </row>
    <row r="22">
      <c r="A22" s="8" t="n">
        <v>46082</v>
      </c>
      <c r="B22">
        <f>IF(A22&lt;=LastActual,"Actual","Forecast")</f>
        <v/>
      </c>
      <c r="C22" s="9">
        <f>IF($B22="Actual",'NSW-1'!S29,IFERROR('NSW-1'!Y29*'NSW-1'!AB29,0))</f>
        <v/>
      </c>
      <c r="D22" s="9">
        <f>IF($B22="Actual",'VIC-1'!S29,IFERROR('VIC-1'!Y29*'VIC-1'!AB29,0))</f>
        <v/>
      </c>
      <c r="E22" s="9">
        <f>IF($B22="Actual",'QLD-1'!S29,IFERROR('QLD-1'!Y29*'QLD-1'!AB29,0))</f>
        <v/>
      </c>
      <c r="F22" s="9">
        <f>IF($B22="Actual",'NSW-2'!S29,IFERROR('NSW-2'!Y29*'NSW-2'!AB29,0))</f>
        <v/>
      </c>
      <c r="G22" s="9">
        <f>IF($B22="Actual",'VIC-2'!S29,IFERROR('VIC-2'!Y29*'VIC-2'!AB29,0))</f>
        <v/>
      </c>
      <c r="H22" s="9">
        <f>IF($B22="Actual",'QLD-2'!S29,IFERROR('QLD-2'!Y29*'QLD-2'!AB29,0))</f>
        <v/>
      </c>
      <c r="I22" s="9">
        <f>IF($B22="Actual",'SA-1'!S29,IFERROR('SA-1'!Y29*'SA-1'!AB29,0))</f>
        <v/>
      </c>
      <c r="J22" s="9">
        <f>IF($B22="Actual",'WA-1'!S29,IFERROR('WA-1'!Y29*'WA-1'!AB29,0))</f>
        <v/>
      </c>
      <c r="K22" s="9">
        <f>IF($B22="Actual",'IDC-NSW'!S29,IFERROR('IDC-NSW'!Y29*'IDC-NSW'!AB29,0))</f>
        <v/>
      </c>
      <c r="L22" s="9">
        <f>IF($B22="Actual",'IDC-VIC'!S29,IFERROR('IDC-VIC'!Y29*'IDC-VIC'!AB29,0))</f>
        <v/>
      </c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J22" s="12">
        <f>IF($B22="Actual",C22,IF(Y22&lt;&gt;"",Y22,C22+N(N22)))</f>
        <v/>
      </c>
      <c r="AK22" s="12">
        <f>IF($B22="Actual",D22,IF(Z22&lt;&gt;"",Z22,D22+N(O22)))</f>
        <v/>
      </c>
      <c r="AL22" s="12">
        <f>IF($B22="Actual",E22,IF(AA22&lt;&gt;"",AA22,E22+N(P22)))</f>
        <v/>
      </c>
      <c r="AM22" s="12">
        <f>IF($B22="Actual",F22,IF(AB22&lt;&gt;"",AB22,F22+N(Q22)))</f>
        <v/>
      </c>
      <c r="AN22" s="12">
        <f>IF($B22="Actual",G22,IF(AC22&lt;&gt;"",AC22,G22+N(R22)))</f>
        <v/>
      </c>
      <c r="AO22" s="12">
        <f>IF($B22="Actual",H22,IF(AD22&lt;&gt;"",AD22,H22+N(S22)))</f>
        <v/>
      </c>
      <c r="AP22" s="12">
        <f>IF($B22="Actual",I22,IF(AE22&lt;&gt;"",AE22,I22+N(T22)))</f>
        <v/>
      </c>
      <c r="AQ22" s="12">
        <f>IF($B22="Actual",J22,IF(AF22&lt;&gt;"",AF22,J22+N(U22)))</f>
        <v/>
      </c>
      <c r="AR22" s="12">
        <f>IF($B22="Actual",K22,IF(AG22&lt;&gt;"",AG22,K22+N(V22)))</f>
        <v/>
      </c>
      <c r="AS22" s="12">
        <f>IF($B22="Actual",L22,IF(AH22&lt;&gt;"",AH22,L22+N(W22)))</f>
        <v/>
      </c>
    </row>
    <row r="23">
      <c r="A23" s="8" t="n">
        <v>46113</v>
      </c>
      <c r="B23">
        <f>IF(A23&lt;=LastActual,"Actual","Forecast")</f>
        <v/>
      </c>
      <c r="C23" s="9">
        <f>IF($B23="Actual",'NSW-1'!S30,IFERROR('NSW-1'!Y30*'NSW-1'!AB30,0))</f>
        <v/>
      </c>
      <c r="D23" s="9">
        <f>IF($B23="Actual",'VIC-1'!S30,IFERROR('VIC-1'!Y30*'VIC-1'!AB30,0))</f>
        <v/>
      </c>
      <c r="E23" s="9">
        <f>IF($B23="Actual",'QLD-1'!S30,IFERROR('QLD-1'!Y30*'QLD-1'!AB30,0))</f>
        <v/>
      </c>
      <c r="F23" s="9">
        <f>IF($B23="Actual",'NSW-2'!S30,IFERROR('NSW-2'!Y30*'NSW-2'!AB30,0))</f>
        <v/>
      </c>
      <c r="G23" s="9">
        <f>IF($B23="Actual",'VIC-2'!S30,IFERROR('VIC-2'!Y30*'VIC-2'!AB30,0))</f>
        <v/>
      </c>
      <c r="H23" s="9">
        <f>IF($B23="Actual",'QLD-2'!S30,IFERROR('QLD-2'!Y30*'QLD-2'!AB30,0))</f>
        <v/>
      </c>
      <c r="I23" s="9">
        <f>IF($B23="Actual",'SA-1'!S30,IFERROR('SA-1'!Y30*'SA-1'!AB30,0))</f>
        <v/>
      </c>
      <c r="J23" s="9">
        <f>IF($B23="Actual",'WA-1'!S30,IFERROR('WA-1'!Y30*'WA-1'!AB30,0))</f>
        <v/>
      </c>
      <c r="K23" s="9">
        <f>IF($B23="Actual",'IDC-NSW'!S30,IFERROR('IDC-NSW'!Y30*'IDC-NSW'!AB30,0))</f>
        <v/>
      </c>
      <c r="L23" s="9">
        <f>IF($B23="Actual",'IDC-VIC'!S30,IFERROR('IDC-VIC'!Y30*'IDC-VIC'!AB30,0))</f>
        <v/>
      </c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J23" s="12">
        <f>IF($B23="Actual",C23,IF(Y23&lt;&gt;"",Y23,C23+N(N23)))</f>
        <v/>
      </c>
      <c r="AK23" s="12">
        <f>IF($B23="Actual",D23,IF(Z23&lt;&gt;"",Z23,D23+N(O23)))</f>
        <v/>
      </c>
      <c r="AL23" s="12">
        <f>IF($B23="Actual",E23,IF(AA23&lt;&gt;"",AA23,E23+N(P23)))</f>
        <v/>
      </c>
      <c r="AM23" s="12">
        <f>IF($B23="Actual",F23,IF(AB23&lt;&gt;"",AB23,F23+N(Q23)))</f>
        <v/>
      </c>
      <c r="AN23" s="12">
        <f>IF($B23="Actual",G23,IF(AC23&lt;&gt;"",AC23,G23+N(R23)))</f>
        <v/>
      </c>
      <c r="AO23" s="12">
        <f>IF($B23="Actual",H23,IF(AD23&lt;&gt;"",AD23,H23+N(S23)))</f>
        <v/>
      </c>
      <c r="AP23" s="12">
        <f>IF($B23="Actual",I23,IF(AE23&lt;&gt;"",AE23,I23+N(T23)))</f>
        <v/>
      </c>
      <c r="AQ23" s="12">
        <f>IF($B23="Actual",J23,IF(AF23&lt;&gt;"",AF23,J23+N(U23)))</f>
        <v/>
      </c>
      <c r="AR23" s="12">
        <f>IF($B23="Actual",K23,IF(AG23&lt;&gt;"",AG23,K23+N(V23)))</f>
        <v/>
      </c>
      <c r="AS23" s="12">
        <f>IF($B23="Actual",L23,IF(AH23&lt;&gt;"",AH23,L23+N(W23)))</f>
        <v/>
      </c>
    </row>
    <row r="24">
      <c r="A24" s="8" t="n">
        <v>46143</v>
      </c>
      <c r="B24">
        <f>IF(A24&lt;=LastActual,"Actual","Forecast")</f>
        <v/>
      </c>
      <c r="C24" s="9">
        <f>IF($B24="Actual",'NSW-1'!S31,IFERROR('NSW-1'!Y31*'NSW-1'!AB31,0))</f>
        <v/>
      </c>
      <c r="D24" s="9">
        <f>IF($B24="Actual",'VIC-1'!S31,IFERROR('VIC-1'!Y31*'VIC-1'!AB31,0))</f>
        <v/>
      </c>
      <c r="E24" s="9">
        <f>IF($B24="Actual",'QLD-1'!S31,IFERROR('QLD-1'!Y31*'QLD-1'!AB31,0))</f>
        <v/>
      </c>
      <c r="F24" s="9">
        <f>IF($B24="Actual",'NSW-2'!S31,IFERROR('NSW-2'!Y31*'NSW-2'!AB31,0))</f>
        <v/>
      </c>
      <c r="G24" s="9">
        <f>IF($B24="Actual",'VIC-2'!S31,IFERROR('VIC-2'!Y31*'VIC-2'!AB31,0))</f>
        <v/>
      </c>
      <c r="H24" s="9">
        <f>IF($B24="Actual",'QLD-2'!S31,IFERROR('QLD-2'!Y31*'QLD-2'!AB31,0))</f>
        <v/>
      </c>
      <c r="I24" s="9">
        <f>IF($B24="Actual",'SA-1'!S31,IFERROR('SA-1'!Y31*'SA-1'!AB31,0))</f>
        <v/>
      </c>
      <c r="J24" s="9">
        <f>IF($B24="Actual",'WA-1'!S31,IFERROR('WA-1'!Y31*'WA-1'!AB31,0))</f>
        <v/>
      </c>
      <c r="K24" s="9">
        <f>IF($B24="Actual",'IDC-NSW'!S31,IFERROR('IDC-NSW'!Y31*'IDC-NSW'!AB31,0))</f>
        <v/>
      </c>
      <c r="L24" s="9">
        <f>IF($B24="Actual",'IDC-VIC'!S31,IFERROR('IDC-VIC'!Y31*'IDC-VIC'!AB31,0))</f>
        <v/>
      </c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J24" s="12">
        <f>IF($B24="Actual",C24,IF(Y24&lt;&gt;"",Y24,C24+N(N24)))</f>
        <v/>
      </c>
      <c r="AK24" s="12">
        <f>IF($B24="Actual",D24,IF(Z24&lt;&gt;"",Z24,D24+N(O24)))</f>
        <v/>
      </c>
      <c r="AL24" s="12">
        <f>IF($B24="Actual",E24,IF(AA24&lt;&gt;"",AA24,E24+N(P24)))</f>
        <v/>
      </c>
      <c r="AM24" s="12">
        <f>IF($B24="Actual",F24,IF(AB24&lt;&gt;"",AB24,F24+N(Q24)))</f>
        <v/>
      </c>
      <c r="AN24" s="12">
        <f>IF($B24="Actual",G24,IF(AC24&lt;&gt;"",AC24,G24+N(R24)))</f>
        <v/>
      </c>
      <c r="AO24" s="12">
        <f>IF($B24="Actual",H24,IF(AD24&lt;&gt;"",AD24,H24+N(S24)))</f>
        <v/>
      </c>
      <c r="AP24" s="12">
        <f>IF($B24="Actual",I24,IF(AE24&lt;&gt;"",AE24,I24+N(T24)))</f>
        <v/>
      </c>
      <c r="AQ24" s="12">
        <f>IF($B24="Actual",J24,IF(AF24&lt;&gt;"",AF24,J24+N(U24)))</f>
        <v/>
      </c>
      <c r="AR24" s="12">
        <f>IF($B24="Actual",K24,IF(AG24&lt;&gt;"",AG24,K24+N(V24)))</f>
        <v/>
      </c>
      <c r="AS24" s="12">
        <f>IF($B24="Actual",L24,IF(AH24&lt;&gt;"",AH24,L24+N(W24)))</f>
        <v/>
      </c>
    </row>
    <row r="25">
      <c r="A25" s="8" t="n">
        <v>46174</v>
      </c>
      <c r="B25">
        <f>IF(A25&lt;=LastActual,"Actual","Forecast")</f>
        <v/>
      </c>
      <c r="C25" s="9">
        <f>IF($B25="Actual",'NSW-1'!S32,IFERROR('NSW-1'!Y32*'NSW-1'!AB32,0))</f>
        <v/>
      </c>
      <c r="D25" s="9">
        <f>IF($B25="Actual",'VIC-1'!S32,IFERROR('VIC-1'!Y32*'VIC-1'!AB32,0))</f>
        <v/>
      </c>
      <c r="E25" s="9">
        <f>IF($B25="Actual",'QLD-1'!S32,IFERROR('QLD-1'!Y32*'QLD-1'!AB32,0))</f>
        <v/>
      </c>
      <c r="F25" s="9">
        <f>IF($B25="Actual",'NSW-2'!S32,IFERROR('NSW-2'!Y32*'NSW-2'!AB32,0))</f>
        <v/>
      </c>
      <c r="G25" s="9">
        <f>IF($B25="Actual",'VIC-2'!S32,IFERROR('VIC-2'!Y32*'VIC-2'!AB32,0))</f>
        <v/>
      </c>
      <c r="H25" s="9">
        <f>IF($B25="Actual",'QLD-2'!S32,IFERROR('QLD-2'!Y32*'QLD-2'!AB32,0))</f>
        <v/>
      </c>
      <c r="I25" s="9">
        <f>IF($B25="Actual",'SA-1'!S32,IFERROR('SA-1'!Y32*'SA-1'!AB32,0))</f>
        <v/>
      </c>
      <c r="J25" s="9">
        <f>IF($B25="Actual",'WA-1'!S32,IFERROR('WA-1'!Y32*'WA-1'!AB32,0))</f>
        <v/>
      </c>
      <c r="K25" s="9">
        <f>IF($B25="Actual",'IDC-NSW'!S32,IFERROR('IDC-NSW'!Y32*'IDC-NSW'!AB32,0))</f>
        <v/>
      </c>
      <c r="L25" s="9">
        <f>IF($B25="Actual",'IDC-VIC'!S32,IFERROR('IDC-VIC'!Y32*'IDC-VIC'!AB32,0))</f>
        <v/>
      </c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J25" s="12">
        <f>IF($B25="Actual",C25,IF(Y25&lt;&gt;"",Y25,C25+N(N25)))</f>
        <v/>
      </c>
      <c r="AK25" s="12">
        <f>IF($B25="Actual",D25,IF(Z25&lt;&gt;"",Z25,D25+N(O25)))</f>
        <v/>
      </c>
      <c r="AL25" s="12">
        <f>IF($B25="Actual",E25,IF(AA25&lt;&gt;"",AA25,E25+N(P25)))</f>
        <v/>
      </c>
      <c r="AM25" s="12">
        <f>IF($B25="Actual",F25,IF(AB25&lt;&gt;"",AB25,F25+N(Q25)))</f>
        <v/>
      </c>
      <c r="AN25" s="12">
        <f>IF($B25="Actual",G25,IF(AC25&lt;&gt;"",AC25,G25+N(R25)))</f>
        <v/>
      </c>
      <c r="AO25" s="12">
        <f>IF($B25="Actual",H25,IF(AD25&lt;&gt;"",AD25,H25+N(S25)))</f>
        <v/>
      </c>
      <c r="AP25" s="12">
        <f>IF($B25="Actual",I25,IF(AE25&lt;&gt;"",AE25,I25+N(T25)))</f>
        <v/>
      </c>
      <c r="AQ25" s="12">
        <f>IF($B25="Actual",J25,IF(AF25&lt;&gt;"",AF25,J25+N(U25)))</f>
        <v/>
      </c>
      <c r="AR25" s="12">
        <f>IF($B25="Actual",K25,IF(AG25&lt;&gt;"",AG25,K25+N(V25)))</f>
        <v/>
      </c>
      <c r="AS25" s="12">
        <f>IF($B25="Actual",L25,IF(AH25&lt;&gt;"",AH25,L25+N(W25)))</f>
        <v/>
      </c>
    </row>
    <row r="26">
      <c r="A26" s="8" t="n">
        <v>46204</v>
      </c>
      <c r="B26">
        <f>IF(A26&lt;=LastActual,"Actual","Forecast")</f>
        <v/>
      </c>
      <c r="C26" s="9">
        <f>IF($B26="Actual",'NSW-1'!S33,IFERROR('NSW-1'!Y33*'NSW-1'!AB33,0))</f>
        <v/>
      </c>
      <c r="D26" s="9">
        <f>IF($B26="Actual",'VIC-1'!S33,IFERROR('VIC-1'!Y33*'VIC-1'!AB33,0))</f>
        <v/>
      </c>
      <c r="E26" s="9">
        <f>IF($B26="Actual",'QLD-1'!S33,IFERROR('QLD-1'!Y33*'QLD-1'!AB33,0))</f>
        <v/>
      </c>
      <c r="F26" s="9">
        <f>IF($B26="Actual",'NSW-2'!S33,IFERROR('NSW-2'!Y33*'NSW-2'!AB33,0))</f>
        <v/>
      </c>
      <c r="G26" s="9">
        <f>IF($B26="Actual",'VIC-2'!S33,IFERROR('VIC-2'!Y33*'VIC-2'!AB33,0))</f>
        <v/>
      </c>
      <c r="H26" s="9">
        <f>IF($B26="Actual",'QLD-2'!S33,IFERROR('QLD-2'!Y33*'QLD-2'!AB33,0))</f>
        <v/>
      </c>
      <c r="I26" s="9">
        <f>IF($B26="Actual",'SA-1'!S33,IFERROR('SA-1'!Y33*'SA-1'!AB33,0))</f>
        <v/>
      </c>
      <c r="J26" s="9">
        <f>IF($B26="Actual",'WA-1'!S33,IFERROR('WA-1'!Y33*'WA-1'!AB33,0))</f>
        <v/>
      </c>
      <c r="K26" s="9">
        <f>IF($B26="Actual",'IDC-NSW'!S33,IFERROR('IDC-NSW'!Y33*'IDC-NSW'!AB33,0))</f>
        <v/>
      </c>
      <c r="L26" s="9">
        <f>IF($B26="Actual",'IDC-VIC'!S33,IFERROR('IDC-VIC'!Y33*'IDC-VIC'!AB33,0))</f>
        <v/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J26" s="12">
        <f>IF($B26="Actual",C26,IF(Y26&lt;&gt;"",Y26,C26+N(N26)))</f>
        <v/>
      </c>
      <c r="AK26" s="12">
        <f>IF($B26="Actual",D26,IF(Z26&lt;&gt;"",Z26,D26+N(O26)))</f>
        <v/>
      </c>
      <c r="AL26" s="12">
        <f>IF($B26="Actual",E26,IF(AA26&lt;&gt;"",AA26,E26+N(P26)))</f>
        <v/>
      </c>
      <c r="AM26" s="12">
        <f>IF($B26="Actual",F26,IF(AB26&lt;&gt;"",AB26,F26+N(Q26)))</f>
        <v/>
      </c>
      <c r="AN26" s="12">
        <f>IF($B26="Actual",G26,IF(AC26&lt;&gt;"",AC26,G26+N(R26)))</f>
        <v/>
      </c>
      <c r="AO26" s="12">
        <f>IF($B26="Actual",H26,IF(AD26&lt;&gt;"",AD26,H26+N(S26)))</f>
        <v/>
      </c>
      <c r="AP26" s="12">
        <f>IF($B26="Actual",I26,IF(AE26&lt;&gt;"",AE26,I26+N(T26)))</f>
        <v/>
      </c>
      <c r="AQ26" s="12">
        <f>IF($B26="Actual",J26,IF(AF26&lt;&gt;"",AF26,J26+N(U26)))</f>
        <v/>
      </c>
      <c r="AR26" s="12">
        <f>IF($B26="Actual",K26,IF(AG26&lt;&gt;"",AG26,K26+N(V26)))</f>
        <v/>
      </c>
      <c r="AS26" s="12">
        <f>IF($B26="Actual",L26,IF(AH26&lt;&gt;"",AH26,L26+N(W26)))</f>
        <v/>
      </c>
    </row>
    <row r="27">
      <c r="A27" s="8" t="n">
        <v>46235</v>
      </c>
      <c r="B27">
        <f>IF(A27&lt;=LastActual,"Actual","Forecast")</f>
        <v/>
      </c>
      <c r="C27" s="9">
        <f>IF($B27="Actual",'NSW-1'!S34,IFERROR('NSW-1'!Y34*'NSW-1'!AB34,0))</f>
        <v/>
      </c>
      <c r="D27" s="9">
        <f>IF($B27="Actual",'VIC-1'!S34,IFERROR('VIC-1'!Y34*'VIC-1'!AB34,0))</f>
        <v/>
      </c>
      <c r="E27" s="9">
        <f>IF($B27="Actual",'QLD-1'!S34,IFERROR('QLD-1'!Y34*'QLD-1'!AB34,0))</f>
        <v/>
      </c>
      <c r="F27" s="9">
        <f>IF($B27="Actual",'NSW-2'!S34,IFERROR('NSW-2'!Y34*'NSW-2'!AB34,0))</f>
        <v/>
      </c>
      <c r="G27" s="9">
        <f>IF($B27="Actual",'VIC-2'!S34,IFERROR('VIC-2'!Y34*'VIC-2'!AB34,0))</f>
        <v/>
      </c>
      <c r="H27" s="9">
        <f>IF($B27="Actual",'QLD-2'!S34,IFERROR('QLD-2'!Y34*'QLD-2'!AB34,0))</f>
        <v/>
      </c>
      <c r="I27" s="9">
        <f>IF($B27="Actual",'SA-1'!S34,IFERROR('SA-1'!Y34*'SA-1'!AB34,0))</f>
        <v/>
      </c>
      <c r="J27" s="9">
        <f>IF($B27="Actual",'WA-1'!S34,IFERROR('WA-1'!Y34*'WA-1'!AB34,0))</f>
        <v/>
      </c>
      <c r="K27" s="9">
        <f>IF($B27="Actual",'IDC-NSW'!S34,IFERROR('IDC-NSW'!Y34*'IDC-NSW'!AB34,0))</f>
        <v/>
      </c>
      <c r="L27" s="9">
        <f>IF($B27="Actual",'IDC-VIC'!S34,IFERROR('IDC-VIC'!Y34*'IDC-VIC'!AB34,0))</f>
        <v/>
      </c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J27" s="12">
        <f>IF($B27="Actual",C27,IF(Y27&lt;&gt;"",Y27,C27+N(N27)))</f>
        <v/>
      </c>
      <c r="AK27" s="12">
        <f>IF($B27="Actual",D27,IF(Z27&lt;&gt;"",Z27,D27+N(O27)))</f>
        <v/>
      </c>
      <c r="AL27" s="12">
        <f>IF($B27="Actual",E27,IF(AA27&lt;&gt;"",AA27,E27+N(P27)))</f>
        <v/>
      </c>
      <c r="AM27" s="12">
        <f>IF($B27="Actual",F27,IF(AB27&lt;&gt;"",AB27,F27+N(Q27)))</f>
        <v/>
      </c>
      <c r="AN27" s="12">
        <f>IF($B27="Actual",G27,IF(AC27&lt;&gt;"",AC27,G27+N(R27)))</f>
        <v/>
      </c>
      <c r="AO27" s="12">
        <f>IF($B27="Actual",H27,IF(AD27&lt;&gt;"",AD27,H27+N(S27)))</f>
        <v/>
      </c>
      <c r="AP27" s="12">
        <f>IF($B27="Actual",I27,IF(AE27&lt;&gt;"",AE27,I27+N(T27)))</f>
        <v/>
      </c>
      <c r="AQ27" s="12">
        <f>IF($B27="Actual",J27,IF(AF27&lt;&gt;"",AF27,J27+N(U27)))</f>
        <v/>
      </c>
      <c r="AR27" s="12">
        <f>IF($B27="Actual",K27,IF(AG27&lt;&gt;"",AG27,K27+N(V27)))</f>
        <v/>
      </c>
      <c r="AS27" s="12">
        <f>IF($B27="Actual",L27,IF(AH27&lt;&gt;"",AH27,L27+N(W27)))</f>
        <v/>
      </c>
    </row>
    <row r="28">
      <c r="A28" s="8" t="n">
        <v>46266</v>
      </c>
      <c r="B28">
        <f>IF(A28&lt;=LastActual,"Actual","Forecast")</f>
        <v/>
      </c>
      <c r="C28" s="9">
        <f>IF($B28="Actual",'NSW-1'!S35,IFERROR('NSW-1'!Y35*'NSW-1'!AB35,0))</f>
        <v/>
      </c>
      <c r="D28" s="9">
        <f>IF($B28="Actual",'VIC-1'!S35,IFERROR('VIC-1'!Y35*'VIC-1'!AB35,0))</f>
        <v/>
      </c>
      <c r="E28" s="9">
        <f>IF($B28="Actual",'QLD-1'!S35,IFERROR('QLD-1'!Y35*'QLD-1'!AB35,0))</f>
        <v/>
      </c>
      <c r="F28" s="9">
        <f>IF($B28="Actual",'NSW-2'!S35,IFERROR('NSW-2'!Y35*'NSW-2'!AB35,0))</f>
        <v/>
      </c>
      <c r="G28" s="9">
        <f>IF($B28="Actual",'VIC-2'!S35,IFERROR('VIC-2'!Y35*'VIC-2'!AB35,0))</f>
        <v/>
      </c>
      <c r="H28" s="9">
        <f>IF($B28="Actual",'QLD-2'!S35,IFERROR('QLD-2'!Y35*'QLD-2'!AB35,0))</f>
        <v/>
      </c>
      <c r="I28" s="9">
        <f>IF($B28="Actual",'SA-1'!S35,IFERROR('SA-1'!Y35*'SA-1'!AB35,0))</f>
        <v/>
      </c>
      <c r="J28" s="9">
        <f>IF($B28="Actual",'WA-1'!S35,IFERROR('WA-1'!Y35*'WA-1'!AB35,0))</f>
        <v/>
      </c>
      <c r="K28" s="9">
        <f>IF($B28="Actual",'IDC-NSW'!S35,IFERROR('IDC-NSW'!Y35*'IDC-NSW'!AB35,0))</f>
        <v/>
      </c>
      <c r="L28" s="9">
        <f>IF($B28="Actual",'IDC-VIC'!S35,IFERROR('IDC-VIC'!Y35*'IDC-VIC'!AB35,0))</f>
        <v/>
      </c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J28" s="12">
        <f>IF($B28="Actual",C28,IF(Y28&lt;&gt;"",Y28,C28+N(N28)))</f>
        <v/>
      </c>
      <c r="AK28" s="12">
        <f>IF($B28="Actual",D28,IF(Z28&lt;&gt;"",Z28,D28+N(O28)))</f>
        <v/>
      </c>
      <c r="AL28" s="12">
        <f>IF($B28="Actual",E28,IF(AA28&lt;&gt;"",AA28,E28+N(P28)))</f>
        <v/>
      </c>
      <c r="AM28" s="12">
        <f>IF($B28="Actual",F28,IF(AB28&lt;&gt;"",AB28,F28+N(Q28)))</f>
        <v/>
      </c>
      <c r="AN28" s="12">
        <f>IF($B28="Actual",G28,IF(AC28&lt;&gt;"",AC28,G28+N(R28)))</f>
        <v/>
      </c>
      <c r="AO28" s="12">
        <f>IF($B28="Actual",H28,IF(AD28&lt;&gt;"",AD28,H28+N(S28)))</f>
        <v/>
      </c>
      <c r="AP28" s="12">
        <f>IF($B28="Actual",I28,IF(AE28&lt;&gt;"",AE28,I28+N(T28)))</f>
        <v/>
      </c>
      <c r="AQ28" s="12">
        <f>IF($B28="Actual",J28,IF(AF28&lt;&gt;"",AF28,J28+N(U28)))</f>
        <v/>
      </c>
      <c r="AR28" s="12">
        <f>IF($B28="Actual",K28,IF(AG28&lt;&gt;"",AG28,K28+N(V28)))</f>
        <v/>
      </c>
      <c r="AS28" s="12">
        <f>IF($B28="Actual",L28,IF(AH28&lt;&gt;"",AH28,L28+N(W28)))</f>
        <v/>
      </c>
    </row>
    <row r="29">
      <c r="A29" s="8" t="n">
        <v>46296</v>
      </c>
      <c r="B29">
        <f>IF(A29&lt;=LastActual,"Actual","Forecast")</f>
        <v/>
      </c>
      <c r="C29" s="9">
        <f>IF($B29="Actual",'NSW-1'!S36,IFERROR('NSW-1'!Y36*'NSW-1'!AB36,0))</f>
        <v/>
      </c>
      <c r="D29" s="9">
        <f>IF($B29="Actual",'VIC-1'!S36,IFERROR('VIC-1'!Y36*'VIC-1'!AB36,0))</f>
        <v/>
      </c>
      <c r="E29" s="9">
        <f>IF($B29="Actual",'QLD-1'!S36,IFERROR('QLD-1'!Y36*'QLD-1'!AB36,0))</f>
        <v/>
      </c>
      <c r="F29" s="9">
        <f>IF($B29="Actual",'NSW-2'!S36,IFERROR('NSW-2'!Y36*'NSW-2'!AB36,0))</f>
        <v/>
      </c>
      <c r="G29" s="9">
        <f>IF($B29="Actual",'VIC-2'!S36,IFERROR('VIC-2'!Y36*'VIC-2'!AB36,0))</f>
        <v/>
      </c>
      <c r="H29" s="9">
        <f>IF($B29="Actual",'QLD-2'!S36,IFERROR('QLD-2'!Y36*'QLD-2'!AB36,0))</f>
        <v/>
      </c>
      <c r="I29" s="9">
        <f>IF($B29="Actual",'SA-1'!S36,IFERROR('SA-1'!Y36*'SA-1'!AB36,0))</f>
        <v/>
      </c>
      <c r="J29" s="9">
        <f>IF($B29="Actual",'WA-1'!S36,IFERROR('WA-1'!Y36*'WA-1'!AB36,0))</f>
        <v/>
      </c>
      <c r="K29" s="9">
        <f>IF($B29="Actual",'IDC-NSW'!S36,IFERROR('IDC-NSW'!Y36*'IDC-NSW'!AB36,0))</f>
        <v/>
      </c>
      <c r="L29" s="9">
        <f>IF($B29="Actual",'IDC-VIC'!S36,IFERROR('IDC-VIC'!Y36*'IDC-VIC'!AB36,0))</f>
        <v/>
      </c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J29" s="12">
        <f>IF($B29="Actual",C29,IF(Y29&lt;&gt;"",Y29,C29+N(N29)))</f>
        <v/>
      </c>
      <c r="AK29" s="12">
        <f>IF($B29="Actual",D29,IF(Z29&lt;&gt;"",Z29,D29+N(O29)))</f>
        <v/>
      </c>
      <c r="AL29" s="12">
        <f>IF($B29="Actual",E29,IF(AA29&lt;&gt;"",AA29,E29+N(P29)))</f>
        <v/>
      </c>
      <c r="AM29" s="12">
        <f>IF($B29="Actual",F29,IF(AB29&lt;&gt;"",AB29,F29+N(Q29)))</f>
        <v/>
      </c>
      <c r="AN29" s="12">
        <f>IF($B29="Actual",G29,IF(AC29&lt;&gt;"",AC29,G29+N(R29)))</f>
        <v/>
      </c>
      <c r="AO29" s="12">
        <f>IF($B29="Actual",H29,IF(AD29&lt;&gt;"",AD29,H29+N(S29)))</f>
        <v/>
      </c>
      <c r="AP29" s="12">
        <f>IF($B29="Actual",I29,IF(AE29&lt;&gt;"",AE29,I29+N(T29)))</f>
        <v/>
      </c>
      <c r="AQ29" s="12">
        <f>IF($B29="Actual",J29,IF(AF29&lt;&gt;"",AF29,J29+N(U29)))</f>
        <v/>
      </c>
      <c r="AR29" s="12">
        <f>IF($B29="Actual",K29,IF(AG29&lt;&gt;"",AG29,K29+N(V29)))</f>
        <v/>
      </c>
      <c r="AS29" s="12">
        <f>IF($B29="Actual",L29,IF(AH29&lt;&gt;"",AH29,L29+N(W29)))</f>
        <v/>
      </c>
    </row>
    <row r="30">
      <c r="A30" s="8" t="n">
        <v>46327</v>
      </c>
      <c r="B30">
        <f>IF(A30&lt;=LastActual,"Actual","Forecast")</f>
        <v/>
      </c>
      <c r="C30" s="9">
        <f>IF($B30="Actual",'NSW-1'!S37,IFERROR('NSW-1'!Y37*'NSW-1'!AB37,0))</f>
        <v/>
      </c>
      <c r="D30" s="9">
        <f>IF($B30="Actual",'VIC-1'!S37,IFERROR('VIC-1'!Y37*'VIC-1'!AB37,0))</f>
        <v/>
      </c>
      <c r="E30" s="9">
        <f>IF($B30="Actual",'QLD-1'!S37,IFERROR('QLD-1'!Y37*'QLD-1'!AB37,0))</f>
        <v/>
      </c>
      <c r="F30" s="9">
        <f>IF($B30="Actual",'NSW-2'!S37,IFERROR('NSW-2'!Y37*'NSW-2'!AB37,0))</f>
        <v/>
      </c>
      <c r="G30" s="9">
        <f>IF($B30="Actual",'VIC-2'!S37,IFERROR('VIC-2'!Y37*'VIC-2'!AB37,0))</f>
        <v/>
      </c>
      <c r="H30" s="9">
        <f>IF($B30="Actual",'QLD-2'!S37,IFERROR('QLD-2'!Y37*'QLD-2'!AB37,0))</f>
        <v/>
      </c>
      <c r="I30" s="9">
        <f>IF($B30="Actual",'SA-1'!S37,IFERROR('SA-1'!Y37*'SA-1'!AB37,0))</f>
        <v/>
      </c>
      <c r="J30" s="9">
        <f>IF($B30="Actual",'WA-1'!S37,IFERROR('WA-1'!Y37*'WA-1'!AB37,0))</f>
        <v/>
      </c>
      <c r="K30" s="9">
        <f>IF($B30="Actual",'IDC-NSW'!S37,IFERROR('IDC-NSW'!Y37*'IDC-NSW'!AB37,0))</f>
        <v/>
      </c>
      <c r="L30" s="9">
        <f>IF($B30="Actual",'IDC-VIC'!S37,IFERROR('IDC-VIC'!Y37*'IDC-VIC'!AB37,0))</f>
        <v/>
      </c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J30" s="12">
        <f>IF($B30="Actual",C30,IF(Y30&lt;&gt;"",Y30,C30+N(N30)))</f>
        <v/>
      </c>
      <c r="AK30" s="12">
        <f>IF($B30="Actual",D30,IF(Z30&lt;&gt;"",Z30,D30+N(O30)))</f>
        <v/>
      </c>
      <c r="AL30" s="12">
        <f>IF($B30="Actual",E30,IF(AA30&lt;&gt;"",AA30,E30+N(P30)))</f>
        <v/>
      </c>
      <c r="AM30" s="12">
        <f>IF($B30="Actual",F30,IF(AB30&lt;&gt;"",AB30,F30+N(Q30)))</f>
        <v/>
      </c>
      <c r="AN30" s="12">
        <f>IF($B30="Actual",G30,IF(AC30&lt;&gt;"",AC30,G30+N(R30)))</f>
        <v/>
      </c>
      <c r="AO30" s="12">
        <f>IF($B30="Actual",H30,IF(AD30&lt;&gt;"",AD30,H30+N(S30)))</f>
        <v/>
      </c>
      <c r="AP30" s="12">
        <f>IF($B30="Actual",I30,IF(AE30&lt;&gt;"",AE30,I30+N(T30)))</f>
        <v/>
      </c>
      <c r="AQ30" s="12">
        <f>IF($B30="Actual",J30,IF(AF30&lt;&gt;"",AF30,J30+N(U30)))</f>
        <v/>
      </c>
      <c r="AR30" s="12">
        <f>IF($B30="Actual",K30,IF(AG30&lt;&gt;"",AG30,K30+N(V30)))</f>
        <v/>
      </c>
      <c r="AS30" s="12">
        <f>IF($B30="Actual",L30,IF(AH30&lt;&gt;"",AH30,L30+N(W30)))</f>
        <v/>
      </c>
    </row>
    <row r="31">
      <c r="A31" s="8" t="n">
        <v>46357</v>
      </c>
      <c r="B31">
        <f>IF(A31&lt;=LastActual,"Actual","Forecast")</f>
        <v/>
      </c>
      <c r="C31" s="9">
        <f>IF($B31="Actual",'NSW-1'!S38,IFERROR('NSW-1'!Y38*'NSW-1'!AB38,0))</f>
        <v/>
      </c>
      <c r="D31" s="9">
        <f>IF($B31="Actual",'VIC-1'!S38,IFERROR('VIC-1'!Y38*'VIC-1'!AB38,0))</f>
        <v/>
      </c>
      <c r="E31" s="9">
        <f>IF($B31="Actual",'QLD-1'!S38,IFERROR('QLD-1'!Y38*'QLD-1'!AB38,0))</f>
        <v/>
      </c>
      <c r="F31" s="9">
        <f>IF($B31="Actual",'NSW-2'!S38,IFERROR('NSW-2'!Y38*'NSW-2'!AB38,0))</f>
        <v/>
      </c>
      <c r="G31" s="9">
        <f>IF($B31="Actual",'VIC-2'!S38,IFERROR('VIC-2'!Y38*'VIC-2'!AB38,0))</f>
        <v/>
      </c>
      <c r="H31" s="9">
        <f>IF($B31="Actual",'QLD-2'!S38,IFERROR('QLD-2'!Y38*'QLD-2'!AB38,0))</f>
        <v/>
      </c>
      <c r="I31" s="9">
        <f>IF($B31="Actual",'SA-1'!S38,IFERROR('SA-1'!Y38*'SA-1'!AB38,0))</f>
        <v/>
      </c>
      <c r="J31" s="9">
        <f>IF($B31="Actual",'WA-1'!S38,IFERROR('WA-1'!Y38*'WA-1'!AB38,0))</f>
        <v/>
      </c>
      <c r="K31" s="9">
        <f>IF($B31="Actual",'IDC-NSW'!S38,IFERROR('IDC-NSW'!Y38*'IDC-NSW'!AB38,0))</f>
        <v/>
      </c>
      <c r="L31" s="9">
        <f>IF($B31="Actual",'IDC-VIC'!S38,IFERROR('IDC-VIC'!Y38*'IDC-VIC'!AB38,0))</f>
        <v/>
      </c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J31" s="12">
        <f>IF($B31="Actual",C31,IF(Y31&lt;&gt;"",Y31,C31+N(N31)))</f>
        <v/>
      </c>
      <c r="AK31" s="12">
        <f>IF($B31="Actual",D31,IF(Z31&lt;&gt;"",Z31,D31+N(O31)))</f>
        <v/>
      </c>
      <c r="AL31" s="12">
        <f>IF($B31="Actual",E31,IF(AA31&lt;&gt;"",AA31,E31+N(P31)))</f>
        <v/>
      </c>
      <c r="AM31" s="12">
        <f>IF($B31="Actual",F31,IF(AB31&lt;&gt;"",AB31,F31+N(Q31)))</f>
        <v/>
      </c>
      <c r="AN31" s="12">
        <f>IF($B31="Actual",G31,IF(AC31&lt;&gt;"",AC31,G31+N(R31)))</f>
        <v/>
      </c>
      <c r="AO31" s="12">
        <f>IF($B31="Actual",H31,IF(AD31&lt;&gt;"",AD31,H31+N(S31)))</f>
        <v/>
      </c>
      <c r="AP31" s="12">
        <f>IF($B31="Actual",I31,IF(AE31&lt;&gt;"",AE31,I31+N(T31)))</f>
        <v/>
      </c>
      <c r="AQ31" s="12">
        <f>IF($B31="Actual",J31,IF(AF31&lt;&gt;"",AF31,J31+N(U31)))</f>
        <v/>
      </c>
      <c r="AR31" s="12">
        <f>IF($B31="Actual",K31,IF(AG31&lt;&gt;"",AG31,K31+N(V31)))</f>
        <v/>
      </c>
      <c r="AS31" s="12">
        <f>IF($B31="Actual",L31,IF(AH31&lt;&gt;"",AH31,L31+N(W31)))</f>
        <v/>
      </c>
    </row>
    <row r="32">
      <c r="A32" s="8" t="n">
        <v>46388</v>
      </c>
      <c r="B32">
        <f>IF(A32&lt;=LastActual,"Actual","Forecast")</f>
        <v/>
      </c>
      <c r="C32" s="9">
        <f>IF($B32="Actual",'NSW-1'!S39,IFERROR('NSW-1'!Y39*'NSW-1'!AB39,0))</f>
        <v/>
      </c>
      <c r="D32" s="9">
        <f>IF($B32="Actual",'VIC-1'!S39,IFERROR('VIC-1'!Y39*'VIC-1'!AB39,0))</f>
        <v/>
      </c>
      <c r="E32" s="9">
        <f>IF($B32="Actual",'QLD-1'!S39,IFERROR('QLD-1'!Y39*'QLD-1'!AB39,0))</f>
        <v/>
      </c>
      <c r="F32" s="9">
        <f>IF($B32="Actual",'NSW-2'!S39,IFERROR('NSW-2'!Y39*'NSW-2'!AB39,0))</f>
        <v/>
      </c>
      <c r="G32" s="9">
        <f>IF($B32="Actual",'VIC-2'!S39,IFERROR('VIC-2'!Y39*'VIC-2'!AB39,0))</f>
        <v/>
      </c>
      <c r="H32" s="9">
        <f>IF($B32="Actual",'QLD-2'!S39,IFERROR('QLD-2'!Y39*'QLD-2'!AB39,0))</f>
        <v/>
      </c>
      <c r="I32" s="9">
        <f>IF($B32="Actual",'SA-1'!S39,IFERROR('SA-1'!Y39*'SA-1'!AB39,0))</f>
        <v/>
      </c>
      <c r="J32" s="9">
        <f>IF($B32="Actual",'WA-1'!S39,IFERROR('WA-1'!Y39*'WA-1'!AB39,0))</f>
        <v/>
      </c>
      <c r="K32" s="9">
        <f>IF($B32="Actual",'IDC-NSW'!S39,IFERROR('IDC-NSW'!Y39*'IDC-NSW'!AB39,0))</f>
        <v/>
      </c>
      <c r="L32" s="9">
        <f>IF($B32="Actual",'IDC-VIC'!S39,IFERROR('IDC-VIC'!Y39*'IDC-VIC'!AB39,0))</f>
        <v/>
      </c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J32" s="12">
        <f>IF($B32="Actual",C32,IF(Y32&lt;&gt;"",Y32,C32+N(N32)))</f>
        <v/>
      </c>
      <c r="AK32" s="12">
        <f>IF($B32="Actual",D32,IF(Z32&lt;&gt;"",Z32,D32+N(O32)))</f>
        <v/>
      </c>
      <c r="AL32" s="12">
        <f>IF($B32="Actual",E32,IF(AA32&lt;&gt;"",AA32,E32+N(P32)))</f>
        <v/>
      </c>
      <c r="AM32" s="12">
        <f>IF($B32="Actual",F32,IF(AB32&lt;&gt;"",AB32,F32+N(Q32)))</f>
        <v/>
      </c>
      <c r="AN32" s="12">
        <f>IF($B32="Actual",G32,IF(AC32&lt;&gt;"",AC32,G32+N(R32)))</f>
        <v/>
      </c>
      <c r="AO32" s="12">
        <f>IF($B32="Actual",H32,IF(AD32&lt;&gt;"",AD32,H32+N(S32)))</f>
        <v/>
      </c>
      <c r="AP32" s="12">
        <f>IF($B32="Actual",I32,IF(AE32&lt;&gt;"",AE32,I32+N(T32)))</f>
        <v/>
      </c>
      <c r="AQ32" s="12">
        <f>IF($B32="Actual",J32,IF(AF32&lt;&gt;"",AF32,J32+N(U32)))</f>
        <v/>
      </c>
      <c r="AR32" s="12">
        <f>IF($B32="Actual",K32,IF(AG32&lt;&gt;"",AG32,K32+N(V32)))</f>
        <v/>
      </c>
      <c r="AS32" s="12">
        <f>IF($B32="Actual",L32,IF(AH32&lt;&gt;"",AH32,L32+N(W32)))</f>
        <v/>
      </c>
    </row>
    <row r="33">
      <c r="A33" s="8" t="n">
        <v>46419</v>
      </c>
      <c r="B33">
        <f>IF(A33&lt;=LastActual,"Actual","Forecast")</f>
        <v/>
      </c>
      <c r="C33" s="9">
        <f>IF($B33="Actual",'NSW-1'!S40,IFERROR('NSW-1'!Y40*'NSW-1'!AB40,0))</f>
        <v/>
      </c>
      <c r="D33" s="9">
        <f>IF($B33="Actual",'VIC-1'!S40,IFERROR('VIC-1'!Y40*'VIC-1'!AB40,0))</f>
        <v/>
      </c>
      <c r="E33" s="9">
        <f>IF($B33="Actual",'QLD-1'!S40,IFERROR('QLD-1'!Y40*'QLD-1'!AB40,0))</f>
        <v/>
      </c>
      <c r="F33" s="9">
        <f>IF($B33="Actual",'NSW-2'!S40,IFERROR('NSW-2'!Y40*'NSW-2'!AB40,0))</f>
        <v/>
      </c>
      <c r="G33" s="9">
        <f>IF($B33="Actual",'VIC-2'!S40,IFERROR('VIC-2'!Y40*'VIC-2'!AB40,0))</f>
        <v/>
      </c>
      <c r="H33" s="9">
        <f>IF($B33="Actual",'QLD-2'!S40,IFERROR('QLD-2'!Y40*'QLD-2'!AB40,0))</f>
        <v/>
      </c>
      <c r="I33" s="9">
        <f>IF($B33="Actual",'SA-1'!S40,IFERROR('SA-1'!Y40*'SA-1'!AB40,0))</f>
        <v/>
      </c>
      <c r="J33" s="9">
        <f>IF($B33="Actual",'WA-1'!S40,IFERROR('WA-1'!Y40*'WA-1'!AB40,0))</f>
        <v/>
      </c>
      <c r="K33" s="9">
        <f>IF($B33="Actual",'IDC-NSW'!S40,IFERROR('IDC-NSW'!Y40*'IDC-NSW'!AB40,0))</f>
        <v/>
      </c>
      <c r="L33" s="9">
        <f>IF($B33="Actual",'IDC-VIC'!S40,IFERROR('IDC-VIC'!Y40*'IDC-VIC'!AB40,0))</f>
        <v/>
      </c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J33" s="12">
        <f>IF($B33="Actual",C33,IF(Y33&lt;&gt;"",Y33,C33+N(N33)))</f>
        <v/>
      </c>
      <c r="AK33" s="12">
        <f>IF($B33="Actual",D33,IF(Z33&lt;&gt;"",Z33,D33+N(O33)))</f>
        <v/>
      </c>
      <c r="AL33" s="12">
        <f>IF($B33="Actual",E33,IF(AA33&lt;&gt;"",AA33,E33+N(P33)))</f>
        <v/>
      </c>
      <c r="AM33" s="12">
        <f>IF($B33="Actual",F33,IF(AB33&lt;&gt;"",AB33,F33+N(Q33)))</f>
        <v/>
      </c>
      <c r="AN33" s="12">
        <f>IF($B33="Actual",G33,IF(AC33&lt;&gt;"",AC33,G33+N(R33)))</f>
        <v/>
      </c>
      <c r="AO33" s="12">
        <f>IF($B33="Actual",H33,IF(AD33&lt;&gt;"",AD33,H33+N(S33)))</f>
        <v/>
      </c>
      <c r="AP33" s="12">
        <f>IF($B33="Actual",I33,IF(AE33&lt;&gt;"",AE33,I33+N(T33)))</f>
        <v/>
      </c>
      <c r="AQ33" s="12">
        <f>IF($B33="Actual",J33,IF(AF33&lt;&gt;"",AF33,J33+N(U33)))</f>
        <v/>
      </c>
      <c r="AR33" s="12">
        <f>IF($B33="Actual",K33,IF(AG33&lt;&gt;"",AG33,K33+N(V33)))</f>
        <v/>
      </c>
      <c r="AS33" s="12">
        <f>IF($B33="Actual",L33,IF(AH33&lt;&gt;"",AH33,L33+N(W33)))</f>
        <v/>
      </c>
    </row>
    <row r="34">
      <c r="A34" s="8" t="n">
        <v>46447</v>
      </c>
      <c r="B34">
        <f>IF(A34&lt;=LastActual,"Actual","Forecast")</f>
        <v/>
      </c>
      <c r="C34" s="9">
        <f>IF($B34="Actual",'NSW-1'!S41,IFERROR('NSW-1'!Y41*'NSW-1'!AB41,0))</f>
        <v/>
      </c>
      <c r="D34" s="9">
        <f>IF($B34="Actual",'VIC-1'!S41,IFERROR('VIC-1'!Y41*'VIC-1'!AB41,0))</f>
        <v/>
      </c>
      <c r="E34" s="9">
        <f>IF($B34="Actual",'QLD-1'!S41,IFERROR('QLD-1'!Y41*'QLD-1'!AB41,0))</f>
        <v/>
      </c>
      <c r="F34" s="9">
        <f>IF($B34="Actual",'NSW-2'!S41,IFERROR('NSW-2'!Y41*'NSW-2'!AB41,0))</f>
        <v/>
      </c>
      <c r="G34" s="9">
        <f>IF($B34="Actual",'VIC-2'!S41,IFERROR('VIC-2'!Y41*'VIC-2'!AB41,0))</f>
        <v/>
      </c>
      <c r="H34" s="9">
        <f>IF($B34="Actual",'QLD-2'!S41,IFERROR('QLD-2'!Y41*'QLD-2'!AB41,0))</f>
        <v/>
      </c>
      <c r="I34" s="9">
        <f>IF($B34="Actual",'SA-1'!S41,IFERROR('SA-1'!Y41*'SA-1'!AB41,0))</f>
        <v/>
      </c>
      <c r="J34" s="9">
        <f>IF($B34="Actual",'WA-1'!S41,IFERROR('WA-1'!Y41*'WA-1'!AB41,0))</f>
        <v/>
      </c>
      <c r="K34" s="9">
        <f>IF($B34="Actual",'IDC-NSW'!S41,IFERROR('IDC-NSW'!Y41*'IDC-NSW'!AB41,0))</f>
        <v/>
      </c>
      <c r="L34" s="9">
        <f>IF($B34="Actual",'IDC-VIC'!S41,IFERROR('IDC-VIC'!Y41*'IDC-VIC'!AB41,0))</f>
        <v/>
      </c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J34" s="12">
        <f>IF($B34="Actual",C34,IF(Y34&lt;&gt;"",Y34,C34+N(N34)))</f>
        <v/>
      </c>
      <c r="AK34" s="12">
        <f>IF($B34="Actual",D34,IF(Z34&lt;&gt;"",Z34,D34+N(O34)))</f>
        <v/>
      </c>
      <c r="AL34" s="12">
        <f>IF($B34="Actual",E34,IF(AA34&lt;&gt;"",AA34,E34+N(P34)))</f>
        <v/>
      </c>
      <c r="AM34" s="12">
        <f>IF($B34="Actual",F34,IF(AB34&lt;&gt;"",AB34,F34+N(Q34)))</f>
        <v/>
      </c>
      <c r="AN34" s="12">
        <f>IF($B34="Actual",G34,IF(AC34&lt;&gt;"",AC34,G34+N(R34)))</f>
        <v/>
      </c>
      <c r="AO34" s="12">
        <f>IF($B34="Actual",H34,IF(AD34&lt;&gt;"",AD34,H34+N(S34)))</f>
        <v/>
      </c>
      <c r="AP34" s="12">
        <f>IF($B34="Actual",I34,IF(AE34&lt;&gt;"",AE34,I34+N(T34)))</f>
        <v/>
      </c>
      <c r="AQ34" s="12">
        <f>IF($B34="Actual",J34,IF(AF34&lt;&gt;"",AF34,J34+N(U34)))</f>
        <v/>
      </c>
      <c r="AR34" s="12">
        <f>IF($B34="Actual",K34,IF(AG34&lt;&gt;"",AG34,K34+N(V34)))</f>
        <v/>
      </c>
      <c r="AS34" s="12">
        <f>IF($B34="Actual",L34,IF(AH34&lt;&gt;"",AH34,L34+N(W34)))</f>
        <v/>
      </c>
    </row>
    <row r="35">
      <c r="A35" s="8" t="n">
        <v>46478</v>
      </c>
      <c r="B35">
        <f>IF(A35&lt;=LastActual,"Actual","Forecast")</f>
        <v/>
      </c>
      <c r="C35" s="9">
        <f>IF($B35="Actual",'NSW-1'!S42,IFERROR('NSW-1'!Y42*'NSW-1'!AB42,0))</f>
        <v/>
      </c>
      <c r="D35" s="9">
        <f>IF($B35="Actual",'VIC-1'!S42,IFERROR('VIC-1'!Y42*'VIC-1'!AB42,0))</f>
        <v/>
      </c>
      <c r="E35" s="9">
        <f>IF($B35="Actual",'QLD-1'!S42,IFERROR('QLD-1'!Y42*'QLD-1'!AB42,0))</f>
        <v/>
      </c>
      <c r="F35" s="9">
        <f>IF($B35="Actual",'NSW-2'!S42,IFERROR('NSW-2'!Y42*'NSW-2'!AB42,0))</f>
        <v/>
      </c>
      <c r="G35" s="9">
        <f>IF($B35="Actual",'VIC-2'!S42,IFERROR('VIC-2'!Y42*'VIC-2'!AB42,0))</f>
        <v/>
      </c>
      <c r="H35" s="9">
        <f>IF($B35="Actual",'QLD-2'!S42,IFERROR('QLD-2'!Y42*'QLD-2'!AB42,0))</f>
        <v/>
      </c>
      <c r="I35" s="9">
        <f>IF($B35="Actual",'SA-1'!S42,IFERROR('SA-1'!Y42*'SA-1'!AB42,0))</f>
        <v/>
      </c>
      <c r="J35" s="9">
        <f>IF($B35="Actual",'WA-1'!S42,IFERROR('WA-1'!Y42*'WA-1'!AB42,0))</f>
        <v/>
      </c>
      <c r="K35" s="9">
        <f>IF($B35="Actual",'IDC-NSW'!S42,IFERROR('IDC-NSW'!Y42*'IDC-NSW'!AB42,0))</f>
        <v/>
      </c>
      <c r="L35" s="9">
        <f>IF($B35="Actual",'IDC-VIC'!S42,IFERROR('IDC-VIC'!Y42*'IDC-VIC'!AB42,0))</f>
        <v/>
      </c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J35" s="12">
        <f>IF($B35="Actual",C35,IF(Y35&lt;&gt;"",Y35,C35+N(N35)))</f>
        <v/>
      </c>
      <c r="AK35" s="12">
        <f>IF($B35="Actual",D35,IF(Z35&lt;&gt;"",Z35,D35+N(O35)))</f>
        <v/>
      </c>
      <c r="AL35" s="12">
        <f>IF($B35="Actual",E35,IF(AA35&lt;&gt;"",AA35,E35+N(P35)))</f>
        <v/>
      </c>
      <c r="AM35" s="12">
        <f>IF($B35="Actual",F35,IF(AB35&lt;&gt;"",AB35,F35+N(Q35)))</f>
        <v/>
      </c>
      <c r="AN35" s="12">
        <f>IF($B35="Actual",G35,IF(AC35&lt;&gt;"",AC35,G35+N(R35)))</f>
        <v/>
      </c>
      <c r="AO35" s="12">
        <f>IF($B35="Actual",H35,IF(AD35&lt;&gt;"",AD35,H35+N(S35)))</f>
        <v/>
      </c>
      <c r="AP35" s="12">
        <f>IF($B35="Actual",I35,IF(AE35&lt;&gt;"",AE35,I35+N(T35)))</f>
        <v/>
      </c>
      <c r="AQ35" s="12">
        <f>IF($B35="Actual",J35,IF(AF35&lt;&gt;"",AF35,J35+N(U35)))</f>
        <v/>
      </c>
      <c r="AR35" s="12">
        <f>IF($B35="Actual",K35,IF(AG35&lt;&gt;"",AG35,K35+N(V35)))</f>
        <v/>
      </c>
      <c r="AS35" s="12">
        <f>IF($B35="Actual",L35,IF(AH35&lt;&gt;"",AH35,L35+N(W35)))</f>
        <v/>
      </c>
    </row>
    <row r="36">
      <c r="A36" s="8" t="n">
        <v>46508</v>
      </c>
      <c r="B36">
        <f>IF(A36&lt;=LastActual,"Actual","Forecast")</f>
        <v/>
      </c>
      <c r="C36" s="9">
        <f>IF($B36="Actual",'NSW-1'!S43,IFERROR('NSW-1'!Y43*'NSW-1'!AB43,0))</f>
        <v/>
      </c>
      <c r="D36" s="9">
        <f>IF($B36="Actual",'VIC-1'!S43,IFERROR('VIC-1'!Y43*'VIC-1'!AB43,0))</f>
        <v/>
      </c>
      <c r="E36" s="9">
        <f>IF($B36="Actual",'QLD-1'!S43,IFERROR('QLD-1'!Y43*'QLD-1'!AB43,0))</f>
        <v/>
      </c>
      <c r="F36" s="9">
        <f>IF($B36="Actual",'NSW-2'!S43,IFERROR('NSW-2'!Y43*'NSW-2'!AB43,0))</f>
        <v/>
      </c>
      <c r="G36" s="9">
        <f>IF($B36="Actual",'VIC-2'!S43,IFERROR('VIC-2'!Y43*'VIC-2'!AB43,0))</f>
        <v/>
      </c>
      <c r="H36" s="9">
        <f>IF($B36="Actual",'QLD-2'!S43,IFERROR('QLD-2'!Y43*'QLD-2'!AB43,0))</f>
        <v/>
      </c>
      <c r="I36" s="9">
        <f>IF($B36="Actual",'SA-1'!S43,IFERROR('SA-1'!Y43*'SA-1'!AB43,0))</f>
        <v/>
      </c>
      <c r="J36" s="9">
        <f>IF($B36="Actual",'WA-1'!S43,IFERROR('WA-1'!Y43*'WA-1'!AB43,0))</f>
        <v/>
      </c>
      <c r="K36" s="9">
        <f>IF($B36="Actual",'IDC-NSW'!S43,IFERROR('IDC-NSW'!Y43*'IDC-NSW'!AB43,0))</f>
        <v/>
      </c>
      <c r="L36" s="9">
        <f>IF($B36="Actual",'IDC-VIC'!S43,IFERROR('IDC-VIC'!Y43*'IDC-VIC'!AB43,0))</f>
        <v/>
      </c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J36" s="12">
        <f>IF($B36="Actual",C36,IF(Y36&lt;&gt;"",Y36,C36+N(N36)))</f>
        <v/>
      </c>
      <c r="AK36" s="12">
        <f>IF($B36="Actual",D36,IF(Z36&lt;&gt;"",Z36,D36+N(O36)))</f>
        <v/>
      </c>
      <c r="AL36" s="12">
        <f>IF($B36="Actual",E36,IF(AA36&lt;&gt;"",AA36,E36+N(P36)))</f>
        <v/>
      </c>
      <c r="AM36" s="12">
        <f>IF($B36="Actual",F36,IF(AB36&lt;&gt;"",AB36,F36+N(Q36)))</f>
        <v/>
      </c>
      <c r="AN36" s="12">
        <f>IF($B36="Actual",G36,IF(AC36&lt;&gt;"",AC36,G36+N(R36)))</f>
        <v/>
      </c>
      <c r="AO36" s="12">
        <f>IF($B36="Actual",H36,IF(AD36&lt;&gt;"",AD36,H36+N(S36)))</f>
        <v/>
      </c>
      <c r="AP36" s="12">
        <f>IF($B36="Actual",I36,IF(AE36&lt;&gt;"",AE36,I36+N(T36)))</f>
        <v/>
      </c>
      <c r="AQ36" s="12">
        <f>IF($B36="Actual",J36,IF(AF36&lt;&gt;"",AF36,J36+N(U36)))</f>
        <v/>
      </c>
      <c r="AR36" s="12">
        <f>IF($B36="Actual",K36,IF(AG36&lt;&gt;"",AG36,K36+N(V36)))</f>
        <v/>
      </c>
      <c r="AS36" s="12">
        <f>IF($B36="Actual",L36,IF(AH36&lt;&gt;"",AH36,L36+N(W36)))</f>
        <v/>
      </c>
    </row>
    <row r="37">
      <c r="A37" s="8" t="n">
        <v>46539</v>
      </c>
      <c r="B37">
        <f>IF(A37&lt;=LastActual,"Actual","Forecast")</f>
        <v/>
      </c>
      <c r="C37" s="9">
        <f>IF($B37="Actual",'NSW-1'!S44,IFERROR('NSW-1'!Y44*'NSW-1'!AB44,0))</f>
        <v/>
      </c>
      <c r="D37" s="9">
        <f>IF($B37="Actual",'VIC-1'!S44,IFERROR('VIC-1'!Y44*'VIC-1'!AB44,0))</f>
        <v/>
      </c>
      <c r="E37" s="9">
        <f>IF($B37="Actual",'QLD-1'!S44,IFERROR('QLD-1'!Y44*'QLD-1'!AB44,0))</f>
        <v/>
      </c>
      <c r="F37" s="9">
        <f>IF($B37="Actual",'NSW-2'!S44,IFERROR('NSW-2'!Y44*'NSW-2'!AB44,0))</f>
        <v/>
      </c>
      <c r="G37" s="9">
        <f>IF($B37="Actual",'VIC-2'!S44,IFERROR('VIC-2'!Y44*'VIC-2'!AB44,0))</f>
        <v/>
      </c>
      <c r="H37" s="9">
        <f>IF($B37="Actual",'QLD-2'!S44,IFERROR('QLD-2'!Y44*'QLD-2'!AB44,0))</f>
        <v/>
      </c>
      <c r="I37" s="9">
        <f>IF($B37="Actual",'SA-1'!S44,IFERROR('SA-1'!Y44*'SA-1'!AB44,0))</f>
        <v/>
      </c>
      <c r="J37" s="9">
        <f>IF($B37="Actual",'WA-1'!S44,IFERROR('WA-1'!Y44*'WA-1'!AB44,0))</f>
        <v/>
      </c>
      <c r="K37" s="9">
        <f>IF($B37="Actual",'IDC-NSW'!S44,IFERROR('IDC-NSW'!Y44*'IDC-NSW'!AB44,0))</f>
        <v/>
      </c>
      <c r="L37" s="9">
        <f>IF($B37="Actual",'IDC-VIC'!S44,IFERROR('IDC-VIC'!Y44*'IDC-VIC'!AB44,0))</f>
        <v/>
      </c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J37" s="12">
        <f>IF($B37="Actual",C37,IF(Y37&lt;&gt;"",Y37,C37+N(N37)))</f>
        <v/>
      </c>
      <c r="AK37" s="12">
        <f>IF($B37="Actual",D37,IF(Z37&lt;&gt;"",Z37,D37+N(O37)))</f>
        <v/>
      </c>
      <c r="AL37" s="12">
        <f>IF($B37="Actual",E37,IF(AA37&lt;&gt;"",AA37,E37+N(P37)))</f>
        <v/>
      </c>
      <c r="AM37" s="12">
        <f>IF($B37="Actual",F37,IF(AB37&lt;&gt;"",AB37,F37+N(Q37)))</f>
        <v/>
      </c>
      <c r="AN37" s="12">
        <f>IF($B37="Actual",G37,IF(AC37&lt;&gt;"",AC37,G37+N(R37)))</f>
        <v/>
      </c>
      <c r="AO37" s="12">
        <f>IF($B37="Actual",H37,IF(AD37&lt;&gt;"",AD37,H37+N(S37)))</f>
        <v/>
      </c>
      <c r="AP37" s="12">
        <f>IF($B37="Actual",I37,IF(AE37&lt;&gt;"",AE37,I37+N(T37)))</f>
        <v/>
      </c>
      <c r="AQ37" s="12">
        <f>IF($B37="Actual",J37,IF(AF37&lt;&gt;"",AF37,J37+N(U37)))</f>
        <v/>
      </c>
      <c r="AR37" s="12">
        <f>IF($B37="Actual",K37,IF(AG37&lt;&gt;"",AG37,K37+N(V37)))</f>
        <v/>
      </c>
      <c r="AS37" s="12">
        <f>IF($B37="Actual",L37,IF(AH37&lt;&gt;"",AH37,L37+N(W37)))</f>
        <v/>
      </c>
    </row>
    <row r="38">
      <c r="A38" s="8" t="n">
        <v>46569</v>
      </c>
      <c r="B38">
        <f>IF(A38&lt;=LastActual,"Actual","Forecast")</f>
        <v/>
      </c>
      <c r="C38" s="9">
        <f>IF($B38="Actual",'NSW-1'!S45,IFERROR('NSW-1'!Y45*'NSW-1'!AB45,0))</f>
        <v/>
      </c>
      <c r="D38" s="9">
        <f>IF($B38="Actual",'VIC-1'!S45,IFERROR('VIC-1'!Y45*'VIC-1'!AB45,0))</f>
        <v/>
      </c>
      <c r="E38" s="9">
        <f>IF($B38="Actual",'QLD-1'!S45,IFERROR('QLD-1'!Y45*'QLD-1'!AB45,0))</f>
        <v/>
      </c>
      <c r="F38" s="9">
        <f>IF($B38="Actual",'NSW-2'!S45,IFERROR('NSW-2'!Y45*'NSW-2'!AB45,0))</f>
        <v/>
      </c>
      <c r="G38" s="9">
        <f>IF($B38="Actual",'VIC-2'!S45,IFERROR('VIC-2'!Y45*'VIC-2'!AB45,0))</f>
        <v/>
      </c>
      <c r="H38" s="9">
        <f>IF($B38="Actual",'QLD-2'!S45,IFERROR('QLD-2'!Y45*'QLD-2'!AB45,0))</f>
        <v/>
      </c>
      <c r="I38" s="9">
        <f>IF($B38="Actual",'SA-1'!S45,IFERROR('SA-1'!Y45*'SA-1'!AB45,0))</f>
        <v/>
      </c>
      <c r="J38" s="9">
        <f>IF($B38="Actual",'WA-1'!S45,IFERROR('WA-1'!Y45*'WA-1'!AB45,0))</f>
        <v/>
      </c>
      <c r="K38" s="9">
        <f>IF($B38="Actual",'IDC-NSW'!S45,IFERROR('IDC-NSW'!Y45*'IDC-NSW'!AB45,0))</f>
        <v/>
      </c>
      <c r="L38" s="9">
        <f>IF($B38="Actual",'IDC-VIC'!S45,IFERROR('IDC-VIC'!Y45*'IDC-VIC'!AB45,0))</f>
        <v/>
      </c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J38" s="12">
        <f>IF($B38="Actual",C38,IF(Y38&lt;&gt;"",Y38,C38+N(N38)))</f>
        <v/>
      </c>
      <c r="AK38" s="12">
        <f>IF($B38="Actual",D38,IF(Z38&lt;&gt;"",Z38,D38+N(O38)))</f>
        <v/>
      </c>
      <c r="AL38" s="12">
        <f>IF($B38="Actual",E38,IF(AA38&lt;&gt;"",AA38,E38+N(P38)))</f>
        <v/>
      </c>
      <c r="AM38" s="12">
        <f>IF($B38="Actual",F38,IF(AB38&lt;&gt;"",AB38,F38+N(Q38)))</f>
        <v/>
      </c>
      <c r="AN38" s="12">
        <f>IF($B38="Actual",G38,IF(AC38&lt;&gt;"",AC38,G38+N(R38)))</f>
        <v/>
      </c>
      <c r="AO38" s="12">
        <f>IF($B38="Actual",H38,IF(AD38&lt;&gt;"",AD38,H38+N(S38)))</f>
        <v/>
      </c>
      <c r="AP38" s="12">
        <f>IF($B38="Actual",I38,IF(AE38&lt;&gt;"",AE38,I38+N(T38)))</f>
        <v/>
      </c>
      <c r="AQ38" s="12">
        <f>IF($B38="Actual",J38,IF(AF38&lt;&gt;"",AF38,J38+N(U38)))</f>
        <v/>
      </c>
      <c r="AR38" s="12">
        <f>IF($B38="Actual",K38,IF(AG38&lt;&gt;"",AG38,K38+N(V38)))</f>
        <v/>
      </c>
      <c r="AS38" s="12">
        <f>IF($B38="Actual",L38,IF(AH38&lt;&gt;"",AH38,L38+N(W38)))</f>
        <v/>
      </c>
    </row>
    <row r="39">
      <c r="A39" s="8" t="n">
        <v>46600</v>
      </c>
      <c r="B39">
        <f>IF(A39&lt;=LastActual,"Actual","Forecast")</f>
        <v/>
      </c>
      <c r="C39" s="9">
        <f>IF($B39="Actual",'NSW-1'!S46,IFERROR('NSW-1'!Y46*'NSW-1'!AB46,0))</f>
        <v/>
      </c>
      <c r="D39" s="9">
        <f>IF($B39="Actual",'VIC-1'!S46,IFERROR('VIC-1'!Y46*'VIC-1'!AB46,0))</f>
        <v/>
      </c>
      <c r="E39" s="9">
        <f>IF($B39="Actual",'QLD-1'!S46,IFERROR('QLD-1'!Y46*'QLD-1'!AB46,0))</f>
        <v/>
      </c>
      <c r="F39" s="9">
        <f>IF($B39="Actual",'NSW-2'!S46,IFERROR('NSW-2'!Y46*'NSW-2'!AB46,0))</f>
        <v/>
      </c>
      <c r="G39" s="9">
        <f>IF($B39="Actual",'VIC-2'!S46,IFERROR('VIC-2'!Y46*'VIC-2'!AB46,0))</f>
        <v/>
      </c>
      <c r="H39" s="9">
        <f>IF($B39="Actual",'QLD-2'!S46,IFERROR('QLD-2'!Y46*'QLD-2'!AB46,0))</f>
        <v/>
      </c>
      <c r="I39" s="9">
        <f>IF($B39="Actual",'SA-1'!S46,IFERROR('SA-1'!Y46*'SA-1'!AB46,0))</f>
        <v/>
      </c>
      <c r="J39" s="9">
        <f>IF($B39="Actual",'WA-1'!S46,IFERROR('WA-1'!Y46*'WA-1'!AB46,0))</f>
        <v/>
      </c>
      <c r="K39" s="9">
        <f>IF($B39="Actual",'IDC-NSW'!S46,IFERROR('IDC-NSW'!Y46*'IDC-NSW'!AB46,0))</f>
        <v/>
      </c>
      <c r="L39" s="9">
        <f>IF($B39="Actual",'IDC-VIC'!S46,IFERROR('IDC-VIC'!Y46*'IDC-VIC'!AB46,0))</f>
        <v/>
      </c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J39" s="12">
        <f>IF($B39="Actual",C39,IF(Y39&lt;&gt;"",Y39,C39+N(N39)))</f>
        <v/>
      </c>
      <c r="AK39" s="12">
        <f>IF($B39="Actual",D39,IF(Z39&lt;&gt;"",Z39,D39+N(O39)))</f>
        <v/>
      </c>
      <c r="AL39" s="12">
        <f>IF($B39="Actual",E39,IF(AA39&lt;&gt;"",AA39,E39+N(P39)))</f>
        <v/>
      </c>
      <c r="AM39" s="12">
        <f>IF($B39="Actual",F39,IF(AB39&lt;&gt;"",AB39,F39+N(Q39)))</f>
        <v/>
      </c>
      <c r="AN39" s="12">
        <f>IF($B39="Actual",G39,IF(AC39&lt;&gt;"",AC39,G39+N(R39)))</f>
        <v/>
      </c>
      <c r="AO39" s="12">
        <f>IF($B39="Actual",H39,IF(AD39&lt;&gt;"",AD39,H39+N(S39)))</f>
        <v/>
      </c>
      <c r="AP39" s="12">
        <f>IF($B39="Actual",I39,IF(AE39&lt;&gt;"",AE39,I39+N(T39)))</f>
        <v/>
      </c>
      <c r="AQ39" s="12">
        <f>IF($B39="Actual",J39,IF(AF39&lt;&gt;"",AF39,J39+N(U39)))</f>
        <v/>
      </c>
      <c r="AR39" s="12">
        <f>IF($B39="Actual",K39,IF(AG39&lt;&gt;"",AG39,K39+N(V39)))</f>
        <v/>
      </c>
      <c r="AS39" s="12">
        <f>IF($B39="Actual",L39,IF(AH39&lt;&gt;"",AH39,L39+N(W39)))</f>
        <v/>
      </c>
    </row>
    <row r="40">
      <c r="A40" s="8" t="n">
        <v>46631</v>
      </c>
      <c r="B40">
        <f>IF(A40&lt;=LastActual,"Actual","Forecast")</f>
        <v/>
      </c>
      <c r="C40" s="9">
        <f>IF($B40="Actual",'NSW-1'!S47,IFERROR('NSW-1'!Y47*'NSW-1'!AB47,0))</f>
        <v/>
      </c>
      <c r="D40" s="9">
        <f>IF($B40="Actual",'VIC-1'!S47,IFERROR('VIC-1'!Y47*'VIC-1'!AB47,0))</f>
        <v/>
      </c>
      <c r="E40" s="9">
        <f>IF($B40="Actual",'QLD-1'!S47,IFERROR('QLD-1'!Y47*'QLD-1'!AB47,0))</f>
        <v/>
      </c>
      <c r="F40" s="9">
        <f>IF($B40="Actual",'NSW-2'!S47,IFERROR('NSW-2'!Y47*'NSW-2'!AB47,0))</f>
        <v/>
      </c>
      <c r="G40" s="9">
        <f>IF($B40="Actual",'VIC-2'!S47,IFERROR('VIC-2'!Y47*'VIC-2'!AB47,0))</f>
        <v/>
      </c>
      <c r="H40" s="9">
        <f>IF($B40="Actual",'QLD-2'!S47,IFERROR('QLD-2'!Y47*'QLD-2'!AB47,0))</f>
        <v/>
      </c>
      <c r="I40" s="9">
        <f>IF($B40="Actual",'SA-1'!S47,IFERROR('SA-1'!Y47*'SA-1'!AB47,0))</f>
        <v/>
      </c>
      <c r="J40" s="9">
        <f>IF($B40="Actual",'WA-1'!S47,IFERROR('WA-1'!Y47*'WA-1'!AB47,0))</f>
        <v/>
      </c>
      <c r="K40" s="9">
        <f>IF($B40="Actual",'IDC-NSW'!S47,IFERROR('IDC-NSW'!Y47*'IDC-NSW'!AB47,0))</f>
        <v/>
      </c>
      <c r="L40" s="9">
        <f>IF($B40="Actual",'IDC-VIC'!S47,IFERROR('IDC-VIC'!Y47*'IDC-VIC'!AB47,0))</f>
        <v/>
      </c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J40" s="12">
        <f>IF($B40="Actual",C40,IF(Y40&lt;&gt;"",Y40,C40+N(N40)))</f>
        <v/>
      </c>
      <c r="AK40" s="12">
        <f>IF($B40="Actual",D40,IF(Z40&lt;&gt;"",Z40,D40+N(O40)))</f>
        <v/>
      </c>
      <c r="AL40" s="12">
        <f>IF($B40="Actual",E40,IF(AA40&lt;&gt;"",AA40,E40+N(P40)))</f>
        <v/>
      </c>
      <c r="AM40" s="12">
        <f>IF($B40="Actual",F40,IF(AB40&lt;&gt;"",AB40,F40+N(Q40)))</f>
        <v/>
      </c>
      <c r="AN40" s="12">
        <f>IF($B40="Actual",G40,IF(AC40&lt;&gt;"",AC40,G40+N(R40)))</f>
        <v/>
      </c>
      <c r="AO40" s="12">
        <f>IF($B40="Actual",H40,IF(AD40&lt;&gt;"",AD40,H40+N(S40)))</f>
        <v/>
      </c>
      <c r="AP40" s="12">
        <f>IF($B40="Actual",I40,IF(AE40&lt;&gt;"",AE40,I40+N(T40)))</f>
        <v/>
      </c>
      <c r="AQ40" s="12">
        <f>IF($B40="Actual",J40,IF(AF40&lt;&gt;"",AF40,J40+N(U40)))</f>
        <v/>
      </c>
      <c r="AR40" s="12">
        <f>IF($B40="Actual",K40,IF(AG40&lt;&gt;"",AG40,K40+N(V40)))</f>
        <v/>
      </c>
      <c r="AS40" s="12">
        <f>IF($B40="Actual",L40,IF(AH40&lt;&gt;"",AH40,L40+N(W40)))</f>
        <v/>
      </c>
    </row>
    <row r="41">
      <c r="A41" s="8" t="n">
        <v>46661</v>
      </c>
      <c r="B41">
        <f>IF(A41&lt;=LastActual,"Actual","Forecast")</f>
        <v/>
      </c>
      <c r="C41" s="9">
        <f>IF($B41="Actual",'NSW-1'!S48,IFERROR('NSW-1'!Y48*'NSW-1'!AB48,0))</f>
        <v/>
      </c>
      <c r="D41" s="9">
        <f>IF($B41="Actual",'VIC-1'!S48,IFERROR('VIC-1'!Y48*'VIC-1'!AB48,0))</f>
        <v/>
      </c>
      <c r="E41" s="9">
        <f>IF($B41="Actual",'QLD-1'!S48,IFERROR('QLD-1'!Y48*'QLD-1'!AB48,0))</f>
        <v/>
      </c>
      <c r="F41" s="9">
        <f>IF($B41="Actual",'NSW-2'!S48,IFERROR('NSW-2'!Y48*'NSW-2'!AB48,0))</f>
        <v/>
      </c>
      <c r="G41" s="9">
        <f>IF($B41="Actual",'VIC-2'!S48,IFERROR('VIC-2'!Y48*'VIC-2'!AB48,0))</f>
        <v/>
      </c>
      <c r="H41" s="9">
        <f>IF($B41="Actual",'QLD-2'!S48,IFERROR('QLD-2'!Y48*'QLD-2'!AB48,0))</f>
        <v/>
      </c>
      <c r="I41" s="9">
        <f>IF($B41="Actual",'SA-1'!S48,IFERROR('SA-1'!Y48*'SA-1'!AB48,0))</f>
        <v/>
      </c>
      <c r="J41" s="9">
        <f>IF($B41="Actual",'WA-1'!S48,IFERROR('WA-1'!Y48*'WA-1'!AB48,0))</f>
        <v/>
      </c>
      <c r="K41" s="9">
        <f>IF($B41="Actual",'IDC-NSW'!S48,IFERROR('IDC-NSW'!Y48*'IDC-NSW'!AB48,0))</f>
        <v/>
      </c>
      <c r="L41" s="9">
        <f>IF($B41="Actual",'IDC-VIC'!S48,IFERROR('IDC-VIC'!Y48*'IDC-VIC'!AB48,0))</f>
        <v/>
      </c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J41" s="12">
        <f>IF($B41="Actual",C41,IF(Y41&lt;&gt;"",Y41,C41+N(N41)))</f>
        <v/>
      </c>
      <c r="AK41" s="12">
        <f>IF($B41="Actual",D41,IF(Z41&lt;&gt;"",Z41,D41+N(O41)))</f>
        <v/>
      </c>
      <c r="AL41" s="12">
        <f>IF($B41="Actual",E41,IF(AA41&lt;&gt;"",AA41,E41+N(P41)))</f>
        <v/>
      </c>
      <c r="AM41" s="12">
        <f>IF($B41="Actual",F41,IF(AB41&lt;&gt;"",AB41,F41+N(Q41)))</f>
        <v/>
      </c>
      <c r="AN41" s="12">
        <f>IF($B41="Actual",G41,IF(AC41&lt;&gt;"",AC41,G41+N(R41)))</f>
        <v/>
      </c>
      <c r="AO41" s="12">
        <f>IF($B41="Actual",H41,IF(AD41&lt;&gt;"",AD41,H41+N(S41)))</f>
        <v/>
      </c>
      <c r="AP41" s="12">
        <f>IF($B41="Actual",I41,IF(AE41&lt;&gt;"",AE41,I41+N(T41)))</f>
        <v/>
      </c>
      <c r="AQ41" s="12">
        <f>IF($B41="Actual",J41,IF(AF41&lt;&gt;"",AF41,J41+N(U41)))</f>
        <v/>
      </c>
      <c r="AR41" s="12">
        <f>IF($B41="Actual",K41,IF(AG41&lt;&gt;"",AG41,K41+N(V41)))</f>
        <v/>
      </c>
      <c r="AS41" s="12">
        <f>IF($B41="Actual",L41,IF(AH41&lt;&gt;"",AH41,L41+N(W41)))</f>
        <v/>
      </c>
    </row>
    <row r="42">
      <c r="A42" s="8" t="n">
        <v>46692</v>
      </c>
      <c r="B42">
        <f>IF(A42&lt;=LastActual,"Actual","Forecast")</f>
        <v/>
      </c>
      <c r="C42" s="9">
        <f>IF($B42="Actual",'NSW-1'!S49,IFERROR('NSW-1'!Y49*'NSW-1'!AB49,0))</f>
        <v/>
      </c>
      <c r="D42" s="9">
        <f>IF($B42="Actual",'VIC-1'!S49,IFERROR('VIC-1'!Y49*'VIC-1'!AB49,0))</f>
        <v/>
      </c>
      <c r="E42" s="9">
        <f>IF($B42="Actual",'QLD-1'!S49,IFERROR('QLD-1'!Y49*'QLD-1'!AB49,0))</f>
        <v/>
      </c>
      <c r="F42" s="9">
        <f>IF($B42="Actual",'NSW-2'!S49,IFERROR('NSW-2'!Y49*'NSW-2'!AB49,0))</f>
        <v/>
      </c>
      <c r="G42" s="9">
        <f>IF($B42="Actual",'VIC-2'!S49,IFERROR('VIC-2'!Y49*'VIC-2'!AB49,0))</f>
        <v/>
      </c>
      <c r="H42" s="9">
        <f>IF($B42="Actual",'QLD-2'!S49,IFERROR('QLD-2'!Y49*'QLD-2'!AB49,0))</f>
        <v/>
      </c>
      <c r="I42" s="9">
        <f>IF($B42="Actual",'SA-1'!S49,IFERROR('SA-1'!Y49*'SA-1'!AB49,0))</f>
        <v/>
      </c>
      <c r="J42" s="9">
        <f>IF($B42="Actual",'WA-1'!S49,IFERROR('WA-1'!Y49*'WA-1'!AB49,0))</f>
        <v/>
      </c>
      <c r="K42" s="9">
        <f>IF($B42="Actual",'IDC-NSW'!S49,IFERROR('IDC-NSW'!Y49*'IDC-NSW'!AB49,0))</f>
        <v/>
      </c>
      <c r="L42" s="9">
        <f>IF($B42="Actual",'IDC-VIC'!S49,IFERROR('IDC-VIC'!Y49*'IDC-VIC'!AB49,0))</f>
        <v/>
      </c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J42" s="12">
        <f>IF($B42="Actual",C42,IF(Y42&lt;&gt;"",Y42,C42+N(N42)))</f>
        <v/>
      </c>
      <c r="AK42" s="12">
        <f>IF($B42="Actual",D42,IF(Z42&lt;&gt;"",Z42,D42+N(O42)))</f>
        <v/>
      </c>
      <c r="AL42" s="12">
        <f>IF($B42="Actual",E42,IF(AA42&lt;&gt;"",AA42,E42+N(P42)))</f>
        <v/>
      </c>
      <c r="AM42" s="12">
        <f>IF($B42="Actual",F42,IF(AB42&lt;&gt;"",AB42,F42+N(Q42)))</f>
        <v/>
      </c>
      <c r="AN42" s="12">
        <f>IF($B42="Actual",G42,IF(AC42&lt;&gt;"",AC42,G42+N(R42)))</f>
        <v/>
      </c>
      <c r="AO42" s="12">
        <f>IF($B42="Actual",H42,IF(AD42&lt;&gt;"",AD42,H42+N(S42)))</f>
        <v/>
      </c>
      <c r="AP42" s="12">
        <f>IF($B42="Actual",I42,IF(AE42&lt;&gt;"",AE42,I42+N(T42)))</f>
        <v/>
      </c>
      <c r="AQ42" s="12">
        <f>IF($B42="Actual",J42,IF(AF42&lt;&gt;"",AF42,J42+N(U42)))</f>
        <v/>
      </c>
      <c r="AR42" s="12">
        <f>IF($B42="Actual",K42,IF(AG42&lt;&gt;"",AG42,K42+N(V42)))</f>
        <v/>
      </c>
      <c r="AS42" s="12">
        <f>IF($B42="Actual",L42,IF(AH42&lt;&gt;"",AH42,L42+N(W42)))</f>
        <v/>
      </c>
    </row>
    <row r="43">
      <c r="A43" s="8" t="n">
        <v>46722</v>
      </c>
      <c r="B43">
        <f>IF(A43&lt;=LastActual,"Actual","Forecast")</f>
        <v/>
      </c>
      <c r="C43" s="9">
        <f>IF($B43="Actual",'NSW-1'!S50,IFERROR('NSW-1'!Y50*'NSW-1'!AB50,0))</f>
        <v/>
      </c>
      <c r="D43" s="9">
        <f>IF($B43="Actual",'VIC-1'!S50,IFERROR('VIC-1'!Y50*'VIC-1'!AB50,0))</f>
        <v/>
      </c>
      <c r="E43" s="9">
        <f>IF($B43="Actual",'QLD-1'!S50,IFERROR('QLD-1'!Y50*'QLD-1'!AB50,0))</f>
        <v/>
      </c>
      <c r="F43" s="9">
        <f>IF($B43="Actual",'NSW-2'!S50,IFERROR('NSW-2'!Y50*'NSW-2'!AB50,0))</f>
        <v/>
      </c>
      <c r="G43" s="9">
        <f>IF($B43="Actual",'VIC-2'!S50,IFERROR('VIC-2'!Y50*'VIC-2'!AB50,0))</f>
        <v/>
      </c>
      <c r="H43" s="9">
        <f>IF($B43="Actual",'QLD-2'!S50,IFERROR('QLD-2'!Y50*'QLD-2'!AB50,0))</f>
        <v/>
      </c>
      <c r="I43" s="9">
        <f>IF($B43="Actual",'SA-1'!S50,IFERROR('SA-1'!Y50*'SA-1'!AB50,0))</f>
        <v/>
      </c>
      <c r="J43" s="9">
        <f>IF($B43="Actual",'WA-1'!S50,IFERROR('WA-1'!Y50*'WA-1'!AB50,0))</f>
        <v/>
      </c>
      <c r="K43" s="9">
        <f>IF($B43="Actual",'IDC-NSW'!S50,IFERROR('IDC-NSW'!Y50*'IDC-NSW'!AB50,0))</f>
        <v/>
      </c>
      <c r="L43" s="9">
        <f>IF($B43="Actual",'IDC-VIC'!S50,IFERROR('IDC-VIC'!Y50*'IDC-VIC'!AB50,0))</f>
        <v/>
      </c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J43" s="12">
        <f>IF($B43="Actual",C43,IF(Y43&lt;&gt;"",Y43,C43+N(N43)))</f>
        <v/>
      </c>
      <c r="AK43" s="12">
        <f>IF($B43="Actual",D43,IF(Z43&lt;&gt;"",Z43,D43+N(O43)))</f>
        <v/>
      </c>
      <c r="AL43" s="12">
        <f>IF($B43="Actual",E43,IF(AA43&lt;&gt;"",AA43,E43+N(P43)))</f>
        <v/>
      </c>
      <c r="AM43" s="12">
        <f>IF($B43="Actual",F43,IF(AB43&lt;&gt;"",AB43,F43+N(Q43)))</f>
        <v/>
      </c>
      <c r="AN43" s="12">
        <f>IF($B43="Actual",G43,IF(AC43&lt;&gt;"",AC43,G43+N(R43)))</f>
        <v/>
      </c>
      <c r="AO43" s="12">
        <f>IF($B43="Actual",H43,IF(AD43&lt;&gt;"",AD43,H43+N(S43)))</f>
        <v/>
      </c>
      <c r="AP43" s="12">
        <f>IF($B43="Actual",I43,IF(AE43&lt;&gt;"",AE43,I43+N(T43)))</f>
        <v/>
      </c>
      <c r="AQ43" s="12">
        <f>IF($B43="Actual",J43,IF(AF43&lt;&gt;"",AF43,J43+N(U43)))</f>
        <v/>
      </c>
      <c r="AR43" s="12">
        <f>IF($B43="Actual",K43,IF(AG43&lt;&gt;"",AG43,K43+N(V43)))</f>
        <v/>
      </c>
      <c r="AS43" s="12">
        <f>IF($B43="Actual",L43,IF(AH43&lt;&gt;"",AH43,L43+N(W43)))</f>
        <v/>
      </c>
    </row>
    <row r="44">
      <c r="A44" s="8" t="n">
        <v>46753</v>
      </c>
      <c r="B44">
        <f>IF(A44&lt;=LastActual,"Actual","Forecast")</f>
        <v/>
      </c>
      <c r="C44" s="9">
        <f>IF($B44="Actual",'NSW-1'!S51,IFERROR('NSW-1'!Y51*'NSW-1'!AB51,0))</f>
        <v/>
      </c>
      <c r="D44" s="9">
        <f>IF($B44="Actual",'VIC-1'!S51,IFERROR('VIC-1'!Y51*'VIC-1'!AB51,0))</f>
        <v/>
      </c>
      <c r="E44" s="9">
        <f>IF($B44="Actual",'QLD-1'!S51,IFERROR('QLD-1'!Y51*'QLD-1'!AB51,0))</f>
        <v/>
      </c>
      <c r="F44" s="9">
        <f>IF($B44="Actual",'NSW-2'!S51,IFERROR('NSW-2'!Y51*'NSW-2'!AB51,0))</f>
        <v/>
      </c>
      <c r="G44" s="9">
        <f>IF($B44="Actual",'VIC-2'!S51,IFERROR('VIC-2'!Y51*'VIC-2'!AB51,0))</f>
        <v/>
      </c>
      <c r="H44" s="9">
        <f>IF($B44="Actual",'QLD-2'!S51,IFERROR('QLD-2'!Y51*'QLD-2'!AB51,0))</f>
        <v/>
      </c>
      <c r="I44" s="9">
        <f>IF($B44="Actual",'SA-1'!S51,IFERROR('SA-1'!Y51*'SA-1'!AB51,0))</f>
        <v/>
      </c>
      <c r="J44" s="9">
        <f>IF($B44="Actual",'WA-1'!S51,IFERROR('WA-1'!Y51*'WA-1'!AB51,0))</f>
        <v/>
      </c>
      <c r="K44" s="9">
        <f>IF($B44="Actual",'IDC-NSW'!S51,IFERROR('IDC-NSW'!Y51*'IDC-NSW'!AB51,0))</f>
        <v/>
      </c>
      <c r="L44" s="9">
        <f>IF($B44="Actual",'IDC-VIC'!S51,IFERROR('IDC-VIC'!Y51*'IDC-VIC'!AB51,0))</f>
        <v/>
      </c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J44" s="12">
        <f>IF($B44="Actual",C44,IF(Y44&lt;&gt;"",Y44,C44+N(N44)))</f>
        <v/>
      </c>
      <c r="AK44" s="12">
        <f>IF($B44="Actual",D44,IF(Z44&lt;&gt;"",Z44,D44+N(O44)))</f>
        <v/>
      </c>
      <c r="AL44" s="12">
        <f>IF($B44="Actual",E44,IF(AA44&lt;&gt;"",AA44,E44+N(P44)))</f>
        <v/>
      </c>
      <c r="AM44" s="12">
        <f>IF($B44="Actual",F44,IF(AB44&lt;&gt;"",AB44,F44+N(Q44)))</f>
        <v/>
      </c>
      <c r="AN44" s="12">
        <f>IF($B44="Actual",G44,IF(AC44&lt;&gt;"",AC44,G44+N(R44)))</f>
        <v/>
      </c>
      <c r="AO44" s="12">
        <f>IF($B44="Actual",H44,IF(AD44&lt;&gt;"",AD44,H44+N(S44)))</f>
        <v/>
      </c>
      <c r="AP44" s="12">
        <f>IF($B44="Actual",I44,IF(AE44&lt;&gt;"",AE44,I44+N(T44)))</f>
        <v/>
      </c>
      <c r="AQ44" s="12">
        <f>IF($B44="Actual",J44,IF(AF44&lt;&gt;"",AF44,J44+N(U44)))</f>
        <v/>
      </c>
      <c r="AR44" s="12">
        <f>IF($B44="Actual",K44,IF(AG44&lt;&gt;"",AG44,K44+N(V44)))</f>
        <v/>
      </c>
      <c r="AS44" s="12">
        <f>IF($B44="Actual",L44,IF(AH44&lt;&gt;"",AH44,L44+N(W44)))</f>
        <v/>
      </c>
    </row>
    <row r="45">
      <c r="A45" s="8" t="n">
        <v>46784</v>
      </c>
      <c r="B45">
        <f>IF(A45&lt;=LastActual,"Actual","Forecast")</f>
        <v/>
      </c>
      <c r="C45" s="9">
        <f>IF($B45="Actual",'NSW-1'!S52,IFERROR('NSW-1'!Y52*'NSW-1'!AB52,0))</f>
        <v/>
      </c>
      <c r="D45" s="9">
        <f>IF($B45="Actual",'VIC-1'!S52,IFERROR('VIC-1'!Y52*'VIC-1'!AB52,0))</f>
        <v/>
      </c>
      <c r="E45" s="9">
        <f>IF($B45="Actual",'QLD-1'!S52,IFERROR('QLD-1'!Y52*'QLD-1'!AB52,0))</f>
        <v/>
      </c>
      <c r="F45" s="9">
        <f>IF($B45="Actual",'NSW-2'!S52,IFERROR('NSW-2'!Y52*'NSW-2'!AB52,0))</f>
        <v/>
      </c>
      <c r="G45" s="9">
        <f>IF($B45="Actual",'VIC-2'!S52,IFERROR('VIC-2'!Y52*'VIC-2'!AB52,0))</f>
        <v/>
      </c>
      <c r="H45" s="9">
        <f>IF($B45="Actual",'QLD-2'!S52,IFERROR('QLD-2'!Y52*'QLD-2'!AB52,0))</f>
        <v/>
      </c>
      <c r="I45" s="9">
        <f>IF($B45="Actual",'SA-1'!S52,IFERROR('SA-1'!Y52*'SA-1'!AB52,0))</f>
        <v/>
      </c>
      <c r="J45" s="9">
        <f>IF($B45="Actual",'WA-1'!S52,IFERROR('WA-1'!Y52*'WA-1'!AB52,0))</f>
        <v/>
      </c>
      <c r="K45" s="9">
        <f>IF($B45="Actual",'IDC-NSW'!S52,IFERROR('IDC-NSW'!Y52*'IDC-NSW'!AB52,0))</f>
        <v/>
      </c>
      <c r="L45" s="9">
        <f>IF($B45="Actual",'IDC-VIC'!S52,IFERROR('IDC-VIC'!Y52*'IDC-VIC'!AB52,0))</f>
        <v/>
      </c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J45" s="12">
        <f>IF($B45="Actual",C45,IF(Y45&lt;&gt;"",Y45,C45+N(N45)))</f>
        <v/>
      </c>
      <c r="AK45" s="12">
        <f>IF($B45="Actual",D45,IF(Z45&lt;&gt;"",Z45,D45+N(O45)))</f>
        <v/>
      </c>
      <c r="AL45" s="12">
        <f>IF($B45="Actual",E45,IF(AA45&lt;&gt;"",AA45,E45+N(P45)))</f>
        <v/>
      </c>
      <c r="AM45" s="12">
        <f>IF($B45="Actual",F45,IF(AB45&lt;&gt;"",AB45,F45+N(Q45)))</f>
        <v/>
      </c>
      <c r="AN45" s="12">
        <f>IF($B45="Actual",G45,IF(AC45&lt;&gt;"",AC45,G45+N(R45)))</f>
        <v/>
      </c>
      <c r="AO45" s="12">
        <f>IF($B45="Actual",H45,IF(AD45&lt;&gt;"",AD45,H45+N(S45)))</f>
        <v/>
      </c>
      <c r="AP45" s="12">
        <f>IF($B45="Actual",I45,IF(AE45&lt;&gt;"",AE45,I45+N(T45)))</f>
        <v/>
      </c>
      <c r="AQ45" s="12">
        <f>IF($B45="Actual",J45,IF(AF45&lt;&gt;"",AF45,J45+N(U45)))</f>
        <v/>
      </c>
      <c r="AR45" s="12">
        <f>IF($B45="Actual",K45,IF(AG45&lt;&gt;"",AG45,K45+N(V45)))</f>
        <v/>
      </c>
      <c r="AS45" s="12">
        <f>IF($B45="Actual",L45,IF(AH45&lt;&gt;"",AH45,L45+N(W45)))</f>
        <v/>
      </c>
    </row>
    <row r="46">
      <c r="A46" s="8" t="n">
        <v>46813</v>
      </c>
      <c r="B46">
        <f>IF(A46&lt;=LastActual,"Actual","Forecast")</f>
        <v/>
      </c>
      <c r="C46" s="9">
        <f>IF($B46="Actual",'NSW-1'!S53,IFERROR('NSW-1'!Y53*'NSW-1'!AB53,0))</f>
        <v/>
      </c>
      <c r="D46" s="9">
        <f>IF($B46="Actual",'VIC-1'!S53,IFERROR('VIC-1'!Y53*'VIC-1'!AB53,0))</f>
        <v/>
      </c>
      <c r="E46" s="9">
        <f>IF($B46="Actual",'QLD-1'!S53,IFERROR('QLD-1'!Y53*'QLD-1'!AB53,0))</f>
        <v/>
      </c>
      <c r="F46" s="9">
        <f>IF($B46="Actual",'NSW-2'!S53,IFERROR('NSW-2'!Y53*'NSW-2'!AB53,0))</f>
        <v/>
      </c>
      <c r="G46" s="9">
        <f>IF($B46="Actual",'VIC-2'!S53,IFERROR('VIC-2'!Y53*'VIC-2'!AB53,0))</f>
        <v/>
      </c>
      <c r="H46" s="9">
        <f>IF($B46="Actual",'QLD-2'!S53,IFERROR('QLD-2'!Y53*'QLD-2'!AB53,0))</f>
        <v/>
      </c>
      <c r="I46" s="9">
        <f>IF($B46="Actual",'SA-1'!S53,IFERROR('SA-1'!Y53*'SA-1'!AB53,0))</f>
        <v/>
      </c>
      <c r="J46" s="9">
        <f>IF($B46="Actual",'WA-1'!S53,IFERROR('WA-1'!Y53*'WA-1'!AB53,0))</f>
        <v/>
      </c>
      <c r="K46" s="9">
        <f>IF($B46="Actual",'IDC-NSW'!S53,IFERROR('IDC-NSW'!Y53*'IDC-NSW'!AB53,0))</f>
        <v/>
      </c>
      <c r="L46" s="9">
        <f>IF($B46="Actual",'IDC-VIC'!S53,IFERROR('IDC-VIC'!Y53*'IDC-VIC'!AB53,0))</f>
        <v/>
      </c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J46" s="12">
        <f>IF($B46="Actual",C46,IF(Y46&lt;&gt;"",Y46,C46+N(N46)))</f>
        <v/>
      </c>
      <c r="AK46" s="12">
        <f>IF($B46="Actual",D46,IF(Z46&lt;&gt;"",Z46,D46+N(O46)))</f>
        <v/>
      </c>
      <c r="AL46" s="12">
        <f>IF($B46="Actual",E46,IF(AA46&lt;&gt;"",AA46,E46+N(P46)))</f>
        <v/>
      </c>
      <c r="AM46" s="12">
        <f>IF($B46="Actual",F46,IF(AB46&lt;&gt;"",AB46,F46+N(Q46)))</f>
        <v/>
      </c>
      <c r="AN46" s="12">
        <f>IF($B46="Actual",G46,IF(AC46&lt;&gt;"",AC46,G46+N(R46)))</f>
        <v/>
      </c>
      <c r="AO46" s="12">
        <f>IF($B46="Actual",H46,IF(AD46&lt;&gt;"",AD46,H46+N(S46)))</f>
        <v/>
      </c>
      <c r="AP46" s="12">
        <f>IF($B46="Actual",I46,IF(AE46&lt;&gt;"",AE46,I46+N(T46)))</f>
        <v/>
      </c>
      <c r="AQ46" s="12">
        <f>IF($B46="Actual",J46,IF(AF46&lt;&gt;"",AF46,J46+N(U46)))</f>
        <v/>
      </c>
      <c r="AR46" s="12">
        <f>IF($B46="Actual",K46,IF(AG46&lt;&gt;"",AG46,K46+N(V46)))</f>
        <v/>
      </c>
      <c r="AS46" s="12">
        <f>IF($B46="Actual",L46,IF(AH46&lt;&gt;"",AH46,L46+N(W46)))</f>
        <v/>
      </c>
    </row>
    <row r="47">
      <c r="A47" s="8" t="n">
        <v>46844</v>
      </c>
      <c r="B47">
        <f>IF(A47&lt;=LastActual,"Actual","Forecast")</f>
        <v/>
      </c>
      <c r="C47" s="9">
        <f>IF($B47="Actual",'NSW-1'!S54,IFERROR('NSW-1'!Y54*'NSW-1'!AB54,0))</f>
        <v/>
      </c>
      <c r="D47" s="9">
        <f>IF($B47="Actual",'VIC-1'!S54,IFERROR('VIC-1'!Y54*'VIC-1'!AB54,0))</f>
        <v/>
      </c>
      <c r="E47" s="9">
        <f>IF($B47="Actual",'QLD-1'!S54,IFERROR('QLD-1'!Y54*'QLD-1'!AB54,0))</f>
        <v/>
      </c>
      <c r="F47" s="9">
        <f>IF($B47="Actual",'NSW-2'!S54,IFERROR('NSW-2'!Y54*'NSW-2'!AB54,0))</f>
        <v/>
      </c>
      <c r="G47" s="9">
        <f>IF($B47="Actual",'VIC-2'!S54,IFERROR('VIC-2'!Y54*'VIC-2'!AB54,0))</f>
        <v/>
      </c>
      <c r="H47" s="9">
        <f>IF($B47="Actual",'QLD-2'!S54,IFERROR('QLD-2'!Y54*'QLD-2'!AB54,0))</f>
        <v/>
      </c>
      <c r="I47" s="9">
        <f>IF($B47="Actual",'SA-1'!S54,IFERROR('SA-1'!Y54*'SA-1'!AB54,0))</f>
        <v/>
      </c>
      <c r="J47" s="9">
        <f>IF($B47="Actual",'WA-1'!S54,IFERROR('WA-1'!Y54*'WA-1'!AB54,0))</f>
        <v/>
      </c>
      <c r="K47" s="9">
        <f>IF($B47="Actual",'IDC-NSW'!S54,IFERROR('IDC-NSW'!Y54*'IDC-NSW'!AB54,0))</f>
        <v/>
      </c>
      <c r="L47" s="9">
        <f>IF($B47="Actual",'IDC-VIC'!S54,IFERROR('IDC-VIC'!Y54*'IDC-VIC'!AB54,0))</f>
        <v/>
      </c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J47" s="12">
        <f>IF($B47="Actual",C47,IF(Y47&lt;&gt;"",Y47,C47+N(N47)))</f>
        <v/>
      </c>
      <c r="AK47" s="12">
        <f>IF($B47="Actual",D47,IF(Z47&lt;&gt;"",Z47,D47+N(O47)))</f>
        <v/>
      </c>
      <c r="AL47" s="12">
        <f>IF($B47="Actual",E47,IF(AA47&lt;&gt;"",AA47,E47+N(P47)))</f>
        <v/>
      </c>
      <c r="AM47" s="12">
        <f>IF($B47="Actual",F47,IF(AB47&lt;&gt;"",AB47,F47+N(Q47)))</f>
        <v/>
      </c>
      <c r="AN47" s="12">
        <f>IF($B47="Actual",G47,IF(AC47&lt;&gt;"",AC47,G47+N(R47)))</f>
        <v/>
      </c>
      <c r="AO47" s="12">
        <f>IF($B47="Actual",H47,IF(AD47&lt;&gt;"",AD47,H47+N(S47)))</f>
        <v/>
      </c>
      <c r="AP47" s="12">
        <f>IF($B47="Actual",I47,IF(AE47&lt;&gt;"",AE47,I47+N(T47)))</f>
        <v/>
      </c>
      <c r="AQ47" s="12">
        <f>IF($B47="Actual",J47,IF(AF47&lt;&gt;"",AF47,J47+N(U47)))</f>
        <v/>
      </c>
      <c r="AR47" s="12">
        <f>IF($B47="Actual",K47,IF(AG47&lt;&gt;"",AG47,K47+N(V47)))</f>
        <v/>
      </c>
      <c r="AS47" s="12">
        <f>IF($B47="Actual",L47,IF(AH47&lt;&gt;"",AH47,L47+N(W47)))</f>
        <v/>
      </c>
    </row>
    <row r="48">
      <c r="A48" s="8" t="n">
        <v>46874</v>
      </c>
      <c r="B48">
        <f>IF(A48&lt;=LastActual,"Actual","Forecast")</f>
        <v/>
      </c>
      <c r="C48" s="9">
        <f>IF($B48="Actual",'NSW-1'!S55,IFERROR('NSW-1'!Y55*'NSW-1'!AB55,0))</f>
        <v/>
      </c>
      <c r="D48" s="9">
        <f>IF($B48="Actual",'VIC-1'!S55,IFERROR('VIC-1'!Y55*'VIC-1'!AB55,0))</f>
        <v/>
      </c>
      <c r="E48" s="9">
        <f>IF($B48="Actual",'QLD-1'!S55,IFERROR('QLD-1'!Y55*'QLD-1'!AB55,0))</f>
        <v/>
      </c>
      <c r="F48" s="9">
        <f>IF($B48="Actual",'NSW-2'!S55,IFERROR('NSW-2'!Y55*'NSW-2'!AB55,0))</f>
        <v/>
      </c>
      <c r="G48" s="9">
        <f>IF($B48="Actual",'VIC-2'!S55,IFERROR('VIC-2'!Y55*'VIC-2'!AB55,0))</f>
        <v/>
      </c>
      <c r="H48" s="9">
        <f>IF($B48="Actual",'QLD-2'!S55,IFERROR('QLD-2'!Y55*'QLD-2'!AB55,0))</f>
        <v/>
      </c>
      <c r="I48" s="9">
        <f>IF($B48="Actual",'SA-1'!S55,IFERROR('SA-1'!Y55*'SA-1'!AB55,0))</f>
        <v/>
      </c>
      <c r="J48" s="9">
        <f>IF($B48="Actual",'WA-1'!S55,IFERROR('WA-1'!Y55*'WA-1'!AB55,0))</f>
        <v/>
      </c>
      <c r="K48" s="9">
        <f>IF($B48="Actual",'IDC-NSW'!S55,IFERROR('IDC-NSW'!Y55*'IDC-NSW'!AB55,0))</f>
        <v/>
      </c>
      <c r="L48" s="9">
        <f>IF($B48="Actual",'IDC-VIC'!S55,IFERROR('IDC-VIC'!Y55*'IDC-VIC'!AB55,0))</f>
        <v/>
      </c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J48" s="12">
        <f>IF($B48="Actual",C48,IF(Y48&lt;&gt;"",Y48,C48+N(N48)))</f>
        <v/>
      </c>
      <c r="AK48" s="12">
        <f>IF($B48="Actual",D48,IF(Z48&lt;&gt;"",Z48,D48+N(O48)))</f>
        <v/>
      </c>
      <c r="AL48" s="12">
        <f>IF($B48="Actual",E48,IF(AA48&lt;&gt;"",AA48,E48+N(P48)))</f>
        <v/>
      </c>
      <c r="AM48" s="12">
        <f>IF($B48="Actual",F48,IF(AB48&lt;&gt;"",AB48,F48+N(Q48)))</f>
        <v/>
      </c>
      <c r="AN48" s="12">
        <f>IF($B48="Actual",G48,IF(AC48&lt;&gt;"",AC48,G48+N(R48)))</f>
        <v/>
      </c>
      <c r="AO48" s="12">
        <f>IF($B48="Actual",H48,IF(AD48&lt;&gt;"",AD48,H48+N(S48)))</f>
        <v/>
      </c>
      <c r="AP48" s="12">
        <f>IF($B48="Actual",I48,IF(AE48&lt;&gt;"",AE48,I48+N(T48)))</f>
        <v/>
      </c>
      <c r="AQ48" s="12">
        <f>IF($B48="Actual",J48,IF(AF48&lt;&gt;"",AF48,J48+N(U48)))</f>
        <v/>
      </c>
      <c r="AR48" s="12">
        <f>IF($B48="Actual",K48,IF(AG48&lt;&gt;"",AG48,K48+N(V48)))</f>
        <v/>
      </c>
      <c r="AS48" s="12">
        <f>IF($B48="Actual",L48,IF(AH48&lt;&gt;"",AH48,L48+N(W48)))</f>
        <v/>
      </c>
    </row>
    <row r="49">
      <c r="A49" s="8" t="n">
        <v>46905</v>
      </c>
      <c r="B49">
        <f>IF(A49&lt;=LastActual,"Actual","Forecast")</f>
        <v/>
      </c>
      <c r="C49" s="9">
        <f>IF($B49="Actual",'NSW-1'!S56,IFERROR('NSW-1'!Y56*'NSW-1'!AB56,0))</f>
        <v/>
      </c>
      <c r="D49" s="9">
        <f>IF($B49="Actual",'VIC-1'!S56,IFERROR('VIC-1'!Y56*'VIC-1'!AB56,0))</f>
        <v/>
      </c>
      <c r="E49" s="9">
        <f>IF($B49="Actual",'QLD-1'!S56,IFERROR('QLD-1'!Y56*'QLD-1'!AB56,0))</f>
        <v/>
      </c>
      <c r="F49" s="9">
        <f>IF($B49="Actual",'NSW-2'!S56,IFERROR('NSW-2'!Y56*'NSW-2'!AB56,0))</f>
        <v/>
      </c>
      <c r="G49" s="9">
        <f>IF($B49="Actual",'VIC-2'!S56,IFERROR('VIC-2'!Y56*'VIC-2'!AB56,0))</f>
        <v/>
      </c>
      <c r="H49" s="9">
        <f>IF($B49="Actual",'QLD-2'!S56,IFERROR('QLD-2'!Y56*'QLD-2'!AB56,0))</f>
        <v/>
      </c>
      <c r="I49" s="9">
        <f>IF($B49="Actual",'SA-1'!S56,IFERROR('SA-1'!Y56*'SA-1'!AB56,0))</f>
        <v/>
      </c>
      <c r="J49" s="9">
        <f>IF($B49="Actual",'WA-1'!S56,IFERROR('WA-1'!Y56*'WA-1'!AB56,0))</f>
        <v/>
      </c>
      <c r="K49" s="9">
        <f>IF($B49="Actual",'IDC-NSW'!S56,IFERROR('IDC-NSW'!Y56*'IDC-NSW'!AB56,0))</f>
        <v/>
      </c>
      <c r="L49" s="9">
        <f>IF($B49="Actual",'IDC-VIC'!S56,IFERROR('IDC-VIC'!Y56*'IDC-VIC'!AB56,0))</f>
        <v/>
      </c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J49" s="12">
        <f>IF($B49="Actual",C49,IF(Y49&lt;&gt;"",Y49,C49+N(N49)))</f>
        <v/>
      </c>
      <c r="AK49" s="12">
        <f>IF($B49="Actual",D49,IF(Z49&lt;&gt;"",Z49,D49+N(O49)))</f>
        <v/>
      </c>
      <c r="AL49" s="12">
        <f>IF($B49="Actual",E49,IF(AA49&lt;&gt;"",AA49,E49+N(P49)))</f>
        <v/>
      </c>
      <c r="AM49" s="12">
        <f>IF($B49="Actual",F49,IF(AB49&lt;&gt;"",AB49,F49+N(Q49)))</f>
        <v/>
      </c>
      <c r="AN49" s="12">
        <f>IF($B49="Actual",G49,IF(AC49&lt;&gt;"",AC49,G49+N(R49)))</f>
        <v/>
      </c>
      <c r="AO49" s="12">
        <f>IF($B49="Actual",H49,IF(AD49&lt;&gt;"",AD49,H49+N(S49)))</f>
        <v/>
      </c>
      <c r="AP49" s="12">
        <f>IF($B49="Actual",I49,IF(AE49&lt;&gt;"",AE49,I49+N(T49)))</f>
        <v/>
      </c>
      <c r="AQ49" s="12">
        <f>IF($B49="Actual",J49,IF(AF49&lt;&gt;"",AF49,J49+N(U49)))</f>
        <v/>
      </c>
      <c r="AR49" s="12">
        <f>IF($B49="Actual",K49,IF(AG49&lt;&gt;"",AG49,K49+N(V49)))</f>
        <v/>
      </c>
      <c r="AS49" s="12">
        <f>IF($B49="Actual",L49,IF(AH49&lt;&gt;"",AH49,L49+N(W49)))</f>
        <v/>
      </c>
    </row>
    <row r="50">
      <c r="A50" s="8" t="n">
        <v>46935</v>
      </c>
      <c r="B50">
        <f>IF(A50&lt;=LastActual,"Actual","Forecast")</f>
        <v/>
      </c>
      <c r="C50" s="9">
        <f>IF($B50="Actual",'NSW-1'!S57,IFERROR('NSW-1'!Y57*'NSW-1'!AB57,0))</f>
        <v/>
      </c>
      <c r="D50" s="9">
        <f>IF($B50="Actual",'VIC-1'!S57,IFERROR('VIC-1'!Y57*'VIC-1'!AB57,0))</f>
        <v/>
      </c>
      <c r="E50" s="9">
        <f>IF($B50="Actual",'QLD-1'!S57,IFERROR('QLD-1'!Y57*'QLD-1'!AB57,0))</f>
        <v/>
      </c>
      <c r="F50" s="9">
        <f>IF($B50="Actual",'NSW-2'!S57,IFERROR('NSW-2'!Y57*'NSW-2'!AB57,0))</f>
        <v/>
      </c>
      <c r="G50" s="9">
        <f>IF($B50="Actual",'VIC-2'!S57,IFERROR('VIC-2'!Y57*'VIC-2'!AB57,0))</f>
        <v/>
      </c>
      <c r="H50" s="9">
        <f>IF($B50="Actual",'QLD-2'!S57,IFERROR('QLD-2'!Y57*'QLD-2'!AB57,0))</f>
        <v/>
      </c>
      <c r="I50" s="9">
        <f>IF($B50="Actual",'SA-1'!S57,IFERROR('SA-1'!Y57*'SA-1'!AB57,0))</f>
        <v/>
      </c>
      <c r="J50" s="9">
        <f>IF($B50="Actual",'WA-1'!S57,IFERROR('WA-1'!Y57*'WA-1'!AB57,0))</f>
        <v/>
      </c>
      <c r="K50" s="9">
        <f>IF($B50="Actual",'IDC-NSW'!S57,IFERROR('IDC-NSW'!Y57*'IDC-NSW'!AB57,0))</f>
        <v/>
      </c>
      <c r="L50" s="9">
        <f>IF($B50="Actual",'IDC-VIC'!S57,IFERROR('IDC-VIC'!Y57*'IDC-VIC'!AB57,0))</f>
        <v/>
      </c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J50" s="12">
        <f>IF($B50="Actual",C50,IF(Y50&lt;&gt;"",Y50,C50+N(N50)))</f>
        <v/>
      </c>
      <c r="AK50" s="12">
        <f>IF($B50="Actual",D50,IF(Z50&lt;&gt;"",Z50,D50+N(O50)))</f>
        <v/>
      </c>
      <c r="AL50" s="12">
        <f>IF($B50="Actual",E50,IF(AA50&lt;&gt;"",AA50,E50+N(P50)))</f>
        <v/>
      </c>
      <c r="AM50" s="12">
        <f>IF($B50="Actual",F50,IF(AB50&lt;&gt;"",AB50,F50+N(Q50)))</f>
        <v/>
      </c>
      <c r="AN50" s="12">
        <f>IF($B50="Actual",G50,IF(AC50&lt;&gt;"",AC50,G50+N(R50)))</f>
        <v/>
      </c>
      <c r="AO50" s="12">
        <f>IF($B50="Actual",H50,IF(AD50&lt;&gt;"",AD50,H50+N(S50)))</f>
        <v/>
      </c>
      <c r="AP50" s="12">
        <f>IF($B50="Actual",I50,IF(AE50&lt;&gt;"",AE50,I50+N(T50)))</f>
        <v/>
      </c>
      <c r="AQ50" s="12">
        <f>IF($B50="Actual",J50,IF(AF50&lt;&gt;"",AF50,J50+N(U50)))</f>
        <v/>
      </c>
      <c r="AR50" s="12">
        <f>IF($B50="Actual",K50,IF(AG50&lt;&gt;"",AG50,K50+N(V50)))</f>
        <v/>
      </c>
      <c r="AS50" s="12">
        <f>IF($B50="Actual",L50,IF(AH50&lt;&gt;"",AH50,L50+N(W50)))</f>
        <v/>
      </c>
    </row>
    <row r="51">
      <c r="A51" s="8" t="n">
        <v>46966</v>
      </c>
      <c r="B51">
        <f>IF(A51&lt;=LastActual,"Actual","Forecast")</f>
        <v/>
      </c>
      <c r="C51" s="9">
        <f>IF($B51="Actual",'NSW-1'!S58,IFERROR('NSW-1'!Y58*'NSW-1'!AB58,0))</f>
        <v/>
      </c>
      <c r="D51" s="9">
        <f>IF($B51="Actual",'VIC-1'!S58,IFERROR('VIC-1'!Y58*'VIC-1'!AB58,0))</f>
        <v/>
      </c>
      <c r="E51" s="9">
        <f>IF($B51="Actual",'QLD-1'!S58,IFERROR('QLD-1'!Y58*'QLD-1'!AB58,0))</f>
        <v/>
      </c>
      <c r="F51" s="9">
        <f>IF($B51="Actual",'NSW-2'!S58,IFERROR('NSW-2'!Y58*'NSW-2'!AB58,0))</f>
        <v/>
      </c>
      <c r="G51" s="9">
        <f>IF($B51="Actual",'VIC-2'!S58,IFERROR('VIC-2'!Y58*'VIC-2'!AB58,0))</f>
        <v/>
      </c>
      <c r="H51" s="9">
        <f>IF($B51="Actual",'QLD-2'!S58,IFERROR('QLD-2'!Y58*'QLD-2'!AB58,0))</f>
        <v/>
      </c>
      <c r="I51" s="9">
        <f>IF($B51="Actual",'SA-1'!S58,IFERROR('SA-1'!Y58*'SA-1'!AB58,0))</f>
        <v/>
      </c>
      <c r="J51" s="9">
        <f>IF($B51="Actual",'WA-1'!S58,IFERROR('WA-1'!Y58*'WA-1'!AB58,0))</f>
        <v/>
      </c>
      <c r="K51" s="9">
        <f>IF($B51="Actual",'IDC-NSW'!S58,IFERROR('IDC-NSW'!Y58*'IDC-NSW'!AB58,0))</f>
        <v/>
      </c>
      <c r="L51" s="9">
        <f>IF($B51="Actual",'IDC-VIC'!S58,IFERROR('IDC-VIC'!Y58*'IDC-VIC'!AB58,0))</f>
        <v/>
      </c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J51" s="12">
        <f>IF($B51="Actual",C51,IF(Y51&lt;&gt;"",Y51,C51+N(N51)))</f>
        <v/>
      </c>
      <c r="AK51" s="12">
        <f>IF($B51="Actual",D51,IF(Z51&lt;&gt;"",Z51,D51+N(O51)))</f>
        <v/>
      </c>
      <c r="AL51" s="12">
        <f>IF($B51="Actual",E51,IF(AA51&lt;&gt;"",AA51,E51+N(P51)))</f>
        <v/>
      </c>
      <c r="AM51" s="12">
        <f>IF($B51="Actual",F51,IF(AB51&lt;&gt;"",AB51,F51+N(Q51)))</f>
        <v/>
      </c>
      <c r="AN51" s="12">
        <f>IF($B51="Actual",G51,IF(AC51&lt;&gt;"",AC51,G51+N(R51)))</f>
        <v/>
      </c>
      <c r="AO51" s="12">
        <f>IF($B51="Actual",H51,IF(AD51&lt;&gt;"",AD51,H51+N(S51)))</f>
        <v/>
      </c>
      <c r="AP51" s="12">
        <f>IF($B51="Actual",I51,IF(AE51&lt;&gt;"",AE51,I51+N(T51)))</f>
        <v/>
      </c>
      <c r="AQ51" s="12">
        <f>IF($B51="Actual",J51,IF(AF51&lt;&gt;"",AF51,J51+N(U51)))</f>
        <v/>
      </c>
      <c r="AR51" s="12">
        <f>IF($B51="Actual",K51,IF(AG51&lt;&gt;"",AG51,K51+N(V51)))</f>
        <v/>
      </c>
      <c r="AS51" s="12">
        <f>IF($B51="Actual",L51,IF(AH51&lt;&gt;"",AH51,L51+N(W51)))</f>
        <v/>
      </c>
    </row>
    <row r="52">
      <c r="A52" s="8" t="n">
        <v>46997</v>
      </c>
      <c r="B52">
        <f>IF(A52&lt;=LastActual,"Actual","Forecast")</f>
        <v/>
      </c>
      <c r="C52" s="9">
        <f>IF($B52="Actual",'NSW-1'!S59,IFERROR('NSW-1'!Y59*'NSW-1'!AB59,0))</f>
        <v/>
      </c>
      <c r="D52" s="9">
        <f>IF($B52="Actual",'VIC-1'!S59,IFERROR('VIC-1'!Y59*'VIC-1'!AB59,0))</f>
        <v/>
      </c>
      <c r="E52" s="9">
        <f>IF($B52="Actual",'QLD-1'!S59,IFERROR('QLD-1'!Y59*'QLD-1'!AB59,0))</f>
        <v/>
      </c>
      <c r="F52" s="9">
        <f>IF($B52="Actual",'NSW-2'!S59,IFERROR('NSW-2'!Y59*'NSW-2'!AB59,0))</f>
        <v/>
      </c>
      <c r="G52" s="9">
        <f>IF($B52="Actual",'VIC-2'!S59,IFERROR('VIC-2'!Y59*'VIC-2'!AB59,0))</f>
        <v/>
      </c>
      <c r="H52" s="9">
        <f>IF($B52="Actual",'QLD-2'!S59,IFERROR('QLD-2'!Y59*'QLD-2'!AB59,0))</f>
        <v/>
      </c>
      <c r="I52" s="9">
        <f>IF($B52="Actual",'SA-1'!S59,IFERROR('SA-1'!Y59*'SA-1'!AB59,0))</f>
        <v/>
      </c>
      <c r="J52" s="9">
        <f>IF($B52="Actual",'WA-1'!S59,IFERROR('WA-1'!Y59*'WA-1'!AB59,0))</f>
        <v/>
      </c>
      <c r="K52" s="9">
        <f>IF($B52="Actual",'IDC-NSW'!S59,IFERROR('IDC-NSW'!Y59*'IDC-NSW'!AB59,0))</f>
        <v/>
      </c>
      <c r="L52" s="9">
        <f>IF($B52="Actual",'IDC-VIC'!S59,IFERROR('IDC-VIC'!Y59*'IDC-VIC'!AB59,0))</f>
        <v/>
      </c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J52" s="12">
        <f>IF($B52="Actual",C52,IF(Y52&lt;&gt;"",Y52,C52+N(N52)))</f>
        <v/>
      </c>
      <c r="AK52" s="12">
        <f>IF($B52="Actual",D52,IF(Z52&lt;&gt;"",Z52,D52+N(O52)))</f>
        <v/>
      </c>
      <c r="AL52" s="12">
        <f>IF($B52="Actual",E52,IF(AA52&lt;&gt;"",AA52,E52+N(P52)))</f>
        <v/>
      </c>
      <c r="AM52" s="12">
        <f>IF($B52="Actual",F52,IF(AB52&lt;&gt;"",AB52,F52+N(Q52)))</f>
        <v/>
      </c>
      <c r="AN52" s="12">
        <f>IF($B52="Actual",G52,IF(AC52&lt;&gt;"",AC52,G52+N(R52)))</f>
        <v/>
      </c>
      <c r="AO52" s="12">
        <f>IF($B52="Actual",H52,IF(AD52&lt;&gt;"",AD52,H52+N(S52)))</f>
        <v/>
      </c>
      <c r="AP52" s="12">
        <f>IF($B52="Actual",I52,IF(AE52&lt;&gt;"",AE52,I52+N(T52)))</f>
        <v/>
      </c>
      <c r="AQ52" s="12">
        <f>IF($B52="Actual",J52,IF(AF52&lt;&gt;"",AF52,J52+N(U52)))</f>
        <v/>
      </c>
      <c r="AR52" s="12">
        <f>IF($B52="Actual",K52,IF(AG52&lt;&gt;"",AG52,K52+N(V52)))</f>
        <v/>
      </c>
      <c r="AS52" s="12">
        <f>IF($B52="Actual",L52,IF(AH52&lt;&gt;"",AH52,L52+N(W52)))</f>
        <v/>
      </c>
    </row>
    <row r="53">
      <c r="A53" s="8" t="n">
        <v>47027</v>
      </c>
      <c r="B53">
        <f>IF(A53&lt;=LastActual,"Actual","Forecast")</f>
        <v/>
      </c>
      <c r="C53" s="9">
        <f>IF($B53="Actual",'NSW-1'!S60,IFERROR('NSW-1'!Y60*'NSW-1'!AB60,0))</f>
        <v/>
      </c>
      <c r="D53" s="9">
        <f>IF($B53="Actual",'VIC-1'!S60,IFERROR('VIC-1'!Y60*'VIC-1'!AB60,0))</f>
        <v/>
      </c>
      <c r="E53" s="9">
        <f>IF($B53="Actual",'QLD-1'!S60,IFERROR('QLD-1'!Y60*'QLD-1'!AB60,0))</f>
        <v/>
      </c>
      <c r="F53" s="9">
        <f>IF($B53="Actual",'NSW-2'!S60,IFERROR('NSW-2'!Y60*'NSW-2'!AB60,0))</f>
        <v/>
      </c>
      <c r="G53" s="9">
        <f>IF($B53="Actual",'VIC-2'!S60,IFERROR('VIC-2'!Y60*'VIC-2'!AB60,0))</f>
        <v/>
      </c>
      <c r="H53" s="9">
        <f>IF($B53="Actual",'QLD-2'!S60,IFERROR('QLD-2'!Y60*'QLD-2'!AB60,0))</f>
        <v/>
      </c>
      <c r="I53" s="9">
        <f>IF($B53="Actual",'SA-1'!S60,IFERROR('SA-1'!Y60*'SA-1'!AB60,0))</f>
        <v/>
      </c>
      <c r="J53" s="9">
        <f>IF($B53="Actual",'WA-1'!S60,IFERROR('WA-1'!Y60*'WA-1'!AB60,0))</f>
        <v/>
      </c>
      <c r="K53" s="9">
        <f>IF($B53="Actual",'IDC-NSW'!S60,IFERROR('IDC-NSW'!Y60*'IDC-NSW'!AB60,0))</f>
        <v/>
      </c>
      <c r="L53" s="9">
        <f>IF($B53="Actual",'IDC-VIC'!S60,IFERROR('IDC-VIC'!Y60*'IDC-VIC'!AB60,0))</f>
        <v/>
      </c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  <c r="AG53" s="11" t="n"/>
      <c r="AH53" s="11" t="n"/>
      <c r="AJ53" s="12">
        <f>IF($B53="Actual",C53,IF(Y53&lt;&gt;"",Y53,C53+N(N53)))</f>
        <v/>
      </c>
      <c r="AK53" s="12">
        <f>IF($B53="Actual",D53,IF(Z53&lt;&gt;"",Z53,D53+N(O53)))</f>
        <v/>
      </c>
      <c r="AL53" s="12">
        <f>IF($B53="Actual",E53,IF(AA53&lt;&gt;"",AA53,E53+N(P53)))</f>
        <v/>
      </c>
      <c r="AM53" s="12">
        <f>IF($B53="Actual",F53,IF(AB53&lt;&gt;"",AB53,F53+N(Q53)))</f>
        <v/>
      </c>
      <c r="AN53" s="12">
        <f>IF($B53="Actual",G53,IF(AC53&lt;&gt;"",AC53,G53+N(R53)))</f>
        <v/>
      </c>
      <c r="AO53" s="12">
        <f>IF($B53="Actual",H53,IF(AD53&lt;&gt;"",AD53,H53+N(S53)))</f>
        <v/>
      </c>
      <c r="AP53" s="12">
        <f>IF($B53="Actual",I53,IF(AE53&lt;&gt;"",AE53,I53+N(T53)))</f>
        <v/>
      </c>
      <c r="AQ53" s="12">
        <f>IF($B53="Actual",J53,IF(AF53&lt;&gt;"",AF53,J53+N(U53)))</f>
        <v/>
      </c>
      <c r="AR53" s="12">
        <f>IF($B53="Actual",K53,IF(AG53&lt;&gt;"",AG53,K53+N(V53)))</f>
        <v/>
      </c>
      <c r="AS53" s="12">
        <f>IF($B53="Actual",L53,IF(AH53&lt;&gt;"",AH53,L53+N(W53)))</f>
        <v/>
      </c>
    </row>
    <row r="54">
      <c r="A54" s="8" t="n">
        <v>47058</v>
      </c>
      <c r="B54">
        <f>IF(A54&lt;=LastActual,"Actual","Forecast")</f>
        <v/>
      </c>
      <c r="C54" s="9">
        <f>IF($B54="Actual",'NSW-1'!S61,IFERROR('NSW-1'!Y61*'NSW-1'!AB61,0))</f>
        <v/>
      </c>
      <c r="D54" s="9">
        <f>IF($B54="Actual",'VIC-1'!S61,IFERROR('VIC-1'!Y61*'VIC-1'!AB61,0))</f>
        <v/>
      </c>
      <c r="E54" s="9">
        <f>IF($B54="Actual",'QLD-1'!S61,IFERROR('QLD-1'!Y61*'QLD-1'!AB61,0))</f>
        <v/>
      </c>
      <c r="F54" s="9">
        <f>IF($B54="Actual",'NSW-2'!S61,IFERROR('NSW-2'!Y61*'NSW-2'!AB61,0))</f>
        <v/>
      </c>
      <c r="G54" s="9">
        <f>IF($B54="Actual",'VIC-2'!S61,IFERROR('VIC-2'!Y61*'VIC-2'!AB61,0))</f>
        <v/>
      </c>
      <c r="H54" s="9">
        <f>IF($B54="Actual",'QLD-2'!S61,IFERROR('QLD-2'!Y61*'QLD-2'!AB61,0))</f>
        <v/>
      </c>
      <c r="I54" s="9">
        <f>IF($B54="Actual",'SA-1'!S61,IFERROR('SA-1'!Y61*'SA-1'!AB61,0))</f>
        <v/>
      </c>
      <c r="J54" s="9">
        <f>IF($B54="Actual",'WA-1'!S61,IFERROR('WA-1'!Y61*'WA-1'!AB61,0))</f>
        <v/>
      </c>
      <c r="K54" s="9">
        <f>IF($B54="Actual",'IDC-NSW'!S61,IFERROR('IDC-NSW'!Y61*'IDC-NSW'!AB61,0))</f>
        <v/>
      </c>
      <c r="L54" s="9">
        <f>IF($B54="Actual",'IDC-VIC'!S61,IFERROR('IDC-VIC'!Y61*'IDC-VIC'!AB61,0))</f>
        <v/>
      </c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J54" s="12">
        <f>IF($B54="Actual",C54,IF(Y54&lt;&gt;"",Y54,C54+N(N54)))</f>
        <v/>
      </c>
      <c r="AK54" s="12">
        <f>IF($B54="Actual",D54,IF(Z54&lt;&gt;"",Z54,D54+N(O54)))</f>
        <v/>
      </c>
      <c r="AL54" s="12">
        <f>IF($B54="Actual",E54,IF(AA54&lt;&gt;"",AA54,E54+N(P54)))</f>
        <v/>
      </c>
      <c r="AM54" s="12">
        <f>IF($B54="Actual",F54,IF(AB54&lt;&gt;"",AB54,F54+N(Q54)))</f>
        <v/>
      </c>
      <c r="AN54" s="12">
        <f>IF($B54="Actual",G54,IF(AC54&lt;&gt;"",AC54,G54+N(R54)))</f>
        <v/>
      </c>
      <c r="AO54" s="12">
        <f>IF($B54="Actual",H54,IF(AD54&lt;&gt;"",AD54,H54+N(S54)))</f>
        <v/>
      </c>
      <c r="AP54" s="12">
        <f>IF($B54="Actual",I54,IF(AE54&lt;&gt;"",AE54,I54+N(T54)))</f>
        <v/>
      </c>
      <c r="AQ54" s="12">
        <f>IF($B54="Actual",J54,IF(AF54&lt;&gt;"",AF54,J54+N(U54)))</f>
        <v/>
      </c>
      <c r="AR54" s="12">
        <f>IF($B54="Actual",K54,IF(AG54&lt;&gt;"",AG54,K54+N(V54)))</f>
        <v/>
      </c>
      <c r="AS54" s="12">
        <f>IF($B54="Actual",L54,IF(AH54&lt;&gt;"",AH54,L54+N(W54)))</f>
        <v/>
      </c>
    </row>
    <row r="55">
      <c r="A55" s="8" t="n">
        <v>47088</v>
      </c>
      <c r="B55">
        <f>IF(A55&lt;=LastActual,"Actual","Forecast")</f>
        <v/>
      </c>
      <c r="C55" s="9">
        <f>IF($B55="Actual",'NSW-1'!S62,IFERROR('NSW-1'!Y62*'NSW-1'!AB62,0))</f>
        <v/>
      </c>
      <c r="D55" s="9">
        <f>IF($B55="Actual",'VIC-1'!S62,IFERROR('VIC-1'!Y62*'VIC-1'!AB62,0))</f>
        <v/>
      </c>
      <c r="E55" s="9">
        <f>IF($B55="Actual",'QLD-1'!S62,IFERROR('QLD-1'!Y62*'QLD-1'!AB62,0))</f>
        <v/>
      </c>
      <c r="F55" s="9">
        <f>IF($B55="Actual",'NSW-2'!S62,IFERROR('NSW-2'!Y62*'NSW-2'!AB62,0))</f>
        <v/>
      </c>
      <c r="G55" s="9">
        <f>IF($B55="Actual",'VIC-2'!S62,IFERROR('VIC-2'!Y62*'VIC-2'!AB62,0))</f>
        <v/>
      </c>
      <c r="H55" s="9">
        <f>IF($B55="Actual",'QLD-2'!S62,IFERROR('QLD-2'!Y62*'QLD-2'!AB62,0))</f>
        <v/>
      </c>
      <c r="I55" s="9">
        <f>IF($B55="Actual",'SA-1'!S62,IFERROR('SA-1'!Y62*'SA-1'!AB62,0))</f>
        <v/>
      </c>
      <c r="J55" s="9">
        <f>IF($B55="Actual",'WA-1'!S62,IFERROR('WA-1'!Y62*'WA-1'!AB62,0))</f>
        <v/>
      </c>
      <c r="K55" s="9">
        <f>IF($B55="Actual",'IDC-NSW'!S62,IFERROR('IDC-NSW'!Y62*'IDC-NSW'!AB62,0))</f>
        <v/>
      </c>
      <c r="L55" s="9">
        <f>IF($B55="Actual",'IDC-VIC'!S62,IFERROR('IDC-VIC'!Y62*'IDC-VIC'!AB62,0))</f>
        <v/>
      </c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J55" s="12">
        <f>IF($B55="Actual",C55,IF(Y55&lt;&gt;"",Y55,C55+N(N55)))</f>
        <v/>
      </c>
      <c r="AK55" s="12">
        <f>IF($B55="Actual",D55,IF(Z55&lt;&gt;"",Z55,D55+N(O55)))</f>
        <v/>
      </c>
      <c r="AL55" s="12">
        <f>IF($B55="Actual",E55,IF(AA55&lt;&gt;"",AA55,E55+N(P55)))</f>
        <v/>
      </c>
      <c r="AM55" s="12">
        <f>IF($B55="Actual",F55,IF(AB55&lt;&gt;"",AB55,F55+N(Q55)))</f>
        <v/>
      </c>
      <c r="AN55" s="12">
        <f>IF($B55="Actual",G55,IF(AC55&lt;&gt;"",AC55,G55+N(R55)))</f>
        <v/>
      </c>
      <c r="AO55" s="12">
        <f>IF($B55="Actual",H55,IF(AD55&lt;&gt;"",AD55,H55+N(S55)))</f>
        <v/>
      </c>
      <c r="AP55" s="12">
        <f>IF($B55="Actual",I55,IF(AE55&lt;&gt;"",AE55,I55+N(T55)))</f>
        <v/>
      </c>
      <c r="AQ55" s="12">
        <f>IF($B55="Actual",J55,IF(AF55&lt;&gt;"",AF55,J55+N(U55)))</f>
        <v/>
      </c>
      <c r="AR55" s="12">
        <f>IF($B55="Actual",K55,IF(AG55&lt;&gt;"",AG55,K55+N(V55)))</f>
        <v/>
      </c>
      <c r="AS55" s="12">
        <f>IF($B55="Actual",L55,IF(AH55&lt;&gt;"",AH55,L55+N(W55)))</f>
        <v/>
      </c>
    </row>
  </sheetData>
  <mergeCells count="4">
    <mergeCell ref="C6:L6"/>
    <mergeCell ref="AJ6:AS6"/>
    <mergeCell ref="Y6:AH6"/>
    <mergeCell ref="N6:W6"/>
  </mergeCells>
  <conditionalFormatting sqref="A8:AS55">
    <cfRule type="expression" priority="1" dxfId="0">
      <formula>$B8="Actual"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AS5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2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2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2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2" customWidth="1" min="46" max="46"/>
  </cols>
  <sheetData>
    <row r="1">
      <c r="A1" s="2" t="inlineStr">
        <is>
          <t>CPLH forecast (cases per labour hour)</t>
        </is>
      </c>
    </row>
    <row r="2">
      <c r="A2" s="6" t="inlineStr">
        <is>
          <t>1. Plan: plan CPLH (Plan_Inputs, or CPLH_Breakdown if picked on Inputs). Blank plan = same month last year. Actuals show actuals.</t>
        </is>
      </c>
    </row>
    <row r="3">
      <c r="A3" s="6" t="inlineStr">
        <is>
          <t>2. Adjustments: type a change in cases per hour for a site and month, e.g. +2 for a new pick system.</t>
        </is>
      </c>
    </row>
    <row r="4">
      <c r="A4" s="6" t="inlineStr">
        <is>
          <t>3. Override: type the CPLH you want for a site and month, e.g. a target. It replaces 1 + 2. Leave blank to use the model.</t>
        </is>
      </c>
    </row>
    <row r="5">
      <c r="A5" s="6" t="inlineStr">
        <is>
          <t>4. CPLH used = override if there is one, otherwise run rate + adjustment. This drives hours, and so payroll, on each site tab.</t>
        </is>
      </c>
    </row>
    <row r="6">
      <c r="C6" s="7" t="inlineStr">
        <is>
          <t>1. Plan CPLH (else same month LY)</t>
        </is>
      </c>
      <c r="N6" s="7" t="inlineStr">
        <is>
          <t>2. Adjustments (+/- cases / hr)</t>
        </is>
      </c>
      <c r="Y6" s="7" t="inlineStr">
        <is>
          <t>3. Override (replaces 1 + 2)</t>
        </is>
      </c>
      <c r="AJ6" s="7" t="inlineStr">
        <is>
          <t>4. CPLH forecast used</t>
        </is>
      </c>
    </row>
    <row r="7">
      <c r="A7" s="7" t="inlineStr">
        <is>
          <t>Month</t>
        </is>
      </c>
      <c r="B7" s="7" t="inlineStr">
        <is>
          <t>Status</t>
        </is>
      </c>
      <c r="C7" s="7">
        <f>Inputs!$A$36</f>
        <v/>
      </c>
      <c r="D7" s="7">
        <f>Inputs!$A$37</f>
        <v/>
      </c>
      <c r="E7" s="7">
        <f>Inputs!$A$38</f>
        <v/>
      </c>
      <c r="F7" s="7">
        <f>Inputs!$A$39</f>
        <v/>
      </c>
      <c r="G7" s="7">
        <f>Inputs!$A$40</f>
        <v/>
      </c>
      <c r="H7" s="7">
        <f>Inputs!$A$41</f>
        <v/>
      </c>
      <c r="I7" s="7">
        <f>Inputs!$A$42</f>
        <v/>
      </c>
      <c r="J7" s="7">
        <f>Inputs!$A$43</f>
        <v/>
      </c>
      <c r="K7" s="7">
        <f>Inputs!$A$44</f>
        <v/>
      </c>
      <c r="L7" s="7">
        <f>Inputs!$A$45</f>
        <v/>
      </c>
      <c r="N7" s="7">
        <f>Inputs!$A$36</f>
        <v/>
      </c>
      <c r="O7" s="7">
        <f>Inputs!$A$37</f>
        <v/>
      </c>
      <c r="P7" s="7">
        <f>Inputs!$A$38</f>
        <v/>
      </c>
      <c r="Q7" s="7">
        <f>Inputs!$A$39</f>
        <v/>
      </c>
      <c r="R7" s="7">
        <f>Inputs!$A$40</f>
        <v/>
      </c>
      <c r="S7" s="7">
        <f>Inputs!$A$41</f>
        <v/>
      </c>
      <c r="T7" s="7">
        <f>Inputs!$A$42</f>
        <v/>
      </c>
      <c r="U7" s="7">
        <f>Inputs!$A$43</f>
        <v/>
      </c>
      <c r="V7" s="7">
        <f>Inputs!$A$44</f>
        <v/>
      </c>
      <c r="W7" s="7">
        <f>Inputs!$A$45</f>
        <v/>
      </c>
      <c r="Y7" s="7">
        <f>Inputs!$A$36</f>
        <v/>
      </c>
      <c r="Z7" s="7">
        <f>Inputs!$A$37</f>
        <v/>
      </c>
      <c r="AA7" s="7">
        <f>Inputs!$A$38</f>
        <v/>
      </c>
      <c r="AB7" s="7">
        <f>Inputs!$A$39</f>
        <v/>
      </c>
      <c r="AC7" s="7">
        <f>Inputs!$A$40</f>
        <v/>
      </c>
      <c r="AD7" s="7">
        <f>Inputs!$A$41</f>
        <v/>
      </c>
      <c r="AE7" s="7">
        <f>Inputs!$A$42</f>
        <v/>
      </c>
      <c r="AF7" s="7">
        <f>Inputs!$A$43</f>
        <v/>
      </c>
      <c r="AG7" s="7">
        <f>Inputs!$A$44</f>
        <v/>
      </c>
      <c r="AH7" s="7">
        <f>Inputs!$A$45</f>
        <v/>
      </c>
      <c r="AJ7" s="7">
        <f>Inputs!$A$36</f>
        <v/>
      </c>
      <c r="AK7" s="7">
        <f>Inputs!$A$37</f>
        <v/>
      </c>
      <c r="AL7" s="7">
        <f>Inputs!$A$38</f>
        <v/>
      </c>
      <c r="AM7" s="7">
        <f>Inputs!$A$39</f>
        <v/>
      </c>
      <c r="AN7" s="7">
        <f>Inputs!$A$40</f>
        <v/>
      </c>
      <c r="AO7" s="7">
        <f>Inputs!$A$41</f>
        <v/>
      </c>
      <c r="AP7" s="7">
        <f>Inputs!$A$42</f>
        <v/>
      </c>
      <c r="AQ7" s="7">
        <f>Inputs!$A$43</f>
        <v/>
      </c>
      <c r="AR7" s="7">
        <f>Inputs!$A$44</f>
        <v/>
      </c>
      <c r="AS7" s="7">
        <f>Inputs!$A$45</f>
        <v/>
      </c>
    </row>
    <row r="8">
      <c r="A8" s="8" t="n">
        <v>45658</v>
      </c>
      <c r="B8">
        <f>IF(A8&lt;=LastActual,"Actual","Forecast")</f>
        <v/>
      </c>
      <c r="C8" s="10">
        <f>IF(AND($B8="Forecast",N('NSW-1'!AH15)&gt;0),'NSW-1'!AH15,IFERROR('NSW-1'!X15*1,0))</f>
        <v/>
      </c>
      <c r="D8" s="10">
        <f>IF(AND($B8="Forecast",N('VIC-1'!AH15)&gt;0),'VIC-1'!AH15,IFERROR('VIC-1'!X15*1,0))</f>
        <v/>
      </c>
      <c r="E8" s="10">
        <f>IF(AND($B8="Forecast",N('QLD-1'!AH15)&gt;0),'QLD-1'!AH15,IFERROR('QLD-1'!X15*1,0))</f>
        <v/>
      </c>
      <c r="F8" s="10">
        <f>IF(AND($B8="Forecast",N('NSW-2'!AH15)&gt;0),'NSW-2'!AH15,IFERROR('NSW-2'!X15*1,0))</f>
        <v/>
      </c>
      <c r="G8" s="10">
        <f>IF(AND($B8="Forecast",N('VIC-2'!AH15)&gt;0),'VIC-2'!AH15,IFERROR('VIC-2'!X15*1,0))</f>
        <v/>
      </c>
      <c r="H8" s="10">
        <f>IF(AND($B8="Forecast",N('QLD-2'!AH15)&gt;0),'QLD-2'!AH15,IFERROR('QLD-2'!X15*1,0))</f>
        <v/>
      </c>
      <c r="I8" s="10">
        <f>IF(AND($B8="Forecast",N('SA-1'!AH15)&gt;0),'SA-1'!AH15,IFERROR('SA-1'!X15*1,0))</f>
        <v/>
      </c>
      <c r="J8" s="10">
        <f>IF(AND($B8="Forecast",N('WA-1'!AH15)&gt;0),'WA-1'!AH15,IFERROR('WA-1'!X15*1,0))</f>
        <v/>
      </c>
      <c r="K8" s="10">
        <f>IF(AND($B8="Forecast",N('IDC-NSW'!AH15)&gt;0),'IDC-NSW'!AH15,IFERROR('IDC-NSW'!X15*1,0))</f>
        <v/>
      </c>
      <c r="L8" s="10">
        <f>IF(AND($B8="Forecast",N('IDC-VIC'!AH15)&gt;0),'IDC-VIC'!AH15,IFERROR('IDC-VIC'!X15*1,0))</f>
        <v/>
      </c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J8" s="14">
        <f>IF($B8="Actual",C8,IF(Y8&lt;&gt;"",Y8,C8+N(N8)))</f>
        <v/>
      </c>
      <c r="AK8" s="14">
        <f>IF($B8="Actual",D8,IF(Z8&lt;&gt;"",Z8,D8+N(O8)))</f>
        <v/>
      </c>
      <c r="AL8" s="14">
        <f>IF($B8="Actual",E8,IF(AA8&lt;&gt;"",AA8,E8+N(P8)))</f>
        <v/>
      </c>
      <c r="AM8" s="14">
        <f>IF($B8="Actual",F8,IF(AB8&lt;&gt;"",AB8,F8+N(Q8)))</f>
        <v/>
      </c>
      <c r="AN8" s="14">
        <f>IF($B8="Actual",G8,IF(AC8&lt;&gt;"",AC8,G8+N(R8)))</f>
        <v/>
      </c>
      <c r="AO8" s="14">
        <f>IF($B8="Actual",H8,IF(AD8&lt;&gt;"",AD8,H8+N(S8)))</f>
        <v/>
      </c>
      <c r="AP8" s="14">
        <f>IF($B8="Actual",I8,IF(AE8&lt;&gt;"",AE8,I8+N(T8)))</f>
        <v/>
      </c>
      <c r="AQ8" s="14">
        <f>IF($B8="Actual",J8,IF(AF8&lt;&gt;"",AF8,J8+N(U8)))</f>
        <v/>
      </c>
      <c r="AR8" s="14">
        <f>IF($B8="Actual",K8,IF(AG8&lt;&gt;"",AG8,K8+N(V8)))</f>
        <v/>
      </c>
      <c r="AS8" s="14">
        <f>IF($B8="Actual",L8,IF(AH8&lt;&gt;"",AH8,L8+N(W8)))</f>
        <v/>
      </c>
    </row>
    <row r="9">
      <c r="A9" s="8" t="n">
        <v>45689</v>
      </c>
      <c r="B9">
        <f>IF(A9&lt;=LastActual,"Actual","Forecast")</f>
        <v/>
      </c>
      <c r="C9" s="10">
        <f>IF(AND($B9="Forecast",N('NSW-1'!AH16)&gt;0),'NSW-1'!AH16,IFERROR('NSW-1'!X16*1,0))</f>
        <v/>
      </c>
      <c r="D9" s="10">
        <f>IF(AND($B9="Forecast",N('VIC-1'!AH16)&gt;0),'VIC-1'!AH16,IFERROR('VIC-1'!X16*1,0))</f>
        <v/>
      </c>
      <c r="E9" s="10">
        <f>IF(AND($B9="Forecast",N('QLD-1'!AH16)&gt;0),'QLD-1'!AH16,IFERROR('QLD-1'!X16*1,0))</f>
        <v/>
      </c>
      <c r="F9" s="10">
        <f>IF(AND($B9="Forecast",N('NSW-2'!AH16)&gt;0),'NSW-2'!AH16,IFERROR('NSW-2'!X16*1,0))</f>
        <v/>
      </c>
      <c r="G9" s="10">
        <f>IF(AND($B9="Forecast",N('VIC-2'!AH16)&gt;0),'VIC-2'!AH16,IFERROR('VIC-2'!X16*1,0))</f>
        <v/>
      </c>
      <c r="H9" s="10">
        <f>IF(AND($B9="Forecast",N('QLD-2'!AH16)&gt;0),'QLD-2'!AH16,IFERROR('QLD-2'!X16*1,0))</f>
        <v/>
      </c>
      <c r="I9" s="10">
        <f>IF(AND($B9="Forecast",N('SA-1'!AH16)&gt;0),'SA-1'!AH16,IFERROR('SA-1'!X16*1,0))</f>
        <v/>
      </c>
      <c r="J9" s="10">
        <f>IF(AND($B9="Forecast",N('WA-1'!AH16)&gt;0),'WA-1'!AH16,IFERROR('WA-1'!X16*1,0))</f>
        <v/>
      </c>
      <c r="K9" s="10">
        <f>IF(AND($B9="Forecast",N('IDC-NSW'!AH16)&gt;0),'IDC-NSW'!AH16,IFERROR('IDC-NSW'!X16*1,0))</f>
        <v/>
      </c>
      <c r="L9" s="10">
        <f>IF(AND($B9="Forecast",N('IDC-VIC'!AH16)&gt;0),'IDC-VIC'!AH16,IFERROR('IDC-VIC'!X16*1,0))</f>
        <v/>
      </c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J9" s="14">
        <f>IF($B9="Actual",C9,IF(Y9&lt;&gt;"",Y9,C9+N(N9)))</f>
        <v/>
      </c>
      <c r="AK9" s="14">
        <f>IF($B9="Actual",D9,IF(Z9&lt;&gt;"",Z9,D9+N(O9)))</f>
        <v/>
      </c>
      <c r="AL9" s="14">
        <f>IF($B9="Actual",E9,IF(AA9&lt;&gt;"",AA9,E9+N(P9)))</f>
        <v/>
      </c>
      <c r="AM9" s="14">
        <f>IF($B9="Actual",F9,IF(AB9&lt;&gt;"",AB9,F9+N(Q9)))</f>
        <v/>
      </c>
      <c r="AN9" s="14">
        <f>IF($B9="Actual",G9,IF(AC9&lt;&gt;"",AC9,G9+N(R9)))</f>
        <v/>
      </c>
      <c r="AO9" s="14">
        <f>IF($B9="Actual",H9,IF(AD9&lt;&gt;"",AD9,H9+N(S9)))</f>
        <v/>
      </c>
      <c r="AP9" s="14">
        <f>IF($B9="Actual",I9,IF(AE9&lt;&gt;"",AE9,I9+N(T9)))</f>
        <v/>
      </c>
      <c r="AQ9" s="14">
        <f>IF($B9="Actual",J9,IF(AF9&lt;&gt;"",AF9,J9+N(U9)))</f>
        <v/>
      </c>
      <c r="AR9" s="14">
        <f>IF($B9="Actual",K9,IF(AG9&lt;&gt;"",AG9,K9+N(V9)))</f>
        <v/>
      </c>
      <c r="AS9" s="14">
        <f>IF($B9="Actual",L9,IF(AH9&lt;&gt;"",AH9,L9+N(W9)))</f>
        <v/>
      </c>
    </row>
    <row r="10">
      <c r="A10" s="8" t="n">
        <v>45717</v>
      </c>
      <c r="B10">
        <f>IF(A10&lt;=LastActual,"Actual","Forecast")</f>
        <v/>
      </c>
      <c r="C10" s="10">
        <f>IF(AND($B10="Forecast",N('NSW-1'!AH17)&gt;0),'NSW-1'!AH17,IFERROR('NSW-1'!X17*1,0))</f>
        <v/>
      </c>
      <c r="D10" s="10">
        <f>IF(AND($B10="Forecast",N('VIC-1'!AH17)&gt;0),'VIC-1'!AH17,IFERROR('VIC-1'!X17*1,0))</f>
        <v/>
      </c>
      <c r="E10" s="10">
        <f>IF(AND($B10="Forecast",N('QLD-1'!AH17)&gt;0),'QLD-1'!AH17,IFERROR('QLD-1'!X17*1,0))</f>
        <v/>
      </c>
      <c r="F10" s="10">
        <f>IF(AND($B10="Forecast",N('NSW-2'!AH17)&gt;0),'NSW-2'!AH17,IFERROR('NSW-2'!X17*1,0))</f>
        <v/>
      </c>
      <c r="G10" s="10">
        <f>IF(AND($B10="Forecast",N('VIC-2'!AH17)&gt;0),'VIC-2'!AH17,IFERROR('VIC-2'!X17*1,0))</f>
        <v/>
      </c>
      <c r="H10" s="10">
        <f>IF(AND($B10="Forecast",N('QLD-2'!AH17)&gt;0),'QLD-2'!AH17,IFERROR('QLD-2'!X17*1,0))</f>
        <v/>
      </c>
      <c r="I10" s="10">
        <f>IF(AND($B10="Forecast",N('SA-1'!AH17)&gt;0),'SA-1'!AH17,IFERROR('SA-1'!X17*1,0))</f>
        <v/>
      </c>
      <c r="J10" s="10">
        <f>IF(AND($B10="Forecast",N('WA-1'!AH17)&gt;0),'WA-1'!AH17,IFERROR('WA-1'!X17*1,0))</f>
        <v/>
      </c>
      <c r="K10" s="10">
        <f>IF(AND($B10="Forecast",N('IDC-NSW'!AH17)&gt;0),'IDC-NSW'!AH17,IFERROR('IDC-NSW'!X17*1,0))</f>
        <v/>
      </c>
      <c r="L10" s="10">
        <f>IF(AND($B10="Forecast",N('IDC-VIC'!AH17)&gt;0),'IDC-VIC'!AH17,IFERROR('IDC-VIC'!X17*1,0))</f>
        <v/>
      </c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J10" s="14">
        <f>IF($B10="Actual",C10,IF(Y10&lt;&gt;"",Y10,C10+N(N10)))</f>
        <v/>
      </c>
      <c r="AK10" s="14">
        <f>IF($B10="Actual",D10,IF(Z10&lt;&gt;"",Z10,D10+N(O10)))</f>
        <v/>
      </c>
      <c r="AL10" s="14">
        <f>IF($B10="Actual",E10,IF(AA10&lt;&gt;"",AA10,E10+N(P10)))</f>
        <v/>
      </c>
      <c r="AM10" s="14">
        <f>IF($B10="Actual",F10,IF(AB10&lt;&gt;"",AB10,F10+N(Q10)))</f>
        <v/>
      </c>
      <c r="AN10" s="14">
        <f>IF($B10="Actual",G10,IF(AC10&lt;&gt;"",AC10,G10+N(R10)))</f>
        <v/>
      </c>
      <c r="AO10" s="14">
        <f>IF($B10="Actual",H10,IF(AD10&lt;&gt;"",AD10,H10+N(S10)))</f>
        <v/>
      </c>
      <c r="AP10" s="14">
        <f>IF($B10="Actual",I10,IF(AE10&lt;&gt;"",AE10,I10+N(T10)))</f>
        <v/>
      </c>
      <c r="AQ10" s="14">
        <f>IF($B10="Actual",J10,IF(AF10&lt;&gt;"",AF10,J10+N(U10)))</f>
        <v/>
      </c>
      <c r="AR10" s="14">
        <f>IF($B10="Actual",K10,IF(AG10&lt;&gt;"",AG10,K10+N(V10)))</f>
        <v/>
      </c>
      <c r="AS10" s="14">
        <f>IF($B10="Actual",L10,IF(AH10&lt;&gt;"",AH10,L10+N(W10)))</f>
        <v/>
      </c>
    </row>
    <row r="11">
      <c r="A11" s="8" t="n">
        <v>45748</v>
      </c>
      <c r="B11">
        <f>IF(A11&lt;=LastActual,"Actual","Forecast")</f>
        <v/>
      </c>
      <c r="C11" s="10">
        <f>IF(AND($B11="Forecast",N('NSW-1'!AH18)&gt;0),'NSW-1'!AH18,IFERROR('NSW-1'!X18*1,0))</f>
        <v/>
      </c>
      <c r="D11" s="10">
        <f>IF(AND($B11="Forecast",N('VIC-1'!AH18)&gt;0),'VIC-1'!AH18,IFERROR('VIC-1'!X18*1,0))</f>
        <v/>
      </c>
      <c r="E11" s="10">
        <f>IF(AND($B11="Forecast",N('QLD-1'!AH18)&gt;0),'QLD-1'!AH18,IFERROR('QLD-1'!X18*1,0))</f>
        <v/>
      </c>
      <c r="F11" s="10">
        <f>IF(AND($B11="Forecast",N('NSW-2'!AH18)&gt;0),'NSW-2'!AH18,IFERROR('NSW-2'!X18*1,0))</f>
        <v/>
      </c>
      <c r="G11" s="10">
        <f>IF(AND($B11="Forecast",N('VIC-2'!AH18)&gt;0),'VIC-2'!AH18,IFERROR('VIC-2'!X18*1,0))</f>
        <v/>
      </c>
      <c r="H11" s="10">
        <f>IF(AND($B11="Forecast",N('QLD-2'!AH18)&gt;0),'QLD-2'!AH18,IFERROR('QLD-2'!X18*1,0))</f>
        <v/>
      </c>
      <c r="I11" s="10">
        <f>IF(AND($B11="Forecast",N('SA-1'!AH18)&gt;0),'SA-1'!AH18,IFERROR('SA-1'!X18*1,0))</f>
        <v/>
      </c>
      <c r="J11" s="10">
        <f>IF(AND($B11="Forecast",N('WA-1'!AH18)&gt;0),'WA-1'!AH18,IFERROR('WA-1'!X18*1,0))</f>
        <v/>
      </c>
      <c r="K11" s="10">
        <f>IF(AND($B11="Forecast",N('IDC-NSW'!AH18)&gt;0),'IDC-NSW'!AH18,IFERROR('IDC-NSW'!X18*1,0))</f>
        <v/>
      </c>
      <c r="L11" s="10">
        <f>IF(AND($B11="Forecast",N('IDC-VIC'!AH18)&gt;0),'IDC-VIC'!AH18,IFERROR('IDC-VIC'!X18*1,0))</f>
        <v/>
      </c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J11" s="14">
        <f>IF($B11="Actual",C11,IF(Y11&lt;&gt;"",Y11,C11+N(N11)))</f>
        <v/>
      </c>
      <c r="AK11" s="14">
        <f>IF($B11="Actual",D11,IF(Z11&lt;&gt;"",Z11,D11+N(O11)))</f>
        <v/>
      </c>
      <c r="AL11" s="14">
        <f>IF($B11="Actual",E11,IF(AA11&lt;&gt;"",AA11,E11+N(P11)))</f>
        <v/>
      </c>
      <c r="AM11" s="14">
        <f>IF($B11="Actual",F11,IF(AB11&lt;&gt;"",AB11,F11+N(Q11)))</f>
        <v/>
      </c>
      <c r="AN11" s="14">
        <f>IF($B11="Actual",G11,IF(AC11&lt;&gt;"",AC11,G11+N(R11)))</f>
        <v/>
      </c>
      <c r="AO11" s="14">
        <f>IF($B11="Actual",H11,IF(AD11&lt;&gt;"",AD11,H11+N(S11)))</f>
        <v/>
      </c>
      <c r="AP11" s="14">
        <f>IF($B11="Actual",I11,IF(AE11&lt;&gt;"",AE11,I11+N(T11)))</f>
        <v/>
      </c>
      <c r="AQ11" s="14">
        <f>IF($B11="Actual",J11,IF(AF11&lt;&gt;"",AF11,J11+N(U11)))</f>
        <v/>
      </c>
      <c r="AR11" s="14">
        <f>IF($B11="Actual",K11,IF(AG11&lt;&gt;"",AG11,K11+N(V11)))</f>
        <v/>
      </c>
      <c r="AS11" s="14">
        <f>IF($B11="Actual",L11,IF(AH11&lt;&gt;"",AH11,L11+N(W11)))</f>
        <v/>
      </c>
    </row>
    <row r="12">
      <c r="A12" s="8" t="n">
        <v>45778</v>
      </c>
      <c r="B12">
        <f>IF(A12&lt;=LastActual,"Actual","Forecast")</f>
        <v/>
      </c>
      <c r="C12" s="10">
        <f>IF(AND($B12="Forecast",N('NSW-1'!AH19)&gt;0),'NSW-1'!AH19,IFERROR('NSW-1'!X19*1,0))</f>
        <v/>
      </c>
      <c r="D12" s="10">
        <f>IF(AND($B12="Forecast",N('VIC-1'!AH19)&gt;0),'VIC-1'!AH19,IFERROR('VIC-1'!X19*1,0))</f>
        <v/>
      </c>
      <c r="E12" s="10">
        <f>IF(AND($B12="Forecast",N('QLD-1'!AH19)&gt;0),'QLD-1'!AH19,IFERROR('QLD-1'!X19*1,0))</f>
        <v/>
      </c>
      <c r="F12" s="10">
        <f>IF(AND($B12="Forecast",N('NSW-2'!AH19)&gt;0),'NSW-2'!AH19,IFERROR('NSW-2'!X19*1,0))</f>
        <v/>
      </c>
      <c r="G12" s="10">
        <f>IF(AND($B12="Forecast",N('VIC-2'!AH19)&gt;0),'VIC-2'!AH19,IFERROR('VIC-2'!X19*1,0))</f>
        <v/>
      </c>
      <c r="H12" s="10">
        <f>IF(AND($B12="Forecast",N('QLD-2'!AH19)&gt;0),'QLD-2'!AH19,IFERROR('QLD-2'!X19*1,0))</f>
        <v/>
      </c>
      <c r="I12" s="10">
        <f>IF(AND($B12="Forecast",N('SA-1'!AH19)&gt;0),'SA-1'!AH19,IFERROR('SA-1'!X19*1,0))</f>
        <v/>
      </c>
      <c r="J12" s="10">
        <f>IF(AND($B12="Forecast",N('WA-1'!AH19)&gt;0),'WA-1'!AH19,IFERROR('WA-1'!X19*1,0))</f>
        <v/>
      </c>
      <c r="K12" s="10">
        <f>IF(AND($B12="Forecast",N('IDC-NSW'!AH19)&gt;0),'IDC-NSW'!AH19,IFERROR('IDC-NSW'!X19*1,0))</f>
        <v/>
      </c>
      <c r="L12" s="10">
        <f>IF(AND($B12="Forecast",N('IDC-VIC'!AH19)&gt;0),'IDC-VIC'!AH19,IFERROR('IDC-VIC'!X19*1,0))</f>
        <v/>
      </c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J12" s="14">
        <f>IF($B12="Actual",C12,IF(Y12&lt;&gt;"",Y12,C12+N(N12)))</f>
        <v/>
      </c>
      <c r="AK12" s="14">
        <f>IF($B12="Actual",D12,IF(Z12&lt;&gt;"",Z12,D12+N(O12)))</f>
        <v/>
      </c>
      <c r="AL12" s="14">
        <f>IF($B12="Actual",E12,IF(AA12&lt;&gt;"",AA12,E12+N(P12)))</f>
        <v/>
      </c>
      <c r="AM12" s="14">
        <f>IF($B12="Actual",F12,IF(AB12&lt;&gt;"",AB12,F12+N(Q12)))</f>
        <v/>
      </c>
      <c r="AN12" s="14">
        <f>IF($B12="Actual",G12,IF(AC12&lt;&gt;"",AC12,G12+N(R12)))</f>
        <v/>
      </c>
      <c r="AO12" s="14">
        <f>IF($B12="Actual",H12,IF(AD12&lt;&gt;"",AD12,H12+N(S12)))</f>
        <v/>
      </c>
      <c r="AP12" s="14">
        <f>IF($B12="Actual",I12,IF(AE12&lt;&gt;"",AE12,I12+N(T12)))</f>
        <v/>
      </c>
      <c r="AQ12" s="14">
        <f>IF($B12="Actual",J12,IF(AF12&lt;&gt;"",AF12,J12+N(U12)))</f>
        <v/>
      </c>
      <c r="AR12" s="14">
        <f>IF($B12="Actual",K12,IF(AG12&lt;&gt;"",AG12,K12+N(V12)))</f>
        <v/>
      </c>
      <c r="AS12" s="14">
        <f>IF($B12="Actual",L12,IF(AH12&lt;&gt;"",AH12,L12+N(W12)))</f>
        <v/>
      </c>
    </row>
    <row r="13">
      <c r="A13" s="8" t="n">
        <v>45809</v>
      </c>
      <c r="B13">
        <f>IF(A13&lt;=LastActual,"Actual","Forecast")</f>
        <v/>
      </c>
      <c r="C13" s="10">
        <f>IF(AND($B13="Forecast",N('NSW-1'!AH20)&gt;0),'NSW-1'!AH20,IFERROR('NSW-1'!X20*1,0))</f>
        <v/>
      </c>
      <c r="D13" s="10">
        <f>IF(AND($B13="Forecast",N('VIC-1'!AH20)&gt;0),'VIC-1'!AH20,IFERROR('VIC-1'!X20*1,0))</f>
        <v/>
      </c>
      <c r="E13" s="10">
        <f>IF(AND($B13="Forecast",N('QLD-1'!AH20)&gt;0),'QLD-1'!AH20,IFERROR('QLD-1'!X20*1,0))</f>
        <v/>
      </c>
      <c r="F13" s="10">
        <f>IF(AND($B13="Forecast",N('NSW-2'!AH20)&gt;0),'NSW-2'!AH20,IFERROR('NSW-2'!X20*1,0))</f>
        <v/>
      </c>
      <c r="G13" s="10">
        <f>IF(AND($B13="Forecast",N('VIC-2'!AH20)&gt;0),'VIC-2'!AH20,IFERROR('VIC-2'!X20*1,0))</f>
        <v/>
      </c>
      <c r="H13" s="10">
        <f>IF(AND($B13="Forecast",N('QLD-2'!AH20)&gt;0),'QLD-2'!AH20,IFERROR('QLD-2'!X20*1,0))</f>
        <v/>
      </c>
      <c r="I13" s="10">
        <f>IF(AND($B13="Forecast",N('SA-1'!AH20)&gt;0),'SA-1'!AH20,IFERROR('SA-1'!X20*1,0))</f>
        <v/>
      </c>
      <c r="J13" s="10">
        <f>IF(AND($B13="Forecast",N('WA-1'!AH20)&gt;0),'WA-1'!AH20,IFERROR('WA-1'!X20*1,0))</f>
        <v/>
      </c>
      <c r="K13" s="10">
        <f>IF(AND($B13="Forecast",N('IDC-NSW'!AH20)&gt;0),'IDC-NSW'!AH20,IFERROR('IDC-NSW'!X20*1,0))</f>
        <v/>
      </c>
      <c r="L13" s="10">
        <f>IF(AND($B13="Forecast",N('IDC-VIC'!AH20)&gt;0),'IDC-VIC'!AH20,IFERROR('IDC-VIC'!X20*1,0))</f>
        <v/>
      </c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J13" s="14">
        <f>IF($B13="Actual",C13,IF(Y13&lt;&gt;"",Y13,C13+N(N13)))</f>
        <v/>
      </c>
      <c r="AK13" s="14">
        <f>IF($B13="Actual",D13,IF(Z13&lt;&gt;"",Z13,D13+N(O13)))</f>
        <v/>
      </c>
      <c r="AL13" s="14">
        <f>IF($B13="Actual",E13,IF(AA13&lt;&gt;"",AA13,E13+N(P13)))</f>
        <v/>
      </c>
      <c r="AM13" s="14">
        <f>IF($B13="Actual",F13,IF(AB13&lt;&gt;"",AB13,F13+N(Q13)))</f>
        <v/>
      </c>
      <c r="AN13" s="14">
        <f>IF($B13="Actual",G13,IF(AC13&lt;&gt;"",AC13,G13+N(R13)))</f>
        <v/>
      </c>
      <c r="AO13" s="14">
        <f>IF($B13="Actual",H13,IF(AD13&lt;&gt;"",AD13,H13+N(S13)))</f>
        <v/>
      </c>
      <c r="AP13" s="14">
        <f>IF($B13="Actual",I13,IF(AE13&lt;&gt;"",AE13,I13+N(T13)))</f>
        <v/>
      </c>
      <c r="AQ13" s="14">
        <f>IF($B13="Actual",J13,IF(AF13&lt;&gt;"",AF13,J13+N(U13)))</f>
        <v/>
      </c>
      <c r="AR13" s="14">
        <f>IF($B13="Actual",K13,IF(AG13&lt;&gt;"",AG13,K13+N(V13)))</f>
        <v/>
      </c>
      <c r="AS13" s="14">
        <f>IF($B13="Actual",L13,IF(AH13&lt;&gt;"",AH13,L13+N(W13)))</f>
        <v/>
      </c>
    </row>
    <row r="14">
      <c r="A14" s="8" t="n">
        <v>45839</v>
      </c>
      <c r="B14">
        <f>IF(A14&lt;=LastActual,"Actual","Forecast")</f>
        <v/>
      </c>
      <c r="C14" s="10">
        <f>IF(AND($B14="Forecast",N('NSW-1'!AH21)&gt;0),'NSW-1'!AH21,IFERROR('NSW-1'!X21*1,0))</f>
        <v/>
      </c>
      <c r="D14" s="10">
        <f>IF(AND($B14="Forecast",N('VIC-1'!AH21)&gt;0),'VIC-1'!AH21,IFERROR('VIC-1'!X21*1,0))</f>
        <v/>
      </c>
      <c r="E14" s="10">
        <f>IF(AND($B14="Forecast",N('QLD-1'!AH21)&gt;0),'QLD-1'!AH21,IFERROR('QLD-1'!X21*1,0))</f>
        <v/>
      </c>
      <c r="F14" s="10">
        <f>IF(AND($B14="Forecast",N('NSW-2'!AH21)&gt;0),'NSW-2'!AH21,IFERROR('NSW-2'!X21*1,0))</f>
        <v/>
      </c>
      <c r="G14" s="10">
        <f>IF(AND($B14="Forecast",N('VIC-2'!AH21)&gt;0),'VIC-2'!AH21,IFERROR('VIC-2'!X21*1,0))</f>
        <v/>
      </c>
      <c r="H14" s="10">
        <f>IF(AND($B14="Forecast",N('QLD-2'!AH21)&gt;0),'QLD-2'!AH21,IFERROR('QLD-2'!X21*1,0))</f>
        <v/>
      </c>
      <c r="I14" s="10">
        <f>IF(AND($B14="Forecast",N('SA-1'!AH21)&gt;0),'SA-1'!AH21,IFERROR('SA-1'!X21*1,0))</f>
        <v/>
      </c>
      <c r="J14" s="10">
        <f>IF(AND($B14="Forecast",N('WA-1'!AH21)&gt;0),'WA-1'!AH21,IFERROR('WA-1'!X21*1,0))</f>
        <v/>
      </c>
      <c r="K14" s="10">
        <f>IF(AND($B14="Forecast",N('IDC-NSW'!AH21)&gt;0),'IDC-NSW'!AH21,IFERROR('IDC-NSW'!X21*1,0))</f>
        <v/>
      </c>
      <c r="L14" s="10">
        <f>IF(AND($B14="Forecast",N('IDC-VIC'!AH21)&gt;0),'IDC-VIC'!AH21,IFERROR('IDC-VIC'!X21*1,0))</f>
        <v/>
      </c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J14" s="14">
        <f>IF($B14="Actual",C14,IF(Y14&lt;&gt;"",Y14,C14+N(N14)))</f>
        <v/>
      </c>
      <c r="AK14" s="14">
        <f>IF($B14="Actual",D14,IF(Z14&lt;&gt;"",Z14,D14+N(O14)))</f>
        <v/>
      </c>
      <c r="AL14" s="14">
        <f>IF($B14="Actual",E14,IF(AA14&lt;&gt;"",AA14,E14+N(P14)))</f>
        <v/>
      </c>
      <c r="AM14" s="14">
        <f>IF($B14="Actual",F14,IF(AB14&lt;&gt;"",AB14,F14+N(Q14)))</f>
        <v/>
      </c>
      <c r="AN14" s="14">
        <f>IF($B14="Actual",G14,IF(AC14&lt;&gt;"",AC14,G14+N(R14)))</f>
        <v/>
      </c>
      <c r="AO14" s="14">
        <f>IF($B14="Actual",H14,IF(AD14&lt;&gt;"",AD14,H14+N(S14)))</f>
        <v/>
      </c>
      <c r="AP14" s="14">
        <f>IF($B14="Actual",I14,IF(AE14&lt;&gt;"",AE14,I14+N(T14)))</f>
        <v/>
      </c>
      <c r="AQ14" s="14">
        <f>IF($B14="Actual",J14,IF(AF14&lt;&gt;"",AF14,J14+N(U14)))</f>
        <v/>
      </c>
      <c r="AR14" s="14">
        <f>IF($B14="Actual",K14,IF(AG14&lt;&gt;"",AG14,K14+N(V14)))</f>
        <v/>
      </c>
      <c r="AS14" s="14">
        <f>IF($B14="Actual",L14,IF(AH14&lt;&gt;"",AH14,L14+N(W14)))</f>
        <v/>
      </c>
    </row>
    <row r="15">
      <c r="A15" s="8" t="n">
        <v>45870</v>
      </c>
      <c r="B15">
        <f>IF(A15&lt;=LastActual,"Actual","Forecast")</f>
        <v/>
      </c>
      <c r="C15" s="10">
        <f>IF(AND($B15="Forecast",N('NSW-1'!AH22)&gt;0),'NSW-1'!AH22,IFERROR('NSW-1'!X22*1,0))</f>
        <v/>
      </c>
      <c r="D15" s="10">
        <f>IF(AND($B15="Forecast",N('VIC-1'!AH22)&gt;0),'VIC-1'!AH22,IFERROR('VIC-1'!X22*1,0))</f>
        <v/>
      </c>
      <c r="E15" s="10">
        <f>IF(AND($B15="Forecast",N('QLD-1'!AH22)&gt;0),'QLD-1'!AH22,IFERROR('QLD-1'!X22*1,0))</f>
        <v/>
      </c>
      <c r="F15" s="10">
        <f>IF(AND($B15="Forecast",N('NSW-2'!AH22)&gt;0),'NSW-2'!AH22,IFERROR('NSW-2'!X22*1,0))</f>
        <v/>
      </c>
      <c r="G15" s="10">
        <f>IF(AND($B15="Forecast",N('VIC-2'!AH22)&gt;0),'VIC-2'!AH22,IFERROR('VIC-2'!X22*1,0))</f>
        <v/>
      </c>
      <c r="H15" s="10">
        <f>IF(AND($B15="Forecast",N('QLD-2'!AH22)&gt;0),'QLD-2'!AH22,IFERROR('QLD-2'!X22*1,0))</f>
        <v/>
      </c>
      <c r="I15" s="10">
        <f>IF(AND($B15="Forecast",N('SA-1'!AH22)&gt;0),'SA-1'!AH22,IFERROR('SA-1'!X22*1,0))</f>
        <v/>
      </c>
      <c r="J15" s="10">
        <f>IF(AND($B15="Forecast",N('WA-1'!AH22)&gt;0),'WA-1'!AH22,IFERROR('WA-1'!X22*1,0))</f>
        <v/>
      </c>
      <c r="K15" s="10">
        <f>IF(AND($B15="Forecast",N('IDC-NSW'!AH22)&gt;0),'IDC-NSW'!AH22,IFERROR('IDC-NSW'!X22*1,0))</f>
        <v/>
      </c>
      <c r="L15" s="10">
        <f>IF(AND($B15="Forecast",N('IDC-VIC'!AH22)&gt;0),'IDC-VIC'!AH22,IFERROR('IDC-VIC'!X22*1,0))</f>
        <v/>
      </c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J15" s="14">
        <f>IF($B15="Actual",C15,IF(Y15&lt;&gt;"",Y15,C15+N(N15)))</f>
        <v/>
      </c>
      <c r="AK15" s="14">
        <f>IF($B15="Actual",D15,IF(Z15&lt;&gt;"",Z15,D15+N(O15)))</f>
        <v/>
      </c>
      <c r="AL15" s="14">
        <f>IF($B15="Actual",E15,IF(AA15&lt;&gt;"",AA15,E15+N(P15)))</f>
        <v/>
      </c>
      <c r="AM15" s="14">
        <f>IF($B15="Actual",F15,IF(AB15&lt;&gt;"",AB15,F15+N(Q15)))</f>
        <v/>
      </c>
      <c r="AN15" s="14">
        <f>IF($B15="Actual",G15,IF(AC15&lt;&gt;"",AC15,G15+N(R15)))</f>
        <v/>
      </c>
      <c r="AO15" s="14">
        <f>IF($B15="Actual",H15,IF(AD15&lt;&gt;"",AD15,H15+N(S15)))</f>
        <v/>
      </c>
      <c r="AP15" s="14">
        <f>IF($B15="Actual",I15,IF(AE15&lt;&gt;"",AE15,I15+N(T15)))</f>
        <v/>
      </c>
      <c r="AQ15" s="14">
        <f>IF($B15="Actual",J15,IF(AF15&lt;&gt;"",AF15,J15+N(U15)))</f>
        <v/>
      </c>
      <c r="AR15" s="14">
        <f>IF($B15="Actual",K15,IF(AG15&lt;&gt;"",AG15,K15+N(V15)))</f>
        <v/>
      </c>
      <c r="AS15" s="14">
        <f>IF($B15="Actual",L15,IF(AH15&lt;&gt;"",AH15,L15+N(W15)))</f>
        <v/>
      </c>
    </row>
    <row r="16">
      <c r="A16" s="8" t="n">
        <v>45901</v>
      </c>
      <c r="B16">
        <f>IF(A16&lt;=LastActual,"Actual","Forecast")</f>
        <v/>
      </c>
      <c r="C16" s="10">
        <f>IF(AND($B16="Forecast",N('NSW-1'!AH23)&gt;0),'NSW-1'!AH23,IFERROR('NSW-1'!X23*1,0))</f>
        <v/>
      </c>
      <c r="D16" s="10">
        <f>IF(AND($B16="Forecast",N('VIC-1'!AH23)&gt;0),'VIC-1'!AH23,IFERROR('VIC-1'!X23*1,0))</f>
        <v/>
      </c>
      <c r="E16" s="10">
        <f>IF(AND($B16="Forecast",N('QLD-1'!AH23)&gt;0),'QLD-1'!AH23,IFERROR('QLD-1'!X23*1,0))</f>
        <v/>
      </c>
      <c r="F16" s="10">
        <f>IF(AND($B16="Forecast",N('NSW-2'!AH23)&gt;0),'NSW-2'!AH23,IFERROR('NSW-2'!X23*1,0))</f>
        <v/>
      </c>
      <c r="G16" s="10">
        <f>IF(AND($B16="Forecast",N('VIC-2'!AH23)&gt;0),'VIC-2'!AH23,IFERROR('VIC-2'!X23*1,0))</f>
        <v/>
      </c>
      <c r="H16" s="10">
        <f>IF(AND($B16="Forecast",N('QLD-2'!AH23)&gt;0),'QLD-2'!AH23,IFERROR('QLD-2'!X23*1,0))</f>
        <v/>
      </c>
      <c r="I16" s="10">
        <f>IF(AND($B16="Forecast",N('SA-1'!AH23)&gt;0),'SA-1'!AH23,IFERROR('SA-1'!X23*1,0))</f>
        <v/>
      </c>
      <c r="J16" s="10">
        <f>IF(AND($B16="Forecast",N('WA-1'!AH23)&gt;0),'WA-1'!AH23,IFERROR('WA-1'!X23*1,0))</f>
        <v/>
      </c>
      <c r="K16" s="10">
        <f>IF(AND($B16="Forecast",N('IDC-NSW'!AH23)&gt;0),'IDC-NSW'!AH23,IFERROR('IDC-NSW'!X23*1,0))</f>
        <v/>
      </c>
      <c r="L16" s="10">
        <f>IF(AND($B16="Forecast",N('IDC-VIC'!AH23)&gt;0),'IDC-VIC'!AH23,IFERROR('IDC-VIC'!X23*1,0))</f>
        <v/>
      </c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J16" s="14">
        <f>IF($B16="Actual",C16,IF(Y16&lt;&gt;"",Y16,C16+N(N16)))</f>
        <v/>
      </c>
      <c r="AK16" s="14">
        <f>IF($B16="Actual",D16,IF(Z16&lt;&gt;"",Z16,D16+N(O16)))</f>
        <v/>
      </c>
      <c r="AL16" s="14">
        <f>IF($B16="Actual",E16,IF(AA16&lt;&gt;"",AA16,E16+N(P16)))</f>
        <v/>
      </c>
      <c r="AM16" s="14">
        <f>IF($B16="Actual",F16,IF(AB16&lt;&gt;"",AB16,F16+N(Q16)))</f>
        <v/>
      </c>
      <c r="AN16" s="14">
        <f>IF($B16="Actual",G16,IF(AC16&lt;&gt;"",AC16,G16+N(R16)))</f>
        <v/>
      </c>
      <c r="AO16" s="14">
        <f>IF($B16="Actual",H16,IF(AD16&lt;&gt;"",AD16,H16+N(S16)))</f>
        <v/>
      </c>
      <c r="AP16" s="14">
        <f>IF($B16="Actual",I16,IF(AE16&lt;&gt;"",AE16,I16+N(T16)))</f>
        <v/>
      </c>
      <c r="AQ16" s="14">
        <f>IF($B16="Actual",J16,IF(AF16&lt;&gt;"",AF16,J16+N(U16)))</f>
        <v/>
      </c>
      <c r="AR16" s="14">
        <f>IF($B16="Actual",K16,IF(AG16&lt;&gt;"",AG16,K16+N(V16)))</f>
        <v/>
      </c>
      <c r="AS16" s="14">
        <f>IF($B16="Actual",L16,IF(AH16&lt;&gt;"",AH16,L16+N(W16)))</f>
        <v/>
      </c>
    </row>
    <row r="17">
      <c r="A17" s="8" t="n">
        <v>45931</v>
      </c>
      <c r="B17">
        <f>IF(A17&lt;=LastActual,"Actual","Forecast")</f>
        <v/>
      </c>
      <c r="C17" s="10">
        <f>IF(AND($B17="Forecast",N('NSW-1'!AH24)&gt;0),'NSW-1'!AH24,IFERROR('NSW-1'!X24*1,0))</f>
        <v/>
      </c>
      <c r="D17" s="10">
        <f>IF(AND($B17="Forecast",N('VIC-1'!AH24)&gt;0),'VIC-1'!AH24,IFERROR('VIC-1'!X24*1,0))</f>
        <v/>
      </c>
      <c r="E17" s="10">
        <f>IF(AND($B17="Forecast",N('QLD-1'!AH24)&gt;0),'QLD-1'!AH24,IFERROR('QLD-1'!X24*1,0))</f>
        <v/>
      </c>
      <c r="F17" s="10">
        <f>IF(AND($B17="Forecast",N('NSW-2'!AH24)&gt;0),'NSW-2'!AH24,IFERROR('NSW-2'!X24*1,0))</f>
        <v/>
      </c>
      <c r="G17" s="10">
        <f>IF(AND($B17="Forecast",N('VIC-2'!AH24)&gt;0),'VIC-2'!AH24,IFERROR('VIC-2'!X24*1,0))</f>
        <v/>
      </c>
      <c r="H17" s="10">
        <f>IF(AND($B17="Forecast",N('QLD-2'!AH24)&gt;0),'QLD-2'!AH24,IFERROR('QLD-2'!X24*1,0))</f>
        <v/>
      </c>
      <c r="I17" s="10">
        <f>IF(AND($B17="Forecast",N('SA-1'!AH24)&gt;0),'SA-1'!AH24,IFERROR('SA-1'!X24*1,0))</f>
        <v/>
      </c>
      <c r="J17" s="10">
        <f>IF(AND($B17="Forecast",N('WA-1'!AH24)&gt;0),'WA-1'!AH24,IFERROR('WA-1'!X24*1,0))</f>
        <v/>
      </c>
      <c r="K17" s="10">
        <f>IF(AND($B17="Forecast",N('IDC-NSW'!AH24)&gt;0),'IDC-NSW'!AH24,IFERROR('IDC-NSW'!X24*1,0))</f>
        <v/>
      </c>
      <c r="L17" s="10">
        <f>IF(AND($B17="Forecast",N('IDC-VIC'!AH24)&gt;0),'IDC-VIC'!AH24,IFERROR('IDC-VIC'!X24*1,0))</f>
        <v/>
      </c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J17" s="14">
        <f>IF($B17="Actual",C17,IF(Y17&lt;&gt;"",Y17,C17+N(N17)))</f>
        <v/>
      </c>
      <c r="AK17" s="14">
        <f>IF($B17="Actual",D17,IF(Z17&lt;&gt;"",Z17,D17+N(O17)))</f>
        <v/>
      </c>
      <c r="AL17" s="14">
        <f>IF($B17="Actual",E17,IF(AA17&lt;&gt;"",AA17,E17+N(P17)))</f>
        <v/>
      </c>
      <c r="AM17" s="14">
        <f>IF($B17="Actual",F17,IF(AB17&lt;&gt;"",AB17,F17+N(Q17)))</f>
        <v/>
      </c>
      <c r="AN17" s="14">
        <f>IF($B17="Actual",G17,IF(AC17&lt;&gt;"",AC17,G17+N(R17)))</f>
        <v/>
      </c>
      <c r="AO17" s="14">
        <f>IF($B17="Actual",H17,IF(AD17&lt;&gt;"",AD17,H17+N(S17)))</f>
        <v/>
      </c>
      <c r="AP17" s="14">
        <f>IF($B17="Actual",I17,IF(AE17&lt;&gt;"",AE17,I17+N(T17)))</f>
        <v/>
      </c>
      <c r="AQ17" s="14">
        <f>IF($B17="Actual",J17,IF(AF17&lt;&gt;"",AF17,J17+N(U17)))</f>
        <v/>
      </c>
      <c r="AR17" s="14">
        <f>IF($B17="Actual",K17,IF(AG17&lt;&gt;"",AG17,K17+N(V17)))</f>
        <v/>
      </c>
      <c r="AS17" s="14">
        <f>IF($B17="Actual",L17,IF(AH17&lt;&gt;"",AH17,L17+N(W17)))</f>
        <v/>
      </c>
    </row>
    <row r="18">
      <c r="A18" s="8" t="n">
        <v>45962</v>
      </c>
      <c r="B18">
        <f>IF(A18&lt;=LastActual,"Actual","Forecast")</f>
        <v/>
      </c>
      <c r="C18" s="10">
        <f>IF(AND($B18="Forecast",N('NSW-1'!AH25)&gt;0),'NSW-1'!AH25,IFERROR('NSW-1'!X25*1,0))</f>
        <v/>
      </c>
      <c r="D18" s="10">
        <f>IF(AND($B18="Forecast",N('VIC-1'!AH25)&gt;0),'VIC-1'!AH25,IFERROR('VIC-1'!X25*1,0))</f>
        <v/>
      </c>
      <c r="E18" s="10">
        <f>IF(AND($B18="Forecast",N('QLD-1'!AH25)&gt;0),'QLD-1'!AH25,IFERROR('QLD-1'!X25*1,0))</f>
        <v/>
      </c>
      <c r="F18" s="10">
        <f>IF(AND($B18="Forecast",N('NSW-2'!AH25)&gt;0),'NSW-2'!AH25,IFERROR('NSW-2'!X25*1,0))</f>
        <v/>
      </c>
      <c r="G18" s="10">
        <f>IF(AND($B18="Forecast",N('VIC-2'!AH25)&gt;0),'VIC-2'!AH25,IFERROR('VIC-2'!X25*1,0))</f>
        <v/>
      </c>
      <c r="H18" s="10">
        <f>IF(AND($B18="Forecast",N('QLD-2'!AH25)&gt;0),'QLD-2'!AH25,IFERROR('QLD-2'!X25*1,0))</f>
        <v/>
      </c>
      <c r="I18" s="10">
        <f>IF(AND($B18="Forecast",N('SA-1'!AH25)&gt;0),'SA-1'!AH25,IFERROR('SA-1'!X25*1,0))</f>
        <v/>
      </c>
      <c r="J18" s="10">
        <f>IF(AND($B18="Forecast",N('WA-1'!AH25)&gt;0),'WA-1'!AH25,IFERROR('WA-1'!X25*1,0))</f>
        <v/>
      </c>
      <c r="K18" s="10">
        <f>IF(AND($B18="Forecast",N('IDC-NSW'!AH25)&gt;0),'IDC-NSW'!AH25,IFERROR('IDC-NSW'!X25*1,0))</f>
        <v/>
      </c>
      <c r="L18" s="10">
        <f>IF(AND($B18="Forecast",N('IDC-VIC'!AH25)&gt;0),'IDC-VIC'!AH25,IFERROR('IDC-VIC'!X25*1,0))</f>
        <v/>
      </c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J18" s="14">
        <f>IF($B18="Actual",C18,IF(Y18&lt;&gt;"",Y18,C18+N(N18)))</f>
        <v/>
      </c>
      <c r="AK18" s="14">
        <f>IF($B18="Actual",D18,IF(Z18&lt;&gt;"",Z18,D18+N(O18)))</f>
        <v/>
      </c>
      <c r="AL18" s="14">
        <f>IF($B18="Actual",E18,IF(AA18&lt;&gt;"",AA18,E18+N(P18)))</f>
        <v/>
      </c>
      <c r="AM18" s="14">
        <f>IF($B18="Actual",F18,IF(AB18&lt;&gt;"",AB18,F18+N(Q18)))</f>
        <v/>
      </c>
      <c r="AN18" s="14">
        <f>IF($B18="Actual",G18,IF(AC18&lt;&gt;"",AC18,G18+N(R18)))</f>
        <v/>
      </c>
      <c r="AO18" s="14">
        <f>IF($B18="Actual",H18,IF(AD18&lt;&gt;"",AD18,H18+N(S18)))</f>
        <v/>
      </c>
      <c r="AP18" s="14">
        <f>IF($B18="Actual",I18,IF(AE18&lt;&gt;"",AE18,I18+N(T18)))</f>
        <v/>
      </c>
      <c r="AQ18" s="14">
        <f>IF($B18="Actual",J18,IF(AF18&lt;&gt;"",AF18,J18+N(U18)))</f>
        <v/>
      </c>
      <c r="AR18" s="14">
        <f>IF($B18="Actual",K18,IF(AG18&lt;&gt;"",AG18,K18+N(V18)))</f>
        <v/>
      </c>
      <c r="AS18" s="14">
        <f>IF($B18="Actual",L18,IF(AH18&lt;&gt;"",AH18,L18+N(W18)))</f>
        <v/>
      </c>
    </row>
    <row r="19">
      <c r="A19" s="8" t="n">
        <v>45992</v>
      </c>
      <c r="B19">
        <f>IF(A19&lt;=LastActual,"Actual","Forecast")</f>
        <v/>
      </c>
      <c r="C19" s="10">
        <f>IF(AND($B19="Forecast",N('NSW-1'!AH26)&gt;0),'NSW-1'!AH26,IFERROR('NSW-1'!X26*1,0))</f>
        <v/>
      </c>
      <c r="D19" s="10">
        <f>IF(AND($B19="Forecast",N('VIC-1'!AH26)&gt;0),'VIC-1'!AH26,IFERROR('VIC-1'!X26*1,0))</f>
        <v/>
      </c>
      <c r="E19" s="10">
        <f>IF(AND($B19="Forecast",N('QLD-1'!AH26)&gt;0),'QLD-1'!AH26,IFERROR('QLD-1'!X26*1,0))</f>
        <v/>
      </c>
      <c r="F19" s="10">
        <f>IF(AND($B19="Forecast",N('NSW-2'!AH26)&gt;0),'NSW-2'!AH26,IFERROR('NSW-2'!X26*1,0))</f>
        <v/>
      </c>
      <c r="G19" s="10">
        <f>IF(AND($B19="Forecast",N('VIC-2'!AH26)&gt;0),'VIC-2'!AH26,IFERROR('VIC-2'!X26*1,0))</f>
        <v/>
      </c>
      <c r="H19" s="10">
        <f>IF(AND($B19="Forecast",N('QLD-2'!AH26)&gt;0),'QLD-2'!AH26,IFERROR('QLD-2'!X26*1,0))</f>
        <v/>
      </c>
      <c r="I19" s="10">
        <f>IF(AND($B19="Forecast",N('SA-1'!AH26)&gt;0),'SA-1'!AH26,IFERROR('SA-1'!X26*1,0))</f>
        <v/>
      </c>
      <c r="J19" s="10">
        <f>IF(AND($B19="Forecast",N('WA-1'!AH26)&gt;0),'WA-1'!AH26,IFERROR('WA-1'!X26*1,0))</f>
        <v/>
      </c>
      <c r="K19" s="10">
        <f>IF(AND($B19="Forecast",N('IDC-NSW'!AH26)&gt;0),'IDC-NSW'!AH26,IFERROR('IDC-NSW'!X26*1,0))</f>
        <v/>
      </c>
      <c r="L19" s="10">
        <f>IF(AND($B19="Forecast",N('IDC-VIC'!AH26)&gt;0),'IDC-VIC'!AH26,IFERROR('IDC-VIC'!X26*1,0))</f>
        <v/>
      </c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J19" s="14">
        <f>IF($B19="Actual",C19,IF(Y19&lt;&gt;"",Y19,C19+N(N19)))</f>
        <v/>
      </c>
      <c r="AK19" s="14">
        <f>IF($B19="Actual",D19,IF(Z19&lt;&gt;"",Z19,D19+N(O19)))</f>
        <v/>
      </c>
      <c r="AL19" s="14">
        <f>IF($B19="Actual",E19,IF(AA19&lt;&gt;"",AA19,E19+N(P19)))</f>
        <v/>
      </c>
      <c r="AM19" s="14">
        <f>IF($B19="Actual",F19,IF(AB19&lt;&gt;"",AB19,F19+N(Q19)))</f>
        <v/>
      </c>
      <c r="AN19" s="14">
        <f>IF($B19="Actual",G19,IF(AC19&lt;&gt;"",AC19,G19+N(R19)))</f>
        <v/>
      </c>
      <c r="AO19" s="14">
        <f>IF($B19="Actual",H19,IF(AD19&lt;&gt;"",AD19,H19+N(S19)))</f>
        <v/>
      </c>
      <c r="AP19" s="14">
        <f>IF($B19="Actual",I19,IF(AE19&lt;&gt;"",AE19,I19+N(T19)))</f>
        <v/>
      </c>
      <c r="AQ19" s="14">
        <f>IF($B19="Actual",J19,IF(AF19&lt;&gt;"",AF19,J19+N(U19)))</f>
        <v/>
      </c>
      <c r="AR19" s="14">
        <f>IF($B19="Actual",K19,IF(AG19&lt;&gt;"",AG19,K19+N(V19)))</f>
        <v/>
      </c>
      <c r="AS19" s="14">
        <f>IF($B19="Actual",L19,IF(AH19&lt;&gt;"",AH19,L19+N(W19)))</f>
        <v/>
      </c>
    </row>
    <row r="20">
      <c r="A20" s="8" t="n">
        <v>46023</v>
      </c>
      <c r="B20">
        <f>IF(A20&lt;=LastActual,"Actual","Forecast")</f>
        <v/>
      </c>
      <c r="C20" s="10">
        <f>IF(AND($B20="Forecast",N('NSW-1'!AH27)&gt;0),'NSW-1'!AH27,IFERROR('NSW-1'!X27*1,0))</f>
        <v/>
      </c>
      <c r="D20" s="10">
        <f>IF(AND($B20="Forecast",N('VIC-1'!AH27)&gt;0),'VIC-1'!AH27,IFERROR('VIC-1'!X27*1,0))</f>
        <v/>
      </c>
      <c r="E20" s="10">
        <f>IF(AND($B20="Forecast",N('QLD-1'!AH27)&gt;0),'QLD-1'!AH27,IFERROR('QLD-1'!X27*1,0))</f>
        <v/>
      </c>
      <c r="F20" s="10">
        <f>IF(AND($B20="Forecast",N('NSW-2'!AH27)&gt;0),'NSW-2'!AH27,IFERROR('NSW-2'!X27*1,0))</f>
        <v/>
      </c>
      <c r="G20" s="10">
        <f>IF(AND($B20="Forecast",N('VIC-2'!AH27)&gt;0),'VIC-2'!AH27,IFERROR('VIC-2'!X27*1,0))</f>
        <v/>
      </c>
      <c r="H20" s="10">
        <f>IF(AND($B20="Forecast",N('QLD-2'!AH27)&gt;0),'QLD-2'!AH27,IFERROR('QLD-2'!X27*1,0))</f>
        <v/>
      </c>
      <c r="I20" s="10">
        <f>IF(AND($B20="Forecast",N('SA-1'!AH27)&gt;0),'SA-1'!AH27,IFERROR('SA-1'!X27*1,0))</f>
        <v/>
      </c>
      <c r="J20" s="10">
        <f>IF(AND($B20="Forecast",N('WA-1'!AH27)&gt;0),'WA-1'!AH27,IFERROR('WA-1'!X27*1,0))</f>
        <v/>
      </c>
      <c r="K20" s="10">
        <f>IF(AND($B20="Forecast",N('IDC-NSW'!AH27)&gt;0),'IDC-NSW'!AH27,IFERROR('IDC-NSW'!X27*1,0))</f>
        <v/>
      </c>
      <c r="L20" s="10">
        <f>IF(AND($B20="Forecast",N('IDC-VIC'!AH27)&gt;0),'IDC-VIC'!AH27,IFERROR('IDC-VIC'!X27*1,0))</f>
        <v/>
      </c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J20" s="14">
        <f>IF($B20="Actual",C20,IF(Y20&lt;&gt;"",Y20,C20+N(N20)))</f>
        <v/>
      </c>
      <c r="AK20" s="14">
        <f>IF($B20="Actual",D20,IF(Z20&lt;&gt;"",Z20,D20+N(O20)))</f>
        <v/>
      </c>
      <c r="AL20" s="14">
        <f>IF($B20="Actual",E20,IF(AA20&lt;&gt;"",AA20,E20+N(P20)))</f>
        <v/>
      </c>
      <c r="AM20" s="14">
        <f>IF($B20="Actual",F20,IF(AB20&lt;&gt;"",AB20,F20+N(Q20)))</f>
        <v/>
      </c>
      <c r="AN20" s="14">
        <f>IF($B20="Actual",G20,IF(AC20&lt;&gt;"",AC20,G20+N(R20)))</f>
        <v/>
      </c>
      <c r="AO20" s="14">
        <f>IF($B20="Actual",H20,IF(AD20&lt;&gt;"",AD20,H20+N(S20)))</f>
        <v/>
      </c>
      <c r="AP20" s="14">
        <f>IF($B20="Actual",I20,IF(AE20&lt;&gt;"",AE20,I20+N(T20)))</f>
        <v/>
      </c>
      <c r="AQ20" s="14">
        <f>IF($B20="Actual",J20,IF(AF20&lt;&gt;"",AF20,J20+N(U20)))</f>
        <v/>
      </c>
      <c r="AR20" s="14">
        <f>IF($B20="Actual",K20,IF(AG20&lt;&gt;"",AG20,K20+N(V20)))</f>
        <v/>
      </c>
      <c r="AS20" s="14">
        <f>IF($B20="Actual",L20,IF(AH20&lt;&gt;"",AH20,L20+N(W20)))</f>
        <v/>
      </c>
    </row>
    <row r="21">
      <c r="A21" s="8" t="n">
        <v>46054</v>
      </c>
      <c r="B21">
        <f>IF(A21&lt;=LastActual,"Actual","Forecast")</f>
        <v/>
      </c>
      <c r="C21" s="10">
        <f>IF(AND($B21="Forecast",N('NSW-1'!AH28)&gt;0),'NSW-1'!AH28,IFERROR('NSW-1'!X28*1,0))</f>
        <v/>
      </c>
      <c r="D21" s="10">
        <f>IF(AND($B21="Forecast",N('VIC-1'!AH28)&gt;0),'VIC-1'!AH28,IFERROR('VIC-1'!X28*1,0))</f>
        <v/>
      </c>
      <c r="E21" s="10">
        <f>IF(AND($B21="Forecast",N('QLD-1'!AH28)&gt;0),'QLD-1'!AH28,IFERROR('QLD-1'!X28*1,0))</f>
        <v/>
      </c>
      <c r="F21" s="10">
        <f>IF(AND($B21="Forecast",N('NSW-2'!AH28)&gt;0),'NSW-2'!AH28,IFERROR('NSW-2'!X28*1,0))</f>
        <v/>
      </c>
      <c r="G21" s="10">
        <f>IF(AND($B21="Forecast",N('VIC-2'!AH28)&gt;0),'VIC-2'!AH28,IFERROR('VIC-2'!X28*1,0))</f>
        <v/>
      </c>
      <c r="H21" s="10">
        <f>IF(AND($B21="Forecast",N('QLD-2'!AH28)&gt;0),'QLD-2'!AH28,IFERROR('QLD-2'!X28*1,0))</f>
        <v/>
      </c>
      <c r="I21" s="10">
        <f>IF(AND($B21="Forecast",N('SA-1'!AH28)&gt;0),'SA-1'!AH28,IFERROR('SA-1'!X28*1,0))</f>
        <v/>
      </c>
      <c r="J21" s="10">
        <f>IF(AND($B21="Forecast",N('WA-1'!AH28)&gt;0),'WA-1'!AH28,IFERROR('WA-1'!X28*1,0))</f>
        <v/>
      </c>
      <c r="K21" s="10">
        <f>IF(AND($B21="Forecast",N('IDC-NSW'!AH28)&gt;0),'IDC-NSW'!AH28,IFERROR('IDC-NSW'!X28*1,0))</f>
        <v/>
      </c>
      <c r="L21" s="10">
        <f>IF(AND($B21="Forecast",N('IDC-VIC'!AH28)&gt;0),'IDC-VIC'!AH28,IFERROR('IDC-VIC'!X28*1,0))</f>
        <v/>
      </c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J21" s="14">
        <f>IF($B21="Actual",C21,IF(Y21&lt;&gt;"",Y21,C21+N(N21)))</f>
        <v/>
      </c>
      <c r="AK21" s="14">
        <f>IF($B21="Actual",D21,IF(Z21&lt;&gt;"",Z21,D21+N(O21)))</f>
        <v/>
      </c>
      <c r="AL21" s="14">
        <f>IF($B21="Actual",E21,IF(AA21&lt;&gt;"",AA21,E21+N(P21)))</f>
        <v/>
      </c>
      <c r="AM21" s="14">
        <f>IF($B21="Actual",F21,IF(AB21&lt;&gt;"",AB21,F21+N(Q21)))</f>
        <v/>
      </c>
      <c r="AN21" s="14">
        <f>IF($B21="Actual",G21,IF(AC21&lt;&gt;"",AC21,G21+N(R21)))</f>
        <v/>
      </c>
      <c r="AO21" s="14">
        <f>IF($B21="Actual",H21,IF(AD21&lt;&gt;"",AD21,H21+N(S21)))</f>
        <v/>
      </c>
      <c r="AP21" s="14">
        <f>IF($B21="Actual",I21,IF(AE21&lt;&gt;"",AE21,I21+N(T21)))</f>
        <v/>
      </c>
      <c r="AQ21" s="14">
        <f>IF($B21="Actual",J21,IF(AF21&lt;&gt;"",AF21,J21+N(U21)))</f>
        <v/>
      </c>
      <c r="AR21" s="14">
        <f>IF($B21="Actual",K21,IF(AG21&lt;&gt;"",AG21,K21+N(V21)))</f>
        <v/>
      </c>
      <c r="AS21" s="14">
        <f>IF($B21="Actual",L21,IF(AH21&lt;&gt;"",AH21,L21+N(W21)))</f>
        <v/>
      </c>
    </row>
    <row r="22">
      <c r="A22" s="8" t="n">
        <v>46082</v>
      </c>
      <c r="B22">
        <f>IF(A22&lt;=LastActual,"Actual","Forecast")</f>
        <v/>
      </c>
      <c r="C22" s="10">
        <f>IF(AND($B22="Forecast",N('NSW-1'!AH29)&gt;0),'NSW-1'!AH29,IFERROR('NSW-1'!X29*1,0))</f>
        <v/>
      </c>
      <c r="D22" s="10">
        <f>IF(AND($B22="Forecast",N('VIC-1'!AH29)&gt;0),'VIC-1'!AH29,IFERROR('VIC-1'!X29*1,0))</f>
        <v/>
      </c>
      <c r="E22" s="10">
        <f>IF(AND($B22="Forecast",N('QLD-1'!AH29)&gt;0),'QLD-1'!AH29,IFERROR('QLD-1'!X29*1,0))</f>
        <v/>
      </c>
      <c r="F22" s="10">
        <f>IF(AND($B22="Forecast",N('NSW-2'!AH29)&gt;0),'NSW-2'!AH29,IFERROR('NSW-2'!X29*1,0))</f>
        <v/>
      </c>
      <c r="G22" s="10">
        <f>IF(AND($B22="Forecast",N('VIC-2'!AH29)&gt;0),'VIC-2'!AH29,IFERROR('VIC-2'!X29*1,0))</f>
        <v/>
      </c>
      <c r="H22" s="10">
        <f>IF(AND($B22="Forecast",N('QLD-2'!AH29)&gt;0),'QLD-2'!AH29,IFERROR('QLD-2'!X29*1,0))</f>
        <v/>
      </c>
      <c r="I22" s="10">
        <f>IF(AND($B22="Forecast",N('SA-1'!AH29)&gt;0),'SA-1'!AH29,IFERROR('SA-1'!X29*1,0))</f>
        <v/>
      </c>
      <c r="J22" s="10">
        <f>IF(AND($B22="Forecast",N('WA-1'!AH29)&gt;0),'WA-1'!AH29,IFERROR('WA-1'!X29*1,0))</f>
        <v/>
      </c>
      <c r="K22" s="10">
        <f>IF(AND($B22="Forecast",N('IDC-NSW'!AH29)&gt;0),'IDC-NSW'!AH29,IFERROR('IDC-NSW'!X29*1,0))</f>
        <v/>
      </c>
      <c r="L22" s="10">
        <f>IF(AND($B22="Forecast",N('IDC-VIC'!AH29)&gt;0),'IDC-VIC'!AH29,IFERROR('IDC-VIC'!X29*1,0))</f>
        <v/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J22" s="14">
        <f>IF($B22="Actual",C22,IF(Y22&lt;&gt;"",Y22,C22+N(N22)))</f>
        <v/>
      </c>
      <c r="AK22" s="14">
        <f>IF($B22="Actual",D22,IF(Z22&lt;&gt;"",Z22,D22+N(O22)))</f>
        <v/>
      </c>
      <c r="AL22" s="14">
        <f>IF($B22="Actual",E22,IF(AA22&lt;&gt;"",AA22,E22+N(P22)))</f>
        <v/>
      </c>
      <c r="AM22" s="14">
        <f>IF($B22="Actual",F22,IF(AB22&lt;&gt;"",AB22,F22+N(Q22)))</f>
        <v/>
      </c>
      <c r="AN22" s="14">
        <f>IF($B22="Actual",G22,IF(AC22&lt;&gt;"",AC22,G22+N(R22)))</f>
        <v/>
      </c>
      <c r="AO22" s="14">
        <f>IF($B22="Actual",H22,IF(AD22&lt;&gt;"",AD22,H22+N(S22)))</f>
        <v/>
      </c>
      <c r="AP22" s="14">
        <f>IF($B22="Actual",I22,IF(AE22&lt;&gt;"",AE22,I22+N(T22)))</f>
        <v/>
      </c>
      <c r="AQ22" s="14">
        <f>IF($B22="Actual",J22,IF(AF22&lt;&gt;"",AF22,J22+N(U22)))</f>
        <v/>
      </c>
      <c r="AR22" s="14">
        <f>IF($B22="Actual",K22,IF(AG22&lt;&gt;"",AG22,K22+N(V22)))</f>
        <v/>
      </c>
      <c r="AS22" s="14">
        <f>IF($B22="Actual",L22,IF(AH22&lt;&gt;"",AH22,L22+N(W22)))</f>
        <v/>
      </c>
    </row>
    <row r="23">
      <c r="A23" s="8" t="n">
        <v>46113</v>
      </c>
      <c r="B23">
        <f>IF(A23&lt;=LastActual,"Actual","Forecast")</f>
        <v/>
      </c>
      <c r="C23" s="10">
        <f>IF(AND($B23="Forecast",N('NSW-1'!AH30)&gt;0),'NSW-1'!AH30,IFERROR('NSW-1'!X30*1,0))</f>
        <v/>
      </c>
      <c r="D23" s="10">
        <f>IF(AND($B23="Forecast",N('VIC-1'!AH30)&gt;0),'VIC-1'!AH30,IFERROR('VIC-1'!X30*1,0))</f>
        <v/>
      </c>
      <c r="E23" s="10">
        <f>IF(AND($B23="Forecast",N('QLD-1'!AH30)&gt;0),'QLD-1'!AH30,IFERROR('QLD-1'!X30*1,0))</f>
        <v/>
      </c>
      <c r="F23" s="10">
        <f>IF(AND($B23="Forecast",N('NSW-2'!AH30)&gt;0),'NSW-2'!AH30,IFERROR('NSW-2'!X30*1,0))</f>
        <v/>
      </c>
      <c r="G23" s="10">
        <f>IF(AND($B23="Forecast",N('VIC-2'!AH30)&gt;0),'VIC-2'!AH30,IFERROR('VIC-2'!X30*1,0))</f>
        <v/>
      </c>
      <c r="H23" s="10">
        <f>IF(AND($B23="Forecast",N('QLD-2'!AH30)&gt;0),'QLD-2'!AH30,IFERROR('QLD-2'!X30*1,0))</f>
        <v/>
      </c>
      <c r="I23" s="10">
        <f>IF(AND($B23="Forecast",N('SA-1'!AH30)&gt;0),'SA-1'!AH30,IFERROR('SA-1'!X30*1,0))</f>
        <v/>
      </c>
      <c r="J23" s="10">
        <f>IF(AND($B23="Forecast",N('WA-1'!AH30)&gt;0),'WA-1'!AH30,IFERROR('WA-1'!X30*1,0))</f>
        <v/>
      </c>
      <c r="K23" s="10">
        <f>IF(AND($B23="Forecast",N('IDC-NSW'!AH30)&gt;0),'IDC-NSW'!AH30,IFERROR('IDC-NSW'!X30*1,0))</f>
        <v/>
      </c>
      <c r="L23" s="10">
        <f>IF(AND($B23="Forecast",N('IDC-VIC'!AH30)&gt;0),'IDC-VIC'!AH30,IFERROR('IDC-VIC'!X30*1,0))</f>
        <v/>
      </c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J23" s="14">
        <f>IF($B23="Actual",C23,IF(Y23&lt;&gt;"",Y23,C23+N(N23)))</f>
        <v/>
      </c>
      <c r="AK23" s="14">
        <f>IF($B23="Actual",D23,IF(Z23&lt;&gt;"",Z23,D23+N(O23)))</f>
        <v/>
      </c>
      <c r="AL23" s="14">
        <f>IF($B23="Actual",E23,IF(AA23&lt;&gt;"",AA23,E23+N(P23)))</f>
        <v/>
      </c>
      <c r="AM23" s="14">
        <f>IF($B23="Actual",F23,IF(AB23&lt;&gt;"",AB23,F23+N(Q23)))</f>
        <v/>
      </c>
      <c r="AN23" s="14">
        <f>IF($B23="Actual",G23,IF(AC23&lt;&gt;"",AC23,G23+N(R23)))</f>
        <v/>
      </c>
      <c r="AO23" s="14">
        <f>IF($B23="Actual",H23,IF(AD23&lt;&gt;"",AD23,H23+N(S23)))</f>
        <v/>
      </c>
      <c r="AP23" s="14">
        <f>IF($B23="Actual",I23,IF(AE23&lt;&gt;"",AE23,I23+N(T23)))</f>
        <v/>
      </c>
      <c r="AQ23" s="14">
        <f>IF($B23="Actual",J23,IF(AF23&lt;&gt;"",AF23,J23+N(U23)))</f>
        <v/>
      </c>
      <c r="AR23" s="14">
        <f>IF($B23="Actual",K23,IF(AG23&lt;&gt;"",AG23,K23+N(V23)))</f>
        <v/>
      </c>
      <c r="AS23" s="14">
        <f>IF($B23="Actual",L23,IF(AH23&lt;&gt;"",AH23,L23+N(W23)))</f>
        <v/>
      </c>
    </row>
    <row r="24">
      <c r="A24" s="8" t="n">
        <v>46143</v>
      </c>
      <c r="B24">
        <f>IF(A24&lt;=LastActual,"Actual","Forecast")</f>
        <v/>
      </c>
      <c r="C24" s="10">
        <f>IF(AND($B24="Forecast",N('NSW-1'!AH31)&gt;0),'NSW-1'!AH31,IFERROR('NSW-1'!X31*1,0))</f>
        <v/>
      </c>
      <c r="D24" s="10">
        <f>IF(AND($B24="Forecast",N('VIC-1'!AH31)&gt;0),'VIC-1'!AH31,IFERROR('VIC-1'!X31*1,0))</f>
        <v/>
      </c>
      <c r="E24" s="10">
        <f>IF(AND($B24="Forecast",N('QLD-1'!AH31)&gt;0),'QLD-1'!AH31,IFERROR('QLD-1'!X31*1,0))</f>
        <v/>
      </c>
      <c r="F24" s="10">
        <f>IF(AND($B24="Forecast",N('NSW-2'!AH31)&gt;0),'NSW-2'!AH31,IFERROR('NSW-2'!X31*1,0))</f>
        <v/>
      </c>
      <c r="G24" s="10">
        <f>IF(AND($B24="Forecast",N('VIC-2'!AH31)&gt;0),'VIC-2'!AH31,IFERROR('VIC-2'!X31*1,0))</f>
        <v/>
      </c>
      <c r="H24" s="10">
        <f>IF(AND($B24="Forecast",N('QLD-2'!AH31)&gt;0),'QLD-2'!AH31,IFERROR('QLD-2'!X31*1,0))</f>
        <v/>
      </c>
      <c r="I24" s="10">
        <f>IF(AND($B24="Forecast",N('SA-1'!AH31)&gt;0),'SA-1'!AH31,IFERROR('SA-1'!X31*1,0))</f>
        <v/>
      </c>
      <c r="J24" s="10">
        <f>IF(AND($B24="Forecast",N('WA-1'!AH31)&gt;0),'WA-1'!AH31,IFERROR('WA-1'!X31*1,0))</f>
        <v/>
      </c>
      <c r="K24" s="10">
        <f>IF(AND($B24="Forecast",N('IDC-NSW'!AH31)&gt;0),'IDC-NSW'!AH31,IFERROR('IDC-NSW'!X31*1,0))</f>
        <v/>
      </c>
      <c r="L24" s="10">
        <f>IF(AND($B24="Forecast",N('IDC-VIC'!AH31)&gt;0),'IDC-VIC'!AH31,IFERROR('IDC-VIC'!X31*1,0))</f>
        <v/>
      </c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J24" s="14">
        <f>IF($B24="Actual",C24,IF(Y24&lt;&gt;"",Y24,C24+N(N24)))</f>
        <v/>
      </c>
      <c r="AK24" s="14">
        <f>IF($B24="Actual",D24,IF(Z24&lt;&gt;"",Z24,D24+N(O24)))</f>
        <v/>
      </c>
      <c r="AL24" s="14">
        <f>IF($B24="Actual",E24,IF(AA24&lt;&gt;"",AA24,E24+N(P24)))</f>
        <v/>
      </c>
      <c r="AM24" s="14">
        <f>IF($B24="Actual",F24,IF(AB24&lt;&gt;"",AB24,F24+N(Q24)))</f>
        <v/>
      </c>
      <c r="AN24" s="14">
        <f>IF($B24="Actual",G24,IF(AC24&lt;&gt;"",AC24,G24+N(R24)))</f>
        <v/>
      </c>
      <c r="AO24" s="14">
        <f>IF($B24="Actual",H24,IF(AD24&lt;&gt;"",AD24,H24+N(S24)))</f>
        <v/>
      </c>
      <c r="AP24" s="14">
        <f>IF($B24="Actual",I24,IF(AE24&lt;&gt;"",AE24,I24+N(T24)))</f>
        <v/>
      </c>
      <c r="AQ24" s="14">
        <f>IF($B24="Actual",J24,IF(AF24&lt;&gt;"",AF24,J24+N(U24)))</f>
        <v/>
      </c>
      <c r="AR24" s="14">
        <f>IF($B24="Actual",K24,IF(AG24&lt;&gt;"",AG24,K24+N(V24)))</f>
        <v/>
      </c>
      <c r="AS24" s="14">
        <f>IF($B24="Actual",L24,IF(AH24&lt;&gt;"",AH24,L24+N(W24)))</f>
        <v/>
      </c>
    </row>
    <row r="25">
      <c r="A25" s="8" t="n">
        <v>46174</v>
      </c>
      <c r="B25">
        <f>IF(A25&lt;=LastActual,"Actual","Forecast")</f>
        <v/>
      </c>
      <c r="C25" s="10">
        <f>IF(AND($B25="Forecast",N('NSW-1'!AH32)&gt;0),'NSW-1'!AH32,IFERROR('NSW-1'!X32*1,0))</f>
        <v/>
      </c>
      <c r="D25" s="10">
        <f>IF(AND($B25="Forecast",N('VIC-1'!AH32)&gt;0),'VIC-1'!AH32,IFERROR('VIC-1'!X32*1,0))</f>
        <v/>
      </c>
      <c r="E25" s="10">
        <f>IF(AND($B25="Forecast",N('QLD-1'!AH32)&gt;0),'QLD-1'!AH32,IFERROR('QLD-1'!X32*1,0))</f>
        <v/>
      </c>
      <c r="F25" s="10">
        <f>IF(AND($B25="Forecast",N('NSW-2'!AH32)&gt;0),'NSW-2'!AH32,IFERROR('NSW-2'!X32*1,0))</f>
        <v/>
      </c>
      <c r="G25" s="10">
        <f>IF(AND($B25="Forecast",N('VIC-2'!AH32)&gt;0),'VIC-2'!AH32,IFERROR('VIC-2'!X32*1,0))</f>
        <v/>
      </c>
      <c r="H25" s="10">
        <f>IF(AND($B25="Forecast",N('QLD-2'!AH32)&gt;0),'QLD-2'!AH32,IFERROR('QLD-2'!X32*1,0))</f>
        <v/>
      </c>
      <c r="I25" s="10">
        <f>IF(AND($B25="Forecast",N('SA-1'!AH32)&gt;0),'SA-1'!AH32,IFERROR('SA-1'!X32*1,0))</f>
        <v/>
      </c>
      <c r="J25" s="10">
        <f>IF(AND($B25="Forecast",N('WA-1'!AH32)&gt;0),'WA-1'!AH32,IFERROR('WA-1'!X32*1,0))</f>
        <v/>
      </c>
      <c r="K25" s="10">
        <f>IF(AND($B25="Forecast",N('IDC-NSW'!AH32)&gt;0),'IDC-NSW'!AH32,IFERROR('IDC-NSW'!X32*1,0))</f>
        <v/>
      </c>
      <c r="L25" s="10">
        <f>IF(AND($B25="Forecast",N('IDC-VIC'!AH32)&gt;0),'IDC-VIC'!AH32,IFERROR('IDC-VIC'!X32*1,0))</f>
        <v/>
      </c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J25" s="14">
        <f>IF($B25="Actual",C25,IF(Y25&lt;&gt;"",Y25,C25+N(N25)))</f>
        <v/>
      </c>
      <c r="AK25" s="14">
        <f>IF($B25="Actual",D25,IF(Z25&lt;&gt;"",Z25,D25+N(O25)))</f>
        <v/>
      </c>
      <c r="AL25" s="14">
        <f>IF($B25="Actual",E25,IF(AA25&lt;&gt;"",AA25,E25+N(P25)))</f>
        <v/>
      </c>
      <c r="AM25" s="14">
        <f>IF($B25="Actual",F25,IF(AB25&lt;&gt;"",AB25,F25+N(Q25)))</f>
        <v/>
      </c>
      <c r="AN25" s="14">
        <f>IF($B25="Actual",G25,IF(AC25&lt;&gt;"",AC25,G25+N(R25)))</f>
        <v/>
      </c>
      <c r="AO25" s="14">
        <f>IF($B25="Actual",H25,IF(AD25&lt;&gt;"",AD25,H25+N(S25)))</f>
        <v/>
      </c>
      <c r="AP25" s="14">
        <f>IF($B25="Actual",I25,IF(AE25&lt;&gt;"",AE25,I25+N(T25)))</f>
        <v/>
      </c>
      <c r="AQ25" s="14">
        <f>IF($B25="Actual",J25,IF(AF25&lt;&gt;"",AF25,J25+N(U25)))</f>
        <v/>
      </c>
      <c r="AR25" s="14">
        <f>IF($B25="Actual",K25,IF(AG25&lt;&gt;"",AG25,K25+N(V25)))</f>
        <v/>
      </c>
      <c r="AS25" s="14">
        <f>IF($B25="Actual",L25,IF(AH25&lt;&gt;"",AH25,L25+N(W25)))</f>
        <v/>
      </c>
    </row>
    <row r="26">
      <c r="A26" s="8" t="n">
        <v>46204</v>
      </c>
      <c r="B26">
        <f>IF(A26&lt;=LastActual,"Actual","Forecast")</f>
        <v/>
      </c>
      <c r="C26" s="10">
        <f>IF(AND($B26="Forecast",N('NSW-1'!AH33)&gt;0),'NSW-1'!AH33,IFERROR('NSW-1'!X33*1,0))</f>
        <v/>
      </c>
      <c r="D26" s="10">
        <f>IF(AND($B26="Forecast",N('VIC-1'!AH33)&gt;0),'VIC-1'!AH33,IFERROR('VIC-1'!X33*1,0))</f>
        <v/>
      </c>
      <c r="E26" s="10">
        <f>IF(AND($B26="Forecast",N('QLD-1'!AH33)&gt;0),'QLD-1'!AH33,IFERROR('QLD-1'!X33*1,0))</f>
        <v/>
      </c>
      <c r="F26" s="10">
        <f>IF(AND($B26="Forecast",N('NSW-2'!AH33)&gt;0),'NSW-2'!AH33,IFERROR('NSW-2'!X33*1,0))</f>
        <v/>
      </c>
      <c r="G26" s="10">
        <f>IF(AND($B26="Forecast",N('VIC-2'!AH33)&gt;0),'VIC-2'!AH33,IFERROR('VIC-2'!X33*1,0))</f>
        <v/>
      </c>
      <c r="H26" s="10">
        <f>IF(AND($B26="Forecast",N('QLD-2'!AH33)&gt;0),'QLD-2'!AH33,IFERROR('QLD-2'!X33*1,0))</f>
        <v/>
      </c>
      <c r="I26" s="10">
        <f>IF(AND($B26="Forecast",N('SA-1'!AH33)&gt;0),'SA-1'!AH33,IFERROR('SA-1'!X33*1,0))</f>
        <v/>
      </c>
      <c r="J26" s="10">
        <f>IF(AND($B26="Forecast",N('WA-1'!AH33)&gt;0),'WA-1'!AH33,IFERROR('WA-1'!X33*1,0))</f>
        <v/>
      </c>
      <c r="K26" s="10">
        <f>IF(AND($B26="Forecast",N('IDC-NSW'!AH33)&gt;0),'IDC-NSW'!AH33,IFERROR('IDC-NSW'!X33*1,0))</f>
        <v/>
      </c>
      <c r="L26" s="10">
        <f>IF(AND($B26="Forecast",N('IDC-VIC'!AH33)&gt;0),'IDC-VIC'!AH33,IFERROR('IDC-VIC'!X33*1,0))</f>
        <v/>
      </c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J26" s="14">
        <f>IF($B26="Actual",C26,IF(Y26&lt;&gt;"",Y26,C26+N(N26)))</f>
        <v/>
      </c>
      <c r="AK26" s="14">
        <f>IF($B26="Actual",D26,IF(Z26&lt;&gt;"",Z26,D26+N(O26)))</f>
        <v/>
      </c>
      <c r="AL26" s="14">
        <f>IF($B26="Actual",E26,IF(AA26&lt;&gt;"",AA26,E26+N(P26)))</f>
        <v/>
      </c>
      <c r="AM26" s="14">
        <f>IF($B26="Actual",F26,IF(AB26&lt;&gt;"",AB26,F26+N(Q26)))</f>
        <v/>
      </c>
      <c r="AN26" s="14">
        <f>IF($B26="Actual",G26,IF(AC26&lt;&gt;"",AC26,G26+N(R26)))</f>
        <v/>
      </c>
      <c r="AO26" s="14">
        <f>IF($B26="Actual",H26,IF(AD26&lt;&gt;"",AD26,H26+N(S26)))</f>
        <v/>
      </c>
      <c r="AP26" s="14">
        <f>IF($B26="Actual",I26,IF(AE26&lt;&gt;"",AE26,I26+N(T26)))</f>
        <v/>
      </c>
      <c r="AQ26" s="14">
        <f>IF($B26="Actual",J26,IF(AF26&lt;&gt;"",AF26,J26+N(U26)))</f>
        <v/>
      </c>
      <c r="AR26" s="14">
        <f>IF($B26="Actual",K26,IF(AG26&lt;&gt;"",AG26,K26+N(V26)))</f>
        <v/>
      </c>
      <c r="AS26" s="14">
        <f>IF($B26="Actual",L26,IF(AH26&lt;&gt;"",AH26,L26+N(W26)))</f>
        <v/>
      </c>
    </row>
    <row r="27">
      <c r="A27" s="8" t="n">
        <v>46235</v>
      </c>
      <c r="B27">
        <f>IF(A27&lt;=LastActual,"Actual","Forecast")</f>
        <v/>
      </c>
      <c r="C27" s="10">
        <f>IF(AND($B27="Forecast",N('NSW-1'!AH34)&gt;0),'NSW-1'!AH34,IFERROR('NSW-1'!X34*1,0))</f>
        <v/>
      </c>
      <c r="D27" s="10">
        <f>IF(AND($B27="Forecast",N('VIC-1'!AH34)&gt;0),'VIC-1'!AH34,IFERROR('VIC-1'!X34*1,0))</f>
        <v/>
      </c>
      <c r="E27" s="10">
        <f>IF(AND($B27="Forecast",N('QLD-1'!AH34)&gt;0),'QLD-1'!AH34,IFERROR('QLD-1'!X34*1,0))</f>
        <v/>
      </c>
      <c r="F27" s="10">
        <f>IF(AND($B27="Forecast",N('NSW-2'!AH34)&gt;0),'NSW-2'!AH34,IFERROR('NSW-2'!X34*1,0))</f>
        <v/>
      </c>
      <c r="G27" s="10">
        <f>IF(AND($B27="Forecast",N('VIC-2'!AH34)&gt;0),'VIC-2'!AH34,IFERROR('VIC-2'!X34*1,0))</f>
        <v/>
      </c>
      <c r="H27" s="10">
        <f>IF(AND($B27="Forecast",N('QLD-2'!AH34)&gt;0),'QLD-2'!AH34,IFERROR('QLD-2'!X34*1,0))</f>
        <v/>
      </c>
      <c r="I27" s="10">
        <f>IF(AND($B27="Forecast",N('SA-1'!AH34)&gt;0),'SA-1'!AH34,IFERROR('SA-1'!X34*1,0))</f>
        <v/>
      </c>
      <c r="J27" s="10">
        <f>IF(AND($B27="Forecast",N('WA-1'!AH34)&gt;0),'WA-1'!AH34,IFERROR('WA-1'!X34*1,0))</f>
        <v/>
      </c>
      <c r="K27" s="10">
        <f>IF(AND($B27="Forecast",N('IDC-NSW'!AH34)&gt;0),'IDC-NSW'!AH34,IFERROR('IDC-NSW'!X34*1,0))</f>
        <v/>
      </c>
      <c r="L27" s="10">
        <f>IF(AND($B27="Forecast",N('IDC-VIC'!AH34)&gt;0),'IDC-VIC'!AH34,IFERROR('IDC-VIC'!X34*1,0))</f>
        <v/>
      </c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J27" s="14">
        <f>IF($B27="Actual",C27,IF(Y27&lt;&gt;"",Y27,C27+N(N27)))</f>
        <v/>
      </c>
      <c r="AK27" s="14">
        <f>IF($B27="Actual",D27,IF(Z27&lt;&gt;"",Z27,D27+N(O27)))</f>
        <v/>
      </c>
      <c r="AL27" s="14">
        <f>IF($B27="Actual",E27,IF(AA27&lt;&gt;"",AA27,E27+N(P27)))</f>
        <v/>
      </c>
      <c r="AM27" s="14">
        <f>IF($B27="Actual",F27,IF(AB27&lt;&gt;"",AB27,F27+N(Q27)))</f>
        <v/>
      </c>
      <c r="AN27" s="14">
        <f>IF($B27="Actual",G27,IF(AC27&lt;&gt;"",AC27,G27+N(R27)))</f>
        <v/>
      </c>
      <c r="AO27" s="14">
        <f>IF($B27="Actual",H27,IF(AD27&lt;&gt;"",AD27,H27+N(S27)))</f>
        <v/>
      </c>
      <c r="AP27" s="14">
        <f>IF($B27="Actual",I27,IF(AE27&lt;&gt;"",AE27,I27+N(T27)))</f>
        <v/>
      </c>
      <c r="AQ27" s="14">
        <f>IF($B27="Actual",J27,IF(AF27&lt;&gt;"",AF27,J27+N(U27)))</f>
        <v/>
      </c>
      <c r="AR27" s="14">
        <f>IF($B27="Actual",K27,IF(AG27&lt;&gt;"",AG27,K27+N(V27)))</f>
        <v/>
      </c>
      <c r="AS27" s="14">
        <f>IF($B27="Actual",L27,IF(AH27&lt;&gt;"",AH27,L27+N(W27)))</f>
        <v/>
      </c>
    </row>
    <row r="28">
      <c r="A28" s="8" t="n">
        <v>46266</v>
      </c>
      <c r="B28">
        <f>IF(A28&lt;=LastActual,"Actual","Forecast")</f>
        <v/>
      </c>
      <c r="C28" s="10">
        <f>IF(AND($B28="Forecast",N('NSW-1'!AH35)&gt;0),'NSW-1'!AH35,IFERROR('NSW-1'!X35*1,0))</f>
        <v/>
      </c>
      <c r="D28" s="10">
        <f>IF(AND($B28="Forecast",N('VIC-1'!AH35)&gt;0),'VIC-1'!AH35,IFERROR('VIC-1'!X35*1,0))</f>
        <v/>
      </c>
      <c r="E28" s="10">
        <f>IF(AND($B28="Forecast",N('QLD-1'!AH35)&gt;0),'QLD-1'!AH35,IFERROR('QLD-1'!X35*1,0))</f>
        <v/>
      </c>
      <c r="F28" s="10">
        <f>IF(AND($B28="Forecast",N('NSW-2'!AH35)&gt;0),'NSW-2'!AH35,IFERROR('NSW-2'!X35*1,0))</f>
        <v/>
      </c>
      <c r="G28" s="10">
        <f>IF(AND($B28="Forecast",N('VIC-2'!AH35)&gt;0),'VIC-2'!AH35,IFERROR('VIC-2'!X35*1,0))</f>
        <v/>
      </c>
      <c r="H28" s="10">
        <f>IF(AND($B28="Forecast",N('QLD-2'!AH35)&gt;0),'QLD-2'!AH35,IFERROR('QLD-2'!X35*1,0))</f>
        <v/>
      </c>
      <c r="I28" s="10">
        <f>IF(AND($B28="Forecast",N('SA-1'!AH35)&gt;0),'SA-1'!AH35,IFERROR('SA-1'!X35*1,0))</f>
        <v/>
      </c>
      <c r="J28" s="10">
        <f>IF(AND($B28="Forecast",N('WA-1'!AH35)&gt;0),'WA-1'!AH35,IFERROR('WA-1'!X35*1,0))</f>
        <v/>
      </c>
      <c r="K28" s="10">
        <f>IF(AND($B28="Forecast",N('IDC-NSW'!AH35)&gt;0),'IDC-NSW'!AH35,IFERROR('IDC-NSW'!X35*1,0))</f>
        <v/>
      </c>
      <c r="L28" s="10">
        <f>IF(AND($B28="Forecast",N('IDC-VIC'!AH35)&gt;0),'IDC-VIC'!AH35,IFERROR('IDC-VIC'!X35*1,0))</f>
        <v/>
      </c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J28" s="14">
        <f>IF($B28="Actual",C28,IF(Y28&lt;&gt;"",Y28,C28+N(N28)))</f>
        <v/>
      </c>
      <c r="AK28" s="14">
        <f>IF($B28="Actual",D28,IF(Z28&lt;&gt;"",Z28,D28+N(O28)))</f>
        <v/>
      </c>
      <c r="AL28" s="14">
        <f>IF($B28="Actual",E28,IF(AA28&lt;&gt;"",AA28,E28+N(P28)))</f>
        <v/>
      </c>
      <c r="AM28" s="14">
        <f>IF($B28="Actual",F28,IF(AB28&lt;&gt;"",AB28,F28+N(Q28)))</f>
        <v/>
      </c>
      <c r="AN28" s="14">
        <f>IF($B28="Actual",G28,IF(AC28&lt;&gt;"",AC28,G28+N(R28)))</f>
        <v/>
      </c>
      <c r="AO28" s="14">
        <f>IF($B28="Actual",H28,IF(AD28&lt;&gt;"",AD28,H28+N(S28)))</f>
        <v/>
      </c>
      <c r="AP28" s="14">
        <f>IF($B28="Actual",I28,IF(AE28&lt;&gt;"",AE28,I28+N(T28)))</f>
        <v/>
      </c>
      <c r="AQ28" s="14">
        <f>IF($B28="Actual",J28,IF(AF28&lt;&gt;"",AF28,J28+N(U28)))</f>
        <v/>
      </c>
      <c r="AR28" s="14">
        <f>IF($B28="Actual",K28,IF(AG28&lt;&gt;"",AG28,K28+N(V28)))</f>
        <v/>
      </c>
      <c r="AS28" s="14">
        <f>IF($B28="Actual",L28,IF(AH28&lt;&gt;"",AH28,L28+N(W28)))</f>
        <v/>
      </c>
    </row>
    <row r="29">
      <c r="A29" s="8" t="n">
        <v>46296</v>
      </c>
      <c r="B29">
        <f>IF(A29&lt;=LastActual,"Actual","Forecast")</f>
        <v/>
      </c>
      <c r="C29" s="10">
        <f>IF(AND($B29="Forecast",N('NSW-1'!AH36)&gt;0),'NSW-1'!AH36,IFERROR('NSW-1'!X36*1,0))</f>
        <v/>
      </c>
      <c r="D29" s="10">
        <f>IF(AND($B29="Forecast",N('VIC-1'!AH36)&gt;0),'VIC-1'!AH36,IFERROR('VIC-1'!X36*1,0))</f>
        <v/>
      </c>
      <c r="E29" s="10">
        <f>IF(AND($B29="Forecast",N('QLD-1'!AH36)&gt;0),'QLD-1'!AH36,IFERROR('QLD-1'!X36*1,0))</f>
        <v/>
      </c>
      <c r="F29" s="10">
        <f>IF(AND($B29="Forecast",N('NSW-2'!AH36)&gt;0),'NSW-2'!AH36,IFERROR('NSW-2'!X36*1,0))</f>
        <v/>
      </c>
      <c r="G29" s="10">
        <f>IF(AND($B29="Forecast",N('VIC-2'!AH36)&gt;0),'VIC-2'!AH36,IFERROR('VIC-2'!X36*1,0))</f>
        <v/>
      </c>
      <c r="H29" s="10">
        <f>IF(AND($B29="Forecast",N('QLD-2'!AH36)&gt;0),'QLD-2'!AH36,IFERROR('QLD-2'!X36*1,0))</f>
        <v/>
      </c>
      <c r="I29" s="10">
        <f>IF(AND($B29="Forecast",N('SA-1'!AH36)&gt;0),'SA-1'!AH36,IFERROR('SA-1'!X36*1,0))</f>
        <v/>
      </c>
      <c r="J29" s="10">
        <f>IF(AND($B29="Forecast",N('WA-1'!AH36)&gt;0),'WA-1'!AH36,IFERROR('WA-1'!X36*1,0))</f>
        <v/>
      </c>
      <c r="K29" s="10">
        <f>IF(AND($B29="Forecast",N('IDC-NSW'!AH36)&gt;0),'IDC-NSW'!AH36,IFERROR('IDC-NSW'!X36*1,0))</f>
        <v/>
      </c>
      <c r="L29" s="10">
        <f>IF(AND($B29="Forecast",N('IDC-VIC'!AH36)&gt;0),'IDC-VIC'!AH36,IFERROR('IDC-VIC'!X36*1,0))</f>
        <v/>
      </c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J29" s="14">
        <f>IF($B29="Actual",C29,IF(Y29&lt;&gt;"",Y29,C29+N(N29)))</f>
        <v/>
      </c>
      <c r="AK29" s="14">
        <f>IF($B29="Actual",D29,IF(Z29&lt;&gt;"",Z29,D29+N(O29)))</f>
        <v/>
      </c>
      <c r="AL29" s="14">
        <f>IF($B29="Actual",E29,IF(AA29&lt;&gt;"",AA29,E29+N(P29)))</f>
        <v/>
      </c>
      <c r="AM29" s="14">
        <f>IF($B29="Actual",F29,IF(AB29&lt;&gt;"",AB29,F29+N(Q29)))</f>
        <v/>
      </c>
      <c r="AN29" s="14">
        <f>IF($B29="Actual",G29,IF(AC29&lt;&gt;"",AC29,G29+N(R29)))</f>
        <v/>
      </c>
      <c r="AO29" s="14">
        <f>IF($B29="Actual",H29,IF(AD29&lt;&gt;"",AD29,H29+N(S29)))</f>
        <v/>
      </c>
      <c r="AP29" s="14">
        <f>IF($B29="Actual",I29,IF(AE29&lt;&gt;"",AE29,I29+N(T29)))</f>
        <v/>
      </c>
      <c r="AQ29" s="14">
        <f>IF($B29="Actual",J29,IF(AF29&lt;&gt;"",AF29,J29+N(U29)))</f>
        <v/>
      </c>
      <c r="AR29" s="14">
        <f>IF($B29="Actual",K29,IF(AG29&lt;&gt;"",AG29,K29+N(V29)))</f>
        <v/>
      </c>
      <c r="AS29" s="14">
        <f>IF($B29="Actual",L29,IF(AH29&lt;&gt;"",AH29,L29+N(W29)))</f>
        <v/>
      </c>
    </row>
    <row r="30">
      <c r="A30" s="8" t="n">
        <v>46327</v>
      </c>
      <c r="B30">
        <f>IF(A30&lt;=LastActual,"Actual","Forecast")</f>
        <v/>
      </c>
      <c r="C30" s="10">
        <f>IF(AND($B30="Forecast",N('NSW-1'!AH37)&gt;0),'NSW-1'!AH37,IFERROR('NSW-1'!X37*1,0))</f>
        <v/>
      </c>
      <c r="D30" s="10">
        <f>IF(AND($B30="Forecast",N('VIC-1'!AH37)&gt;0),'VIC-1'!AH37,IFERROR('VIC-1'!X37*1,0))</f>
        <v/>
      </c>
      <c r="E30" s="10">
        <f>IF(AND($B30="Forecast",N('QLD-1'!AH37)&gt;0),'QLD-1'!AH37,IFERROR('QLD-1'!X37*1,0))</f>
        <v/>
      </c>
      <c r="F30" s="10">
        <f>IF(AND($B30="Forecast",N('NSW-2'!AH37)&gt;0),'NSW-2'!AH37,IFERROR('NSW-2'!X37*1,0))</f>
        <v/>
      </c>
      <c r="G30" s="10">
        <f>IF(AND($B30="Forecast",N('VIC-2'!AH37)&gt;0),'VIC-2'!AH37,IFERROR('VIC-2'!X37*1,0))</f>
        <v/>
      </c>
      <c r="H30" s="10">
        <f>IF(AND($B30="Forecast",N('QLD-2'!AH37)&gt;0),'QLD-2'!AH37,IFERROR('QLD-2'!X37*1,0))</f>
        <v/>
      </c>
      <c r="I30" s="10">
        <f>IF(AND($B30="Forecast",N('SA-1'!AH37)&gt;0),'SA-1'!AH37,IFERROR('SA-1'!X37*1,0))</f>
        <v/>
      </c>
      <c r="J30" s="10">
        <f>IF(AND($B30="Forecast",N('WA-1'!AH37)&gt;0),'WA-1'!AH37,IFERROR('WA-1'!X37*1,0))</f>
        <v/>
      </c>
      <c r="K30" s="10">
        <f>IF(AND($B30="Forecast",N('IDC-NSW'!AH37)&gt;0),'IDC-NSW'!AH37,IFERROR('IDC-NSW'!X37*1,0))</f>
        <v/>
      </c>
      <c r="L30" s="10">
        <f>IF(AND($B30="Forecast",N('IDC-VIC'!AH37)&gt;0),'IDC-VIC'!AH37,IFERROR('IDC-VIC'!X37*1,0))</f>
        <v/>
      </c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J30" s="14">
        <f>IF($B30="Actual",C30,IF(Y30&lt;&gt;"",Y30,C30+N(N30)))</f>
        <v/>
      </c>
      <c r="AK30" s="14">
        <f>IF($B30="Actual",D30,IF(Z30&lt;&gt;"",Z30,D30+N(O30)))</f>
        <v/>
      </c>
      <c r="AL30" s="14">
        <f>IF($B30="Actual",E30,IF(AA30&lt;&gt;"",AA30,E30+N(P30)))</f>
        <v/>
      </c>
      <c r="AM30" s="14">
        <f>IF($B30="Actual",F30,IF(AB30&lt;&gt;"",AB30,F30+N(Q30)))</f>
        <v/>
      </c>
      <c r="AN30" s="14">
        <f>IF($B30="Actual",G30,IF(AC30&lt;&gt;"",AC30,G30+N(R30)))</f>
        <v/>
      </c>
      <c r="AO30" s="14">
        <f>IF($B30="Actual",H30,IF(AD30&lt;&gt;"",AD30,H30+N(S30)))</f>
        <v/>
      </c>
      <c r="AP30" s="14">
        <f>IF($B30="Actual",I30,IF(AE30&lt;&gt;"",AE30,I30+N(T30)))</f>
        <v/>
      </c>
      <c r="AQ30" s="14">
        <f>IF($B30="Actual",J30,IF(AF30&lt;&gt;"",AF30,J30+N(U30)))</f>
        <v/>
      </c>
      <c r="AR30" s="14">
        <f>IF($B30="Actual",K30,IF(AG30&lt;&gt;"",AG30,K30+N(V30)))</f>
        <v/>
      </c>
      <c r="AS30" s="14">
        <f>IF($B30="Actual",L30,IF(AH30&lt;&gt;"",AH30,L30+N(W30)))</f>
        <v/>
      </c>
    </row>
    <row r="31">
      <c r="A31" s="8" t="n">
        <v>46357</v>
      </c>
      <c r="B31">
        <f>IF(A31&lt;=LastActual,"Actual","Forecast")</f>
        <v/>
      </c>
      <c r="C31" s="10">
        <f>IF(AND($B31="Forecast",N('NSW-1'!AH38)&gt;0),'NSW-1'!AH38,IFERROR('NSW-1'!X38*1,0))</f>
        <v/>
      </c>
      <c r="D31" s="10">
        <f>IF(AND($B31="Forecast",N('VIC-1'!AH38)&gt;0),'VIC-1'!AH38,IFERROR('VIC-1'!X38*1,0))</f>
        <v/>
      </c>
      <c r="E31" s="10">
        <f>IF(AND($B31="Forecast",N('QLD-1'!AH38)&gt;0),'QLD-1'!AH38,IFERROR('QLD-1'!X38*1,0))</f>
        <v/>
      </c>
      <c r="F31" s="10">
        <f>IF(AND($B31="Forecast",N('NSW-2'!AH38)&gt;0),'NSW-2'!AH38,IFERROR('NSW-2'!X38*1,0))</f>
        <v/>
      </c>
      <c r="G31" s="10">
        <f>IF(AND($B31="Forecast",N('VIC-2'!AH38)&gt;0),'VIC-2'!AH38,IFERROR('VIC-2'!X38*1,0))</f>
        <v/>
      </c>
      <c r="H31" s="10">
        <f>IF(AND($B31="Forecast",N('QLD-2'!AH38)&gt;0),'QLD-2'!AH38,IFERROR('QLD-2'!X38*1,0))</f>
        <v/>
      </c>
      <c r="I31" s="10">
        <f>IF(AND($B31="Forecast",N('SA-1'!AH38)&gt;0),'SA-1'!AH38,IFERROR('SA-1'!X38*1,0))</f>
        <v/>
      </c>
      <c r="J31" s="10">
        <f>IF(AND($B31="Forecast",N('WA-1'!AH38)&gt;0),'WA-1'!AH38,IFERROR('WA-1'!X38*1,0))</f>
        <v/>
      </c>
      <c r="K31" s="10">
        <f>IF(AND($B31="Forecast",N('IDC-NSW'!AH38)&gt;0),'IDC-NSW'!AH38,IFERROR('IDC-NSW'!X38*1,0))</f>
        <v/>
      </c>
      <c r="L31" s="10">
        <f>IF(AND($B31="Forecast",N('IDC-VIC'!AH38)&gt;0),'IDC-VIC'!AH38,IFERROR('IDC-VIC'!X38*1,0))</f>
        <v/>
      </c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J31" s="14">
        <f>IF($B31="Actual",C31,IF(Y31&lt;&gt;"",Y31,C31+N(N31)))</f>
        <v/>
      </c>
      <c r="AK31" s="14">
        <f>IF($B31="Actual",D31,IF(Z31&lt;&gt;"",Z31,D31+N(O31)))</f>
        <v/>
      </c>
      <c r="AL31" s="14">
        <f>IF($B31="Actual",E31,IF(AA31&lt;&gt;"",AA31,E31+N(P31)))</f>
        <v/>
      </c>
      <c r="AM31" s="14">
        <f>IF($B31="Actual",F31,IF(AB31&lt;&gt;"",AB31,F31+N(Q31)))</f>
        <v/>
      </c>
      <c r="AN31" s="14">
        <f>IF($B31="Actual",G31,IF(AC31&lt;&gt;"",AC31,G31+N(R31)))</f>
        <v/>
      </c>
      <c r="AO31" s="14">
        <f>IF($B31="Actual",H31,IF(AD31&lt;&gt;"",AD31,H31+N(S31)))</f>
        <v/>
      </c>
      <c r="AP31" s="14">
        <f>IF($B31="Actual",I31,IF(AE31&lt;&gt;"",AE31,I31+N(T31)))</f>
        <v/>
      </c>
      <c r="AQ31" s="14">
        <f>IF($B31="Actual",J31,IF(AF31&lt;&gt;"",AF31,J31+N(U31)))</f>
        <v/>
      </c>
      <c r="AR31" s="14">
        <f>IF($B31="Actual",K31,IF(AG31&lt;&gt;"",AG31,K31+N(V31)))</f>
        <v/>
      </c>
      <c r="AS31" s="14">
        <f>IF($B31="Actual",L31,IF(AH31&lt;&gt;"",AH31,L31+N(W31)))</f>
        <v/>
      </c>
    </row>
    <row r="32">
      <c r="A32" s="8" t="n">
        <v>46388</v>
      </c>
      <c r="B32">
        <f>IF(A32&lt;=LastActual,"Actual","Forecast")</f>
        <v/>
      </c>
      <c r="C32" s="10">
        <f>IF(AND($B32="Forecast",N('NSW-1'!AH39)&gt;0),'NSW-1'!AH39,IFERROR('NSW-1'!X39*1,0))</f>
        <v/>
      </c>
      <c r="D32" s="10">
        <f>IF(AND($B32="Forecast",N('VIC-1'!AH39)&gt;0),'VIC-1'!AH39,IFERROR('VIC-1'!X39*1,0))</f>
        <v/>
      </c>
      <c r="E32" s="10">
        <f>IF(AND($B32="Forecast",N('QLD-1'!AH39)&gt;0),'QLD-1'!AH39,IFERROR('QLD-1'!X39*1,0))</f>
        <v/>
      </c>
      <c r="F32" s="10">
        <f>IF(AND($B32="Forecast",N('NSW-2'!AH39)&gt;0),'NSW-2'!AH39,IFERROR('NSW-2'!X39*1,0))</f>
        <v/>
      </c>
      <c r="G32" s="10">
        <f>IF(AND($B32="Forecast",N('VIC-2'!AH39)&gt;0),'VIC-2'!AH39,IFERROR('VIC-2'!X39*1,0))</f>
        <v/>
      </c>
      <c r="H32" s="10">
        <f>IF(AND($B32="Forecast",N('QLD-2'!AH39)&gt;0),'QLD-2'!AH39,IFERROR('QLD-2'!X39*1,0))</f>
        <v/>
      </c>
      <c r="I32" s="10">
        <f>IF(AND($B32="Forecast",N('SA-1'!AH39)&gt;0),'SA-1'!AH39,IFERROR('SA-1'!X39*1,0))</f>
        <v/>
      </c>
      <c r="J32" s="10">
        <f>IF(AND($B32="Forecast",N('WA-1'!AH39)&gt;0),'WA-1'!AH39,IFERROR('WA-1'!X39*1,0))</f>
        <v/>
      </c>
      <c r="K32" s="10">
        <f>IF(AND($B32="Forecast",N('IDC-NSW'!AH39)&gt;0),'IDC-NSW'!AH39,IFERROR('IDC-NSW'!X39*1,0))</f>
        <v/>
      </c>
      <c r="L32" s="10">
        <f>IF(AND($B32="Forecast",N('IDC-VIC'!AH39)&gt;0),'IDC-VIC'!AH39,IFERROR('IDC-VIC'!X39*1,0))</f>
        <v/>
      </c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J32" s="14">
        <f>IF($B32="Actual",C32,IF(Y32&lt;&gt;"",Y32,C32+N(N32)))</f>
        <v/>
      </c>
      <c r="AK32" s="14">
        <f>IF($B32="Actual",D32,IF(Z32&lt;&gt;"",Z32,D32+N(O32)))</f>
        <v/>
      </c>
      <c r="AL32" s="14">
        <f>IF($B32="Actual",E32,IF(AA32&lt;&gt;"",AA32,E32+N(P32)))</f>
        <v/>
      </c>
      <c r="AM32" s="14">
        <f>IF($B32="Actual",F32,IF(AB32&lt;&gt;"",AB32,F32+N(Q32)))</f>
        <v/>
      </c>
      <c r="AN32" s="14">
        <f>IF($B32="Actual",G32,IF(AC32&lt;&gt;"",AC32,G32+N(R32)))</f>
        <v/>
      </c>
      <c r="AO32" s="14">
        <f>IF($B32="Actual",H32,IF(AD32&lt;&gt;"",AD32,H32+N(S32)))</f>
        <v/>
      </c>
      <c r="AP32" s="14">
        <f>IF($B32="Actual",I32,IF(AE32&lt;&gt;"",AE32,I32+N(T32)))</f>
        <v/>
      </c>
      <c r="AQ32" s="14">
        <f>IF($B32="Actual",J32,IF(AF32&lt;&gt;"",AF32,J32+N(U32)))</f>
        <v/>
      </c>
      <c r="AR32" s="14">
        <f>IF($B32="Actual",K32,IF(AG32&lt;&gt;"",AG32,K32+N(V32)))</f>
        <v/>
      </c>
      <c r="AS32" s="14">
        <f>IF($B32="Actual",L32,IF(AH32&lt;&gt;"",AH32,L32+N(W32)))</f>
        <v/>
      </c>
    </row>
    <row r="33">
      <c r="A33" s="8" t="n">
        <v>46419</v>
      </c>
      <c r="B33">
        <f>IF(A33&lt;=LastActual,"Actual","Forecast")</f>
        <v/>
      </c>
      <c r="C33" s="10">
        <f>IF(AND($B33="Forecast",N('NSW-1'!AH40)&gt;0),'NSW-1'!AH40,IFERROR('NSW-1'!X40*1,0))</f>
        <v/>
      </c>
      <c r="D33" s="10">
        <f>IF(AND($B33="Forecast",N('VIC-1'!AH40)&gt;0),'VIC-1'!AH40,IFERROR('VIC-1'!X40*1,0))</f>
        <v/>
      </c>
      <c r="E33" s="10">
        <f>IF(AND($B33="Forecast",N('QLD-1'!AH40)&gt;0),'QLD-1'!AH40,IFERROR('QLD-1'!X40*1,0))</f>
        <v/>
      </c>
      <c r="F33" s="10">
        <f>IF(AND($B33="Forecast",N('NSW-2'!AH40)&gt;0),'NSW-2'!AH40,IFERROR('NSW-2'!X40*1,0))</f>
        <v/>
      </c>
      <c r="G33" s="10">
        <f>IF(AND($B33="Forecast",N('VIC-2'!AH40)&gt;0),'VIC-2'!AH40,IFERROR('VIC-2'!X40*1,0))</f>
        <v/>
      </c>
      <c r="H33" s="10">
        <f>IF(AND($B33="Forecast",N('QLD-2'!AH40)&gt;0),'QLD-2'!AH40,IFERROR('QLD-2'!X40*1,0))</f>
        <v/>
      </c>
      <c r="I33" s="10">
        <f>IF(AND($B33="Forecast",N('SA-1'!AH40)&gt;0),'SA-1'!AH40,IFERROR('SA-1'!X40*1,0))</f>
        <v/>
      </c>
      <c r="J33" s="10">
        <f>IF(AND($B33="Forecast",N('WA-1'!AH40)&gt;0),'WA-1'!AH40,IFERROR('WA-1'!X40*1,0))</f>
        <v/>
      </c>
      <c r="K33" s="10">
        <f>IF(AND($B33="Forecast",N('IDC-NSW'!AH40)&gt;0),'IDC-NSW'!AH40,IFERROR('IDC-NSW'!X40*1,0))</f>
        <v/>
      </c>
      <c r="L33" s="10">
        <f>IF(AND($B33="Forecast",N('IDC-VIC'!AH40)&gt;0),'IDC-VIC'!AH40,IFERROR('IDC-VIC'!X40*1,0))</f>
        <v/>
      </c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J33" s="14">
        <f>IF($B33="Actual",C33,IF(Y33&lt;&gt;"",Y33,C33+N(N33)))</f>
        <v/>
      </c>
      <c r="AK33" s="14">
        <f>IF($B33="Actual",D33,IF(Z33&lt;&gt;"",Z33,D33+N(O33)))</f>
        <v/>
      </c>
      <c r="AL33" s="14">
        <f>IF($B33="Actual",E33,IF(AA33&lt;&gt;"",AA33,E33+N(P33)))</f>
        <v/>
      </c>
      <c r="AM33" s="14">
        <f>IF($B33="Actual",F33,IF(AB33&lt;&gt;"",AB33,F33+N(Q33)))</f>
        <v/>
      </c>
      <c r="AN33" s="14">
        <f>IF($B33="Actual",G33,IF(AC33&lt;&gt;"",AC33,G33+N(R33)))</f>
        <v/>
      </c>
      <c r="AO33" s="14">
        <f>IF($B33="Actual",H33,IF(AD33&lt;&gt;"",AD33,H33+N(S33)))</f>
        <v/>
      </c>
      <c r="AP33" s="14">
        <f>IF($B33="Actual",I33,IF(AE33&lt;&gt;"",AE33,I33+N(T33)))</f>
        <v/>
      </c>
      <c r="AQ33" s="14">
        <f>IF($B33="Actual",J33,IF(AF33&lt;&gt;"",AF33,J33+N(U33)))</f>
        <v/>
      </c>
      <c r="AR33" s="14">
        <f>IF($B33="Actual",K33,IF(AG33&lt;&gt;"",AG33,K33+N(V33)))</f>
        <v/>
      </c>
      <c r="AS33" s="14">
        <f>IF($B33="Actual",L33,IF(AH33&lt;&gt;"",AH33,L33+N(W33)))</f>
        <v/>
      </c>
    </row>
    <row r="34">
      <c r="A34" s="8" t="n">
        <v>46447</v>
      </c>
      <c r="B34">
        <f>IF(A34&lt;=LastActual,"Actual","Forecast")</f>
        <v/>
      </c>
      <c r="C34" s="10">
        <f>IF(AND($B34="Forecast",N('NSW-1'!AH41)&gt;0),'NSW-1'!AH41,IFERROR('NSW-1'!X41*1,0))</f>
        <v/>
      </c>
      <c r="D34" s="10">
        <f>IF(AND($B34="Forecast",N('VIC-1'!AH41)&gt;0),'VIC-1'!AH41,IFERROR('VIC-1'!X41*1,0))</f>
        <v/>
      </c>
      <c r="E34" s="10">
        <f>IF(AND($B34="Forecast",N('QLD-1'!AH41)&gt;0),'QLD-1'!AH41,IFERROR('QLD-1'!X41*1,0))</f>
        <v/>
      </c>
      <c r="F34" s="10">
        <f>IF(AND($B34="Forecast",N('NSW-2'!AH41)&gt;0),'NSW-2'!AH41,IFERROR('NSW-2'!X41*1,0))</f>
        <v/>
      </c>
      <c r="G34" s="10">
        <f>IF(AND($B34="Forecast",N('VIC-2'!AH41)&gt;0),'VIC-2'!AH41,IFERROR('VIC-2'!X41*1,0))</f>
        <v/>
      </c>
      <c r="H34" s="10">
        <f>IF(AND($B34="Forecast",N('QLD-2'!AH41)&gt;0),'QLD-2'!AH41,IFERROR('QLD-2'!X41*1,0))</f>
        <v/>
      </c>
      <c r="I34" s="10">
        <f>IF(AND($B34="Forecast",N('SA-1'!AH41)&gt;0),'SA-1'!AH41,IFERROR('SA-1'!X41*1,0))</f>
        <v/>
      </c>
      <c r="J34" s="10">
        <f>IF(AND($B34="Forecast",N('WA-1'!AH41)&gt;0),'WA-1'!AH41,IFERROR('WA-1'!X41*1,0))</f>
        <v/>
      </c>
      <c r="K34" s="10">
        <f>IF(AND($B34="Forecast",N('IDC-NSW'!AH41)&gt;0),'IDC-NSW'!AH41,IFERROR('IDC-NSW'!X41*1,0))</f>
        <v/>
      </c>
      <c r="L34" s="10">
        <f>IF(AND($B34="Forecast",N('IDC-VIC'!AH41)&gt;0),'IDC-VIC'!AH41,IFERROR('IDC-VIC'!X41*1,0))</f>
        <v/>
      </c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J34" s="14">
        <f>IF($B34="Actual",C34,IF(Y34&lt;&gt;"",Y34,C34+N(N34)))</f>
        <v/>
      </c>
      <c r="AK34" s="14">
        <f>IF($B34="Actual",D34,IF(Z34&lt;&gt;"",Z34,D34+N(O34)))</f>
        <v/>
      </c>
      <c r="AL34" s="14">
        <f>IF($B34="Actual",E34,IF(AA34&lt;&gt;"",AA34,E34+N(P34)))</f>
        <v/>
      </c>
      <c r="AM34" s="14">
        <f>IF($B34="Actual",F34,IF(AB34&lt;&gt;"",AB34,F34+N(Q34)))</f>
        <v/>
      </c>
      <c r="AN34" s="14">
        <f>IF($B34="Actual",G34,IF(AC34&lt;&gt;"",AC34,G34+N(R34)))</f>
        <v/>
      </c>
      <c r="AO34" s="14">
        <f>IF($B34="Actual",H34,IF(AD34&lt;&gt;"",AD34,H34+N(S34)))</f>
        <v/>
      </c>
      <c r="AP34" s="14">
        <f>IF($B34="Actual",I34,IF(AE34&lt;&gt;"",AE34,I34+N(T34)))</f>
        <v/>
      </c>
      <c r="AQ34" s="14">
        <f>IF($B34="Actual",J34,IF(AF34&lt;&gt;"",AF34,J34+N(U34)))</f>
        <v/>
      </c>
      <c r="AR34" s="14">
        <f>IF($B34="Actual",K34,IF(AG34&lt;&gt;"",AG34,K34+N(V34)))</f>
        <v/>
      </c>
      <c r="AS34" s="14">
        <f>IF($B34="Actual",L34,IF(AH34&lt;&gt;"",AH34,L34+N(W34)))</f>
        <v/>
      </c>
    </row>
    <row r="35">
      <c r="A35" s="8" t="n">
        <v>46478</v>
      </c>
      <c r="B35">
        <f>IF(A35&lt;=LastActual,"Actual","Forecast")</f>
        <v/>
      </c>
      <c r="C35" s="10">
        <f>IF(AND($B35="Forecast",N('NSW-1'!AH42)&gt;0),'NSW-1'!AH42,IFERROR('NSW-1'!X42*1,0))</f>
        <v/>
      </c>
      <c r="D35" s="10">
        <f>IF(AND($B35="Forecast",N('VIC-1'!AH42)&gt;0),'VIC-1'!AH42,IFERROR('VIC-1'!X42*1,0))</f>
        <v/>
      </c>
      <c r="E35" s="10">
        <f>IF(AND($B35="Forecast",N('QLD-1'!AH42)&gt;0),'QLD-1'!AH42,IFERROR('QLD-1'!X42*1,0))</f>
        <v/>
      </c>
      <c r="F35" s="10">
        <f>IF(AND($B35="Forecast",N('NSW-2'!AH42)&gt;0),'NSW-2'!AH42,IFERROR('NSW-2'!X42*1,0))</f>
        <v/>
      </c>
      <c r="G35" s="10">
        <f>IF(AND($B35="Forecast",N('VIC-2'!AH42)&gt;0),'VIC-2'!AH42,IFERROR('VIC-2'!X42*1,0))</f>
        <v/>
      </c>
      <c r="H35" s="10">
        <f>IF(AND($B35="Forecast",N('QLD-2'!AH42)&gt;0),'QLD-2'!AH42,IFERROR('QLD-2'!X42*1,0))</f>
        <v/>
      </c>
      <c r="I35" s="10">
        <f>IF(AND($B35="Forecast",N('SA-1'!AH42)&gt;0),'SA-1'!AH42,IFERROR('SA-1'!X42*1,0))</f>
        <v/>
      </c>
      <c r="J35" s="10">
        <f>IF(AND($B35="Forecast",N('WA-1'!AH42)&gt;0),'WA-1'!AH42,IFERROR('WA-1'!X42*1,0))</f>
        <v/>
      </c>
      <c r="K35" s="10">
        <f>IF(AND($B35="Forecast",N('IDC-NSW'!AH42)&gt;0),'IDC-NSW'!AH42,IFERROR('IDC-NSW'!X42*1,0))</f>
        <v/>
      </c>
      <c r="L35" s="10">
        <f>IF(AND($B35="Forecast",N('IDC-VIC'!AH42)&gt;0),'IDC-VIC'!AH42,IFERROR('IDC-VIC'!X42*1,0))</f>
        <v/>
      </c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J35" s="14">
        <f>IF($B35="Actual",C35,IF(Y35&lt;&gt;"",Y35,C35+N(N35)))</f>
        <v/>
      </c>
      <c r="AK35" s="14">
        <f>IF($B35="Actual",D35,IF(Z35&lt;&gt;"",Z35,D35+N(O35)))</f>
        <v/>
      </c>
      <c r="AL35" s="14">
        <f>IF($B35="Actual",E35,IF(AA35&lt;&gt;"",AA35,E35+N(P35)))</f>
        <v/>
      </c>
      <c r="AM35" s="14">
        <f>IF($B35="Actual",F35,IF(AB35&lt;&gt;"",AB35,F35+N(Q35)))</f>
        <v/>
      </c>
      <c r="AN35" s="14">
        <f>IF($B35="Actual",G35,IF(AC35&lt;&gt;"",AC35,G35+N(R35)))</f>
        <v/>
      </c>
      <c r="AO35" s="14">
        <f>IF($B35="Actual",H35,IF(AD35&lt;&gt;"",AD35,H35+N(S35)))</f>
        <v/>
      </c>
      <c r="AP35" s="14">
        <f>IF($B35="Actual",I35,IF(AE35&lt;&gt;"",AE35,I35+N(T35)))</f>
        <v/>
      </c>
      <c r="AQ35" s="14">
        <f>IF($B35="Actual",J35,IF(AF35&lt;&gt;"",AF35,J35+N(U35)))</f>
        <v/>
      </c>
      <c r="AR35" s="14">
        <f>IF($B35="Actual",K35,IF(AG35&lt;&gt;"",AG35,K35+N(V35)))</f>
        <v/>
      </c>
      <c r="AS35" s="14">
        <f>IF($B35="Actual",L35,IF(AH35&lt;&gt;"",AH35,L35+N(W35)))</f>
        <v/>
      </c>
    </row>
    <row r="36">
      <c r="A36" s="8" t="n">
        <v>46508</v>
      </c>
      <c r="B36">
        <f>IF(A36&lt;=LastActual,"Actual","Forecast")</f>
        <v/>
      </c>
      <c r="C36" s="10">
        <f>IF(AND($B36="Forecast",N('NSW-1'!AH43)&gt;0),'NSW-1'!AH43,IFERROR('NSW-1'!X43*1,0))</f>
        <v/>
      </c>
      <c r="D36" s="10">
        <f>IF(AND($B36="Forecast",N('VIC-1'!AH43)&gt;0),'VIC-1'!AH43,IFERROR('VIC-1'!X43*1,0))</f>
        <v/>
      </c>
      <c r="E36" s="10">
        <f>IF(AND($B36="Forecast",N('QLD-1'!AH43)&gt;0),'QLD-1'!AH43,IFERROR('QLD-1'!X43*1,0))</f>
        <v/>
      </c>
      <c r="F36" s="10">
        <f>IF(AND($B36="Forecast",N('NSW-2'!AH43)&gt;0),'NSW-2'!AH43,IFERROR('NSW-2'!X43*1,0))</f>
        <v/>
      </c>
      <c r="G36" s="10">
        <f>IF(AND($B36="Forecast",N('VIC-2'!AH43)&gt;0),'VIC-2'!AH43,IFERROR('VIC-2'!X43*1,0))</f>
        <v/>
      </c>
      <c r="H36" s="10">
        <f>IF(AND($B36="Forecast",N('QLD-2'!AH43)&gt;0),'QLD-2'!AH43,IFERROR('QLD-2'!X43*1,0))</f>
        <v/>
      </c>
      <c r="I36" s="10">
        <f>IF(AND($B36="Forecast",N('SA-1'!AH43)&gt;0),'SA-1'!AH43,IFERROR('SA-1'!X43*1,0))</f>
        <v/>
      </c>
      <c r="J36" s="10">
        <f>IF(AND($B36="Forecast",N('WA-1'!AH43)&gt;0),'WA-1'!AH43,IFERROR('WA-1'!X43*1,0))</f>
        <v/>
      </c>
      <c r="K36" s="10">
        <f>IF(AND($B36="Forecast",N('IDC-NSW'!AH43)&gt;0),'IDC-NSW'!AH43,IFERROR('IDC-NSW'!X43*1,0))</f>
        <v/>
      </c>
      <c r="L36" s="10">
        <f>IF(AND($B36="Forecast",N('IDC-VIC'!AH43)&gt;0),'IDC-VIC'!AH43,IFERROR('IDC-VIC'!X43*1,0))</f>
        <v/>
      </c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J36" s="14">
        <f>IF($B36="Actual",C36,IF(Y36&lt;&gt;"",Y36,C36+N(N36)))</f>
        <v/>
      </c>
      <c r="AK36" s="14">
        <f>IF($B36="Actual",D36,IF(Z36&lt;&gt;"",Z36,D36+N(O36)))</f>
        <v/>
      </c>
      <c r="AL36" s="14">
        <f>IF($B36="Actual",E36,IF(AA36&lt;&gt;"",AA36,E36+N(P36)))</f>
        <v/>
      </c>
      <c r="AM36" s="14">
        <f>IF($B36="Actual",F36,IF(AB36&lt;&gt;"",AB36,F36+N(Q36)))</f>
        <v/>
      </c>
      <c r="AN36" s="14">
        <f>IF($B36="Actual",G36,IF(AC36&lt;&gt;"",AC36,G36+N(R36)))</f>
        <v/>
      </c>
      <c r="AO36" s="14">
        <f>IF($B36="Actual",H36,IF(AD36&lt;&gt;"",AD36,H36+N(S36)))</f>
        <v/>
      </c>
      <c r="AP36" s="14">
        <f>IF($B36="Actual",I36,IF(AE36&lt;&gt;"",AE36,I36+N(T36)))</f>
        <v/>
      </c>
      <c r="AQ36" s="14">
        <f>IF($B36="Actual",J36,IF(AF36&lt;&gt;"",AF36,J36+N(U36)))</f>
        <v/>
      </c>
      <c r="AR36" s="14">
        <f>IF($B36="Actual",K36,IF(AG36&lt;&gt;"",AG36,K36+N(V36)))</f>
        <v/>
      </c>
      <c r="AS36" s="14">
        <f>IF($B36="Actual",L36,IF(AH36&lt;&gt;"",AH36,L36+N(W36)))</f>
        <v/>
      </c>
    </row>
    <row r="37">
      <c r="A37" s="8" t="n">
        <v>46539</v>
      </c>
      <c r="B37">
        <f>IF(A37&lt;=LastActual,"Actual","Forecast")</f>
        <v/>
      </c>
      <c r="C37" s="10">
        <f>IF(AND($B37="Forecast",N('NSW-1'!AH44)&gt;0),'NSW-1'!AH44,IFERROR('NSW-1'!X44*1,0))</f>
        <v/>
      </c>
      <c r="D37" s="10">
        <f>IF(AND($B37="Forecast",N('VIC-1'!AH44)&gt;0),'VIC-1'!AH44,IFERROR('VIC-1'!X44*1,0))</f>
        <v/>
      </c>
      <c r="E37" s="10">
        <f>IF(AND($B37="Forecast",N('QLD-1'!AH44)&gt;0),'QLD-1'!AH44,IFERROR('QLD-1'!X44*1,0))</f>
        <v/>
      </c>
      <c r="F37" s="10">
        <f>IF(AND($B37="Forecast",N('NSW-2'!AH44)&gt;0),'NSW-2'!AH44,IFERROR('NSW-2'!X44*1,0))</f>
        <v/>
      </c>
      <c r="G37" s="10">
        <f>IF(AND($B37="Forecast",N('VIC-2'!AH44)&gt;0),'VIC-2'!AH44,IFERROR('VIC-2'!X44*1,0))</f>
        <v/>
      </c>
      <c r="H37" s="10">
        <f>IF(AND($B37="Forecast",N('QLD-2'!AH44)&gt;0),'QLD-2'!AH44,IFERROR('QLD-2'!X44*1,0))</f>
        <v/>
      </c>
      <c r="I37" s="10">
        <f>IF(AND($B37="Forecast",N('SA-1'!AH44)&gt;0),'SA-1'!AH44,IFERROR('SA-1'!X44*1,0))</f>
        <v/>
      </c>
      <c r="J37" s="10">
        <f>IF(AND($B37="Forecast",N('WA-1'!AH44)&gt;0),'WA-1'!AH44,IFERROR('WA-1'!X44*1,0))</f>
        <v/>
      </c>
      <c r="K37" s="10">
        <f>IF(AND($B37="Forecast",N('IDC-NSW'!AH44)&gt;0),'IDC-NSW'!AH44,IFERROR('IDC-NSW'!X44*1,0))</f>
        <v/>
      </c>
      <c r="L37" s="10">
        <f>IF(AND($B37="Forecast",N('IDC-VIC'!AH44)&gt;0),'IDC-VIC'!AH44,IFERROR('IDC-VIC'!X44*1,0))</f>
        <v/>
      </c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J37" s="14">
        <f>IF($B37="Actual",C37,IF(Y37&lt;&gt;"",Y37,C37+N(N37)))</f>
        <v/>
      </c>
      <c r="AK37" s="14">
        <f>IF($B37="Actual",D37,IF(Z37&lt;&gt;"",Z37,D37+N(O37)))</f>
        <v/>
      </c>
      <c r="AL37" s="14">
        <f>IF($B37="Actual",E37,IF(AA37&lt;&gt;"",AA37,E37+N(P37)))</f>
        <v/>
      </c>
      <c r="AM37" s="14">
        <f>IF($B37="Actual",F37,IF(AB37&lt;&gt;"",AB37,F37+N(Q37)))</f>
        <v/>
      </c>
      <c r="AN37" s="14">
        <f>IF($B37="Actual",G37,IF(AC37&lt;&gt;"",AC37,G37+N(R37)))</f>
        <v/>
      </c>
      <c r="AO37" s="14">
        <f>IF($B37="Actual",H37,IF(AD37&lt;&gt;"",AD37,H37+N(S37)))</f>
        <v/>
      </c>
      <c r="AP37" s="14">
        <f>IF($B37="Actual",I37,IF(AE37&lt;&gt;"",AE37,I37+N(T37)))</f>
        <v/>
      </c>
      <c r="AQ37" s="14">
        <f>IF($B37="Actual",J37,IF(AF37&lt;&gt;"",AF37,J37+N(U37)))</f>
        <v/>
      </c>
      <c r="AR37" s="14">
        <f>IF($B37="Actual",K37,IF(AG37&lt;&gt;"",AG37,K37+N(V37)))</f>
        <v/>
      </c>
      <c r="AS37" s="14">
        <f>IF($B37="Actual",L37,IF(AH37&lt;&gt;"",AH37,L37+N(W37)))</f>
        <v/>
      </c>
    </row>
    <row r="38">
      <c r="A38" s="8" t="n">
        <v>46569</v>
      </c>
      <c r="B38">
        <f>IF(A38&lt;=LastActual,"Actual","Forecast")</f>
        <v/>
      </c>
      <c r="C38" s="10">
        <f>IF(AND($B38="Forecast",N('NSW-1'!AH45)&gt;0),'NSW-1'!AH45,IFERROR('NSW-1'!X45*1,0))</f>
        <v/>
      </c>
      <c r="D38" s="10">
        <f>IF(AND($B38="Forecast",N('VIC-1'!AH45)&gt;0),'VIC-1'!AH45,IFERROR('VIC-1'!X45*1,0))</f>
        <v/>
      </c>
      <c r="E38" s="10">
        <f>IF(AND($B38="Forecast",N('QLD-1'!AH45)&gt;0),'QLD-1'!AH45,IFERROR('QLD-1'!X45*1,0))</f>
        <v/>
      </c>
      <c r="F38" s="10">
        <f>IF(AND($B38="Forecast",N('NSW-2'!AH45)&gt;0),'NSW-2'!AH45,IFERROR('NSW-2'!X45*1,0))</f>
        <v/>
      </c>
      <c r="G38" s="10">
        <f>IF(AND($B38="Forecast",N('VIC-2'!AH45)&gt;0),'VIC-2'!AH45,IFERROR('VIC-2'!X45*1,0))</f>
        <v/>
      </c>
      <c r="H38" s="10">
        <f>IF(AND($B38="Forecast",N('QLD-2'!AH45)&gt;0),'QLD-2'!AH45,IFERROR('QLD-2'!X45*1,0))</f>
        <v/>
      </c>
      <c r="I38" s="10">
        <f>IF(AND($B38="Forecast",N('SA-1'!AH45)&gt;0),'SA-1'!AH45,IFERROR('SA-1'!X45*1,0))</f>
        <v/>
      </c>
      <c r="J38" s="10">
        <f>IF(AND($B38="Forecast",N('WA-1'!AH45)&gt;0),'WA-1'!AH45,IFERROR('WA-1'!X45*1,0))</f>
        <v/>
      </c>
      <c r="K38" s="10">
        <f>IF(AND($B38="Forecast",N('IDC-NSW'!AH45)&gt;0),'IDC-NSW'!AH45,IFERROR('IDC-NSW'!X45*1,0))</f>
        <v/>
      </c>
      <c r="L38" s="10">
        <f>IF(AND($B38="Forecast",N('IDC-VIC'!AH45)&gt;0),'IDC-VIC'!AH45,IFERROR('IDC-VIC'!X45*1,0))</f>
        <v/>
      </c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J38" s="14">
        <f>IF($B38="Actual",C38,IF(Y38&lt;&gt;"",Y38,C38+N(N38)))</f>
        <v/>
      </c>
      <c r="AK38" s="14">
        <f>IF($B38="Actual",D38,IF(Z38&lt;&gt;"",Z38,D38+N(O38)))</f>
        <v/>
      </c>
      <c r="AL38" s="14">
        <f>IF($B38="Actual",E38,IF(AA38&lt;&gt;"",AA38,E38+N(P38)))</f>
        <v/>
      </c>
      <c r="AM38" s="14">
        <f>IF($B38="Actual",F38,IF(AB38&lt;&gt;"",AB38,F38+N(Q38)))</f>
        <v/>
      </c>
      <c r="AN38" s="14">
        <f>IF($B38="Actual",G38,IF(AC38&lt;&gt;"",AC38,G38+N(R38)))</f>
        <v/>
      </c>
      <c r="AO38" s="14">
        <f>IF($B38="Actual",H38,IF(AD38&lt;&gt;"",AD38,H38+N(S38)))</f>
        <v/>
      </c>
      <c r="AP38" s="14">
        <f>IF($B38="Actual",I38,IF(AE38&lt;&gt;"",AE38,I38+N(T38)))</f>
        <v/>
      </c>
      <c r="AQ38" s="14">
        <f>IF($B38="Actual",J38,IF(AF38&lt;&gt;"",AF38,J38+N(U38)))</f>
        <v/>
      </c>
      <c r="AR38" s="14">
        <f>IF($B38="Actual",K38,IF(AG38&lt;&gt;"",AG38,K38+N(V38)))</f>
        <v/>
      </c>
      <c r="AS38" s="14">
        <f>IF($B38="Actual",L38,IF(AH38&lt;&gt;"",AH38,L38+N(W38)))</f>
        <v/>
      </c>
    </row>
    <row r="39">
      <c r="A39" s="8" t="n">
        <v>46600</v>
      </c>
      <c r="B39">
        <f>IF(A39&lt;=LastActual,"Actual","Forecast")</f>
        <v/>
      </c>
      <c r="C39" s="10">
        <f>IF(AND($B39="Forecast",N('NSW-1'!AH46)&gt;0),'NSW-1'!AH46,IFERROR('NSW-1'!X46*1,0))</f>
        <v/>
      </c>
      <c r="D39" s="10">
        <f>IF(AND($B39="Forecast",N('VIC-1'!AH46)&gt;0),'VIC-1'!AH46,IFERROR('VIC-1'!X46*1,0))</f>
        <v/>
      </c>
      <c r="E39" s="10">
        <f>IF(AND($B39="Forecast",N('QLD-1'!AH46)&gt;0),'QLD-1'!AH46,IFERROR('QLD-1'!X46*1,0))</f>
        <v/>
      </c>
      <c r="F39" s="10">
        <f>IF(AND($B39="Forecast",N('NSW-2'!AH46)&gt;0),'NSW-2'!AH46,IFERROR('NSW-2'!X46*1,0))</f>
        <v/>
      </c>
      <c r="G39" s="10">
        <f>IF(AND($B39="Forecast",N('VIC-2'!AH46)&gt;0),'VIC-2'!AH46,IFERROR('VIC-2'!X46*1,0))</f>
        <v/>
      </c>
      <c r="H39" s="10">
        <f>IF(AND($B39="Forecast",N('QLD-2'!AH46)&gt;0),'QLD-2'!AH46,IFERROR('QLD-2'!X46*1,0))</f>
        <v/>
      </c>
      <c r="I39" s="10">
        <f>IF(AND($B39="Forecast",N('SA-1'!AH46)&gt;0),'SA-1'!AH46,IFERROR('SA-1'!X46*1,0))</f>
        <v/>
      </c>
      <c r="J39" s="10">
        <f>IF(AND($B39="Forecast",N('WA-1'!AH46)&gt;0),'WA-1'!AH46,IFERROR('WA-1'!X46*1,0))</f>
        <v/>
      </c>
      <c r="K39" s="10">
        <f>IF(AND($B39="Forecast",N('IDC-NSW'!AH46)&gt;0),'IDC-NSW'!AH46,IFERROR('IDC-NSW'!X46*1,0))</f>
        <v/>
      </c>
      <c r="L39" s="10">
        <f>IF(AND($B39="Forecast",N('IDC-VIC'!AH46)&gt;0),'IDC-VIC'!AH46,IFERROR('IDC-VIC'!X46*1,0))</f>
        <v/>
      </c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J39" s="14">
        <f>IF($B39="Actual",C39,IF(Y39&lt;&gt;"",Y39,C39+N(N39)))</f>
        <v/>
      </c>
      <c r="AK39" s="14">
        <f>IF($B39="Actual",D39,IF(Z39&lt;&gt;"",Z39,D39+N(O39)))</f>
        <v/>
      </c>
      <c r="AL39" s="14">
        <f>IF($B39="Actual",E39,IF(AA39&lt;&gt;"",AA39,E39+N(P39)))</f>
        <v/>
      </c>
      <c r="AM39" s="14">
        <f>IF($B39="Actual",F39,IF(AB39&lt;&gt;"",AB39,F39+N(Q39)))</f>
        <v/>
      </c>
      <c r="AN39" s="14">
        <f>IF($B39="Actual",G39,IF(AC39&lt;&gt;"",AC39,G39+N(R39)))</f>
        <v/>
      </c>
      <c r="AO39" s="14">
        <f>IF($B39="Actual",H39,IF(AD39&lt;&gt;"",AD39,H39+N(S39)))</f>
        <v/>
      </c>
      <c r="AP39" s="14">
        <f>IF($B39="Actual",I39,IF(AE39&lt;&gt;"",AE39,I39+N(T39)))</f>
        <v/>
      </c>
      <c r="AQ39" s="14">
        <f>IF($B39="Actual",J39,IF(AF39&lt;&gt;"",AF39,J39+N(U39)))</f>
        <v/>
      </c>
      <c r="AR39" s="14">
        <f>IF($B39="Actual",K39,IF(AG39&lt;&gt;"",AG39,K39+N(V39)))</f>
        <v/>
      </c>
      <c r="AS39" s="14">
        <f>IF($B39="Actual",L39,IF(AH39&lt;&gt;"",AH39,L39+N(W39)))</f>
        <v/>
      </c>
    </row>
    <row r="40">
      <c r="A40" s="8" t="n">
        <v>46631</v>
      </c>
      <c r="B40">
        <f>IF(A40&lt;=LastActual,"Actual","Forecast")</f>
        <v/>
      </c>
      <c r="C40" s="10">
        <f>IF(AND($B40="Forecast",N('NSW-1'!AH47)&gt;0),'NSW-1'!AH47,IFERROR('NSW-1'!X47*1,0))</f>
        <v/>
      </c>
      <c r="D40" s="10">
        <f>IF(AND($B40="Forecast",N('VIC-1'!AH47)&gt;0),'VIC-1'!AH47,IFERROR('VIC-1'!X47*1,0))</f>
        <v/>
      </c>
      <c r="E40" s="10">
        <f>IF(AND($B40="Forecast",N('QLD-1'!AH47)&gt;0),'QLD-1'!AH47,IFERROR('QLD-1'!X47*1,0))</f>
        <v/>
      </c>
      <c r="F40" s="10">
        <f>IF(AND($B40="Forecast",N('NSW-2'!AH47)&gt;0),'NSW-2'!AH47,IFERROR('NSW-2'!X47*1,0))</f>
        <v/>
      </c>
      <c r="G40" s="10">
        <f>IF(AND($B40="Forecast",N('VIC-2'!AH47)&gt;0),'VIC-2'!AH47,IFERROR('VIC-2'!X47*1,0))</f>
        <v/>
      </c>
      <c r="H40" s="10">
        <f>IF(AND($B40="Forecast",N('QLD-2'!AH47)&gt;0),'QLD-2'!AH47,IFERROR('QLD-2'!X47*1,0))</f>
        <v/>
      </c>
      <c r="I40" s="10">
        <f>IF(AND($B40="Forecast",N('SA-1'!AH47)&gt;0),'SA-1'!AH47,IFERROR('SA-1'!X47*1,0))</f>
        <v/>
      </c>
      <c r="J40" s="10">
        <f>IF(AND($B40="Forecast",N('WA-1'!AH47)&gt;0),'WA-1'!AH47,IFERROR('WA-1'!X47*1,0))</f>
        <v/>
      </c>
      <c r="K40" s="10">
        <f>IF(AND($B40="Forecast",N('IDC-NSW'!AH47)&gt;0),'IDC-NSW'!AH47,IFERROR('IDC-NSW'!X47*1,0))</f>
        <v/>
      </c>
      <c r="L40" s="10">
        <f>IF(AND($B40="Forecast",N('IDC-VIC'!AH47)&gt;0),'IDC-VIC'!AH47,IFERROR('IDC-VIC'!X47*1,0))</f>
        <v/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J40" s="14">
        <f>IF($B40="Actual",C40,IF(Y40&lt;&gt;"",Y40,C40+N(N40)))</f>
        <v/>
      </c>
      <c r="AK40" s="14">
        <f>IF($B40="Actual",D40,IF(Z40&lt;&gt;"",Z40,D40+N(O40)))</f>
        <v/>
      </c>
      <c r="AL40" s="14">
        <f>IF($B40="Actual",E40,IF(AA40&lt;&gt;"",AA40,E40+N(P40)))</f>
        <v/>
      </c>
      <c r="AM40" s="14">
        <f>IF($B40="Actual",F40,IF(AB40&lt;&gt;"",AB40,F40+N(Q40)))</f>
        <v/>
      </c>
      <c r="AN40" s="14">
        <f>IF($B40="Actual",G40,IF(AC40&lt;&gt;"",AC40,G40+N(R40)))</f>
        <v/>
      </c>
      <c r="AO40" s="14">
        <f>IF($B40="Actual",H40,IF(AD40&lt;&gt;"",AD40,H40+N(S40)))</f>
        <v/>
      </c>
      <c r="AP40" s="14">
        <f>IF($B40="Actual",I40,IF(AE40&lt;&gt;"",AE40,I40+N(T40)))</f>
        <v/>
      </c>
      <c r="AQ40" s="14">
        <f>IF($B40="Actual",J40,IF(AF40&lt;&gt;"",AF40,J40+N(U40)))</f>
        <v/>
      </c>
      <c r="AR40" s="14">
        <f>IF($B40="Actual",K40,IF(AG40&lt;&gt;"",AG40,K40+N(V40)))</f>
        <v/>
      </c>
      <c r="AS40" s="14">
        <f>IF($B40="Actual",L40,IF(AH40&lt;&gt;"",AH40,L40+N(W40)))</f>
        <v/>
      </c>
    </row>
    <row r="41">
      <c r="A41" s="8" t="n">
        <v>46661</v>
      </c>
      <c r="B41">
        <f>IF(A41&lt;=LastActual,"Actual","Forecast")</f>
        <v/>
      </c>
      <c r="C41" s="10">
        <f>IF(AND($B41="Forecast",N('NSW-1'!AH48)&gt;0),'NSW-1'!AH48,IFERROR('NSW-1'!X48*1,0))</f>
        <v/>
      </c>
      <c r="D41" s="10">
        <f>IF(AND($B41="Forecast",N('VIC-1'!AH48)&gt;0),'VIC-1'!AH48,IFERROR('VIC-1'!X48*1,0))</f>
        <v/>
      </c>
      <c r="E41" s="10">
        <f>IF(AND($B41="Forecast",N('QLD-1'!AH48)&gt;0),'QLD-1'!AH48,IFERROR('QLD-1'!X48*1,0))</f>
        <v/>
      </c>
      <c r="F41" s="10">
        <f>IF(AND($B41="Forecast",N('NSW-2'!AH48)&gt;0),'NSW-2'!AH48,IFERROR('NSW-2'!X48*1,0))</f>
        <v/>
      </c>
      <c r="G41" s="10">
        <f>IF(AND($B41="Forecast",N('VIC-2'!AH48)&gt;0),'VIC-2'!AH48,IFERROR('VIC-2'!X48*1,0))</f>
        <v/>
      </c>
      <c r="H41" s="10">
        <f>IF(AND($B41="Forecast",N('QLD-2'!AH48)&gt;0),'QLD-2'!AH48,IFERROR('QLD-2'!X48*1,0))</f>
        <v/>
      </c>
      <c r="I41" s="10">
        <f>IF(AND($B41="Forecast",N('SA-1'!AH48)&gt;0),'SA-1'!AH48,IFERROR('SA-1'!X48*1,0))</f>
        <v/>
      </c>
      <c r="J41" s="10">
        <f>IF(AND($B41="Forecast",N('WA-1'!AH48)&gt;0),'WA-1'!AH48,IFERROR('WA-1'!X48*1,0))</f>
        <v/>
      </c>
      <c r="K41" s="10">
        <f>IF(AND($B41="Forecast",N('IDC-NSW'!AH48)&gt;0),'IDC-NSW'!AH48,IFERROR('IDC-NSW'!X48*1,0))</f>
        <v/>
      </c>
      <c r="L41" s="10">
        <f>IF(AND($B41="Forecast",N('IDC-VIC'!AH48)&gt;0),'IDC-VIC'!AH48,IFERROR('IDC-VIC'!X48*1,0))</f>
        <v/>
      </c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J41" s="14">
        <f>IF($B41="Actual",C41,IF(Y41&lt;&gt;"",Y41,C41+N(N41)))</f>
        <v/>
      </c>
      <c r="AK41" s="14">
        <f>IF($B41="Actual",D41,IF(Z41&lt;&gt;"",Z41,D41+N(O41)))</f>
        <v/>
      </c>
      <c r="AL41" s="14">
        <f>IF($B41="Actual",E41,IF(AA41&lt;&gt;"",AA41,E41+N(P41)))</f>
        <v/>
      </c>
      <c r="AM41" s="14">
        <f>IF($B41="Actual",F41,IF(AB41&lt;&gt;"",AB41,F41+N(Q41)))</f>
        <v/>
      </c>
      <c r="AN41" s="14">
        <f>IF($B41="Actual",G41,IF(AC41&lt;&gt;"",AC41,G41+N(R41)))</f>
        <v/>
      </c>
      <c r="AO41" s="14">
        <f>IF($B41="Actual",H41,IF(AD41&lt;&gt;"",AD41,H41+N(S41)))</f>
        <v/>
      </c>
      <c r="AP41" s="14">
        <f>IF($B41="Actual",I41,IF(AE41&lt;&gt;"",AE41,I41+N(T41)))</f>
        <v/>
      </c>
      <c r="AQ41" s="14">
        <f>IF($B41="Actual",J41,IF(AF41&lt;&gt;"",AF41,J41+N(U41)))</f>
        <v/>
      </c>
      <c r="AR41" s="14">
        <f>IF($B41="Actual",K41,IF(AG41&lt;&gt;"",AG41,K41+N(V41)))</f>
        <v/>
      </c>
      <c r="AS41" s="14">
        <f>IF($B41="Actual",L41,IF(AH41&lt;&gt;"",AH41,L41+N(W41)))</f>
        <v/>
      </c>
    </row>
    <row r="42">
      <c r="A42" s="8" t="n">
        <v>46692</v>
      </c>
      <c r="B42">
        <f>IF(A42&lt;=LastActual,"Actual","Forecast")</f>
        <v/>
      </c>
      <c r="C42" s="10">
        <f>IF(AND($B42="Forecast",N('NSW-1'!AH49)&gt;0),'NSW-1'!AH49,IFERROR('NSW-1'!X49*1,0))</f>
        <v/>
      </c>
      <c r="D42" s="10">
        <f>IF(AND($B42="Forecast",N('VIC-1'!AH49)&gt;0),'VIC-1'!AH49,IFERROR('VIC-1'!X49*1,0))</f>
        <v/>
      </c>
      <c r="E42" s="10">
        <f>IF(AND($B42="Forecast",N('QLD-1'!AH49)&gt;0),'QLD-1'!AH49,IFERROR('QLD-1'!X49*1,0))</f>
        <v/>
      </c>
      <c r="F42" s="10">
        <f>IF(AND($B42="Forecast",N('NSW-2'!AH49)&gt;0),'NSW-2'!AH49,IFERROR('NSW-2'!X49*1,0))</f>
        <v/>
      </c>
      <c r="G42" s="10">
        <f>IF(AND($B42="Forecast",N('VIC-2'!AH49)&gt;0),'VIC-2'!AH49,IFERROR('VIC-2'!X49*1,0))</f>
        <v/>
      </c>
      <c r="H42" s="10">
        <f>IF(AND($B42="Forecast",N('QLD-2'!AH49)&gt;0),'QLD-2'!AH49,IFERROR('QLD-2'!X49*1,0))</f>
        <v/>
      </c>
      <c r="I42" s="10">
        <f>IF(AND($B42="Forecast",N('SA-1'!AH49)&gt;0),'SA-1'!AH49,IFERROR('SA-1'!X49*1,0))</f>
        <v/>
      </c>
      <c r="J42" s="10">
        <f>IF(AND($B42="Forecast",N('WA-1'!AH49)&gt;0),'WA-1'!AH49,IFERROR('WA-1'!X49*1,0))</f>
        <v/>
      </c>
      <c r="K42" s="10">
        <f>IF(AND($B42="Forecast",N('IDC-NSW'!AH49)&gt;0),'IDC-NSW'!AH49,IFERROR('IDC-NSW'!X49*1,0))</f>
        <v/>
      </c>
      <c r="L42" s="10">
        <f>IF(AND($B42="Forecast",N('IDC-VIC'!AH49)&gt;0),'IDC-VIC'!AH49,IFERROR('IDC-VIC'!X49*1,0))</f>
        <v/>
      </c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J42" s="14">
        <f>IF($B42="Actual",C42,IF(Y42&lt;&gt;"",Y42,C42+N(N42)))</f>
        <v/>
      </c>
      <c r="AK42" s="14">
        <f>IF($B42="Actual",D42,IF(Z42&lt;&gt;"",Z42,D42+N(O42)))</f>
        <v/>
      </c>
      <c r="AL42" s="14">
        <f>IF($B42="Actual",E42,IF(AA42&lt;&gt;"",AA42,E42+N(P42)))</f>
        <v/>
      </c>
      <c r="AM42" s="14">
        <f>IF($B42="Actual",F42,IF(AB42&lt;&gt;"",AB42,F42+N(Q42)))</f>
        <v/>
      </c>
      <c r="AN42" s="14">
        <f>IF($B42="Actual",G42,IF(AC42&lt;&gt;"",AC42,G42+N(R42)))</f>
        <v/>
      </c>
      <c r="AO42" s="14">
        <f>IF($B42="Actual",H42,IF(AD42&lt;&gt;"",AD42,H42+N(S42)))</f>
        <v/>
      </c>
      <c r="AP42" s="14">
        <f>IF($B42="Actual",I42,IF(AE42&lt;&gt;"",AE42,I42+N(T42)))</f>
        <v/>
      </c>
      <c r="AQ42" s="14">
        <f>IF($B42="Actual",J42,IF(AF42&lt;&gt;"",AF42,J42+N(U42)))</f>
        <v/>
      </c>
      <c r="AR42" s="14">
        <f>IF($B42="Actual",K42,IF(AG42&lt;&gt;"",AG42,K42+N(V42)))</f>
        <v/>
      </c>
      <c r="AS42" s="14">
        <f>IF($B42="Actual",L42,IF(AH42&lt;&gt;"",AH42,L42+N(W42)))</f>
        <v/>
      </c>
    </row>
    <row r="43">
      <c r="A43" s="8" t="n">
        <v>46722</v>
      </c>
      <c r="B43">
        <f>IF(A43&lt;=LastActual,"Actual","Forecast")</f>
        <v/>
      </c>
      <c r="C43" s="10">
        <f>IF(AND($B43="Forecast",N('NSW-1'!AH50)&gt;0),'NSW-1'!AH50,IFERROR('NSW-1'!X50*1,0))</f>
        <v/>
      </c>
      <c r="D43" s="10">
        <f>IF(AND($B43="Forecast",N('VIC-1'!AH50)&gt;0),'VIC-1'!AH50,IFERROR('VIC-1'!X50*1,0))</f>
        <v/>
      </c>
      <c r="E43" s="10">
        <f>IF(AND($B43="Forecast",N('QLD-1'!AH50)&gt;0),'QLD-1'!AH50,IFERROR('QLD-1'!X50*1,0))</f>
        <v/>
      </c>
      <c r="F43" s="10">
        <f>IF(AND($B43="Forecast",N('NSW-2'!AH50)&gt;0),'NSW-2'!AH50,IFERROR('NSW-2'!X50*1,0))</f>
        <v/>
      </c>
      <c r="G43" s="10">
        <f>IF(AND($B43="Forecast",N('VIC-2'!AH50)&gt;0),'VIC-2'!AH50,IFERROR('VIC-2'!X50*1,0))</f>
        <v/>
      </c>
      <c r="H43" s="10">
        <f>IF(AND($B43="Forecast",N('QLD-2'!AH50)&gt;0),'QLD-2'!AH50,IFERROR('QLD-2'!X50*1,0))</f>
        <v/>
      </c>
      <c r="I43" s="10">
        <f>IF(AND($B43="Forecast",N('SA-1'!AH50)&gt;0),'SA-1'!AH50,IFERROR('SA-1'!X50*1,0))</f>
        <v/>
      </c>
      <c r="J43" s="10">
        <f>IF(AND($B43="Forecast",N('WA-1'!AH50)&gt;0),'WA-1'!AH50,IFERROR('WA-1'!X50*1,0))</f>
        <v/>
      </c>
      <c r="K43" s="10">
        <f>IF(AND($B43="Forecast",N('IDC-NSW'!AH50)&gt;0),'IDC-NSW'!AH50,IFERROR('IDC-NSW'!X50*1,0))</f>
        <v/>
      </c>
      <c r="L43" s="10">
        <f>IF(AND($B43="Forecast",N('IDC-VIC'!AH50)&gt;0),'IDC-VIC'!AH50,IFERROR('IDC-VIC'!X50*1,0))</f>
        <v/>
      </c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J43" s="14">
        <f>IF($B43="Actual",C43,IF(Y43&lt;&gt;"",Y43,C43+N(N43)))</f>
        <v/>
      </c>
      <c r="AK43" s="14">
        <f>IF($B43="Actual",D43,IF(Z43&lt;&gt;"",Z43,D43+N(O43)))</f>
        <v/>
      </c>
      <c r="AL43" s="14">
        <f>IF($B43="Actual",E43,IF(AA43&lt;&gt;"",AA43,E43+N(P43)))</f>
        <v/>
      </c>
      <c r="AM43" s="14">
        <f>IF($B43="Actual",F43,IF(AB43&lt;&gt;"",AB43,F43+N(Q43)))</f>
        <v/>
      </c>
      <c r="AN43" s="14">
        <f>IF($B43="Actual",G43,IF(AC43&lt;&gt;"",AC43,G43+N(R43)))</f>
        <v/>
      </c>
      <c r="AO43" s="14">
        <f>IF($B43="Actual",H43,IF(AD43&lt;&gt;"",AD43,H43+N(S43)))</f>
        <v/>
      </c>
      <c r="AP43" s="14">
        <f>IF($B43="Actual",I43,IF(AE43&lt;&gt;"",AE43,I43+N(T43)))</f>
        <v/>
      </c>
      <c r="AQ43" s="14">
        <f>IF($B43="Actual",J43,IF(AF43&lt;&gt;"",AF43,J43+N(U43)))</f>
        <v/>
      </c>
      <c r="AR43" s="14">
        <f>IF($B43="Actual",K43,IF(AG43&lt;&gt;"",AG43,K43+N(V43)))</f>
        <v/>
      </c>
      <c r="AS43" s="14">
        <f>IF($B43="Actual",L43,IF(AH43&lt;&gt;"",AH43,L43+N(W43)))</f>
        <v/>
      </c>
    </row>
    <row r="44">
      <c r="A44" s="8" t="n">
        <v>46753</v>
      </c>
      <c r="B44">
        <f>IF(A44&lt;=LastActual,"Actual","Forecast")</f>
        <v/>
      </c>
      <c r="C44" s="10">
        <f>IF(AND($B44="Forecast",N('NSW-1'!AH51)&gt;0),'NSW-1'!AH51,IFERROR('NSW-1'!X51*1,0))</f>
        <v/>
      </c>
      <c r="D44" s="10">
        <f>IF(AND($B44="Forecast",N('VIC-1'!AH51)&gt;0),'VIC-1'!AH51,IFERROR('VIC-1'!X51*1,0))</f>
        <v/>
      </c>
      <c r="E44" s="10">
        <f>IF(AND($B44="Forecast",N('QLD-1'!AH51)&gt;0),'QLD-1'!AH51,IFERROR('QLD-1'!X51*1,0))</f>
        <v/>
      </c>
      <c r="F44" s="10">
        <f>IF(AND($B44="Forecast",N('NSW-2'!AH51)&gt;0),'NSW-2'!AH51,IFERROR('NSW-2'!X51*1,0))</f>
        <v/>
      </c>
      <c r="G44" s="10">
        <f>IF(AND($B44="Forecast",N('VIC-2'!AH51)&gt;0),'VIC-2'!AH51,IFERROR('VIC-2'!X51*1,0))</f>
        <v/>
      </c>
      <c r="H44" s="10">
        <f>IF(AND($B44="Forecast",N('QLD-2'!AH51)&gt;0),'QLD-2'!AH51,IFERROR('QLD-2'!X51*1,0))</f>
        <v/>
      </c>
      <c r="I44" s="10">
        <f>IF(AND($B44="Forecast",N('SA-1'!AH51)&gt;0),'SA-1'!AH51,IFERROR('SA-1'!X51*1,0))</f>
        <v/>
      </c>
      <c r="J44" s="10">
        <f>IF(AND($B44="Forecast",N('WA-1'!AH51)&gt;0),'WA-1'!AH51,IFERROR('WA-1'!X51*1,0))</f>
        <v/>
      </c>
      <c r="K44" s="10">
        <f>IF(AND($B44="Forecast",N('IDC-NSW'!AH51)&gt;0),'IDC-NSW'!AH51,IFERROR('IDC-NSW'!X51*1,0))</f>
        <v/>
      </c>
      <c r="L44" s="10">
        <f>IF(AND($B44="Forecast",N('IDC-VIC'!AH51)&gt;0),'IDC-VIC'!AH51,IFERROR('IDC-VIC'!X51*1,0))</f>
        <v/>
      </c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  <c r="AJ44" s="14">
        <f>IF($B44="Actual",C44,IF(Y44&lt;&gt;"",Y44,C44+N(N44)))</f>
        <v/>
      </c>
      <c r="AK44" s="14">
        <f>IF($B44="Actual",D44,IF(Z44&lt;&gt;"",Z44,D44+N(O44)))</f>
        <v/>
      </c>
      <c r="AL44" s="14">
        <f>IF($B44="Actual",E44,IF(AA44&lt;&gt;"",AA44,E44+N(P44)))</f>
        <v/>
      </c>
      <c r="AM44" s="14">
        <f>IF($B44="Actual",F44,IF(AB44&lt;&gt;"",AB44,F44+N(Q44)))</f>
        <v/>
      </c>
      <c r="AN44" s="14">
        <f>IF($B44="Actual",G44,IF(AC44&lt;&gt;"",AC44,G44+N(R44)))</f>
        <v/>
      </c>
      <c r="AO44" s="14">
        <f>IF($B44="Actual",H44,IF(AD44&lt;&gt;"",AD44,H44+N(S44)))</f>
        <v/>
      </c>
      <c r="AP44" s="14">
        <f>IF($B44="Actual",I44,IF(AE44&lt;&gt;"",AE44,I44+N(T44)))</f>
        <v/>
      </c>
      <c r="AQ44" s="14">
        <f>IF($B44="Actual",J44,IF(AF44&lt;&gt;"",AF44,J44+N(U44)))</f>
        <v/>
      </c>
      <c r="AR44" s="14">
        <f>IF($B44="Actual",K44,IF(AG44&lt;&gt;"",AG44,K44+N(V44)))</f>
        <v/>
      </c>
      <c r="AS44" s="14">
        <f>IF($B44="Actual",L44,IF(AH44&lt;&gt;"",AH44,L44+N(W44)))</f>
        <v/>
      </c>
    </row>
    <row r="45">
      <c r="A45" s="8" t="n">
        <v>46784</v>
      </c>
      <c r="B45">
        <f>IF(A45&lt;=LastActual,"Actual","Forecast")</f>
        <v/>
      </c>
      <c r="C45" s="10">
        <f>IF(AND($B45="Forecast",N('NSW-1'!AH52)&gt;0),'NSW-1'!AH52,IFERROR('NSW-1'!X52*1,0))</f>
        <v/>
      </c>
      <c r="D45" s="10">
        <f>IF(AND($B45="Forecast",N('VIC-1'!AH52)&gt;0),'VIC-1'!AH52,IFERROR('VIC-1'!X52*1,0))</f>
        <v/>
      </c>
      <c r="E45" s="10">
        <f>IF(AND($B45="Forecast",N('QLD-1'!AH52)&gt;0),'QLD-1'!AH52,IFERROR('QLD-1'!X52*1,0))</f>
        <v/>
      </c>
      <c r="F45" s="10">
        <f>IF(AND($B45="Forecast",N('NSW-2'!AH52)&gt;0),'NSW-2'!AH52,IFERROR('NSW-2'!X52*1,0))</f>
        <v/>
      </c>
      <c r="G45" s="10">
        <f>IF(AND($B45="Forecast",N('VIC-2'!AH52)&gt;0),'VIC-2'!AH52,IFERROR('VIC-2'!X52*1,0))</f>
        <v/>
      </c>
      <c r="H45" s="10">
        <f>IF(AND($B45="Forecast",N('QLD-2'!AH52)&gt;0),'QLD-2'!AH52,IFERROR('QLD-2'!X52*1,0))</f>
        <v/>
      </c>
      <c r="I45" s="10">
        <f>IF(AND($B45="Forecast",N('SA-1'!AH52)&gt;0),'SA-1'!AH52,IFERROR('SA-1'!X52*1,0))</f>
        <v/>
      </c>
      <c r="J45" s="10">
        <f>IF(AND($B45="Forecast",N('WA-1'!AH52)&gt;0),'WA-1'!AH52,IFERROR('WA-1'!X52*1,0))</f>
        <v/>
      </c>
      <c r="K45" s="10">
        <f>IF(AND($B45="Forecast",N('IDC-NSW'!AH52)&gt;0),'IDC-NSW'!AH52,IFERROR('IDC-NSW'!X52*1,0))</f>
        <v/>
      </c>
      <c r="L45" s="10">
        <f>IF(AND($B45="Forecast",N('IDC-VIC'!AH52)&gt;0),'IDC-VIC'!AH52,IFERROR('IDC-VIC'!X52*1,0))</f>
        <v/>
      </c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J45" s="14">
        <f>IF($B45="Actual",C45,IF(Y45&lt;&gt;"",Y45,C45+N(N45)))</f>
        <v/>
      </c>
      <c r="AK45" s="14">
        <f>IF($B45="Actual",D45,IF(Z45&lt;&gt;"",Z45,D45+N(O45)))</f>
        <v/>
      </c>
      <c r="AL45" s="14">
        <f>IF($B45="Actual",E45,IF(AA45&lt;&gt;"",AA45,E45+N(P45)))</f>
        <v/>
      </c>
      <c r="AM45" s="14">
        <f>IF($B45="Actual",F45,IF(AB45&lt;&gt;"",AB45,F45+N(Q45)))</f>
        <v/>
      </c>
      <c r="AN45" s="14">
        <f>IF($B45="Actual",G45,IF(AC45&lt;&gt;"",AC45,G45+N(R45)))</f>
        <v/>
      </c>
      <c r="AO45" s="14">
        <f>IF($B45="Actual",H45,IF(AD45&lt;&gt;"",AD45,H45+N(S45)))</f>
        <v/>
      </c>
      <c r="AP45" s="14">
        <f>IF($B45="Actual",I45,IF(AE45&lt;&gt;"",AE45,I45+N(T45)))</f>
        <v/>
      </c>
      <c r="AQ45" s="14">
        <f>IF($B45="Actual",J45,IF(AF45&lt;&gt;"",AF45,J45+N(U45)))</f>
        <v/>
      </c>
      <c r="AR45" s="14">
        <f>IF($B45="Actual",K45,IF(AG45&lt;&gt;"",AG45,K45+N(V45)))</f>
        <v/>
      </c>
      <c r="AS45" s="14">
        <f>IF($B45="Actual",L45,IF(AH45&lt;&gt;"",AH45,L45+N(W45)))</f>
        <v/>
      </c>
    </row>
    <row r="46">
      <c r="A46" s="8" t="n">
        <v>46813</v>
      </c>
      <c r="B46">
        <f>IF(A46&lt;=LastActual,"Actual","Forecast")</f>
        <v/>
      </c>
      <c r="C46" s="10">
        <f>IF(AND($B46="Forecast",N('NSW-1'!AH53)&gt;0),'NSW-1'!AH53,IFERROR('NSW-1'!X53*1,0))</f>
        <v/>
      </c>
      <c r="D46" s="10">
        <f>IF(AND($B46="Forecast",N('VIC-1'!AH53)&gt;0),'VIC-1'!AH53,IFERROR('VIC-1'!X53*1,0))</f>
        <v/>
      </c>
      <c r="E46" s="10">
        <f>IF(AND($B46="Forecast",N('QLD-1'!AH53)&gt;0),'QLD-1'!AH53,IFERROR('QLD-1'!X53*1,0))</f>
        <v/>
      </c>
      <c r="F46" s="10">
        <f>IF(AND($B46="Forecast",N('NSW-2'!AH53)&gt;0),'NSW-2'!AH53,IFERROR('NSW-2'!X53*1,0))</f>
        <v/>
      </c>
      <c r="G46" s="10">
        <f>IF(AND($B46="Forecast",N('VIC-2'!AH53)&gt;0),'VIC-2'!AH53,IFERROR('VIC-2'!X53*1,0))</f>
        <v/>
      </c>
      <c r="H46" s="10">
        <f>IF(AND($B46="Forecast",N('QLD-2'!AH53)&gt;0),'QLD-2'!AH53,IFERROR('QLD-2'!X53*1,0))</f>
        <v/>
      </c>
      <c r="I46" s="10">
        <f>IF(AND($B46="Forecast",N('SA-1'!AH53)&gt;0),'SA-1'!AH53,IFERROR('SA-1'!X53*1,0))</f>
        <v/>
      </c>
      <c r="J46" s="10">
        <f>IF(AND($B46="Forecast",N('WA-1'!AH53)&gt;0),'WA-1'!AH53,IFERROR('WA-1'!X53*1,0))</f>
        <v/>
      </c>
      <c r="K46" s="10">
        <f>IF(AND($B46="Forecast",N('IDC-NSW'!AH53)&gt;0),'IDC-NSW'!AH53,IFERROR('IDC-NSW'!X53*1,0))</f>
        <v/>
      </c>
      <c r="L46" s="10">
        <f>IF(AND($B46="Forecast",N('IDC-VIC'!AH53)&gt;0),'IDC-VIC'!AH53,IFERROR('IDC-VIC'!X53*1,0))</f>
        <v/>
      </c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J46" s="14">
        <f>IF($B46="Actual",C46,IF(Y46&lt;&gt;"",Y46,C46+N(N46)))</f>
        <v/>
      </c>
      <c r="AK46" s="14">
        <f>IF($B46="Actual",D46,IF(Z46&lt;&gt;"",Z46,D46+N(O46)))</f>
        <v/>
      </c>
      <c r="AL46" s="14">
        <f>IF($B46="Actual",E46,IF(AA46&lt;&gt;"",AA46,E46+N(P46)))</f>
        <v/>
      </c>
      <c r="AM46" s="14">
        <f>IF($B46="Actual",F46,IF(AB46&lt;&gt;"",AB46,F46+N(Q46)))</f>
        <v/>
      </c>
      <c r="AN46" s="14">
        <f>IF($B46="Actual",G46,IF(AC46&lt;&gt;"",AC46,G46+N(R46)))</f>
        <v/>
      </c>
      <c r="AO46" s="14">
        <f>IF($B46="Actual",H46,IF(AD46&lt;&gt;"",AD46,H46+N(S46)))</f>
        <v/>
      </c>
      <c r="AP46" s="14">
        <f>IF($B46="Actual",I46,IF(AE46&lt;&gt;"",AE46,I46+N(T46)))</f>
        <v/>
      </c>
      <c r="AQ46" s="14">
        <f>IF($B46="Actual",J46,IF(AF46&lt;&gt;"",AF46,J46+N(U46)))</f>
        <v/>
      </c>
      <c r="AR46" s="14">
        <f>IF($B46="Actual",K46,IF(AG46&lt;&gt;"",AG46,K46+N(V46)))</f>
        <v/>
      </c>
      <c r="AS46" s="14">
        <f>IF($B46="Actual",L46,IF(AH46&lt;&gt;"",AH46,L46+N(W46)))</f>
        <v/>
      </c>
    </row>
    <row r="47">
      <c r="A47" s="8" t="n">
        <v>46844</v>
      </c>
      <c r="B47">
        <f>IF(A47&lt;=LastActual,"Actual","Forecast")</f>
        <v/>
      </c>
      <c r="C47" s="10">
        <f>IF(AND($B47="Forecast",N('NSW-1'!AH54)&gt;0),'NSW-1'!AH54,IFERROR('NSW-1'!X54*1,0))</f>
        <v/>
      </c>
      <c r="D47" s="10">
        <f>IF(AND($B47="Forecast",N('VIC-1'!AH54)&gt;0),'VIC-1'!AH54,IFERROR('VIC-1'!X54*1,0))</f>
        <v/>
      </c>
      <c r="E47" s="10">
        <f>IF(AND($B47="Forecast",N('QLD-1'!AH54)&gt;0),'QLD-1'!AH54,IFERROR('QLD-1'!X54*1,0))</f>
        <v/>
      </c>
      <c r="F47" s="10">
        <f>IF(AND($B47="Forecast",N('NSW-2'!AH54)&gt;0),'NSW-2'!AH54,IFERROR('NSW-2'!X54*1,0))</f>
        <v/>
      </c>
      <c r="G47" s="10">
        <f>IF(AND($B47="Forecast",N('VIC-2'!AH54)&gt;0),'VIC-2'!AH54,IFERROR('VIC-2'!X54*1,0))</f>
        <v/>
      </c>
      <c r="H47" s="10">
        <f>IF(AND($B47="Forecast",N('QLD-2'!AH54)&gt;0),'QLD-2'!AH54,IFERROR('QLD-2'!X54*1,0))</f>
        <v/>
      </c>
      <c r="I47" s="10">
        <f>IF(AND($B47="Forecast",N('SA-1'!AH54)&gt;0),'SA-1'!AH54,IFERROR('SA-1'!X54*1,0))</f>
        <v/>
      </c>
      <c r="J47" s="10">
        <f>IF(AND($B47="Forecast",N('WA-1'!AH54)&gt;0),'WA-1'!AH54,IFERROR('WA-1'!X54*1,0))</f>
        <v/>
      </c>
      <c r="K47" s="10">
        <f>IF(AND($B47="Forecast",N('IDC-NSW'!AH54)&gt;0),'IDC-NSW'!AH54,IFERROR('IDC-NSW'!X54*1,0))</f>
        <v/>
      </c>
      <c r="L47" s="10">
        <f>IF(AND($B47="Forecast",N('IDC-VIC'!AH54)&gt;0),'IDC-VIC'!AH54,IFERROR('IDC-VIC'!X54*1,0))</f>
        <v/>
      </c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J47" s="14">
        <f>IF($B47="Actual",C47,IF(Y47&lt;&gt;"",Y47,C47+N(N47)))</f>
        <v/>
      </c>
      <c r="AK47" s="14">
        <f>IF($B47="Actual",D47,IF(Z47&lt;&gt;"",Z47,D47+N(O47)))</f>
        <v/>
      </c>
      <c r="AL47" s="14">
        <f>IF($B47="Actual",E47,IF(AA47&lt;&gt;"",AA47,E47+N(P47)))</f>
        <v/>
      </c>
      <c r="AM47" s="14">
        <f>IF($B47="Actual",F47,IF(AB47&lt;&gt;"",AB47,F47+N(Q47)))</f>
        <v/>
      </c>
      <c r="AN47" s="14">
        <f>IF($B47="Actual",G47,IF(AC47&lt;&gt;"",AC47,G47+N(R47)))</f>
        <v/>
      </c>
      <c r="AO47" s="14">
        <f>IF($B47="Actual",H47,IF(AD47&lt;&gt;"",AD47,H47+N(S47)))</f>
        <v/>
      </c>
      <c r="AP47" s="14">
        <f>IF($B47="Actual",I47,IF(AE47&lt;&gt;"",AE47,I47+N(T47)))</f>
        <v/>
      </c>
      <c r="AQ47" s="14">
        <f>IF($B47="Actual",J47,IF(AF47&lt;&gt;"",AF47,J47+N(U47)))</f>
        <v/>
      </c>
      <c r="AR47" s="14">
        <f>IF($B47="Actual",K47,IF(AG47&lt;&gt;"",AG47,K47+N(V47)))</f>
        <v/>
      </c>
      <c r="AS47" s="14">
        <f>IF($B47="Actual",L47,IF(AH47&lt;&gt;"",AH47,L47+N(W47)))</f>
        <v/>
      </c>
    </row>
    <row r="48">
      <c r="A48" s="8" t="n">
        <v>46874</v>
      </c>
      <c r="B48">
        <f>IF(A48&lt;=LastActual,"Actual","Forecast")</f>
        <v/>
      </c>
      <c r="C48" s="10">
        <f>IF(AND($B48="Forecast",N('NSW-1'!AH55)&gt;0),'NSW-1'!AH55,IFERROR('NSW-1'!X55*1,0))</f>
        <v/>
      </c>
      <c r="D48" s="10">
        <f>IF(AND($B48="Forecast",N('VIC-1'!AH55)&gt;0),'VIC-1'!AH55,IFERROR('VIC-1'!X55*1,0))</f>
        <v/>
      </c>
      <c r="E48" s="10">
        <f>IF(AND($B48="Forecast",N('QLD-1'!AH55)&gt;0),'QLD-1'!AH55,IFERROR('QLD-1'!X55*1,0))</f>
        <v/>
      </c>
      <c r="F48" s="10">
        <f>IF(AND($B48="Forecast",N('NSW-2'!AH55)&gt;0),'NSW-2'!AH55,IFERROR('NSW-2'!X55*1,0))</f>
        <v/>
      </c>
      <c r="G48" s="10">
        <f>IF(AND($B48="Forecast",N('VIC-2'!AH55)&gt;0),'VIC-2'!AH55,IFERROR('VIC-2'!X55*1,0))</f>
        <v/>
      </c>
      <c r="H48" s="10">
        <f>IF(AND($B48="Forecast",N('QLD-2'!AH55)&gt;0),'QLD-2'!AH55,IFERROR('QLD-2'!X55*1,0))</f>
        <v/>
      </c>
      <c r="I48" s="10">
        <f>IF(AND($B48="Forecast",N('SA-1'!AH55)&gt;0),'SA-1'!AH55,IFERROR('SA-1'!X55*1,0))</f>
        <v/>
      </c>
      <c r="J48" s="10">
        <f>IF(AND($B48="Forecast",N('WA-1'!AH55)&gt;0),'WA-1'!AH55,IFERROR('WA-1'!X55*1,0))</f>
        <v/>
      </c>
      <c r="K48" s="10">
        <f>IF(AND($B48="Forecast",N('IDC-NSW'!AH55)&gt;0),'IDC-NSW'!AH55,IFERROR('IDC-NSW'!X55*1,0))</f>
        <v/>
      </c>
      <c r="L48" s="10">
        <f>IF(AND($B48="Forecast",N('IDC-VIC'!AH55)&gt;0),'IDC-VIC'!AH55,IFERROR('IDC-VIC'!X55*1,0))</f>
        <v/>
      </c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J48" s="14">
        <f>IF($B48="Actual",C48,IF(Y48&lt;&gt;"",Y48,C48+N(N48)))</f>
        <v/>
      </c>
      <c r="AK48" s="14">
        <f>IF($B48="Actual",D48,IF(Z48&lt;&gt;"",Z48,D48+N(O48)))</f>
        <v/>
      </c>
      <c r="AL48" s="14">
        <f>IF($B48="Actual",E48,IF(AA48&lt;&gt;"",AA48,E48+N(P48)))</f>
        <v/>
      </c>
      <c r="AM48" s="14">
        <f>IF($B48="Actual",F48,IF(AB48&lt;&gt;"",AB48,F48+N(Q48)))</f>
        <v/>
      </c>
      <c r="AN48" s="14">
        <f>IF($B48="Actual",G48,IF(AC48&lt;&gt;"",AC48,G48+N(R48)))</f>
        <v/>
      </c>
      <c r="AO48" s="14">
        <f>IF($B48="Actual",H48,IF(AD48&lt;&gt;"",AD48,H48+N(S48)))</f>
        <v/>
      </c>
      <c r="AP48" s="14">
        <f>IF($B48="Actual",I48,IF(AE48&lt;&gt;"",AE48,I48+N(T48)))</f>
        <v/>
      </c>
      <c r="AQ48" s="14">
        <f>IF($B48="Actual",J48,IF(AF48&lt;&gt;"",AF48,J48+N(U48)))</f>
        <v/>
      </c>
      <c r="AR48" s="14">
        <f>IF($B48="Actual",K48,IF(AG48&lt;&gt;"",AG48,K48+N(V48)))</f>
        <v/>
      </c>
      <c r="AS48" s="14">
        <f>IF($B48="Actual",L48,IF(AH48&lt;&gt;"",AH48,L48+N(W48)))</f>
        <v/>
      </c>
    </row>
    <row r="49">
      <c r="A49" s="8" t="n">
        <v>46905</v>
      </c>
      <c r="B49">
        <f>IF(A49&lt;=LastActual,"Actual","Forecast")</f>
        <v/>
      </c>
      <c r="C49" s="10">
        <f>IF(AND($B49="Forecast",N('NSW-1'!AH56)&gt;0),'NSW-1'!AH56,IFERROR('NSW-1'!X56*1,0))</f>
        <v/>
      </c>
      <c r="D49" s="10">
        <f>IF(AND($B49="Forecast",N('VIC-1'!AH56)&gt;0),'VIC-1'!AH56,IFERROR('VIC-1'!X56*1,0))</f>
        <v/>
      </c>
      <c r="E49" s="10">
        <f>IF(AND($B49="Forecast",N('QLD-1'!AH56)&gt;0),'QLD-1'!AH56,IFERROR('QLD-1'!X56*1,0))</f>
        <v/>
      </c>
      <c r="F49" s="10">
        <f>IF(AND($B49="Forecast",N('NSW-2'!AH56)&gt;0),'NSW-2'!AH56,IFERROR('NSW-2'!X56*1,0))</f>
        <v/>
      </c>
      <c r="G49" s="10">
        <f>IF(AND($B49="Forecast",N('VIC-2'!AH56)&gt;0),'VIC-2'!AH56,IFERROR('VIC-2'!X56*1,0))</f>
        <v/>
      </c>
      <c r="H49" s="10">
        <f>IF(AND($B49="Forecast",N('QLD-2'!AH56)&gt;0),'QLD-2'!AH56,IFERROR('QLD-2'!X56*1,0))</f>
        <v/>
      </c>
      <c r="I49" s="10">
        <f>IF(AND($B49="Forecast",N('SA-1'!AH56)&gt;0),'SA-1'!AH56,IFERROR('SA-1'!X56*1,0))</f>
        <v/>
      </c>
      <c r="J49" s="10">
        <f>IF(AND($B49="Forecast",N('WA-1'!AH56)&gt;0),'WA-1'!AH56,IFERROR('WA-1'!X56*1,0))</f>
        <v/>
      </c>
      <c r="K49" s="10">
        <f>IF(AND($B49="Forecast",N('IDC-NSW'!AH56)&gt;0),'IDC-NSW'!AH56,IFERROR('IDC-NSW'!X56*1,0))</f>
        <v/>
      </c>
      <c r="L49" s="10">
        <f>IF(AND($B49="Forecast",N('IDC-VIC'!AH56)&gt;0),'IDC-VIC'!AH56,IFERROR('IDC-VIC'!X56*1,0))</f>
        <v/>
      </c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J49" s="14">
        <f>IF($B49="Actual",C49,IF(Y49&lt;&gt;"",Y49,C49+N(N49)))</f>
        <v/>
      </c>
      <c r="AK49" s="14">
        <f>IF($B49="Actual",D49,IF(Z49&lt;&gt;"",Z49,D49+N(O49)))</f>
        <v/>
      </c>
      <c r="AL49" s="14">
        <f>IF($B49="Actual",E49,IF(AA49&lt;&gt;"",AA49,E49+N(P49)))</f>
        <v/>
      </c>
      <c r="AM49" s="14">
        <f>IF($B49="Actual",F49,IF(AB49&lt;&gt;"",AB49,F49+N(Q49)))</f>
        <v/>
      </c>
      <c r="AN49" s="14">
        <f>IF($B49="Actual",G49,IF(AC49&lt;&gt;"",AC49,G49+N(R49)))</f>
        <v/>
      </c>
      <c r="AO49" s="14">
        <f>IF($B49="Actual",H49,IF(AD49&lt;&gt;"",AD49,H49+N(S49)))</f>
        <v/>
      </c>
      <c r="AP49" s="14">
        <f>IF($B49="Actual",I49,IF(AE49&lt;&gt;"",AE49,I49+N(T49)))</f>
        <v/>
      </c>
      <c r="AQ49" s="14">
        <f>IF($B49="Actual",J49,IF(AF49&lt;&gt;"",AF49,J49+N(U49)))</f>
        <v/>
      </c>
      <c r="AR49" s="14">
        <f>IF($B49="Actual",K49,IF(AG49&lt;&gt;"",AG49,K49+N(V49)))</f>
        <v/>
      </c>
      <c r="AS49" s="14">
        <f>IF($B49="Actual",L49,IF(AH49&lt;&gt;"",AH49,L49+N(W49)))</f>
        <v/>
      </c>
    </row>
    <row r="50">
      <c r="A50" s="8" t="n">
        <v>46935</v>
      </c>
      <c r="B50">
        <f>IF(A50&lt;=LastActual,"Actual","Forecast")</f>
        <v/>
      </c>
      <c r="C50" s="10">
        <f>IF(AND($B50="Forecast",N('NSW-1'!AH57)&gt;0),'NSW-1'!AH57,IFERROR('NSW-1'!X57*1,0))</f>
        <v/>
      </c>
      <c r="D50" s="10">
        <f>IF(AND($B50="Forecast",N('VIC-1'!AH57)&gt;0),'VIC-1'!AH57,IFERROR('VIC-1'!X57*1,0))</f>
        <v/>
      </c>
      <c r="E50" s="10">
        <f>IF(AND($B50="Forecast",N('QLD-1'!AH57)&gt;0),'QLD-1'!AH57,IFERROR('QLD-1'!X57*1,0))</f>
        <v/>
      </c>
      <c r="F50" s="10">
        <f>IF(AND($B50="Forecast",N('NSW-2'!AH57)&gt;0),'NSW-2'!AH57,IFERROR('NSW-2'!X57*1,0))</f>
        <v/>
      </c>
      <c r="G50" s="10">
        <f>IF(AND($B50="Forecast",N('VIC-2'!AH57)&gt;0),'VIC-2'!AH57,IFERROR('VIC-2'!X57*1,0))</f>
        <v/>
      </c>
      <c r="H50" s="10">
        <f>IF(AND($B50="Forecast",N('QLD-2'!AH57)&gt;0),'QLD-2'!AH57,IFERROR('QLD-2'!X57*1,0))</f>
        <v/>
      </c>
      <c r="I50" s="10">
        <f>IF(AND($B50="Forecast",N('SA-1'!AH57)&gt;0),'SA-1'!AH57,IFERROR('SA-1'!X57*1,0))</f>
        <v/>
      </c>
      <c r="J50" s="10">
        <f>IF(AND($B50="Forecast",N('WA-1'!AH57)&gt;0),'WA-1'!AH57,IFERROR('WA-1'!X57*1,0))</f>
        <v/>
      </c>
      <c r="K50" s="10">
        <f>IF(AND($B50="Forecast",N('IDC-NSW'!AH57)&gt;0),'IDC-NSW'!AH57,IFERROR('IDC-NSW'!X57*1,0))</f>
        <v/>
      </c>
      <c r="L50" s="10">
        <f>IF(AND($B50="Forecast",N('IDC-VIC'!AH57)&gt;0),'IDC-VIC'!AH57,IFERROR('IDC-VIC'!X57*1,0))</f>
        <v/>
      </c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J50" s="14">
        <f>IF($B50="Actual",C50,IF(Y50&lt;&gt;"",Y50,C50+N(N50)))</f>
        <v/>
      </c>
      <c r="AK50" s="14">
        <f>IF($B50="Actual",D50,IF(Z50&lt;&gt;"",Z50,D50+N(O50)))</f>
        <v/>
      </c>
      <c r="AL50" s="14">
        <f>IF($B50="Actual",E50,IF(AA50&lt;&gt;"",AA50,E50+N(P50)))</f>
        <v/>
      </c>
      <c r="AM50" s="14">
        <f>IF($B50="Actual",F50,IF(AB50&lt;&gt;"",AB50,F50+N(Q50)))</f>
        <v/>
      </c>
      <c r="AN50" s="14">
        <f>IF($B50="Actual",G50,IF(AC50&lt;&gt;"",AC50,G50+N(R50)))</f>
        <v/>
      </c>
      <c r="AO50" s="14">
        <f>IF($B50="Actual",H50,IF(AD50&lt;&gt;"",AD50,H50+N(S50)))</f>
        <v/>
      </c>
      <c r="AP50" s="14">
        <f>IF($B50="Actual",I50,IF(AE50&lt;&gt;"",AE50,I50+N(T50)))</f>
        <v/>
      </c>
      <c r="AQ50" s="14">
        <f>IF($B50="Actual",J50,IF(AF50&lt;&gt;"",AF50,J50+N(U50)))</f>
        <v/>
      </c>
      <c r="AR50" s="14">
        <f>IF($B50="Actual",K50,IF(AG50&lt;&gt;"",AG50,K50+N(V50)))</f>
        <v/>
      </c>
      <c r="AS50" s="14">
        <f>IF($B50="Actual",L50,IF(AH50&lt;&gt;"",AH50,L50+N(W50)))</f>
        <v/>
      </c>
    </row>
    <row r="51">
      <c r="A51" s="8" t="n">
        <v>46966</v>
      </c>
      <c r="B51">
        <f>IF(A51&lt;=LastActual,"Actual","Forecast")</f>
        <v/>
      </c>
      <c r="C51" s="10">
        <f>IF(AND($B51="Forecast",N('NSW-1'!AH58)&gt;0),'NSW-1'!AH58,IFERROR('NSW-1'!X58*1,0))</f>
        <v/>
      </c>
      <c r="D51" s="10">
        <f>IF(AND($B51="Forecast",N('VIC-1'!AH58)&gt;0),'VIC-1'!AH58,IFERROR('VIC-1'!X58*1,0))</f>
        <v/>
      </c>
      <c r="E51" s="10">
        <f>IF(AND($B51="Forecast",N('QLD-1'!AH58)&gt;0),'QLD-1'!AH58,IFERROR('QLD-1'!X58*1,0))</f>
        <v/>
      </c>
      <c r="F51" s="10">
        <f>IF(AND($B51="Forecast",N('NSW-2'!AH58)&gt;0),'NSW-2'!AH58,IFERROR('NSW-2'!X58*1,0))</f>
        <v/>
      </c>
      <c r="G51" s="10">
        <f>IF(AND($B51="Forecast",N('VIC-2'!AH58)&gt;0),'VIC-2'!AH58,IFERROR('VIC-2'!X58*1,0))</f>
        <v/>
      </c>
      <c r="H51" s="10">
        <f>IF(AND($B51="Forecast",N('QLD-2'!AH58)&gt;0),'QLD-2'!AH58,IFERROR('QLD-2'!X58*1,0))</f>
        <v/>
      </c>
      <c r="I51" s="10">
        <f>IF(AND($B51="Forecast",N('SA-1'!AH58)&gt;0),'SA-1'!AH58,IFERROR('SA-1'!X58*1,0))</f>
        <v/>
      </c>
      <c r="J51" s="10">
        <f>IF(AND($B51="Forecast",N('WA-1'!AH58)&gt;0),'WA-1'!AH58,IFERROR('WA-1'!X58*1,0))</f>
        <v/>
      </c>
      <c r="K51" s="10">
        <f>IF(AND($B51="Forecast",N('IDC-NSW'!AH58)&gt;0),'IDC-NSW'!AH58,IFERROR('IDC-NSW'!X58*1,0))</f>
        <v/>
      </c>
      <c r="L51" s="10">
        <f>IF(AND($B51="Forecast",N('IDC-VIC'!AH58)&gt;0),'IDC-VIC'!AH58,IFERROR('IDC-VIC'!X58*1,0))</f>
        <v/>
      </c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J51" s="14">
        <f>IF($B51="Actual",C51,IF(Y51&lt;&gt;"",Y51,C51+N(N51)))</f>
        <v/>
      </c>
      <c r="AK51" s="14">
        <f>IF($B51="Actual",D51,IF(Z51&lt;&gt;"",Z51,D51+N(O51)))</f>
        <v/>
      </c>
      <c r="AL51" s="14">
        <f>IF($B51="Actual",E51,IF(AA51&lt;&gt;"",AA51,E51+N(P51)))</f>
        <v/>
      </c>
      <c r="AM51" s="14">
        <f>IF($B51="Actual",F51,IF(AB51&lt;&gt;"",AB51,F51+N(Q51)))</f>
        <v/>
      </c>
      <c r="AN51" s="14">
        <f>IF($B51="Actual",G51,IF(AC51&lt;&gt;"",AC51,G51+N(R51)))</f>
        <v/>
      </c>
      <c r="AO51" s="14">
        <f>IF($B51="Actual",H51,IF(AD51&lt;&gt;"",AD51,H51+N(S51)))</f>
        <v/>
      </c>
      <c r="AP51" s="14">
        <f>IF($B51="Actual",I51,IF(AE51&lt;&gt;"",AE51,I51+N(T51)))</f>
        <v/>
      </c>
      <c r="AQ51" s="14">
        <f>IF($B51="Actual",J51,IF(AF51&lt;&gt;"",AF51,J51+N(U51)))</f>
        <v/>
      </c>
      <c r="AR51" s="14">
        <f>IF($B51="Actual",K51,IF(AG51&lt;&gt;"",AG51,K51+N(V51)))</f>
        <v/>
      </c>
      <c r="AS51" s="14">
        <f>IF($B51="Actual",L51,IF(AH51&lt;&gt;"",AH51,L51+N(W51)))</f>
        <v/>
      </c>
    </row>
    <row r="52">
      <c r="A52" s="8" t="n">
        <v>46997</v>
      </c>
      <c r="B52">
        <f>IF(A52&lt;=LastActual,"Actual","Forecast")</f>
        <v/>
      </c>
      <c r="C52" s="10">
        <f>IF(AND($B52="Forecast",N('NSW-1'!AH59)&gt;0),'NSW-1'!AH59,IFERROR('NSW-1'!X59*1,0))</f>
        <v/>
      </c>
      <c r="D52" s="10">
        <f>IF(AND($B52="Forecast",N('VIC-1'!AH59)&gt;0),'VIC-1'!AH59,IFERROR('VIC-1'!X59*1,0))</f>
        <v/>
      </c>
      <c r="E52" s="10">
        <f>IF(AND($B52="Forecast",N('QLD-1'!AH59)&gt;0),'QLD-1'!AH59,IFERROR('QLD-1'!X59*1,0))</f>
        <v/>
      </c>
      <c r="F52" s="10">
        <f>IF(AND($B52="Forecast",N('NSW-2'!AH59)&gt;0),'NSW-2'!AH59,IFERROR('NSW-2'!X59*1,0))</f>
        <v/>
      </c>
      <c r="G52" s="10">
        <f>IF(AND($B52="Forecast",N('VIC-2'!AH59)&gt;0),'VIC-2'!AH59,IFERROR('VIC-2'!X59*1,0))</f>
        <v/>
      </c>
      <c r="H52" s="10">
        <f>IF(AND($B52="Forecast",N('QLD-2'!AH59)&gt;0),'QLD-2'!AH59,IFERROR('QLD-2'!X59*1,0))</f>
        <v/>
      </c>
      <c r="I52" s="10">
        <f>IF(AND($B52="Forecast",N('SA-1'!AH59)&gt;0),'SA-1'!AH59,IFERROR('SA-1'!X59*1,0))</f>
        <v/>
      </c>
      <c r="J52" s="10">
        <f>IF(AND($B52="Forecast",N('WA-1'!AH59)&gt;0),'WA-1'!AH59,IFERROR('WA-1'!X59*1,0))</f>
        <v/>
      </c>
      <c r="K52" s="10">
        <f>IF(AND($B52="Forecast",N('IDC-NSW'!AH59)&gt;0),'IDC-NSW'!AH59,IFERROR('IDC-NSW'!X59*1,0))</f>
        <v/>
      </c>
      <c r="L52" s="10">
        <f>IF(AND($B52="Forecast",N('IDC-VIC'!AH59)&gt;0),'IDC-VIC'!AH59,IFERROR('IDC-VIC'!X59*1,0))</f>
        <v/>
      </c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J52" s="14">
        <f>IF($B52="Actual",C52,IF(Y52&lt;&gt;"",Y52,C52+N(N52)))</f>
        <v/>
      </c>
      <c r="AK52" s="14">
        <f>IF($B52="Actual",D52,IF(Z52&lt;&gt;"",Z52,D52+N(O52)))</f>
        <v/>
      </c>
      <c r="AL52" s="14">
        <f>IF($B52="Actual",E52,IF(AA52&lt;&gt;"",AA52,E52+N(P52)))</f>
        <v/>
      </c>
      <c r="AM52" s="14">
        <f>IF($B52="Actual",F52,IF(AB52&lt;&gt;"",AB52,F52+N(Q52)))</f>
        <v/>
      </c>
      <c r="AN52" s="14">
        <f>IF($B52="Actual",G52,IF(AC52&lt;&gt;"",AC52,G52+N(R52)))</f>
        <v/>
      </c>
      <c r="AO52" s="14">
        <f>IF($B52="Actual",H52,IF(AD52&lt;&gt;"",AD52,H52+N(S52)))</f>
        <v/>
      </c>
      <c r="AP52" s="14">
        <f>IF($B52="Actual",I52,IF(AE52&lt;&gt;"",AE52,I52+N(T52)))</f>
        <v/>
      </c>
      <c r="AQ52" s="14">
        <f>IF($B52="Actual",J52,IF(AF52&lt;&gt;"",AF52,J52+N(U52)))</f>
        <v/>
      </c>
      <c r="AR52" s="14">
        <f>IF($B52="Actual",K52,IF(AG52&lt;&gt;"",AG52,K52+N(V52)))</f>
        <v/>
      </c>
      <c r="AS52" s="14">
        <f>IF($B52="Actual",L52,IF(AH52&lt;&gt;"",AH52,L52+N(W52)))</f>
        <v/>
      </c>
    </row>
    <row r="53">
      <c r="A53" s="8" t="n">
        <v>47027</v>
      </c>
      <c r="B53">
        <f>IF(A53&lt;=LastActual,"Actual","Forecast")</f>
        <v/>
      </c>
      <c r="C53" s="10">
        <f>IF(AND($B53="Forecast",N('NSW-1'!AH60)&gt;0),'NSW-1'!AH60,IFERROR('NSW-1'!X60*1,0))</f>
        <v/>
      </c>
      <c r="D53" s="10">
        <f>IF(AND($B53="Forecast",N('VIC-1'!AH60)&gt;0),'VIC-1'!AH60,IFERROR('VIC-1'!X60*1,0))</f>
        <v/>
      </c>
      <c r="E53" s="10">
        <f>IF(AND($B53="Forecast",N('QLD-1'!AH60)&gt;0),'QLD-1'!AH60,IFERROR('QLD-1'!X60*1,0))</f>
        <v/>
      </c>
      <c r="F53" s="10">
        <f>IF(AND($B53="Forecast",N('NSW-2'!AH60)&gt;0),'NSW-2'!AH60,IFERROR('NSW-2'!X60*1,0))</f>
        <v/>
      </c>
      <c r="G53" s="10">
        <f>IF(AND($B53="Forecast",N('VIC-2'!AH60)&gt;0),'VIC-2'!AH60,IFERROR('VIC-2'!X60*1,0))</f>
        <v/>
      </c>
      <c r="H53" s="10">
        <f>IF(AND($B53="Forecast",N('QLD-2'!AH60)&gt;0),'QLD-2'!AH60,IFERROR('QLD-2'!X60*1,0))</f>
        <v/>
      </c>
      <c r="I53" s="10">
        <f>IF(AND($B53="Forecast",N('SA-1'!AH60)&gt;0),'SA-1'!AH60,IFERROR('SA-1'!X60*1,0))</f>
        <v/>
      </c>
      <c r="J53" s="10">
        <f>IF(AND($B53="Forecast",N('WA-1'!AH60)&gt;0),'WA-1'!AH60,IFERROR('WA-1'!X60*1,0))</f>
        <v/>
      </c>
      <c r="K53" s="10">
        <f>IF(AND($B53="Forecast",N('IDC-NSW'!AH60)&gt;0),'IDC-NSW'!AH60,IFERROR('IDC-NSW'!X60*1,0))</f>
        <v/>
      </c>
      <c r="L53" s="10">
        <f>IF(AND($B53="Forecast",N('IDC-VIC'!AH60)&gt;0),'IDC-VIC'!AH60,IFERROR('IDC-VIC'!X60*1,0))</f>
        <v/>
      </c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J53" s="14">
        <f>IF($B53="Actual",C53,IF(Y53&lt;&gt;"",Y53,C53+N(N53)))</f>
        <v/>
      </c>
      <c r="AK53" s="14">
        <f>IF($B53="Actual",D53,IF(Z53&lt;&gt;"",Z53,D53+N(O53)))</f>
        <v/>
      </c>
      <c r="AL53" s="14">
        <f>IF($B53="Actual",E53,IF(AA53&lt;&gt;"",AA53,E53+N(P53)))</f>
        <v/>
      </c>
      <c r="AM53" s="14">
        <f>IF($B53="Actual",F53,IF(AB53&lt;&gt;"",AB53,F53+N(Q53)))</f>
        <v/>
      </c>
      <c r="AN53" s="14">
        <f>IF($B53="Actual",G53,IF(AC53&lt;&gt;"",AC53,G53+N(R53)))</f>
        <v/>
      </c>
      <c r="AO53" s="14">
        <f>IF($B53="Actual",H53,IF(AD53&lt;&gt;"",AD53,H53+N(S53)))</f>
        <v/>
      </c>
      <c r="AP53" s="14">
        <f>IF($B53="Actual",I53,IF(AE53&lt;&gt;"",AE53,I53+N(T53)))</f>
        <v/>
      </c>
      <c r="AQ53" s="14">
        <f>IF($B53="Actual",J53,IF(AF53&lt;&gt;"",AF53,J53+N(U53)))</f>
        <v/>
      </c>
      <c r="AR53" s="14">
        <f>IF($B53="Actual",K53,IF(AG53&lt;&gt;"",AG53,K53+N(V53)))</f>
        <v/>
      </c>
      <c r="AS53" s="14">
        <f>IF($B53="Actual",L53,IF(AH53&lt;&gt;"",AH53,L53+N(W53)))</f>
        <v/>
      </c>
    </row>
    <row r="54">
      <c r="A54" s="8" t="n">
        <v>47058</v>
      </c>
      <c r="B54">
        <f>IF(A54&lt;=LastActual,"Actual","Forecast")</f>
        <v/>
      </c>
      <c r="C54" s="10">
        <f>IF(AND($B54="Forecast",N('NSW-1'!AH61)&gt;0),'NSW-1'!AH61,IFERROR('NSW-1'!X61*1,0))</f>
        <v/>
      </c>
      <c r="D54" s="10">
        <f>IF(AND($B54="Forecast",N('VIC-1'!AH61)&gt;0),'VIC-1'!AH61,IFERROR('VIC-1'!X61*1,0))</f>
        <v/>
      </c>
      <c r="E54" s="10">
        <f>IF(AND($B54="Forecast",N('QLD-1'!AH61)&gt;0),'QLD-1'!AH61,IFERROR('QLD-1'!X61*1,0))</f>
        <v/>
      </c>
      <c r="F54" s="10">
        <f>IF(AND($B54="Forecast",N('NSW-2'!AH61)&gt;0),'NSW-2'!AH61,IFERROR('NSW-2'!X61*1,0))</f>
        <v/>
      </c>
      <c r="G54" s="10">
        <f>IF(AND($B54="Forecast",N('VIC-2'!AH61)&gt;0),'VIC-2'!AH61,IFERROR('VIC-2'!X61*1,0))</f>
        <v/>
      </c>
      <c r="H54" s="10">
        <f>IF(AND($B54="Forecast",N('QLD-2'!AH61)&gt;0),'QLD-2'!AH61,IFERROR('QLD-2'!X61*1,0))</f>
        <v/>
      </c>
      <c r="I54" s="10">
        <f>IF(AND($B54="Forecast",N('SA-1'!AH61)&gt;0),'SA-1'!AH61,IFERROR('SA-1'!X61*1,0))</f>
        <v/>
      </c>
      <c r="J54" s="10">
        <f>IF(AND($B54="Forecast",N('WA-1'!AH61)&gt;0),'WA-1'!AH61,IFERROR('WA-1'!X61*1,0))</f>
        <v/>
      </c>
      <c r="K54" s="10">
        <f>IF(AND($B54="Forecast",N('IDC-NSW'!AH61)&gt;0),'IDC-NSW'!AH61,IFERROR('IDC-NSW'!X61*1,0))</f>
        <v/>
      </c>
      <c r="L54" s="10">
        <f>IF(AND($B54="Forecast",N('IDC-VIC'!AH61)&gt;0),'IDC-VIC'!AH61,IFERROR('IDC-VIC'!X61*1,0))</f>
        <v/>
      </c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J54" s="14">
        <f>IF($B54="Actual",C54,IF(Y54&lt;&gt;"",Y54,C54+N(N54)))</f>
        <v/>
      </c>
      <c r="AK54" s="14">
        <f>IF($B54="Actual",D54,IF(Z54&lt;&gt;"",Z54,D54+N(O54)))</f>
        <v/>
      </c>
      <c r="AL54" s="14">
        <f>IF($B54="Actual",E54,IF(AA54&lt;&gt;"",AA54,E54+N(P54)))</f>
        <v/>
      </c>
      <c r="AM54" s="14">
        <f>IF($B54="Actual",F54,IF(AB54&lt;&gt;"",AB54,F54+N(Q54)))</f>
        <v/>
      </c>
      <c r="AN54" s="14">
        <f>IF($B54="Actual",G54,IF(AC54&lt;&gt;"",AC54,G54+N(R54)))</f>
        <v/>
      </c>
      <c r="AO54" s="14">
        <f>IF($B54="Actual",H54,IF(AD54&lt;&gt;"",AD54,H54+N(S54)))</f>
        <v/>
      </c>
      <c r="AP54" s="14">
        <f>IF($B54="Actual",I54,IF(AE54&lt;&gt;"",AE54,I54+N(T54)))</f>
        <v/>
      </c>
      <c r="AQ54" s="14">
        <f>IF($B54="Actual",J54,IF(AF54&lt;&gt;"",AF54,J54+N(U54)))</f>
        <v/>
      </c>
      <c r="AR54" s="14">
        <f>IF($B54="Actual",K54,IF(AG54&lt;&gt;"",AG54,K54+N(V54)))</f>
        <v/>
      </c>
      <c r="AS54" s="14">
        <f>IF($B54="Actual",L54,IF(AH54&lt;&gt;"",AH54,L54+N(W54)))</f>
        <v/>
      </c>
    </row>
    <row r="55">
      <c r="A55" s="8" t="n">
        <v>47088</v>
      </c>
      <c r="B55">
        <f>IF(A55&lt;=LastActual,"Actual","Forecast")</f>
        <v/>
      </c>
      <c r="C55" s="10">
        <f>IF(AND($B55="Forecast",N('NSW-1'!AH62)&gt;0),'NSW-1'!AH62,IFERROR('NSW-1'!X62*1,0))</f>
        <v/>
      </c>
      <c r="D55" s="10">
        <f>IF(AND($B55="Forecast",N('VIC-1'!AH62)&gt;0),'VIC-1'!AH62,IFERROR('VIC-1'!X62*1,0))</f>
        <v/>
      </c>
      <c r="E55" s="10">
        <f>IF(AND($B55="Forecast",N('QLD-1'!AH62)&gt;0),'QLD-1'!AH62,IFERROR('QLD-1'!X62*1,0))</f>
        <v/>
      </c>
      <c r="F55" s="10">
        <f>IF(AND($B55="Forecast",N('NSW-2'!AH62)&gt;0),'NSW-2'!AH62,IFERROR('NSW-2'!X62*1,0))</f>
        <v/>
      </c>
      <c r="G55" s="10">
        <f>IF(AND($B55="Forecast",N('VIC-2'!AH62)&gt;0),'VIC-2'!AH62,IFERROR('VIC-2'!X62*1,0))</f>
        <v/>
      </c>
      <c r="H55" s="10">
        <f>IF(AND($B55="Forecast",N('QLD-2'!AH62)&gt;0),'QLD-2'!AH62,IFERROR('QLD-2'!X62*1,0))</f>
        <v/>
      </c>
      <c r="I55" s="10">
        <f>IF(AND($B55="Forecast",N('SA-1'!AH62)&gt;0),'SA-1'!AH62,IFERROR('SA-1'!X62*1,0))</f>
        <v/>
      </c>
      <c r="J55" s="10">
        <f>IF(AND($B55="Forecast",N('WA-1'!AH62)&gt;0),'WA-1'!AH62,IFERROR('WA-1'!X62*1,0))</f>
        <v/>
      </c>
      <c r="K55" s="10">
        <f>IF(AND($B55="Forecast",N('IDC-NSW'!AH62)&gt;0),'IDC-NSW'!AH62,IFERROR('IDC-NSW'!X62*1,0))</f>
        <v/>
      </c>
      <c r="L55" s="10">
        <f>IF(AND($B55="Forecast",N('IDC-VIC'!AH62)&gt;0),'IDC-VIC'!AH62,IFERROR('IDC-VIC'!X62*1,0))</f>
        <v/>
      </c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J55" s="14">
        <f>IF($B55="Actual",C55,IF(Y55&lt;&gt;"",Y55,C55+N(N55)))</f>
        <v/>
      </c>
      <c r="AK55" s="14">
        <f>IF($B55="Actual",D55,IF(Z55&lt;&gt;"",Z55,D55+N(O55)))</f>
        <v/>
      </c>
      <c r="AL55" s="14">
        <f>IF($B55="Actual",E55,IF(AA55&lt;&gt;"",AA55,E55+N(P55)))</f>
        <v/>
      </c>
      <c r="AM55" s="14">
        <f>IF($B55="Actual",F55,IF(AB55&lt;&gt;"",AB55,F55+N(Q55)))</f>
        <v/>
      </c>
      <c r="AN55" s="14">
        <f>IF($B55="Actual",G55,IF(AC55&lt;&gt;"",AC55,G55+N(R55)))</f>
        <v/>
      </c>
      <c r="AO55" s="14">
        <f>IF($B55="Actual",H55,IF(AD55&lt;&gt;"",AD55,H55+N(S55)))</f>
        <v/>
      </c>
      <c r="AP55" s="14">
        <f>IF($B55="Actual",I55,IF(AE55&lt;&gt;"",AE55,I55+N(T55)))</f>
        <v/>
      </c>
      <c r="AQ55" s="14">
        <f>IF($B55="Actual",J55,IF(AF55&lt;&gt;"",AF55,J55+N(U55)))</f>
        <v/>
      </c>
      <c r="AR55" s="14">
        <f>IF($B55="Actual",K55,IF(AG55&lt;&gt;"",AG55,K55+N(V55)))</f>
        <v/>
      </c>
      <c r="AS55" s="14">
        <f>IF($B55="Actual",L55,IF(AH55&lt;&gt;"",AH55,L55+N(W55)))</f>
        <v/>
      </c>
    </row>
  </sheetData>
  <mergeCells count="4">
    <mergeCell ref="C6:L6"/>
    <mergeCell ref="AJ6:AS6"/>
    <mergeCell ref="Y6:AH6"/>
    <mergeCell ref="N6:W6"/>
  </mergeCells>
  <conditionalFormatting sqref="A8:AS55">
    <cfRule type="expression" priority="1" dxfId="0">
      <formula>$B8="Actual"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BP379"/>
  <sheetViews>
    <sheetView workbookViewId="0">
      <pane xSplit="3" ySplit="19" topLeftCell="D2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2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2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2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2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2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3" customWidth="1" min="65" max="65"/>
    <col width="10" customWidth="1" min="66" max="66"/>
    <col width="10" customWidth="1" min="67" max="67"/>
    <col width="10" customWidth="1" min="68" max="68"/>
  </cols>
  <sheetData>
    <row r="1">
      <c r="A1" s="2" t="inlineStr">
        <is>
          <t>CPLH breakdown: national CPLH target -&gt; site CPLH by month</t>
        </is>
      </c>
    </row>
    <row r="2">
      <c r="A2" s="6" t="inlineStr">
        <is>
          <t>Type a national CPLH target for a year. Every included site's CPLH (actual, else same month last year) is scaled by one</t>
        </is>
      </c>
    </row>
    <row r="3">
      <c r="A3" s="6" t="inlineStr">
        <is>
          <t>factor, so the year's national CPLH (included sites' cases / hours, actual months included) hits the target. Each site keeps</t>
        </is>
      </c>
    </row>
    <row r="4">
      <c r="A4" s="6" t="inlineStr">
        <is>
          <t>its own level and seasonal shape. Blank target = no change. Excluded sites keep their same-month-last-year CPLH.</t>
        </is>
      </c>
    </row>
    <row r="5">
      <c r="A5" s="6" t="inlineStr">
        <is>
          <t>Copy the paste column (far right) into Plan_Inputs column D, or set 'Plan CPLH source' on Inputs to National breakdown.</t>
        </is>
      </c>
    </row>
    <row r="8" ht="45" customHeight="1">
      <c r="A8" s="7" t="inlineStr">
        <is>
          <t>FY</t>
        </is>
      </c>
      <c r="B8" s="7" t="inlineStr">
        <is>
          <t>National CPLH target</t>
        </is>
      </c>
      <c r="C8" s="7" t="inlineStr">
        <is>
          <t>Included cases</t>
        </is>
      </c>
      <c r="D8" s="7" t="inlineStr">
        <is>
          <t>Actual hours</t>
        </is>
      </c>
      <c r="E8" s="7" t="inlineStr">
        <is>
          <t>Fcst hours at base CPLH</t>
        </is>
      </c>
      <c r="F8" s="7" t="inlineStr">
        <is>
          <t>Base national CPLH</t>
        </is>
      </c>
      <c r="G8" s="7" t="inlineStr">
        <is>
          <t>Uplift factor</t>
        </is>
      </c>
      <c r="H8" s="7" t="inlineStr">
        <is>
          <t>Resulting national CPLH</t>
        </is>
      </c>
    </row>
    <row r="9">
      <c r="A9" s="1" t="n">
        <v>2026</v>
      </c>
      <c r="B9" s="13" t="n"/>
      <c r="C9" s="15">
        <f>SUMIFS($BG$20:$BG$67,$C$20:$C$67,$A9)</f>
        <v/>
      </c>
      <c r="D9" s="9">
        <f>SUMIFS($BH$20:$BH$67,$C$20:$C$67,$A9,$B$20:$B$67,"Actual")</f>
        <v/>
      </c>
      <c r="E9" s="9">
        <f>SUMIFS($BH$20:$BH$67,$C$20:$C$67,$A9,$B$20:$B$67,"Forecast")</f>
        <v/>
      </c>
      <c r="F9" s="10">
        <f>IFERROR(C9/(D9+E9),0)</f>
        <v/>
      </c>
      <c r="G9" s="16">
        <f>IF(B9="",1,IF(C9/B9-D9&lt;=0,NA(),E9/(C9/B9-D9)))</f>
        <v/>
      </c>
      <c r="H9" s="10">
        <f>IFERROR(C9/SUMIFS($BI$20:$BI$67,$C$20:$C$67,$A9),0)</f>
        <v/>
      </c>
      <c r="I9" s="6" t="inlineStr">
        <is>
          <t>Cases in m. Uplift factor 1.03 = every included site's CPLH +3% in that year's forecast months.</t>
        </is>
      </c>
    </row>
    <row r="10">
      <c r="A10" s="1" t="n">
        <v>2027</v>
      </c>
      <c r="B10" s="13" t="n">
        <v>80.90000000000001</v>
      </c>
      <c r="C10" s="15">
        <f>SUMIFS($BG$20:$BG$67,$C$20:$C$67,$A10)</f>
        <v/>
      </c>
      <c r="D10" s="9">
        <f>SUMIFS($BH$20:$BH$67,$C$20:$C$67,$A10,$B$20:$B$67,"Actual")</f>
        <v/>
      </c>
      <c r="E10" s="9">
        <f>SUMIFS($BH$20:$BH$67,$C$20:$C$67,$A10,$B$20:$B$67,"Forecast")</f>
        <v/>
      </c>
      <c r="F10" s="10">
        <f>IFERROR(C10/(D10+E10),0)</f>
        <v/>
      </c>
      <c r="G10" s="16">
        <f>IF(B10="",1,IF(C10/B10-D10&lt;=0,NA(),E10/(C10/B10-D10)))</f>
        <v/>
      </c>
      <c r="H10" s="10">
        <f>IFERROR(C10/SUMIFS($BI$20:$BI$67,$C$20:$C$67,$A10),0)</f>
        <v/>
      </c>
    </row>
    <row r="11">
      <c r="A11" s="1" t="n">
        <v>2028</v>
      </c>
      <c r="B11" s="13" t="n">
        <v>81.40000000000001</v>
      </c>
      <c r="C11" s="15">
        <f>SUMIFS($BG$20:$BG$67,$C$20:$C$67,$A11)</f>
        <v/>
      </c>
      <c r="D11" s="9">
        <f>SUMIFS($BH$20:$BH$67,$C$20:$C$67,$A11,$B$20:$B$67,"Actual")</f>
        <v/>
      </c>
      <c r="E11" s="9">
        <f>SUMIFS($BH$20:$BH$67,$C$20:$C$67,$A11,$B$20:$B$67,"Forecast")</f>
        <v/>
      </c>
      <c r="F11" s="10">
        <f>IFERROR(C11/(D11+E11),0)</f>
        <v/>
      </c>
      <c r="G11" s="16">
        <f>IF(B11="",1,IF(C11/B11-D11&lt;=0,NA(),E11/(C11/B11-D11)))</f>
        <v/>
      </c>
      <c r="H11" s="10">
        <f>IFERROR(C11/SUMIFS($BI$20:$BI$67,$C$20:$C$67,$A11),0)</f>
        <v/>
      </c>
    </row>
    <row r="14">
      <c r="C14" s="7" t="inlineStr">
        <is>
          <t>Site</t>
        </is>
      </c>
      <c r="D14" s="7">
        <f>Inputs!$A$36</f>
        <v/>
      </c>
      <c r="E14" s="7">
        <f>Inputs!$A$37</f>
        <v/>
      </c>
      <c r="F14" s="7">
        <f>Inputs!$A$38</f>
        <v/>
      </c>
      <c r="G14" s="7">
        <f>Inputs!$A$39</f>
        <v/>
      </c>
      <c r="H14" s="7">
        <f>Inputs!$A$40</f>
        <v/>
      </c>
      <c r="I14" s="7">
        <f>Inputs!$A$41</f>
        <v/>
      </c>
      <c r="J14" s="7">
        <f>Inputs!$A$42</f>
        <v/>
      </c>
      <c r="K14" s="7">
        <f>Inputs!$A$43</f>
        <v/>
      </c>
      <c r="L14" s="7">
        <f>Inputs!$A$44</f>
        <v/>
      </c>
      <c r="M14" s="7">
        <f>Inputs!$A$45</f>
        <v/>
      </c>
    </row>
    <row r="15">
      <c r="C15" s="1" t="inlineStr">
        <is>
          <t>Include</t>
        </is>
      </c>
      <c r="D15" s="5" t="inlineStr">
        <is>
          <t>Yes</t>
        </is>
      </c>
      <c r="E15" s="5" t="inlineStr">
        <is>
          <t>Yes</t>
        </is>
      </c>
      <c r="F15" s="5" t="inlineStr">
        <is>
          <t>Yes</t>
        </is>
      </c>
      <c r="G15" s="5" t="inlineStr">
        <is>
          <t>Yes</t>
        </is>
      </c>
      <c r="H15" s="5" t="inlineStr">
        <is>
          <t>Yes</t>
        </is>
      </c>
      <c r="I15" s="5" t="inlineStr">
        <is>
          <t>Yes</t>
        </is>
      </c>
      <c r="J15" s="5" t="inlineStr">
        <is>
          <t>Yes</t>
        </is>
      </c>
      <c r="K15" s="5" t="inlineStr">
        <is>
          <t>Yes</t>
        </is>
      </c>
      <c r="L15" s="5" t="inlineStr">
        <is>
          <t>No</t>
        </is>
      </c>
      <c r="M15" s="5" t="inlineStr">
        <is>
          <t>No</t>
        </is>
      </c>
    </row>
    <row r="18">
      <c r="D18" s="7" t="inlineStr">
        <is>
          <t>Base CPLH (actual, else same month LY)</t>
        </is>
      </c>
      <c r="O18" s="7" t="inlineStr">
        <is>
          <t>Cases (Cases_Forecast used)</t>
        </is>
      </c>
      <c r="Z18" s="7" t="inlineStr">
        <is>
          <t>Hours at base CPLH</t>
        </is>
      </c>
      <c r="AK18" s="7" t="inlineStr">
        <is>
          <t>Suggested CPLH</t>
        </is>
      </c>
      <c r="AV18" s="7" t="inlineStr">
        <is>
          <t>Hours at suggested CPLH</t>
        </is>
      </c>
      <c r="BG18" s="7" t="inlineStr">
        <is>
          <t>National (included sites)</t>
        </is>
      </c>
      <c r="BN18" s="7" t="inlineStr">
        <is>
          <t>To paste into Plan_Inputs column D (values)</t>
        </is>
      </c>
    </row>
    <row r="19" ht="30" customHeight="1">
      <c r="A19" s="7" t="inlineStr">
        <is>
          <t>Month</t>
        </is>
      </c>
      <c r="B19" s="7" t="inlineStr">
        <is>
          <t>Status</t>
        </is>
      </c>
      <c r="C19" s="7" t="inlineStr">
        <is>
          <t>FY</t>
        </is>
      </c>
      <c r="D19" s="7">
        <f>Inputs!$A$36</f>
        <v/>
      </c>
      <c r="E19" s="7">
        <f>Inputs!$A$37</f>
        <v/>
      </c>
      <c r="F19" s="7">
        <f>Inputs!$A$38</f>
        <v/>
      </c>
      <c r="G19" s="7">
        <f>Inputs!$A$39</f>
        <v/>
      </c>
      <c r="H19" s="7">
        <f>Inputs!$A$40</f>
        <v/>
      </c>
      <c r="I19" s="7">
        <f>Inputs!$A$41</f>
        <v/>
      </c>
      <c r="J19" s="7">
        <f>Inputs!$A$42</f>
        <v/>
      </c>
      <c r="K19" s="7">
        <f>Inputs!$A$43</f>
        <v/>
      </c>
      <c r="L19" s="7">
        <f>Inputs!$A$44</f>
        <v/>
      </c>
      <c r="M19" s="7">
        <f>Inputs!$A$45</f>
        <v/>
      </c>
      <c r="O19" s="7">
        <f>Inputs!$A$36</f>
        <v/>
      </c>
      <c r="P19" s="7">
        <f>Inputs!$A$37</f>
        <v/>
      </c>
      <c r="Q19" s="7">
        <f>Inputs!$A$38</f>
        <v/>
      </c>
      <c r="R19" s="7">
        <f>Inputs!$A$39</f>
        <v/>
      </c>
      <c r="S19" s="7">
        <f>Inputs!$A$40</f>
        <v/>
      </c>
      <c r="T19" s="7">
        <f>Inputs!$A$41</f>
        <v/>
      </c>
      <c r="U19" s="7">
        <f>Inputs!$A$42</f>
        <v/>
      </c>
      <c r="V19" s="7">
        <f>Inputs!$A$43</f>
        <v/>
      </c>
      <c r="W19" s="7">
        <f>Inputs!$A$44</f>
        <v/>
      </c>
      <c r="X19" s="7">
        <f>Inputs!$A$45</f>
        <v/>
      </c>
      <c r="Z19" s="7">
        <f>Inputs!$A$36</f>
        <v/>
      </c>
      <c r="AA19" s="7">
        <f>Inputs!$A$37</f>
        <v/>
      </c>
      <c r="AB19" s="7">
        <f>Inputs!$A$38</f>
        <v/>
      </c>
      <c r="AC19" s="7">
        <f>Inputs!$A$39</f>
        <v/>
      </c>
      <c r="AD19" s="7">
        <f>Inputs!$A$40</f>
        <v/>
      </c>
      <c r="AE19" s="7">
        <f>Inputs!$A$41</f>
        <v/>
      </c>
      <c r="AF19" s="7">
        <f>Inputs!$A$42</f>
        <v/>
      </c>
      <c r="AG19" s="7">
        <f>Inputs!$A$43</f>
        <v/>
      </c>
      <c r="AH19" s="7">
        <f>Inputs!$A$44</f>
        <v/>
      </c>
      <c r="AI19" s="7">
        <f>Inputs!$A$45</f>
        <v/>
      </c>
      <c r="AK19" s="7">
        <f>Inputs!$A$36</f>
        <v/>
      </c>
      <c r="AL19" s="7">
        <f>Inputs!$A$37</f>
        <v/>
      </c>
      <c r="AM19" s="7">
        <f>Inputs!$A$38</f>
        <v/>
      </c>
      <c r="AN19" s="7">
        <f>Inputs!$A$39</f>
        <v/>
      </c>
      <c r="AO19" s="7">
        <f>Inputs!$A$40</f>
        <v/>
      </c>
      <c r="AP19" s="7">
        <f>Inputs!$A$41</f>
        <v/>
      </c>
      <c r="AQ19" s="7">
        <f>Inputs!$A$42</f>
        <v/>
      </c>
      <c r="AR19" s="7">
        <f>Inputs!$A$43</f>
        <v/>
      </c>
      <c r="AS19" s="7">
        <f>Inputs!$A$44</f>
        <v/>
      </c>
      <c r="AT19" s="7">
        <f>Inputs!$A$45</f>
        <v/>
      </c>
      <c r="AV19" s="7">
        <f>Inputs!$A$36</f>
        <v/>
      </c>
      <c r="AW19" s="7">
        <f>Inputs!$A$37</f>
        <v/>
      </c>
      <c r="AX19" s="7">
        <f>Inputs!$A$38</f>
        <v/>
      </c>
      <c r="AY19" s="7">
        <f>Inputs!$A$39</f>
        <v/>
      </c>
      <c r="AZ19" s="7">
        <f>Inputs!$A$40</f>
        <v/>
      </c>
      <c r="BA19" s="7">
        <f>Inputs!$A$41</f>
        <v/>
      </c>
      <c r="BB19" s="7">
        <f>Inputs!$A$42</f>
        <v/>
      </c>
      <c r="BC19" s="7">
        <f>Inputs!$A$43</f>
        <v/>
      </c>
      <c r="BD19" s="7">
        <f>Inputs!$A$44</f>
        <v/>
      </c>
      <c r="BE19" s="7">
        <f>Inputs!$A$45</f>
        <v/>
      </c>
      <c r="BG19" s="7" t="inlineStr">
        <is>
          <t>Cases</t>
        </is>
      </c>
      <c r="BH19" s="7" t="inlineStr">
        <is>
          <t>Hours at base CPLH</t>
        </is>
      </c>
      <c r="BI19" s="7" t="inlineStr">
        <is>
          <t>Hours at suggested CPLH</t>
        </is>
      </c>
      <c r="BJ19" s="7" t="inlineStr">
        <is>
          <t>Base CPLH</t>
        </is>
      </c>
      <c r="BK19" s="7" t="inlineStr">
        <is>
          <t>Suggested CPLH</t>
        </is>
      </c>
      <c r="BL19" s="7" t="inlineStr">
        <is>
          <t>Uplift factor</t>
        </is>
      </c>
      <c r="BN19" s="7" t="inlineStr">
        <is>
          <t>Month</t>
        </is>
      </c>
      <c r="BO19" s="7" t="inlineStr">
        <is>
          <t>Site</t>
        </is>
      </c>
      <c r="BP19" s="7" t="inlineStr">
        <is>
          <t>Suggested CPLH</t>
        </is>
      </c>
    </row>
    <row r="20">
      <c r="A20" s="8" t="n">
        <v>45658</v>
      </c>
      <c r="B20">
        <f>IF(A20&lt;=LastActual,"Actual","Forecast")</f>
        <v/>
      </c>
      <c r="C20">
        <f>YEAR(A20)</f>
        <v/>
      </c>
      <c r="D20" s="10">
        <f>IFERROR('NSW-1'!X15*1,0)</f>
        <v/>
      </c>
      <c r="E20" s="10">
        <f>IFERROR('VIC-1'!X15*1,0)</f>
        <v/>
      </c>
      <c r="F20" s="10">
        <f>IFERROR('QLD-1'!X15*1,0)</f>
        <v/>
      </c>
      <c r="G20" s="10">
        <f>IFERROR('NSW-2'!X15*1,0)</f>
        <v/>
      </c>
      <c r="H20" s="10">
        <f>IFERROR('VIC-2'!X15*1,0)</f>
        <v/>
      </c>
      <c r="I20" s="10">
        <f>IFERROR('QLD-2'!X15*1,0)</f>
        <v/>
      </c>
      <c r="J20" s="10">
        <f>IFERROR('SA-1'!X15*1,0)</f>
        <v/>
      </c>
      <c r="K20" s="10">
        <f>IFERROR('WA-1'!X15*1,0)</f>
        <v/>
      </c>
      <c r="L20" s="10">
        <f>IFERROR('IDC-NSW'!X15*1,0)</f>
        <v/>
      </c>
      <c r="M20" s="10">
        <f>IFERROR('IDC-VIC'!X15*1,0)</f>
        <v/>
      </c>
      <c r="O20" s="9">
        <f>Cases_Forecast!AJ8</f>
        <v/>
      </c>
      <c r="P20" s="9">
        <f>Cases_Forecast!AK8</f>
        <v/>
      </c>
      <c r="Q20" s="9">
        <f>Cases_Forecast!AL8</f>
        <v/>
      </c>
      <c r="R20" s="9">
        <f>Cases_Forecast!AM8</f>
        <v/>
      </c>
      <c r="S20" s="9">
        <f>Cases_Forecast!AN8</f>
        <v/>
      </c>
      <c r="T20" s="9">
        <f>Cases_Forecast!AO8</f>
        <v/>
      </c>
      <c r="U20" s="9">
        <f>Cases_Forecast!AP8</f>
        <v/>
      </c>
      <c r="V20" s="9">
        <f>Cases_Forecast!AQ8</f>
        <v/>
      </c>
      <c r="W20" s="9">
        <f>Cases_Forecast!AR8</f>
        <v/>
      </c>
      <c r="X20" s="9">
        <f>Cases_Forecast!AS8</f>
        <v/>
      </c>
      <c r="Z20" s="9">
        <f>IFERROR(O20/D20,0)</f>
        <v/>
      </c>
      <c r="AA20" s="9">
        <f>IFERROR(P20/E20,0)</f>
        <v/>
      </c>
      <c r="AB20" s="9">
        <f>IFERROR(Q20/F20,0)</f>
        <v/>
      </c>
      <c r="AC20" s="9">
        <f>IFERROR(R20/G20,0)</f>
        <v/>
      </c>
      <c r="AD20" s="9">
        <f>IFERROR(S20/H20,0)</f>
        <v/>
      </c>
      <c r="AE20" s="9">
        <f>IFERROR(T20/I20,0)</f>
        <v/>
      </c>
      <c r="AF20" s="9">
        <f>IFERROR(U20/J20,0)</f>
        <v/>
      </c>
      <c r="AG20" s="9">
        <f>IFERROR(V20/K20,0)</f>
        <v/>
      </c>
      <c r="AH20" s="9">
        <f>IFERROR(W20/L20,0)</f>
        <v/>
      </c>
      <c r="AI20" s="9">
        <f>IFERROR(X20/M20,0)</f>
        <v/>
      </c>
      <c r="AK20" s="14">
        <f>IF(D$15="Yes",D20*$BL20,D20)</f>
        <v/>
      </c>
      <c r="AL20" s="14">
        <f>IF(E$15="Yes",E20*$BL20,E20)</f>
        <v/>
      </c>
      <c r="AM20" s="14">
        <f>IF(F$15="Yes",F20*$BL20,F20)</f>
        <v/>
      </c>
      <c r="AN20" s="14">
        <f>IF(G$15="Yes",G20*$BL20,G20)</f>
        <v/>
      </c>
      <c r="AO20" s="14">
        <f>IF(H$15="Yes",H20*$BL20,H20)</f>
        <v/>
      </c>
      <c r="AP20" s="14">
        <f>IF(I$15="Yes",I20*$BL20,I20)</f>
        <v/>
      </c>
      <c r="AQ20" s="14">
        <f>IF(J$15="Yes",J20*$BL20,J20)</f>
        <v/>
      </c>
      <c r="AR20" s="14">
        <f>IF(K$15="Yes",K20*$BL20,K20)</f>
        <v/>
      </c>
      <c r="AS20" s="14">
        <f>IF(L$15="Yes",L20*$BL20,L20)</f>
        <v/>
      </c>
      <c r="AT20" s="14">
        <f>IF(M$15="Yes",M20*$BL20,M20)</f>
        <v/>
      </c>
      <c r="AV20" s="9">
        <f>IFERROR(O20/AK20,0)</f>
        <v/>
      </c>
      <c r="AW20" s="9">
        <f>IFERROR(P20/AL20,0)</f>
        <v/>
      </c>
      <c r="AX20" s="9">
        <f>IFERROR(Q20/AM20,0)</f>
        <v/>
      </c>
      <c r="AY20" s="9">
        <f>IFERROR(R20/AN20,0)</f>
        <v/>
      </c>
      <c r="AZ20" s="9">
        <f>IFERROR(S20/AO20,0)</f>
        <v/>
      </c>
      <c r="BA20" s="9">
        <f>IFERROR(T20/AP20,0)</f>
        <v/>
      </c>
      <c r="BB20" s="9">
        <f>IFERROR(U20/AQ20,0)</f>
        <v/>
      </c>
      <c r="BC20" s="9">
        <f>IFERROR(V20/AR20,0)</f>
        <v/>
      </c>
      <c r="BD20" s="9">
        <f>IFERROR(W20/AS20,0)</f>
        <v/>
      </c>
      <c r="BE20" s="9">
        <f>IFERROR(X20/AT20,0)</f>
        <v/>
      </c>
      <c r="BG20" s="9">
        <f>SUMPRODUCT(($D$15:$M$15="Yes")*O20:X20)</f>
        <v/>
      </c>
      <c r="BH20" s="9">
        <f>SUMPRODUCT(($D$15:$M$15="Yes")*Z20:AI20)</f>
        <v/>
      </c>
      <c r="BI20" s="9">
        <f>SUMPRODUCT(($D$15:$M$15="Yes")*AV20:BE20)</f>
        <v/>
      </c>
      <c r="BJ20" s="10">
        <f>IFERROR(BG20/BH20,0)</f>
        <v/>
      </c>
      <c r="BK20" s="10">
        <f>IFERROR(BG20/BI20,0)</f>
        <v/>
      </c>
      <c r="BL20" s="16">
        <f>IF(B20="Actual",1,INDEX($G$9:$G$11,MATCH(C20,$A$9:$A$11,0)))</f>
        <v/>
      </c>
      <c r="BN20" s="8" t="n">
        <v>46023</v>
      </c>
      <c r="BO20">
        <f>Inputs!$A$36</f>
        <v/>
      </c>
      <c r="BP20" s="10">
        <f>AK32</f>
        <v/>
      </c>
    </row>
    <row r="21">
      <c r="A21" s="8" t="n">
        <v>45689</v>
      </c>
      <c r="B21">
        <f>IF(A21&lt;=LastActual,"Actual","Forecast")</f>
        <v/>
      </c>
      <c r="C21">
        <f>YEAR(A21)</f>
        <v/>
      </c>
      <c r="D21" s="10">
        <f>IFERROR('NSW-1'!X16*1,0)</f>
        <v/>
      </c>
      <c r="E21" s="10">
        <f>IFERROR('VIC-1'!X16*1,0)</f>
        <v/>
      </c>
      <c r="F21" s="10">
        <f>IFERROR('QLD-1'!X16*1,0)</f>
        <v/>
      </c>
      <c r="G21" s="10">
        <f>IFERROR('NSW-2'!X16*1,0)</f>
        <v/>
      </c>
      <c r="H21" s="10">
        <f>IFERROR('VIC-2'!X16*1,0)</f>
        <v/>
      </c>
      <c r="I21" s="10">
        <f>IFERROR('QLD-2'!X16*1,0)</f>
        <v/>
      </c>
      <c r="J21" s="10">
        <f>IFERROR('SA-1'!X16*1,0)</f>
        <v/>
      </c>
      <c r="K21" s="10">
        <f>IFERROR('WA-1'!X16*1,0)</f>
        <v/>
      </c>
      <c r="L21" s="10">
        <f>IFERROR('IDC-NSW'!X16*1,0)</f>
        <v/>
      </c>
      <c r="M21" s="10">
        <f>IFERROR('IDC-VIC'!X16*1,0)</f>
        <v/>
      </c>
      <c r="O21" s="9">
        <f>Cases_Forecast!AJ9</f>
        <v/>
      </c>
      <c r="P21" s="9">
        <f>Cases_Forecast!AK9</f>
        <v/>
      </c>
      <c r="Q21" s="9">
        <f>Cases_Forecast!AL9</f>
        <v/>
      </c>
      <c r="R21" s="9">
        <f>Cases_Forecast!AM9</f>
        <v/>
      </c>
      <c r="S21" s="9">
        <f>Cases_Forecast!AN9</f>
        <v/>
      </c>
      <c r="T21" s="9">
        <f>Cases_Forecast!AO9</f>
        <v/>
      </c>
      <c r="U21" s="9">
        <f>Cases_Forecast!AP9</f>
        <v/>
      </c>
      <c r="V21" s="9">
        <f>Cases_Forecast!AQ9</f>
        <v/>
      </c>
      <c r="W21" s="9">
        <f>Cases_Forecast!AR9</f>
        <v/>
      </c>
      <c r="X21" s="9">
        <f>Cases_Forecast!AS9</f>
        <v/>
      </c>
      <c r="Z21" s="9">
        <f>IFERROR(O21/D21,0)</f>
        <v/>
      </c>
      <c r="AA21" s="9">
        <f>IFERROR(P21/E21,0)</f>
        <v/>
      </c>
      <c r="AB21" s="9">
        <f>IFERROR(Q21/F21,0)</f>
        <v/>
      </c>
      <c r="AC21" s="9">
        <f>IFERROR(R21/G21,0)</f>
        <v/>
      </c>
      <c r="AD21" s="9">
        <f>IFERROR(S21/H21,0)</f>
        <v/>
      </c>
      <c r="AE21" s="9">
        <f>IFERROR(T21/I21,0)</f>
        <v/>
      </c>
      <c r="AF21" s="9">
        <f>IFERROR(U21/J21,0)</f>
        <v/>
      </c>
      <c r="AG21" s="9">
        <f>IFERROR(V21/K21,0)</f>
        <v/>
      </c>
      <c r="AH21" s="9">
        <f>IFERROR(W21/L21,0)</f>
        <v/>
      </c>
      <c r="AI21" s="9">
        <f>IFERROR(X21/M21,0)</f>
        <v/>
      </c>
      <c r="AK21" s="14">
        <f>IF(D$15="Yes",D21*$BL21,D21)</f>
        <v/>
      </c>
      <c r="AL21" s="14">
        <f>IF(E$15="Yes",E21*$BL21,E21)</f>
        <v/>
      </c>
      <c r="AM21" s="14">
        <f>IF(F$15="Yes",F21*$BL21,F21)</f>
        <v/>
      </c>
      <c r="AN21" s="14">
        <f>IF(G$15="Yes",G21*$BL21,G21)</f>
        <v/>
      </c>
      <c r="AO21" s="14">
        <f>IF(H$15="Yes",H21*$BL21,H21)</f>
        <v/>
      </c>
      <c r="AP21" s="14">
        <f>IF(I$15="Yes",I21*$BL21,I21)</f>
        <v/>
      </c>
      <c r="AQ21" s="14">
        <f>IF(J$15="Yes",J21*$BL21,J21)</f>
        <v/>
      </c>
      <c r="AR21" s="14">
        <f>IF(K$15="Yes",K21*$BL21,K21)</f>
        <v/>
      </c>
      <c r="AS21" s="14">
        <f>IF(L$15="Yes",L21*$BL21,L21)</f>
        <v/>
      </c>
      <c r="AT21" s="14">
        <f>IF(M$15="Yes",M21*$BL21,M21)</f>
        <v/>
      </c>
      <c r="AV21" s="9">
        <f>IFERROR(O21/AK21,0)</f>
        <v/>
      </c>
      <c r="AW21" s="9">
        <f>IFERROR(P21/AL21,0)</f>
        <v/>
      </c>
      <c r="AX21" s="9">
        <f>IFERROR(Q21/AM21,0)</f>
        <v/>
      </c>
      <c r="AY21" s="9">
        <f>IFERROR(R21/AN21,0)</f>
        <v/>
      </c>
      <c r="AZ21" s="9">
        <f>IFERROR(S21/AO21,0)</f>
        <v/>
      </c>
      <c r="BA21" s="9">
        <f>IFERROR(T21/AP21,0)</f>
        <v/>
      </c>
      <c r="BB21" s="9">
        <f>IFERROR(U21/AQ21,0)</f>
        <v/>
      </c>
      <c r="BC21" s="9">
        <f>IFERROR(V21/AR21,0)</f>
        <v/>
      </c>
      <c r="BD21" s="9">
        <f>IFERROR(W21/AS21,0)</f>
        <v/>
      </c>
      <c r="BE21" s="9">
        <f>IFERROR(X21/AT21,0)</f>
        <v/>
      </c>
      <c r="BG21" s="9">
        <f>SUMPRODUCT(($D$15:$M$15="Yes")*O21:X21)</f>
        <v/>
      </c>
      <c r="BH21" s="9">
        <f>SUMPRODUCT(($D$15:$M$15="Yes")*Z21:AI21)</f>
        <v/>
      </c>
      <c r="BI21" s="9">
        <f>SUMPRODUCT(($D$15:$M$15="Yes")*AV21:BE21)</f>
        <v/>
      </c>
      <c r="BJ21" s="10">
        <f>IFERROR(BG21/BH21,0)</f>
        <v/>
      </c>
      <c r="BK21" s="10">
        <f>IFERROR(BG21/BI21,0)</f>
        <v/>
      </c>
      <c r="BL21" s="16">
        <f>IF(B21="Actual",1,INDEX($G$9:$G$11,MATCH(C21,$A$9:$A$11,0)))</f>
        <v/>
      </c>
      <c r="BN21" s="8" t="n">
        <v>46023</v>
      </c>
      <c r="BO21">
        <f>Inputs!$A$37</f>
        <v/>
      </c>
      <c r="BP21" s="10">
        <f>AL32</f>
        <v/>
      </c>
    </row>
    <row r="22">
      <c r="A22" s="8" t="n">
        <v>45717</v>
      </c>
      <c r="B22">
        <f>IF(A22&lt;=LastActual,"Actual","Forecast")</f>
        <v/>
      </c>
      <c r="C22">
        <f>YEAR(A22)</f>
        <v/>
      </c>
      <c r="D22" s="10">
        <f>IFERROR('NSW-1'!X17*1,0)</f>
        <v/>
      </c>
      <c r="E22" s="10">
        <f>IFERROR('VIC-1'!X17*1,0)</f>
        <v/>
      </c>
      <c r="F22" s="10">
        <f>IFERROR('QLD-1'!X17*1,0)</f>
        <v/>
      </c>
      <c r="G22" s="10">
        <f>IFERROR('NSW-2'!X17*1,0)</f>
        <v/>
      </c>
      <c r="H22" s="10">
        <f>IFERROR('VIC-2'!X17*1,0)</f>
        <v/>
      </c>
      <c r="I22" s="10">
        <f>IFERROR('QLD-2'!X17*1,0)</f>
        <v/>
      </c>
      <c r="J22" s="10">
        <f>IFERROR('SA-1'!X17*1,0)</f>
        <v/>
      </c>
      <c r="K22" s="10">
        <f>IFERROR('WA-1'!X17*1,0)</f>
        <v/>
      </c>
      <c r="L22" s="10">
        <f>IFERROR('IDC-NSW'!X17*1,0)</f>
        <v/>
      </c>
      <c r="M22" s="10">
        <f>IFERROR('IDC-VIC'!X17*1,0)</f>
        <v/>
      </c>
      <c r="O22" s="9">
        <f>Cases_Forecast!AJ10</f>
        <v/>
      </c>
      <c r="P22" s="9">
        <f>Cases_Forecast!AK10</f>
        <v/>
      </c>
      <c r="Q22" s="9">
        <f>Cases_Forecast!AL10</f>
        <v/>
      </c>
      <c r="R22" s="9">
        <f>Cases_Forecast!AM10</f>
        <v/>
      </c>
      <c r="S22" s="9">
        <f>Cases_Forecast!AN10</f>
        <v/>
      </c>
      <c r="T22" s="9">
        <f>Cases_Forecast!AO10</f>
        <v/>
      </c>
      <c r="U22" s="9">
        <f>Cases_Forecast!AP10</f>
        <v/>
      </c>
      <c r="V22" s="9">
        <f>Cases_Forecast!AQ10</f>
        <v/>
      </c>
      <c r="W22" s="9">
        <f>Cases_Forecast!AR10</f>
        <v/>
      </c>
      <c r="X22" s="9">
        <f>Cases_Forecast!AS10</f>
        <v/>
      </c>
      <c r="Z22" s="9">
        <f>IFERROR(O22/D22,0)</f>
        <v/>
      </c>
      <c r="AA22" s="9">
        <f>IFERROR(P22/E22,0)</f>
        <v/>
      </c>
      <c r="AB22" s="9">
        <f>IFERROR(Q22/F22,0)</f>
        <v/>
      </c>
      <c r="AC22" s="9">
        <f>IFERROR(R22/G22,0)</f>
        <v/>
      </c>
      <c r="AD22" s="9">
        <f>IFERROR(S22/H22,0)</f>
        <v/>
      </c>
      <c r="AE22" s="9">
        <f>IFERROR(T22/I22,0)</f>
        <v/>
      </c>
      <c r="AF22" s="9">
        <f>IFERROR(U22/J22,0)</f>
        <v/>
      </c>
      <c r="AG22" s="9">
        <f>IFERROR(V22/K22,0)</f>
        <v/>
      </c>
      <c r="AH22" s="9">
        <f>IFERROR(W22/L22,0)</f>
        <v/>
      </c>
      <c r="AI22" s="9">
        <f>IFERROR(X22/M22,0)</f>
        <v/>
      </c>
      <c r="AK22" s="14">
        <f>IF(D$15="Yes",D22*$BL22,D22)</f>
        <v/>
      </c>
      <c r="AL22" s="14">
        <f>IF(E$15="Yes",E22*$BL22,E22)</f>
        <v/>
      </c>
      <c r="AM22" s="14">
        <f>IF(F$15="Yes",F22*$BL22,F22)</f>
        <v/>
      </c>
      <c r="AN22" s="14">
        <f>IF(G$15="Yes",G22*$BL22,G22)</f>
        <v/>
      </c>
      <c r="AO22" s="14">
        <f>IF(H$15="Yes",H22*$BL22,H22)</f>
        <v/>
      </c>
      <c r="AP22" s="14">
        <f>IF(I$15="Yes",I22*$BL22,I22)</f>
        <v/>
      </c>
      <c r="AQ22" s="14">
        <f>IF(J$15="Yes",J22*$BL22,J22)</f>
        <v/>
      </c>
      <c r="AR22" s="14">
        <f>IF(K$15="Yes",K22*$BL22,K22)</f>
        <v/>
      </c>
      <c r="AS22" s="14">
        <f>IF(L$15="Yes",L22*$BL22,L22)</f>
        <v/>
      </c>
      <c r="AT22" s="14">
        <f>IF(M$15="Yes",M22*$BL22,M22)</f>
        <v/>
      </c>
      <c r="AV22" s="9">
        <f>IFERROR(O22/AK22,0)</f>
        <v/>
      </c>
      <c r="AW22" s="9">
        <f>IFERROR(P22/AL22,0)</f>
        <v/>
      </c>
      <c r="AX22" s="9">
        <f>IFERROR(Q22/AM22,0)</f>
        <v/>
      </c>
      <c r="AY22" s="9">
        <f>IFERROR(R22/AN22,0)</f>
        <v/>
      </c>
      <c r="AZ22" s="9">
        <f>IFERROR(S22/AO22,0)</f>
        <v/>
      </c>
      <c r="BA22" s="9">
        <f>IFERROR(T22/AP22,0)</f>
        <v/>
      </c>
      <c r="BB22" s="9">
        <f>IFERROR(U22/AQ22,0)</f>
        <v/>
      </c>
      <c r="BC22" s="9">
        <f>IFERROR(V22/AR22,0)</f>
        <v/>
      </c>
      <c r="BD22" s="9">
        <f>IFERROR(W22/AS22,0)</f>
        <v/>
      </c>
      <c r="BE22" s="9">
        <f>IFERROR(X22/AT22,0)</f>
        <v/>
      </c>
      <c r="BG22" s="9">
        <f>SUMPRODUCT(($D$15:$M$15="Yes")*O22:X22)</f>
        <v/>
      </c>
      <c r="BH22" s="9">
        <f>SUMPRODUCT(($D$15:$M$15="Yes")*Z22:AI22)</f>
        <v/>
      </c>
      <c r="BI22" s="9">
        <f>SUMPRODUCT(($D$15:$M$15="Yes")*AV22:BE22)</f>
        <v/>
      </c>
      <c r="BJ22" s="10">
        <f>IFERROR(BG22/BH22,0)</f>
        <v/>
      </c>
      <c r="BK22" s="10">
        <f>IFERROR(BG22/BI22,0)</f>
        <v/>
      </c>
      <c r="BL22" s="16">
        <f>IF(B22="Actual",1,INDEX($G$9:$G$11,MATCH(C22,$A$9:$A$11,0)))</f>
        <v/>
      </c>
      <c r="BN22" s="8" t="n">
        <v>46023</v>
      </c>
      <c r="BO22">
        <f>Inputs!$A$38</f>
        <v/>
      </c>
      <c r="BP22" s="10">
        <f>AM32</f>
        <v/>
      </c>
    </row>
    <row r="23">
      <c r="A23" s="8" t="n">
        <v>45748</v>
      </c>
      <c r="B23">
        <f>IF(A23&lt;=LastActual,"Actual","Forecast")</f>
        <v/>
      </c>
      <c r="C23">
        <f>YEAR(A23)</f>
        <v/>
      </c>
      <c r="D23" s="10">
        <f>IFERROR('NSW-1'!X18*1,0)</f>
        <v/>
      </c>
      <c r="E23" s="10">
        <f>IFERROR('VIC-1'!X18*1,0)</f>
        <v/>
      </c>
      <c r="F23" s="10">
        <f>IFERROR('QLD-1'!X18*1,0)</f>
        <v/>
      </c>
      <c r="G23" s="10">
        <f>IFERROR('NSW-2'!X18*1,0)</f>
        <v/>
      </c>
      <c r="H23" s="10">
        <f>IFERROR('VIC-2'!X18*1,0)</f>
        <v/>
      </c>
      <c r="I23" s="10">
        <f>IFERROR('QLD-2'!X18*1,0)</f>
        <v/>
      </c>
      <c r="J23" s="10">
        <f>IFERROR('SA-1'!X18*1,0)</f>
        <v/>
      </c>
      <c r="K23" s="10">
        <f>IFERROR('WA-1'!X18*1,0)</f>
        <v/>
      </c>
      <c r="L23" s="10">
        <f>IFERROR('IDC-NSW'!X18*1,0)</f>
        <v/>
      </c>
      <c r="M23" s="10">
        <f>IFERROR('IDC-VIC'!X18*1,0)</f>
        <v/>
      </c>
      <c r="O23" s="9">
        <f>Cases_Forecast!AJ11</f>
        <v/>
      </c>
      <c r="P23" s="9">
        <f>Cases_Forecast!AK11</f>
        <v/>
      </c>
      <c r="Q23" s="9">
        <f>Cases_Forecast!AL11</f>
        <v/>
      </c>
      <c r="R23" s="9">
        <f>Cases_Forecast!AM11</f>
        <v/>
      </c>
      <c r="S23" s="9">
        <f>Cases_Forecast!AN11</f>
        <v/>
      </c>
      <c r="T23" s="9">
        <f>Cases_Forecast!AO11</f>
        <v/>
      </c>
      <c r="U23" s="9">
        <f>Cases_Forecast!AP11</f>
        <v/>
      </c>
      <c r="V23" s="9">
        <f>Cases_Forecast!AQ11</f>
        <v/>
      </c>
      <c r="W23" s="9">
        <f>Cases_Forecast!AR11</f>
        <v/>
      </c>
      <c r="X23" s="9">
        <f>Cases_Forecast!AS11</f>
        <v/>
      </c>
      <c r="Z23" s="9">
        <f>IFERROR(O23/D23,0)</f>
        <v/>
      </c>
      <c r="AA23" s="9">
        <f>IFERROR(P23/E23,0)</f>
        <v/>
      </c>
      <c r="AB23" s="9">
        <f>IFERROR(Q23/F23,0)</f>
        <v/>
      </c>
      <c r="AC23" s="9">
        <f>IFERROR(R23/G23,0)</f>
        <v/>
      </c>
      <c r="AD23" s="9">
        <f>IFERROR(S23/H23,0)</f>
        <v/>
      </c>
      <c r="AE23" s="9">
        <f>IFERROR(T23/I23,0)</f>
        <v/>
      </c>
      <c r="AF23" s="9">
        <f>IFERROR(U23/J23,0)</f>
        <v/>
      </c>
      <c r="AG23" s="9">
        <f>IFERROR(V23/K23,0)</f>
        <v/>
      </c>
      <c r="AH23" s="9">
        <f>IFERROR(W23/L23,0)</f>
        <v/>
      </c>
      <c r="AI23" s="9">
        <f>IFERROR(X23/M23,0)</f>
        <v/>
      </c>
      <c r="AK23" s="14">
        <f>IF(D$15="Yes",D23*$BL23,D23)</f>
        <v/>
      </c>
      <c r="AL23" s="14">
        <f>IF(E$15="Yes",E23*$BL23,E23)</f>
        <v/>
      </c>
      <c r="AM23" s="14">
        <f>IF(F$15="Yes",F23*$BL23,F23)</f>
        <v/>
      </c>
      <c r="AN23" s="14">
        <f>IF(G$15="Yes",G23*$BL23,G23)</f>
        <v/>
      </c>
      <c r="AO23" s="14">
        <f>IF(H$15="Yes",H23*$BL23,H23)</f>
        <v/>
      </c>
      <c r="AP23" s="14">
        <f>IF(I$15="Yes",I23*$BL23,I23)</f>
        <v/>
      </c>
      <c r="AQ23" s="14">
        <f>IF(J$15="Yes",J23*$BL23,J23)</f>
        <v/>
      </c>
      <c r="AR23" s="14">
        <f>IF(K$15="Yes",K23*$BL23,K23)</f>
        <v/>
      </c>
      <c r="AS23" s="14">
        <f>IF(L$15="Yes",L23*$BL23,L23)</f>
        <v/>
      </c>
      <c r="AT23" s="14">
        <f>IF(M$15="Yes",M23*$BL23,M23)</f>
        <v/>
      </c>
      <c r="AV23" s="9">
        <f>IFERROR(O23/AK23,0)</f>
        <v/>
      </c>
      <c r="AW23" s="9">
        <f>IFERROR(P23/AL23,0)</f>
        <v/>
      </c>
      <c r="AX23" s="9">
        <f>IFERROR(Q23/AM23,0)</f>
        <v/>
      </c>
      <c r="AY23" s="9">
        <f>IFERROR(R23/AN23,0)</f>
        <v/>
      </c>
      <c r="AZ23" s="9">
        <f>IFERROR(S23/AO23,0)</f>
        <v/>
      </c>
      <c r="BA23" s="9">
        <f>IFERROR(T23/AP23,0)</f>
        <v/>
      </c>
      <c r="BB23" s="9">
        <f>IFERROR(U23/AQ23,0)</f>
        <v/>
      </c>
      <c r="BC23" s="9">
        <f>IFERROR(V23/AR23,0)</f>
        <v/>
      </c>
      <c r="BD23" s="9">
        <f>IFERROR(W23/AS23,0)</f>
        <v/>
      </c>
      <c r="BE23" s="9">
        <f>IFERROR(X23/AT23,0)</f>
        <v/>
      </c>
      <c r="BG23" s="9">
        <f>SUMPRODUCT(($D$15:$M$15="Yes")*O23:X23)</f>
        <v/>
      </c>
      <c r="BH23" s="9">
        <f>SUMPRODUCT(($D$15:$M$15="Yes")*Z23:AI23)</f>
        <v/>
      </c>
      <c r="BI23" s="9">
        <f>SUMPRODUCT(($D$15:$M$15="Yes")*AV23:BE23)</f>
        <v/>
      </c>
      <c r="BJ23" s="10">
        <f>IFERROR(BG23/BH23,0)</f>
        <v/>
      </c>
      <c r="BK23" s="10">
        <f>IFERROR(BG23/BI23,0)</f>
        <v/>
      </c>
      <c r="BL23" s="16">
        <f>IF(B23="Actual",1,INDEX($G$9:$G$11,MATCH(C23,$A$9:$A$11,0)))</f>
        <v/>
      </c>
      <c r="BN23" s="8" t="n">
        <v>46023</v>
      </c>
      <c r="BO23">
        <f>Inputs!$A$39</f>
        <v/>
      </c>
      <c r="BP23" s="10">
        <f>AN32</f>
        <v/>
      </c>
    </row>
    <row r="24">
      <c r="A24" s="8" t="n">
        <v>45778</v>
      </c>
      <c r="B24">
        <f>IF(A24&lt;=LastActual,"Actual","Forecast")</f>
        <v/>
      </c>
      <c r="C24">
        <f>YEAR(A24)</f>
        <v/>
      </c>
      <c r="D24" s="10">
        <f>IFERROR('NSW-1'!X19*1,0)</f>
        <v/>
      </c>
      <c r="E24" s="10">
        <f>IFERROR('VIC-1'!X19*1,0)</f>
        <v/>
      </c>
      <c r="F24" s="10">
        <f>IFERROR('QLD-1'!X19*1,0)</f>
        <v/>
      </c>
      <c r="G24" s="10">
        <f>IFERROR('NSW-2'!X19*1,0)</f>
        <v/>
      </c>
      <c r="H24" s="10">
        <f>IFERROR('VIC-2'!X19*1,0)</f>
        <v/>
      </c>
      <c r="I24" s="10">
        <f>IFERROR('QLD-2'!X19*1,0)</f>
        <v/>
      </c>
      <c r="J24" s="10">
        <f>IFERROR('SA-1'!X19*1,0)</f>
        <v/>
      </c>
      <c r="K24" s="10">
        <f>IFERROR('WA-1'!X19*1,0)</f>
        <v/>
      </c>
      <c r="L24" s="10">
        <f>IFERROR('IDC-NSW'!X19*1,0)</f>
        <v/>
      </c>
      <c r="M24" s="10">
        <f>IFERROR('IDC-VIC'!X19*1,0)</f>
        <v/>
      </c>
      <c r="O24" s="9">
        <f>Cases_Forecast!AJ12</f>
        <v/>
      </c>
      <c r="P24" s="9">
        <f>Cases_Forecast!AK12</f>
        <v/>
      </c>
      <c r="Q24" s="9">
        <f>Cases_Forecast!AL12</f>
        <v/>
      </c>
      <c r="R24" s="9">
        <f>Cases_Forecast!AM12</f>
        <v/>
      </c>
      <c r="S24" s="9">
        <f>Cases_Forecast!AN12</f>
        <v/>
      </c>
      <c r="T24" s="9">
        <f>Cases_Forecast!AO12</f>
        <v/>
      </c>
      <c r="U24" s="9">
        <f>Cases_Forecast!AP12</f>
        <v/>
      </c>
      <c r="V24" s="9">
        <f>Cases_Forecast!AQ12</f>
        <v/>
      </c>
      <c r="W24" s="9">
        <f>Cases_Forecast!AR12</f>
        <v/>
      </c>
      <c r="X24" s="9">
        <f>Cases_Forecast!AS12</f>
        <v/>
      </c>
      <c r="Z24" s="9">
        <f>IFERROR(O24/D24,0)</f>
        <v/>
      </c>
      <c r="AA24" s="9">
        <f>IFERROR(P24/E24,0)</f>
        <v/>
      </c>
      <c r="AB24" s="9">
        <f>IFERROR(Q24/F24,0)</f>
        <v/>
      </c>
      <c r="AC24" s="9">
        <f>IFERROR(R24/G24,0)</f>
        <v/>
      </c>
      <c r="AD24" s="9">
        <f>IFERROR(S24/H24,0)</f>
        <v/>
      </c>
      <c r="AE24" s="9">
        <f>IFERROR(T24/I24,0)</f>
        <v/>
      </c>
      <c r="AF24" s="9">
        <f>IFERROR(U24/J24,0)</f>
        <v/>
      </c>
      <c r="AG24" s="9">
        <f>IFERROR(V24/K24,0)</f>
        <v/>
      </c>
      <c r="AH24" s="9">
        <f>IFERROR(W24/L24,0)</f>
        <v/>
      </c>
      <c r="AI24" s="9">
        <f>IFERROR(X24/M24,0)</f>
        <v/>
      </c>
      <c r="AK24" s="14">
        <f>IF(D$15="Yes",D24*$BL24,D24)</f>
        <v/>
      </c>
      <c r="AL24" s="14">
        <f>IF(E$15="Yes",E24*$BL24,E24)</f>
        <v/>
      </c>
      <c r="AM24" s="14">
        <f>IF(F$15="Yes",F24*$BL24,F24)</f>
        <v/>
      </c>
      <c r="AN24" s="14">
        <f>IF(G$15="Yes",G24*$BL24,G24)</f>
        <v/>
      </c>
      <c r="AO24" s="14">
        <f>IF(H$15="Yes",H24*$BL24,H24)</f>
        <v/>
      </c>
      <c r="AP24" s="14">
        <f>IF(I$15="Yes",I24*$BL24,I24)</f>
        <v/>
      </c>
      <c r="AQ24" s="14">
        <f>IF(J$15="Yes",J24*$BL24,J24)</f>
        <v/>
      </c>
      <c r="AR24" s="14">
        <f>IF(K$15="Yes",K24*$BL24,K24)</f>
        <v/>
      </c>
      <c r="AS24" s="14">
        <f>IF(L$15="Yes",L24*$BL24,L24)</f>
        <v/>
      </c>
      <c r="AT24" s="14">
        <f>IF(M$15="Yes",M24*$BL24,M24)</f>
        <v/>
      </c>
      <c r="AV24" s="9">
        <f>IFERROR(O24/AK24,0)</f>
        <v/>
      </c>
      <c r="AW24" s="9">
        <f>IFERROR(P24/AL24,0)</f>
        <v/>
      </c>
      <c r="AX24" s="9">
        <f>IFERROR(Q24/AM24,0)</f>
        <v/>
      </c>
      <c r="AY24" s="9">
        <f>IFERROR(R24/AN24,0)</f>
        <v/>
      </c>
      <c r="AZ24" s="9">
        <f>IFERROR(S24/AO24,0)</f>
        <v/>
      </c>
      <c r="BA24" s="9">
        <f>IFERROR(T24/AP24,0)</f>
        <v/>
      </c>
      <c r="BB24" s="9">
        <f>IFERROR(U24/AQ24,0)</f>
        <v/>
      </c>
      <c r="BC24" s="9">
        <f>IFERROR(V24/AR24,0)</f>
        <v/>
      </c>
      <c r="BD24" s="9">
        <f>IFERROR(W24/AS24,0)</f>
        <v/>
      </c>
      <c r="BE24" s="9">
        <f>IFERROR(X24/AT24,0)</f>
        <v/>
      </c>
      <c r="BG24" s="9">
        <f>SUMPRODUCT(($D$15:$M$15="Yes")*O24:X24)</f>
        <v/>
      </c>
      <c r="BH24" s="9">
        <f>SUMPRODUCT(($D$15:$M$15="Yes")*Z24:AI24)</f>
        <v/>
      </c>
      <c r="BI24" s="9">
        <f>SUMPRODUCT(($D$15:$M$15="Yes")*AV24:BE24)</f>
        <v/>
      </c>
      <c r="BJ24" s="10">
        <f>IFERROR(BG24/BH24,0)</f>
        <v/>
      </c>
      <c r="BK24" s="10">
        <f>IFERROR(BG24/BI24,0)</f>
        <v/>
      </c>
      <c r="BL24" s="16">
        <f>IF(B24="Actual",1,INDEX($G$9:$G$11,MATCH(C24,$A$9:$A$11,0)))</f>
        <v/>
      </c>
      <c r="BN24" s="8" t="n">
        <v>46023</v>
      </c>
      <c r="BO24">
        <f>Inputs!$A$40</f>
        <v/>
      </c>
      <c r="BP24" s="10">
        <f>AO32</f>
        <v/>
      </c>
    </row>
    <row r="25">
      <c r="A25" s="8" t="n">
        <v>45809</v>
      </c>
      <c r="B25">
        <f>IF(A25&lt;=LastActual,"Actual","Forecast")</f>
        <v/>
      </c>
      <c r="C25">
        <f>YEAR(A25)</f>
        <v/>
      </c>
      <c r="D25" s="10">
        <f>IFERROR('NSW-1'!X20*1,0)</f>
        <v/>
      </c>
      <c r="E25" s="10">
        <f>IFERROR('VIC-1'!X20*1,0)</f>
        <v/>
      </c>
      <c r="F25" s="10">
        <f>IFERROR('QLD-1'!X20*1,0)</f>
        <v/>
      </c>
      <c r="G25" s="10">
        <f>IFERROR('NSW-2'!X20*1,0)</f>
        <v/>
      </c>
      <c r="H25" s="10">
        <f>IFERROR('VIC-2'!X20*1,0)</f>
        <v/>
      </c>
      <c r="I25" s="10">
        <f>IFERROR('QLD-2'!X20*1,0)</f>
        <v/>
      </c>
      <c r="J25" s="10">
        <f>IFERROR('SA-1'!X20*1,0)</f>
        <v/>
      </c>
      <c r="K25" s="10">
        <f>IFERROR('WA-1'!X20*1,0)</f>
        <v/>
      </c>
      <c r="L25" s="10">
        <f>IFERROR('IDC-NSW'!X20*1,0)</f>
        <v/>
      </c>
      <c r="M25" s="10">
        <f>IFERROR('IDC-VIC'!X20*1,0)</f>
        <v/>
      </c>
      <c r="O25" s="9">
        <f>Cases_Forecast!AJ13</f>
        <v/>
      </c>
      <c r="P25" s="9">
        <f>Cases_Forecast!AK13</f>
        <v/>
      </c>
      <c r="Q25" s="9">
        <f>Cases_Forecast!AL13</f>
        <v/>
      </c>
      <c r="R25" s="9">
        <f>Cases_Forecast!AM13</f>
        <v/>
      </c>
      <c r="S25" s="9">
        <f>Cases_Forecast!AN13</f>
        <v/>
      </c>
      <c r="T25" s="9">
        <f>Cases_Forecast!AO13</f>
        <v/>
      </c>
      <c r="U25" s="9">
        <f>Cases_Forecast!AP13</f>
        <v/>
      </c>
      <c r="V25" s="9">
        <f>Cases_Forecast!AQ13</f>
        <v/>
      </c>
      <c r="W25" s="9">
        <f>Cases_Forecast!AR13</f>
        <v/>
      </c>
      <c r="X25" s="9">
        <f>Cases_Forecast!AS13</f>
        <v/>
      </c>
      <c r="Z25" s="9">
        <f>IFERROR(O25/D25,0)</f>
        <v/>
      </c>
      <c r="AA25" s="9">
        <f>IFERROR(P25/E25,0)</f>
        <v/>
      </c>
      <c r="AB25" s="9">
        <f>IFERROR(Q25/F25,0)</f>
        <v/>
      </c>
      <c r="AC25" s="9">
        <f>IFERROR(R25/G25,0)</f>
        <v/>
      </c>
      <c r="AD25" s="9">
        <f>IFERROR(S25/H25,0)</f>
        <v/>
      </c>
      <c r="AE25" s="9">
        <f>IFERROR(T25/I25,0)</f>
        <v/>
      </c>
      <c r="AF25" s="9">
        <f>IFERROR(U25/J25,0)</f>
        <v/>
      </c>
      <c r="AG25" s="9">
        <f>IFERROR(V25/K25,0)</f>
        <v/>
      </c>
      <c r="AH25" s="9">
        <f>IFERROR(W25/L25,0)</f>
        <v/>
      </c>
      <c r="AI25" s="9">
        <f>IFERROR(X25/M25,0)</f>
        <v/>
      </c>
      <c r="AK25" s="14">
        <f>IF(D$15="Yes",D25*$BL25,D25)</f>
        <v/>
      </c>
      <c r="AL25" s="14">
        <f>IF(E$15="Yes",E25*$BL25,E25)</f>
        <v/>
      </c>
      <c r="AM25" s="14">
        <f>IF(F$15="Yes",F25*$BL25,F25)</f>
        <v/>
      </c>
      <c r="AN25" s="14">
        <f>IF(G$15="Yes",G25*$BL25,G25)</f>
        <v/>
      </c>
      <c r="AO25" s="14">
        <f>IF(H$15="Yes",H25*$BL25,H25)</f>
        <v/>
      </c>
      <c r="AP25" s="14">
        <f>IF(I$15="Yes",I25*$BL25,I25)</f>
        <v/>
      </c>
      <c r="AQ25" s="14">
        <f>IF(J$15="Yes",J25*$BL25,J25)</f>
        <v/>
      </c>
      <c r="AR25" s="14">
        <f>IF(K$15="Yes",K25*$BL25,K25)</f>
        <v/>
      </c>
      <c r="AS25" s="14">
        <f>IF(L$15="Yes",L25*$BL25,L25)</f>
        <v/>
      </c>
      <c r="AT25" s="14">
        <f>IF(M$15="Yes",M25*$BL25,M25)</f>
        <v/>
      </c>
      <c r="AV25" s="9">
        <f>IFERROR(O25/AK25,0)</f>
        <v/>
      </c>
      <c r="AW25" s="9">
        <f>IFERROR(P25/AL25,0)</f>
        <v/>
      </c>
      <c r="AX25" s="9">
        <f>IFERROR(Q25/AM25,0)</f>
        <v/>
      </c>
      <c r="AY25" s="9">
        <f>IFERROR(R25/AN25,0)</f>
        <v/>
      </c>
      <c r="AZ25" s="9">
        <f>IFERROR(S25/AO25,0)</f>
        <v/>
      </c>
      <c r="BA25" s="9">
        <f>IFERROR(T25/AP25,0)</f>
        <v/>
      </c>
      <c r="BB25" s="9">
        <f>IFERROR(U25/AQ25,0)</f>
        <v/>
      </c>
      <c r="BC25" s="9">
        <f>IFERROR(V25/AR25,0)</f>
        <v/>
      </c>
      <c r="BD25" s="9">
        <f>IFERROR(W25/AS25,0)</f>
        <v/>
      </c>
      <c r="BE25" s="9">
        <f>IFERROR(X25/AT25,0)</f>
        <v/>
      </c>
      <c r="BG25" s="9">
        <f>SUMPRODUCT(($D$15:$M$15="Yes")*O25:X25)</f>
        <v/>
      </c>
      <c r="BH25" s="9">
        <f>SUMPRODUCT(($D$15:$M$15="Yes")*Z25:AI25)</f>
        <v/>
      </c>
      <c r="BI25" s="9">
        <f>SUMPRODUCT(($D$15:$M$15="Yes")*AV25:BE25)</f>
        <v/>
      </c>
      <c r="BJ25" s="10">
        <f>IFERROR(BG25/BH25,0)</f>
        <v/>
      </c>
      <c r="BK25" s="10">
        <f>IFERROR(BG25/BI25,0)</f>
        <v/>
      </c>
      <c r="BL25" s="16">
        <f>IF(B25="Actual",1,INDEX($G$9:$G$11,MATCH(C25,$A$9:$A$11,0)))</f>
        <v/>
      </c>
      <c r="BN25" s="8" t="n">
        <v>46023</v>
      </c>
      <c r="BO25">
        <f>Inputs!$A$41</f>
        <v/>
      </c>
      <c r="BP25" s="10">
        <f>AP32</f>
        <v/>
      </c>
    </row>
    <row r="26">
      <c r="A26" s="8" t="n">
        <v>45839</v>
      </c>
      <c r="B26">
        <f>IF(A26&lt;=LastActual,"Actual","Forecast")</f>
        <v/>
      </c>
      <c r="C26">
        <f>YEAR(A26)</f>
        <v/>
      </c>
      <c r="D26" s="10">
        <f>IFERROR('NSW-1'!X21*1,0)</f>
        <v/>
      </c>
      <c r="E26" s="10">
        <f>IFERROR('VIC-1'!X21*1,0)</f>
        <v/>
      </c>
      <c r="F26" s="10">
        <f>IFERROR('QLD-1'!X21*1,0)</f>
        <v/>
      </c>
      <c r="G26" s="10">
        <f>IFERROR('NSW-2'!X21*1,0)</f>
        <v/>
      </c>
      <c r="H26" s="10">
        <f>IFERROR('VIC-2'!X21*1,0)</f>
        <v/>
      </c>
      <c r="I26" s="10">
        <f>IFERROR('QLD-2'!X21*1,0)</f>
        <v/>
      </c>
      <c r="J26" s="10">
        <f>IFERROR('SA-1'!X21*1,0)</f>
        <v/>
      </c>
      <c r="K26" s="10">
        <f>IFERROR('WA-1'!X21*1,0)</f>
        <v/>
      </c>
      <c r="L26" s="10">
        <f>IFERROR('IDC-NSW'!X21*1,0)</f>
        <v/>
      </c>
      <c r="M26" s="10">
        <f>IFERROR('IDC-VIC'!X21*1,0)</f>
        <v/>
      </c>
      <c r="O26" s="9">
        <f>Cases_Forecast!AJ14</f>
        <v/>
      </c>
      <c r="P26" s="9">
        <f>Cases_Forecast!AK14</f>
        <v/>
      </c>
      <c r="Q26" s="9">
        <f>Cases_Forecast!AL14</f>
        <v/>
      </c>
      <c r="R26" s="9">
        <f>Cases_Forecast!AM14</f>
        <v/>
      </c>
      <c r="S26" s="9">
        <f>Cases_Forecast!AN14</f>
        <v/>
      </c>
      <c r="T26" s="9">
        <f>Cases_Forecast!AO14</f>
        <v/>
      </c>
      <c r="U26" s="9">
        <f>Cases_Forecast!AP14</f>
        <v/>
      </c>
      <c r="V26" s="9">
        <f>Cases_Forecast!AQ14</f>
        <v/>
      </c>
      <c r="W26" s="9">
        <f>Cases_Forecast!AR14</f>
        <v/>
      </c>
      <c r="X26" s="9">
        <f>Cases_Forecast!AS14</f>
        <v/>
      </c>
      <c r="Z26" s="9">
        <f>IFERROR(O26/D26,0)</f>
        <v/>
      </c>
      <c r="AA26" s="9">
        <f>IFERROR(P26/E26,0)</f>
        <v/>
      </c>
      <c r="AB26" s="9">
        <f>IFERROR(Q26/F26,0)</f>
        <v/>
      </c>
      <c r="AC26" s="9">
        <f>IFERROR(R26/G26,0)</f>
        <v/>
      </c>
      <c r="AD26" s="9">
        <f>IFERROR(S26/H26,0)</f>
        <v/>
      </c>
      <c r="AE26" s="9">
        <f>IFERROR(T26/I26,0)</f>
        <v/>
      </c>
      <c r="AF26" s="9">
        <f>IFERROR(U26/J26,0)</f>
        <v/>
      </c>
      <c r="AG26" s="9">
        <f>IFERROR(V26/K26,0)</f>
        <v/>
      </c>
      <c r="AH26" s="9">
        <f>IFERROR(W26/L26,0)</f>
        <v/>
      </c>
      <c r="AI26" s="9">
        <f>IFERROR(X26/M26,0)</f>
        <v/>
      </c>
      <c r="AK26" s="14">
        <f>IF(D$15="Yes",D26*$BL26,D26)</f>
        <v/>
      </c>
      <c r="AL26" s="14">
        <f>IF(E$15="Yes",E26*$BL26,E26)</f>
        <v/>
      </c>
      <c r="AM26" s="14">
        <f>IF(F$15="Yes",F26*$BL26,F26)</f>
        <v/>
      </c>
      <c r="AN26" s="14">
        <f>IF(G$15="Yes",G26*$BL26,G26)</f>
        <v/>
      </c>
      <c r="AO26" s="14">
        <f>IF(H$15="Yes",H26*$BL26,H26)</f>
        <v/>
      </c>
      <c r="AP26" s="14">
        <f>IF(I$15="Yes",I26*$BL26,I26)</f>
        <v/>
      </c>
      <c r="AQ26" s="14">
        <f>IF(J$15="Yes",J26*$BL26,J26)</f>
        <v/>
      </c>
      <c r="AR26" s="14">
        <f>IF(K$15="Yes",K26*$BL26,K26)</f>
        <v/>
      </c>
      <c r="AS26" s="14">
        <f>IF(L$15="Yes",L26*$BL26,L26)</f>
        <v/>
      </c>
      <c r="AT26" s="14">
        <f>IF(M$15="Yes",M26*$BL26,M26)</f>
        <v/>
      </c>
      <c r="AV26" s="9">
        <f>IFERROR(O26/AK26,0)</f>
        <v/>
      </c>
      <c r="AW26" s="9">
        <f>IFERROR(P26/AL26,0)</f>
        <v/>
      </c>
      <c r="AX26" s="9">
        <f>IFERROR(Q26/AM26,0)</f>
        <v/>
      </c>
      <c r="AY26" s="9">
        <f>IFERROR(R26/AN26,0)</f>
        <v/>
      </c>
      <c r="AZ26" s="9">
        <f>IFERROR(S26/AO26,0)</f>
        <v/>
      </c>
      <c r="BA26" s="9">
        <f>IFERROR(T26/AP26,0)</f>
        <v/>
      </c>
      <c r="BB26" s="9">
        <f>IFERROR(U26/AQ26,0)</f>
        <v/>
      </c>
      <c r="BC26" s="9">
        <f>IFERROR(V26/AR26,0)</f>
        <v/>
      </c>
      <c r="BD26" s="9">
        <f>IFERROR(W26/AS26,0)</f>
        <v/>
      </c>
      <c r="BE26" s="9">
        <f>IFERROR(X26/AT26,0)</f>
        <v/>
      </c>
      <c r="BG26" s="9">
        <f>SUMPRODUCT(($D$15:$M$15="Yes")*O26:X26)</f>
        <v/>
      </c>
      <c r="BH26" s="9">
        <f>SUMPRODUCT(($D$15:$M$15="Yes")*Z26:AI26)</f>
        <v/>
      </c>
      <c r="BI26" s="9">
        <f>SUMPRODUCT(($D$15:$M$15="Yes")*AV26:BE26)</f>
        <v/>
      </c>
      <c r="BJ26" s="10">
        <f>IFERROR(BG26/BH26,0)</f>
        <v/>
      </c>
      <c r="BK26" s="10">
        <f>IFERROR(BG26/BI26,0)</f>
        <v/>
      </c>
      <c r="BL26" s="16">
        <f>IF(B26="Actual",1,INDEX($G$9:$G$11,MATCH(C26,$A$9:$A$11,0)))</f>
        <v/>
      </c>
      <c r="BN26" s="8" t="n">
        <v>46023</v>
      </c>
      <c r="BO26">
        <f>Inputs!$A$42</f>
        <v/>
      </c>
      <c r="BP26" s="10">
        <f>AQ32</f>
        <v/>
      </c>
    </row>
    <row r="27">
      <c r="A27" s="8" t="n">
        <v>45870</v>
      </c>
      <c r="B27">
        <f>IF(A27&lt;=LastActual,"Actual","Forecast")</f>
        <v/>
      </c>
      <c r="C27">
        <f>YEAR(A27)</f>
        <v/>
      </c>
      <c r="D27" s="10">
        <f>IFERROR('NSW-1'!X22*1,0)</f>
        <v/>
      </c>
      <c r="E27" s="10">
        <f>IFERROR('VIC-1'!X22*1,0)</f>
        <v/>
      </c>
      <c r="F27" s="10">
        <f>IFERROR('QLD-1'!X22*1,0)</f>
        <v/>
      </c>
      <c r="G27" s="10">
        <f>IFERROR('NSW-2'!X22*1,0)</f>
        <v/>
      </c>
      <c r="H27" s="10">
        <f>IFERROR('VIC-2'!X22*1,0)</f>
        <v/>
      </c>
      <c r="I27" s="10">
        <f>IFERROR('QLD-2'!X22*1,0)</f>
        <v/>
      </c>
      <c r="J27" s="10">
        <f>IFERROR('SA-1'!X22*1,0)</f>
        <v/>
      </c>
      <c r="K27" s="10">
        <f>IFERROR('WA-1'!X22*1,0)</f>
        <v/>
      </c>
      <c r="L27" s="10">
        <f>IFERROR('IDC-NSW'!X22*1,0)</f>
        <v/>
      </c>
      <c r="M27" s="10">
        <f>IFERROR('IDC-VIC'!X22*1,0)</f>
        <v/>
      </c>
      <c r="O27" s="9">
        <f>Cases_Forecast!AJ15</f>
        <v/>
      </c>
      <c r="P27" s="9">
        <f>Cases_Forecast!AK15</f>
        <v/>
      </c>
      <c r="Q27" s="9">
        <f>Cases_Forecast!AL15</f>
        <v/>
      </c>
      <c r="R27" s="9">
        <f>Cases_Forecast!AM15</f>
        <v/>
      </c>
      <c r="S27" s="9">
        <f>Cases_Forecast!AN15</f>
        <v/>
      </c>
      <c r="T27" s="9">
        <f>Cases_Forecast!AO15</f>
        <v/>
      </c>
      <c r="U27" s="9">
        <f>Cases_Forecast!AP15</f>
        <v/>
      </c>
      <c r="V27" s="9">
        <f>Cases_Forecast!AQ15</f>
        <v/>
      </c>
      <c r="W27" s="9">
        <f>Cases_Forecast!AR15</f>
        <v/>
      </c>
      <c r="X27" s="9">
        <f>Cases_Forecast!AS15</f>
        <v/>
      </c>
      <c r="Z27" s="9">
        <f>IFERROR(O27/D27,0)</f>
        <v/>
      </c>
      <c r="AA27" s="9">
        <f>IFERROR(P27/E27,0)</f>
        <v/>
      </c>
      <c r="AB27" s="9">
        <f>IFERROR(Q27/F27,0)</f>
        <v/>
      </c>
      <c r="AC27" s="9">
        <f>IFERROR(R27/G27,0)</f>
        <v/>
      </c>
      <c r="AD27" s="9">
        <f>IFERROR(S27/H27,0)</f>
        <v/>
      </c>
      <c r="AE27" s="9">
        <f>IFERROR(T27/I27,0)</f>
        <v/>
      </c>
      <c r="AF27" s="9">
        <f>IFERROR(U27/J27,0)</f>
        <v/>
      </c>
      <c r="AG27" s="9">
        <f>IFERROR(V27/K27,0)</f>
        <v/>
      </c>
      <c r="AH27" s="9">
        <f>IFERROR(W27/L27,0)</f>
        <v/>
      </c>
      <c r="AI27" s="9">
        <f>IFERROR(X27/M27,0)</f>
        <v/>
      </c>
      <c r="AK27" s="14">
        <f>IF(D$15="Yes",D27*$BL27,D27)</f>
        <v/>
      </c>
      <c r="AL27" s="14">
        <f>IF(E$15="Yes",E27*$BL27,E27)</f>
        <v/>
      </c>
      <c r="AM27" s="14">
        <f>IF(F$15="Yes",F27*$BL27,F27)</f>
        <v/>
      </c>
      <c r="AN27" s="14">
        <f>IF(G$15="Yes",G27*$BL27,G27)</f>
        <v/>
      </c>
      <c r="AO27" s="14">
        <f>IF(H$15="Yes",H27*$BL27,H27)</f>
        <v/>
      </c>
      <c r="AP27" s="14">
        <f>IF(I$15="Yes",I27*$BL27,I27)</f>
        <v/>
      </c>
      <c r="AQ27" s="14">
        <f>IF(J$15="Yes",J27*$BL27,J27)</f>
        <v/>
      </c>
      <c r="AR27" s="14">
        <f>IF(K$15="Yes",K27*$BL27,K27)</f>
        <v/>
      </c>
      <c r="AS27" s="14">
        <f>IF(L$15="Yes",L27*$BL27,L27)</f>
        <v/>
      </c>
      <c r="AT27" s="14">
        <f>IF(M$15="Yes",M27*$BL27,M27)</f>
        <v/>
      </c>
      <c r="AV27" s="9">
        <f>IFERROR(O27/AK27,0)</f>
        <v/>
      </c>
      <c r="AW27" s="9">
        <f>IFERROR(P27/AL27,0)</f>
        <v/>
      </c>
      <c r="AX27" s="9">
        <f>IFERROR(Q27/AM27,0)</f>
        <v/>
      </c>
      <c r="AY27" s="9">
        <f>IFERROR(R27/AN27,0)</f>
        <v/>
      </c>
      <c r="AZ27" s="9">
        <f>IFERROR(S27/AO27,0)</f>
        <v/>
      </c>
      <c r="BA27" s="9">
        <f>IFERROR(T27/AP27,0)</f>
        <v/>
      </c>
      <c r="BB27" s="9">
        <f>IFERROR(U27/AQ27,0)</f>
        <v/>
      </c>
      <c r="BC27" s="9">
        <f>IFERROR(V27/AR27,0)</f>
        <v/>
      </c>
      <c r="BD27" s="9">
        <f>IFERROR(W27/AS27,0)</f>
        <v/>
      </c>
      <c r="BE27" s="9">
        <f>IFERROR(X27/AT27,0)</f>
        <v/>
      </c>
      <c r="BG27" s="9">
        <f>SUMPRODUCT(($D$15:$M$15="Yes")*O27:X27)</f>
        <v/>
      </c>
      <c r="BH27" s="9">
        <f>SUMPRODUCT(($D$15:$M$15="Yes")*Z27:AI27)</f>
        <v/>
      </c>
      <c r="BI27" s="9">
        <f>SUMPRODUCT(($D$15:$M$15="Yes")*AV27:BE27)</f>
        <v/>
      </c>
      <c r="BJ27" s="10">
        <f>IFERROR(BG27/BH27,0)</f>
        <v/>
      </c>
      <c r="BK27" s="10">
        <f>IFERROR(BG27/BI27,0)</f>
        <v/>
      </c>
      <c r="BL27" s="16">
        <f>IF(B27="Actual",1,INDEX($G$9:$G$11,MATCH(C27,$A$9:$A$11,0)))</f>
        <v/>
      </c>
      <c r="BN27" s="8" t="n">
        <v>46023</v>
      </c>
      <c r="BO27">
        <f>Inputs!$A$43</f>
        <v/>
      </c>
      <c r="BP27" s="10">
        <f>AR32</f>
        <v/>
      </c>
    </row>
    <row r="28">
      <c r="A28" s="8" t="n">
        <v>45901</v>
      </c>
      <c r="B28">
        <f>IF(A28&lt;=LastActual,"Actual","Forecast")</f>
        <v/>
      </c>
      <c r="C28">
        <f>YEAR(A28)</f>
        <v/>
      </c>
      <c r="D28" s="10">
        <f>IFERROR('NSW-1'!X23*1,0)</f>
        <v/>
      </c>
      <c r="E28" s="10">
        <f>IFERROR('VIC-1'!X23*1,0)</f>
        <v/>
      </c>
      <c r="F28" s="10">
        <f>IFERROR('QLD-1'!X23*1,0)</f>
        <v/>
      </c>
      <c r="G28" s="10">
        <f>IFERROR('NSW-2'!X23*1,0)</f>
        <v/>
      </c>
      <c r="H28" s="10">
        <f>IFERROR('VIC-2'!X23*1,0)</f>
        <v/>
      </c>
      <c r="I28" s="10">
        <f>IFERROR('QLD-2'!X23*1,0)</f>
        <v/>
      </c>
      <c r="J28" s="10">
        <f>IFERROR('SA-1'!X23*1,0)</f>
        <v/>
      </c>
      <c r="K28" s="10">
        <f>IFERROR('WA-1'!X23*1,0)</f>
        <v/>
      </c>
      <c r="L28" s="10">
        <f>IFERROR('IDC-NSW'!X23*1,0)</f>
        <v/>
      </c>
      <c r="M28" s="10">
        <f>IFERROR('IDC-VIC'!X23*1,0)</f>
        <v/>
      </c>
      <c r="O28" s="9">
        <f>Cases_Forecast!AJ16</f>
        <v/>
      </c>
      <c r="P28" s="9">
        <f>Cases_Forecast!AK16</f>
        <v/>
      </c>
      <c r="Q28" s="9">
        <f>Cases_Forecast!AL16</f>
        <v/>
      </c>
      <c r="R28" s="9">
        <f>Cases_Forecast!AM16</f>
        <v/>
      </c>
      <c r="S28" s="9">
        <f>Cases_Forecast!AN16</f>
        <v/>
      </c>
      <c r="T28" s="9">
        <f>Cases_Forecast!AO16</f>
        <v/>
      </c>
      <c r="U28" s="9">
        <f>Cases_Forecast!AP16</f>
        <v/>
      </c>
      <c r="V28" s="9">
        <f>Cases_Forecast!AQ16</f>
        <v/>
      </c>
      <c r="W28" s="9">
        <f>Cases_Forecast!AR16</f>
        <v/>
      </c>
      <c r="X28" s="9">
        <f>Cases_Forecast!AS16</f>
        <v/>
      </c>
      <c r="Z28" s="9">
        <f>IFERROR(O28/D28,0)</f>
        <v/>
      </c>
      <c r="AA28" s="9">
        <f>IFERROR(P28/E28,0)</f>
        <v/>
      </c>
      <c r="AB28" s="9">
        <f>IFERROR(Q28/F28,0)</f>
        <v/>
      </c>
      <c r="AC28" s="9">
        <f>IFERROR(R28/G28,0)</f>
        <v/>
      </c>
      <c r="AD28" s="9">
        <f>IFERROR(S28/H28,0)</f>
        <v/>
      </c>
      <c r="AE28" s="9">
        <f>IFERROR(T28/I28,0)</f>
        <v/>
      </c>
      <c r="AF28" s="9">
        <f>IFERROR(U28/J28,0)</f>
        <v/>
      </c>
      <c r="AG28" s="9">
        <f>IFERROR(V28/K28,0)</f>
        <v/>
      </c>
      <c r="AH28" s="9">
        <f>IFERROR(W28/L28,0)</f>
        <v/>
      </c>
      <c r="AI28" s="9">
        <f>IFERROR(X28/M28,0)</f>
        <v/>
      </c>
      <c r="AK28" s="14">
        <f>IF(D$15="Yes",D28*$BL28,D28)</f>
        <v/>
      </c>
      <c r="AL28" s="14">
        <f>IF(E$15="Yes",E28*$BL28,E28)</f>
        <v/>
      </c>
      <c r="AM28" s="14">
        <f>IF(F$15="Yes",F28*$BL28,F28)</f>
        <v/>
      </c>
      <c r="AN28" s="14">
        <f>IF(G$15="Yes",G28*$BL28,G28)</f>
        <v/>
      </c>
      <c r="AO28" s="14">
        <f>IF(H$15="Yes",H28*$BL28,H28)</f>
        <v/>
      </c>
      <c r="AP28" s="14">
        <f>IF(I$15="Yes",I28*$BL28,I28)</f>
        <v/>
      </c>
      <c r="AQ28" s="14">
        <f>IF(J$15="Yes",J28*$BL28,J28)</f>
        <v/>
      </c>
      <c r="AR28" s="14">
        <f>IF(K$15="Yes",K28*$BL28,K28)</f>
        <v/>
      </c>
      <c r="AS28" s="14">
        <f>IF(L$15="Yes",L28*$BL28,L28)</f>
        <v/>
      </c>
      <c r="AT28" s="14">
        <f>IF(M$15="Yes",M28*$BL28,M28)</f>
        <v/>
      </c>
      <c r="AV28" s="9">
        <f>IFERROR(O28/AK28,0)</f>
        <v/>
      </c>
      <c r="AW28" s="9">
        <f>IFERROR(P28/AL28,0)</f>
        <v/>
      </c>
      <c r="AX28" s="9">
        <f>IFERROR(Q28/AM28,0)</f>
        <v/>
      </c>
      <c r="AY28" s="9">
        <f>IFERROR(R28/AN28,0)</f>
        <v/>
      </c>
      <c r="AZ28" s="9">
        <f>IFERROR(S28/AO28,0)</f>
        <v/>
      </c>
      <c r="BA28" s="9">
        <f>IFERROR(T28/AP28,0)</f>
        <v/>
      </c>
      <c r="BB28" s="9">
        <f>IFERROR(U28/AQ28,0)</f>
        <v/>
      </c>
      <c r="BC28" s="9">
        <f>IFERROR(V28/AR28,0)</f>
        <v/>
      </c>
      <c r="BD28" s="9">
        <f>IFERROR(W28/AS28,0)</f>
        <v/>
      </c>
      <c r="BE28" s="9">
        <f>IFERROR(X28/AT28,0)</f>
        <v/>
      </c>
      <c r="BG28" s="9">
        <f>SUMPRODUCT(($D$15:$M$15="Yes")*O28:X28)</f>
        <v/>
      </c>
      <c r="BH28" s="9">
        <f>SUMPRODUCT(($D$15:$M$15="Yes")*Z28:AI28)</f>
        <v/>
      </c>
      <c r="BI28" s="9">
        <f>SUMPRODUCT(($D$15:$M$15="Yes")*AV28:BE28)</f>
        <v/>
      </c>
      <c r="BJ28" s="10">
        <f>IFERROR(BG28/BH28,0)</f>
        <v/>
      </c>
      <c r="BK28" s="10">
        <f>IFERROR(BG28/BI28,0)</f>
        <v/>
      </c>
      <c r="BL28" s="16">
        <f>IF(B28="Actual",1,INDEX($G$9:$G$11,MATCH(C28,$A$9:$A$11,0)))</f>
        <v/>
      </c>
      <c r="BN28" s="8" t="n">
        <v>46023</v>
      </c>
      <c r="BO28">
        <f>Inputs!$A$44</f>
        <v/>
      </c>
      <c r="BP28" s="10">
        <f>AS32</f>
        <v/>
      </c>
    </row>
    <row r="29">
      <c r="A29" s="8" t="n">
        <v>45931</v>
      </c>
      <c r="B29">
        <f>IF(A29&lt;=LastActual,"Actual","Forecast")</f>
        <v/>
      </c>
      <c r="C29">
        <f>YEAR(A29)</f>
        <v/>
      </c>
      <c r="D29" s="10">
        <f>IFERROR('NSW-1'!X24*1,0)</f>
        <v/>
      </c>
      <c r="E29" s="10">
        <f>IFERROR('VIC-1'!X24*1,0)</f>
        <v/>
      </c>
      <c r="F29" s="10">
        <f>IFERROR('QLD-1'!X24*1,0)</f>
        <v/>
      </c>
      <c r="G29" s="10">
        <f>IFERROR('NSW-2'!X24*1,0)</f>
        <v/>
      </c>
      <c r="H29" s="10">
        <f>IFERROR('VIC-2'!X24*1,0)</f>
        <v/>
      </c>
      <c r="I29" s="10">
        <f>IFERROR('QLD-2'!X24*1,0)</f>
        <v/>
      </c>
      <c r="J29" s="10">
        <f>IFERROR('SA-1'!X24*1,0)</f>
        <v/>
      </c>
      <c r="K29" s="10">
        <f>IFERROR('WA-1'!X24*1,0)</f>
        <v/>
      </c>
      <c r="L29" s="10">
        <f>IFERROR('IDC-NSW'!X24*1,0)</f>
        <v/>
      </c>
      <c r="M29" s="10">
        <f>IFERROR('IDC-VIC'!X24*1,0)</f>
        <v/>
      </c>
      <c r="O29" s="9">
        <f>Cases_Forecast!AJ17</f>
        <v/>
      </c>
      <c r="P29" s="9">
        <f>Cases_Forecast!AK17</f>
        <v/>
      </c>
      <c r="Q29" s="9">
        <f>Cases_Forecast!AL17</f>
        <v/>
      </c>
      <c r="R29" s="9">
        <f>Cases_Forecast!AM17</f>
        <v/>
      </c>
      <c r="S29" s="9">
        <f>Cases_Forecast!AN17</f>
        <v/>
      </c>
      <c r="T29" s="9">
        <f>Cases_Forecast!AO17</f>
        <v/>
      </c>
      <c r="U29" s="9">
        <f>Cases_Forecast!AP17</f>
        <v/>
      </c>
      <c r="V29" s="9">
        <f>Cases_Forecast!AQ17</f>
        <v/>
      </c>
      <c r="W29" s="9">
        <f>Cases_Forecast!AR17</f>
        <v/>
      </c>
      <c r="X29" s="9">
        <f>Cases_Forecast!AS17</f>
        <v/>
      </c>
      <c r="Z29" s="9">
        <f>IFERROR(O29/D29,0)</f>
        <v/>
      </c>
      <c r="AA29" s="9">
        <f>IFERROR(P29/E29,0)</f>
        <v/>
      </c>
      <c r="AB29" s="9">
        <f>IFERROR(Q29/F29,0)</f>
        <v/>
      </c>
      <c r="AC29" s="9">
        <f>IFERROR(R29/G29,0)</f>
        <v/>
      </c>
      <c r="AD29" s="9">
        <f>IFERROR(S29/H29,0)</f>
        <v/>
      </c>
      <c r="AE29" s="9">
        <f>IFERROR(T29/I29,0)</f>
        <v/>
      </c>
      <c r="AF29" s="9">
        <f>IFERROR(U29/J29,0)</f>
        <v/>
      </c>
      <c r="AG29" s="9">
        <f>IFERROR(V29/K29,0)</f>
        <v/>
      </c>
      <c r="AH29" s="9">
        <f>IFERROR(W29/L29,0)</f>
        <v/>
      </c>
      <c r="AI29" s="9">
        <f>IFERROR(X29/M29,0)</f>
        <v/>
      </c>
      <c r="AK29" s="14">
        <f>IF(D$15="Yes",D29*$BL29,D29)</f>
        <v/>
      </c>
      <c r="AL29" s="14">
        <f>IF(E$15="Yes",E29*$BL29,E29)</f>
        <v/>
      </c>
      <c r="AM29" s="14">
        <f>IF(F$15="Yes",F29*$BL29,F29)</f>
        <v/>
      </c>
      <c r="AN29" s="14">
        <f>IF(G$15="Yes",G29*$BL29,G29)</f>
        <v/>
      </c>
      <c r="AO29" s="14">
        <f>IF(H$15="Yes",H29*$BL29,H29)</f>
        <v/>
      </c>
      <c r="AP29" s="14">
        <f>IF(I$15="Yes",I29*$BL29,I29)</f>
        <v/>
      </c>
      <c r="AQ29" s="14">
        <f>IF(J$15="Yes",J29*$BL29,J29)</f>
        <v/>
      </c>
      <c r="AR29" s="14">
        <f>IF(K$15="Yes",K29*$BL29,K29)</f>
        <v/>
      </c>
      <c r="AS29" s="14">
        <f>IF(L$15="Yes",L29*$BL29,L29)</f>
        <v/>
      </c>
      <c r="AT29" s="14">
        <f>IF(M$15="Yes",M29*$BL29,M29)</f>
        <v/>
      </c>
      <c r="AV29" s="9">
        <f>IFERROR(O29/AK29,0)</f>
        <v/>
      </c>
      <c r="AW29" s="9">
        <f>IFERROR(P29/AL29,0)</f>
        <v/>
      </c>
      <c r="AX29" s="9">
        <f>IFERROR(Q29/AM29,0)</f>
        <v/>
      </c>
      <c r="AY29" s="9">
        <f>IFERROR(R29/AN29,0)</f>
        <v/>
      </c>
      <c r="AZ29" s="9">
        <f>IFERROR(S29/AO29,0)</f>
        <v/>
      </c>
      <c r="BA29" s="9">
        <f>IFERROR(T29/AP29,0)</f>
        <v/>
      </c>
      <c r="BB29" s="9">
        <f>IFERROR(U29/AQ29,0)</f>
        <v/>
      </c>
      <c r="BC29" s="9">
        <f>IFERROR(V29/AR29,0)</f>
        <v/>
      </c>
      <c r="BD29" s="9">
        <f>IFERROR(W29/AS29,0)</f>
        <v/>
      </c>
      <c r="BE29" s="9">
        <f>IFERROR(X29/AT29,0)</f>
        <v/>
      </c>
      <c r="BG29" s="9">
        <f>SUMPRODUCT(($D$15:$M$15="Yes")*O29:X29)</f>
        <v/>
      </c>
      <c r="BH29" s="9">
        <f>SUMPRODUCT(($D$15:$M$15="Yes")*Z29:AI29)</f>
        <v/>
      </c>
      <c r="BI29" s="9">
        <f>SUMPRODUCT(($D$15:$M$15="Yes")*AV29:BE29)</f>
        <v/>
      </c>
      <c r="BJ29" s="10">
        <f>IFERROR(BG29/BH29,0)</f>
        <v/>
      </c>
      <c r="BK29" s="10">
        <f>IFERROR(BG29/BI29,0)</f>
        <v/>
      </c>
      <c r="BL29" s="16">
        <f>IF(B29="Actual",1,INDEX($G$9:$G$11,MATCH(C29,$A$9:$A$11,0)))</f>
        <v/>
      </c>
      <c r="BN29" s="8" t="n">
        <v>46023</v>
      </c>
      <c r="BO29">
        <f>Inputs!$A$45</f>
        <v/>
      </c>
      <c r="BP29" s="10">
        <f>AT32</f>
        <v/>
      </c>
    </row>
    <row r="30">
      <c r="A30" s="8" t="n">
        <v>45962</v>
      </c>
      <c r="B30">
        <f>IF(A30&lt;=LastActual,"Actual","Forecast")</f>
        <v/>
      </c>
      <c r="C30">
        <f>YEAR(A30)</f>
        <v/>
      </c>
      <c r="D30" s="10">
        <f>IFERROR('NSW-1'!X25*1,0)</f>
        <v/>
      </c>
      <c r="E30" s="10">
        <f>IFERROR('VIC-1'!X25*1,0)</f>
        <v/>
      </c>
      <c r="F30" s="10">
        <f>IFERROR('QLD-1'!X25*1,0)</f>
        <v/>
      </c>
      <c r="G30" s="10">
        <f>IFERROR('NSW-2'!X25*1,0)</f>
        <v/>
      </c>
      <c r="H30" s="10">
        <f>IFERROR('VIC-2'!X25*1,0)</f>
        <v/>
      </c>
      <c r="I30" s="10">
        <f>IFERROR('QLD-2'!X25*1,0)</f>
        <v/>
      </c>
      <c r="J30" s="10">
        <f>IFERROR('SA-1'!X25*1,0)</f>
        <v/>
      </c>
      <c r="K30" s="10">
        <f>IFERROR('WA-1'!X25*1,0)</f>
        <v/>
      </c>
      <c r="L30" s="10">
        <f>IFERROR('IDC-NSW'!X25*1,0)</f>
        <v/>
      </c>
      <c r="M30" s="10">
        <f>IFERROR('IDC-VIC'!X25*1,0)</f>
        <v/>
      </c>
      <c r="O30" s="9">
        <f>Cases_Forecast!AJ18</f>
        <v/>
      </c>
      <c r="P30" s="9">
        <f>Cases_Forecast!AK18</f>
        <v/>
      </c>
      <c r="Q30" s="9">
        <f>Cases_Forecast!AL18</f>
        <v/>
      </c>
      <c r="R30" s="9">
        <f>Cases_Forecast!AM18</f>
        <v/>
      </c>
      <c r="S30" s="9">
        <f>Cases_Forecast!AN18</f>
        <v/>
      </c>
      <c r="T30" s="9">
        <f>Cases_Forecast!AO18</f>
        <v/>
      </c>
      <c r="U30" s="9">
        <f>Cases_Forecast!AP18</f>
        <v/>
      </c>
      <c r="V30" s="9">
        <f>Cases_Forecast!AQ18</f>
        <v/>
      </c>
      <c r="W30" s="9">
        <f>Cases_Forecast!AR18</f>
        <v/>
      </c>
      <c r="X30" s="9">
        <f>Cases_Forecast!AS18</f>
        <v/>
      </c>
      <c r="Z30" s="9">
        <f>IFERROR(O30/D30,0)</f>
        <v/>
      </c>
      <c r="AA30" s="9">
        <f>IFERROR(P30/E30,0)</f>
        <v/>
      </c>
      <c r="AB30" s="9">
        <f>IFERROR(Q30/F30,0)</f>
        <v/>
      </c>
      <c r="AC30" s="9">
        <f>IFERROR(R30/G30,0)</f>
        <v/>
      </c>
      <c r="AD30" s="9">
        <f>IFERROR(S30/H30,0)</f>
        <v/>
      </c>
      <c r="AE30" s="9">
        <f>IFERROR(T30/I30,0)</f>
        <v/>
      </c>
      <c r="AF30" s="9">
        <f>IFERROR(U30/J30,0)</f>
        <v/>
      </c>
      <c r="AG30" s="9">
        <f>IFERROR(V30/K30,0)</f>
        <v/>
      </c>
      <c r="AH30" s="9">
        <f>IFERROR(W30/L30,0)</f>
        <v/>
      </c>
      <c r="AI30" s="9">
        <f>IFERROR(X30/M30,0)</f>
        <v/>
      </c>
      <c r="AK30" s="14">
        <f>IF(D$15="Yes",D30*$BL30,D30)</f>
        <v/>
      </c>
      <c r="AL30" s="14">
        <f>IF(E$15="Yes",E30*$BL30,E30)</f>
        <v/>
      </c>
      <c r="AM30" s="14">
        <f>IF(F$15="Yes",F30*$BL30,F30)</f>
        <v/>
      </c>
      <c r="AN30" s="14">
        <f>IF(G$15="Yes",G30*$BL30,G30)</f>
        <v/>
      </c>
      <c r="AO30" s="14">
        <f>IF(H$15="Yes",H30*$BL30,H30)</f>
        <v/>
      </c>
      <c r="AP30" s="14">
        <f>IF(I$15="Yes",I30*$BL30,I30)</f>
        <v/>
      </c>
      <c r="AQ30" s="14">
        <f>IF(J$15="Yes",J30*$BL30,J30)</f>
        <v/>
      </c>
      <c r="AR30" s="14">
        <f>IF(K$15="Yes",K30*$BL30,K30)</f>
        <v/>
      </c>
      <c r="AS30" s="14">
        <f>IF(L$15="Yes",L30*$BL30,L30)</f>
        <v/>
      </c>
      <c r="AT30" s="14">
        <f>IF(M$15="Yes",M30*$BL30,M30)</f>
        <v/>
      </c>
      <c r="AV30" s="9">
        <f>IFERROR(O30/AK30,0)</f>
        <v/>
      </c>
      <c r="AW30" s="9">
        <f>IFERROR(P30/AL30,0)</f>
        <v/>
      </c>
      <c r="AX30" s="9">
        <f>IFERROR(Q30/AM30,0)</f>
        <v/>
      </c>
      <c r="AY30" s="9">
        <f>IFERROR(R30/AN30,0)</f>
        <v/>
      </c>
      <c r="AZ30" s="9">
        <f>IFERROR(S30/AO30,0)</f>
        <v/>
      </c>
      <c r="BA30" s="9">
        <f>IFERROR(T30/AP30,0)</f>
        <v/>
      </c>
      <c r="BB30" s="9">
        <f>IFERROR(U30/AQ30,0)</f>
        <v/>
      </c>
      <c r="BC30" s="9">
        <f>IFERROR(V30/AR30,0)</f>
        <v/>
      </c>
      <c r="BD30" s="9">
        <f>IFERROR(W30/AS30,0)</f>
        <v/>
      </c>
      <c r="BE30" s="9">
        <f>IFERROR(X30/AT30,0)</f>
        <v/>
      </c>
      <c r="BG30" s="9">
        <f>SUMPRODUCT(($D$15:$M$15="Yes")*O30:X30)</f>
        <v/>
      </c>
      <c r="BH30" s="9">
        <f>SUMPRODUCT(($D$15:$M$15="Yes")*Z30:AI30)</f>
        <v/>
      </c>
      <c r="BI30" s="9">
        <f>SUMPRODUCT(($D$15:$M$15="Yes")*AV30:BE30)</f>
        <v/>
      </c>
      <c r="BJ30" s="10">
        <f>IFERROR(BG30/BH30,0)</f>
        <v/>
      </c>
      <c r="BK30" s="10">
        <f>IFERROR(BG30/BI30,0)</f>
        <v/>
      </c>
      <c r="BL30" s="16">
        <f>IF(B30="Actual",1,INDEX($G$9:$G$11,MATCH(C30,$A$9:$A$11,0)))</f>
        <v/>
      </c>
      <c r="BN30" s="8" t="n">
        <v>46054</v>
      </c>
      <c r="BO30">
        <f>Inputs!$A$36</f>
        <v/>
      </c>
      <c r="BP30" s="10">
        <f>AK33</f>
        <v/>
      </c>
    </row>
    <row r="31">
      <c r="A31" s="8" t="n">
        <v>45992</v>
      </c>
      <c r="B31">
        <f>IF(A31&lt;=LastActual,"Actual","Forecast")</f>
        <v/>
      </c>
      <c r="C31">
        <f>YEAR(A31)</f>
        <v/>
      </c>
      <c r="D31" s="10">
        <f>IFERROR('NSW-1'!X26*1,0)</f>
        <v/>
      </c>
      <c r="E31" s="10">
        <f>IFERROR('VIC-1'!X26*1,0)</f>
        <v/>
      </c>
      <c r="F31" s="10">
        <f>IFERROR('QLD-1'!X26*1,0)</f>
        <v/>
      </c>
      <c r="G31" s="10">
        <f>IFERROR('NSW-2'!X26*1,0)</f>
        <v/>
      </c>
      <c r="H31" s="10">
        <f>IFERROR('VIC-2'!X26*1,0)</f>
        <v/>
      </c>
      <c r="I31" s="10">
        <f>IFERROR('QLD-2'!X26*1,0)</f>
        <v/>
      </c>
      <c r="J31" s="10">
        <f>IFERROR('SA-1'!X26*1,0)</f>
        <v/>
      </c>
      <c r="K31" s="10">
        <f>IFERROR('WA-1'!X26*1,0)</f>
        <v/>
      </c>
      <c r="L31" s="10">
        <f>IFERROR('IDC-NSW'!X26*1,0)</f>
        <v/>
      </c>
      <c r="M31" s="10">
        <f>IFERROR('IDC-VIC'!X26*1,0)</f>
        <v/>
      </c>
      <c r="O31" s="9">
        <f>Cases_Forecast!AJ19</f>
        <v/>
      </c>
      <c r="P31" s="9">
        <f>Cases_Forecast!AK19</f>
        <v/>
      </c>
      <c r="Q31" s="9">
        <f>Cases_Forecast!AL19</f>
        <v/>
      </c>
      <c r="R31" s="9">
        <f>Cases_Forecast!AM19</f>
        <v/>
      </c>
      <c r="S31" s="9">
        <f>Cases_Forecast!AN19</f>
        <v/>
      </c>
      <c r="T31" s="9">
        <f>Cases_Forecast!AO19</f>
        <v/>
      </c>
      <c r="U31" s="9">
        <f>Cases_Forecast!AP19</f>
        <v/>
      </c>
      <c r="V31" s="9">
        <f>Cases_Forecast!AQ19</f>
        <v/>
      </c>
      <c r="W31" s="9">
        <f>Cases_Forecast!AR19</f>
        <v/>
      </c>
      <c r="X31" s="9">
        <f>Cases_Forecast!AS19</f>
        <v/>
      </c>
      <c r="Z31" s="9">
        <f>IFERROR(O31/D31,0)</f>
        <v/>
      </c>
      <c r="AA31" s="9">
        <f>IFERROR(P31/E31,0)</f>
        <v/>
      </c>
      <c r="AB31" s="9">
        <f>IFERROR(Q31/F31,0)</f>
        <v/>
      </c>
      <c r="AC31" s="9">
        <f>IFERROR(R31/G31,0)</f>
        <v/>
      </c>
      <c r="AD31" s="9">
        <f>IFERROR(S31/H31,0)</f>
        <v/>
      </c>
      <c r="AE31" s="9">
        <f>IFERROR(T31/I31,0)</f>
        <v/>
      </c>
      <c r="AF31" s="9">
        <f>IFERROR(U31/J31,0)</f>
        <v/>
      </c>
      <c r="AG31" s="9">
        <f>IFERROR(V31/K31,0)</f>
        <v/>
      </c>
      <c r="AH31" s="9">
        <f>IFERROR(W31/L31,0)</f>
        <v/>
      </c>
      <c r="AI31" s="9">
        <f>IFERROR(X31/M31,0)</f>
        <v/>
      </c>
      <c r="AK31" s="14">
        <f>IF(D$15="Yes",D31*$BL31,D31)</f>
        <v/>
      </c>
      <c r="AL31" s="14">
        <f>IF(E$15="Yes",E31*$BL31,E31)</f>
        <v/>
      </c>
      <c r="AM31" s="14">
        <f>IF(F$15="Yes",F31*$BL31,F31)</f>
        <v/>
      </c>
      <c r="AN31" s="14">
        <f>IF(G$15="Yes",G31*$BL31,G31)</f>
        <v/>
      </c>
      <c r="AO31" s="14">
        <f>IF(H$15="Yes",H31*$BL31,H31)</f>
        <v/>
      </c>
      <c r="AP31" s="14">
        <f>IF(I$15="Yes",I31*$BL31,I31)</f>
        <v/>
      </c>
      <c r="AQ31" s="14">
        <f>IF(J$15="Yes",J31*$BL31,J31)</f>
        <v/>
      </c>
      <c r="AR31" s="14">
        <f>IF(K$15="Yes",K31*$BL31,K31)</f>
        <v/>
      </c>
      <c r="AS31" s="14">
        <f>IF(L$15="Yes",L31*$BL31,L31)</f>
        <v/>
      </c>
      <c r="AT31" s="14">
        <f>IF(M$15="Yes",M31*$BL31,M31)</f>
        <v/>
      </c>
      <c r="AV31" s="9">
        <f>IFERROR(O31/AK31,0)</f>
        <v/>
      </c>
      <c r="AW31" s="9">
        <f>IFERROR(P31/AL31,0)</f>
        <v/>
      </c>
      <c r="AX31" s="9">
        <f>IFERROR(Q31/AM31,0)</f>
        <v/>
      </c>
      <c r="AY31" s="9">
        <f>IFERROR(R31/AN31,0)</f>
        <v/>
      </c>
      <c r="AZ31" s="9">
        <f>IFERROR(S31/AO31,0)</f>
        <v/>
      </c>
      <c r="BA31" s="9">
        <f>IFERROR(T31/AP31,0)</f>
        <v/>
      </c>
      <c r="BB31" s="9">
        <f>IFERROR(U31/AQ31,0)</f>
        <v/>
      </c>
      <c r="BC31" s="9">
        <f>IFERROR(V31/AR31,0)</f>
        <v/>
      </c>
      <c r="BD31" s="9">
        <f>IFERROR(W31/AS31,0)</f>
        <v/>
      </c>
      <c r="BE31" s="9">
        <f>IFERROR(X31/AT31,0)</f>
        <v/>
      </c>
      <c r="BG31" s="9">
        <f>SUMPRODUCT(($D$15:$M$15="Yes")*O31:X31)</f>
        <v/>
      </c>
      <c r="BH31" s="9">
        <f>SUMPRODUCT(($D$15:$M$15="Yes")*Z31:AI31)</f>
        <v/>
      </c>
      <c r="BI31" s="9">
        <f>SUMPRODUCT(($D$15:$M$15="Yes")*AV31:BE31)</f>
        <v/>
      </c>
      <c r="BJ31" s="10">
        <f>IFERROR(BG31/BH31,0)</f>
        <v/>
      </c>
      <c r="BK31" s="10">
        <f>IFERROR(BG31/BI31,0)</f>
        <v/>
      </c>
      <c r="BL31" s="16">
        <f>IF(B31="Actual",1,INDEX($G$9:$G$11,MATCH(C31,$A$9:$A$11,0)))</f>
        <v/>
      </c>
      <c r="BN31" s="8" t="n">
        <v>46054</v>
      </c>
      <c r="BO31">
        <f>Inputs!$A$37</f>
        <v/>
      </c>
      <c r="BP31" s="10">
        <f>AL33</f>
        <v/>
      </c>
    </row>
    <row r="32">
      <c r="A32" s="8" t="n">
        <v>46023</v>
      </c>
      <c r="B32">
        <f>IF(A32&lt;=LastActual,"Actual","Forecast")</f>
        <v/>
      </c>
      <c r="C32">
        <f>YEAR(A32)</f>
        <v/>
      </c>
      <c r="D32" s="10">
        <f>IFERROR('NSW-1'!X27*1,0)</f>
        <v/>
      </c>
      <c r="E32" s="10">
        <f>IFERROR('VIC-1'!X27*1,0)</f>
        <v/>
      </c>
      <c r="F32" s="10">
        <f>IFERROR('QLD-1'!X27*1,0)</f>
        <v/>
      </c>
      <c r="G32" s="10">
        <f>IFERROR('NSW-2'!X27*1,0)</f>
        <v/>
      </c>
      <c r="H32" s="10">
        <f>IFERROR('VIC-2'!X27*1,0)</f>
        <v/>
      </c>
      <c r="I32" s="10">
        <f>IFERROR('QLD-2'!X27*1,0)</f>
        <v/>
      </c>
      <c r="J32" s="10">
        <f>IFERROR('SA-1'!X27*1,0)</f>
        <v/>
      </c>
      <c r="K32" s="10">
        <f>IFERROR('WA-1'!X27*1,0)</f>
        <v/>
      </c>
      <c r="L32" s="10">
        <f>IFERROR('IDC-NSW'!X27*1,0)</f>
        <v/>
      </c>
      <c r="M32" s="10">
        <f>IFERROR('IDC-VIC'!X27*1,0)</f>
        <v/>
      </c>
      <c r="O32" s="9">
        <f>Cases_Forecast!AJ20</f>
        <v/>
      </c>
      <c r="P32" s="9">
        <f>Cases_Forecast!AK20</f>
        <v/>
      </c>
      <c r="Q32" s="9">
        <f>Cases_Forecast!AL20</f>
        <v/>
      </c>
      <c r="R32" s="9">
        <f>Cases_Forecast!AM20</f>
        <v/>
      </c>
      <c r="S32" s="9">
        <f>Cases_Forecast!AN20</f>
        <v/>
      </c>
      <c r="T32" s="9">
        <f>Cases_Forecast!AO20</f>
        <v/>
      </c>
      <c r="U32" s="9">
        <f>Cases_Forecast!AP20</f>
        <v/>
      </c>
      <c r="V32" s="9">
        <f>Cases_Forecast!AQ20</f>
        <v/>
      </c>
      <c r="W32" s="9">
        <f>Cases_Forecast!AR20</f>
        <v/>
      </c>
      <c r="X32" s="9">
        <f>Cases_Forecast!AS20</f>
        <v/>
      </c>
      <c r="Z32" s="9">
        <f>IFERROR(O32/D32,0)</f>
        <v/>
      </c>
      <c r="AA32" s="9">
        <f>IFERROR(P32/E32,0)</f>
        <v/>
      </c>
      <c r="AB32" s="9">
        <f>IFERROR(Q32/F32,0)</f>
        <v/>
      </c>
      <c r="AC32" s="9">
        <f>IFERROR(R32/G32,0)</f>
        <v/>
      </c>
      <c r="AD32" s="9">
        <f>IFERROR(S32/H32,0)</f>
        <v/>
      </c>
      <c r="AE32" s="9">
        <f>IFERROR(T32/I32,0)</f>
        <v/>
      </c>
      <c r="AF32" s="9">
        <f>IFERROR(U32/J32,0)</f>
        <v/>
      </c>
      <c r="AG32" s="9">
        <f>IFERROR(V32/K32,0)</f>
        <v/>
      </c>
      <c r="AH32" s="9">
        <f>IFERROR(W32/L32,0)</f>
        <v/>
      </c>
      <c r="AI32" s="9">
        <f>IFERROR(X32/M32,0)</f>
        <v/>
      </c>
      <c r="AK32" s="14">
        <f>IF(D$15="Yes",D32*$BL32,D32)</f>
        <v/>
      </c>
      <c r="AL32" s="14">
        <f>IF(E$15="Yes",E32*$BL32,E32)</f>
        <v/>
      </c>
      <c r="AM32" s="14">
        <f>IF(F$15="Yes",F32*$BL32,F32)</f>
        <v/>
      </c>
      <c r="AN32" s="14">
        <f>IF(G$15="Yes",G32*$BL32,G32)</f>
        <v/>
      </c>
      <c r="AO32" s="14">
        <f>IF(H$15="Yes",H32*$BL32,H32)</f>
        <v/>
      </c>
      <c r="AP32" s="14">
        <f>IF(I$15="Yes",I32*$BL32,I32)</f>
        <v/>
      </c>
      <c r="AQ32" s="14">
        <f>IF(J$15="Yes",J32*$BL32,J32)</f>
        <v/>
      </c>
      <c r="AR32" s="14">
        <f>IF(K$15="Yes",K32*$BL32,K32)</f>
        <v/>
      </c>
      <c r="AS32" s="14">
        <f>IF(L$15="Yes",L32*$BL32,L32)</f>
        <v/>
      </c>
      <c r="AT32" s="14">
        <f>IF(M$15="Yes",M32*$BL32,M32)</f>
        <v/>
      </c>
      <c r="AV32" s="9">
        <f>IFERROR(O32/AK32,0)</f>
        <v/>
      </c>
      <c r="AW32" s="9">
        <f>IFERROR(P32/AL32,0)</f>
        <v/>
      </c>
      <c r="AX32" s="9">
        <f>IFERROR(Q32/AM32,0)</f>
        <v/>
      </c>
      <c r="AY32" s="9">
        <f>IFERROR(R32/AN32,0)</f>
        <v/>
      </c>
      <c r="AZ32" s="9">
        <f>IFERROR(S32/AO32,0)</f>
        <v/>
      </c>
      <c r="BA32" s="9">
        <f>IFERROR(T32/AP32,0)</f>
        <v/>
      </c>
      <c r="BB32" s="9">
        <f>IFERROR(U32/AQ32,0)</f>
        <v/>
      </c>
      <c r="BC32" s="9">
        <f>IFERROR(V32/AR32,0)</f>
        <v/>
      </c>
      <c r="BD32" s="9">
        <f>IFERROR(W32/AS32,0)</f>
        <v/>
      </c>
      <c r="BE32" s="9">
        <f>IFERROR(X32/AT32,0)</f>
        <v/>
      </c>
      <c r="BG32" s="9">
        <f>SUMPRODUCT(($D$15:$M$15="Yes")*O32:X32)</f>
        <v/>
      </c>
      <c r="BH32" s="9">
        <f>SUMPRODUCT(($D$15:$M$15="Yes")*Z32:AI32)</f>
        <v/>
      </c>
      <c r="BI32" s="9">
        <f>SUMPRODUCT(($D$15:$M$15="Yes")*AV32:BE32)</f>
        <v/>
      </c>
      <c r="BJ32" s="10">
        <f>IFERROR(BG32/BH32,0)</f>
        <v/>
      </c>
      <c r="BK32" s="10">
        <f>IFERROR(BG32/BI32,0)</f>
        <v/>
      </c>
      <c r="BL32" s="16">
        <f>IF(B32="Actual",1,INDEX($G$9:$G$11,MATCH(C32,$A$9:$A$11,0)))</f>
        <v/>
      </c>
      <c r="BN32" s="8" t="n">
        <v>46054</v>
      </c>
      <c r="BO32">
        <f>Inputs!$A$38</f>
        <v/>
      </c>
      <c r="BP32" s="10">
        <f>AM33</f>
        <v/>
      </c>
    </row>
    <row r="33">
      <c r="A33" s="8" t="n">
        <v>46054</v>
      </c>
      <c r="B33">
        <f>IF(A33&lt;=LastActual,"Actual","Forecast")</f>
        <v/>
      </c>
      <c r="C33">
        <f>YEAR(A33)</f>
        <v/>
      </c>
      <c r="D33" s="10">
        <f>IFERROR('NSW-1'!X28*1,0)</f>
        <v/>
      </c>
      <c r="E33" s="10">
        <f>IFERROR('VIC-1'!X28*1,0)</f>
        <v/>
      </c>
      <c r="F33" s="10">
        <f>IFERROR('QLD-1'!X28*1,0)</f>
        <v/>
      </c>
      <c r="G33" s="10">
        <f>IFERROR('NSW-2'!X28*1,0)</f>
        <v/>
      </c>
      <c r="H33" s="10">
        <f>IFERROR('VIC-2'!X28*1,0)</f>
        <v/>
      </c>
      <c r="I33" s="10">
        <f>IFERROR('QLD-2'!X28*1,0)</f>
        <v/>
      </c>
      <c r="J33" s="10">
        <f>IFERROR('SA-1'!X28*1,0)</f>
        <v/>
      </c>
      <c r="K33" s="10">
        <f>IFERROR('WA-1'!X28*1,0)</f>
        <v/>
      </c>
      <c r="L33" s="10">
        <f>IFERROR('IDC-NSW'!X28*1,0)</f>
        <v/>
      </c>
      <c r="M33" s="10">
        <f>IFERROR('IDC-VIC'!X28*1,0)</f>
        <v/>
      </c>
      <c r="O33" s="9">
        <f>Cases_Forecast!AJ21</f>
        <v/>
      </c>
      <c r="P33" s="9">
        <f>Cases_Forecast!AK21</f>
        <v/>
      </c>
      <c r="Q33" s="9">
        <f>Cases_Forecast!AL21</f>
        <v/>
      </c>
      <c r="R33" s="9">
        <f>Cases_Forecast!AM21</f>
        <v/>
      </c>
      <c r="S33" s="9">
        <f>Cases_Forecast!AN21</f>
        <v/>
      </c>
      <c r="T33" s="9">
        <f>Cases_Forecast!AO21</f>
        <v/>
      </c>
      <c r="U33" s="9">
        <f>Cases_Forecast!AP21</f>
        <v/>
      </c>
      <c r="V33" s="9">
        <f>Cases_Forecast!AQ21</f>
        <v/>
      </c>
      <c r="W33" s="9">
        <f>Cases_Forecast!AR21</f>
        <v/>
      </c>
      <c r="X33" s="9">
        <f>Cases_Forecast!AS21</f>
        <v/>
      </c>
      <c r="Z33" s="9">
        <f>IFERROR(O33/D33,0)</f>
        <v/>
      </c>
      <c r="AA33" s="9">
        <f>IFERROR(P33/E33,0)</f>
        <v/>
      </c>
      <c r="AB33" s="9">
        <f>IFERROR(Q33/F33,0)</f>
        <v/>
      </c>
      <c r="AC33" s="9">
        <f>IFERROR(R33/G33,0)</f>
        <v/>
      </c>
      <c r="AD33" s="9">
        <f>IFERROR(S33/H33,0)</f>
        <v/>
      </c>
      <c r="AE33" s="9">
        <f>IFERROR(T33/I33,0)</f>
        <v/>
      </c>
      <c r="AF33" s="9">
        <f>IFERROR(U33/J33,0)</f>
        <v/>
      </c>
      <c r="AG33" s="9">
        <f>IFERROR(V33/K33,0)</f>
        <v/>
      </c>
      <c r="AH33" s="9">
        <f>IFERROR(W33/L33,0)</f>
        <v/>
      </c>
      <c r="AI33" s="9">
        <f>IFERROR(X33/M33,0)</f>
        <v/>
      </c>
      <c r="AK33" s="14">
        <f>IF(D$15="Yes",D33*$BL33,D33)</f>
        <v/>
      </c>
      <c r="AL33" s="14">
        <f>IF(E$15="Yes",E33*$BL33,E33)</f>
        <v/>
      </c>
      <c r="AM33" s="14">
        <f>IF(F$15="Yes",F33*$BL33,F33)</f>
        <v/>
      </c>
      <c r="AN33" s="14">
        <f>IF(G$15="Yes",G33*$BL33,G33)</f>
        <v/>
      </c>
      <c r="AO33" s="14">
        <f>IF(H$15="Yes",H33*$BL33,H33)</f>
        <v/>
      </c>
      <c r="AP33" s="14">
        <f>IF(I$15="Yes",I33*$BL33,I33)</f>
        <v/>
      </c>
      <c r="AQ33" s="14">
        <f>IF(J$15="Yes",J33*$BL33,J33)</f>
        <v/>
      </c>
      <c r="AR33" s="14">
        <f>IF(K$15="Yes",K33*$BL33,K33)</f>
        <v/>
      </c>
      <c r="AS33" s="14">
        <f>IF(L$15="Yes",L33*$BL33,L33)</f>
        <v/>
      </c>
      <c r="AT33" s="14">
        <f>IF(M$15="Yes",M33*$BL33,M33)</f>
        <v/>
      </c>
      <c r="AV33" s="9">
        <f>IFERROR(O33/AK33,0)</f>
        <v/>
      </c>
      <c r="AW33" s="9">
        <f>IFERROR(P33/AL33,0)</f>
        <v/>
      </c>
      <c r="AX33" s="9">
        <f>IFERROR(Q33/AM33,0)</f>
        <v/>
      </c>
      <c r="AY33" s="9">
        <f>IFERROR(R33/AN33,0)</f>
        <v/>
      </c>
      <c r="AZ33" s="9">
        <f>IFERROR(S33/AO33,0)</f>
        <v/>
      </c>
      <c r="BA33" s="9">
        <f>IFERROR(T33/AP33,0)</f>
        <v/>
      </c>
      <c r="BB33" s="9">
        <f>IFERROR(U33/AQ33,0)</f>
        <v/>
      </c>
      <c r="BC33" s="9">
        <f>IFERROR(V33/AR33,0)</f>
        <v/>
      </c>
      <c r="BD33" s="9">
        <f>IFERROR(W33/AS33,0)</f>
        <v/>
      </c>
      <c r="BE33" s="9">
        <f>IFERROR(X33/AT33,0)</f>
        <v/>
      </c>
      <c r="BG33" s="9">
        <f>SUMPRODUCT(($D$15:$M$15="Yes")*O33:X33)</f>
        <v/>
      </c>
      <c r="BH33" s="9">
        <f>SUMPRODUCT(($D$15:$M$15="Yes")*Z33:AI33)</f>
        <v/>
      </c>
      <c r="BI33" s="9">
        <f>SUMPRODUCT(($D$15:$M$15="Yes")*AV33:BE33)</f>
        <v/>
      </c>
      <c r="BJ33" s="10">
        <f>IFERROR(BG33/BH33,0)</f>
        <v/>
      </c>
      <c r="BK33" s="10">
        <f>IFERROR(BG33/BI33,0)</f>
        <v/>
      </c>
      <c r="BL33" s="16">
        <f>IF(B33="Actual",1,INDEX($G$9:$G$11,MATCH(C33,$A$9:$A$11,0)))</f>
        <v/>
      </c>
      <c r="BN33" s="8" t="n">
        <v>46054</v>
      </c>
      <c r="BO33">
        <f>Inputs!$A$39</f>
        <v/>
      </c>
      <c r="BP33" s="10">
        <f>AN33</f>
        <v/>
      </c>
    </row>
    <row r="34">
      <c r="A34" s="8" t="n">
        <v>46082</v>
      </c>
      <c r="B34">
        <f>IF(A34&lt;=LastActual,"Actual","Forecast")</f>
        <v/>
      </c>
      <c r="C34">
        <f>YEAR(A34)</f>
        <v/>
      </c>
      <c r="D34" s="10">
        <f>IFERROR('NSW-1'!X29*1,0)</f>
        <v/>
      </c>
      <c r="E34" s="10">
        <f>IFERROR('VIC-1'!X29*1,0)</f>
        <v/>
      </c>
      <c r="F34" s="10">
        <f>IFERROR('QLD-1'!X29*1,0)</f>
        <v/>
      </c>
      <c r="G34" s="10">
        <f>IFERROR('NSW-2'!X29*1,0)</f>
        <v/>
      </c>
      <c r="H34" s="10">
        <f>IFERROR('VIC-2'!X29*1,0)</f>
        <v/>
      </c>
      <c r="I34" s="10">
        <f>IFERROR('QLD-2'!X29*1,0)</f>
        <v/>
      </c>
      <c r="J34" s="10">
        <f>IFERROR('SA-1'!X29*1,0)</f>
        <v/>
      </c>
      <c r="K34" s="10">
        <f>IFERROR('WA-1'!X29*1,0)</f>
        <v/>
      </c>
      <c r="L34" s="10">
        <f>IFERROR('IDC-NSW'!X29*1,0)</f>
        <v/>
      </c>
      <c r="M34" s="10">
        <f>IFERROR('IDC-VIC'!X29*1,0)</f>
        <v/>
      </c>
      <c r="O34" s="9">
        <f>Cases_Forecast!AJ22</f>
        <v/>
      </c>
      <c r="P34" s="9">
        <f>Cases_Forecast!AK22</f>
        <v/>
      </c>
      <c r="Q34" s="9">
        <f>Cases_Forecast!AL22</f>
        <v/>
      </c>
      <c r="R34" s="9">
        <f>Cases_Forecast!AM22</f>
        <v/>
      </c>
      <c r="S34" s="9">
        <f>Cases_Forecast!AN22</f>
        <v/>
      </c>
      <c r="T34" s="9">
        <f>Cases_Forecast!AO22</f>
        <v/>
      </c>
      <c r="U34" s="9">
        <f>Cases_Forecast!AP22</f>
        <v/>
      </c>
      <c r="V34" s="9">
        <f>Cases_Forecast!AQ22</f>
        <v/>
      </c>
      <c r="W34" s="9">
        <f>Cases_Forecast!AR22</f>
        <v/>
      </c>
      <c r="X34" s="9">
        <f>Cases_Forecast!AS22</f>
        <v/>
      </c>
      <c r="Z34" s="9">
        <f>IFERROR(O34/D34,0)</f>
        <v/>
      </c>
      <c r="AA34" s="9">
        <f>IFERROR(P34/E34,0)</f>
        <v/>
      </c>
      <c r="AB34" s="9">
        <f>IFERROR(Q34/F34,0)</f>
        <v/>
      </c>
      <c r="AC34" s="9">
        <f>IFERROR(R34/G34,0)</f>
        <v/>
      </c>
      <c r="AD34" s="9">
        <f>IFERROR(S34/H34,0)</f>
        <v/>
      </c>
      <c r="AE34" s="9">
        <f>IFERROR(T34/I34,0)</f>
        <v/>
      </c>
      <c r="AF34" s="9">
        <f>IFERROR(U34/J34,0)</f>
        <v/>
      </c>
      <c r="AG34" s="9">
        <f>IFERROR(V34/K34,0)</f>
        <v/>
      </c>
      <c r="AH34" s="9">
        <f>IFERROR(W34/L34,0)</f>
        <v/>
      </c>
      <c r="AI34" s="9">
        <f>IFERROR(X34/M34,0)</f>
        <v/>
      </c>
      <c r="AK34" s="14">
        <f>IF(D$15="Yes",D34*$BL34,D34)</f>
        <v/>
      </c>
      <c r="AL34" s="14">
        <f>IF(E$15="Yes",E34*$BL34,E34)</f>
        <v/>
      </c>
      <c r="AM34" s="14">
        <f>IF(F$15="Yes",F34*$BL34,F34)</f>
        <v/>
      </c>
      <c r="AN34" s="14">
        <f>IF(G$15="Yes",G34*$BL34,G34)</f>
        <v/>
      </c>
      <c r="AO34" s="14">
        <f>IF(H$15="Yes",H34*$BL34,H34)</f>
        <v/>
      </c>
      <c r="AP34" s="14">
        <f>IF(I$15="Yes",I34*$BL34,I34)</f>
        <v/>
      </c>
      <c r="AQ34" s="14">
        <f>IF(J$15="Yes",J34*$BL34,J34)</f>
        <v/>
      </c>
      <c r="AR34" s="14">
        <f>IF(K$15="Yes",K34*$BL34,K34)</f>
        <v/>
      </c>
      <c r="AS34" s="14">
        <f>IF(L$15="Yes",L34*$BL34,L34)</f>
        <v/>
      </c>
      <c r="AT34" s="14">
        <f>IF(M$15="Yes",M34*$BL34,M34)</f>
        <v/>
      </c>
      <c r="AV34" s="9">
        <f>IFERROR(O34/AK34,0)</f>
        <v/>
      </c>
      <c r="AW34" s="9">
        <f>IFERROR(P34/AL34,0)</f>
        <v/>
      </c>
      <c r="AX34" s="9">
        <f>IFERROR(Q34/AM34,0)</f>
        <v/>
      </c>
      <c r="AY34" s="9">
        <f>IFERROR(R34/AN34,0)</f>
        <v/>
      </c>
      <c r="AZ34" s="9">
        <f>IFERROR(S34/AO34,0)</f>
        <v/>
      </c>
      <c r="BA34" s="9">
        <f>IFERROR(T34/AP34,0)</f>
        <v/>
      </c>
      <c r="BB34" s="9">
        <f>IFERROR(U34/AQ34,0)</f>
        <v/>
      </c>
      <c r="BC34" s="9">
        <f>IFERROR(V34/AR34,0)</f>
        <v/>
      </c>
      <c r="BD34" s="9">
        <f>IFERROR(W34/AS34,0)</f>
        <v/>
      </c>
      <c r="BE34" s="9">
        <f>IFERROR(X34/AT34,0)</f>
        <v/>
      </c>
      <c r="BG34" s="9">
        <f>SUMPRODUCT(($D$15:$M$15="Yes")*O34:X34)</f>
        <v/>
      </c>
      <c r="BH34" s="9">
        <f>SUMPRODUCT(($D$15:$M$15="Yes")*Z34:AI34)</f>
        <v/>
      </c>
      <c r="BI34" s="9">
        <f>SUMPRODUCT(($D$15:$M$15="Yes")*AV34:BE34)</f>
        <v/>
      </c>
      <c r="BJ34" s="10">
        <f>IFERROR(BG34/BH34,0)</f>
        <v/>
      </c>
      <c r="BK34" s="10">
        <f>IFERROR(BG34/BI34,0)</f>
        <v/>
      </c>
      <c r="BL34" s="16">
        <f>IF(B34="Actual",1,INDEX($G$9:$G$11,MATCH(C34,$A$9:$A$11,0)))</f>
        <v/>
      </c>
      <c r="BN34" s="8" t="n">
        <v>46054</v>
      </c>
      <c r="BO34">
        <f>Inputs!$A$40</f>
        <v/>
      </c>
      <c r="BP34" s="10">
        <f>AO33</f>
        <v/>
      </c>
    </row>
    <row r="35">
      <c r="A35" s="8" t="n">
        <v>46113</v>
      </c>
      <c r="B35">
        <f>IF(A35&lt;=LastActual,"Actual","Forecast")</f>
        <v/>
      </c>
      <c r="C35">
        <f>YEAR(A35)</f>
        <v/>
      </c>
      <c r="D35" s="10">
        <f>IFERROR('NSW-1'!X30*1,0)</f>
        <v/>
      </c>
      <c r="E35" s="10">
        <f>IFERROR('VIC-1'!X30*1,0)</f>
        <v/>
      </c>
      <c r="F35" s="10">
        <f>IFERROR('QLD-1'!X30*1,0)</f>
        <v/>
      </c>
      <c r="G35" s="10">
        <f>IFERROR('NSW-2'!X30*1,0)</f>
        <v/>
      </c>
      <c r="H35" s="10">
        <f>IFERROR('VIC-2'!X30*1,0)</f>
        <v/>
      </c>
      <c r="I35" s="10">
        <f>IFERROR('QLD-2'!X30*1,0)</f>
        <v/>
      </c>
      <c r="J35" s="10">
        <f>IFERROR('SA-1'!X30*1,0)</f>
        <v/>
      </c>
      <c r="K35" s="10">
        <f>IFERROR('WA-1'!X30*1,0)</f>
        <v/>
      </c>
      <c r="L35" s="10">
        <f>IFERROR('IDC-NSW'!X30*1,0)</f>
        <v/>
      </c>
      <c r="M35" s="10">
        <f>IFERROR('IDC-VIC'!X30*1,0)</f>
        <v/>
      </c>
      <c r="O35" s="9">
        <f>Cases_Forecast!AJ23</f>
        <v/>
      </c>
      <c r="P35" s="9">
        <f>Cases_Forecast!AK23</f>
        <v/>
      </c>
      <c r="Q35" s="9">
        <f>Cases_Forecast!AL23</f>
        <v/>
      </c>
      <c r="R35" s="9">
        <f>Cases_Forecast!AM23</f>
        <v/>
      </c>
      <c r="S35" s="9">
        <f>Cases_Forecast!AN23</f>
        <v/>
      </c>
      <c r="T35" s="9">
        <f>Cases_Forecast!AO23</f>
        <v/>
      </c>
      <c r="U35" s="9">
        <f>Cases_Forecast!AP23</f>
        <v/>
      </c>
      <c r="V35" s="9">
        <f>Cases_Forecast!AQ23</f>
        <v/>
      </c>
      <c r="W35" s="9">
        <f>Cases_Forecast!AR23</f>
        <v/>
      </c>
      <c r="X35" s="9">
        <f>Cases_Forecast!AS23</f>
        <v/>
      </c>
      <c r="Z35" s="9">
        <f>IFERROR(O35/D35,0)</f>
        <v/>
      </c>
      <c r="AA35" s="9">
        <f>IFERROR(P35/E35,0)</f>
        <v/>
      </c>
      <c r="AB35" s="9">
        <f>IFERROR(Q35/F35,0)</f>
        <v/>
      </c>
      <c r="AC35" s="9">
        <f>IFERROR(R35/G35,0)</f>
        <v/>
      </c>
      <c r="AD35" s="9">
        <f>IFERROR(S35/H35,0)</f>
        <v/>
      </c>
      <c r="AE35" s="9">
        <f>IFERROR(T35/I35,0)</f>
        <v/>
      </c>
      <c r="AF35" s="9">
        <f>IFERROR(U35/J35,0)</f>
        <v/>
      </c>
      <c r="AG35" s="9">
        <f>IFERROR(V35/K35,0)</f>
        <v/>
      </c>
      <c r="AH35" s="9">
        <f>IFERROR(W35/L35,0)</f>
        <v/>
      </c>
      <c r="AI35" s="9">
        <f>IFERROR(X35/M35,0)</f>
        <v/>
      </c>
      <c r="AK35" s="14">
        <f>IF(D$15="Yes",D35*$BL35,D35)</f>
        <v/>
      </c>
      <c r="AL35" s="14">
        <f>IF(E$15="Yes",E35*$BL35,E35)</f>
        <v/>
      </c>
      <c r="AM35" s="14">
        <f>IF(F$15="Yes",F35*$BL35,F35)</f>
        <v/>
      </c>
      <c r="AN35" s="14">
        <f>IF(G$15="Yes",G35*$BL35,G35)</f>
        <v/>
      </c>
      <c r="AO35" s="14">
        <f>IF(H$15="Yes",H35*$BL35,H35)</f>
        <v/>
      </c>
      <c r="AP35" s="14">
        <f>IF(I$15="Yes",I35*$BL35,I35)</f>
        <v/>
      </c>
      <c r="AQ35" s="14">
        <f>IF(J$15="Yes",J35*$BL35,J35)</f>
        <v/>
      </c>
      <c r="AR35" s="14">
        <f>IF(K$15="Yes",K35*$BL35,K35)</f>
        <v/>
      </c>
      <c r="AS35" s="14">
        <f>IF(L$15="Yes",L35*$BL35,L35)</f>
        <v/>
      </c>
      <c r="AT35" s="14">
        <f>IF(M$15="Yes",M35*$BL35,M35)</f>
        <v/>
      </c>
      <c r="AV35" s="9">
        <f>IFERROR(O35/AK35,0)</f>
        <v/>
      </c>
      <c r="AW35" s="9">
        <f>IFERROR(P35/AL35,0)</f>
        <v/>
      </c>
      <c r="AX35" s="9">
        <f>IFERROR(Q35/AM35,0)</f>
        <v/>
      </c>
      <c r="AY35" s="9">
        <f>IFERROR(R35/AN35,0)</f>
        <v/>
      </c>
      <c r="AZ35" s="9">
        <f>IFERROR(S35/AO35,0)</f>
        <v/>
      </c>
      <c r="BA35" s="9">
        <f>IFERROR(T35/AP35,0)</f>
        <v/>
      </c>
      <c r="BB35" s="9">
        <f>IFERROR(U35/AQ35,0)</f>
        <v/>
      </c>
      <c r="BC35" s="9">
        <f>IFERROR(V35/AR35,0)</f>
        <v/>
      </c>
      <c r="BD35" s="9">
        <f>IFERROR(W35/AS35,0)</f>
        <v/>
      </c>
      <c r="BE35" s="9">
        <f>IFERROR(X35/AT35,0)</f>
        <v/>
      </c>
      <c r="BG35" s="9">
        <f>SUMPRODUCT(($D$15:$M$15="Yes")*O35:X35)</f>
        <v/>
      </c>
      <c r="BH35" s="9">
        <f>SUMPRODUCT(($D$15:$M$15="Yes")*Z35:AI35)</f>
        <v/>
      </c>
      <c r="BI35" s="9">
        <f>SUMPRODUCT(($D$15:$M$15="Yes")*AV35:BE35)</f>
        <v/>
      </c>
      <c r="BJ35" s="10">
        <f>IFERROR(BG35/BH35,0)</f>
        <v/>
      </c>
      <c r="BK35" s="10">
        <f>IFERROR(BG35/BI35,0)</f>
        <v/>
      </c>
      <c r="BL35" s="16">
        <f>IF(B35="Actual",1,INDEX($G$9:$G$11,MATCH(C35,$A$9:$A$11,0)))</f>
        <v/>
      </c>
      <c r="BN35" s="8" t="n">
        <v>46054</v>
      </c>
      <c r="BO35">
        <f>Inputs!$A$41</f>
        <v/>
      </c>
      <c r="BP35" s="10">
        <f>AP33</f>
        <v/>
      </c>
    </row>
    <row r="36">
      <c r="A36" s="8" t="n">
        <v>46143</v>
      </c>
      <c r="B36">
        <f>IF(A36&lt;=LastActual,"Actual","Forecast")</f>
        <v/>
      </c>
      <c r="C36">
        <f>YEAR(A36)</f>
        <v/>
      </c>
      <c r="D36" s="10">
        <f>IFERROR('NSW-1'!X31*1,0)</f>
        <v/>
      </c>
      <c r="E36" s="10">
        <f>IFERROR('VIC-1'!X31*1,0)</f>
        <v/>
      </c>
      <c r="F36" s="10">
        <f>IFERROR('QLD-1'!X31*1,0)</f>
        <v/>
      </c>
      <c r="G36" s="10">
        <f>IFERROR('NSW-2'!X31*1,0)</f>
        <v/>
      </c>
      <c r="H36" s="10">
        <f>IFERROR('VIC-2'!X31*1,0)</f>
        <v/>
      </c>
      <c r="I36" s="10">
        <f>IFERROR('QLD-2'!X31*1,0)</f>
        <v/>
      </c>
      <c r="J36" s="10">
        <f>IFERROR('SA-1'!X31*1,0)</f>
        <v/>
      </c>
      <c r="K36" s="10">
        <f>IFERROR('WA-1'!X31*1,0)</f>
        <v/>
      </c>
      <c r="L36" s="10">
        <f>IFERROR('IDC-NSW'!X31*1,0)</f>
        <v/>
      </c>
      <c r="M36" s="10">
        <f>IFERROR('IDC-VIC'!X31*1,0)</f>
        <v/>
      </c>
      <c r="O36" s="9">
        <f>Cases_Forecast!AJ24</f>
        <v/>
      </c>
      <c r="P36" s="9">
        <f>Cases_Forecast!AK24</f>
        <v/>
      </c>
      <c r="Q36" s="9">
        <f>Cases_Forecast!AL24</f>
        <v/>
      </c>
      <c r="R36" s="9">
        <f>Cases_Forecast!AM24</f>
        <v/>
      </c>
      <c r="S36" s="9">
        <f>Cases_Forecast!AN24</f>
        <v/>
      </c>
      <c r="T36" s="9">
        <f>Cases_Forecast!AO24</f>
        <v/>
      </c>
      <c r="U36" s="9">
        <f>Cases_Forecast!AP24</f>
        <v/>
      </c>
      <c r="V36" s="9">
        <f>Cases_Forecast!AQ24</f>
        <v/>
      </c>
      <c r="W36" s="9">
        <f>Cases_Forecast!AR24</f>
        <v/>
      </c>
      <c r="X36" s="9">
        <f>Cases_Forecast!AS24</f>
        <v/>
      </c>
      <c r="Z36" s="9">
        <f>IFERROR(O36/D36,0)</f>
        <v/>
      </c>
      <c r="AA36" s="9">
        <f>IFERROR(P36/E36,0)</f>
        <v/>
      </c>
      <c r="AB36" s="9">
        <f>IFERROR(Q36/F36,0)</f>
        <v/>
      </c>
      <c r="AC36" s="9">
        <f>IFERROR(R36/G36,0)</f>
        <v/>
      </c>
      <c r="AD36" s="9">
        <f>IFERROR(S36/H36,0)</f>
        <v/>
      </c>
      <c r="AE36" s="9">
        <f>IFERROR(T36/I36,0)</f>
        <v/>
      </c>
      <c r="AF36" s="9">
        <f>IFERROR(U36/J36,0)</f>
        <v/>
      </c>
      <c r="AG36" s="9">
        <f>IFERROR(V36/K36,0)</f>
        <v/>
      </c>
      <c r="AH36" s="9">
        <f>IFERROR(W36/L36,0)</f>
        <v/>
      </c>
      <c r="AI36" s="9">
        <f>IFERROR(X36/M36,0)</f>
        <v/>
      </c>
      <c r="AK36" s="14">
        <f>IF(D$15="Yes",D36*$BL36,D36)</f>
        <v/>
      </c>
      <c r="AL36" s="14">
        <f>IF(E$15="Yes",E36*$BL36,E36)</f>
        <v/>
      </c>
      <c r="AM36" s="14">
        <f>IF(F$15="Yes",F36*$BL36,F36)</f>
        <v/>
      </c>
      <c r="AN36" s="14">
        <f>IF(G$15="Yes",G36*$BL36,G36)</f>
        <v/>
      </c>
      <c r="AO36" s="14">
        <f>IF(H$15="Yes",H36*$BL36,H36)</f>
        <v/>
      </c>
      <c r="AP36" s="14">
        <f>IF(I$15="Yes",I36*$BL36,I36)</f>
        <v/>
      </c>
      <c r="AQ36" s="14">
        <f>IF(J$15="Yes",J36*$BL36,J36)</f>
        <v/>
      </c>
      <c r="AR36" s="14">
        <f>IF(K$15="Yes",K36*$BL36,K36)</f>
        <v/>
      </c>
      <c r="AS36" s="14">
        <f>IF(L$15="Yes",L36*$BL36,L36)</f>
        <v/>
      </c>
      <c r="AT36" s="14">
        <f>IF(M$15="Yes",M36*$BL36,M36)</f>
        <v/>
      </c>
      <c r="AV36" s="9">
        <f>IFERROR(O36/AK36,0)</f>
        <v/>
      </c>
      <c r="AW36" s="9">
        <f>IFERROR(P36/AL36,0)</f>
        <v/>
      </c>
      <c r="AX36" s="9">
        <f>IFERROR(Q36/AM36,0)</f>
        <v/>
      </c>
      <c r="AY36" s="9">
        <f>IFERROR(R36/AN36,0)</f>
        <v/>
      </c>
      <c r="AZ36" s="9">
        <f>IFERROR(S36/AO36,0)</f>
        <v/>
      </c>
      <c r="BA36" s="9">
        <f>IFERROR(T36/AP36,0)</f>
        <v/>
      </c>
      <c r="BB36" s="9">
        <f>IFERROR(U36/AQ36,0)</f>
        <v/>
      </c>
      <c r="BC36" s="9">
        <f>IFERROR(V36/AR36,0)</f>
        <v/>
      </c>
      <c r="BD36" s="9">
        <f>IFERROR(W36/AS36,0)</f>
        <v/>
      </c>
      <c r="BE36" s="9">
        <f>IFERROR(X36/AT36,0)</f>
        <v/>
      </c>
      <c r="BG36" s="9">
        <f>SUMPRODUCT(($D$15:$M$15="Yes")*O36:X36)</f>
        <v/>
      </c>
      <c r="BH36" s="9">
        <f>SUMPRODUCT(($D$15:$M$15="Yes")*Z36:AI36)</f>
        <v/>
      </c>
      <c r="BI36" s="9">
        <f>SUMPRODUCT(($D$15:$M$15="Yes")*AV36:BE36)</f>
        <v/>
      </c>
      <c r="BJ36" s="10">
        <f>IFERROR(BG36/BH36,0)</f>
        <v/>
      </c>
      <c r="BK36" s="10">
        <f>IFERROR(BG36/BI36,0)</f>
        <v/>
      </c>
      <c r="BL36" s="16">
        <f>IF(B36="Actual",1,INDEX($G$9:$G$11,MATCH(C36,$A$9:$A$11,0)))</f>
        <v/>
      </c>
      <c r="BN36" s="8" t="n">
        <v>46054</v>
      </c>
      <c r="BO36">
        <f>Inputs!$A$42</f>
        <v/>
      </c>
      <c r="BP36" s="10">
        <f>AQ33</f>
        <v/>
      </c>
    </row>
    <row r="37">
      <c r="A37" s="8" t="n">
        <v>46174</v>
      </c>
      <c r="B37">
        <f>IF(A37&lt;=LastActual,"Actual","Forecast")</f>
        <v/>
      </c>
      <c r="C37">
        <f>YEAR(A37)</f>
        <v/>
      </c>
      <c r="D37" s="10">
        <f>IFERROR('NSW-1'!X32*1,0)</f>
        <v/>
      </c>
      <c r="E37" s="10">
        <f>IFERROR('VIC-1'!X32*1,0)</f>
        <v/>
      </c>
      <c r="F37" s="10">
        <f>IFERROR('QLD-1'!X32*1,0)</f>
        <v/>
      </c>
      <c r="G37" s="10">
        <f>IFERROR('NSW-2'!X32*1,0)</f>
        <v/>
      </c>
      <c r="H37" s="10">
        <f>IFERROR('VIC-2'!X32*1,0)</f>
        <v/>
      </c>
      <c r="I37" s="10">
        <f>IFERROR('QLD-2'!X32*1,0)</f>
        <v/>
      </c>
      <c r="J37" s="10">
        <f>IFERROR('SA-1'!X32*1,0)</f>
        <v/>
      </c>
      <c r="K37" s="10">
        <f>IFERROR('WA-1'!X32*1,0)</f>
        <v/>
      </c>
      <c r="L37" s="10">
        <f>IFERROR('IDC-NSW'!X32*1,0)</f>
        <v/>
      </c>
      <c r="M37" s="10">
        <f>IFERROR('IDC-VIC'!X32*1,0)</f>
        <v/>
      </c>
      <c r="O37" s="9">
        <f>Cases_Forecast!AJ25</f>
        <v/>
      </c>
      <c r="P37" s="9">
        <f>Cases_Forecast!AK25</f>
        <v/>
      </c>
      <c r="Q37" s="9">
        <f>Cases_Forecast!AL25</f>
        <v/>
      </c>
      <c r="R37" s="9">
        <f>Cases_Forecast!AM25</f>
        <v/>
      </c>
      <c r="S37" s="9">
        <f>Cases_Forecast!AN25</f>
        <v/>
      </c>
      <c r="T37" s="9">
        <f>Cases_Forecast!AO25</f>
        <v/>
      </c>
      <c r="U37" s="9">
        <f>Cases_Forecast!AP25</f>
        <v/>
      </c>
      <c r="V37" s="9">
        <f>Cases_Forecast!AQ25</f>
        <v/>
      </c>
      <c r="W37" s="9">
        <f>Cases_Forecast!AR25</f>
        <v/>
      </c>
      <c r="X37" s="9">
        <f>Cases_Forecast!AS25</f>
        <v/>
      </c>
      <c r="Z37" s="9">
        <f>IFERROR(O37/D37,0)</f>
        <v/>
      </c>
      <c r="AA37" s="9">
        <f>IFERROR(P37/E37,0)</f>
        <v/>
      </c>
      <c r="AB37" s="9">
        <f>IFERROR(Q37/F37,0)</f>
        <v/>
      </c>
      <c r="AC37" s="9">
        <f>IFERROR(R37/G37,0)</f>
        <v/>
      </c>
      <c r="AD37" s="9">
        <f>IFERROR(S37/H37,0)</f>
        <v/>
      </c>
      <c r="AE37" s="9">
        <f>IFERROR(T37/I37,0)</f>
        <v/>
      </c>
      <c r="AF37" s="9">
        <f>IFERROR(U37/J37,0)</f>
        <v/>
      </c>
      <c r="AG37" s="9">
        <f>IFERROR(V37/K37,0)</f>
        <v/>
      </c>
      <c r="AH37" s="9">
        <f>IFERROR(W37/L37,0)</f>
        <v/>
      </c>
      <c r="AI37" s="9">
        <f>IFERROR(X37/M37,0)</f>
        <v/>
      </c>
      <c r="AK37" s="14">
        <f>IF(D$15="Yes",D37*$BL37,D37)</f>
        <v/>
      </c>
      <c r="AL37" s="14">
        <f>IF(E$15="Yes",E37*$BL37,E37)</f>
        <v/>
      </c>
      <c r="AM37" s="14">
        <f>IF(F$15="Yes",F37*$BL37,F37)</f>
        <v/>
      </c>
      <c r="AN37" s="14">
        <f>IF(G$15="Yes",G37*$BL37,G37)</f>
        <v/>
      </c>
      <c r="AO37" s="14">
        <f>IF(H$15="Yes",H37*$BL37,H37)</f>
        <v/>
      </c>
      <c r="AP37" s="14">
        <f>IF(I$15="Yes",I37*$BL37,I37)</f>
        <v/>
      </c>
      <c r="AQ37" s="14">
        <f>IF(J$15="Yes",J37*$BL37,J37)</f>
        <v/>
      </c>
      <c r="AR37" s="14">
        <f>IF(K$15="Yes",K37*$BL37,K37)</f>
        <v/>
      </c>
      <c r="AS37" s="14">
        <f>IF(L$15="Yes",L37*$BL37,L37)</f>
        <v/>
      </c>
      <c r="AT37" s="14">
        <f>IF(M$15="Yes",M37*$BL37,M37)</f>
        <v/>
      </c>
      <c r="AV37" s="9">
        <f>IFERROR(O37/AK37,0)</f>
        <v/>
      </c>
      <c r="AW37" s="9">
        <f>IFERROR(P37/AL37,0)</f>
        <v/>
      </c>
      <c r="AX37" s="9">
        <f>IFERROR(Q37/AM37,0)</f>
        <v/>
      </c>
      <c r="AY37" s="9">
        <f>IFERROR(R37/AN37,0)</f>
        <v/>
      </c>
      <c r="AZ37" s="9">
        <f>IFERROR(S37/AO37,0)</f>
        <v/>
      </c>
      <c r="BA37" s="9">
        <f>IFERROR(T37/AP37,0)</f>
        <v/>
      </c>
      <c r="BB37" s="9">
        <f>IFERROR(U37/AQ37,0)</f>
        <v/>
      </c>
      <c r="BC37" s="9">
        <f>IFERROR(V37/AR37,0)</f>
        <v/>
      </c>
      <c r="BD37" s="9">
        <f>IFERROR(W37/AS37,0)</f>
        <v/>
      </c>
      <c r="BE37" s="9">
        <f>IFERROR(X37/AT37,0)</f>
        <v/>
      </c>
      <c r="BG37" s="9">
        <f>SUMPRODUCT(($D$15:$M$15="Yes")*O37:X37)</f>
        <v/>
      </c>
      <c r="BH37" s="9">
        <f>SUMPRODUCT(($D$15:$M$15="Yes")*Z37:AI37)</f>
        <v/>
      </c>
      <c r="BI37" s="9">
        <f>SUMPRODUCT(($D$15:$M$15="Yes")*AV37:BE37)</f>
        <v/>
      </c>
      <c r="BJ37" s="10">
        <f>IFERROR(BG37/BH37,0)</f>
        <v/>
      </c>
      <c r="BK37" s="10">
        <f>IFERROR(BG37/BI37,0)</f>
        <v/>
      </c>
      <c r="BL37" s="16">
        <f>IF(B37="Actual",1,INDEX($G$9:$G$11,MATCH(C37,$A$9:$A$11,0)))</f>
        <v/>
      </c>
      <c r="BN37" s="8" t="n">
        <v>46054</v>
      </c>
      <c r="BO37">
        <f>Inputs!$A$43</f>
        <v/>
      </c>
      <c r="BP37" s="10">
        <f>AR33</f>
        <v/>
      </c>
    </row>
    <row r="38">
      <c r="A38" s="8" t="n">
        <v>46204</v>
      </c>
      <c r="B38">
        <f>IF(A38&lt;=LastActual,"Actual","Forecast")</f>
        <v/>
      </c>
      <c r="C38">
        <f>YEAR(A38)</f>
        <v/>
      </c>
      <c r="D38" s="10">
        <f>IFERROR('NSW-1'!X33*1,0)</f>
        <v/>
      </c>
      <c r="E38" s="10">
        <f>IFERROR('VIC-1'!X33*1,0)</f>
        <v/>
      </c>
      <c r="F38" s="10">
        <f>IFERROR('QLD-1'!X33*1,0)</f>
        <v/>
      </c>
      <c r="G38" s="10">
        <f>IFERROR('NSW-2'!X33*1,0)</f>
        <v/>
      </c>
      <c r="H38" s="10">
        <f>IFERROR('VIC-2'!X33*1,0)</f>
        <v/>
      </c>
      <c r="I38" s="10">
        <f>IFERROR('QLD-2'!X33*1,0)</f>
        <v/>
      </c>
      <c r="J38" s="10">
        <f>IFERROR('SA-1'!X33*1,0)</f>
        <v/>
      </c>
      <c r="K38" s="10">
        <f>IFERROR('WA-1'!X33*1,0)</f>
        <v/>
      </c>
      <c r="L38" s="10">
        <f>IFERROR('IDC-NSW'!X33*1,0)</f>
        <v/>
      </c>
      <c r="M38" s="10">
        <f>IFERROR('IDC-VIC'!X33*1,0)</f>
        <v/>
      </c>
      <c r="O38" s="9">
        <f>Cases_Forecast!AJ26</f>
        <v/>
      </c>
      <c r="P38" s="9">
        <f>Cases_Forecast!AK26</f>
        <v/>
      </c>
      <c r="Q38" s="9">
        <f>Cases_Forecast!AL26</f>
        <v/>
      </c>
      <c r="R38" s="9">
        <f>Cases_Forecast!AM26</f>
        <v/>
      </c>
      <c r="S38" s="9">
        <f>Cases_Forecast!AN26</f>
        <v/>
      </c>
      <c r="T38" s="9">
        <f>Cases_Forecast!AO26</f>
        <v/>
      </c>
      <c r="U38" s="9">
        <f>Cases_Forecast!AP26</f>
        <v/>
      </c>
      <c r="V38" s="9">
        <f>Cases_Forecast!AQ26</f>
        <v/>
      </c>
      <c r="W38" s="9">
        <f>Cases_Forecast!AR26</f>
        <v/>
      </c>
      <c r="X38" s="9">
        <f>Cases_Forecast!AS26</f>
        <v/>
      </c>
      <c r="Z38" s="9">
        <f>IFERROR(O38/D38,0)</f>
        <v/>
      </c>
      <c r="AA38" s="9">
        <f>IFERROR(P38/E38,0)</f>
        <v/>
      </c>
      <c r="AB38" s="9">
        <f>IFERROR(Q38/F38,0)</f>
        <v/>
      </c>
      <c r="AC38" s="9">
        <f>IFERROR(R38/G38,0)</f>
        <v/>
      </c>
      <c r="AD38" s="9">
        <f>IFERROR(S38/H38,0)</f>
        <v/>
      </c>
      <c r="AE38" s="9">
        <f>IFERROR(T38/I38,0)</f>
        <v/>
      </c>
      <c r="AF38" s="9">
        <f>IFERROR(U38/J38,0)</f>
        <v/>
      </c>
      <c r="AG38" s="9">
        <f>IFERROR(V38/K38,0)</f>
        <v/>
      </c>
      <c r="AH38" s="9">
        <f>IFERROR(W38/L38,0)</f>
        <v/>
      </c>
      <c r="AI38" s="9">
        <f>IFERROR(X38/M38,0)</f>
        <v/>
      </c>
      <c r="AK38" s="14">
        <f>IF(D$15="Yes",D38*$BL38,D38)</f>
        <v/>
      </c>
      <c r="AL38" s="14">
        <f>IF(E$15="Yes",E38*$BL38,E38)</f>
        <v/>
      </c>
      <c r="AM38" s="14">
        <f>IF(F$15="Yes",F38*$BL38,F38)</f>
        <v/>
      </c>
      <c r="AN38" s="14">
        <f>IF(G$15="Yes",G38*$BL38,G38)</f>
        <v/>
      </c>
      <c r="AO38" s="14">
        <f>IF(H$15="Yes",H38*$BL38,H38)</f>
        <v/>
      </c>
      <c r="AP38" s="14">
        <f>IF(I$15="Yes",I38*$BL38,I38)</f>
        <v/>
      </c>
      <c r="AQ38" s="14">
        <f>IF(J$15="Yes",J38*$BL38,J38)</f>
        <v/>
      </c>
      <c r="AR38" s="14">
        <f>IF(K$15="Yes",K38*$BL38,K38)</f>
        <v/>
      </c>
      <c r="AS38" s="14">
        <f>IF(L$15="Yes",L38*$BL38,L38)</f>
        <v/>
      </c>
      <c r="AT38" s="14">
        <f>IF(M$15="Yes",M38*$BL38,M38)</f>
        <v/>
      </c>
      <c r="AV38" s="9">
        <f>IFERROR(O38/AK38,0)</f>
        <v/>
      </c>
      <c r="AW38" s="9">
        <f>IFERROR(P38/AL38,0)</f>
        <v/>
      </c>
      <c r="AX38" s="9">
        <f>IFERROR(Q38/AM38,0)</f>
        <v/>
      </c>
      <c r="AY38" s="9">
        <f>IFERROR(R38/AN38,0)</f>
        <v/>
      </c>
      <c r="AZ38" s="9">
        <f>IFERROR(S38/AO38,0)</f>
        <v/>
      </c>
      <c r="BA38" s="9">
        <f>IFERROR(T38/AP38,0)</f>
        <v/>
      </c>
      <c r="BB38" s="9">
        <f>IFERROR(U38/AQ38,0)</f>
        <v/>
      </c>
      <c r="BC38" s="9">
        <f>IFERROR(V38/AR38,0)</f>
        <v/>
      </c>
      <c r="BD38" s="9">
        <f>IFERROR(W38/AS38,0)</f>
        <v/>
      </c>
      <c r="BE38" s="9">
        <f>IFERROR(X38/AT38,0)</f>
        <v/>
      </c>
      <c r="BG38" s="9">
        <f>SUMPRODUCT(($D$15:$M$15="Yes")*O38:X38)</f>
        <v/>
      </c>
      <c r="BH38" s="9">
        <f>SUMPRODUCT(($D$15:$M$15="Yes")*Z38:AI38)</f>
        <v/>
      </c>
      <c r="BI38" s="9">
        <f>SUMPRODUCT(($D$15:$M$15="Yes")*AV38:BE38)</f>
        <v/>
      </c>
      <c r="BJ38" s="10">
        <f>IFERROR(BG38/BH38,0)</f>
        <v/>
      </c>
      <c r="BK38" s="10">
        <f>IFERROR(BG38/BI38,0)</f>
        <v/>
      </c>
      <c r="BL38" s="16">
        <f>IF(B38="Actual",1,INDEX($G$9:$G$11,MATCH(C38,$A$9:$A$11,0)))</f>
        <v/>
      </c>
      <c r="BN38" s="8" t="n">
        <v>46054</v>
      </c>
      <c r="BO38">
        <f>Inputs!$A$44</f>
        <v/>
      </c>
      <c r="BP38" s="10">
        <f>AS33</f>
        <v/>
      </c>
    </row>
    <row r="39">
      <c r="A39" s="8" t="n">
        <v>46235</v>
      </c>
      <c r="B39">
        <f>IF(A39&lt;=LastActual,"Actual","Forecast")</f>
        <v/>
      </c>
      <c r="C39">
        <f>YEAR(A39)</f>
        <v/>
      </c>
      <c r="D39" s="10">
        <f>IFERROR('NSW-1'!X34*1,0)</f>
        <v/>
      </c>
      <c r="E39" s="10">
        <f>IFERROR('VIC-1'!X34*1,0)</f>
        <v/>
      </c>
      <c r="F39" s="10">
        <f>IFERROR('QLD-1'!X34*1,0)</f>
        <v/>
      </c>
      <c r="G39" s="10">
        <f>IFERROR('NSW-2'!X34*1,0)</f>
        <v/>
      </c>
      <c r="H39" s="10">
        <f>IFERROR('VIC-2'!X34*1,0)</f>
        <v/>
      </c>
      <c r="I39" s="10">
        <f>IFERROR('QLD-2'!X34*1,0)</f>
        <v/>
      </c>
      <c r="J39" s="10">
        <f>IFERROR('SA-1'!X34*1,0)</f>
        <v/>
      </c>
      <c r="K39" s="10">
        <f>IFERROR('WA-1'!X34*1,0)</f>
        <v/>
      </c>
      <c r="L39" s="10">
        <f>IFERROR('IDC-NSW'!X34*1,0)</f>
        <v/>
      </c>
      <c r="M39" s="10">
        <f>IFERROR('IDC-VIC'!X34*1,0)</f>
        <v/>
      </c>
      <c r="O39" s="9">
        <f>Cases_Forecast!AJ27</f>
        <v/>
      </c>
      <c r="P39" s="9">
        <f>Cases_Forecast!AK27</f>
        <v/>
      </c>
      <c r="Q39" s="9">
        <f>Cases_Forecast!AL27</f>
        <v/>
      </c>
      <c r="R39" s="9">
        <f>Cases_Forecast!AM27</f>
        <v/>
      </c>
      <c r="S39" s="9">
        <f>Cases_Forecast!AN27</f>
        <v/>
      </c>
      <c r="T39" s="9">
        <f>Cases_Forecast!AO27</f>
        <v/>
      </c>
      <c r="U39" s="9">
        <f>Cases_Forecast!AP27</f>
        <v/>
      </c>
      <c r="V39" s="9">
        <f>Cases_Forecast!AQ27</f>
        <v/>
      </c>
      <c r="W39" s="9">
        <f>Cases_Forecast!AR27</f>
        <v/>
      </c>
      <c r="X39" s="9">
        <f>Cases_Forecast!AS27</f>
        <v/>
      </c>
      <c r="Z39" s="9">
        <f>IFERROR(O39/D39,0)</f>
        <v/>
      </c>
      <c r="AA39" s="9">
        <f>IFERROR(P39/E39,0)</f>
        <v/>
      </c>
      <c r="AB39" s="9">
        <f>IFERROR(Q39/F39,0)</f>
        <v/>
      </c>
      <c r="AC39" s="9">
        <f>IFERROR(R39/G39,0)</f>
        <v/>
      </c>
      <c r="AD39" s="9">
        <f>IFERROR(S39/H39,0)</f>
        <v/>
      </c>
      <c r="AE39" s="9">
        <f>IFERROR(T39/I39,0)</f>
        <v/>
      </c>
      <c r="AF39" s="9">
        <f>IFERROR(U39/J39,0)</f>
        <v/>
      </c>
      <c r="AG39" s="9">
        <f>IFERROR(V39/K39,0)</f>
        <v/>
      </c>
      <c r="AH39" s="9">
        <f>IFERROR(W39/L39,0)</f>
        <v/>
      </c>
      <c r="AI39" s="9">
        <f>IFERROR(X39/M39,0)</f>
        <v/>
      </c>
      <c r="AK39" s="14">
        <f>IF(D$15="Yes",D39*$BL39,D39)</f>
        <v/>
      </c>
      <c r="AL39" s="14">
        <f>IF(E$15="Yes",E39*$BL39,E39)</f>
        <v/>
      </c>
      <c r="AM39" s="14">
        <f>IF(F$15="Yes",F39*$BL39,F39)</f>
        <v/>
      </c>
      <c r="AN39" s="14">
        <f>IF(G$15="Yes",G39*$BL39,G39)</f>
        <v/>
      </c>
      <c r="AO39" s="14">
        <f>IF(H$15="Yes",H39*$BL39,H39)</f>
        <v/>
      </c>
      <c r="AP39" s="14">
        <f>IF(I$15="Yes",I39*$BL39,I39)</f>
        <v/>
      </c>
      <c r="AQ39" s="14">
        <f>IF(J$15="Yes",J39*$BL39,J39)</f>
        <v/>
      </c>
      <c r="AR39" s="14">
        <f>IF(K$15="Yes",K39*$BL39,K39)</f>
        <v/>
      </c>
      <c r="AS39" s="14">
        <f>IF(L$15="Yes",L39*$BL39,L39)</f>
        <v/>
      </c>
      <c r="AT39" s="14">
        <f>IF(M$15="Yes",M39*$BL39,M39)</f>
        <v/>
      </c>
      <c r="AV39" s="9">
        <f>IFERROR(O39/AK39,0)</f>
        <v/>
      </c>
      <c r="AW39" s="9">
        <f>IFERROR(P39/AL39,0)</f>
        <v/>
      </c>
      <c r="AX39" s="9">
        <f>IFERROR(Q39/AM39,0)</f>
        <v/>
      </c>
      <c r="AY39" s="9">
        <f>IFERROR(R39/AN39,0)</f>
        <v/>
      </c>
      <c r="AZ39" s="9">
        <f>IFERROR(S39/AO39,0)</f>
        <v/>
      </c>
      <c r="BA39" s="9">
        <f>IFERROR(T39/AP39,0)</f>
        <v/>
      </c>
      <c r="BB39" s="9">
        <f>IFERROR(U39/AQ39,0)</f>
        <v/>
      </c>
      <c r="BC39" s="9">
        <f>IFERROR(V39/AR39,0)</f>
        <v/>
      </c>
      <c r="BD39" s="9">
        <f>IFERROR(W39/AS39,0)</f>
        <v/>
      </c>
      <c r="BE39" s="9">
        <f>IFERROR(X39/AT39,0)</f>
        <v/>
      </c>
      <c r="BG39" s="9">
        <f>SUMPRODUCT(($D$15:$M$15="Yes")*O39:X39)</f>
        <v/>
      </c>
      <c r="BH39" s="9">
        <f>SUMPRODUCT(($D$15:$M$15="Yes")*Z39:AI39)</f>
        <v/>
      </c>
      <c r="BI39" s="9">
        <f>SUMPRODUCT(($D$15:$M$15="Yes")*AV39:BE39)</f>
        <v/>
      </c>
      <c r="BJ39" s="10">
        <f>IFERROR(BG39/BH39,0)</f>
        <v/>
      </c>
      <c r="BK39" s="10">
        <f>IFERROR(BG39/BI39,0)</f>
        <v/>
      </c>
      <c r="BL39" s="16">
        <f>IF(B39="Actual",1,INDEX($G$9:$G$11,MATCH(C39,$A$9:$A$11,0)))</f>
        <v/>
      </c>
      <c r="BN39" s="8" t="n">
        <v>46054</v>
      </c>
      <c r="BO39">
        <f>Inputs!$A$45</f>
        <v/>
      </c>
      <c r="BP39" s="10">
        <f>AT33</f>
        <v/>
      </c>
    </row>
    <row r="40">
      <c r="A40" s="8" t="n">
        <v>46266</v>
      </c>
      <c r="B40">
        <f>IF(A40&lt;=LastActual,"Actual","Forecast")</f>
        <v/>
      </c>
      <c r="C40">
        <f>YEAR(A40)</f>
        <v/>
      </c>
      <c r="D40" s="10">
        <f>IFERROR('NSW-1'!X35*1,0)</f>
        <v/>
      </c>
      <c r="E40" s="10">
        <f>IFERROR('VIC-1'!X35*1,0)</f>
        <v/>
      </c>
      <c r="F40" s="10">
        <f>IFERROR('QLD-1'!X35*1,0)</f>
        <v/>
      </c>
      <c r="G40" s="10">
        <f>IFERROR('NSW-2'!X35*1,0)</f>
        <v/>
      </c>
      <c r="H40" s="10">
        <f>IFERROR('VIC-2'!X35*1,0)</f>
        <v/>
      </c>
      <c r="I40" s="10">
        <f>IFERROR('QLD-2'!X35*1,0)</f>
        <v/>
      </c>
      <c r="J40" s="10">
        <f>IFERROR('SA-1'!X35*1,0)</f>
        <v/>
      </c>
      <c r="K40" s="10">
        <f>IFERROR('WA-1'!X35*1,0)</f>
        <v/>
      </c>
      <c r="L40" s="10">
        <f>IFERROR('IDC-NSW'!X35*1,0)</f>
        <v/>
      </c>
      <c r="M40" s="10">
        <f>IFERROR('IDC-VIC'!X35*1,0)</f>
        <v/>
      </c>
      <c r="O40" s="9">
        <f>Cases_Forecast!AJ28</f>
        <v/>
      </c>
      <c r="P40" s="9">
        <f>Cases_Forecast!AK28</f>
        <v/>
      </c>
      <c r="Q40" s="9">
        <f>Cases_Forecast!AL28</f>
        <v/>
      </c>
      <c r="R40" s="9">
        <f>Cases_Forecast!AM28</f>
        <v/>
      </c>
      <c r="S40" s="9">
        <f>Cases_Forecast!AN28</f>
        <v/>
      </c>
      <c r="T40" s="9">
        <f>Cases_Forecast!AO28</f>
        <v/>
      </c>
      <c r="U40" s="9">
        <f>Cases_Forecast!AP28</f>
        <v/>
      </c>
      <c r="V40" s="9">
        <f>Cases_Forecast!AQ28</f>
        <v/>
      </c>
      <c r="W40" s="9">
        <f>Cases_Forecast!AR28</f>
        <v/>
      </c>
      <c r="X40" s="9">
        <f>Cases_Forecast!AS28</f>
        <v/>
      </c>
      <c r="Z40" s="9">
        <f>IFERROR(O40/D40,0)</f>
        <v/>
      </c>
      <c r="AA40" s="9">
        <f>IFERROR(P40/E40,0)</f>
        <v/>
      </c>
      <c r="AB40" s="9">
        <f>IFERROR(Q40/F40,0)</f>
        <v/>
      </c>
      <c r="AC40" s="9">
        <f>IFERROR(R40/G40,0)</f>
        <v/>
      </c>
      <c r="AD40" s="9">
        <f>IFERROR(S40/H40,0)</f>
        <v/>
      </c>
      <c r="AE40" s="9">
        <f>IFERROR(T40/I40,0)</f>
        <v/>
      </c>
      <c r="AF40" s="9">
        <f>IFERROR(U40/J40,0)</f>
        <v/>
      </c>
      <c r="AG40" s="9">
        <f>IFERROR(V40/K40,0)</f>
        <v/>
      </c>
      <c r="AH40" s="9">
        <f>IFERROR(W40/L40,0)</f>
        <v/>
      </c>
      <c r="AI40" s="9">
        <f>IFERROR(X40/M40,0)</f>
        <v/>
      </c>
      <c r="AK40" s="14">
        <f>IF(D$15="Yes",D40*$BL40,D40)</f>
        <v/>
      </c>
      <c r="AL40" s="14">
        <f>IF(E$15="Yes",E40*$BL40,E40)</f>
        <v/>
      </c>
      <c r="AM40" s="14">
        <f>IF(F$15="Yes",F40*$BL40,F40)</f>
        <v/>
      </c>
      <c r="AN40" s="14">
        <f>IF(G$15="Yes",G40*$BL40,G40)</f>
        <v/>
      </c>
      <c r="AO40" s="14">
        <f>IF(H$15="Yes",H40*$BL40,H40)</f>
        <v/>
      </c>
      <c r="AP40" s="14">
        <f>IF(I$15="Yes",I40*$BL40,I40)</f>
        <v/>
      </c>
      <c r="AQ40" s="14">
        <f>IF(J$15="Yes",J40*$BL40,J40)</f>
        <v/>
      </c>
      <c r="AR40" s="14">
        <f>IF(K$15="Yes",K40*$BL40,K40)</f>
        <v/>
      </c>
      <c r="AS40" s="14">
        <f>IF(L$15="Yes",L40*$BL40,L40)</f>
        <v/>
      </c>
      <c r="AT40" s="14">
        <f>IF(M$15="Yes",M40*$BL40,M40)</f>
        <v/>
      </c>
      <c r="AV40" s="9">
        <f>IFERROR(O40/AK40,0)</f>
        <v/>
      </c>
      <c r="AW40" s="9">
        <f>IFERROR(P40/AL40,0)</f>
        <v/>
      </c>
      <c r="AX40" s="9">
        <f>IFERROR(Q40/AM40,0)</f>
        <v/>
      </c>
      <c r="AY40" s="9">
        <f>IFERROR(R40/AN40,0)</f>
        <v/>
      </c>
      <c r="AZ40" s="9">
        <f>IFERROR(S40/AO40,0)</f>
        <v/>
      </c>
      <c r="BA40" s="9">
        <f>IFERROR(T40/AP40,0)</f>
        <v/>
      </c>
      <c r="BB40" s="9">
        <f>IFERROR(U40/AQ40,0)</f>
        <v/>
      </c>
      <c r="BC40" s="9">
        <f>IFERROR(V40/AR40,0)</f>
        <v/>
      </c>
      <c r="BD40" s="9">
        <f>IFERROR(W40/AS40,0)</f>
        <v/>
      </c>
      <c r="BE40" s="9">
        <f>IFERROR(X40/AT40,0)</f>
        <v/>
      </c>
      <c r="BG40" s="9">
        <f>SUMPRODUCT(($D$15:$M$15="Yes")*O40:X40)</f>
        <v/>
      </c>
      <c r="BH40" s="9">
        <f>SUMPRODUCT(($D$15:$M$15="Yes")*Z40:AI40)</f>
        <v/>
      </c>
      <c r="BI40" s="9">
        <f>SUMPRODUCT(($D$15:$M$15="Yes")*AV40:BE40)</f>
        <v/>
      </c>
      <c r="BJ40" s="10">
        <f>IFERROR(BG40/BH40,0)</f>
        <v/>
      </c>
      <c r="BK40" s="10">
        <f>IFERROR(BG40/BI40,0)</f>
        <v/>
      </c>
      <c r="BL40" s="16">
        <f>IF(B40="Actual",1,INDEX($G$9:$G$11,MATCH(C40,$A$9:$A$11,0)))</f>
        <v/>
      </c>
      <c r="BN40" s="8" t="n">
        <v>46082</v>
      </c>
      <c r="BO40">
        <f>Inputs!$A$36</f>
        <v/>
      </c>
      <c r="BP40" s="10">
        <f>AK34</f>
        <v/>
      </c>
    </row>
    <row r="41">
      <c r="A41" s="8" t="n">
        <v>46296</v>
      </c>
      <c r="B41">
        <f>IF(A41&lt;=LastActual,"Actual","Forecast")</f>
        <v/>
      </c>
      <c r="C41">
        <f>YEAR(A41)</f>
        <v/>
      </c>
      <c r="D41" s="10">
        <f>IFERROR('NSW-1'!X36*1,0)</f>
        <v/>
      </c>
      <c r="E41" s="10">
        <f>IFERROR('VIC-1'!X36*1,0)</f>
        <v/>
      </c>
      <c r="F41" s="10">
        <f>IFERROR('QLD-1'!X36*1,0)</f>
        <v/>
      </c>
      <c r="G41" s="10">
        <f>IFERROR('NSW-2'!X36*1,0)</f>
        <v/>
      </c>
      <c r="H41" s="10">
        <f>IFERROR('VIC-2'!X36*1,0)</f>
        <v/>
      </c>
      <c r="I41" s="10">
        <f>IFERROR('QLD-2'!X36*1,0)</f>
        <v/>
      </c>
      <c r="J41" s="10">
        <f>IFERROR('SA-1'!X36*1,0)</f>
        <v/>
      </c>
      <c r="K41" s="10">
        <f>IFERROR('WA-1'!X36*1,0)</f>
        <v/>
      </c>
      <c r="L41" s="10">
        <f>IFERROR('IDC-NSW'!X36*1,0)</f>
        <v/>
      </c>
      <c r="M41" s="10">
        <f>IFERROR('IDC-VIC'!X36*1,0)</f>
        <v/>
      </c>
      <c r="O41" s="9">
        <f>Cases_Forecast!AJ29</f>
        <v/>
      </c>
      <c r="P41" s="9">
        <f>Cases_Forecast!AK29</f>
        <v/>
      </c>
      <c r="Q41" s="9">
        <f>Cases_Forecast!AL29</f>
        <v/>
      </c>
      <c r="R41" s="9">
        <f>Cases_Forecast!AM29</f>
        <v/>
      </c>
      <c r="S41" s="9">
        <f>Cases_Forecast!AN29</f>
        <v/>
      </c>
      <c r="T41" s="9">
        <f>Cases_Forecast!AO29</f>
        <v/>
      </c>
      <c r="U41" s="9">
        <f>Cases_Forecast!AP29</f>
        <v/>
      </c>
      <c r="V41" s="9">
        <f>Cases_Forecast!AQ29</f>
        <v/>
      </c>
      <c r="W41" s="9">
        <f>Cases_Forecast!AR29</f>
        <v/>
      </c>
      <c r="X41" s="9">
        <f>Cases_Forecast!AS29</f>
        <v/>
      </c>
      <c r="Z41" s="9">
        <f>IFERROR(O41/D41,0)</f>
        <v/>
      </c>
      <c r="AA41" s="9">
        <f>IFERROR(P41/E41,0)</f>
        <v/>
      </c>
      <c r="AB41" s="9">
        <f>IFERROR(Q41/F41,0)</f>
        <v/>
      </c>
      <c r="AC41" s="9">
        <f>IFERROR(R41/G41,0)</f>
        <v/>
      </c>
      <c r="AD41" s="9">
        <f>IFERROR(S41/H41,0)</f>
        <v/>
      </c>
      <c r="AE41" s="9">
        <f>IFERROR(T41/I41,0)</f>
        <v/>
      </c>
      <c r="AF41" s="9">
        <f>IFERROR(U41/J41,0)</f>
        <v/>
      </c>
      <c r="AG41" s="9">
        <f>IFERROR(V41/K41,0)</f>
        <v/>
      </c>
      <c r="AH41" s="9">
        <f>IFERROR(W41/L41,0)</f>
        <v/>
      </c>
      <c r="AI41" s="9">
        <f>IFERROR(X41/M41,0)</f>
        <v/>
      </c>
      <c r="AK41" s="14">
        <f>IF(D$15="Yes",D41*$BL41,D41)</f>
        <v/>
      </c>
      <c r="AL41" s="14">
        <f>IF(E$15="Yes",E41*$BL41,E41)</f>
        <v/>
      </c>
      <c r="AM41" s="14">
        <f>IF(F$15="Yes",F41*$BL41,F41)</f>
        <v/>
      </c>
      <c r="AN41" s="14">
        <f>IF(G$15="Yes",G41*$BL41,G41)</f>
        <v/>
      </c>
      <c r="AO41" s="14">
        <f>IF(H$15="Yes",H41*$BL41,H41)</f>
        <v/>
      </c>
      <c r="AP41" s="14">
        <f>IF(I$15="Yes",I41*$BL41,I41)</f>
        <v/>
      </c>
      <c r="AQ41" s="14">
        <f>IF(J$15="Yes",J41*$BL41,J41)</f>
        <v/>
      </c>
      <c r="AR41" s="14">
        <f>IF(K$15="Yes",K41*$BL41,K41)</f>
        <v/>
      </c>
      <c r="AS41" s="14">
        <f>IF(L$15="Yes",L41*$BL41,L41)</f>
        <v/>
      </c>
      <c r="AT41" s="14">
        <f>IF(M$15="Yes",M41*$BL41,M41)</f>
        <v/>
      </c>
      <c r="AV41" s="9">
        <f>IFERROR(O41/AK41,0)</f>
        <v/>
      </c>
      <c r="AW41" s="9">
        <f>IFERROR(P41/AL41,0)</f>
        <v/>
      </c>
      <c r="AX41" s="9">
        <f>IFERROR(Q41/AM41,0)</f>
        <v/>
      </c>
      <c r="AY41" s="9">
        <f>IFERROR(R41/AN41,0)</f>
        <v/>
      </c>
      <c r="AZ41" s="9">
        <f>IFERROR(S41/AO41,0)</f>
        <v/>
      </c>
      <c r="BA41" s="9">
        <f>IFERROR(T41/AP41,0)</f>
        <v/>
      </c>
      <c r="BB41" s="9">
        <f>IFERROR(U41/AQ41,0)</f>
        <v/>
      </c>
      <c r="BC41" s="9">
        <f>IFERROR(V41/AR41,0)</f>
        <v/>
      </c>
      <c r="BD41" s="9">
        <f>IFERROR(W41/AS41,0)</f>
        <v/>
      </c>
      <c r="BE41" s="9">
        <f>IFERROR(X41/AT41,0)</f>
        <v/>
      </c>
      <c r="BG41" s="9">
        <f>SUMPRODUCT(($D$15:$M$15="Yes")*O41:X41)</f>
        <v/>
      </c>
      <c r="BH41" s="9">
        <f>SUMPRODUCT(($D$15:$M$15="Yes")*Z41:AI41)</f>
        <v/>
      </c>
      <c r="BI41" s="9">
        <f>SUMPRODUCT(($D$15:$M$15="Yes")*AV41:BE41)</f>
        <v/>
      </c>
      <c r="BJ41" s="10">
        <f>IFERROR(BG41/BH41,0)</f>
        <v/>
      </c>
      <c r="BK41" s="10">
        <f>IFERROR(BG41/BI41,0)</f>
        <v/>
      </c>
      <c r="BL41" s="16">
        <f>IF(B41="Actual",1,INDEX($G$9:$G$11,MATCH(C41,$A$9:$A$11,0)))</f>
        <v/>
      </c>
      <c r="BN41" s="8" t="n">
        <v>46082</v>
      </c>
      <c r="BO41">
        <f>Inputs!$A$37</f>
        <v/>
      </c>
      <c r="BP41" s="10">
        <f>AL34</f>
        <v/>
      </c>
    </row>
    <row r="42">
      <c r="A42" s="8" t="n">
        <v>46327</v>
      </c>
      <c r="B42">
        <f>IF(A42&lt;=LastActual,"Actual","Forecast")</f>
        <v/>
      </c>
      <c r="C42">
        <f>YEAR(A42)</f>
        <v/>
      </c>
      <c r="D42" s="10">
        <f>IFERROR('NSW-1'!X37*1,0)</f>
        <v/>
      </c>
      <c r="E42" s="10">
        <f>IFERROR('VIC-1'!X37*1,0)</f>
        <v/>
      </c>
      <c r="F42" s="10">
        <f>IFERROR('QLD-1'!X37*1,0)</f>
        <v/>
      </c>
      <c r="G42" s="10">
        <f>IFERROR('NSW-2'!X37*1,0)</f>
        <v/>
      </c>
      <c r="H42" s="10">
        <f>IFERROR('VIC-2'!X37*1,0)</f>
        <v/>
      </c>
      <c r="I42" s="10">
        <f>IFERROR('QLD-2'!X37*1,0)</f>
        <v/>
      </c>
      <c r="J42" s="10">
        <f>IFERROR('SA-1'!X37*1,0)</f>
        <v/>
      </c>
      <c r="K42" s="10">
        <f>IFERROR('WA-1'!X37*1,0)</f>
        <v/>
      </c>
      <c r="L42" s="10">
        <f>IFERROR('IDC-NSW'!X37*1,0)</f>
        <v/>
      </c>
      <c r="M42" s="10">
        <f>IFERROR('IDC-VIC'!X37*1,0)</f>
        <v/>
      </c>
      <c r="O42" s="9">
        <f>Cases_Forecast!AJ30</f>
        <v/>
      </c>
      <c r="P42" s="9">
        <f>Cases_Forecast!AK30</f>
        <v/>
      </c>
      <c r="Q42" s="9">
        <f>Cases_Forecast!AL30</f>
        <v/>
      </c>
      <c r="R42" s="9">
        <f>Cases_Forecast!AM30</f>
        <v/>
      </c>
      <c r="S42" s="9">
        <f>Cases_Forecast!AN30</f>
        <v/>
      </c>
      <c r="T42" s="9">
        <f>Cases_Forecast!AO30</f>
        <v/>
      </c>
      <c r="U42" s="9">
        <f>Cases_Forecast!AP30</f>
        <v/>
      </c>
      <c r="V42" s="9">
        <f>Cases_Forecast!AQ30</f>
        <v/>
      </c>
      <c r="W42" s="9">
        <f>Cases_Forecast!AR30</f>
        <v/>
      </c>
      <c r="X42" s="9">
        <f>Cases_Forecast!AS30</f>
        <v/>
      </c>
      <c r="Z42" s="9">
        <f>IFERROR(O42/D42,0)</f>
        <v/>
      </c>
      <c r="AA42" s="9">
        <f>IFERROR(P42/E42,0)</f>
        <v/>
      </c>
      <c r="AB42" s="9">
        <f>IFERROR(Q42/F42,0)</f>
        <v/>
      </c>
      <c r="AC42" s="9">
        <f>IFERROR(R42/G42,0)</f>
        <v/>
      </c>
      <c r="AD42" s="9">
        <f>IFERROR(S42/H42,0)</f>
        <v/>
      </c>
      <c r="AE42" s="9">
        <f>IFERROR(T42/I42,0)</f>
        <v/>
      </c>
      <c r="AF42" s="9">
        <f>IFERROR(U42/J42,0)</f>
        <v/>
      </c>
      <c r="AG42" s="9">
        <f>IFERROR(V42/K42,0)</f>
        <v/>
      </c>
      <c r="AH42" s="9">
        <f>IFERROR(W42/L42,0)</f>
        <v/>
      </c>
      <c r="AI42" s="9">
        <f>IFERROR(X42/M42,0)</f>
        <v/>
      </c>
      <c r="AK42" s="14">
        <f>IF(D$15="Yes",D42*$BL42,D42)</f>
        <v/>
      </c>
      <c r="AL42" s="14">
        <f>IF(E$15="Yes",E42*$BL42,E42)</f>
        <v/>
      </c>
      <c r="AM42" s="14">
        <f>IF(F$15="Yes",F42*$BL42,F42)</f>
        <v/>
      </c>
      <c r="AN42" s="14">
        <f>IF(G$15="Yes",G42*$BL42,G42)</f>
        <v/>
      </c>
      <c r="AO42" s="14">
        <f>IF(H$15="Yes",H42*$BL42,H42)</f>
        <v/>
      </c>
      <c r="AP42" s="14">
        <f>IF(I$15="Yes",I42*$BL42,I42)</f>
        <v/>
      </c>
      <c r="AQ42" s="14">
        <f>IF(J$15="Yes",J42*$BL42,J42)</f>
        <v/>
      </c>
      <c r="AR42" s="14">
        <f>IF(K$15="Yes",K42*$BL42,K42)</f>
        <v/>
      </c>
      <c r="AS42" s="14">
        <f>IF(L$15="Yes",L42*$BL42,L42)</f>
        <v/>
      </c>
      <c r="AT42" s="14">
        <f>IF(M$15="Yes",M42*$BL42,M42)</f>
        <v/>
      </c>
      <c r="AV42" s="9">
        <f>IFERROR(O42/AK42,0)</f>
        <v/>
      </c>
      <c r="AW42" s="9">
        <f>IFERROR(P42/AL42,0)</f>
        <v/>
      </c>
      <c r="AX42" s="9">
        <f>IFERROR(Q42/AM42,0)</f>
        <v/>
      </c>
      <c r="AY42" s="9">
        <f>IFERROR(R42/AN42,0)</f>
        <v/>
      </c>
      <c r="AZ42" s="9">
        <f>IFERROR(S42/AO42,0)</f>
        <v/>
      </c>
      <c r="BA42" s="9">
        <f>IFERROR(T42/AP42,0)</f>
        <v/>
      </c>
      <c r="BB42" s="9">
        <f>IFERROR(U42/AQ42,0)</f>
        <v/>
      </c>
      <c r="BC42" s="9">
        <f>IFERROR(V42/AR42,0)</f>
        <v/>
      </c>
      <c r="BD42" s="9">
        <f>IFERROR(W42/AS42,0)</f>
        <v/>
      </c>
      <c r="BE42" s="9">
        <f>IFERROR(X42/AT42,0)</f>
        <v/>
      </c>
      <c r="BG42" s="9">
        <f>SUMPRODUCT(($D$15:$M$15="Yes")*O42:X42)</f>
        <v/>
      </c>
      <c r="BH42" s="9">
        <f>SUMPRODUCT(($D$15:$M$15="Yes")*Z42:AI42)</f>
        <v/>
      </c>
      <c r="BI42" s="9">
        <f>SUMPRODUCT(($D$15:$M$15="Yes")*AV42:BE42)</f>
        <v/>
      </c>
      <c r="BJ42" s="10">
        <f>IFERROR(BG42/BH42,0)</f>
        <v/>
      </c>
      <c r="BK42" s="10">
        <f>IFERROR(BG42/BI42,0)</f>
        <v/>
      </c>
      <c r="BL42" s="16">
        <f>IF(B42="Actual",1,INDEX($G$9:$G$11,MATCH(C42,$A$9:$A$11,0)))</f>
        <v/>
      </c>
      <c r="BN42" s="8" t="n">
        <v>46082</v>
      </c>
      <c r="BO42">
        <f>Inputs!$A$38</f>
        <v/>
      </c>
      <c r="BP42" s="10">
        <f>AM34</f>
        <v/>
      </c>
    </row>
    <row r="43">
      <c r="A43" s="8" t="n">
        <v>46357</v>
      </c>
      <c r="B43">
        <f>IF(A43&lt;=LastActual,"Actual","Forecast")</f>
        <v/>
      </c>
      <c r="C43">
        <f>YEAR(A43)</f>
        <v/>
      </c>
      <c r="D43" s="10">
        <f>IFERROR('NSW-1'!X38*1,0)</f>
        <v/>
      </c>
      <c r="E43" s="10">
        <f>IFERROR('VIC-1'!X38*1,0)</f>
        <v/>
      </c>
      <c r="F43" s="10">
        <f>IFERROR('QLD-1'!X38*1,0)</f>
        <v/>
      </c>
      <c r="G43" s="10">
        <f>IFERROR('NSW-2'!X38*1,0)</f>
        <v/>
      </c>
      <c r="H43" s="10">
        <f>IFERROR('VIC-2'!X38*1,0)</f>
        <v/>
      </c>
      <c r="I43" s="10">
        <f>IFERROR('QLD-2'!X38*1,0)</f>
        <v/>
      </c>
      <c r="J43" s="10">
        <f>IFERROR('SA-1'!X38*1,0)</f>
        <v/>
      </c>
      <c r="K43" s="10">
        <f>IFERROR('WA-1'!X38*1,0)</f>
        <v/>
      </c>
      <c r="L43" s="10">
        <f>IFERROR('IDC-NSW'!X38*1,0)</f>
        <v/>
      </c>
      <c r="M43" s="10">
        <f>IFERROR('IDC-VIC'!X38*1,0)</f>
        <v/>
      </c>
      <c r="O43" s="9">
        <f>Cases_Forecast!AJ31</f>
        <v/>
      </c>
      <c r="P43" s="9">
        <f>Cases_Forecast!AK31</f>
        <v/>
      </c>
      <c r="Q43" s="9">
        <f>Cases_Forecast!AL31</f>
        <v/>
      </c>
      <c r="R43" s="9">
        <f>Cases_Forecast!AM31</f>
        <v/>
      </c>
      <c r="S43" s="9">
        <f>Cases_Forecast!AN31</f>
        <v/>
      </c>
      <c r="T43" s="9">
        <f>Cases_Forecast!AO31</f>
        <v/>
      </c>
      <c r="U43" s="9">
        <f>Cases_Forecast!AP31</f>
        <v/>
      </c>
      <c r="V43" s="9">
        <f>Cases_Forecast!AQ31</f>
        <v/>
      </c>
      <c r="W43" s="9">
        <f>Cases_Forecast!AR31</f>
        <v/>
      </c>
      <c r="X43" s="9">
        <f>Cases_Forecast!AS31</f>
        <v/>
      </c>
      <c r="Z43" s="9">
        <f>IFERROR(O43/D43,0)</f>
        <v/>
      </c>
      <c r="AA43" s="9">
        <f>IFERROR(P43/E43,0)</f>
        <v/>
      </c>
      <c r="AB43" s="9">
        <f>IFERROR(Q43/F43,0)</f>
        <v/>
      </c>
      <c r="AC43" s="9">
        <f>IFERROR(R43/G43,0)</f>
        <v/>
      </c>
      <c r="AD43" s="9">
        <f>IFERROR(S43/H43,0)</f>
        <v/>
      </c>
      <c r="AE43" s="9">
        <f>IFERROR(T43/I43,0)</f>
        <v/>
      </c>
      <c r="AF43" s="9">
        <f>IFERROR(U43/J43,0)</f>
        <v/>
      </c>
      <c r="AG43" s="9">
        <f>IFERROR(V43/K43,0)</f>
        <v/>
      </c>
      <c r="AH43" s="9">
        <f>IFERROR(W43/L43,0)</f>
        <v/>
      </c>
      <c r="AI43" s="9">
        <f>IFERROR(X43/M43,0)</f>
        <v/>
      </c>
      <c r="AK43" s="14">
        <f>IF(D$15="Yes",D43*$BL43,D43)</f>
        <v/>
      </c>
      <c r="AL43" s="14">
        <f>IF(E$15="Yes",E43*$BL43,E43)</f>
        <v/>
      </c>
      <c r="AM43" s="14">
        <f>IF(F$15="Yes",F43*$BL43,F43)</f>
        <v/>
      </c>
      <c r="AN43" s="14">
        <f>IF(G$15="Yes",G43*$BL43,G43)</f>
        <v/>
      </c>
      <c r="AO43" s="14">
        <f>IF(H$15="Yes",H43*$BL43,H43)</f>
        <v/>
      </c>
      <c r="AP43" s="14">
        <f>IF(I$15="Yes",I43*$BL43,I43)</f>
        <v/>
      </c>
      <c r="AQ43" s="14">
        <f>IF(J$15="Yes",J43*$BL43,J43)</f>
        <v/>
      </c>
      <c r="AR43" s="14">
        <f>IF(K$15="Yes",K43*$BL43,K43)</f>
        <v/>
      </c>
      <c r="AS43" s="14">
        <f>IF(L$15="Yes",L43*$BL43,L43)</f>
        <v/>
      </c>
      <c r="AT43" s="14">
        <f>IF(M$15="Yes",M43*$BL43,M43)</f>
        <v/>
      </c>
      <c r="AV43" s="9">
        <f>IFERROR(O43/AK43,0)</f>
        <v/>
      </c>
      <c r="AW43" s="9">
        <f>IFERROR(P43/AL43,0)</f>
        <v/>
      </c>
      <c r="AX43" s="9">
        <f>IFERROR(Q43/AM43,0)</f>
        <v/>
      </c>
      <c r="AY43" s="9">
        <f>IFERROR(R43/AN43,0)</f>
        <v/>
      </c>
      <c r="AZ43" s="9">
        <f>IFERROR(S43/AO43,0)</f>
        <v/>
      </c>
      <c r="BA43" s="9">
        <f>IFERROR(T43/AP43,0)</f>
        <v/>
      </c>
      <c r="BB43" s="9">
        <f>IFERROR(U43/AQ43,0)</f>
        <v/>
      </c>
      <c r="BC43" s="9">
        <f>IFERROR(V43/AR43,0)</f>
        <v/>
      </c>
      <c r="BD43" s="9">
        <f>IFERROR(W43/AS43,0)</f>
        <v/>
      </c>
      <c r="BE43" s="9">
        <f>IFERROR(X43/AT43,0)</f>
        <v/>
      </c>
      <c r="BG43" s="9">
        <f>SUMPRODUCT(($D$15:$M$15="Yes")*O43:X43)</f>
        <v/>
      </c>
      <c r="BH43" s="9">
        <f>SUMPRODUCT(($D$15:$M$15="Yes")*Z43:AI43)</f>
        <v/>
      </c>
      <c r="BI43" s="9">
        <f>SUMPRODUCT(($D$15:$M$15="Yes")*AV43:BE43)</f>
        <v/>
      </c>
      <c r="BJ43" s="10">
        <f>IFERROR(BG43/BH43,0)</f>
        <v/>
      </c>
      <c r="BK43" s="10">
        <f>IFERROR(BG43/BI43,0)</f>
        <v/>
      </c>
      <c r="BL43" s="16">
        <f>IF(B43="Actual",1,INDEX($G$9:$G$11,MATCH(C43,$A$9:$A$11,0)))</f>
        <v/>
      </c>
      <c r="BN43" s="8" t="n">
        <v>46082</v>
      </c>
      <c r="BO43">
        <f>Inputs!$A$39</f>
        <v/>
      </c>
      <c r="BP43" s="10">
        <f>AN34</f>
        <v/>
      </c>
    </row>
    <row r="44">
      <c r="A44" s="8" t="n">
        <v>46388</v>
      </c>
      <c r="B44">
        <f>IF(A44&lt;=LastActual,"Actual","Forecast")</f>
        <v/>
      </c>
      <c r="C44">
        <f>YEAR(A44)</f>
        <v/>
      </c>
      <c r="D44" s="10">
        <f>IFERROR('NSW-1'!X39*1,0)</f>
        <v/>
      </c>
      <c r="E44" s="10">
        <f>IFERROR('VIC-1'!X39*1,0)</f>
        <v/>
      </c>
      <c r="F44" s="10">
        <f>IFERROR('QLD-1'!X39*1,0)</f>
        <v/>
      </c>
      <c r="G44" s="10">
        <f>IFERROR('NSW-2'!X39*1,0)</f>
        <v/>
      </c>
      <c r="H44" s="10">
        <f>IFERROR('VIC-2'!X39*1,0)</f>
        <v/>
      </c>
      <c r="I44" s="10">
        <f>IFERROR('QLD-2'!X39*1,0)</f>
        <v/>
      </c>
      <c r="J44" s="10">
        <f>IFERROR('SA-1'!X39*1,0)</f>
        <v/>
      </c>
      <c r="K44" s="10">
        <f>IFERROR('WA-1'!X39*1,0)</f>
        <v/>
      </c>
      <c r="L44" s="10">
        <f>IFERROR('IDC-NSW'!X39*1,0)</f>
        <v/>
      </c>
      <c r="M44" s="10">
        <f>IFERROR('IDC-VIC'!X39*1,0)</f>
        <v/>
      </c>
      <c r="O44" s="9">
        <f>Cases_Forecast!AJ32</f>
        <v/>
      </c>
      <c r="P44" s="9">
        <f>Cases_Forecast!AK32</f>
        <v/>
      </c>
      <c r="Q44" s="9">
        <f>Cases_Forecast!AL32</f>
        <v/>
      </c>
      <c r="R44" s="9">
        <f>Cases_Forecast!AM32</f>
        <v/>
      </c>
      <c r="S44" s="9">
        <f>Cases_Forecast!AN32</f>
        <v/>
      </c>
      <c r="T44" s="9">
        <f>Cases_Forecast!AO32</f>
        <v/>
      </c>
      <c r="U44" s="9">
        <f>Cases_Forecast!AP32</f>
        <v/>
      </c>
      <c r="V44" s="9">
        <f>Cases_Forecast!AQ32</f>
        <v/>
      </c>
      <c r="W44" s="9">
        <f>Cases_Forecast!AR32</f>
        <v/>
      </c>
      <c r="X44" s="9">
        <f>Cases_Forecast!AS32</f>
        <v/>
      </c>
      <c r="Z44" s="9">
        <f>IFERROR(O44/D44,0)</f>
        <v/>
      </c>
      <c r="AA44" s="9">
        <f>IFERROR(P44/E44,0)</f>
        <v/>
      </c>
      <c r="AB44" s="9">
        <f>IFERROR(Q44/F44,0)</f>
        <v/>
      </c>
      <c r="AC44" s="9">
        <f>IFERROR(R44/G44,0)</f>
        <v/>
      </c>
      <c r="AD44" s="9">
        <f>IFERROR(S44/H44,0)</f>
        <v/>
      </c>
      <c r="AE44" s="9">
        <f>IFERROR(T44/I44,0)</f>
        <v/>
      </c>
      <c r="AF44" s="9">
        <f>IFERROR(U44/J44,0)</f>
        <v/>
      </c>
      <c r="AG44" s="9">
        <f>IFERROR(V44/K44,0)</f>
        <v/>
      </c>
      <c r="AH44" s="9">
        <f>IFERROR(W44/L44,0)</f>
        <v/>
      </c>
      <c r="AI44" s="9">
        <f>IFERROR(X44/M44,0)</f>
        <v/>
      </c>
      <c r="AK44" s="14">
        <f>IF(D$15="Yes",D44*$BL44,D44)</f>
        <v/>
      </c>
      <c r="AL44" s="14">
        <f>IF(E$15="Yes",E44*$BL44,E44)</f>
        <v/>
      </c>
      <c r="AM44" s="14">
        <f>IF(F$15="Yes",F44*$BL44,F44)</f>
        <v/>
      </c>
      <c r="AN44" s="14">
        <f>IF(G$15="Yes",G44*$BL44,G44)</f>
        <v/>
      </c>
      <c r="AO44" s="14">
        <f>IF(H$15="Yes",H44*$BL44,H44)</f>
        <v/>
      </c>
      <c r="AP44" s="14">
        <f>IF(I$15="Yes",I44*$BL44,I44)</f>
        <v/>
      </c>
      <c r="AQ44" s="14">
        <f>IF(J$15="Yes",J44*$BL44,J44)</f>
        <v/>
      </c>
      <c r="AR44" s="14">
        <f>IF(K$15="Yes",K44*$BL44,K44)</f>
        <v/>
      </c>
      <c r="AS44" s="14">
        <f>IF(L$15="Yes",L44*$BL44,L44)</f>
        <v/>
      </c>
      <c r="AT44" s="14">
        <f>IF(M$15="Yes",M44*$BL44,M44)</f>
        <v/>
      </c>
      <c r="AV44" s="9">
        <f>IFERROR(O44/AK44,0)</f>
        <v/>
      </c>
      <c r="AW44" s="9">
        <f>IFERROR(P44/AL44,0)</f>
        <v/>
      </c>
      <c r="AX44" s="9">
        <f>IFERROR(Q44/AM44,0)</f>
        <v/>
      </c>
      <c r="AY44" s="9">
        <f>IFERROR(R44/AN44,0)</f>
        <v/>
      </c>
      <c r="AZ44" s="9">
        <f>IFERROR(S44/AO44,0)</f>
        <v/>
      </c>
      <c r="BA44" s="9">
        <f>IFERROR(T44/AP44,0)</f>
        <v/>
      </c>
      <c r="BB44" s="9">
        <f>IFERROR(U44/AQ44,0)</f>
        <v/>
      </c>
      <c r="BC44" s="9">
        <f>IFERROR(V44/AR44,0)</f>
        <v/>
      </c>
      <c r="BD44" s="9">
        <f>IFERROR(W44/AS44,0)</f>
        <v/>
      </c>
      <c r="BE44" s="9">
        <f>IFERROR(X44/AT44,0)</f>
        <v/>
      </c>
      <c r="BG44" s="9">
        <f>SUMPRODUCT(($D$15:$M$15="Yes")*O44:X44)</f>
        <v/>
      </c>
      <c r="BH44" s="9">
        <f>SUMPRODUCT(($D$15:$M$15="Yes")*Z44:AI44)</f>
        <v/>
      </c>
      <c r="BI44" s="9">
        <f>SUMPRODUCT(($D$15:$M$15="Yes")*AV44:BE44)</f>
        <v/>
      </c>
      <c r="BJ44" s="10">
        <f>IFERROR(BG44/BH44,0)</f>
        <v/>
      </c>
      <c r="BK44" s="10">
        <f>IFERROR(BG44/BI44,0)</f>
        <v/>
      </c>
      <c r="BL44" s="16">
        <f>IF(B44="Actual",1,INDEX($G$9:$G$11,MATCH(C44,$A$9:$A$11,0)))</f>
        <v/>
      </c>
      <c r="BN44" s="8" t="n">
        <v>46082</v>
      </c>
      <c r="BO44">
        <f>Inputs!$A$40</f>
        <v/>
      </c>
      <c r="BP44" s="10">
        <f>AO34</f>
        <v/>
      </c>
    </row>
    <row r="45">
      <c r="A45" s="8" t="n">
        <v>46419</v>
      </c>
      <c r="B45">
        <f>IF(A45&lt;=LastActual,"Actual","Forecast")</f>
        <v/>
      </c>
      <c r="C45">
        <f>YEAR(A45)</f>
        <v/>
      </c>
      <c r="D45" s="10">
        <f>IFERROR('NSW-1'!X40*1,0)</f>
        <v/>
      </c>
      <c r="E45" s="10">
        <f>IFERROR('VIC-1'!X40*1,0)</f>
        <v/>
      </c>
      <c r="F45" s="10">
        <f>IFERROR('QLD-1'!X40*1,0)</f>
        <v/>
      </c>
      <c r="G45" s="10">
        <f>IFERROR('NSW-2'!X40*1,0)</f>
        <v/>
      </c>
      <c r="H45" s="10">
        <f>IFERROR('VIC-2'!X40*1,0)</f>
        <v/>
      </c>
      <c r="I45" s="10">
        <f>IFERROR('QLD-2'!X40*1,0)</f>
        <v/>
      </c>
      <c r="J45" s="10">
        <f>IFERROR('SA-1'!X40*1,0)</f>
        <v/>
      </c>
      <c r="K45" s="10">
        <f>IFERROR('WA-1'!X40*1,0)</f>
        <v/>
      </c>
      <c r="L45" s="10">
        <f>IFERROR('IDC-NSW'!X40*1,0)</f>
        <v/>
      </c>
      <c r="M45" s="10">
        <f>IFERROR('IDC-VIC'!X40*1,0)</f>
        <v/>
      </c>
      <c r="O45" s="9">
        <f>Cases_Forecast!AJ33</f>
        <v/>
      </c>
      <c r="P45" s="9">
        <f>Cases_Forecast!AK33</f>
        <v/>
      </c>
      <c r="Q45" s="9">
        <f>Cases_Forecast!AL33</f>
        <v/>
      </c>
      <c r="R45" s="9">
        <f>Cases_Forecast!AM33</f>
        <v/>
      </c>
      <c r="S45" s="9">
        <f>Cases_Forecast!AN33</f>
        <v/>
      </c>
      <c r="T45" s="9">
        <f>Cases_Forecast!AO33</f>
        <v/>
      </c>
      <c r="U45" s="9">
        <f>Cases_Forecast!AP33</f>
        <v/>
      </c>
      <c r="V45" s="9">
        <f>Cases_Forecast!AQ33</f>
        <v/>
      </c>
      <c r="W45" s="9">
        <f>Cases_Forecast!AR33</f>
        <v/>
      </c>
      <c r="X45" s="9">
        <f>Cases_Forecast!AS33</f>
        <v/>
      </c>
      <c r="Z45" s="9">
        <f>IFERROR(O45/D45,0)</f>
        <v/>
      </c>
      <c r="AA45" s="9">
        <f>IFERROR(P45/E45,0)</f>
        <v/>
      </c>
      <c r="AB45" s="9">
        <f>IFERROR(Q45/F45,0)</f>
        <v/>
      </c>
      <c r="AC45" s="9">
        <f>IFERROR(R45/G45,0)</f>
        <v/>
      </c>
      <c r="AD45" s="9">
        <f>IFERROR(S45/H45,0)</f>
        <v/>
      </c>
      <c r="AE45" s="9">
        <f>IFERROR(T45/I45,0)</f>
        <v/>
      </c>
      <c r="AF45" s="9">
        <f>IFERROR(U45/J45,0)</f>
        <v/>
      </c>
      <c r="AG45" s="9">
        <f>IFERROR(V45/K45,0)</f>
        <v/>
      </c>
      <c r="AH45" s="9">
        <f>IFERROR(W45/L45,0)</f>
        <v/>
      </c>
      <c r="AI45" s="9">
        <f>IFERROR(X45/M45,0)</f>
        <v/>
      </c>
      <c r="AK45" s="14">
        <f>IF(D$15="Yes",D45*$BL45,D45)</f>
        <v/>
      </c>
      <c r="AL45" s="14">
        <f>IF(E$15="Yes",E45*$BL45,E45)</f>
        <v/>
      </c>
      <c r="AM45" s="14">
        <f>IF(F$15="Yes",F45*$BL45,F45)</f>
        <v/>
      </c>
      <c r="AN45" s="14">
        <f>IF(G$15="Yes",G45*$BL45,G45)</f>
        <v/>
      </c>
      <c r="AO45" s="14">
        <f>IF(H$15="Yes",H45*$BL45,H45)</f>
        <v/>
      </c>
      <c r="AP45" s="14">
        <f>IF(I$15="Yes",I45*$BL45,I45)</f>
        <v/>
      </c>
      <c r="AQ45" s="14">
        <f>IF(J$15="Yes",J45*$BL45,J45)</f>
        <v/>
      </c>
      <c r="AR45" s="14">
        <f>IF(K$15="Yes",K45*$BL45,K45)</f>
        <v/>
      </c>
      <c r="AS45" s="14">
        <f>IF(L$15="Yes",L45*$BL45,L45)</f>
        <v/>
      </c>
      <c r="AT45" s="14">
        <f>IF(M$15="Yes",M45*$BL45,M45)</f>
        <v/>
      </c>
      <c r="AV45" s="9">
        <f>IFERROR(O45/AK45,0)</f>
        <v/>
      </c>
      <c r="AW45" s="9">
        <f>IFERROR(P45/AL45,0)</f>
        <v/>
      </c>
      <c r="AX45" s="9">
        <f>IFERROR(Q45/AM45,0)</f>
        <v/>
      </c>
      <c r="AY45" s="9">
        <f>IFERROR(R45/AN45,0)</f>
        <v/>
      </c>
      <c r="AZ45" s="9">
        <f>IFERROR(S45/AO45,0)</f>
        <v/>
      </c>
      <c r="BA45" s="9">
        <f>IFERROR(T45/AP45,0)</f>
        <v/>
      </c>
      <c r="BB45" s="9">
        <f>IFERROR(U45/AQ45,0)</f>
        <v/>
      </c>
      <c r="BC45" s="9">
        <f>IFERROR(V45/AR45,0)</f>
        <v/>
      </c>
      <c r="BD45" s="9">
        <f>IFERROR(W45/AS45,0)</f>
        <v/>
      </c>
      <c r="BE45" s="9">
        <f>IFERROR(X45/AT45,0)</f>
        <v/>
      </c>
      <c r="BG45" s="9">
        <f>SUMPRODUCT(($D$15:$M$15="Yes")*O45:X45)</f>
        <v/>
      </c>
      <c r="BH45" s="9">
        <f>SUMPRODUCT(($D$15:$M$15="Yes")*Z45:AI45)</f>
        <v/>
      </c>
      <c r="BI45" s="9">
        <f>SUMPRODUCT(($D$15:$M$15="Yes")*AV45:BE45)</f>
        <v/>
      </c>
      <c r="BJ45" s="10">
        <f>IFERROR(BG45/BH45,0)</f>
        <v/>
      </c>
      <c r="BK45" s="10">
        <f>IFERROR(BG45/BI45,0)</f>
        <v/>
      </c>
      <c r="BL45" s="16">
        <f>IF(B45="Actual",1,INDEX($G$9:$G$11,MATCH(C45,$A$9:$A$11,0)))</f>
        <v/>
      </c>
      <c r="BN45" s="8" t="n">
        <v>46082</v>
      </c>
      <c r="BO45">
        <f>Inputs!$A$41</f>
        <v/>
      </c>
      <c r="BP45" s="10">
        <f>AP34</f>
        <v/>
      </c>
    </row>
    <row r="46">
      <c r="A46" s="8" t="n">
        <v>46447</v>
      </c>
      <c r="B46">
        <f>IF(A46&lt;=LastActual,"Actual","Forecast")</f>
        <v/>
      </c>
      <c r="C46">
        <f>YEAR(A46)</f>
        <v/>
      </c>
      <c r="D46" s="10">
        <f>IFERROR('NSW-1'!X41*1,0)</f>
        <v/>
      </c>
      <c r="E46" s="10">
        <f>IFERROR('VIC-1'!X41*1,0)</f>
        <v/>
      </c>
      <c r="F46" s="10">
        <f>IFERROR('QLD-1'!X41*1,0)</f>
        <v/>
      </c>
      <c r="G46" s="10">
        <f>IFERROR('NSW-2'!X41*1,0)</f>
        <v/>
      </c>
      <c r="H46" s="10">
        <f>IFERROR('VIC-2'!X41*1,0)</f>
        <v/>
      </c>
      <c r="I46" s="10">
        <f>IFERROR('QLD-2'!X41*1,0)</f>
        <v/>
      </c>
      <c r="J46" s="10">
        <f>IFERROR('SA-1'!X41*1,0)</f>
        <v/>
      </c>
      <c r="K46" s="10">
        <f>IFERROR('WA-1'!X41*1,0)</f>
        <v/>
      </c>
      <c r="L46" s="10">
        <f>IFERROR('IDC-NSW'!X41*1,0)</f>
        <v/>
      </c>
      <c r="M46" s="10">
        <f>IFERROR('IDC-VIC'!X41*1,0)</f>
        <v/>
      </c>
      <c r="O46" s="9">
        <f>Cases_Forecast!AJ34</f>
        <v/>
      </c>
      <c r="P46" s="9">
        <f>Cases_Forecast!AK34</f>
        <v/>
      </c>
      <c r="Q46" s="9">
        <f>Cases_Forecast!AL34</f>
        <v/>
      </c>
      <c r="R46" s="9">
        <f>Cases_Forecast!AM34</f>
        <v/>
      </c>
      <c r="S46" s="9">
        <f>Cases_Forecast!AN34</f>
        <v/>
      </c>
      <c r="T46" s="9">
        <f>Cases_Forecast!AO34</f>
        <v/>
      </c>
      <c r="U46" s="9">
        <f>Cases_Forecast!AP34</f>
        <v/>
      </c>
      <c r="V46" s="9">
        <f>Cases_Forecast!AQ34</f>
        <v/>
      </c>
      <c r="W46" s="9">
        <f>Cases_Forecast!AR34</f>
        <v/>
      </c>
      <c r="X46" s="9">
        <f>Cases_Forecast!AS34</f>
        <v/>
      </c>
      <c r="Z46" s="9">
        <f>IFERROR(O46/D46,0)</f>
        <v/>
      </c>
      <c r="AA46" s="9">
        <f>IFERROR(P46/E46,0)</f>
        <v/>
      </c>
      <c r="AB46" s="9">
        <f>IFERROR(Q46/F46,0)</f>
        <v/>
      </c>
      <c r="AC46" s="9">
        <f>IFERROR(R46/G46,0)</f>
        <v/>
      </c>
      <c r="AD46" s="9">
        <f>IFERROR(S46/H46,0)</f>
        <v/>
      </c>
      <c r="AE46" s="9">
        <f>IFERROR(T46/I46,0)</f>
        <v/>
      </c>
      <c r="AF46" s="9">
        <f>IFERROR(U46/J46,0)</f>
        <v/>
      </c>
      <c r="AG46" s="9">
        <f>IFERROR(V46/K46,0)</f>
        <v/>
      </c>
      <c r="AH46" s="9">
        <f>IFERROR(W46/L46,0)</f>
        <v/>
      </c>
      <c r="AI46" s="9">
        <f>IFERROR(X46/M46,0)</f>
        <v/>
      </c>
      <c r="AK46" s="14">
        <f>IF(D$15="Yes",D46*$BL46,D46)</f>
        <v/>
      </c>
      <c r="AL46" s="14">
        <f>IF(E$15="Yes",E46*$BL46,E46)</f>
        <v/>
      </c>
      <c r="AM46" s="14">
        <f>IF(F$15="Yes",F46*$BL46,F46)</f>
        <v/>
      </c>
      <c r="AN46" s="14">
        <f>IF(G$15="Yes",G46*$BL46,G46)</f>
        <v/>
      </c>
      <c r="AO46" s="14">
        <f>IF(H$15="Yes",H46*$BL46,H46)</f>
        <v/>
      </c>
      <c r="AP46" s="14">
        <f>IF(I$15="Yes",I46*$BL46,I46)</f>
        <v/>
      </c>
      <c r="AQ46" s="14">
        <f>IF(J$15="Yes",J46*$BL46,J46)</f>
        <v/>
      </c>
      <c r="AR46" s="14">
        <f>IF(K$15="Yes",K46*$BL46,K46)</f>
        <v/>
      </c>
      <c r="AS46" s="14">
        <f>IF(L$15="Yes",L46*$BL46,L46)</f>
        <v/>
      </c>
      <c r="AT46" s="14">
        <f>IF(M$15="Yes",M46*$BL46,M46)</f>
        <v/>
      </c>
      <c r="AV46" s="9">
        <f>IFERROR(O46/AK46,0)</f>
        <v/>
      </c>
      <c r="AW46" s="9">
        <f>IFERROR(P46/AL46,0)</f>
        <v/>
      </c>
      <c r="AX46" s="9">
        <f>IFERROR(Q46/AM46,0)</f>
        <v/>
      </c>
      <c r="AY46" s="9">
        <f>IFERROR(R46/AN46,0)</f>
        <v/>
      </c>
      <c r="AZ46" s="9">
        <f>IFERROR(S46/AO46,0)</f>
        <v/>
      </c>
      <c r="BA46" s="9">
        <f>IFERROR(T46/AP46,0)</f>
        <v/>
      </c>
      <c r="BB46" s="9">
        <f>IFERROR(U46/AQ46,0)</f>
        <v/>
      </c>
      <c r="BC46" s="9">
        <f>IFERROR(V46/AR46,0)</f>
        <v/>
      </c>
      <c r="BD46" s="9">
        <f>IFERROR(W46/AS46,0)</f>
        <v/>
      </c>
      <c r="BE46" s="9">
        <f>IFERROR(X46/AT46,0)</f>
        <v/>
      </c>
      <c r="BG46" s="9">
        <f>SUMPRODUCT(($D$15:$M$15="Yes")*O46:X46)</f>
        <v/>
      </c>
      <c r="BH46" s="9">
        <f>SUMPRODUCT(($D$15:$M$15="Yes")*Z46:AI46)</f>
        <v/>
      </c>
      <c r="BI46" s="9">
        <f>SUMPRODUCT(($D$15:$M$15="Yes")*AV46:BE46)</f>
        <v/>
      </c>
      <c r="BJ46" s="10">
        <f>IFERROR(BG46/BH46,0)</f>
        <v/>
      </c>
      <c r="BK46" s="10">
        <f>IFERROR(BG46/BI46,0)</f>
        <v/>
      </c>
      <c r="BL46" s="16">
        <f>IF(B46="Actual",1,INDEX($G$9:$G$11,MATCH(C46,$A$9:$A$11,0)))</f>
        <v/>
      </c>
      <c r="BN46" s="8" t="n">
        <v>46082</v>
      </c>
      <c r="BO46">
        <f>Inputs!$A$42</f>
        <v/>
      </c>
      <c r="BP46" s="10">
        <f>AQ34</f>
        <v/>
      </c>
    </row>
    <row r="47">
      <c r="A47" s="8" t="n">
        <v>46478</v>
      </c>
      <c r="B47">
        <f>IF(A47&lt;=LastActual,"Actual","Forecast")</f>
        <v/>
      </c>
      <c r="C47">
        <f>YEAR(A47)</f>
        <v/>
      </c>
      <c r="D47" s="10">
        <f>IFERROR('NSW-1'!X42*1,0)</f>
        <v/>
      </c>
      <c r="E47" s="10">
        <f>IFERROR('VIC-1'!X42*1,0)</f>
        <v/>
      </c>
      <c r="F47" s="10">
        <f>IFERROR('QLD-1'!X42*1,0)</f>
        <v/>
      </c>
      <c r="G47" s="10">
        <f>IFERROR('NSW-2'!X42*1,0)</f>
        <v/>
      </c>
      <c r="H47" s="10">
        <f>IFERROR('VIC-2'!X42*1,0)</f>
        <v/>
      </c>
      <c r="I47" s="10">
        <f>IFERROR('QLD-2'!X42*1,0)</f>
        <v/>
      </c>
      <c r="J47" s="10">
        <f>IFERROR('SA-1'!X42*1,0)</f>
        <v/>
      </c>
      <c r="K47" s="10">
        <f>IFERROR('WA-1'!X42*1,0)</f>
        <v/>
      </c>
      <c r="L47" s="10">
        <f>IFERROR('IDC-NSW'!X42*1,0)</f>
        <v/>
      </c>
      <c r="M47" s="10">
        <f>IFERROR('IDC-VIC'!X42*1,0)</f>
        <v/>
      </c>
      <c r="O47" s="9">
        <f>Cases_Forecast!AJ35</f>
        <v/>
      </c>
      <c r="P47" s="9">
        <f>Cases_Forecast!AK35</f>
        <v/>
      </c>
      <c r="Q47" s="9">
        <f>Cases_Forecast!AL35</f>
        <v/>
      </c>
      <c r="R47" s="9">
        <f>Cases_Forecast!AM35</f>
        <v/>
      </c>
      <c r="S47" s="9">
        <f>Cases_Forecast!AN35</f>
        <v/>
      </c>
      <c r="T47" s="9">
        <f>Cases_Forecast!AO35</f>
        <v/>
      </c>
      <c r="U47" s="9">
        <f>Cases_Forecast!AP35</f>
        <v/>
      </c>
      <c r="V47" s="9">
        <f>Cases_Forecast!AQ35</f>
        <v/>
      </c>
      <c r="W47" s="9">
        <f>Cases_Forecast!AR35</f>
        <v/>
      </c>
      <c r="X47" s="9">
        <f>Cases_Forecast!AS35</f>
        <v/>
      </c>
      <c r="Z47" s="9">
        <f>IFERROR(O47/D47,0)</f>
        <v/>
      </c>
      <c r="AA47" s="9">
        <f>IFERROR(P47/E47,0)</f>
        <v/>
      </c>
      <c r="AB47" s="9">
        <f>IFERROR(Q47/F47,0)</f>
        <v/>
      </c>
      <c r="AC47" s="9">
        <f>IFERROR(R47/G47,0)</f>
        <v/>
      </c>
      <c r="AD47" s="9">
        <f>IFERROR(S47/H47,0)</f>
        <v/>
      </c>
      <c r="AE47" s="9">
        <f>IFERROR(T47/I47,0)</f>
        <v/>
      </c>
      <c r="AF47" s="9">
        <f>IFERROR(U47/J47,0)</f>
        <v/>
      </c>
      <c r="AG47" s="9">
        <f>IFERROR(V47/K47,0)</f>
        <v/>
      </c>
      <c r="AH47" s="9">
        <f>IFERROR(W47/L47,0)</f>
        <v/>
      </c>
      <c r="AI47" s="9">
        <f>IFERROR(X47/M47,0)</f>
        <v/>
      </c>
      <c r="AK47" s="14">
        <f>IF(D$15="Yes",D47*$BL47,D47)</f>
        <v/>
      </c>
      <c r="AL47" s="14">
        <f>IF(E$15="Yes",E47*$BL47,E47)</f>
        <v/>
      </c>
      <c r="AM47" s="14">
        <f>IF(F$15="Yes",F47*$BL47,F47)</f>
        <v/>
      </c>
      <c r="AN47" s="14">
        <f>IF(G$15="Yes",G47*$BL47,G47)</f>
        <v/>
      </c>
      <c r="AO47" s="14">
        <f>IF(H$15="Yes",H47*$BL47,H47)</f>
        <v/>
      </c>
      <c r="AP47" s="14">
        <f>IF(I$15="Yes",I47*$BL47,I47)</f>
        <v/>
      </c>
      <c r="AQ47" s="14">
        <f>IF(J$15="Yes",J47*$BL47,J47)</f>
        <v/>
      </c>
      <c r="AR47" s="14">
        <f>IF(K$15="Yes",K47*$BL47,K47)</f>
        <v/>
      </c>
      <c r="AS47" s="14">
        <f>IF(L$15="Yes",L47*$BL47,L47)</f>
        <v/>
      </c>
      <c r="AT47" s="14">
        <f>IF(M$15="Yes",M47*$BL47,M47)</f>
        <v/>
      </c>
      <c r="AV47" s="9">
        <f>IFERROR(O47/AK47,0)</f>
        <v/>
      </c>
      <c r="AW47" s="9">
        <f>IFERROR(P47/AL47,0)</f>
        <v/>
      </c>
      <c r="AX47" s="9">
        <f>IFERROR(Q47/AM47,0)</f>
        <v/>
      </c>
      <c r="AY47" s="9">
        <f>IFERROR(R47/AN47,0)</f>
        <v/>
      </c>
      <c r="AZ47" s="9">
        <f>IFERROR(S47/AO47,0)</f>
        <v/>
      </c>
      <c r="BA47" s="9">
        <f>IFERROR(T47/AP47,0)</f>
        <v/>
      </c>
      <c r="BB47" s="9">
        <f>IFERROR(U47/AQ47,0)</f>
        <v/>
      </c>
      <c r="BC47" s="9">
        <f>IFERROR(V47/AR47,0)</f>
        <v/>
      </c>
      <c r="BD47" s="9">
        <f>IFERROR(W47/AS47,0)</f>
        <v/>
      </c>
      <c r="BE47" s="9">
        <f>IFERROR(X47/AT47,0)</f>
        <v/>
      </c>
      <c r="BG47" s="9">
        <f>SUMPRODUCT(($D$15:$M$15="Yes")*O47:X47)</f>
        <v/>
      </c>
      <c r="BH47" s="9">
        <f>SUMPRODUCT(($D$15:$M$15="Yes")*Z47:AI47)</f>
        <v/>
      </c>
      <c r="BI47" s="9">
        <f>SUMPRODUCT(($D$15:$M$15="Yes")*AV47:BE47)</f>
        <v/>
      </c>
      <c r="BJ47" s="10">
        <f>IFERROR(BG47/BH47,0)</f>
        <v/>
      </c>
      <c r="BK47" s="10">
        <f>IFERROR(BG47/BI47,0)</f>
        <v/>
      </c>
      <c r="BL47" s="16">
        <f>IF(B47="Actual",1,INDEX($G$9:$G$11,MATCH(C47,$A$9:$A$11,0)))</f>
        <v/>
      </c>
      <c r="BN47" s="8" t="n">
        <v>46082</v>
      </c>
      <c r="BO47">
        <f>Inputs!$A$43</f>
        <v/>
      </c>
      <c r="BP47" s="10">
        <f>AR34</f>
        <v/>
      </c>
    </row>
    <row r="48">
      <c r="A48" s="8" t="n">
        <v>46508</v>
      </c>
      <c r="B48">
        <f>IF(A48&lt;=LastActual,"Actual","Forecast")</f>
        <v/>
      </c>
      <c r="C48">
        <f>YEAR(A48)</f>
        <v/>
      </c>
      <c r="D48" s="10">
        <f>IFERROR('NSW-1'!X43*1,0)</f>
        <v/>
      </c>
      <c r="E48" s="10">
        <f>IFERROR('VIC-1'!X43*1,0)</f>
        <v/>
      </c>
      <c r="F48" s="10">
        <f>IFERROR('QLD-1'!X43*1,0)</f>
        <v/>
      </c>
      <c r="G48" s="10">
        <f>IFERROR('NSW-2'!X43*1,0)</f>
        <v/>
      </c>
      <c r="H48" s="10">
        <f>IFERROR('VIC-2'!X43*1,0)</f>
        <v/>
      </c>
      <c r="I48" s="10">
        <f>IFERROR('QLD-2'!X43*1,0)</f>
        <v/>
      </c>
      <c r="J48" s="10">
        <f>IFERROR('SA-1'!X43*1,0)</f>
        <v/>
      </c>
      <c r="K48" s="10">
        <f>IFERROR('WA-1'!X43*1,0)</f>
        <v/>
      </c>
      <c r="L48" s="10">
        <f>IFERROR('IDC-NSW'!X43*1,0)</f>
        <v/>
      </c>
      <c r="M48" s="10">
        <f>IFERROR('IDC-VIC'!X43*1,0)</f>
        <v/>
      </c>
      <c r="O48" s="9">
        <f>Cases_Forecast!AJ36</f>
        <v/>
      </c>
      <c r="P48" s="9">
        <f>Cases_Forecast!AK36</f>
        <v/>
      </c>
      <c r="Q48" s="9">
        <f>Cases_Forecast!AL36</f>
        <v/>
      </c>
      <c r="R48" s="9">
        <f>Cases_Forecast!AM36</f>
        <v/>
      </c>
      <c r="S48" s="9">
        <f>Cases_Forecast!AN36</f>
        <v/>
      </c>
      <c r="T48" s="9">
        <f>Cases_Forecast!AO36</f>
        <v/>
      </c>
      <c r="U48" s="9">
        <f>Cases_Forecast!AP36</f>
        <v/>
      </c>
      <c r="V48" s="9">
        <f>Cases_Forecast!AQ36</f>
        <v/>
      </c>
      <c r="W48" s="9">
        <f>Cases_Forecast!AR36</f>
        <v/>
      </c>
      <c r="X48" s="9">
        <f>Cases_Forecast!AS36</f>
        <v/>
      </c>
      <c r="Z48" s="9">
        <f>IFERROR(O48/D48,0)</f>
        <v/>
      </c>
      <c r="AA48" s="9">
        <f>IFERROR(P48/E48,0)</f>
        <v/>
      </c>
      <c r="AB48" s="9">
        <f>IFERROR(Q48/F48,0)</f>
        <v/>
      </c>
      <c r="AC48" s="9">
        <f>IFERROR(R48/G48,0)</f>
        <v/>
      </c>
      <c r="AD48" s="9">
        <f>IFERROR(S48/H48,0)</f>
        <v/>
      </c>
      <c r="AE48" s="9">
        <f>IFERROR(T48/I48,0)</f>
        <v/>
      </c>
      <c r="AF48" s="9">
        <f>IFERROR(U48/J48,0)</f>
        <v/>
      </c>
      <c r="AG48" s="9">
        <f>IFERROR(V48/K48,0)</f>
        <v/>
      </c>
      <c r="AH48" s="9">
        <f>IFERROR(W48/L48,0)</f>
        <v/>
      </c>
      <c r="AI48" s="9">
        <f>IFERROR(X48/M48,0)</f>
        <v/>
      </c>
      <c r="AK48" s="14">
        <f>IF(D$15="Yes",D48*$BL48,D48)</f>
        <v/>
      </c>
      <c r="AL48" s="14">
        <f>IF(E$15="Yes",E48*$BL48,E48)</f>
        <v/>
      </c>
      <c r="AM48" s="14">
        <f>IF(F$15="Yes",F48*$BL48,F48)</f>
        <v/>
      </c>
      <c r="AN48" s="14">
        <f>IF(G$15="Yes",G48*$BL48,G48)</f>
        <v/>
      </c>
      <c r="AO48" s="14">
        <f>IF(H$15="Yes",H48*$BL48,H48)</f>
        <v/>
      </c>
      <c r="AP48" s="14">
        <f>IF(I$15="Yes",I48*$BL48,I48)</f>
        <v/>
      </c>
      <c r="AQ48" s="14">
        <f>IF(J$15="Yes",J48*$BL48,J48)</f>
        <v/>
      </c>
      <c r="AR48" s="14">
        <f>IF(K$15="Yes",K48*$BL48,K48)</f>
        <v/>
      </c>
      <c r="AS48" s="14">
        <f>IF(L$15="Yes",L48*$BL48,L48)</f>
        <v/>
      </c>
      <c r="AT48" s="14">
        <f>IF(M$15="Yes",M48*$BL48,M48)</f>
        <v/>
      </c>
      <c r="AV48" s="9">
        <f>IFERROR(O48/AK48,0)</f>
        <v/>
      </c>
      <c r="AW48" s="9">
        <f>IFERROR(P48/AL48,0)</f>
        <v/>
      </c>
      <c r="AX48" s="9">
        <f>IFERROR(Q48/AM48,0)</f>
        <v/>
      </c>
      <c r="AY48" s="9">
        <f>IFERROR(R48/AN48,0)</f>
        <v/>
      </c>
      <c r="AZ48" s="9">
        <f>IFERROR(S48/AO48,0)</f>
        <v/>
      </c>
      <c r="BA48" s="9">
        <f>IFERROR(T48/AP48,0)</f>
        <v/>
      </c>
      <c r="BB48" s="9">
        <f>IFERROR(U48/AQ48,0)</f>
        <v/>
      </c>
      <c r="BC48" s="9">
        <f>IFERROR(V48/AR48,0)</f>
        <v/>
      </c>
      <c r="BD48" s="9">
        <f>IFERROR(W48/AS48,0)</f>
        <v/>
      </c>
      <c r="BE48" s="9">
        <f>IFERROR(X48/AT48,0)</f>
        <v/>
      </c>
      <c r="BG48" s="9">
        <f>SUMPRODUCT(($D$15:$M$15="Yes")*O48:X48)</f>
        <v/>
      </c>
      <c r="BH48" s="9">
        <f>SUMPRODUCT(($D$15:$M$15="Yes")*Z48:AI48)</f>
        <v/>
      </c>
      <c r="BI48" s="9">
        <f>SUMPRODUCT(($D$15:$M$15="Yes")*AV48:BE48)</f>
        <v/>
      </c>
      <c r="BJ48" s="10">
        <f>IFERROR(BG48/BH48,0)</f>
        <v/>
      </c>
      <c r="BK48" s="10">
        <f>IFERROR(BG48/BI48,0)</f>
        <v/>
      </c>
      <c r="BL48" s="16">
        <f>IF(B48="Actual",1,INDEX($G$9:$G$11,MATCH(C48,$A$9:$A$11,0)))</f>
        <v/>
      </c>
      <c r="BN48" s="8" t="n">
        <v>46082</v>
      </c>
      <c r="BO48">
        <f>Inputs!$A$44</f>
        <v/>
      </c>
      <c r="BP48" s="10">
        <f>AS34</f>
        <v/>
      </c>
    </row>
    <row r="49">
      <c r="A49" s="8" t="n">
        <v>46539</v>
      </c>
      <c r="B49">
        <f>IF(A49&lt;=LastActual,"Actual","Forecast")</f>
        <v/>
      </c>
      <c r="C49">
        <f>YEAR(A49)</f>
        <v/>
      </c>
      <c r="D49" s="10">
        <f>IFERROR('NSW-1'!X44*1,0)</f>
        <v/>
      </c>
      <c r="E49" s="10">
        <f>IFERROR('VIC-1'!X44*1,0)</f>
        <v/>
      </c>
      <c r="F49" s="10">
        <f>IFERROR('QLD-1'!X44*1,0)</f>
        <v/>
      </c>
      <c r="G49" s="10">
        <f>IFERROR('NSW-2'!X44*1,0)</f>
        <v/>
      </c>
      <c r="H49" s="10">
        <f>IFERROR('VIC-2'!X44*1,0)</f>
        <v/>
      </c>
      <c r="I49" s="10">
        <f>IFERROR('QLD-2'!X44*1,0)</f>
        <v/>
      </c>
      <c r="J49" s="10">
        <f>IFERROR('SA-1'!X44*1,0)</f>
        <v/>
      </c>
      <c r="K49" s="10">
        <f>IFERROR('WA-1'!X44*1,0)</f>
        <v/>
      </c>
      <c r="L49" s="10">
        <f>IFERROR('IDC-NSW'!X44*1,0)</f>
        <v/>
      </c>
      <c r="M49" s="10">
        <f>IFERROR('IDC-VIC'!X44*1,0)</f>
        <v/>
      </c>
      <c r="O49" s="9">
        <f>Cases_Forecast!AJ37</f>
        <v/>
      </c>
      <c r="P49" s="9">
        <f>Cases_Forecast!AK37</f>
        <v/>
      </c>
      <c r="Q49" s="9">
        <f>Cases_Forecast!AL37</f>
        <v/>
      </c>
      <c r="R49" s="9">
        <f>Cases_Forecast!AM37</f>
        <v/>
      </c>
      <c r="S49" s="9">
        <f>Cases_Forecast!AN37</f>
        <v/>
      </c>
      <c r="T49" s="9">
        <f>Cases_Forecast!AO37</f>
        <v/>
      </c>
      <c r="U49" s="9">
        <f>Cases_Forecast!AP37</f>
        <v/>
      </c>
      <c r="V49" s="9">
        <f>Cases_Forecast!AQ37</f>
        <v/>
      </c>
      <c r="W49" s="9">
        <f>Cases_Forecast!AR37</f>
        <v/>
      </c>
      <c r="X49" s="9">
        <f>Cases_Forecast!AS37</f>
        <v/>
      </c>
      <c r="Z49" s="9">
        <f>IFERROR(O49/D49,0)</f>
        <v/>
      </c>
      <c r="AA49" s="9">
        <f>IFERROR(P49/E49,0)</f>
        <v/>
      </c>
      <c r="AB49" s="9">
        <f>IFERROR(Q49/F49,0)</f>
        <v/>
      </c>
      <c r="AC49" s="9">
        <f>IFERROR(R49/G49,0)</f>
        <v/>
      </c>
      <c r="AD49" s="9">
        <f>IFERROR(S49/H49,0)</f>
        <v/>
      </c>
      <c r="AE49" s="9">
        <f>IFERROR(T49/I49,0)</f>
        <v/>
      </c>
      <c r="AF49" s="9">
        <f>IFERROR(U49/J49,0)</f>
        <v/>
      </c>
      <c r="AG49" s="9">
        <f>IFERROR(V49/K49,0)</f>
        <v/>
      </c>
      <c r="AH49" s="9">
        <f>IFERROR(W49/L49,0)</f>
        <v/>
      </c>
      <c r="AI49" s="9">
        <f>IFERROR(X49/M49,0)</f>
        <v/>
      </c>
      <c r="AK49" s="14">
        <f>IF(D$15="Yes",D49*$BL49,D49)</f>
        <v/>
      </c>
      <c r="AL49" s="14">
        <f>IF(E$15="Yes",E49*$BL49,E49)</f>
        <v/>
      </c>
      <c r="AM49" s="14">
        <f>IF(F$15="Yes",F49*$BL49,F49)</f>
        <v/>
      </c>
      <c r="AN49" s="14">
        <f>IF(G$15="Yes",G49*$BL49,G49)</f>
        <v/>
      </c>
      <c r="AO49" s="14">
        <f>IF(H$15="Yes",H49*$BL49,H49)</f>
        <v/>
      </c>
      <c r="AP49" s="14">
        <f>IF(I$15="Yes",I49*$BL49,I49)</f>
        <v/>
      </c>
      <c r="AQ49" s="14">
        <f>IF(J$15="Yes",J49*$BL49,J49)</f>
        <v/>
      </c>
      <c r="AR49" s="14">
        <f>IF(K$15="Yes",K49*$BL49,K49)</f>
        <v/>
      </c>
      <c r="AS49" s="14">
        <f>IF(L$15="Yes",L49*$BL49,L49)</f>
        <v/>
      </c>
      <c r="AT49" s="14">
        <f>IF(M$15="Yes",M49*$BL49,M49)</f>
        <v/>
      </c>
      <c r="AV49" s="9">
        <f>IFERROR(O49/AK49,0)</f>
        <v/>
      </c>
      <c r="AW49" s="9">
        <f>IFERROR(P49/AL49,0)</f>
        <v/>
      </c>
      <c r="AX49" s="9">
        <f>IFERROR(Q49/AM49,0)</f>
        <v/>
      </c>
      <c r="AY49" s="9">
        <f>IFERROR(R49/AN49,0)</f>
        <v/>
      </c>
      <c r="AZ49" s="9">
        <f>IFERROR(S49/AO49,0)</f>
        <v/>
      </c>
      <c r="BA49" s="9">
        <f>IFERROR(T49/AP49,0)</f>
        <v/>
      </c>
      <c r="BB49" s="9">
        <f>IFERROR(U49/AQ49,0)</f>
        <v/>
      </c>
      <c r="BC49" s="9">
        <f>IFERROR(V49/AR49,0)</f>
        <v/>
      </c>
      <c r="BD49" s="9">
        <f>IFERROR(W49/AS49,0)</f>
        <v/>
      </c>
      <c r="BE49" s="9">
        <f>IFERROR(X49/AT49,0)</f>
        <v/>
      </c>
      <c r="BG49" s="9">
        <f>SUMPRODUCT(($D$15:$M$15="Yes")*O49:X49)</f>
        <v/>
      </c>
      <c r="BH49" s="9">
        <f>SUMPRODUCT(($D$15:$M$15="Yes")*Z49:AI49)</f>
        <v/>
      </c>
      <c r="BI49" s="9">
        <f>SUMPRODUCT(($D$15:$M$15="Yes")*AV49:BE49)</f>
        <v/>
      </c>
      <c r="BJ49" s="10">
        <f>IFERROR(BG49/BH49,0)</f>
        <v/>
      </c>
      <c r="BK49" s="10">
        <f>IFERROR(BG49/BI49,0)</f>
        <v/>
      </c>
      <c r="BL49" s="16">
        <f>IF(B49="Actual",1,INDEX($G$9:$G$11,MATCH(C49,$A$9:$A$11,0)))</f>
        <v/>
      </c>
      <c r="BN49" s="8" t="n">
        <v>46082</v>
      </c>
      <c r="BO49">
        <f>Inputs!$A$45</f>
        <v/>
      </c>
      <c r="BP49" s="10">
        <f>AT34</f>
        <v/>
      </c>
    </row>
    <row r="50">
      <c r="A50" s="8" t="n">
        <v>46569</v>
      </c>
      <c r="B50">
        <f>IF(A50&lt;=LastActual,"Actual","Forecast")</f>
        <v/>
      </c>
      <c r="C50">
        <f>YEAR(A50)</f>
        <v/>
      </c>
      <c r="D50" s="10">
        <f>IFERROR('NSW-1'!X45*1,0)</f>
        <v/>
      </c>
      <c r="E50" s="10">
        <f>IFERROR('VIC-1'!X45*1,0)</f>
        <v/>
      </c>
      <c r="F50" s="10">
        <f>IFERROR('QLD-1'!X45*1,0)</f>
        <v/>
      </c>
      <c r="G50" s="10">
        <f>IFERROR('NSW-2'!X45*1,0)</f>
        <v/>
      </c>
      <c r="H50" s="10">
        <f>IFERROR('VIC-2'!X45*1,0)</f>
        <v/>
      </c>
      <c r="I50" s="10">
        <f>IFERROR('QLD-2'!X45*1,0)</f>
        <v/>
      </c>
      <c r="J50" s="10">
        <f>IFERROR('SA-1'!X45*1,0)</f>
        <v/>
      </c>
      <c r="K50" s="10">
        <f>IFERROR('WA-1'!X45*1,0)</f>
        <v/>
      </c>
      <c r="L50" s="10">
        <f>IFERROR('IDC-NSW'!X45*1,0)</f>
        <v/>
      </c>
      <c r="M50" s="10">
        <f>IFERROR('IDC-VIC'!X45*1,0)</f>
        <v/>
      </c>
      <c r="O50" s="9">
        <f>Cases_Forecast!AJ38</f>
        <v/>
      </c>
      <c r="P50" s="9">
        <f>Cases_Forecast!AK38</f>
        <v/>
      </c>
      <c r="Q50" s="9">
        <f>Cases_Forecast!AL38</f>
        <v/>
      </c>
      <c r="R50" s="9">
        <f>Cases_Forecast!AM38</f>
        <v/>
      </c>
      <c r="S50" s="9">
        <f>Cases_Forecast!AN38</f>
        <v/>
      </c>
      <c r="T50" s="9">
        <f>Cases_Forecast!AO38</f>
        <v/>
      </c>
      <c r="U50" s="9">
        <f>Cases_Forecast!AP38</f>
        <v/>
      </c>
      <c r="V50" s="9">
        <f>Cases_Forecast!AQ38</f>
        <v/>
      </c>
      <c r="W50" s="9">
        <f>Cases_Forecast!AR38</f>
        <v/>
      </c>
      <c r="X50" s="9">
        <f>Cases_Forecast!AS38</f>
        <v/>
      </c>
      <c r="Z50" s="9">
        <f>IFERROR(O50/D50,0)</f>
        <v/>
      </c>
      <c r="AA50" s="9">
        <f>IFERROR(P50/E50,0)</f>
        <v/>
      </c>
      <c r="AB50" s="9">
        <f>IFERROR(Q50/F50,0)</f>
        <v/>
      </c>
      <c r="AC50" s="9">
        <f>IFERROR(R50/G50,0)</f>
        <v/>
      </c>
      <c r="AD50" s="9">
        <f>IFERROR(S50/H50,0)</f>
        <v/>
      </c>
      <c r="AE50" s="9">
        <f>IFERROR(T50/I50,0)</f>
        <v/>
      </c>
      <c r="AF50" s="9">
        <f>IFERROR(U50/J50,0)</f>
        <v/>
      </c>
      <c r="AG50" s="9">
        <f>IFERROR(V50/K50,0)</f>
        <v/>
      </c>
      <c r="AH50" s="9">
        <f>IFERROR(W50/L50,0)</f>
        <v/>
      </c>
      <c r="AI50" s="9">
        <f>IFERROR(X50/M50,0)</f>
        <v/>
      </c>
      <c r="AK50" s="14">
        <f>IF(D$15="Yes",D50*$BL50,D50)</f>
        <v/>
      </c>
      <c r="AL50" s="14">
        <f>IF(E$15="Yes",E50*$BL50,E50)</f>
        <v/>
      </c>
      <c r="AM50" s="14">
        <f>IF(F$15="Yes",F50*$BL50,F50)</f>
        <v/>
      </c>
      <c r="AN50" s="14">
        <f>IF(G$15="Yes",G50*$BL50,G50)</f>
        <v/>
      </c>
      <c r="AO50" s="14">
        <f>IF(H$15="Yes",H50*$BL50,H50)</f>
        <v/>
      </c>
      <c r="AP50" s="14">
        <f>IF(I$15="Yes",I50*$BL50,I50)</f>
        <v/>
      </c>
      <c r="AQ50" s="14">
        <f>IF(J$15="Yes",J50*$BL50,J50)</f>
        <v/>
      </c>
      <c r="AR50" s="14">
        <f>IF(K$15="Yes",K50*$BL50,K50)</f>
        <v/>
      </c>
      <c r="AS50" s="14">
        <f>IF(L$15="Yes",L50*$BL50,L50)</f>
        <v/>
      </c>
      <c r="AT50" s="14">
        <f>IF(M$15="Yes",M50*$BL50,M50)</f>
        <v/>
      </c>
      <c r="AV50" s="9">
        <f>IFERROR(O50/AK50,0)</f>
        <v/>
      </c>
      <c r="AW50" s="9">
        <f>IFERROR(P50/AL50,0)</f>
        <v/>
      </c>
      <c r="AX50" s="9">
        <f>IFERROR(Q50/AM50,0)</f>
        <v/>
      </c>
      <c r="AY50" s="9">
        <f>IFERROR(R50/AN50,0)</f>
        <v/>
      </c>
      <c r="AZ50" s="9">
        <f>IFERROR(S50/AO50,0)</f>
        <v/>
      </c>
      <c r="BA50" s="9">
        <f>IFERROR(T50/AP50,0)</f>
        <v/>
      </c>
      <c r="BB50" s="9">
        <f>IFERROR(U50/AQ50,0)</f>
        <v/>
      </c>
      <c r="BC50" s="9">
        <f>IFERROR(V50/AR50,0)</f>
        <v/>
      </c>
      <c r="BD50" s="9">
        <f>IFERROR(W50/AS50,0)</f>
        <v/>
      </c>
      <c r="BE50" s="9">
        <f>IFERROR(X50/AT50,0)</f>
        <v/>
      </c>
      <c r="BG50" s="9">
        <f>SUMPRODUCT(($D$15:$M$15="Yes")*O50:X50)</f>
        <v/>
      </c>
      <c r="BH50" s="9">
        <f>SUMPRODUCT(($D$15:$M$15="Yes")*Z50:AI50)</f>
        <v/>
      </c>
      <c r="BI50" s="9">
        <f>SUMPRODUCT(($D$15:$M$15="Yes")*AV50:BE50)</f>
        <v/>
      </c>
      <c r="BJ50" s="10">
        <f>IFERROR(BG50/BH50,0)</f>
        <v/>
      </c>
      <c r="BK50" s="10">
        <f>IFERROR(BG50/BI50,0)</f>
        <v/>
      </c>
      <c r="BL50" s="16">
        <f>IF(B50="Actual",1,INDEX($G$9:$G$11,MATCH(C50,$A$9:$A$11,0)))</f>
        <v/>
      </c>
      <c r="BN50" s="8" t="n">
        <v>46113</v>
      </c>
      <c r="BO50">
        <f>Inputs!$A$36</f>
        <v/>
      </c>
      <c r="BP50" s="10">
        <f>AK35</f>
        <v/>
      </c>
    </row>
    <row r="51">
      <c r="A51" s="8" t="n">
        <v>46600</v>
      </c>
      <c r="B51">
        <f>IF(A51&lt;=LastActual,"Actual","Forecast")</f>
        <v/>
      </c>
      <c r="C51">
        <f>YEAR(A51)</f>
        <v/>
      </c>
      <c r="D51" s="10">
        <f>IFERROR('NSW-1'!X46*1,0)</f>
        <v/>
      </c>
      <c r="E51" s="10">
        <f>IFERROR('VIC-1'!X46*1,0)</f>
        <v/>
      </c>
      <c r="F51" s="10">
        <f>IFERROR('QLD-1'!X46*1,0)</f>
        <v/>
      </c>
      <c r="G51" s="10">
        <f>IFERROR('NSW-2'!X46*1,0)</f>
        <v/>
      </c>
      <c r="H51" s="10">
        <f>IFERROR('VIC-2'!X46*1,0)</f>
        <v/>
      </c>
      <c r="I51" s="10">
        <f>IFERROR('QLD-2'!X46*1,0)</f>
        <v/>
      </c>
      <c r="J51" s="10">
        <f>IFERROR('SA-1'!X46*1,0)</f>
        <v/>
      </c>
      <c r="K51" s="10">
        <f>IFERROR('WA-1'!X46*1,0)</f>
        <v/>
      </c>
      <c r="L51" s="10">
        <f>IFERROR('IDC-NSW'!X46*1,0)</f>
        <v/>
      </c>
      <c r="M51" s="10">
        <f>IFERROR('IDC-VIC'!X46*1,0)</f>
        <v/>
      </c>
      <c r="O51" s="9">
        <f>Cases_Forecast!AJ39</f>
        <v/>
      </c>
      <c r="P51" s="9">
        <f>Cases_Forecast!AK39</f>
        <v/>
      </c>
      <c r="Q51" s="9">
        <f>Cases_Forecast!AL39</f>
        <v/>
      </c>
      <c r="R51" s="9">
        <f>Cases_Forecast!AM39</f>
        <v/>
      </c>
      <c r="S51" s="9">
        <f>Cases_Forecast!AN39</f>
        <v/>
      </c>
      <c r="T51" s="9">
        <f>Cases_Forecast!AO39</f>
        <v/>
      </c>
      <c r="U51" s="9">
        <f>Cases_Forecast!AP39</f>
        <v/>
      </c>
      <c r="V51" s="9">
        <f>Cases_Forecast!AQ39</f>
        <v/>
      </c>
      <c r="W51" s="9">
        <f>Cases_Forecast!AR39</f>
        <v/>
      </c>
      <c r="X51" s="9">
        <f>Cases_Forecast!AS39</f>
        <v/>
      </c>
      <c r="Z51" s="9">
        <f>IFERROR(O51/D51,0)</f>
        <v/>
      </c>
      <c r="AA51" s="9">
        <f>IFERROR(P51/E51,0)</f>
        <v/>
      </c>
      <c r="AB51" s="9">
        <f>IFERROR(Q51/F51,0)</f>
        <v/>
      </c>
      <c r="AC51" s="9">
        <f>IFERROR(R51/G51,0)</f>
        <v/>
      </c>
      <c r="AD51" s="9">
        <f>IFERROR(S51/H51,0)</f>
        <v/>
      </c>
      <c r="AE51" s="9">
        <f>IFERROR(T51/I51,0)</f>
        <v/>
      </c>
      <c r="AF51" s="9">
        <f>IFERROR(U51/J51,0)</f>
        <v/>
      </c>
      <c r="AG51" s="9">
        <f>IFERROR(V51/K51,0)</f>
        <v/>
      </c>
      <c r="AH51" s="9">
        <f>IFERROR(W51/L51,0)</f>
        <v/>
      </c>
      <c r="AI51" s="9">
        <f>IFERROR(X51/M51,0)</f>
        <v/>
      </c>
      <c r="AK51" s="14">
        <f>IF(D$15="Yes",D51*$BL51,D51)</f>
        <v/>
      </c>
      <c r="AL51" s="14">
        <f>IF(E$15="Yes",E51*$BL51,E51)</f>
        <v/>
      </c>
      <c r="AM51" s="14">
        <f>IF(F$15="Yes",F51*$BL51,F51)</f>
        <v/>
      </c>
      <c r="AN51" s="14">
        <f>IF(G$15="Yes",G51*$BL51,G51)</f>
        <v/>
      </c>
      <c r="AO51" s="14">
        <f>IF(H$15="Yes",H51*$BL51,H51)</f>
        <v/>
      </c>
      <c r="AP51" s="14">
        <f>IF(I$15="Yes",I51*$BL51,I51)</f>
        <v/>
      </c>
      <c r="AQ51" s="14">
        <f>IF(J$15="Yes",J51*$BL51,J51)</f>
        <v/>
      </c>
      <c r="AR51" s="14">
        <f>IF(K$15="Yes",K51*$BL51,K51)</f>
        <v/>
      </c>
      <c r="AS51" s="14">
        <f>IF(L$15="Yes",L51*$BL51,L51)</f>
        <v/>
      </c>
      <c r="AT51" s="14">
        <f>IF(M$15="Yes",M51*$BL51,M51)</f>
        <v/>
      </c>
      <c r="AV51" s="9">
        <f>IFERROR(O51/AK51,0)</f>
        <v/>
      </c>
      <c r="AW51" s="9">
        <f>IFERROR(P51/AL51,0)</f>
        <v/>
      </c>
      <c r="AX51" s="9">
        <f>IFERROR(Q51/AM51,0)</f>
        <v/>
      </c>
      <c r="AY51" s="9">
        <f>IFERROR(R51/AN51,0)</f>
        <v/>
      </c>
      <c r="AZ51" s="9">
        <f>IFERROR(S51/AO51,0)</f>
        <v/>
      </c>
      <c r="BA51" s="9">
        <f>IFERROR(T51/AP51,0)</f>
        <v/>
      </c>
      <c r="BB51" s="9">
        <f>IFERROR(U51/AQ51,0)</f>
        <v/>
      </c>
      <c r="BC51" s="9">
        <f>IFERROR(V51/AR51,0)</f>
        <v/>
      </c>
      <c r="BD51" s="9">
        <f>IFERROR(W51/AS51,0)</f>
        <v/>
      </c>
      <c r="BE51" s="9">
        <f>IFERROR(X51/AT51,0)</f>
        <v/>
      </c>
      <c r="BG51" s="9">
        <f>SUMPRODUCT(($D$15:$M$15="Yes")*O51:X51)</f>
        <v/>
      </c>
      <c r="BH51" s="9">
        <f>SUMPRODUCT(($D$15:$M$15="Yes")*Z51:AI51)</f>
        <v/>
      </c>
      <c r="BI51" s="9">
        <f>SUMPRODUCT(($D$15:$M$15="Yes")*AV51:BE51)</f>
        <v/>
      </c>
      <c r="BJ51" s="10">
        <f>IFERROR(BG51/BH51,0)</f>
        <v/>
      </c>
      <c r="BK51" s="10">
        <f>IFERROR(BG51/BI51,0)</f>
        <v/>
      </c>
      <c r="BL51" s="16">
        <f>IF(B51="Actual",1,INDEX($G$9:$G$11,MATCH(C51,$A$9:$A$11,0)))</f>
        <v/>
      </c>
      <c r="BN51" s="8" t="n">
        <v>46113</v>
      </c>
      <c r="BO51">
        <f>Inputs!$A$37</f>
        <v/>
      </c>
      <c r="BP51" s="10">
        <f>AL35</f>
        <v/>
      </c>
    </row>
    <row r="52">
      <c r="A52" s="8" t="n">
        <v>46631</v>
      </c>
      <c r="B52">
        <f>IF(A52&lt;=LastActual,"Actual","Forecast")</f>
        <v/>
      </c>
      <c r="C52">
        <f>YEAR(A52)</f>
        <v/>
      </c>
      <c r="D52" s="10">
        <f>IFERROR('NSW-1'!X47*1,0)</f>
        <v/>
      </c>
      <c r="E52" s="10">
        <f>IFERROR('VIC-1'!X47*1,0)</f>
        <v/>
      </c>
      <c r="F52" s="10">
        <f>IFERROR('QLD-1'!X47*1,0)</f>
        <v/>
      </c>
      <c r="G52" s="10">
        <f>IFERROR('NSW-2'!X47*1,0)</f>
        <v/>
      </c>
      <c r="H52" s="10">
        <f>IFERROR('VIC-2'!X47*1,0)</f>
        <v/>
      </c>
      <c r="I52" s="10">
        <f>IFERROR('QLD-2'!X47*1,0)</f>
        <v/>
      </c>
      <c r="J52" s="10">
        <f>IFERROR('SA-1'!X47*1,0)</f>
        <v/>
      </c>
      <c r="K52" s="10">
        <f>IFERROR('WA-1'!X47*1,0)</f>
        <v/>
      </c>
      <c r="L52" s="10">
        <f>IFERROR('IDC-NSW'!X47*1,0)</f>
        <v/>
      </c>
      <c r="M52" s="10">
        <f>IFERROR('IDC-VIC'!X47*1,0)</f>
        <v/>
      </c>
      <c r="O52" s="9">
        <f>Cases_Forecast!AJ40</f>
        <v/>
      </c>
      <c r="P52" s="9">
        <f>Cases_Forecast!AK40</f>
        <v/>
      </c>
      <c r="Q52" s="9">
        <f>Cases_Forecast!AL40</f>
        <v/>
      </c>
      <c r="R52" s="9">
        <f>Cases_Forecast!AM40</f>
        <v/>
      </c>
      <c r="S52" s="9">
        <f>Cases_Forecast!AN40</f>
        <v/>
      </c>
      <c r="T52" s="9">
        <f>Cases_Forecast!AO40</f>
        <v/>
      </c>
      <c r="U52" s="9">
        <f>Cases_Forecast!AP40</f>
        <v/>
      </c>
      <c r="V52" s="9">
        <f>Cases_Forecast!AQ40</f>
        <v/>
      </c>
      <c r="W52" s="9">
        <f>Cases_Forecast!AR40</f>
        <v/>
      </c>
      <c r="X52" s="9">
        <f>Cases_Forecast!AS40</f>
        <v/>
      </c>
      <c r="Z52" s="9">
        <f>IFERROR(O52/D52,0)</f>
        <v/>
      </c>
      <c r="AA52" s="9">
        <f>IFERROR(P52/E52,0)</f>
        <v/>
      </c>
      <c r="AB52" s="9">
        <f>IFERROR(Q52/F52,0)</f>
        <v/>
      </c>
      <c r="AC52" s="9">
        <f>IFERROR(R52/G52,0)</f>
        <v/>
      </c>
      <c r="AD52" s="9">
        <f>IFERROR(S52/H52,0)</f>
        <v/>
      </c>
      <c r="AE52" s="9">
        <f>IFERROR(T52/I52,0)</f>
        <v/>
      </c>
      <c r="AF52" s="9">
        <f>IFERROR(U52/J52,0)</f>
        <v/>
      </c>
      <c r="AG52" s="9">
        <f>IFERROR(V52/K52,0)</f>
        <v/>
      </c>
      <c r="AH52" s="9">
        <f>IFERROR(W52/L52,0)</f>
        <v/>
      </c>
      <c r="AI52" s="9">
        <f>IFERROR(X52/M52,0)</f>
        <v/>
      </c>
      <c r="AK52" s="14">
        <f>IF(D$15="Yes",D52*$BL52,D52)</f>
        <v/>
      </c>
      <c r="AL52" s="14">
        <f>IF(E$15="Yes",E52*$BL52,E52)</f>
        <v/>
      </c>
      <c r="AM52" s="14">
        <f>IF(F$15="Yes",F52*$BL52,F52)</f>
        <v/>
      </c>
      <c r="AN52" s="14">
        <f>IF(G$15="Yes",G52*$BL52,G52)</f>
        <v/>
      </c>
      <c r="AO52" s="14">
        <f>IF(H$15="Yes",H52*$BL52,H52)</f>
        <v/>
      </c>
      <c r="AP52" s="14">
        <f>IF(I$15="Yes",I52*$BL52,I52)</f>
        <v/>
      </c>
      <c r="AQ52" s="14">
        <f>IF(J$15="Yes",J52*$BL52,J52)</f>
        <v/>
      </c>
      <c r="AR52" s="14">
        <f>IF(K$15="Yes",K52*$BL52,K52)</f>
        <v/>
      </c>
      <c r="AS52" s="14">
        <f>IF(L$15="Yes",L52*$BL52,L52)</f>
        <v/>
      </c>
      <c r="AT52" s="14">
        <f>IF(M$15="Yes",M52*$BL52,M52)</f>
        <v/>
      </c>
      <c r="AV52" s="9">
        <f>IFERROR(O52/AK52,0)</f>
        <v/>
      </c>
      <c r="AW52" s="9">
        <f>IFERROR(P52/AL52,0)</f>
        <v/>
      </c>
      <c r="AX52" s="9">
        <f>IFERROR(Q52/AM52,0)</f>
        <v/>
      </c>
      <c r="AY52" s="9">
        <f>IFERROR(R52/AN52,0)</f>
        <v/>
      </c>
      <c r="AZ52" s="9">
        <f>IFERROR(S52/AO52,0)</f>
        <v/>
      </c>
      <c r="BA52" s="9">
        <f>IFERROR(T52/AP52,0)</f>
        <v/>
      </c>
      <c r="BB52" s="9">
        <f>IFERROR(U52/AQ52,0)</f>
        <v/>
      </c>
      <c r="BC52" s="9">
        <f>IFERROR(V52/AR52,0)</f>
        <v/>
      </c>
      <c r="BD52" s="9">
        <f>IFERROR(W52/AS52,0)</f>
        <v/>
      </c>
      <c r="BE52" s="9">
        <f>IFERROR(X52/AT52,0)</f>
        <v/>
      </c>
      <c r="BG52" s="9">
        <f>SUMPRODUCT(($D$15:$M$15="Yes")*O52:X52)</f>
        <v/>
      </c>
      <c r="BH52" s="9">
        <f>SUMPRODUCT(($D$15:$M$15="Yes")*Z52:AI52)</f>
        <v/>
      </c>
      <c r="BI52" s="9">
        <f>SUMPRODUCT(($D$15:$M$15="Yes")*AV52:BE52)</f>
        <v/>
      </c>
      <c r="BJ52" s="10">
        <f>IFERROR(BG52/BH52,0)</f>
        <v/>
      </c>
      <c r="BK52" s="10">
        <f>IFERROR(BG52/BI52,0)</f>
        <v/>
      </c>
      <c r="BL52" s="16">
        <f>IF(B52="Actual",1,INDEX($G$9:$G$11,MATCH(C52,$A$9:$A$11,0)))</f>
        <v/>
      </c>
      <c r="BN52" s="8" t="n">
        <v>46113</v>
      </c>
      <c r="BO52">
        <f>Inputs!$A$38</f>
        <v/>
      </c>
      <c r="BP52" s="10">
        <f>AM35</f>
        <v/>
      </c>
    </row>
    <row r="53">
      <c r="A53" s="8" t="n">
        <v>46661</v>
      </c>
      <c r="B53">
        <f>IF(A53&lt;=LastActual,"Actual","Forecast")</f>
        <v/>
      </c>
      <c r="C53">
        <f>YEAR(A53)</f>
        <v/>
      </c>
      <c r="D53" s="10">
        <f>IFERROR('NSW-1'!X48*1,0)</f>
        <v/>
      </c>
      <c r="E53" s="10">
        <f>IFERROR('VIC-1'!X48*1,0)</f>
        <v/>
      </c>
      <c r="F53" s="10">
        <f>IFERROR('QLD-1'!X48*1,0)</f>
        <v/>
      </c>
      <c r="G53" s="10">
        <f>IFERROR('NSW-2'!X48*1,0)</f>
        <v/>
      </c>
      <c r="H53" s="10">
        <f>IFERROR('VIC-2'!X48*1,0)</f>
        <v/>
      </c>
      <c r="I53" s="10">
        <f>IFERROR('QLD-2'!X48*1,0)</f>
        <v/>
      </c>
      <c r="J53" s="10">
        <f>IFERROR('SA-1'!X48*1,0)</f>
        <v/>
      </c>
      <c r="K53" s="10">
        <f>IFERROR('WA-1'!X48*1,0)</f>
        <v/>
      </c>
      <c r="L53" s="10">
        <f>IFERROR('IDC-NSW'!X48*1,0)</f>
        <v/>
      </c>
      <c r="M53" s="10">
        <f>IFERROR('IDC-VIC'!X48*1,0)</f>
        <v/>
      </c>
      <c r="O53" s="9">
        <f>Cases_Forecast!AJ41</f>
        <v/>
      </c>
      <c r="P53" s="9">
        <f>Cases_Forecast!AK41</f>
        <v/>
      </c>
      <c r="Q53" s="9">
        <f>Cases_Forecast!AL41</f>
        <v/>
      </c>
      <c r="R53" s="9">
        <f>Cases_Forecast!AM41</f>
        <v/>
      </c>
      <c r="S53" s="9">
        <f>Cases_Forecast!AN41</f>
        <v/>
      </c>
      <c r="T53" s="9">
        <f>Cases_Forecast!AO41</f>
        <v/>
      </c>
      <c r="U53" s="9">
        <f>Cases_Forecast!AP41</f>
        <v/>
      </c>
      <c r="V53" s="9">
        <f>Cases_Forecast!AQ41</f>
        <v/>
      </c>
      <c r="W53" s="9">
        <f>Cases_Forecast!AR41</f>
        <v/>
      </c>
      <c r="X53" s="9">
        <f>Cases_Forecast!AS41</f>
        <v/>
      </c>
      <c r="Z53" s="9">
        <f>IFERROR(O53/D53,0)</f>
        <v/>
      </c>
      <c r="AA53" s="9">
        <f>IFERROR(P53/E53,0)</f>
        <v/>
      </c>
      <c r="AB53" s="9">
        <f>IFERROR(Q53/F53,0)</f>
        <v/>
      </c>
      <c r="AC53" s="9">
        <f>IFERROR(R53/G53,0)</f>
        <v/>
      </c>
      <c r="AD53" s="9">
        <f>IFERROR(S53/H53,0)</f>
        <v/>
      </c>
      <c r="AE53" s="9">
        <f>IFERROR(T53/I53,0)</f>
        <v/>
      </c>
      <c r="AF53" s="9">
        <f>IFERROR(U53/J53,0)</f>
        <v/>
      </c>
      <c r="AG53" s="9">
        <f>IFERROR(V53/K53,0)</f>
        <v/>
      </c>
      <c r="AH53" s="9">
        <f>IFERROR(W53/L53,0)</f>
        <v/>
      </c>
      <c r="AI53" s="9">
        <f>IFERROR(X53/M53,0)</f>
        <v/>
      </c>
      <c r="AK53" s="14">
        <f>IF(D$15="Yes",D53*$BL53,D53)</f>
        <v/>
      </c>
      <c r="AL53" s="14">
        <f>IF(E$15="Yes",E53*$BL53,E53)</f>
        <v/>
      </c>
      <c r="AM53" s="14">
        <f>IF(F$15="Yes",F53*$BL53,F53)</f>
        <v/>
      </c>
      <c r="AN53" s="14">
        <f>IF(G$15="Yes",G53*$BL53,G53)</f>
        <v/>
      </c>
      <c r="AO53" s="14">
        <f>IF(H$15="Yes",H53*$BL53,H53)</f>
        <v/>
      </c>
      <c r="AP53" s="14">
        <f>IF(I$15="Yes",I53*$BL53,I53)</f>
        <v/>
      </c>
      <c r="AQ53" s="14">
        <f>IF(J$15="Yes",J53*$BL53,J53)</f>
        <v/>
      </c>
      <c r="AR53" s="14">
        <f>IF(K$15="Yes",K53*$BL53,K53)</f>
        <v/>
      </c>
      <c r="AS53" s="14">
        <f>IF(L$15="Yes",L53*$BL53,L53)</f>
        <v/>
      </c>
      <c r="AT53" s="14">
        <f>IF(M$15="Yes",M53*$BL53,M53)</f>
        <v/>
      </c>
      <c r="AV53" s="9">
        <f>IFERROR(O53/AK53,0)</f>
        <v/>
      </c>
      <c r="AW53" s="9">
        <f>IFERROR(P53/AL53,0)</f>
        <v/>
      </c>
      <c r="AX53" s="9">
        <f>IFERROR(Q53/AM53,0)</f>
        <v/>
      </c>
      <c r="AY53" s="9">
        <f>IFERROR(R53/AN53,0)</f>
        <v/>
      </c>
      <c r="AZ53" s="9">
        <f>IFERROR(S53/AO53,0)</f>
        <v/>
      </c>
      <c r="BA53" s="9">
        <f>IFERROR(T53/AP53,0)</f>
        <v/>
      </c>
      <c r="BB53" s="9">
        <f>IFERROR(U53/AQ53,0)</f>
        <v/>
      </c>
      <c r="BC53" s="9">
        <f>IFERROR(V53/AR53,0)</f>
        <v/>
      </c>
      <c r="BD53" s="9">
        <f>IFERROR(W53/AS53,0)</f>
        <v/>
      </c>
      <c r="BE53" s="9">
        <f>IFERROR(X53/AT53,0)</f>
        <v/>
      </c>
      <c r="BG53" s="9">
        <f>SUMPRODUCT(($D$15:$M$15="Yes")*O53:X53)</f>
        <v/>
      </c>
      <c r="BH53" s="9">
        <f>SUMPRODUCT(($D$15:$M$15="Yes")*Z53:AI53)</f>
        <v/>
      </c>
      <c r="BI53" s="9">
        <f>SUMPRODUCT(($D$15:$M$15="Yes")*AV53:BE53)</f>
        <v/>
      </c>
      <c r="BJ53" s="10">
        <f>IFERROR(BG53/BH53,0)</f>
        <v/>
      </c>
      <c r="BK53" s="10">
        <f>IFERROR(BG53/BI53,0)</f>
        <v/>
      </c>
      <c r="BL53" s="16">
        <f>IF(B53="Actual",1,INDEX($G$9:$G$11,MATCH(C53,$A$9:$A$11,0)))</f>
        <v/>
      </c>
      <c r="BN53" s="8" t="n">
        <v>46113</v>
      </c>
      <c r="BO53">
        <f>Inputs!$A$39</f>
        <v/>
      </c>
      <c r="BP53" s="10">
        <f>AN35</f>
        <v/>
      </c>
    </row>
    <row r="54">
      <c r="A54" s="8" t="n">
        <v>46692</v>
      </c>
      <c r="B54">
        <f>IF(A54&lt;=LastActual,"Actual","Forecast")</f>
        <v/>
      </c>
      <c r="C54">
        <f>YEAR(A54)</f>
        <v/>
      </c>
      <c r="D54" s="10">
        <f>IFERROR('NSW-1'!X49*1,0)</f>
        <v/>
      </c>
      <c r="E54" s="10">
        <f>IFERROR('VIC-1'!X49*1,0)</f>
        <v/>
      </c>
      <c r="F54" s="10">
        <f>IFERROR('QLD-1'!X49*1,0)</f>
        <v/>
      </c>
      <c r="G54" s="10">
        <f>IFERROR('NSW-2'!X49*1,0)</f>
        <v/>
      </c>
      <c r="H54" s="10">
        <f>IFERROR('VIC-2'!X49*1,0)</f>
        <v/>
      </c>
      <c r="I54" s="10">
        <f>IFERROR('QLD-2'!X49*1,0)</f>
        <v/>
      </c>
      <c r="J54" s="10">
        <f>IFERROR('SA-1'!X49*1,0)</f>
        <v/>
      </c>
      <c r="K54" s="10">
        <f>IFERROR('WA-1'!X49*1,0)</f>
        <v/>
      </c>
      <c r="L54" s="10">
        <f>IFERROR('IDC-NSW'!X49*1,0)</f>
        <v/>
      </c>
      <c r="M54" s="10">
        <f>IFERROR('IDC-VIC'!X49*1,0)</f>
        <v/>
      </c>
      <c r="O54" s="9">
        <f>Cases_Forecast!AJ42</f>
        <v/>
      </c>
      <c r="P54" s="9">
        <f>Cases_Forecast!AK42</f>
        <v/>
      </c>
      <c r="Q54" s="9">
        <f>Cases_Forecast!AL42</f>
        <v/>
      </c>
      <c r="R54" s="9">
        <f>Cases_Forecast!AM42</f>
        <v/>
      </c>
      <c r="S54" s="9">
        <f>Cases_Forecast!AN42</f>
        <v/>
      </c>
      <c r="T54" s="9">
        <f>Cases_Forecast!AO42</f>
        <v/>
      </c>
      <c r="U54" s="9">
        <f>Cases_Forecast!AP42</f>
        <v/>
      </c>
      <c r="V54" s="9">
        <f>Cases_Forecast!AQ42</f>
        <v/>
      </c>
      <c r="W54" s="9">
        <f>Cases_Forecast!AR42</f>
        <v/>
      </c>
      <c r="X54" s="9">
        <f>Cases_Forecast!AS42</f>
        <v/>
      </c>
      <c r="Z54" s="9">
        <f>IFERROR(O54/D54,0)</f>
        <v/>
      </c>
      <c r="AA54" s="9">
        <f>IFERROR(P54/E54,0)</f>
        <v/>
      </c>
      <c r="AB54" s="9">
        <f>IFERROR(Q54/F54,0)</f>
        <v/>
      </c>
      <c r="AC54" s="9">
        <f>IFERROR(R54/G54,0)</f>
        <v/>
      </c>
      <c r="AD54" s="9">
        <f>IFERROR(S54/H54,0)</f>
        <v/>
      </c>
      <c r="AE54" s="9">
        <f>IFERROR(T54/I54,0)</f>
        <v/>
      </c>
      <c r="AF54" s="9">
        <f>IFERROR(U54/J54,0)</f>
        <v/>
      </c>
      <c r="AG54" s="9">
        <f>IFERROR(V54/K54,0)</f>
        <v/>
      </c>
      <c r="AH54" s="9">
        <f>IFERROR(W54/L54,0)</f>
        <v/>
      </c>
      <c r="AI54" s="9">
        <f>IFERROR(X54/M54,0)</f>
        <v/>
      </c>
      <c r="AK54" s="14">
        <f>IF(D$15="Yes",D54*$BL54,D54)</f>
        <v/>
      </c>
      <c r="AL54" s="14">
        <f>IF(E$15="Yes",E54*$BL54,E54)</f>
        <v/>
      </c>
      <c r="AM54" s="14">
        <f>IF(F$15="Yes",F54*$BL54,F54)</f>
        <v/>
      </c>
      <c r="AN54" s="14">
        <f>IF(G$15="Yes",G54*$BL54,G54)</f>
        <v/>
      </c>
      <c r="AO54" s="14">
        <f>IF(H$15="Yes",H54*$BL54,H54)</f>
        <v/>
      </c>
      <c r="AP54" s="14">
        <f>IF(I$15="Yes",I54*$BL54,I54)</f>
        <v/>
      </c>
      <c r="AQ54" s="14">
        <f>IF(J$15="Yes",J54*$BL54,J54)</f>
        <v/>
      </c>
      <c r="AR54" s="14">
        <f>IF(K$15="Yes",K54*$BL54,K54)</f>
        <v/>
      </c>
      <c r="AS54" s="14">
        <f>IF(L$15="Yes",L54*$BL54,L54)</f>
        <v/>
      </c>
      <c r="AT54" s="14">
        <f>IF(M$15="Yes",M54*$BL54,M54)</f>
        <v/>
      </c>
      <c r="AV54" s="9">
        <f>IFERROR(O54/AK54,0)</f>
        <v/>
      </c>
      <c r="AW54" s="9">
        <f>IFERROR(P54/AL54,0)</f>
        <v/>
      </c>
      <c r="AX54" s="9">
        <f>IFERROR(Q54/AM54,0)</f>
        <v/>
      </c>
      <c r="AY54" s="9">
        <f>IFERROR(R54/AN54,0)</f>
        <v/>
      </c>
      <c r="AZ54" s="9">
        <f>IFERROR(S54/AO54,0)</f>
        <v/>
      </c>
      <c r="BA54" s="9">
        <f>IFERROR(T54/AP54,0)</f>
        <v/>
      </c>
      <c r="BB54" s="9">
        <f>IFERROR(U54/AQ54,0)</f>
        <v/>
      </c>
      <c r="BC54" s="9">
        <f>IFERROR(V54/AR54,0)</f>
        <v/>
      </c>
      <c r="BD54" s="9">
        <f>IFERROR(W54/AS54,0)</f>
        <v/>
      </c>
      <c r="BE54" s="9">
        <f>IFERROR(X54/AT54,0)</f>
        <v/>
      </c>
      <c r="BG54" s="9">
        <f>SUMPRODUCT(($D$15:$M$15="Yes")*O54:X54)</f>
        <v/>
      </c>
      <c r="BH54" s="9">
        <f>SUMPRODUCT(($D$15:$M$15="Yes")*Z54:AI54)</f>
        <v/>
      </c>
      <c r="BI54" s="9">
        <f>SUMPRODUCT(($D$15:$M$15="Yes")*AV54:BE54)</f>
        <v/>
      </c>
      <c r="BJ54" s="10">
        <f>IFERROR(BG54/BH54,0)</f>
        <v/>
      </c>
      <c r="BK54" s="10">
        <f>IFERROR(BG54/BI54,0)</f>
        <v/>
      </c>
      <c r="BL54" s="16">
        <f>IF(B54="Actual",1,INDEX($G$9:$G$11,MATCH(C54,$A$9:$A$11,0)))</f>
        <v/>
      </c>
      <c r="BN54" s="8" t="n">
        <v>46113</v>
      </c>
      <c r="BO54">
        <f>Inputs!$A$40</f>
        <v/>
      </c>
      <c r="BP54" s="10">
        <f>AO35</f>
        <v/>
      </c>
    </row>
    <row r="55">
      <c r="A55" s="8" t="n">
        <v>46722</v>
      </c>
      <c r="B55">
        <f>IF(A55&lt;=LastActual,"Actual","Forecast")</f>
        <v/>
      </c>
      <c r="C55">
        <f>YEAR(A55)</f>
        <v/>
      </c>
      <c r="D55" s="10">
        <f>IFERROR('NSW-1'!X50*1,0)</f>
        <v/>
      </c>
      <c r="E55" s="10">
        <f>IFERROR('VIC-1'!X50*1,0)</f>
        <v/>
      </c>
      <c r="F55" s="10">
        <f>IFERROR('QLD-1'!X50*1,0)</f>
        <v/>
      </c>
      <c r="G55" s="10">
        <f>IFERROR('NSW-2'!X50*1,0)</f>
        <v/>
      </c>
      <c r="H55" s="10">
        <f>IFERROR('VIC-2'!X50*1,0)</f>
        <v/>
      </c>
      <c r="I55" s="10">
        <f>IFERROR('QLD-2'!X50*1,0)</f>
        <v/>
      </c>
      <c r="J55" s="10">
        <f>IFERROR('SA-1'!X50*1,0)</f>
        <v/>
      </c>
      <c r="K55" s="10">
        <f>IFERROR('WA-1'!X50*1,0)</f>
        <v/>
      </c>
      <c r="L55" s="10">
        <f>IFERROR('IDC-NSW'!X50*1,0)</f>
        <v/>
      </c>
      <c r="M55" s="10">
        <f>IFERROR('IDC-VIC'!X50*1,0)</f>
        <v/>
      </c>
      <c r="O55" s="9">
        <f>Cases_Forecast!AJ43</f>
        <v/>
      </c>
      <c r="P55" s="9">
        <f>Cases_Forecast!AK43</f>
        <v/>
      </c>
      <c r="Q55" s="9">
        <f>Cases_Forecast!AL43</f>
        <v/>
      </c>
      <c r="R55" s="9">
        <f>Cases_Forecast!AM43</f>
        <v/>
      </c>
      <c r="S55" s="9">
        <f>Cases_Forecast!AN43</f>
        <v/>
      </c>
      <c r="T55" s="9">
        <f>Cases_Forecast!AO43</f>
        <v/>
      </c>
      <c r="U55" s="9">
        <f>Cases_Forecast!AP43</f>
        <v/>
      </c>
      <c r="V55" s="9">
        <f>Cases_Forecast!AQ43</f>
        <v/>
      </c>
      <c r="W55" s="9">
        <f>Cases_Forecast!AR43</f>
        <v/>
      </c>
      <c r="X55" s="9">
        <f>Cases_Forecast!AS43</f>
        <v/>
      </c>
      <c r="Z55" s="9">
        <f>IFERROR(O55/D55,0)</f>
        <v/>
      </c>
      <c r="AA55" s="9">
        <f>IFERROR(P55/E55,0)</f>
        <v/>
      </c>
      <c r="AB55" s="9">
        <f>IFERROR(Q55/F55,0)</f>
        <v/>
      </c>
      <c r="AC55" s="9">
        <f>IFERROR(R55/G55,0)</f>
        <v/>
      </c>
      <c r="AD55" s="9">
        <f>IFERROR(S55/H55,0)</f>
        <v/>
      </c>
      <c r="AE55" s="9">
        <f>IFERROR(T55/I55,0)</f>
        <v/>
      </c>
      <c r="AF55" s="9">
        <f>IFERROR(U55/J55,0)</f>
        <v/>
      </c>
      <c r="AG55" s="9">
        <f>IFERROR(V55/K55,0)</f>
        <v/>
      </c>
      <c r="AH55" s="9">
        <f>IFERROR(W55/L55,0)</f>
        <v/>
      </c>
      <c r="AI55" s="9">
        <f>IFERROR(X55/M55,0)</f>
        <v/>
      </c>
      <c r="AK55" s="14">
        <f>IF(D$15="Yes",D55*$BL55,D55)</f>
        <v/>
      </c>
      <c r="AL55" s="14">
        <f>IF(E$15="Yes",E55*$BL55,E55)</f>
        <v/>
      </c>
      <c r="AM55" s="14">
        <f>IF(F$15="Yes",F55*$BL55,F55)</f>
        <v/>
      </c>
      <c r="AN55" s="14">
        <f>IF(G$15="Yes",G55*$BL55,G55)</f>
        <v/>
      </c>
      <c r="AO55" s="14">
        <f>IF(H$15="Yes",H55*$BL55,H55)</f>
        <v/>
      </c>
      <c r="AP55" s="14">
        <f>IF(I$15="Yes",I55*$BL55,I55)</f>
        <v/>
      </c>
      <c r="AQ55" s="14">
        <f>IF(J$15="Yes",J55*$BL55,J55)</f>
        <v/>
      </c>
      <c r="AR55" s="14">
        <f>IF(K$15="Yes",K55*$BL55,K55)</f>
        <v/>
      </c>
      <c r="AS55" s="14">
        <f>IF(L$15="Yes",L55*$BL55,L55)</f>
        <v/>
      </c>
      <c r="AT55" s="14">
        <f>IF(M$15="Yes",M55*$BL55,M55)</f>
        <v/>
      </c>
      <c r="AV55" s="9">
        <f>IFERROR(O55/AK55,0)</f>
        <v/>
      </c>
      <c r="AW55" s="9">
        <f>IFERROR(P55/AL55,0)</f>
        <v/>
      </c>
      <c r="AX55" s="9">
        <f>IFERROR(Q55/AM55,0)</f>
        <v/>
      </c>
      <c r="AY55" s="9">
        <f>IFERROR(R55/AN55,0)</f>
        <v/>
      </c>
      <c r="AZ55" s="9">
        <f>IFERROR(S55/AO55,0)</f>
        <v/>
      </c>
      <c r="BA55" s="9">
        <f>IFERROR(T55/AP55,0)</f>
        <v/>
      </c>
      <c r="BB55" s="9">
        <f>IFERROR(U55/AQ55,0)</f>
        <v/>
      </c>
      <c r="BC55" s="9">
        <f>IFERROR(V55/AR55,0)</f>
        <v/>
      </c>
      <c r="BD55" s="9">
        <f>IFERROR(W55/AS55,0)</f>
        <v/>
      </c>
      <c r="BE55" s="9">
        <f>IFERROR(X55/AT55,0)</f>
        <v/>
      </c>
      <c r="BG55" s="9">
        <f>SUMPRODUCT(($D$15:$M$15="Yes")*O55:X55)</f>
        <v/>
      </c>
      <c r="BH55" s="9">
        <f>SUMPRODUCT(($D$15:$M$15="Yes")*Z55:AI55)</f>
        <v/>
      </c>
      <c r="BI55" s="9">
        <f>SUMPRODUCT(($D$15:$M$15="Yes")*AV55:BE55)</f>
        <v/>
      </c>
      <c r="BJ55" s="10">
        <f>IFERROR(BG55/BH55,0)</f>
        <v/>
      </c>
      <c r="BK55" s="10">
        <f>IFERROR(BG55/BI55,0)</f>
        <v/>
      </c>
      <c r="BL55" s="16">
        <f>IF(B55="Actual",1,INDEX($G$9:$G$11,MATCH(C55,$A$9:$A$11,0)))</f>
        <v/>
      </c>
      <c r="BN55" s="8" t="n">
        <v>46113</v>
      </c>
      <c r="BO55">
        <f>Inputs!$A$41</f>
        <v/>
      </c>
      <c r="BP55" s="10">
        <f>AP35</f>
        <v/>
      </c>
    </row>
    <row r="56">
      <c r="A56" s="8" t="n">
        <v>46753</v>
      </c>
      <c r="B56">
        <f>IF(A56&lt;=LastActual,"Actual","Forecast")</f>
        <v/>
      </c>
      <c r="C56">
        <f>YEAR(A56)</f>
        <v/>
      </c>
      <c r="D56" s="10">
        <f>IFERROR('NSW-1'!X51*1,0)</f>
        <v/>
      </c>
      <c r="E56" s="10">
        <f>IFERROR('VIC-1'!X51*1,0)</f>
        <v/>
      </c>
      <c r="F56" s="10">
        <f>IFERROR('QLD-1'!X51*1,0)</f>
        <v/>
      </c>
      <c r="G56" s="10">
        <f>IFERROR('NSW-2'!X51*1,0)</f>
        <v/>
      </c>
      <c r="H56" s="10">
        <f>IFERROR('VIC-2'!X51*1,0)</f>
        <v/>
      </c>
      <c r="I56" s="10">
        <f>IFERROR('QLD-2'!X51*1,0)</f>
        <v/>
      </c>
      <c r="J56" s="10">
        <f>IFERROR('SA-1'!X51*1,0)</f>
        <v/>
      </c>
      <c r="K56" s="10">
        <f>IFERROR('WA-1'!X51*1,0)</f>
        <v/>
      </c>
      <c r="L56" s="10">
        <f>IFERROR('IDC-NSW'!X51*1,0)</f>
        <v/>
      </c>
      <c r="M56" s="10">
        <f>IFERROR('IDC-VIC'!X51*1,0)</f>
        <v/>
      </c>
      <c r="O56" s="9">
        <f>Cases_Forecast!AJ44</f>
        <v/>
      </c>
      <c r="P56" s="9">
        <f>Cases_Forecast!AK44</f>
        <v/>
      </c>
      <c r="Q56" s="9">
        <f>Cases_Forecast!AL44</f>
        <v/>
      </c>
      <c r="R56" s="9">
        <f>Cases_Forecast!AM44</f>
        <v/>
      </c>
      <c r="S56" s="9">
        <f>Cases_Forecast!AN44</f>
        <v/>
      </c>
      <c r="T56" s="9">
        <f>Cases_Forecast!AO44</f>
        <v/>
      </c>
      <c r="U56" s="9">
        <f>Cases_Forecast!AP44</f>
        <v/>
      </c>
      <c r="V56" s="9">
        <f>Cases_Forecast!AQ44</f>
        <v/>
      </c>
      <c r="W56" s="9">
        <f>Cases_Forecast!AR44</f>
        <v/>
      </c>
      <c r="X56" s="9">
        <f>Cases_Forecast!AS44</f>
        <v/>
      </c>
      <c r="Z56" s="9">
        <f>IFERROR(O56/D56,0)</f>
        <v/>
      </c>
      <c r="AA56" s="9">
        <f>IFERROR(P56/E56,0)</f>
        <v/>
      </c>
      <c r="AB56" s="9">
        <f>IFERROR(Q56/F56,0)</f>
        <v/>
      </c>
      <c r="AC56" s="9">
        <f>IFERROR(R56/G56,0)</f>
        <v/>
      </c>
      <c r="AD56" s="9">
        <f>IFERROR(S56/H56,0)</f>
        <v/>
      </c>
      <c r="AE56" s="9">
        <f>IFERROR(T56/I56,0)</f>
        <v/>
      </c>
      <c r="AF56" s="9">
        <f>IFERROR(U56/J56,0)</f>
        <v/>
      </c>
      <c r="AG56" s="9">
        <f>IFERROR(V56/K56,0)</f>
        <v/>
      </c>
      <c r="AH56" s="9">
        <f>IFERROR(W56/L56,0)</f>
        <v/>
      </c>
      <c r="AI56" s="9">
        <f>IFERROR(X56/M56,0)</f>
        <v/>
      </c>
      <c r="AK56" s="14">
        <f>IF(D$15="Yes",D56*$BL56,D56)</f>
        <v/>
      </c>
      <c r="AL56" s="14">
        <f>IF(E$15="Yes",E56*$BL56,E56)</f>
        <v/>
      </c>
      <c r="AM56" s="14">
        <f>IF(F$15="Yes",F56*$BL56,F56)</f>
        <v/>
      </c>
      <c r="AN56" s="14">
        <f>IF(G$15="Yes",G56*$BL56,G56)</f>
        <v/>
      </c>
      <c r="AO56" s="14">
        <f>IF(H$15="Yes",H56*$BL56,H56)</f>
        <v/>
      </c>
      <c r="AP56" s="14">
        <f>IF(I$15="Yes",I56*$BL56,I56)</f>
        <v/>
      </c>
      <c r="AQ56" s="14">
        <f>IF(J$15="Yes",J56*$BL56,J56)</f>
        <v/>
      </c>
      <c r="AR56" s="14">
        <f>IF(K$15="Yes",K56*$BL56,K56)</f>
        <v/>
      </c>
      <c r="AS56" s="14">
        <f>IF(L$15="Yes",L56*$BL56,L56)</f>
        <v/>
      </c>
      <c r="AT56" s="14">
        <f>IF(M$15="Yes",M56*$BL56,M56)</f>
        <v/>
      </c>
      <c r="AV56" s="9">
        <f>IFERROR(O56/AK56,0)</f>
        <v/>
      </c>
      <c r="AW56" s="9">
        <f>IFERROR(P56/AL56,0)</f>
        <v/>
      </c>
      <c r="AX56" s="9">
        <f>IFERROR(Q56/AM56,0)</f>
        <v/>
      </c>
      <c r="AY56" s="9">
        <f>IFERROR(R56/AN56,0)</f>
        <v/>
      </c>
      <c r="AZ56" s="9">
        <f>IFERROR(S56/AO56,0)</f>
        <v/>
      </c>
      <c r="BA56" s="9">
        <f>IFERROR(T56/AP56,0)</f>
        <v/>
      </c>
      <c r="BB56" s="9">
        <f>IFERROR(U56/AQ56,0)</f>
        <v/>
      </c>
      <c r="BC56" s="9">
        <f>IFERROR(V56/AR56,0)</f>
        <v/>
      </c>
      <c r="BD56" s="9">
        <f>IFERROR(W56/AS56,0)</f>
        <v/>
      </c>
      <c r="BE56" s="9">
        <f>IFERROR(X56/AT56,0)</f>
        <v/>
      </c>
      <c r="BG56" s="9">
        <f>SUMPRODUCT(($D$15:$M$15="Yes")*O56:X56)</f>
        <v/>
      </c>
      <c r="BH56" s="9">
        <f>SUMPRODUCT(($D$15:$M$15="Yes")*Z56:AI56)</f>
        <v/>
      </c>
      <c r="BI56" s="9">
        <f>SUMPRODUCT(($D$15:$M$15="Yes")*AV56:BE56)</f>
        <v/>
      </c>
      <c r="BJ56" s="10">
        <f>IFERROR(BG56/BH56,0)</f>
        <v/>
      </c>
      <c r="BK56" s="10">
        <f>IFERROR(BG56/BI56,0)</f>
        <v/>
      </c>
      <c r="BL56" s="16">
        <f>IF(B56="Actual",1,INDEX($G$9:$G$11,MATCH(C56,$A$9:$A$11,0)))</f>
        <v/>
      </c>
      <c r="BN56" s="8" t="n">
        <v>46113</v>
      </c>
      <c r="BO56">
        <f>Inputs!$A$42</f>
        <v/>
      </c>
      <c r="BP56" s="10">
        <f>AQ35</f>
        <v/>
      </c>
    </row>
    <row r="57">
      <c r="A57" s="8" t="n">
        <v>46784</v>
      </c>
      <c r="B57">
        <f>IF(A57&lt;=LastActual,"Actual","Forecast")</f>
        <v/>
      </c>
      <c r="C57">
        <f>YEAR(A57)</f>
        <v/>
      </c>
      <c r="D57" s="10">
        <f>IFERROR('NSW-1'!X52*1,0)</f>
        <v/>
      </c>
      <c r="E57" s="10">
        <f>IFERROR('VIC-1'!X52*1,0)</f>
        <v/>
      </c>
      <c r="F57" s="10">
        <f>IFERROR('QLD-1'!X52*1,0)</f>
        <v/>
      </c>
      <c r="G57" s="10">
        <f>IFERROR('NSW-2'!X52*1,0)</f>
        <v/>
      </c>
      <c r="H57" s="10">
        <f>IFERROR('VIC-2'!X52*1,0)</f>
        <v/>
      </c>
      <c r="I57" s="10">
        <f>IFERROR('QLD-2'!X52*1,0)</f>
        <v/>
      </c>
      <c r="J57" s="10">
        <f>IFERROR('SA-1'!X52*1,0)</f>
        <v/>
      </c>
      <c r="K57" s="10">
        <f>IFERROR('WA-1'!X52*1,0)</f>
        <v/>
      </c>
      <c r="L57" s="10">
        <f>IFERROR('IDC-NSW'!X52*1,0)</f>
        <v/>
      </c>
      <c r="M57" s="10">
        <f>IFERROR('IDC-VIC'!X52*1,0)</f>
        <v/>
      </c>
      <c r="O57" s="9">
        <f>Cases_Forecast!AJ45</f>
        <v/>
      </c>
      <c r="P57" s="9">
        <f>Cases_Forecast!AK45</f>
        <v/>
      </c>
      <c r="Q57" s="9">
        <f>Cases_Forecast!AL45</f>
        <v/>
      </c>
      <c r="R57" s="9">
        <f>Cases_Forecast!AM45</f>
        <v/>
      </c>
      <c r="S57" s="9">
        <f>Cases_Forecast!AN45</f>
        <v/>
      </c>
      <c r="T57" s="9">
        <f>Cases_Forecast!AO45</f>
        <v/>
      </c>
      <c r="U57" s="9">
        <f>Cases_Forecast!AP45</f>
        <v/>
      </c>
      <c r="V57" s="9">
        <f>Cases_Forecast!AQ45</f>
        <v/>
      </c>
      <c r="W57" s="9">
        <f>Cases_Forecast!AR45</f>
        <v/>
      </c>
      <c r="X57" s="9">
        <f>Cases_Forecast!AS45</f>
        <v/>
      </c>
      <c r="Z57" s="9">
        <f>IFERROR(O57/D57,0)</f>
        <v/>
      </c>
      <c r="AA57" s="9">
        <f>IFERROR(P57/E57,0)</f>
        <v/>
      </c>
      <c r="AB57" s="9">
        <f>IFERROR(Q57/F57,0)</f>
        <v/>
      </c>
      <c r="AC57" s="9">
        <f>IFERROR(R57/G57,0)</f>
        <v/>
      </c>
      <c r="AD57" s="9">
        <f>IFERROR(S57/H57,0)</f>
        <v/>
      </c>
      <c r="AE57" s="9">
        <f>IFERROR(T57/I57,0)</f>
        <v/>
      </c>
      <c r="AF57" s="9">
        <f>IFERROR(U57/J57,0)</f>
        <v/>
      </c>
      <c r="AG57" s="9">
        <f>IFERROR(V57/K57,0)</f>
        <v/>
      </c>
      <c r="AH57" s="9">
        <f>IFERROR(W57/L57,0)</f>
        <v/>
      </c>
      <c r="AI57" s="9">
        <f>IFERROR(X57/M57,0)</f>
        <v/>
      </c>
      <c r="AK57" s="14">
        <f>IF(D$15="Yes",D57*$BL57,D57)</f>
        <v/>
      </c>
      <c r="AL57" s="14">
        <f>IF(E$15="Yes",E57*$BL57,E57)</f>
        <v/>
      </c>
      <c r="AM57" s="14">
        <f>IF(F$15="Yes",F57*$BL57,F57)</f>
        <v/>
      </c>
      <c r="AN57" s="14">
        <f>IF(G$15="Yes",G57*$BL57,G57)</f>
        <v/>
      </c>
      <c r="AO57" s="14">
        <f>IF(H$15="Yes",H57*$BL57,H57)</f>
        <v/>
      </c>
      <c r="AP57" s="14">
        <f>IF(I$15="Yes",I57*$BL57,I57)</f>
        <v/>
      </c>
      <c r="AQ57" s="14">
        <f>IF(J$15="Yes",J57*$BL57,J57)</f>
        <v/>
      </c>
      <c r="AR57" s="14">
        <f>IF(K$15="Yes",K57*$BL57,K57)</f>
        <v/>
      </c>
      <c r="AS57" s="14">
        <f>IF(L$15="Yes",L57*$BL57,L57)</f>
        <v/>
      </c>
      <c r="AT57" s="14">
        <f>IF(M$15="Yes",M57*$BL57,M57)</f>
        <v/>
      </c>
      <c r="AV57" s="9">
        <f>IFERROR(O57/AK57,0)</f>
        <v/>
      </c>
      <c r="AW57" s="9">
        <f>IFERROR(P57/AL57,0)</f>
        <v/>
      </c>
      <c r="AX57" s="9">
        <f>IFERROR(Q57/AM57,0)</f>
        <v/>
      </c>
      <c r="AY57" s="9">
        <f>IFERROR(R57/AN57,0)</f>
        <v/>
      </c>
      <c r="AZ57" s="9">
        <f>IFERROR(S57/AO57,0)</f>
        <v/>
      </c>
      <c r="BA57" s="9">
        <f>IFERROR(T57/AP57,0)</f>
        <v/>
      </c>
      <c r="BB57" s="9">
        <f>IFERROR(U57/AQ57,0)</f>
        <v/>
      </c>
      <c r="BC57" s="9">
        <f>IFERROR(V57/AR57,0)</f>
        <v/>
      </c>
      <c r="BD57" s="9">
        <f>IFERROR(W57/AS57,0)</f>
        <v/>
      </c>
      <c r="BE57" s="9">
        <f>IFERROR(X57/AT57,0)</f>
        <v/>
      </c>
      <c r="BG57" s="9">
        <f>SUMPRODUCT(($D$15:$M$15="Yes")*O57:X57)</f>
        <v/>
      </c>
      <c r="BH57" s="9">
        <f>SUMPRODUCT(($D$15:$M$15="Yes")*Z57:AI57)</f>
        <v/>
      </c>
      <c r="BI57" s="9">
        <f>SUMPRODUCT(($D$15:$M$15="Yes")*AV57:BE57)</f>
        <v/>
      </c>
      <c r="BJ57" s="10">
        <f>IFERROR(BG57/BH57,0)</f>
        <v/>
      </c>
      <c r="BK57" s="10">
        <f>IFERROR(BG57/BI57,0)</f>
        <v/>
      </c>
      <c r="BL57" s="16">
        <f>IF(B57="Actual",1,INDEX($G$9:$G$11,MATCH(C57,$A$9:$A$11,0)))</f>
        <v/>
      </c>
      <c r="BN57" s="8" t="n">
        <v>46113</v>
      </c>
      <c r="BO57">
        <f>Inputs!$A$43</f>
        <v/>
      </c>
      <c r="BP57" s="10">
        <f>AR35</f>
        <v/>
      </c>
    </row>
    <row r="58">
      <c r="A58" s="8" t="n">
        <v>46813</v>
      </c>
      <c r="B58">
        <f>IF(A58&lt;=LastActual,"Actual","Forecast")</f>
        <v/>
      </c>
      <c r="C58">
        <f>YEAR(A58)</f>
        <v/>
      </c>
      <c r="D58" s="10">
        <f>IFERROR('NSW-1'!X53*1,0)</f>
        <v/>
      </c>
      <c r="E58" s="10">
        <f>IFERROR('VIC-1'!X53*1,0)</f>
        <v/>
      </c>
      <c r="F58" s="10">
        <f>IFERROR('QLD-1'!X53*1,0)</f>
        <v/>
      </c>
      <c r="G58" s="10">
        <f>IFERROR('NSW-2'!X53*1,0)</f>
        <v/>
      </c>
      <c r="H58" s="10">
        <f>IFERROR('VIC-2'!X53*1,0)</f>
        <v/>
      </c>
      <c r="I58" s="10">
        <f>IFERROR('QLD-2'!X53*1,0)</f>
        <v/>
      </c>
      <c r="J58" s="10">
        <f>IFERROR('SA-1'!X53*1,0)</f>
        <v/>
      </c>
      <c r="K58" s="10">
        <f>IFERROR('WA-1'!X53*1,0)</f>
        <v/>
      </c>
      <c r="L58" s="10">
        <f>IFERROR('IDC-NSW'!X53*1,0)</f>
        <v/>
      </c>
      <c r="M58" s="10">
        <f>IFERROR('IDC-VIC'!X53*1,0)</f>
        <v/>
      </c>
      <c r="O58" s="9">
        <f>Cases_Forecast!AJ46</f>
        <v/>
      </c>
      <c r="P58" s="9">
        <f>Cases_Forecast!AK46</f>
        <v/>
      </c>
      <c r="Q58" s="9">
        <f>Cases_Forecast!AL46</f>
        <v/>
      </c>
      <c r="R58" s="9">
        <f>Cases_Forecast!AM46</f>
        <v/>
      </c>
      <c r="S58" s="9">
        <f>Cases_Forecast!AN46</f>
        <v/>
      </c>
      <c r="T58" s="9">
        <f>Cases_Forecast!AO46</f>
        <v/>
      </c>
      <c r="U58" s="9">
        <f>Cases_Forecast!AP46</f>
        <v/>
      </c>
      <c r="V58" s="9">
        <f>Cases_Forecast!AQ46</f>
        <v/>
      </c>
      <c r="W58" s="9">
        <f>Cases_Forecast!AR46</f>
        <v/>
      </c>
      <c r="X58" s="9">
        <f>Cases_Forecast!AS46</f>
        <v/>
      </c>
      <c r="Z58" s="9">
        <f>IFERROR(O58/D58,0)</f>
        <v/>
      </c>
      <c r="AA58" s="9">
        <f>IFERROR(P58/E58,0)</f>
        <v/>
      </c>
      <c r="AB58" s="9">
        <f>IFERROR(Q58/F58,0)</f>
        <v/>
      </c>
      <c r="AC58" s="9">
        <f>IFERROR(R58/G58,0)</f>
        <v/>
      </c>
      <c r="AD58" s="9">
        <f>IFERROR(S58/H58,0)</f>
        <v/>
      </c>
      <c r="AE58" s="9">
        <f>IFERROR(T58/I58,0)</f>
        <v/>
      </c>
      <c r="AF58" s="9">
        <f>IFERROR(U58/J58,0)</f>
        <v/>
      </c>
      <c r="AG58" s="9">
        <f>IFERROR(V58/K58,0)</f>
        <v/>
      </c>
      <c r="AH58" s="9">
        <f>IFERROR(W58/L58,0)</f>
        <v/>
      </c>
      <c r="AI58" s="9">
        <f>IFERROR(X58/M58,0)</f>
        <v/>
      </c>
      <c r="AK58" s="14">
        <f>IF(D$15="Yes",D58*$BL58,D58)</f>
        <v/>
      </c>
      <c r="AL58" s="14">
        <f>IF(E$15="Yes",E58*$BL58,E58)</f>
        <v/>
      </c>
      <c r="AM58" s="14">
        <f>IF(F$15="Yes",F58*$BL58,F58)</f>
        <v/>
      </c>
      <c r="AN58" s="14">
        <f>IF(G$15="Yes",G58*$BL58,G58)</f>
        <v/>
      </c>
      <c r="AO58" s="14">
        <f>IF(H$15="Yes",H58*$BL58,H58)</f>
        <v/>
      </c>
      <c r="AP58" s="14">
        <f>IF(I$15="Yes",I58*$BL58,I58)</f>
        <v/>
      </c>
      <c r="AQ58" s="14">
        <f>IF(J$15="Yes",J58*$BL58,J58)</f>
        <v/>
      </c>
      <c r="AR58" s="14">
        <f>IF(K$15="Yes",K58*$BL58,K58)</f>
        <v/>
      </c>
      <c r="AS58" s="14">
        <f>IF(L$15="Yes",L58*$BL58,L58)</f>
        <v/>
      </c>
      <c r="AT58" s="14">
        <f>IF(M$15="Yes",M58*$BL58,M58)</f>
        <v/>
      </c>
      <c r="AV58" s="9">
        <f>IFERROR(O58/AK58,0)</f>
        <v/>
      </c>
      <c r="AW58" s="9">
        <f>IFERROR(P58/AL58,0)</f>
        <v/>
      </c>
      <c r="AX58" s="9">
        <f>IFERROR(Q58/AM58,0)</f>
        <v/>
      </c>
      <c r="AY58" s="9">
        <f>IFERROR(R58/AN58,0)</f>
        <v/>
      </c>
      <c r="AZ58" s="9">
        <f>IFERROR(S58/AO58,0)</f>
        <v/>
      </c>
      <c r="BA58" s="9">
        <f>IFERROR(T58/AP58,0)</f>
        <v/>
      </c>
      <c r="BB58" s="9">
        <f>IFERROR(U58/AQ58,0)</f>
        <v/>
      </c>
      <c r="BC58" s="9">
        <f>IFERROR(V58/AR58,0)</f>
        <v/>
      </c>
      <c r="BD58" s="9">
        <f>IFERROR(W58/AS58,0)</f>
        <v/>
      </c>
      <c r="BE58" s="9">
        <f>IFERROR(X58/AT58,0)</f>
        <v/>
      </c>
      <c r="BG58" s="9">
        <f>SUMPRODUCT(($D$15:$M$15="Yes")*O58:X58)</f>
        <v/>
      </c>
      <c r="BH58" s="9">
        <f>SUMPRODUCT(($D$15:$M$15="Yes")*Z58:AI58)</f>
        <v/>
      </c>
      <c r="BI58" s="9">
        <f>SUMPRODUCT(($D$15:$M$15="Yes")*AV58:BE58)</f>
        <v/>
      </c>
      <c r="BJ58" s="10">
        <f>IFERROR(BG58/BH58,0)</f>
        <v/>
      </c>
      <c r="BK58" s="10">
        <f>IFERROR(BG58/BI58,0)</f>
        <v/>
      </c>
      <c r="BL58" s="16">
        <f>IF(B58="Actual",1,INDEX($G$9:$G$11,MATCH(C58,$A$9:$A$11,0)))</f>
        <v/>
      </c>
      <c r="BN58" s="8" t="n">
        <v>46113</v>
      </c>
      <c r="BO58">
        <f>Inputs!$A$44</f>
        <v/>
      </c>
      <c r="BP58" s="10">
        <f>AS35</f>
        <v/>
      </c>
    </row>
    <row r="59">
      <c r="A59" s="8" t="n">
        <v>46844</v>
      </c>
      <c r="B59">
        <f>IF(A59&lt;=LastActual,"Actual","Forecast")</f>
        <v/>
      </c>
      <c r="C59">
        <f>YEAR(A59)</f>
        <v/>
      </c>
      <c r="D59" s="10">
        <f>IFERROR('NSW-1'!X54*1,0)</f>
        <v/>
      </c>
      <c r="E59" s="10">
        <f>IFERROR('VIC-1'!X54*1,0)</f>
        <v/>
      </c>
      <c r="F59" s="10">
        <f>IFERROR('QLD-1'!X54*1,0)</f>
        <v/>
      </c>
      <c r="G59" s="10">
        <f>IFERROR('NSW-2'!X54*1,0)</f>
        <v/>
      </c>
      <c r="H59" s="10">
        <f>IFERROR('VIC-2'!X54*1,0)</f>
        <v/>
      </c>
      <c r="I59" s="10">
        <f>IFERROR('QLD-2'!X54*1,0)</f>
        <v/>
      </c>
      <c r="J59" s="10">
        <f>IFERROR('SA-1'!X54*1,0)</f>
        <v/>
      </c>
      <c r="K59" s="10">
        <f>IFERROR('WA-1'!X54*1,0)</f>
        <v/>
      </c>
      <c r="L59" s="10">
        <f>IFERROR('IDC-NSW'!X54*1,0)</f>
        <v/>
      </c>
      <c r="M59" s="10">
        <f>IFERROR('IDC-VIC'!X54*1,0)</f>
        <v/>
      </c>
      <c r="O59" s="9">
        <f>Cases_Forecast!AJ47</f>
        <v/>
      </c>
      <c r="P59" s="9">
        <f>Cases_Forecast!AK47</f>
        <v/>
      </c>
      <c r="Q59" s="9">
        <f>Cases_Forecast!AL47</f>
        <v/>
      </c>
      <c r="R59" s="9">
        <f>Cases_Forecast!AM47</f>
        <v/>
      </c>
      <c r="S59" s="9">
        <f>Cases_Forecast!AN47</f>
        <v/>
      </c>
      <c r="T59" s="9">
        <f>Cases_Forecast!AO47</f>
        <v/>
      </c>
      <c r="U59" s="9">
        <f>Cases_Forecast!AP47</f>
        <v/>
      </c>
      <c r="V59" s="9">
        <f>Cases_Forecast!AQ47</f>
        <v/>
      </c>
      <c r="W59" s="9">
        <f>Cases_Forecast!AR47</f>
        <v/>
      </c>
      <c r="X59" s="9">
        <f>Cases_Forecast!AS47</f>
        <v/>
      </c>
      <c r="Z59" s="9">
        <f>IFERROR(O59/D59,0)</f>
        <v/>
      </c>
      <c r="AA59" s="9">
        <f>IFERROR(P59/E59,0)</f>
        <v/>
      </c>
      <c r="AB59" s="9">
        <f>IFERROR(Q59/F59,0)</f>
        <v/>
      </c>
      <c r="AC59" s="9">
        <f>IFERROR(R59/G59,0)</f>
        <v/>
      </c>
      <c r="AD59" s="9">
        <f>IFERROR(S59/H59,0)</f>
        <v/>
      </c>
      <c r="AE59" s="9">
        <f>IFERROR(T59/I59,0)</f>
        <v/>
      </c>
      <c r="AF59" s="9">
        <f>IFERROR(U59/J59,0)</f>
        <v/>
      </c>
      <c r="AG59" s="9">
        <f>IFERROR(V59/K59,0)</f>
        <v/>
      </c>
      <c r="AH59" s="9">
        <f>IFERROR(W59/L59,0)</f>
        <v/>
      </c>
      <c r="AI59" s="9">
        <f>IFERROR(X59/M59,0)</f>
        <v/>
      </c>
      <c r="AK59" s="14">
        <f>IF(D$15="Yes",D59*$BL59,D59)</f>
        <v/>
      </c>
      <c r="AL59" s="14">
        <f>IF(E$15="Yes",E59*$BL59,E59)</f>
        <v/>
      </c>
      <c r="AM59" s="14">
        <f>IF(F$15="Yes",F59*$BL59,F59)</f>
        <v/>
      </c>
      <c r="AN59" s="14">
        <f>IF(G$15="Yes",G59*$BL59,G59)</f>
        <v/>
      </c>
      <c r="AO59" s="14">
        <f>IF(H$15="Yes",H59*$BL59,H59)</f>
        <v/>
      </c>
      <c r="AP59" s="14">
        <f>IF(I$15="Yes",I59*$BL59,I59)</f>
        <v/>
      </c>
      <c r="AQ59" s="14">
        <f>IF(J$15="Yes",J59*$BL59,J59)</f>
        <v/>
      </c>
      <c r="AR59" s="14">
        <f>IF(K$15="Yes",K59*$BL59,K59)</f>
        <v/>
      </c>
      <c r="AS59" s="14">
        <f>IF(L$15="Yes",L59*$BL59,L59)</f>
        <v/>
      </c>
      <c r="AT59" s="14">
        <f>IF(M$15="Yes",M59*$BL59,M59)</f>
        <v/>
      </c>
      <c r="AV59" s="9">
        <f>IFERROR(O59/AK59,0)</f>
        <v/>
      </c>
      <c r="AW59" s="9">
        <f>IFERROR(P59/AL59,0)</f>
        <v/>
      </c>
      <c r="AX59" s="9">
        <f>IFERROR(Q59/AM59,0)</f>
        <v/>
      </c>
      <c r="AY59" s="9">
        <f>IFERROR(R59/AN59,0)</f>
        <v/>
      </c>
      <c r="AZ59" s="9">
        <f>IFERROR(S59/AO59,0)</f>
        <v/>
      </c>
      <c r="BA59" s="9">
        <f>IFERROR(T59/AP59,0)</f>
        <v/>
      </c>
      <c r="BB59" s="9">
        <f>IFERROR(U59/AQ59,0)</f>
        <v/>
      </c>
      <c r="BC59" s="9">
        <f>IFERROR(V59/AR59,0)</f>
        <v/>
      </c>
      <c r="BD59" s="9">
        <f>IFERROR(W59/AS59,0)</f>
        <v/>
      </c>
      <c r="BE59" s="9">
        <f>IFERROR(X59/AT59,0)</f>
        <v/>
      </c>
      <c r="BG59" s="9">
        <f>SUMPRODUCT(($D$15:$M$15="Yes")*O59:X59)</f>
        <v/>
      </c>
      <c r="BH59" s="9">
        <f>SUMPRODUCT(($D$15:$M$15="Yes")*Z59:AI59)</f>
        <v/>
      </c>
      <c r="BI59" s="9">
        <f>SUMPRODUCT(($D$15:$M$15="Yes")*AV59:BE59)</f>
        <v/>
      </c>
      <c r="BJ59" s="10">
        <f>IFERROR(BG59/BH59,0)</f>
        <v/>
      </c>
      <c r="BK59" s="10">
        <f>IFERROR(BG59/BI59,0)</f>
        <v/>
      </c>
      <c r="BL59" s="16">
        <f>IF(B59="Actual",1,INDEX($G$9:$G$11,MATCH(C59,$A$9:$A$11,0)))</f>
        <v/>
      </c>
      <c r="BN59" s="8" t="n">
        <v>46113</v>
      </c>
      <c r="BO59">
        <f>Inputs!$A$45</f>
        <v/>
      </c>
      <c r="BP59" s="10">
        <f>AT35</f>
        <v/>
      </c>
    </row>
    <row r="60">
      <c r="A60" s="8" t="n">
        <v>46874</v>
      </c>
      <c r="B60">
        <f>IF(A60&lt;=LastActual,"Actual","Forecast")</f>
        <v/>
      </c>
      <c r="C60">
        <f>YEAR(A60)</f>
        <v/>
      </c>
      <c r="D60" s="10">
        <f>IFERROR('NSW-1'!X55*1,0)</f>
        <v/>
      </c>
      <c r="E60" s="10">
        <f>IFERROR('VIC-1'!X55*1,0)</f>
        <v/>
      </c>
      <c r="F60" s="10">
        <f>IFERROR('QLD-1'!X55*1,0)</f>
        <v/>
      </c>
      <c r="G60" s="10">
        <f>IFERROR('NSW-2'!X55*1,0)</f>
        <v/>
      </c>
      <c r="H60" s="10">
        <f>IFERROR('VIC-2'!X55*1,0)</f>
        <v/>
      </c>
      <c r="I60" s="10">
        <f>IFERROR('QLD-2'!X55*1,0)</f>
        <v/>
      </c>
      <c r="J60" s="10">
        <f>IFERROR('SA-1'!X55*1,0)</f>
        <v/>
      </c>
      <c r="K60" s="10">
        <f>IFERROR('WA-1'!X55*1,0)</f>
        <v/>
      </c>
      <c r="L60" s="10">
        <f>IFERROR('IDC-NSW'!X55*1,0)</f>
        <v/>
      </c>
      <c r="M60" s="10">
        <f>IFERROR('IDC-VIC'!X55*1,0)</f>
        <v/>
      </c>
      <c r="O60" s="9">
        <f>Cases_Forecast!AJ48</f>
        <v/>
      </c>
      <c r="P60" s="9">
        <f>Cases_Forecast!AK48</f>
        <v/>
      </c>
      <c r="Q60" s="9">
        <f>Cases_Forecast!AL48</f>
        <v/>
      </c>
      <c r="R60" s="9">
        <f>Cases_Forecast!AM48</f>
        <v/>
      </c>
      <c r="S60" s="9">
        <f>Cases_Forecast!AN48</f>
        <v/>
      </c>
      <c r="T60" s="9">
        <f>Cases_Forecast!AO48</f>
        <v/>
      </c>
      <c r="U60" s="9">
        <f>Cases_Forecast!AP48</f>
        <v/>
      </c>
      <c r="V60" s="9">
        <f>Cases_Forecast!AQ48</f>
        <v/>
      </c>
      <c r="W60" s="9">
        <f>Cases_Forecast!AR48</f>
        <v/>
      </c>
      <c r="X60" s="9">
        <f>Cases_Forecast!AS48</f>
        <v/>
      </c>
      <c r="Z60" s="9">
        <f>IFERROR(O60/D60,0)</f>
        <v/>
      </c>
      <c r="AA60" s="9">
        <f>IFERROR(P60/E60,0)</f>
        <v/>
      </c>
      <c r="AB60" s="9">
        <f>IFERROR(Q60/F60,0)</f>
        <v/>
      </c>
      <c r="AC60" s="9">
        <f>IFERROR(R60/G60,0)</f>
        <v/>
      </c>
      <c r="AD60" s="9">
        <f>IFERROR(S60/H60,0)</f>
        <v/>
      </c>
      <c r="AE60" s="9">
        <f>IFERROR(T60/I60,0)</f>
        <v/>
      </c>
      <c r="AF60" s="9">
        <f>IFERROR(U60/J60,0)</f>
        <v/>
      </c>
      <c r="AG60" s="9">
        <f>IFERROR(V60/K60,0)</f>
        <v/>
      </c>
      <c r="AH60" s="9">
        <f>IFERROR(W60/L60,0)</f>
        <v/>
      </c>
      <c r="AI60" s="9">
        <f>IFERROR(X60/M60,0)</f>
        <v/>
      </c>
      <c r="AK60" s="14">
        <f>IF(D$15="Yes",D60*$BL60,D60)</f>
        <v/>
      </c>
      <c r="AL60" s="14">
        <f>IF(E$15="Yes",E60*$BL60,E60)</f>
        <v/>
      </c>
      <c r="AM60" s="14">
        <f>IF(F$15="Yes",F60*$BL60,F60)</f>
        <v/>
      </c>
      <c r="AN60" s="14">
        <f>IF(G$15="Yes",G60*$BL60,G60)</f>
        <v/>
      </c>
      <c r="AO60" s="14">
        <f>IF(H$15="Yes",H60*$BL60,H60)</f>
        <v/>
      </c>
      <c r="AP60" s="14">
        <f>IF(I$15="Yes",I60*$BL60,I60)</f>
        <v/>
      </c>
      <c r="AQ60" s="14">
        <f>IF(J$15="Yes",J60*$BL60,J60)</f>
        <v/>
      </c>
      <c r="AR60" s="14">
        <f>IF(K$15="Yes",K60*$BL60,K60)</f>
        <v/>
      </c>
      <c r="AS60" s="14">
        <f>IF(L$15="Yes",L60*$BL60,L60)</f>
        <v/>
      </c>
      <c r="AT60" s="14">
        <f>IF(M$15="Yes",M60*$BL60,M60)</f>
        <v/>
      </c>
      <c r="AV60" s="9">
        <f>IFERROR(O60/AK60,0)</f>
        <v/>
      </c>
      <c r="AW60" s="9">
        <f>IFERROR(P60/AL60,0)</f>
        <v/>
      </c>
      <c r="AX60" s="9">
        <f>IFERROR(Q60/AM60,0)</f>
        <v/>
      </c>
      <c r="AY60" s="9">
        <f>IFERROR(R60/AN60,0)</f>
        <v/>
      </c>
      <c r="AZ60" s="9">
        <f>IFERROR(S60/AO60,0)</f>
        <v/>
      </c>
      <c r="BA60" s="9">
        <f>IFERROR(T60/AP60,0)</f>
        <v/>
      </c>
      <c r="BB60" s="9">
        <f>IFERROR(U60/AQ60,0)</f>
        <v/>
      </c>
      <c r="BC60" s="9">
        <f>IFERROR(V60/AR60,0)</f>
        <v/>
      </c>
      <c r="BD60" s="9">
        <f>IFERROR(W60/AS60,0)</f>
        <v/>
      </c>
      <c r="BE60" s="9">
        <f>IFERROR(X60/AT60,0)</f>
        <v/>
      </c>
      <c r="BG60" s="9">
        <f>SUMPRODUCT(($D$15:$M$15="Yes")*O60:X60)</f>
        <v/>
      </c>
      <c r="BH60" s="9">
        <f>SUMPRODUCT(($D$15:$M$15="Yes")*Z60:AI60)</f>
        <v/>
      </c>
      <c r="BI60" s="9">
        <f>SUMPRODUCT(($D$15:$M$15="Yes")*AV60:BE60)</f>
        <v/>
      </c>
      <c r="BJ60" s="10">
        <f>IFERROR(BG60/BH60,0)</f>
        <v/>
      </c>
      <c r="BK60" s="10">
        <f>IFERROR(BG60/BI60,0)</f>
        <v/>
      </c>
      <c r="BL60" s="16">
        <f>IF(B60="Actual",1,INDEX($G$9:$G$11,MATCH(C60,$A$9:$A$11,0)))</f>
        <v/>
      </c>
      <c r="BN60" s="8" t="n">
        <v>46143</v>
      </c>
      <c r="BO60">
        <f>Inputs!$A$36</f>
        <v/>
      </c>
      <c r="BP60" s="10">
        <f>AK36</f>
        <v/>
      </c>
    </row>
    <row r="61">
      <c r="A61" s="8" t="n">
        <v>46905</v>
      </c>
      <c r="B61">
        <f>IF(A61&lt;=LastActual,"Actual","Forecast")</f>
        <v/>
      </c>
      <c r="C61">
        <f>YEAR(A61)</f>
        <v/>
      </c>
      <c r="D61" s="10">
        <f>IFERROR('NSW-1'!X56*1,0)</f>
        <v/>
      </c>
      <c r="E61" s="10">
        <f>IFERROR('VIC-1'!X56*1,0)</f>
        <v/>
      </c>
      <c r="F61" s="10">
        <f>IFERROR('QLD-1'!X56*1,0)</f>
        <v/>
      </c>
      <c r="G61" s="10">
        <f>IFERROR('NSW-2'!X56*1,0)</f>
        <v/>
      </c>
      <c r="H61" s="10">
        <f>IFERROR('VIC-2'!X56*1,0)</f>
        <v/>
      </c>
      <c r="I61" s="10">
        <f>IFERROR('QLD-2'!X56*1,0)</f>
        <v/>
      </c>
      <c r="J61" s="10">
        <f>IFERROR('SA-1'!X56*1,0)</f>
        <v/>
      </c>
      <c r="K61" s="10">
        <f>IFERROR('WA-1'!X56*1,0)</f>
        <v/>
      </c>
      <c r="L61" s="10">
        <f>IFERROR('IDC-NSW'!X56*1,0)</f>
        <v/>
      </c>
      <c r="M61" s="10">
        <f>IFERROR('IDC-VIC'!X56*1,0)</f>
        <v/>
      </c>
      <c r="O61" s="9">
        <f>Cases_Forecast!AJ49</f>
        <v/>
      </c>
      <c r="P61" s="9">
        <f>Cases_Forecast!AK49</f>
        <v/>
      </c>
      <c r="Q61" s="9">
        <f>Cases_Forecast!AL49</f>
        <v/>
      </c>
      <c r="R61" s="9">
        <f>Cases_Forecast!AM49</f>
        <v/>
      </c>
      <c r="S61" s="9">
        <f>Cases_Forecast!AN49</f>
        <v/>
      </c>
      <c r="T61" s="9">
        <f>Cases_Forecast!AO49</f>
        <v/>
      </c>
      <c r="U61" s="9">
        <f>Cases_Forecast!AP49</f>
        <v/>
      </c>
      <c r="V61" s="9">
        <f>Cases_Forecast!AQ49</f>
        <v/>
      </c>
      <c r="W61" s="9">
        <f>Cases_Forecast!AR49</f>
        <v/>
      </c>
      <c r="X61" s="9">
        <f>Cases_Forecast!AS49</f>
        <v/>
      </c>
      <c r="Z61" s="9">
        <f>IFERROR(O61/D61,0)</f>
        <v/>
      </c>
      <c r="AA61" s="9">
        <f>IFERROR(P61/E61,0)</f>
        <v/>
      </c>
      <c r="AB61" s="9">
        <f>IFERROR(Q61/F61,0)</f>
        <v/>
      </c>
      <c r="AC61" s="9">
        <f>IFERROR(R61/G61,0)</f>
        <v/>
      </c>
      <c r="AD61" s="9">
        <f>IFERROR(S61/H61,0)</f>
        <v/>
      </c>
      <c r="AE61" s="9">
        <f>IFERROR(T61/I61,0)</f>
        <v/>
      </c>
      <c r="AF61" s="9">
        <f>IFERROR(U61/J61,0)</f>
        <v/>
      </c>
      <c r="AG61" s="9">
        <f>IFERROR(V61/K61,0)</f>
        <v/>
      </c>
      <c r="AH61" s="9">
        <f>IFERROR(W61/L61,0)</f>
        <v/>
      </c>
      <c r="AI61" s="9">
        <f>IFERROR(X61/M61,0)</f>
        <v/>
      </c>
      <c r="AK61" s="14">
        <f>IF(D$15="Yes",D61*$BL61,D61)</f>
        <v/>
      </c>
      <c r="AL61" s="14">
        <f>IF(E$15="Yes",E61*$BL61,E61)</f>
        <v/>
      </c>
      <c r="AM61" s="14">
        <f>IF(F$15="Yes",F61*$BL61,F61)</f>
        <v/>
      </c>
      <c r="AN61" s="14">
        <f>IF(G$15="Yes",G61*$BL61,G61)</f>
        <v/>
      </c>
      <c r="AO61" s="14">
        <f>IF(H$15="Yes",H61*$BL61,H61)</f>
        <v/>
      </c>
      <c r="AP61" s="14">
        <f>IF(I$15="Yes",I61*$BL61,I61)</f>
        <v/>
      </c>
      <c r="AQ61" s="14">
        <f>IF(J$15="Yes",J61*$BL61,J61)</f>
        <v/>
      </c>
      <c r="AR61" s="14">
        <f>IF(K$15="Yes",K61*$BL61,K61)</f>
        <v/>
      </c>
      <c r="AS61" s="14">
        <f>IF(L$15="Yes",L61*$BL61,L61)</f>
        <v/>
      </c>
      <c r="AT61" s="14">
        <f>IF(M$15="Yes",M61*$BL61,M61)</f>
        <v/>
      </c>
      <c r="AV61" s="9">
        <f>IFERROR(O61/AK61,0)</f>
        <v/>
      </c>
      <c r="AW61" s="9">
        <f>IFERROR(P61/AL61,0)</f>
        <v/>
      </c>
      <c r="AX61" s="9">
        <f>IFERROR(Q61/AM61,0)</f>
        <v/>
      </c>
      <c r="AY61" s="9">
        <f>IFERROR(R61/AN61,0)</f>
        <v/>
      </c>
      <c r="AZ61" s="9">
        <f>IFERROR(S61/AO61,0)</f>
        <v/>
      </c>
      <c r="BA61" s="9">
        <f>IFERROR(T61/AP61,0)</f>
        <v/>
      </c>
      <c r="BB61" s="9">
        <f>IFERROR(U61/AQ61,0)</f>
        <v/>
      </c>
      <c r="BC61" s="9">
        <f>IFERROR(V61/AR61,0)</f>
        <v/>
      </c>
      <c r="BD61" s="9">
        <f>IFERROR(W61/AS61,0)</f>
        <v/>
      </c>
      <c r="BE61" s="9">
        <f>IFERROR(X61/AT61,0)</f>
        <v/>
      </c>
      <c r="BG61" s="9">
        <f>SUMPRODUCT(($D$15:$M$15="Yes")*O61:X61)</f>
        <v/>
      </c>
      <c r="BH61" s="9">
        <f>SUMPRODUCT(($D$15:$M$15="Yes")*Z61:AI61)</f>
        <v/>
      </c>
      <c r="BI61" s="9">
        <f>SUMPRODUCT(($D$15:$M$15="Yes")*AV61:BE61)</f>
        <v/>
      </c>
      <c r="BJ61" s="10">
        <f>IFERROR(BG61/BH61,0)</f>
        <v/>
      </c>
      <c r="BK61" s="10">
        <f>IFERROR(BG61/BI61,0)</f>
        <v/>
      </c>
      <c r="BL61" s="16">
        <f>IF(B61="Actual",1,INDEX($G$9:$G$11,MATCH(C61,$A$9:$A$11,0)))</f>
        <v/>
      </c>
      <c r="BN61" s="8" t="n">
        <v>46143</v>
      </c>
      <c r="BO61">
        <f>Inputs!$A$37</f>
        <v/>
      </c>
      <c r="BP61" s="10">
        <f>AL36</f>
        <v/>
      </c>
    </row>
    <row r="62">
      <c r="A62" s="8" t="n">
        <v>46935</v>
      </c>
      <c r="B62">
        <f>IF(A62&lt;=LastActual,"Actual","Forecast")</f>
        <v/>
      </c>
      <c r="C62">
        <f>YEAR(A62)</f>
        <v/>
      </c>
      <c r="D62" s="10">
        <f>IFERROR('NSW-1'!X57*1,0)</f>
        <v/>
      </c>
      <c r="E62" s="10">
        <f>IFERROR('VIC-1'!X57*1,0)</f>
        <v/>
      </c>
      <c r="F62" s="10">
        <f>IFERROR('QLD-1'!X57*1,0)</f>
        <v/>
      </c>
      <c r="G62" s="10">
        <f>IFERROR('NSW-2'!X57*1,0)</f>
        <v/>
      </c>
      <c r="H62" s="10">
        <f>IFERROR('VIC-2'!X57*1,0)</f>
        <v/>
      </c>
      <c r="I62" s="10">
        <f>IFERROR('QLD-2'!X57*1,0)</f>
        <v/>
      </c>
      <c r="J62" s="10">
        <f>IFERROR('SA-1'!X57*1,0)</f>
        <v/>
      </c>
      <c r="K62" s="10">
        <f>IFERROR('WA-1'!X57*1,0)</f>
        <v/>
      </c>
      <c r="L62" s="10">
        <f>IFERROR('IDC-NSW'!X57*1,0)</f>
        <v/>
      </c>
      <c r="M62" s="10">
        <f>IFERROR('IDC-VIC'!X57*1,0)</f>
        <v/>
      </c>
      <c r="O62" s="9">
        <f>Cases_Forecast!AJ50</f>
        <v/>
      </c>
      <c r="P62" s="9">
        <f>Cases_Forecast!AK50</f>
        <v/>
      </c>
      <c r="Q62" s="9">
        <f>Cases_Forecast!AL50</f>
        <v/>
      </c>
      <c r="R62" s="9">
        <f>Cases_Forecast!AM50</f>
        <v/>
      </c>
      <c r="S62" s="9">
        <f>Cases_Forecast!AN50</f>
        <v/>
      </c>
      <c r="T62" s="9">
        <f>Cases_Forecast!AO50</f>
        <v/>
      </c>
      <c r="U62" s="9">
        <f>Cases_Forecast!AP50</f>
        <v/>
      </c>
      <c r="V62" s="9">
        <f>Cases_Forecast!AQ50</f>
        <v/>
      </c>
      <c r="W62" s="9">
        <f>Cases_Forecast!AR50</f>
        <v/>
      </c>
      <c r="X62" s="9">
        <f>Cases_Forecast!AS50</f>
        <v/>
      </c>
      <c r="Z62" s="9">
        <f>IFERROR(O62/D62,0)</f>
        <v/>
      </c>
      <c r="AA62" s="9">
        <f>IFERROR(P62/E62,0)</f>
        <v/>
      </c>
      <c r="AB62" s="9">
        <f>IFERROR(Q62/F62,0)</f>
        <v/>
      </c>
      <c r="AC62" s="9">
        <f>IFERROR(R62/G62,0)</f>
        <v/>
      </c>
      <c r="AD62" s="9">
        <f>IFERROR(S62/H62,0)</f>
        <v/>
      </c>
      <c r="AE62" s="9">
        <f>IFERROR(T62/I62,0)</f>
        <v/>
      </c>
      <c r="AF62" s="9">
        <f>IFERROR(U62/J62,0)</f>
        <v/>
      </c>
      <c r="AG62" s="9">
        <f>IFERROR(V62/K62,0)</f>
        <v/>
      </c>
      <c r="AH62" s="9">
        <f>IFERROR(W62/L62,0)</f>
        <v/>
      </c>
      <c r="AI62" s="9">
        <f>IFERROR(X62/M62,0)</f>
        <v/>
      </c>
      <c r="AK62" s="14">
        <f>IF(D$15="Yes",D62*$BL62,D62)</f>
        <v/>
      </c>
      <c r="AL62" s="14">
        <f>IF(E$15="Yes",E62*$BL62,E62)</f>
        <v/>
      </c>
      <c r="AM62" s="14">
        <f>IF(F$15="Yes",F62*$BL62,F62)</f>
        <v/>
      </c>
      <c r="AN62" s="14">
        <f>IF(G$15="Yes",G62*$BL62,G62)</f>
        <v/>
      </c>
      <c r="AO62" s="14">
        <f>IF(H$15="Yes",H62*$BL62,H62)</f>
        <v/>
      </c>
      <c r="AP62" s="14">
        <f>IF(I$15="Yes",I62*$BL62,I62)</f>
        <v/>
      </c>
      <c r="AQ62" s="14">
        <f>IF(J$15="Yes",J62*$BL62,J62)</f>
        <v/>
      </c>
      <c r="AR62" s="14">
        <f>IF(K$15="Yes",K62*$BL62,K62)</f>
        <v/>
      </c>
      <c r="AS62" s="14">
        <f>IF(L$15="Yes",L62*$BL62,L62)</f>
        <v/>
      </c>
      <c r="AT62" s="14">
        <f>IF(M$15="Yes",M62*$BL62,M62)</f>
        <v/>
      </c>
      <c r="AV62" s="9">
        <f>IFERROR(O62/AK62,0)</f>
        <v/>
      </c>
      <c r="AW62" s="9">
        <f>IFERROR(P62/AL62,0)</f>
        <v/>
      </c>
      <c r="AX62" s="9">
        <f>IFERROR(Q62/AM62,0)</f>
        <v/>
      </c>
      <c r="AY62" s="9">
        <f>IFERROR(R62/AN62,0)</f>
        <v/>
      </c>
      <c r="AZ62" s="9">
        <f>IFERROR(S62/AO62,0)</f>
        <v/>
      </c>
      <c r="BA62" s="9">
        <f>IFERROR(T62/AP62,0)</f>
        <v/>
      </c>
      <c r="BB62" s="9">
        <f>IFERROR(U62/AQ62,0)</f>
        <v/>
      </c>
      <c r="BC62" s="9">
        <f>IFERROR(V62/AR62,0)</f>
        <v/>
      </c>
      <c r="BD62" s="9">
        <f>IFERROR(W62/AS62,0)</f>
        <v/>
      </c>
      <c r="BE62" s="9">
        <f>IFERROR(X62/AT62,0)</f>
        <v/>
      </c>
      <c r="BG62" s="9">
        <f>SUMPRODUCT(($D$15:$M$15="Yes")*O62:X62)</f>
        <v/>
      </c>
      <c r="BH62" s="9">
        <f>SUMPRODUCT(($D$15:$M$15="Yes")*Z62:AI62)</f>
        <v/>
      </c>
      <c r="BI62" s="9">
        <f>SUMPRODUCT(($D$15:$M$15="Yes")*AV62:BE62)</f>
        <v/>
      </c>
      <c r="BJ62" s="10">
        <f>IFERROR(BG62/BH62,0)</f>
        <v/>
      </c>
      <c r="BK62" s="10">
        <f>IFERROR(BG62/BI62,0)</f>
        <v/>
      </c>
      <c r="BL62" s="16">
        <f>IF(B62="Actual",1,INDEX($G$9:$G$11,MATCH(C62,$A$9:$A$11,0)))</f>
        <v/>
      </c>
      <c r="BN62" s="8" t="n">
        <v>46143</v>
      </c>
      <c r="BO62">
        <f>Inputs!$A$38</f>
        <v/>
      </c>
      <c r="BP62" s="10">
        <f>AM36</f>
        <v/>
      </c>
    </row>
    <row r="63">
      <c r="A63" s="8" t="n">
        <v>46966</v>
      </c>
      <c r="B63">
        <f>IF(A63&lt;=LastActual,"Actual","Forecast")</f>
        <v/>
      </c>
      <c r="C63">
        <f>YEAR(A63)</f>
        <v/>
      </c>
      <c r="D63" s="10">
        <f>IFERROR('NSW-1'!X58*1,0)</f>
        <v/>
      </c>
      <c r="E63" s="10">
        <f>IFERROR('VIC-1'!X58*1,0)</f>
        <v/>
      </c>
      <c r="F63" s="10">
        <f>IFERROR('QLD-1'!X58*1,0)</f>
        <v/>
      </c>
      <c r="G63" s="10">
        <f>IFERROR('NSW-2'!X58*1,0)</f>
        <v/>
      </c>
      <c r="H63" s="10">
        <f>IFERROR('VIC-2'!X58*1,0)</f>
        <v/>
      </c>
      <c r="I63" s="10">
        <f>IFERROR('QLD-2'!X58*1,0)</f>
        <v/>
      </c>
      <c r="J63" s="10">
        <f>IFERROR('SA-1'!X58*1,0)</f>
        <v/>
      </c>
      <c r="K63" s="10">
        <f>IFERROR('WA-1'!X58*1,0)</f>
        <v/>
      </c>
      <c r="L63" s="10">
        <f>IFERROR('IDC-NSW'!X58*1,0)</f>
        <v/>
      </c>
      <c r="M63" s="10">
        <f>IFERROR('IDC-VIC'!X58*1,0)</f>
        <v/>
      </c>
      <c r="O63" s="9">
        <f>Cases_Forecast!AJ51</f>
        <v/>
      </c>
      <c r="P63" s="9">
        <f>Cases_Forecast!AK51</f>
        <v/>
      </c>
      <c r="Q63" s="9">
        <f>Cases_Forecast!AL51</f>
        <v/>
      </c>
      <c r="R63" s="9">
        <f>Cases_Forecast!AM51</f>
        <v/>
      </c>
      <c r="S63" s="9">
        <f>Cases_Forecast!AN51</f>
        <v/>
      </c>
      <c r="T63" s="9">
        <f>Cases_Forecast!AO51</f>
        <v/>
      </c>
      <c r="U63" s="9">
        <f>Cases_Forecast!AP51</f>
        <v/>
      </c>
      <c r="V63" s="9">
        <f>Cases_Forecast!AQ51</f>
        <v/>
      </c>
      <c r="W63" s="9">
        <f>Cases_Forecast!AR51</f>
        <v/>
      </c>
      <c r="X63" s="9">
        <f>Cases_Forecast!AS51</f>
        <v/>
      </c>
      <c r="Z63" s="9">
        <f>IFERROR(O63/D63,0)</f>
        <v/>
      </c>
      <c r="AA63" s="9">
        <f>IFERROR(P63/E63,0)</f>
        <v/>
      </c>
      <c r="AB63" s="9">
        <f>IFERROR(Q63/F63,0)</f>
        <v/>
      </c>
      <c r="AC63" s="9">
        <f>IFERROR(R63/G63,0)</f>
        <v/>
      </c>
      <c r="AD63" s="9">
        <f>IFERROR(S63/H63,0)</f>
        <v/>
      </c>
      <c r="AE63" s="9">
        <f>IFERROR(T63/I63,0)</f>
        <v/>
      </c>
      <c r="AF63" s="9">
        <f>IFERROR(U63/J63,0)</f>
        <v/>
      </c>
      <c r="AG63" s="9">
        <f>IFERROR(V63/K63,0)</f>
        <v/>
      </c>
      <c r="AH63" s="9">
        <f>IFERROR(W63/L63,0)</f>
        <v/>
      </c>
      <c r="AI63" s="9">
        <f>IFERROR(X63/M63,0)</f>
        <v/>
      </c>
      <c r="AK63" s="14">
        <f>IF(D$15="Yes",D63*$BL63,D63)</f>
        <v/>
      </c>
      <c r="AL63" s="14">
        <f>IF(E$15="Yes",E63*$BL63,E63)</f>
        <v/>
      </c>
      <c r="AM63" s="14">
        <f>IF(F$15="Yes",F63*$BL63,F63)</f>
        <v/>
      </c>
      <c r="AN63" s="14">
        <f>IF(G$15="Yes",G63*$BL63,G63)</f>
        <v/>
      </c>
      <c r="AO63" s="14">
        <f>IF(H$15="Yes",H63*$BL63,H63)</f>
        <v/>
      </c>
      <c r="AP63" s="14">
        <f>IF(I$15="Yes",I63*$BL63,I63)</f>
        <v/>
      </c>
      <c r="AQ63" s="14">
        <f>IF(J$15="Yes",J63*$BL63,J63)</f>
        <v/>
      </c>
      <c r="AR63" s="14">
        <f>IF(K$15="Yes",K63*$BL63,K63)</f>
        <v/>
      </c>
      <c r="AS63" s="14">
        <f>IF(L$15="Yes",L63*$BL63,L63)</f>
        <v/>
      </c>
      <c r="AT63" s="14">
        <f>IF(M$15="Yes",M63*$BL63,M63)</f>
        <v/>
      </c>
      <c r="AV63" s="9">
        <f>IFERROR(O63/AK63,0)</f>
        <v/>
      </c>
      <c r="AW63" s="9">
        <f>IFERROR(P63/AL63,0)</f>
        <v/>
      </c>
      <c r="AX63" s="9">
        <f>IFERROR(Q63/AM63,0)</f>
        <v/>
      </c>
      <c r="AY63" s="9">
        <f>IFERROR(R63/AN63,0)</f>
        <v/>
      </c>
      <c r="AZ63" s="9">
        <f>IFERROR(S63/AO63,0)</f>
        <v/>
      </c>
      <c r="BA63" s="9">
        <f>IFERROR(T63/AP63,0)</f>
        <v/>
      </c>
      <c r="BB63" s="9">
        <f>IFERROR(U63/AQ63,0)</f>
        <v/>
      </c>
      <c r="BC63" s="9">
        <f>IFERROR(V63/AR63,0)</f>
        <v/>
      </c>
      <c r="BD63" s="9">
        <f>IFERROR(W63/AS63,0)</f>
        <v/>
      </c>
      <c r="BE63" s="9">
        <f>IFERROR(X63/AT63,0)</f>
        <v/>
      </c>
      <c r="BG63" s="9">
        <f>SUMPRODUCT(($D$15:$M$15="Yes")*O63:X63)</f>
        <v/>
      </c>
      <c r="BH63" s="9">
        <f>SUMPRODUCT(($D$15:$M$15="Yes")*Z63:AI63)</f>
        <v/>
      </c>
      <c r="BI63" s="9">
        <f>SUMPRODUCT(($D$15:$M$15="Yes")*AV63:BE63)</f>
        <v/>
      </c>
      <c r="BJ63" s="10">
        <f>IFERROR(BG63/BH63,0)</f>
        <v/>
      </c>
      <c r="BK63" s="10">
        <f>IFERROR(BG63/BI63,0)</f>
        <v/>
      </c>
      <c r="BL63" s="16">
        <f>IF(B63="Actual",1,INDEX($G$9:$G$11,MATCH(C63,$A$9:$A$11,0)))</f>
        <v/>
      </c>
      <c r="BN63" s="8" t="n">
        <v>46143</v>
      </c>
      <c r="BO63">
        <f>Inputs!$A$39</f>
        <v/>
      </c>
      <c r="BP63" s="10">
        <f>AN36</f>
        <v/>
      </c>
    </row>
    <row r="64">
      <c r="A64" s="8" t="n">
        <v>46997</v>
      </c>
      <c r="B64">
        <f>IF(A64&lt;=LastActual,"Actual","Forecast")</f>
        <v/>
      </c>
      <c r="C64">
        <f>YEAR(A64)</f>
        <v/>
      </c>
      <c r="D64" s="10">
        <f>IFERROR('NSW-1'!X59*1,0)</f>
        <v/>
      </c>
      <c r="E64" s="10">
        <f>IFERROR('VIC-1'!X59*1,0)</f>
        <v/>
      </c>
      <c r="F64" s="10">
        <f>IFERROR('QLD-1'!X59*1,0)</f>
        <v/>
      </c>
      <c r="G64" s="10">
        <f>IFERROR('NSW-2'!X59*1,0)</f>
        <v/>
      </c>
      <c r="H64" s="10">
        <f>IFERROR('VIC-2'!X59*1,0)</f>
        <v/>
      </c>
      <c r="I64" s="10">
        <f>IFERROR('QLD-2'!X59*1,0)</f>
        <v/>
      </c>
      <c r="J64" s="10">
        <f>IFERROR('SA-1'!X59*1,0)</f>
        <v/>
      </c>
      <c r="K64" s="10">
        <f>IFERROR('WA-1'!X59*1,0)</f>
        <v/>
      </c>
      <c r="L64" s="10">
        <f>IFERROR('IDC-NSW'!X59*1,0)</f>
        <v/>
      </c>
      <c r="M64" s="10">
        <f>IFERROR('IDC-VIC'!X59*1,0)</f>
        <v/>
      </c>
      <c r="O64" s="9">
        <f>Cases_Forecast!AJ52</f>
        <v/>
      </c>
      <c r="P64" s="9">
        <f>Cases_Forecast!AK52</f>
        <v/>
      </c>
      <c r="Q64" s="9">
        <f>Cases_Forecast!AL52</f>
        <v/>
      </c>
      <c r="R64" s="9">
        <f>Cases_Forecast!AM52</f>
        <v/>
      </c>
      <c r="S64" s="9">
        <f>Cases_Forecast!AN52</f>
        <v/>
      </c>
      <c r="T64" s="9">
        <f>Cases_Forecast!AO52</f>
        <v/>
      </c>
      <c r="U64" s="9">
        <f>Cases_Forecast!AP52</f>
        <v/>
      </c>
      <c r="V64" s="9">
        <f>Cases_Forecast!AQ52</f>
        <v/>
      </c>
      <c r="W64" s="9">
        <f>Cases_Forecast!AR52</f>
        <v/>
      </c>
      <c r="X64" s="9">
        <f>Cases_Forecast!AS52</f>
        <v/>
      </c>
      <c r="Z64" s="9">
        <f>IFERROR(O64/D64,0)</f>
        <v/>
      </c>
      <c r="AA64" s="9">
        <f>IFERROR(P64/E64,0)</f>
        <v/>
      </c>
      <c r="AB64" s="9">
        <f>IFERROR(Q64/F64,0)</f>
        <v/>
      </c>
      <c r="AC64" s="9">
        <f>IFERROR(R64/G64,0)</f>
        <v/>
      </c>
      <c r="AD64" s="9">
        <f>IFERROR(S64/H64,0)</f>
        <v/>
      </c>
      <c r="AE64" s="9">
        <f>IFERROR(T64/I64,0)</f>
        <v/>
      </c>
      <c r="AF64" s="9">
        <f>IFERROR(U64/J64,0)</f>
        <v/>
      </c>
      <c r="AG64" s="9">
        <f>IFERROR(V64/K64,0)</f>
        <v/>
      </c>
      <c r="AH64" s="9">
        <f>IFERROR(W64/L64,0)</f>
        <v/>
      </c>
      <c r="AI64" s="9">
        <f>IFERROR(X64/M64,0)</f>
        <v/>
      </c>
      <c r="AK64" s="14">
        <f>IF(D$15="Yes",D64*$BL64,D64)</f>
        <v/>
      </c>
      <c r="AL64" s="14">
        <f>IF(E$15="Yes",E64*$BL64,E64)</f>
        <v/>
      </c>
      <c r="AM64" s="14">
        <f>IF(F$15="Yes",F64*$BL64,F64)</f>
        <v/>
      </c>
      <c r="AN64" s="14">
        <f>IF(G$15="Yes",G64*$BL64,G64)</f>
        <v/>
      </c>
      <c r="AO64" s="14">
        <f>IF(H$15="Yes",H64*$BL64,H64)</f>
        <v/>
      </c>
      <c r="AP64" s="14">
        <f>IF(I$15="Yes",I64*$BL64,I64)</f>
        <v/>
      </c>
      <c r="AQ64" s="14">
        <f>IF(J$15="Yes",J64*$BL64,J64)</f>
        <v/>
      </c>
      <c r="AR64" s="14">
        <f>IF(K$15="Yes",K64*$BL64,K64)</f>
        <v/>
      </c>
      <c r="AS64" s="14">
        <f>IF(L$15="Yes",L64*$BL64,L64)</f>
        <v/>
      </c>
      <c r="AT64" s="14">
        <f>IF(M$15="Yes",M64*$BL64,M64)</f>
        <v/>
      </c>
      <c r="AV64" s="9">
        <f>IFERROR(O64/AK64,0)</f>
        <v/>
      </c>
      <c r="AW64" s="9">
        <f>IFERROR(P64/AL64,0)</f>
        <v/>
      </c>
      <c r="AX64" s="9">
        <f>IFERROR(Q64/AM64,0)</f>
        <v/>
      </c>
      <c r="AY64" s="9">
        <f>IFERROR(R64/AN64,0)</f>
        <v/>
      </c>
      <c r="AZ64" s="9">
        <f>IFERROR(S64/AO64,0)</f>
        <v/>
      </c>
      <c r="BA64" s="9">
        <f>IFERROR(T64/AP64,0)</f>
        <v/>
      </c>
      <c r="BB64" s="9">
        <f>IFERROR(U64/AQ64,0)</f>
        <v/>
      </c>
      <c r="BC64" s="9">
        <f>IFERROR(V64/AR64,0)</f>
        <v/>
      </c>
      <c r="BD64" s="9">
        <f>IFERROR(W64/AS64,0)</f>
        <v/>
      </c>
      <c r="BE64" s="9">
        <f>IFERROR(X64/AT64,0)</f>
        <v/>
      </c>
      <c r="BG64" s="9">
        <f>SUMPRODUCT(($D$15:$M$15="Yes")*O64:X64)</f>
        <v/>
      </c>
      <c r="BH64" s="9">
        <f>SUMPRODUCT(($D$15:$M$15="Yes")*Z64:AI64)</f>
        <v/>
      </c>
      <c r="BI64" s="9">
        <f>SUMPRODUCT(($D$15:$M$15="Yes")*AV64:BE64)</f>
        <v/>
      </c>
      <c r="BJ64" s="10">
        <f>IFERROR(BG64/BH64,0)</f>
        <v/>
      </c>
      <c r="BK64" s="10">
        <f>IFERROR(BG64/BI64,0)</f>
        <v/>
      </c>
      <c r="BL64" s="16">
        <f>IF(B64="Actual",1,INDEX($G$9:$G$11,MATCH(C64,$A$9:$A$11,0)))</f>
        <v/>
      </c>
      <c r="BN64" s="8" t="n">
        <v>46143</v>
      </c>
      <c r="BO64">
        <f>Inputs!$A$40</f>
        <v/>
      </c>
      <c r="BP64" s="10">
        <f>AO36</f>
        <v/>
      </c>
    </row>
    <row r="65">
      <c r="A65" s="8" t="n">
        <v>47027</v>
      </c>
      <c r="B65">
        <f>IF(A65&lt;=LastActual,"Actual","Forecast")</f>
        <v/>
      </c>
      <c r="C65">
        <f>YEAR(A65)</f>
        <v/>
      </c>
      <c r="D65" s="10">
        <f>IFERROR('NSW-1'!X60*1,0)</f>
        <v/>
      </c>
      <c r="E65" s="10">
        <f>IFERROR('VIC-1'!X60*1,0)</f>
        <v/>
      </c>
      <c r="F65" s="10">
        <f>IFERROR('QLD-1'!X60*1,0)</f>
        <v/>
      </c>
      <c r="G65" s="10">
        <f>IFERROR('NSW-2'!X60*1,0)</f>
        <v/>
      </c>
      <c r="H65" s="10">
        <f>IFERROR('VIC-2'!X60*1,0)</f>
        <v/>
      </c>
      <c r="I65" s="10">
        <f>IFERROR('QLD-2'!X60*1,0)</f>
        <v/>
      </c>
      <c r="J65" s="10">
        <f>IFERROR('SA-1'!X60*1,0)</f>
        <v/>
      </c>
      <c r="K65" s="10">
        <f>IFERROR('WA-1'!X60*1,0)</f>
        <v/>
      </c>
      <c r="L65" s="10">
        <f>IFERROR('IDC-NSW'!X60*1,0)</f>
        <v/>
      </c>
      <c r="M65" s="10">
        <f>IFERROR('IDC-VIC'!X60*1,0)</f>
        <v/>
      </c>
      <c r="O65" s="9">
        <f>Cases_Forecast!AJ53</f>
        <v/>
      </c>
      <c r="P65" s="9">
        <f>Cases_Forecast!AK53</f>
        <v/>
      </c>
      <c r="Q65" s="9">
        <f>Cases_Forecast!AL53</f>
        <v/>
      </c>
      <c r="R65" s="9">
        <f>Cases_Forecast!AM53</f>
        <v/>
      </c>
      <c r="S65" s="9">
        <f>Cases_Forecast!AN53</f>
        <v/>
      </c>
      <c r="T65" s="9">
        <f>Cases_Forecast!AO53</f>
        <v/>
      </c>
      <c r="U65" s="9">
        <f>Cases_Forecast!AP53</f>
        <v/>
      </c>
      <c r="V65" s="9">
        <f>Cases_Forecast!AQ53</f>
        <v/>
      </c>
      <c r="W65" s="9">
        <f>Cases_Forecast!AR53</f>
        <v/>
      </c>
      <c r="X65" s="9">
        <f>Cases_Forecast!AS53</f>
        <v/>
      </c>
      <c r="Z65" s="9">
        <f>IFERROR(O65/D65,0)</f>
        <v/>
      </c>
      <c r="AA65" s="9">
        <f>IFERROR(P65/E65,0)</f>
        <v/>
      </c>
      <c r="AB65" s="9">
        <f>IFERROR(Q65/F65,0)</f>
        <v/>
      </c>
      <c r="AC65" s="9">
        <f>IFERROR(R65/G65,0)</f>
        <v/>
      </c>
      <c r="AD65" s="9">
        <f>IFERROR(S65/H65,0)</f>
        <v/>
      </c>
      <c r="AE65" s="9">
        <f>IFERROR(T65/I65,0)</f>
        <v/>
      </c>
      <c r="AF65" s="9">
        <f>IFERROR(U65/J65,0)</f>
        <v/>
      </c>
      <c r="AG65" s="9">
        <f>IFERROR(V65/K65,0)</f>
        <v/>
      </c>
      <c r="AH65" s="9">
        <f>IFERROR(W65/L65,0)</f>
        <v/>
      </c>
      <c r="AI65" s="9">
        <f>IFERROR(X65/M65,0)</f>
        <v/>
      </c>
      <c r="AK65" s="14">
        <f>IF(D$15="Yes",D65*$BL65,D65)</f>
        <v/>
      </c>
      <c r="AL65" s="14">
        <f>IF(E$15="Yes",E65*$BL65,E65)</f>
        <v/>
      </c>
      <c r="AM65" s="14">
        <f>IF(F$15="Yes",F65*$BL65,F65)</f>
        <v/>
      </c>
      <c r="AN65" s="14">
        <f>IF(G$15="Yes",G65*$BL65,G65)</f>
        <v/>
      </c>
      <c r="AO65" s="14">
        <f>IF(H$15="Yes",H65*$BL65,H65)</f>
        <v/>
      </c>
      <c r="AP65" s="14">
        <f>IF(I$15="Yes",I65*$BL65,I65)</f>
        <v/>
      </c>
      <c r="AQ65" s="14">
        <f>IF(J$15="Yes",J65*$BL65,J65)</f>
        <v/>
      </c>
      <c r="AR65" s="14">
        <f>IF(K$15="Yes",K65*$BL65,K65)</f>
        <v/>
      </c>
      <c r="AS65" s="14">
        <f>IF(L$15="Yes",L65*$BL65,L65)</f>
        <v/>
      </c>
      <c r="AT65" s="14">
        <f>IF(M$15="Yes",M65*$BL65,M65)</f>
        <v/>
      </c>
      <c r="AV65" s="9">
        <f>IFERROR(O65/AK65,0)</f>
        <v/>
      </c>
      <c r="AW65" s="9">
        <f>IFERROR(P65/AL65,0)</f>
        <v/>
      </c>
      <c r="AX65" s="9">
        <f>IFERROR(Q65/AM65,0)</f>
        <v/>
      </c>
      <c r="AY65" s="9">
        <f>IFERROR(R65/AN65,0)</f>
        <v/>
      </c>
      <c r="AZ65" s="9">
        <f>IFERROR(S65/AO65,0)</f>
        <v/>
      </c>
      <c r="BA65" s="9">
        <f>IFERROR(T65/AP65,0)</f>
        <v/>
      </c>
      <c r="BB65" s="9">
        <f>IFERROR(U65/AQ65,0)</f>
        <v/>
      </c>
      <c r="BC65" s="9">
        <f>IFERROR(V65/AR65,0)</f>
        <v/>
      </c>
      <c r="BD65" s="9">
        <f>IFERROR(W65/AS65,0)</f>
        <v/>
      </c>
      <c r="BE65" s="9">
        <f>IFERROR(X65/AT65,0)</f>
        <v/>
      </c>
      <c r="BG65" s="9">
        <f>SUMPRODUCT(($D$15:$M$15="Yes")*O65:X65)</f>
        <v/>
      </c>
      <c r="BH65" s="9">
        <f>SUMPRODUCT(($D$15:$M$15="Yes")*Z65:AI65)</f>
        <v/>
      </c>
      <c r="BI65" s="9">
        <f>SUMPRODUCT(($D$15:$M$15="Yes")*AV65:BE65)</f>
        <v/>
      </c>
      <c r="BJ65" s="10">
        <f>IFERROR(BG65/BH65,0)</f>
        <v/>
      </c>
      <c r="BK65" s="10">
        <f>IFERROR(BG65/BI65,0)</f>
        <v/>
      </c>
      <c r="BL65" s="16">
        <f>IF(B65="Actual",1,INDEX($G$9:$G$11,MATCH(C65,$A$9:$A$11,0)))</f>
        <v/>
      </c>
      <c r="BN65" s="8" t="n">
        <v>46143</v>
      </c>
      <c r="BO65">
        <f>Inputs!$A$41</f>
        <v/>
      </c>
      <c r="BP65" s="10">
        <f>AP36</f>
        <v/>
      </c>
    </row>
    <row r="66">
      <c r="A66" s="8" t="n">
        <v>47058</v>
      </c>
      <c r="B66">
        <f>IF(A66&lt;=LastActual,"Actual","Forecast")</f>
        <v/>
      </c>
      <c r="C66">
        <f>YEAR(A66)</f>
        <v/>
      </c>
      <c r="D66" s="10">
        <f>IFERROR('NSW-1'!X61*1,0)</f>
        <v/>
      </c>
      <c r="E66" s="10">
        <f>IFERROR('VIC-1'!X61*1,0)</f>
        <v/>
      </c>
      <c r="F66" s="10">
        <f>IFERROR('QLD-1'!X61*1,0)</f>
        <v/>
      </c>
      <c r="G66" s="10">
        <f>IFERROR('NSW-2'!X61*1,0)</f>
        <v/>
      </c>
      <c r="H66" s="10">
        <f>IFERROR('VIC-2'!X61*1,0)</f>
        <v/>
      </c>
      <c r="I66" s="10">
        <f>IFERROR('QLD-2'!X61*1,0)</f>
        <v/>
      </c>
      <c r="J66" s="10">
        <f>IFERROR('SA-1'!X61*1,0)</f>
        <v/>
      </c>
      <c r="K66" s="10">
        <f>IFERROR('WA-1'!X61*1,0)</f>
        <v/>
      </c>
      <c r="L66" s="10">
        <f>IFERROR('IDC-NSW'!X61*1,0)</f>
        <v/>
      </c>
      <c r="M66" s="10">
        <f>IFERROR('IDC-VIC'!X61*1,0)</f>
        <v/>
      </c>
      <c r="O66" s="9">
        <f>Cases_Forecast!AJ54</f>
        <v/>
      </c>
      <c r="P66" s="9">
        <f>Cases_Forecast!AK54</f>
        <v/>
      </c>
      <c r="Q66" s="9">
        <f>Cases_Forecast!AL54</f>
        <v/>
      </c>
      <c r="R66" s="9">
        <f>Cases_Forecast!AM54</f>
        <v/>
      </c>
      <c r="S66" s="9">
        <f>Cases_Forecast!AN54</f>
        <v/>
      </c>
      <c r="T66" s="9">
        <f>Cases_Forecast!AO54</f>
        <v/>
      </c>
      <c r="U66" s="9">
        <f>Cases_Forecast!AP54</f>
        <v/>
      </c>
      <c r="V66" s="9">
        <f>Cases_Forecast!AQ54</f>
        <v/>
      </c>
      <c r="W66" s="9">
        <f>Cases_Forecast!AR54</f>
        <v/>
      </c>
      <c r="X66" s="9">
        <f>Cases_Forecast!AS54</f>
        <v/>
      </c>
      <c r="Z66" s="9">
        <f>IFERROR(O66/D66,0)</f>
        <v/>
      </c>
      <c r="AA66" s="9">
        <f>IFERROR(P66/E66,0)</f>
        <v/>
      </c>
      <c r="AB66" s="9">
        <f>IFERROR(Q66/F66,0)</f>
        <v/>
      </c>
      <c r="AC66" s="9">
        <f>IFERROR(R66/G66,0)</f>
        <v/>
      </c>
      <c r="AD66" s="9">
        <f>IFERROR(S66/H66,0)</f>
        <v/>
      </c>
      <c r="AE66" s="9">
        <f>IFERROR(T66/I66,0)</f>
        <v/>
      </c>
      <c r="AF66" s="9">
        <f>IFERROR(U66/J66,0)</f>
        <v/>
      </c>
      <c r="AG66" s="9">
        <f>IFERROR(V66/K66,0)</f>
        <v/>
      </c>
      <c r="AH66" s="9">
        <f>IFERROR(W66/L66,0)</f>
        <v/>
      </c>
      <c r="AI66" s="9">
        <f>IFERROR(X66/M66,0)</f>
        <v/>
      </c>
      <c r="AK66" s="14">
        <f>IF(D$15="Yes",D66*$BL66,D66)</f>
        <v/>
      </c>
      <c r="AL66" s="14">
        <f>IF(E$15="Yes",E66*$BL66,E66)</f>
        <v/>
      </c>
      <c r="AM66" s="14">
        <f>IF(F$15="Yes",F66*$BL66,F66)</f>
        <v/>
      </c>
      <c r="AN66" s="14">
        <f>IF(G$15="Yes",G66*$BL66,G66)</f>
        <v/>
      </c>
      <c r="AO66" s="14">
        <f>IF(H$15="Yes",H66*$BL66,H66)</f>
        <v/>
      </c>
      <c r="AP66" s="14">
        <f>IF(I$15="Yes",I66*$BL66,I66)</f>
        <v/>
      </c>
      <c r="AQ66" s="14">
        <f>IF(J$15="Yes",J66*$BL66,J66)</f>
        <v/>
      </c>
      <c r="AR66" s="14">
        <f>IF(K$15="Yes",K66*$BL66,K66)</f>
        <v/>
      </c>
      <c r="AS66" s="14">
        <f>IF(L$15="Yes",L66*$BL66,L66)</f>
        <v/>
      </c>
      <c r="AT66" s="14">
        <f>IF(M$15="Yes",M66*$BL66,M66)</f>
        <v/>
      </c>
      <c r="AV66" s="9">
        <f>IFERROR(O66/AK66,0)</f>
        <v/>
      </c>
      <c r="AW66" s="9">
        <f>IFERROR(P66/AL66,0)</f>
        <v/>
      </c>
      <c r="AX66" s="9">
        <f>IFERROR(Q66/AM66,0)</f>
        <v/>
      </c>
      <c r="AY66" s="9">
        <f>IFERROR(R66/AN66,0)</f>
        <v/>
      </c>
      <c r="AZ66" s="9">
        <f>IFERROR(S66/AO66,0)</f>
        <v/>
      </c>
      <c r="BA66" s="9">
        <f>IFERROR(T66/AP66,0)</f>
        <v/>
      </c>
      <c r="BB66" s="9">
        <f>IFERROR(U66/AQ66,0)</f>
        <v/>
      </c>
      <c r="BC66" s="9">
        <f>IFERROR(V66/AR66,0)</f>
        <v/>
      </c>
      <c r="BD66" s="9">
        <f>IFERROR(W66/AS66,0)</f>
        <v/>
      </c>
      <c r="BE66" s="9">
        <f>IFERROR(X66/AT66,0)</f>
        <v/>
      </c>
      <c r="BG66" s="9">
        <f>SUMPRODUCT(($D$15:$M$15="Yes")*O66:X66)</f>
        <v/>
      </c>
      <c r="BH66" s="9">
        <f>SUMPRODUCT(($D$15:$M$15="Yes")*Z66:AI66)</f>
        <v/>
      </c>
      <c r="BI66" s="9">
        <f>SUMPRODUCT(($D$15:$M$15="Yes")*AV66:BE66)</f>
        <v/>
      </c>
      <c r="BJ66" s="10">
        <f>IFERROR(BG66/BH66,0)</f>
        <v/>
      </c>
      <c r="BK66" s="10">
        <f>IFERROR(BG66/BI66,0)</f>
        <v/>
      </c>
      <c r="BL66" s="16">
        <f>IF(B66="Actual",1,INDEX($G$9:$G$11,MATCH(C66,$A$9:$A$11,0)))</f>
        <v/>
      </c>
      <c r="BN66" s="8" t="n">
        <v>46143</v>
      </c>
      <c r="BO66">
        <f>Inputs!$A$42</f>
        <v/>
      </c>
      <c r="BP66" s="10">
        <f>AQ36</f>
        <v/>
      </c>
    </row>
    <row r="67">
      <c r="A67" s="8" t="n">
        <v>47088</v>
      </c>
      <c r="B67">
        <f>IF(A67&lt;=LastActual,"Actual","Forecast")</f>
        <v/>
      </c>
      <c r="C67">
        <f>YEAR(A67)</f>
        <v/>
      </c>
      <c r="D67" s="10">
        <f>IFERROR('NSW-1'!X62*1,0)</f>
        <v/>
      </c>
      <c r="E67" s="10">
        <f>IFERROR('VIC-1'!X62*1,0)</f>
        <v/>
      </c>
      <c r="F67" s="10">
        <f>IFERROR('QLD-1'!X62*1,0)</f>
        <v/>
      </c>
      <c r="G67" s="10">
        <f>IFERROR('NSW-2'!X62*1,0)</f>
        <v/>
      </c>
      <c r="H67" s="10">
        <f>IFERROR('VIC-2'!X62*1,0)</f>
        <v/>
      </c>
      <c r="I67" s="10">
        <f>IFERROR('QLD-2'!X62*1,0)</f>
        <v/>
      </c>
      <c r="J67" s="10">
        <f>IFERROR('SA-1'!X62*1,0)</f>
        <v/>
      </c>
      <c r="K67" s="10">
        <f>IFERROR('WA-1'!X62*1,0)</f>
        <v/>
      </c>
      <c r="L67" s="10">
        <f>IFERROR('IDC-NSW'!X62*1,0)</f>
        <v/>
      </c>
      <c r="M67" s="10">
        <f>IFERROR('IDC-VIC'!X62*1,0)</f>
        <v/>
      </c>
      <c r="O67" s="9">
        <f>Cases_Forecast!AJ55</f>
        <v/>
      </c>
      <c r="P67" s="9">
        <f>Cases_Forecast!AK55</f>
        <v/>
      </c>
      <c r="Q67" s="9">
        <f>Cases_Forecast!AL55</f>
        <v/>
      </c>
      <c r="R67" s="9">
        <f>Cases_Forecast!AM55</f>
        <v/>
      </c>
      <c r="S67" s="9">
        <f>Cases_Forecast!AN55</f>
        <v/>
      </c>
      <c r="T67" s="9">
        <f>Cases_Forecast!AO55</f>
        <v/>
      </c>
      <c r="U67" s="9">
        <f>Cases_Forecast!AP55</f>
        <v/>
      </c>
      <c r="V67" s="9">
        <f>Cases_Forecast!AQ55</f>
        <v/>
      </c>
      <c r="W67" s="9">
        <f>Cases_Forecast!AR55</f>
        <v/>
      </c>
      <c r="X67" s="9">
        <f>Cases_Forecast!AS55</f>
        <v/>
      </c>
      <c r="Z67" s="9">
        <f>IFERROR(O67/D67,0)</f>
        <v/>
      </c>
      <c r="AA67" s="9">
        <f>IFERROR(P67/E67,0)</f>
        <v/>
      </c>
      <c r="AB67" s="9">
        <f>IFERROR(Q67/F67,0)</f>
        <v/>
      </c>
      <c r="AC67" s="9">
        <f>IFERROR(R67/G67,0)</f>
        <v/>
      </c>
      <c r="AD67" s="9">
        <f>IFERROR(S67/H67,0)</f>
        <v/>
      </c>
      <c r="AE67" s="9">
        <f>IFERROR(T67/I67,0)</f>
        <v/>
      </c>
      <c r="AF67" s="9">
        <f>IFERROR(U67/J67,0)</f>
        <v/>
      </c>
      <c r="AG67" s="9">
        <f>IFERROR(V67/K67,0)</f>
        <v/>
      </c>
      <c r="AH67" s="9">
        <f>IFERROR(W67/L67,0)</f>
        <v/>
      </c>
      <c r="AI67" s="9">
        <f>IFERROR(X67/M67,0)</f>
        <v/>
      </c>
      <c r="AK67" s="14">
        <f>IF(D$15="Yes",D67*$BL67,D67)</f>
        <v/>
      </c>
      <c r="AL67" s="14">
        <f>IF(E$15="Yes",E67*$BL67,E67)</f>
        <v/>
      </c>
      <c r="AM67" s="14">
        <f>IF(F$15="Yes",F67*$BL67,F67)</f>
        <v/>
      </c>
      <c r="AN67" s="14">
        <f>IF(G$15="Yes",G67*$BL67,G67)</f>
        <v/>
      </c>
      <c r="AO67" s="14">
        <f>IF(H$15="Yes",H67*$BL67,H67)</f>
        <v/>
      </c>
      <c r="AP67" s="14">
        <f>IF(I$15="Yes",I67*$BL67,I67)</f>
        <v/>
      </c>
      <c r="AQ67" s="14">
        <f>IF(J$15="Yes",J67*$BL67,J67)</f>
        <v/>
      </c>
      <c r="AR67" s="14">
        <f>IF(K$15="Yes",K67*$BL67,K67)</f>
        <v/>
      </c>
      <c r="AS67" s="14">
        <f>IF(L$15="Yes",L67*$BL67,L67)</f>
        <v/>
      </c>
      <c r="AT67" s="14">
        <f>IF(M$15="Yes",M67*$BL67,M67)</f>
        <v/>
      </c>
      <c r="AV67" s="9">
        <f>IFERROR(O67/AK67,0)</f>
        <v/>
      </c>
      <c r="AW67" s="9">
        <f>IFERROR(P67/AL67,0)</f>
        <v/>
      </c>
      <c r="AX67" s="9">
        <f>IFERROR(Q67/AM67,0)</f>
        <v/>
      </c>
      <c r="AY67" s="9">
        <f>IFERROR(R67/AN67,0)</f>
        <v/>
      </c>
      <c r="AZ67" s="9">
        <f>IFERROR(S67/AO67,0)</f>
        <v/>
      </c>
      <c r="BA67" s="9">
        <f>IFERROR(T67/AP67,0)</f>
        <v/>
      </c>
      <c r="BB67" s="9">
        <f>IFERROR(U67/AQ67,0)</f>
        <v/>
      </c>
      <c r="BC67" s="9">
        <f>IFERROR(V67/AR67,0)</f>
        <v/>
      </c>
      <c r="BD67" s="9">
        <f>IFERROR(W67/AS67,0)</f>
        <v/>
      </c>
      <c r="BE67" s="9">
        <f>IFERROR(X67/AT67,0)</f>
        <v/>
      </c>
      <c r="BG67" s="9">
        <f>SUMPRODUCT(($D$15:$M$15="Yes")*O67:X67)</f>
        <v/>
      </c>
      <c r="BH67" s="9">
        <f>SUMPRODUCT(($D$15:$M$15="Yes")*Z67:AI67)</f>
        <v/>
      </c>
      <c r="BI67" s="9">
        <f>SUMPRODUCT(($D$15:$M$15="Yes")*AV67:BE67)</f>
        <v/>
      </c>
      <c r="BJ67" s="10">
        <f>IFERROR(BG67/BH67,0)</f>
        <v/>
      </c>
      <c r="BK67" s="10">
        <f>IFERROR(BG67/BI67,0)</f>
        <v/>
      </c>
      <c r="BL67" s="16">
        <f>IF(B67="Actual",1,INDEX($G$9:$G$11,MATCH(C67,$A$9:$A$11,0)))</f>
        <v/>
      </c>
      <c r="BN67" s="8" t="n">
        <v>46143</v>
      </c>
      <c r="BO67">
        <f>Inputs!$A$43</f>
        <v/>
      </c>
      <c r="BP67" s="10">
        <f>AR36</f>
        <v/>
      </c>
    </row>
    <row r="68">
      <c r="BN68" s="8" t="n">
        <v>46143</v>
      </c>
      <c r="BO68">
        <f>Inputs!$A$44</f>
        <v/>
      </c>
      <c r="BP68" s="10">
        <f>AS36</f>
        <v/>
      </c>
    </row>
    <row r="69">
      <c r="BN69" s="8" t="n">
        <v>46143</v>
      </c>
      <c r="BO69">
        <f>Inputs!$A$45</f>
        <v/>
      </c>
      <c r="BP69" s="10">
        <f>AT36</f>
        <v/>
      </c>
    </row>
    <row r="70">
      <c r="BN70" s="8" t="n">
        <v>46174</v>
      </c>
      <c r="BO70">
        <f>Inputs!$A$36</f>
        <v/>
      </c>
      <c r="BP70" s="10">
        <f>AK37</f>
        <v/>
      </c>
    </row>
    <row r="71">
      <c r="BN71" s="8" t="n">
        <v>46174</v>
      </c>
      <c r="BO71">
        <f>Inputs!$A$37</f>
        <v/>
      </c>
      <c r="BP71" s="10">
        <f>AL37</f>
        <v/>
      </c>
    </row>
    <row r="72">
      <c r="BN72" s="8" t="n">
        <v>46174</v>
      </c>
      <c r="BO72">
        <f>Inputs!$A$38</f>
        <v/>
      </c>
      <c r="BP72" s="10">
        <f>AM37</f>
        <v/>
      </c>
    </row>
    <row r="73">
      <c r="BN73" s="8" t="n">
        <v>46174</v>
      </c>
      <c r="BO73">
        <f>Inputs!$A$39</f>
        <v/>
      </c>
      <c r="BP73" s="10">
        <f>AN37</f>
        <v/>
      </c>
    </row>
    <row r="74">
      <c r="BN74" s="8" t="n">
        <v>46174</v>
      </c>
      <c r="BO74">
        <f>Inputs!$A$40</f>
        <v/>
      </c>
      <c r="BP74" s="10">
        <f>AO37</f>
        <v/>
      </c>
    </row>
    <row r="75">
      <c r="BN75" s="8" t="n">
        <v>46174</v>
      </c>
      <c r="BO75">
        <f>Inputs!$A$41</f>
        <v/>
      </c>
      <c r="BP75" s="10">
        <f>AP37</f>
        <v/>
      </c>
    </row>
    <row r="76">
      <c r="BN76" s="8" t="n">
        <v>46174</v>
      </c>
      <c r="BO76">
        <f>Inputs!$A$42</f>
        <v/>
      </c>
      <c r="BP76" s="10">
        <f>AQ37</f>
        <v/>
      </c>
    </row>
    <row r="77">
      <c r="BN77" s="8" t="n">
        <v>46174</v>
      </c>
      <c r="BO77">
        <f>Inputs!$A$43</f>
        <v/>
      </c>
      <c r="BP77" s="10">
        <f>AR37</f>
        <v/>
      </c>
    </row>
    <row r="78">
      <c r="BN78" s="8" t="n">
        <v>46174</v>
      </c>
      <c r="BO78">
        <f>Inputs!$A$44</f>
        <v/>
      </c>
      <c r="BP78" s="10">
        <f>AS37</f>
        <v/>
      </c>
    </row>
    <row r="79">
      <c r="BN79" s="8" t="n">
        <v>46174</v>
      </c>
      <c r="BO79">
        <f>Inputs!$A$45</f>
        <v/>
      </c>
      <c r="BP79" s="10">
        <f>AT37</f>
        <v/>
      </c>
    </row>
    <row r="80">
      <c r="BN80" s="8" t="n">
        <v>46204</v>
      </c>
      <c r="BO80">
        <f>Inputs!$A$36</f>
        <v/>
      </c>
      <c r="BP80" s="10">
        <f>AK38</f>
        <v/>
      </c>
    </row>
    <row r="81">
      <c r="BN81" s="8" t="n">
        <v>46204</v>
      </c>
      <c r="BO81">
        <f>Inputs!$A$37</f>
        <v/>
      </c>
      <c r="BP81" s="10">
        <f>AL38</f>
        <v/>
      </c>
    </row>
    <row r="82">
      <c r="BN82" s="8" t="n">
        <v>46204</v>
      </c>
      <c r="BO82">
        <f>Inputs!$A$38</f>
        <v/>
      </c>
      <c r="BP82" s="10">
        <f>AM38</f>
        <v/>
      </c>
    </row>
    <row r="83">
      <c r="BN83" s="8" t="n">
        <v>46204</v>
      </c>
      <c r="BO83">
        <f>Inputs!$A$39</f>
        <v/>
      </c>
      <c r="BP83" s="10">
        <f>AN38</f>
        <v/>
      </c>
    </row>
    <row r="84">
      <c r="BN84" s="8" t="n">
        <v>46204</v>
      </c>
      <c r="BO84">
        <f>Inputs!$A$40</f>
        <v/>
      </c>
      <c r="BP84" s="10">
        <f>AO38</f>
        <v/>
      </c>
    </row>
    <row r="85">
      <c r="BN85" s="8" t="n">
        <v>46204</v>
      </c>
      <c r="BO85">
        <f>Inputs!$A$41</f>
        <v/>
      </c>
      <c r="BP85" s="10">
        <f>AP38</f>
        <v/>
      </c>
    </row>
    <row r="86">
      <c r="BN86" s="8" t="n">
        <v>46204</v>
      </c>
      <c r="BO86">
        <f>Inputs!$A$42</f>
        <v/>
      </c>
      <c r="BP86" s="10">
        <f>AQ38</f>
        <v/>
      </c>
    </row>
    <row r="87">
      <c r="BN87" s="8" t="n">
        <v>46204</v>
      </c>
      <c r="BO87">
        <f>Inputs!$A$43</f>
        <v/>
      </c>
      <c r="BP87" s="10">
        <f>AR38</f>
        <v/>
      </c>
    </row>
    <row r="88">
      <c r="BN88" s="8" t="n">
        <v>46204</v>
      </c>
      <c r="BO88">
        <f>Inputs!$A$44</f>
        <v/>
      </c>
      <c r="BP88" s="10">
        <f>AS38</f>
        <v/>
      </c>
    </row>
    <row r="89">
      <c r="BN89" s="8" t="n">
        <v>46204</v>
      </c>
      <c r="BO89">
        <f>Inputs!$A$45</f>
        <v/>
      </c>
      <c r="BP89" s="10">
        <f>AT38</f>
        <v/>
      </c>
    </row>
    <row r="90">
      <c r="BN90" s="8" t="n">
        <v>46235</v>
      </c>
      <c r="BO90">
        <f>Inputs!$A$36</f>
        <v/>
      </c>
      <c r="BP90" s="10">
        <f>AK39</f>
        <v/>
      </c>
    </row>
    <row r="91">
      <c r="BN91" s="8" t="n">
        <v>46235</v>
      </c>
      <c r="BO91">
        <f>Inputs!$A$37</f>
        <v/>
      </c>
      <c r="BP91" s="10">
        <f>AL39</f>
        <v/>
      </c>
    </row>
    <row r="92">
      <c r="BN92" s="8" t="n">
        <v>46235</v>
      </c>
      <c r="BO92">
        <f>Inputs!$A$38</f>
        <v/>
      </c>
      <c r="BP92" s="10">
        <f>AM39</f>
        <v/>
      </c>
    </row>
    <row r="93">
      <c r="BN93" s="8" t="n">
        <v>46235</v>
      </c>
      <c r="BO93">
        <f>Inputs!$A$39</f>
        <v/>
      </c>
      <c r="BP93" s="10">
        <f>AN39</f>
        <v/>
      </c>
    </row>
    <row r="94">
      <c r="BN94" s="8" t="n">
        <v>46235</v>
      </c>
      <c r="BO94">
        <f>Inputs!$A$40</f>
        <v/>
      </c>
      <c r="BP94" s="10">
        <f>AO39</f>
        <v/>
      </c>
    </row>
    <row r="95">
      <c r="BN95" s="8" t="n">
        <v>46235</v>
      </c>
      <c r="BO95">
        <f>Inputs!$A$41</f>
        <v/>
      </c>
      <c r="BP95" s="10">
        <f>AP39</f>
        <v/>
      </c>
    </row>
    <row r="96">
      <c r="BN96" s="8" t="n">
        <v>46235</v>
      </c>
      <c r="BO96">
        <f>Inputs!$A$42</f>
        <v/>
      </c>
      <c r="BP96" s="10">
        <f>AQ39</f>
        <v/>
      </c>
    </row>
    <row r="97">
      <c r="BN97" s="8" t="n">
        <v>46235</v>
      </c>
      <c r="BO97">
        <f>Inputs!$A$43</f>
        <v/>
      </c>
      <c r="BP97" s="10">
        <f>AR39</f>
        <v/>
      </c>
    </row>
    <row r="98">
      <c r="BN98" s="8" t="n">
        <v>46235</v>
      </c>
      <c r="BO98">
        <f>Inputs!$A$44</f>
        <v/>
      </c>
      <c r="BP98" s="10">
        <f>AS39</f>
        <v/>
      </c>
    </row>
    <row r="99">
      <c r="BN99" s="8" t="n">
        <v>46235</v>
      </c>
      <c r="BO99">
        <f>Inputs!$A$45</f>
        <v/>
      </c>
      <c r="BP99" s="10">
        <f>AT39</f>
        <v/>
      </c>
    </row>
    <row r="100">
      <c r="BN100" s="8" t="n">
        <v>46266</v>
      </c>
      <c r="BO100">
        <f>Inputs!$A$36</f>
        <v/>
      </c>
      <c r="BP100" s="10">
        <f>AK40</f>
        <v/>
      </c>
    </row>
    <row r="101">
      <c r="BN101" s="8" t="n">
        <v>46266</v>
      </c>
      <c r="BO101">
        <f>Inputs!$A$37</f>
        <v/>
      </c>
      <c r="BP101" s="10">
        <f>AL40</f>
        <v/>
      </c>
    </row>
    <row r="102">
      <c r="BN102" s="8" t="n">
        <v>46266</v>
      </c>
      <c r="BO102">
        <f>Inputs!$A$38</f>
        <v/>
      </c>
      <c r="BP102" s="10">
        <f>AM40</f>
        <v/>
      </c>
    </row>
    <row r="103">
      <c r="BN103" s="8" t="n">
        <v>46266</v>
      </c>
      <c r="BO103">
        <f>Inputs!$A$39</f>
        <v/>
      </c>
      <c r="BP103" s="10">
        <f>AN40</f>
        <v/>
      </c>
    </row>
    <row r="104">
      <c r="BN104" s="8" t="n">
        <v>46266</v>
      </c>
      <c r="BO104">
        <f>Inputs!$A$40</f>
        <v/>
      </c>
      <c r="BP104" s="10">
        <f>AO40</f>
        <v/>
      </c>
    </row>
    <row r="105">
      <c r="BN105" s="8" t="n">
        <v>46266</v>
      </c>
      <c r="BO105">
        <f>Inputs!$A$41</f>
        <v/>
      </c>
      <c r="BP105" s="10">
        <f>AP40</f>
        <v/>
      </c>
    </row>
    <row r="106">
      <c r="BN106" s="8" t="n">
        <v>46266</v>
      </c>
      <c r="BO106">
        <f>Inputs!$A$42</f>
        <v/>
      </c>
      <c r="BP106" s="10">
        <f>AQ40</f>
        <v/>
      </c>
    </row>
    <row r="107">
      <c r="BN107" s="8" t="n">
        <v>46266</v>
      </c>
      <c r="BO107">
        <f>Inputs!$A$43</f>
        <v/>
      </c>
      <c r="BP107" s="10">
        <f>AR40</f>
        <v/>
      </c>
    </row>
    <row r="108">
      <c r="BN108" s="8" t="n">
        <v>46266</v>
      </c>
      <c r="BO108">
        <f>Inputs!$A$44</f>
        <v/>
      </c>
      <c r="BP108" s="10">
        <f>AS40</f>
        <v/>
      </c>
    </row>
    <row r="109">
      <c r="BN109" s="8" t="n">
        <v>46266</v>
      </c>
      <c r="BO109">
        <f>Inputs!$A$45</f>
        <v/>
      </c>
      <c r="BP109" s="10">
        <f>AT40</f>
        <v/>
      </c>
    </row>
    <row r="110">
      <c r="BN110" s="8" t="n">
        <v>46296</v>
      </c>
      <c r="BO110">
        <f>Inputs!$A$36</f>
        <v/>
      </c>
      <c r="BP110" s="10">
        <f>AK41</f>
        <v/>
      </c>
    </row>
    <row r="111">
      <c r="BN111" s="8" t="n">
        <v>46296</v>
      </c>
      <c r="BO111">
        <f>Inputs!$A$37</f>
        <v/>
      </c>
      <c r="BP111" s="10">
        <f>AL41</f>
        <v/>
      </c>
    </row>
    <row r="112">
      <c r="BN112" s="8" t="n">
        <v>46296</v>
      </c>
      <c r="BO112">
        <f>Inputs!$A$38</f>
        <v/>
      </c>
      <c r="BP112" s="10">
        <f>AM41</f>
        <v/>
      </c>
    </row>
    <row r="113">
      <c r="BN113" s="8" t="n">
        <v>46296</v>
      </c>
      <c r="BO113">
        <f>Inputs!$A$39</f>
        <v/>
      </c>
      <c r="BP113" s="10">
        <f>AN41</f>
        <v/>
      </c>
    </row>
    <row r="114">
      <c r="BN114" s="8" t="n">
        <v>46296</v>
      </c>
      <c r="BO114">
        <f>Inputs!$A$40</f>
        <v/>
      </c>
      <c r="BP114" s="10">
        <f>AO41</f>
        <v/>
      </c>
    </row>
    <row r="115">
      <c r="BN115" s="8" t="n">
        <v>46296</v>
      </c>
      <c r="BO115">
        <f>Inputs!$A$41</f>
        <v/>
      </c>
      <c r="BP115" s="10">
        <f>AP41</f>
        <v/>
      </c>
    </row>
    <row r="116">
      <c r="BN116" s="8" t="n">
        <v>46296</v>
      </c>
      <c r="BO116">
        <f>Inputs!$A$42</f>
        <v/>
      </c>
      <c r="BP116" s="10">
        <f>AQ41</f>
        <v/>
      </c>
    </row>
    <row r="117">
      <c r="BN117" s="8" t="n">
        <v>46296</v>
      </c>
      <c r="BO117">
        <f>Inputs!$A$43</f>
        <v/>
      </c>
      <c r="BP117" s="10">
        <f>AR41</f>
        <v/>
      </c>
    </row>
    <row r="118">
      <c r="BN118" s="8" t="n">
        <v>46296</v>
      </c>
      <c r="BO118">
        <f>Inputs!$A$44</f>
        <v/>
      </c>
      <c r="BP118" s="10">
        <f>AS41</f>
        <v/>
      </c>
    </row>
    <row r="119">
      <c r="BN119" s="8" t="n">
        <v>46296</v>
      </c>
      <c r="BO119">
        <f>Inputs!$A$45</f>
        <v/>
      </c>
      <c r="BP119" s="10">
        <f>AT41</f>
        <v/>
      </c>
    </row>
    <row r="120">
      <c r="BN120" s="8" t="n">
        <v>46327</v>
      </c>
      <c r="BO120">
        <f>Inputs!$A$36</f>
        <v/>
      </c>
      <c r="BP120" s="10">
        <f>AK42</f>
        <v/>
      </c>
    </row>
    <row r="121">
      <c r="BN121" s="8" t="n">
        <v>46327</v>
      </c>
      <c r="BO121">
        <f>Inputs!$A$37</f>
        <v/>
      </c>
      <c r="BP121" s="10">
        <f>AL42</f>
        <v/>
      </c>
    </row>
    <row r="122">
      <c r="BN122" s="8" t="n">
        <v>46327</v>
      </c>
      <c r="BO122">
        <f>Inputs!$A$38</f>
        <v/>
      </c>
      <c r="BP122" s="10">
        <f>AM42</f>
        <v/>
      </c>
    </row>
    <row r="123">
      <c r="BN123" s="8" t="n">
        <v>46327</v>
      </c>
      <c r="BO123">
        <f>Inputs!$A$39</f>
        <v/>
      </c>
      <c r="BP123" s="10">
        <f>AN42</f>
        <v/>
      </c>
    </row>
    <row r="124">
      <c r="BN124" s="8" t="n">
        <v>46327</v>
      </c>
      <c r="BO124">
        <f>Inputs!$A$40</f>
        <v/>
      </c>
      <c r="BP124" s="10">
        <f>AO42</f>
        <v/>
      </c>
    </row>
    <row r="125">
      <c r="BN125" s="8" t="n">
        <v>46327</v>
      </c>
      <c r="BO125">
        <f>Inputs!$A$41</f>
        <v/>
      </c>
      <c r="BP125" s="10">
        <f>AP42</f>
        <v/>
      </c>
    </row>
    <row r="126">
      <c r="BN126" s="8" t="n">
        <v>46327</v>
      </c>
      <c r="BO126">
        <f>Inputs!$A$42</f>
        <v/>
      </c>
      <c r="BP126" s="10">
        <f>AQ42</f>
        <v/>
      </c>
    </row>
    <row r="127">
      <c r="BN127" s="8" t="n">
        <v>46327</v>
      </c>
      <c r="BO127">
        <f>Inputs!$A$43</f>
        <v/>
      </c>
      <c r="BP127" s="10">
        <f>AR42</f>
        <v/>
      </c>
    </row>
    <row r="128">
      <c r="BN128" s="8" t="n">
        <v>46327</v>
      </c>
      <c r="BO128">
        <f>Inputs!$A$44</f>
        <v/>
      </c>
      <c r="BP128" s="10">
        <f>AS42</f>
        <v/>
      </c>
    </row>
    <row r="129">
      <c r="BN129" s="8" t="n">
        <v>46327</v>
      </c>
      <c r="BO129">
        <f>Inputs!$A$45</f>
        <v/>
      </c>
      <c r="BP129" s="10">
        <f>AT42</f>
        <v/>
      </c>
    </row>
    <row r="130">
      <c r="BN130" s="8" t="n">
        <v>46357</v>
      </c>
      <c r="BO130">
        <f>Inputs!$A$36</f>
        <v/>
      </c>
      <c r="BP130" s="10">
        <f>AK43</f>
        <v/>
      </c>
    </row>
    <row r="131">
      <c r="BN131" s="8" t="n">
        <v>46357</v>
      </c>
      <c r="BO131">
        <f>Inputs!$A$37</f>
        <v/>
      </c>
      <c r="BP131" s="10">
        <f>AL43</f>
        <v/>
      </c>
    </row>
    <row r="132">
      <c r="BN132" s="8" t="n">
        <v>46357</v>
      </c>
      <c r="BO132">
        <f>Inputs!$A$38</f>
        <v/>
      </c>
      <c r="BP132" s="10">
        <f>AM43</f>
        <v/>
      </c>
    </row>
    <row r="133">
      <c r="BN133" s="8" t="n">
        <v>46357</v>
      </c>
      <c r="BO133">
        <f>Inputs!$A$39</f>
        <v/>
      </c>
      <c r="BP133" s="10">
        <f>AN43</f>
        <v/>
      </c>
    </row>
    <row r="134">
      <c r="BN134" s="8" t="n">
        <v>46357</v>
      </c>
      <c r="BO134">
        <f>Inputs!$A$40</f>
        <v/>
      </c>
      <c r="BP134" s="10">
        <f>AO43</f>
        <v/>
      </c>
    </row>
    <row r="135">
      <c r="BN135" s="8" t="n">
        <v>46357</v>
      </c>
      <c r="BO135">
        <f>Inputs!$A$41</f>
        <v/>
      </c>
      <c r="BP135" s="10">
        <f>AP43</f>
        <v/>
      </c>
    </row>
    <row r="136">
      <c r="BN136" s="8" t="n">
        <v>46357</v>
      </c>
      <c r="BO136">
        <f>Inputs!$A$42</f>
        <v/>
      </c>
      <c r="BP136" s="10">
        <f>AQ43</f>
        <v/>
      </c>
    </row>
    <row r="137">
      <c r="BN137" s="8" t="n">
        <v>46357</v>
      </c>
      <c r="BO137">
        <f>Inputs!$A$43</f>
        <v/>
      </c>
      <c r="BP137" s="10">
        <f>AR43</f>
        <v/>
      </c>
    </row>
    <row r="138">
      <c r="BN138" s="8" t="n">
        <v>46357</v>
      </c>
      <c r="BO138">
        <f>Inputs!$A$44</f>
        <v/>
      </c>
      <c r="BP138" s="10">
        <f>AS43</f>
        <v/>
      </c>
    </row>
    <row r="139">
      <c r="BN139" s="8" t="n">
        <v>46357</v>
      </c>
      <c r="BO139">
        <f>Inputs!$A$45</f>
        <v/>
      </c>
      <c r="BP139" s="10">
        <f>AT43</f>
        <v/>
      </c>
    </row>
    <row r="140">
      <c r="BN140" s="8" t="n">
        <v>46388</v>
      </c>
      <c r="BO140">
        <f>Inputs!$A$36</f>
        <v/>
      </c>
      <c r="BP140" s="10">
        <f>AK44</f>
        <v/>
      </c>
    </row>
    <row r="141">
      <c r="BN141" s="8" t="n">
        <v>46388</v>
      </c>
      <c r="BO141">
        <f>Inputs!$A$37</f>
        <v/>
      </c>
      <c r="BP141" s="10">
        <f>AL44</f>
        <v/>
      </c>
    </row>
    <row r="142">
      <c r="BN142" s="8" t="n">
        <v>46388</v>
      </c>
      <c r="BO142">
        <f>Inputs!$A$38</f>
        <v/>
      </c>
      <c r="BP142" s="10">
        <f>AM44</f>
        <v/>
      </c>
    </row>
    <row r="143">
      <c r="BN143" s="8" t="n">
        <v>46388</v>
      </c>
      <c r="BO143">
        <f>Inputs!$A$39</f>
        <v/>
      </c>
      <c r="BP143" s="10">
        <f>AN44</f>
        <v/>
      </c>
    </row>
    <row r="144">
      <c r="BN144" s="8" t="n">
        <v>46388</v>
      </c>
      <c r="BO144">
        <f>Inputs!$A$40</f>
        <v/>
      </c>
      <c r="BP144" s="10">
        <f>AO44</f>
        <v/>
      </c>
    </row>
    <row r="145">
      <c r="BN145" s="8" t="n">
        <v>46388</v>
      </c>
      <c r="BO145">
        <f>Inputs!$A$41</f>
        <v/>
      </c>
      <c r="BP145" s="10">
        <f>AP44</f>
        <v/>
      </c>
    </row>
    <row r="146">
      <c r="BN146" s="8" t="n">
        <v>46388</v>
      </c>
      <c r="BO146">
        <f>Inputs!$A$42</f>
        <v/>
      </c>
      <c r="BP146" s="10">
        <f>AQ44</f>
        <v/>
      </c>
    </row>
    <row r="147">
      <c r="BN147" s="8" t="n">
        <v>46388</v>
      </c>
      <c r="BO147">
        <f>Inputs!$A$43</f>
        <v/>
      </c>
      <c r="BP147" s="10">
        <f>AR44</f>
        <v/>
      </c>
    </row>
    <row r="148">
      <c r="BN148" s="8" t="n">
        <v>46388</v>
      </c>
      <c r="BO148">
        <f>Inputs!$A$44</f>
        <v/>
      </c>
      <c r="BP148" s="10">
        <f>AS44</f>
        <v/>
      </c>
    </row>
    <row r="149">
      <c r="BN149" s="8" t="n">
        <v>46388</v>
      </c>
      <c r="BO149">
        <f>Inputs!$A$45</f>
        <v/>
      </c>
      <c r="BP149" s="10">
        <f>AT44</f>
        <v/>
      </c>
    </row>
    <row r="150">
      <c r="BN150" s="8" t="n">
        <v>46419</v>
      </c>
      <c r="BO150">
        <f>Inputs!$A$36</f>
        <v/>
      </c>
      <c r="BP150" s="10">
        <f>AK45</f>
        <v/>
      </c>
    </row>
    <row r="151">
      <c r="BN151" s="8" t="n">
        <v>46419</v>
      </c>
      <c r="BO151">
        <f>Inputs!$A$37</f>
        <v/>
      </c>
      <c r="BP151" s="10">
        <f>AL45</f>
        <v/>
      </c>
    </row>
    <row r="152">
      <c r="BN152" s="8" t="n">
        <v>46419</v>
      </c>
      <c r="BO152">
        <f>Inputs!$A$38</f>
        <v/>
      </c>
      <c r="BP152" s="10">
        <f>AM45</f>
        <v/>
      </c>
    </row>
    <row r="153">
      <c r="BN153" s="8" t="n">
        <v>46419</v>
      </c>
      <c r="BO153">
        <f>Inputs!$A$39</f>
        <v/>
      </c>
      <c r="BP153" s="10">
        <f>AN45</f>
        <v/>
      </c>
    </row>
    <row r="154">
      <c r="BN154" s="8" t="n">
        <v>46419</v>
      </c>
      <c r="BO154">
        <f>Inputs!$A$40</f>
        <v/>
      </c>
      <c r="BP154" s="10">
        <f>AO45</f>
        <v/>
      </c>
    </row>
    <row r="155">
      <c r="BN155" s="8" t="n">
        <v>46419</v>
      </c>
      <c r="BO155">
        <f>Inputs!$A$41</f>
        <v/>
      </c>
      <c r="BP155" s="10">
        <f>AP45</f>
        <v/>
      </c>
    </row>
    <row r="156">
      <c r="BN156" s="8" t="n">
        <v>46419</v>
      </c>
      <c r="BO156">
        <f>Inputs!$A$42</f>
        <v/>
      </c>
      <c r="BP156" s="10">
        <f>AQ45</f>
        <v/>
      </c>
    </row>
    <row r="157">
      <c r="BN157" s="8" t="n">
        <v>46419</v>
      </c>
      <c r="BO157">
        <f>Inputs!$A$43</f>
        <v/>
      </c>
      <c r="BP157" s="10">
        <f>AR45</f>
        <v/>
      </c>
    </row>
    <row r="158">
      <c r="BN158" s="8" t="n">
        <v>46419</v>
      </c>
      <c r="BO158">
        <f>Inputs!$A$44</f>
        <v/>
      </c>
      <c r="BP158" s="10">
        <f>AS45</f>
        <v/>
      </c>
    </row>
    <row r="159">
      <c r="BN159" s="8" t="n">
        <v>46419</v>
      </c>
      <c r="BO159">
        <f>Inputs!$A$45</f>
        <v/>
      </c>
      <c r="BP159" s="10">
        <f>AT45</f>
        <v/>
      </c>
    </row>
    <row r="160">
      <c r="BN160" s="8" t="n">
        <v>46447</v>
      </c>
      <c r="BO160">
        <f>Inputs!$A$36</f>
        <v/>
      </c>
      <c r="BP160" s="10">
        <f>AK46</f>
        <v/>
      </c>
    </row>
    <row r="161">
      <c r="BN161" s="8" t="n">
        <v>46447</v>
      </c>
      <c r="BO161">
        <f>Inputs!$A$37</f>
        <v/>
      </c>
      <c r="BP161" s="10">
        <f>AL46</f>
        <v/>
      </c>
    </row>
    <row r="162">
      <c r="BN162" s="8" t="n">
        <v>46447</v>
      </c>
      <c r="BO162">
        <f>Inputs!$A$38</f>
        <v/>
      </c>
      <c r="BP162" s="10">
        <f>AM46</f>
        <v/>
      </c>
    </row>
    <row r="163">
      <c r="BN163" s="8" t="n">
        <v>46447</v>
      </c>
      <c r="BO163">
        <f>Inputs!$A$39</f>
        <v/>
      </c>
      <c r="BP163" s="10">
        <f>AN46</f>
        <v/>
      </c>
    </row>
    <row r="164">
      <c r="BN164" s="8" t="n">
        <v>46447</v>
      </c>
      <c r="BO164">
        <f>Inputs!$A$40</f>
        <v/>
      </c>
      <c r="BP164" s="10">
        <f>AO46</f>
        <v/>
      </c>
    </row>
    <row r="165">
      <c r="BN165" s="8" t="n">
        <v>46447</v>
      </c>
      <c r="BO165">
        <f>Inputs!$A$41</f>
        <v/>
      </c>
      <c r="BP165" s="10">
        <f>AP46</f>
        <v/>
      </c>
    </row>
    <row r="166">
      <c r="BN166" s="8" t="n">
        <v>46447</v>
      </c>
      <c r="BO166">
        <f>Inputs!$A$42</f>
        <v/>
      </c>
      <c r="BP166" s="10">
        <f>AQ46</f>
        <v/>
      </c>
    </row>
    <row r="167">
      <c r="BN167" s="8" t="n">
        <v>46447</v>
      </c>
      <c r="BO167">
        <f>Inputs!$A$43</f>
        <v/>
      </c>
      <c r="BP167" s="10">
        <f>AR46</f>
        <v/>
      </c>
    </row>
    <row r="168">
      <c r="BN168" s="8" t="n">
        <v>46447</v>
      </c>
      <c r="BO168">
        <f>Inputs!$A$44</f>
        <v/>
      </c>
      <c r="BP168" s="10">
        <f>AS46</f>
        <v/>
      </c>
    </row>
    <row r="169">
      <c r="BN169" s="8" t="n">
        <v>46447</v>
      </c>
      <c r="BO169">
        <f>Inputs!$A$45</f>
        <v/>
      </c>
      <c r="BP169" s="10">
        <f>AT46</f>
        <v/>
      </c>
    </row>
    <row r="170">
      <c r="BN170" s="8" t="n">
        <v>46478</v>
      </c>
      <c r="BO170">
        <f>Inputs!$A$36</f>
        <v/>
      </c>
      <c r="BP170" s="10">
        <f>AK47</f>
        <v/>
      </c>
    </row>
    <row r="171">
      <c r="BN171" s="8" t="n">
        <v>46478</v>
      </c>
      <c r="BO171">
        <f>Inputs!$A$37</f>
        <v/>
      </c>
      <c r="BP171" s="10">
        <f>AL47</f>
        <v/>
      </c>
    </row>
    <row r="172">
      <c r="BN172" s="8" t="n">
        <v>46478</v>
      </c>
      <c r="BO172">
        <f>Inputs!$A$38</f>
        <v/>
      </c>
      <c r="BP172" s="10">
        <f>AM47</f>
        <v/>
      </c>
    </row>
    <row r="173">
      <c r="BN173" s="8" t="n">
        <v>46478</v>
      </c>
      <c r="BO173">
        <f>Inputs!$A$39</f>
        <v/>
      </c>
      <c r="BP173" s="10">
        <f>AN47</f>
        <v/>
      </c>
    </row>
    <row r="174">
      <c r="BN174" s="8" t="n">
        <v>46478</v>
      </c>
      <c r="BO174">
        <f>Inputs!$A$40</f>
        <v/>
      </c>
      <c r="BP174" s="10">
        <f>AO47</f>
        <v/>
      </c>
    </row>
    <row r="175">
      <c r="BN175" s="8" t="n">
        <v>46478</v>
      </c>
      <c r="BO175">
        <f>Inputs!$A$41</f>
        <v/>
      </c>
      <c r="BP175" s="10">
        <f>AP47</f>
        <v/>
      </c>
    </row>
    <row r="176">
      <c r="BN176" s="8" t="n">
        <v>46478</v>
      </c>
      <c r="BO176">
        <f>Inputs!$A$42</f>
        <v/>
      </c>
      <c r="BP176" s="10">
        <f>AQ47</f>
        <v/>
      </c>
    </row>
    <row r="177">
      <c r="BN177" s="8" t="n">
        <v>46478</v>
      </c>
      <c r="BO177">
        <f>Inputs!$A$43</f>
        <v/>
      </c>
      <c r="BP177" s="10">
        <f>AR47</f>
        <v/>
      </c>
    </row>
    <row r="178">
      <c r="BN178" s="8" t="n">
        <v>46478</v>
      </c>
      <c r="BO178">
        <f>Inputs!$A$44</f>
        <v/>
      </c>
      <c r="BP178" s="10">
        <f>AS47</f>
        <v/>
      </c>
    </row>
    <row r="179">
      <c r="BN179" s="8" t="n">
        <v>46478</v>
      </c>
      <c r="BO179">
        <f>Inputs!$A$45</f>
        <v/>
      </c>
      <c r="BP179" s="10">
        <f>AT47</f>
        <v/>
      </c>
    </row>
    <row r="180">
      <c r="BN180" s="8" t="n">
        <v>46508</v>
      </c>
      <c r="BO180">
        <f>Inputs!$A$36</f>
        <v/>
      </c>
      <c r="BP180" s="10">
        <f>AK48</f>
        <v/>
      </c>
    </row>
    <row r="181">
      <c r="BN181" s="8" t="n">
        <v>46508</v>
      </c>
      <c r="BO181">
        <f>Inputs!$A$37</f>
        <v/>
      </c>
      <c r="BP181" s="10">
        <f>AL48</f>
        <v/>
      </c>
    </row>
    <row r="182">
      <c r="BN182" s="8" t="n">
        <v>46508</v>
      </c>
      <c r="BO182">
        <f>Inputs!$A$38</f>
        <v/>
      </c>
      <c r="BP182" s="10">
        <f>AM48</f>
        <v/>
      </c>
    </row>
    <row r="183">
      <c r="BN183" s="8" t="n">
        <v>46508</v>
      </c>
      <c r="BO183">
        <f>Inputs!$A$39</f>
        <v/>
      </c>
      <c r="BP183" s="10">
        <f>AN48</f>
        <v/>
      </c>
    </row>
    <row r="184">
      <c r="BN184" s="8" t="n">
        <v>46508</v>
      </c>
      <c r="BO184">
        <f>Inputs!$A$40</f>
        <v/>
      </c>
      <c r="BP184" s="10">
        <f>AO48</f>
        <v/>
      </c>
    </row>
    <row r="185">
      <c r="BN185" s="8" t="n">
        <v>46508</v>
      </c>
      <c r="BO185">
        <f>Inputs!$A$41</f>
        <v/>
      </c>
      <c r="BP185" s="10">
        <f>AP48</f>
        <v/>
      </c>
    </row>
    <row r="186">
      <c r="BN186" s="8" t="n">
        <v>46508</v>
      </c>
      <c r="BO186">
        <f>Inputs!$A$42</f>
        <v/>
      </c>
      <c r="BP186" s="10">
        <f>AQ48</f>
        <v/>
      </c>
    </row>
    <row r="187">
      <c r="BN187" s="8" t="n">
        <v>46508</v>
      </c>
      <c r="BO187">
        <f>Inputs!$A$43</f>
        <v/>
      </c>
      <c r="BP187" s="10">
        <f>AR48</f>
        <v/>
      </c>
    </row>
    <row r="188">
      <c r="BN188" s="8" t="n">
        <v>46508</v>
      </c>
      <c r="BO188">
        <f>Inputs!$A$44</f>
        <v/>
      </c>
      <c r="BP188" s="10">
        <f>AS48</f>
        <v/>
      </c>
    </row>
    <row r="189">
      <c r="BN189" s="8" t="n">
        <v>46508</v>
      </c>
      <c r="BO189">
        <f>Inputs!$A$45</f>
        <v/>
      </c>
      <c r="BP189" s="10">
        <f>AT48</f>
        <v/>
      </c>
    </row>
    <row r="190">
      <c r="BN190" s="8" t="n">
        <v>46539</v>
      </c>
      <c r="BO190">
        <f>Inputs!$A$36</f>
        <v/>
      </c>
      <c r="BP190" s="10">
        <f>AK49</f>
        <v/>
      </c>
    </row>
    <row r="191">
      <c r="BN191" s="8" t="n">
        <v>46539</v>
      </c>
      <c r="BO191">
        <f>Inputs!$A$37</f>
        <v/>
      </c>
      <c r="BP191" s="10">
        <f>AL49</f>
        <v/>
      </c>
    </row>
    <row r="192">
      <c r="BN192" s="8" t="n">
        <v>46539</v>
      </c>
      <c r="BO192">
        <f>Inputs!$A$38</f>
        <v/>
      </c>
      <c r="BP192" s="10">
        <f>AM49</f>
        <v/>
      </c>
    </row>
    <row r="193">
      <c r="BN193" s="8" t="n">
        <v>46539</v>
      </c>
      <c r="BO193">
        <f>Inputs!$A$39</f>
        <v/>
      </c>
      <c r="BP193" s="10">
        <f>AN49</f>
        <v/>
      </c>
    </row>
    <row r="194">
      <c r="BN194" s="8" t="n">
        <v>46539</v>
      </c>
      <c r="BO194">
        <f>Inputs!$A$40</f>
        <v/>
      </c>
      <c r="BP194" s="10">
        <f>AO49</f>
        <v/>
      </c>
    </row>
    <row r="195">
      <c r="BN195" s="8" t="n">
        <v>46539</v>
      </c>
      <c r="BO195">
        <f>Inputs!$A$41</f>
        <v/>
      </c>
      <c r="BP195" s="10">
        <f>AP49</f>
        <v/>
      </c>
    </row>
    <row r="196">
      <c r="BN196" s="8" t="n">
        <v>46539</v>
      </c>
      <c r="BO196">
        <f>Inputs!$A$42</f>
        <v/>
      </c>
      <c r="BP196" s="10">
        <f>AQ49</f>
        <v/>
      </c>
    </row>
    <row r="197">
      <c r="BN197" s="8" t="n">
        <v>46539</v>
      </c>
      <c r="BO197">
        <f>Inputs!$A$43</f>
        <v/>
      </c>
      <c r="BP197" s="10">
        <f>AR49</f>
        <v/>
      </c>
    </row>
    <row r="198">
      <c r="BN198" s="8" t="n">
        <v>46539</v>
      </c>
      <c r="BO198">
        <f>Inputs!$A$44</f>
        <v/>
      </c>
      <c r="BP198" s="10">
        <f>AS49</f>
        <v/>
      </c>
    </row>
    <row r="199">
      <c r="BN199" s="8" t="n">
        <v>46539</v>
      </c>
      <c r="BO199">
        <f>Inputs!$A$45</f>
        <v/>
      </c>
      <c r="BP199" s="10">
        <f>AT49</f>
        <v/>
      </c>
    </row>
    <row r="200">
      <c r="BN200" s="8" t="n">
        <v>46569</v>
      </c>
      <c r="BO200">
        <f>Inputs!$A$36</f>
        <v/>
      </c>
      <c r="BP200" s="10">
        <f>AK50</f>
        <v/>
      </c>
    </row>
    <row r="201">
      <c r="BN201" s="8" t="n">
        <v>46569</v>
      </c>
      <c r="BO201">
        <f>Inputs!$A$37</f>
        <v/>
      </c>
      <c r="BP201" s="10">
        <f>AL50</f>
        <v/>
      </c>
    </row>
    <row r="202">
      <c r="BN202" s="8" t="n">
        <v>46569</v>
      </c>
      <c r="BO202">
        <f>Inputs!$A$38</f>
        <v/>
      </c>
      <c r="BP202" s="10">
        <f>AM50</f>
        <v/>
      </c>
    </row>
    <row r="203">
      <c r="BN203" s="8" t="n">
        <v>46569</v>
      </c>
      <c r="BO203">
        <f>Inputs!$A$39</f>
        <v/>
      </c>
      <c r="BP203" s="10">
        <f>AN50</f>
        <v/>
      </c>
    </row>
    <row r="204">
      <c r="BN204" s="8" t="n">
        <v>46569</v>
      </c>
      <c r="BO204">
        <f>Inputs!$A$40</f>
        <v/>
      </c>
      <c r="BP204" s="10">
        <f>AO50</f>
        <v/>
      </c>
    </row>
    <row r="205">
      <c r="BN205" s="8" t="n">
        <v>46569</v>
      </c>
      <c r="BO205">
        <f>Inputs!$A$41</f>
        <v/>
      </c>
      <c r="BP205" s="10">
        <f>AP50</f>
        <v/>
      </c>
    </row>
    <row r="206">
      <c r="BN206" s="8" t="n">
        <v>46569</v>
      </c>
      <c r="BO206">
        <f>Inputs!$A$42</f>
        <v/>
      </c>
      <c r="BP206" s="10">
        <f>AQ50</f>
        <v/>
      </c>
    </row>
    <row r="207">
      <c r="BN207" s="8" t="n">
        <v>46569</v>
      </c>
      <c r="BO207">
        <f>Inputs!$A$43</f>
        <v/>
      </c>
      <c r="BP207" s="10">
        <f>AR50</f>
        <v/>
      </c>
    </row>
    <row r="208">
      <c r="BN208" s="8" t="n">
        <v>46569</v>
      </c>
      <c r="BO208">
        <f>Inputs!$A$44</f>
        <v/>
      </c>
      <c r="BP208" s="10">
        <f>AS50</f>
        <v/>
      </c>
    </row>
    <row r="209">
      <c r="BN209" s="8" t="n">
        <v>46569</v>
      </c>
      <c r="BO209">
        <f>Inputs!$A$45</f>
        <v/>
      </c>
      <c r="BP209" s="10">
        <f>AT50</f>
        <v/>
      </c>
    </row>
    <row r="210">
      <c r="BN210" s="8" t="n">
        <v>46600</v>
      </c>
      <c r="BO210">
        <f>Inputs!$A$36</f>
        <v/>
      </c>
      <c r="BP210" s="10">
        <f>AK51</f>
        <v/>
      </c>
    </row>
    <row r="211">
      <c r="BN211" s="8" t="n">
        <v>46600</v>
      </c>
      <c r="BO211">
        <f>Inputs!$A$37</f>
        <v/>
      </c>
      <c r="BP211" s="10">
        <f>AL51</f>
        <v/>
      </c>
    </row>
    <row r="212">
      <c r="BN212" s="8" t="n">
        <v>46600</v>
      </c>
      <c r="BO212">
        <f>Inputs!$A$38</f>
        <v/>
      </c>
      <c r="BP212" s="10">
        <f>AM51</f>
        <v/>
      </c>
    </row>
    <row r="213">
      <c r="BN213" s="8" t="n">
        <v>46600</v>
      </c>
      <c r="BO213">
        <f>Inputs!$A$39</f>
        <v/>
      </c>
      <c r="BP213" s="10">
        <f>AN51</f>
        <v/>
      </c>
    </row>
    <row r="214">
      <c r="BN214" s="8" t="n">
        <v>46600</v>
      </c>
      <c r="BO214">
        <f>Inputs!$A$40</f>
        <v/>
      </c>
      <c r="BP214" s="10">
        <f>AO51</f>
        <v/>
      </c>
    </row>
    <row r="215">
      <c r="BN215" s="8" t="n">
        <v>46600</v>
      </c>
      <c r="BO215">
        <f>Inputs!$A$41</f>
        <v/>
      </c>
      <c r="BP215" s="10">
        <f>AP51</f>
        <v/>
      </c>
    </row>
    <row r="216">
      <c r="BN216" s="8" t="n">
        <v>46600</v>
      </c>
      <c r="BO216">
        <f>Inputs!$A$42</f>
        <v/>
      </c>
      <c r="BP216" s="10">
        <f>AQ51</f>
        <v/>
      </c>
    </row>
    <row r="217">
      <c r="BN217" s="8" t="n">
        <v>46600</v>
      </c>
      <c r="BO217">
        <f>Inputs!$A$43</f>
        <v/>
      </c>
      <c r="BP217" s="10">
        <f>AR51</f>
        <v/>
      </c>
    </row>
    <row r="218">
      <c r="BN218" s="8" t="n">
        <v>46600</v>
      </c>
      <c r="BO218">
        <f>Inputs!$A$44</f>
        <v/>
      </c>
      <c r="BP218" s="10">
        <f>AS51</f>
        <v/>
      </c>
    </row>
    <row r="219">
      <c r="BN219" s="8" t="n">
        <v>46600</v>
      </c>
      <c r="BO219">
        <f>Inputs!$A$45</f>
        <v/>
      </c>
      <c r="BP219" s="10">
        <f>AT51</f>
        <v/>
      </c>
    </row>
    <row r="220">
      <c r="BN220" s="8" t="n">
        <v>46631</v>
      </c>
      <c r="BO220">
        <f>Inputs!$A$36</f>
        <v/>
      </c>
      <c r="BP220" s="10">
        <f>AK52</f>
        <v/>
      </c>
    </row>
    <row r="221">
      <c r="BN221" s="8" t="n">
        <v>46631</v>
      </c>
      <c r="BO221">
        <f>Inputs!$A$37</f>
        <v/>
      </c>
      <c r="BP221" s="10">
        <f>AL52</f>
        <v/>
      </c>
    </row>
    <row r="222">
      <c r="BN222" s="8" t="n">
        <v>46631</v>
      </c>
      <c r="BO222">
        <f>Inputs!$A$38</f>
        <v/>
      </c>
      <c r="BP222" s="10">
        <f>AM52</f>
        <v/>
      </c>
    </row>
    <row r="223">
      <c r="BN223" s="8" t="n">
        <v>46631</v>
      </c>
      <c r="BO223">
        <f>Inputs!$A$39</f>
        <v/>
      </c>
      <c r="BP223" s="10">
        <f>AN52</f>
        <v/>
      </c>
    </row>
    <row r="224">
      <c r="BN224" s="8" t="n">
        <v>46631</v>
      </c>
      <c r="BO224">
        <f>Inputs!$A$40</f>
        <v/>
      </c>
      <c r="BP224" s="10">
        <f>AO52</f>
        <v/>
      </c>
    </row>
    <row r="225">
      <c r="BN225" s="8" t="n">
        <v>46631</v>
      </c>
      <c r="BO225">
        <f>Inputs!$A$41</f>
        <v/>
      </c>
      <c r="BP225" s="10">
        <f>AP52</f>
        <v/>
      </c>
    </row>
    <row r="226">
      <c r="BN226" s="8" t="n">
        <v>46631</v>
      </c>
      <c r="BO226">
        <f>Inputs!$A$42</f>
        <v/>
      </c>
      <c r="BP226" s="10">
        <f>AQ52</f>
        <v/>
      </c>
    </row>
    <row r="227">
      <c r="BN227" s="8" t="n">
        <v>46631</v>
      </c>
      <c r="BO227">
        <f>Inputs!$A$43</f>
        <v/>
      </c>
      <c r="BP227" s="10">
        <f>AR52</f>
        <v/>
      </c>
    </row>
    <row r="228">
      <c r="BN228" s="8" t="n">
        <v>46631</v>
      </c>
      <c r="BO228">
        <f>Inputs!$A$44</f>
        <v/>
      </c>
      <c r="BP228" s="10">
        <f>AS52</f>
        <v/>
      </c>
    </row>
    <row r="229">
      <c r="BN229" s="8" t="n">
        <v>46631</v>
      </c>
      <c r="BO229">
        <f>Inputs!$A$45</f>
        <v/>
      </c>
      <c r="BP229" s="10">
        <f>AT52</f>
        <v/>
      </c>
    </row>
    <row r="230">
      <c r="BN230" s="8" t="n">
        <v>46661</v>
      </c>
      <c r="BO230">
        <f>Inputs!$A$36</f>
        <v/>
      </c>
      <c r="BP230" s="10">
        <f>AK53</f>
        <v/>
      </c>
    </row>
    <row r="231">
      <c r="BN231" s="8" t="n">
        <v>46661</v>
      </c>
      <c r="BO231">
        <f>Inputs!$A$37</f>
        <v/>
      </c>
      <c r="BP231" s="10">
        <f>AL53</f>
        <v/>
      </c>
    </row>
    <row r="232">
      <c r="BN232" s="8" t="n">
        <v>46661</v>
      </c>
      <c r="BO232">
        <f>Inputs!$A$38</f>
        <v/>
      </c>
      <c r="BP232" s="10">
        <f>AM53</f>
        <v/>
      </c>
    </row>
    <row r="233">
      <c r="BN233" s="8" t="n">
        <v>46661</v>
      </c>
      <c r="BO233">
        <f>Inputs!$A$39</f>
        <v/>
      </c>
      <c r="BP233" s="10">
        <f>AN53</f>
        <v/>
      </c>
    </row>
    <row r="234">
      <c r="BN234" s="8" t="n">
        <v>46661</v>
      </c>
      <c r="BO234">
        <f>Inputs!$A$40</f>
        <v/>
      </c>
      <c r="BP234" s="10">
        <f>AO53</f>
        <v/>
      </c>
    </row>
    <row r="235">
      <c r="BN235" s="8" t="n">
        <v>46661</v>
      </c>
      <c r="BO235">
        <f>Inputs!$A$41</f>
        <v/>
      </c>
      <c r="BP235" s="10">
        <f>AP53</f>
        <v/>
      </c>
    </row>
    <row r="236">
      <c r="BN236" s="8" t="n">
        <v>46661</v>
      </c>
      <c r="BO236">
        <f>Inputs!$A$42</f>
        <v/>
      </c>
      <c r="BP236" s="10">
        <f>AQ53</f>
        <v/>
      </c>
    </row>
    <row r="237">
      <c r="BN237" s="8" t="n">
        <v>46661</v>
      </c>
      <c r="BO237">
        <f>Inputs!$A$43</f>
        <v/>
      </c>
      <c r="BP237" s="10">
        <f>AR53</f>
        <v/>
      </c>
    </row>
    <row r="238">
      <c r="BN238" s="8" t="n">
        <v>46661</v>
      </c>
      <c r="BO238">
        <f>Inputs!$A$44</f>
        <v/>
      </c>
      <c r="BP238" s="10">
        <f>AS53</f>
        <v/>
      </c>
    </row>
    <row r="239">
      <c r="BN239" s="8" t="n">
        <v>46661</v>
      </c>
      <c r="BO239">
        <f>Inputs!$A$45</f>
        <v/>
      </c>
      <c r="BP239" s="10">
        <f>AT53</f>
        <v/>
      </c>
    </row>
    <row r="240">
      <c r="BN240" s="8" t="n">
        <v>46692</v>
      </c>
      <c r="BO240">
        <f>Inputs!$A$36</f>
        <v/>
      </c>
      <c r="BP240" s="10">
        <f>AK54</f>
        <v/>
      </c>
    </row>
    <row r="241">
      <c r="BN241" s="8" t="n">
        <v>46692</v>
      </c>
      <c r="BO241">
        <f>Inputs!$A$37</f>
        <v/>
      </c>
      <c r="BP241" s="10">
        <f>AL54</f>
        <v/>
      </c>
    </row>
    <row r="242">
      <c r="BN242" s="8" t="n">
        <v>46692</v>
      </c>
      <c r="BO242">
        <f>Inputs!$A$38</f>
        <v/>
      </c>
      <c r="BP242" s="10">
        <f>AM54</f>
        <v/>
      </c>
    </row>
    <row r="243">
      <c r="BN243" s="8" t="n">
        <v>46692</v>
      </c>
      <c r="BO243">
        <f>Inputs!$A$39</f>
        <v/>
      </c>
      <c r="BP243" s="10">
        <f>AN54</f>
        <v/>
      </c>
    </row>
    <row r="244">
      <c r="BN244" s="8" t="n">
        <v>46692</v>
      </c>
      <c r="BO244">
        <f>Inputs!$A$40</f>
        <v/>
      </c>
      <c r="BP244" s="10">
        <f>AO54</f>
        <v/>
      </c>
    </row>
    <row r="245">
      <c r="BN245" s="8" t="n">
        <v>46692</v>
      </c>
      <c r="BO245">
        <f>Inputs!$A$41</f>
        <v/>
      </c>
      <c r="BP245" s="10">
        <f>AP54</f>
        <v/>
      </c>
    </row>
    <row r="246">
      <c r="BN246" s="8" t="n">
        <v>46692</v>
      </c>
      <c r="BO246">
        <f>Inputs!$A$42</f>
        <v/>
      </c>
      <c r="BP246" s="10">
        <f>AQ54</f>
        <v/>
      </c>
    </row>
    <row r="247">
      <c r="BN247" s="8" t="n">
        <v>46692</v>
      </c>
      <c r="BO247">
        <f>Inputs!$A$43</f>
        <v/>
      </c>
      <c r="BP247" s="10">
        <f>AR54</f>
        <v/>
      </c>
    </row>
    <row r="248">
      <c r="BN248" s="8" t="n">
        <v>46692</v>
      </c>
      <c r="BO248">
        <f>Inputs!$A$44</f>
        <v/>
      </c>
      <c r="BP248" s="10">
        <f>AS54</f>
        <v/>
      </c>
    </row>
    <row r="249">
      <c r="BN249" s="8" t="n">
        <v>46692</v>
      </c>
      <c r="BO249">
        <f>Inputs!$A$45</f>
        <v/>
      </c>
      <c r="BP249" s="10">
        <f>AT54</f>
        <v/>
      </c>
    </row>
    <row r="250">
      <c r="BN250" s="8" t="n">
        <v>46722</v>
      </c>
      <c r="BO250">
        <f>Inputs!$A$36</f>
        <v/>
      </c>
      <c r="BP250" s="10">
        <f>AK55</f>
        <v/>
      </c>
    </row>
    <row r="251">
      <c r="BN251" s="8" t="n">
        <v>46722</v>
      </c>
      <c r="BO251">
        <f>Inputs!$A$37</f>
        <v/>
      </c>
      <c r="BP251" s="10">
        <f>AL55</f>
        <v/>
      </c>
    </row>
    <row r="252">
      <c r="BN252" s="8" t="n">
        <v>46722</v>
      </c>
      <c r="BO252">
        <f>Inputs!$A$38</f>
        <v/>
      </c>
      <c r="BP252" s="10">
        <f>AM55</f>
        <v/>
      </c>
    </row>
    <row r="253">
      <c r="BN253" s="8" t="n">
        <v>46722</v>
      </c>
      <c r="BO253">
        <f>Inputs!$A$39</f>
        <v/>
      </c>
      <c r="BP253" s="10">
        <f>AN55</f>
        <v/>
      </c>
    </row>
    <row r="254">
      <c r="BN254" s="8" t="n">
        <v>46722</v>
      </c>
      <c r="BO254">
        <f>Inputs!$A$40</f>
        <v/>
      </c>
      <c r="BP254" s="10">
        <f>AO55</f>
        <v/>
      </c>
    </row>
    <row r="255">
      <c r="BN255" s="8" t="n">
        <v>46722</v>
      </c>
      <c r="BO255">
        <f>Inputs!$A$41</f>
        <v/>
      </c>
      <c r="BP255" s="10">
        <f>AP55</f>
        <v/>
      </c>
    </row>
    <row r="256">
      <c r="BN256" s="8" t="n">
        <v>46722</v>
      </c>
      <c r="BO256">
        <f>Inputs!$A$42</f>
        <v/>
      </c>
      <c r="BP256" s="10">
        <f>AQ55</f>
        <v/>
      </c>
    </row>
    <row r="257">
      <c r="BN257" s="8" t="n">
        <v>46722</v>
      </c>
      <c r="BO257">
        <f>Inputs!$A$43</f>
        <v/>
      </c>
      <c r="BP257" s="10">
        <f>AR55</f>
        <v/>
      </c>
    </row>
    <row r="258">
      <c r="BN258" s="8" t="n">
        <v>46722</v>
      </c>
      <c r="BO258">
        <f>Inputs!$A$44</f>
        <v/>
      </c>
      <c r="BP258" s="10">
        <f>AS55</f>
        <v/>
      </c>
    </row>
    <row r="259">
      <c r="BN259" s="8" t="n">
        <v>46722</v>
      </c>
      <c r="BO259">
        <f>Inputs!$A$45</f>
        <v/>
      </c>
      <c r="BP259" s="10">
        <f>AT55</f>
        <v/>
      </c>
    </row>
    <row r="260">
      <c r="BN260" s="8" t="n">
        <v>46753</v>
      </c>
      <c r="BO260">
        <f>Inputs!$A$36</f>
        <v/>
      </c>
      <c r="BP260" s="10">
        <f>AK56</f>
        <v/>
      </c>
    </row>
    <row r="261">
      <c r="BN261" s="8" t="n">
        <v>46753</v>
      </c>
      <c r="BO261">
        <f>Inputs!$A$37</f>
        <v/>
      </c>
      <c r="BP261" s="10">
        <f>AL56</f>
        <v/>
      </c>
    </row>
    <row r="262">
      <c r="BN262" s="8" t="n">
        <v>46753</v>
      </c>
      <c r="BO262">
        <f>Inputs!$A$38</f>
        <v/>
      </c>
      <c r="BP262" s="10">
        <f>AM56</f>
        <v/>
      </c>
    </row>
    <row r="263">
      <c r="BN263" s="8" t="n">
        <v>46753</v>
      </c>
      <c r="BO263">
        <f>Inputs!$A$39</f>
        <v/>
      </c>
      <c r="BP263" s="10">
        <f>AN56</f>
        <v/>
      </c>
    </row>
    <row r="264">
      <c r="BN264" s="8" t="n">
        <v>46753</v>
      </c>
      <c r="BO264">
        <f>Inputs!$A$40</f>
        <v/>
      </c>
      <c r="BP264" s="10">
        <f>AO56</f>
        <v/>
      </c>
    </row>
    <row r="265">
      <c r="BN265" s="8" t="n">
        <v>46753</v>
      </c>
      <c r="BO265">
        <f>Inputs!$A$41</f>
        <v/>
      </c>
      <c r="BP265" s="10">
        <f>AP56</f>
        <v/>
      </c>
    </row>
    <row r="266">
      <c r="BN266" s="8" t="n">
        <v>46753</v>
      </c>
      <c r="BO266">
        <f>Inputs!$A$42</f>
        <v/>
      </c>
      <c r="BP266" s="10">
        <f>AQ56</f>
        <v/>
      </c>
    </row>
    <row r="267">
      <c r="BN267" s="8" t="n">
        <v>46753</v>
      </c>
      <c r="BO267">
        <f>Inputs!$A$43</f>
        <v/>
      </c>
      <c r="BP267" s="10">
        <f>AR56</f>
        <v/>
      </c>
    </row>
    <row r="268">
      <c r="BN268" s="8" t="n">
        <v>46753</v>
      </c>
      <c r="BO268">
        <f>Inputs!$A$44</f>
        <v/>
      </c>
      <c r="BP268" s="10">
        <f>AS56</f>
        <v/>
      </c>
    </row>
    <row r="269">
      <c r="BN269" s="8" t="n">
        <v>46753</v>
      </c>
      <c r="BO269">
        <f>Inputs!$A$45</f>
        <v/>
      </c>
      <c r="BP269" s="10">
        <f>AT56</f>
        <v/>
      </c>
    </row>
    <row r="270">
      <c r="BN270" s="8" t="n">
        <v>46784</v>
      </c>
      <c r="BO270">
        <f>Inputs!$A$36</f>
        <v/>
      </c>
      <c r="BP270" s="10">
        <f>AK57</f>
        <v/>
      </c>
    </row>
    <row r="271">
      <c r="BN271" s="8" t="n">
        <v>46784</v>
      </c>
      <c r="BO271">
        <f>Inputs!$A$37</f>
        <v/>
      </c>
      <c r="BP271" s="10">
        <f>AL57</f>
        <v/>
      </c>
    </row>
    <row r="272">
      <c r="BN272" s="8" t="n">
        <v>46784</v>
      </c>
      <c r="BO272">
        <f>Inputs!$A$38</f>
        <v/>
      </c>
      <c r="BP272" s="10">
        <f>AM57</f>
        <v/>
      </c>
    </row>
    <row r="273">
      <c r="BN273" s="8" t="n">
        <v>46784</v>
      </c>
      <c r="BO273">
        <f>Inputs!$A$39</f>
        <v/>
      </c>
      <c r="BP273" s="10">
        <f>AN57</f>
        <v/>
      </c>
    </row>
    <row r="274">
      <c r="BN274" s="8" t="n">
        <v>46784</v>
      </c>
      <c r="BO274">
        <f>Inputs!$A$40</f>
        <v/>
      </c>
      <c r="BP274" s="10">
        <f>AO57</f>
        <v/>
      </c>
    </row>
    <row r="275">
      <c r="BN275" s="8" t="n">
        <v>46784</v>
      </c>
      <c r="BO275">
        <f>Inputs!$A$41</f>
        <v/>
      </c>
      <c r="BP275" s="10">
        <f>AP57</f>
        <v/>
      </c>
    </row>
    <row r="276">
      <c r="BN276" s="8" t="n">
        <v>46784</v>
      </c>
      <c r="BO276">
        <f>Inputs!$A$42</f>
        <v/>
      </c>
      <c r="BP276" s="10">
        <f>AQ57</f>
        <v/>
      </c>
    </row>
    <row r="277">
      <c r="BN277" s="8" t="n">
        <v>46784</v>
      </c>
      <c r="BO277">
        <f>Inputs!$A$43</f>
        <v/>
      </c>
      <c r="BP277" s="10">
        <f>AR57</f>
        <v/>
      </c>
    </row>
    <row r="278">
      <c r="BN278" s="8" t="n">
        <v>46784</v>
      </c>
      <c r="BO278">
        <f>Inputs!$A$44</f>
        <v/>
      </c>
      <c r="BP278" s="10">
        <f>AS57</f>
        <v/>
      </c>
    </row>
    <row r="279">
      <c r="BN279" s="8" t="n">
        <v>46784</v>
      </c>
      <c r="BO279">
        <f>Inputs!$A$45</f>
        <v/>
      </c>
      <c r="BP279" s="10">
        <f>AT57</f>
        <v/>
      </c>
    </row>
    <row r="280">
      <c r="BN280" s="8" t="n">
        <v>46813</v>
      </c>
      <c r="BO280">
        <f>Inputs!$A$36</f>
        <v/>
      </c>
      <c r="BP280" s="10">
        <f>AK58</f>
        <v/>
      </c>
    </row>
    <row r="281">
      <c r="BN281" s="8" t="n">
        <v>46813</v>
      </c>
      <c r="BO281">
        <f>Inputs!$A$37</f>
        <v/>
      </c>
      <c r="BP281" s="10">
        <f>AL58</f>
        <v/>
      </c>
    </row>
    <row r="282">
      <c r="BN282" s="8" t="n">
        <v>46813</v>
      </c>
      <c r="BO282">
        <f>Inputs!$A$38</f>
        <v/>
      </c>
      <c r="BP282" s="10">
        <f>AM58</f>
        <v/>
      </c>
    </row>
    <row r="283">
      <c r="BN283" s="8" t="n">
        <v>46813</v>
      </c>
      <c r="BO283">
        <f>Inputs!$A$39</f>
        <v/>
      </c>
      <c r="BP283" s="10">
        <f>AN58</f>
        <v/>
      </c>
    </row>
    <row r="284">
      <c r="BN284" s="8" t="n">
        <v>46813</v>
      </c>
      <c r="BO284">
        <f>Inputs!$A$40</f>
        <v/>
      </c>
      <c r="BP284" s="10">
        <f>AO58</f>
        <v/>
      </c>
    </row>
    <row r="285">
      <c r="BN285" s="8" t="n">
        <v>46813</v>
      </c>
      <c r="BO285">
        <f>Inputs!$A$41</f>
        <v/>
      </c>
      <c r="BP285" s="10">
        <f>AP58</f>
        <v/>
      </c>
    </row>
    <row r="286">
      <c r="BN286" s="8" t="n">
        <v>46813</v>
      </c>
      <c r="BO286">
        <f>Inputs!$A$42</f>
        <v/>
      </c>
      <c r="BP286" s="10">
        <f>AQ58</f>
        <v/>
      </c>
    </row>
    <row r="287">
      <c r="BN287" s="8" t="n">
        <v>46813</v>
      </c>
      <c r="BO287">
        <f>Inputs!$A$43</f>
        <v/>
      </c>
      <c r="BP287" s="10">
        <f>AR58</f>
        <v/>
      </c>
    </row>
    <row r="288">
      <c r="BN288" s="8" t="n">
        <v>46813</v>
      </c>
      <c r="BO288">
        <f>Inputs!$A$44</f>
        <v/>
      </c>
      <c r="BP288" s="10">
        <f>AS58</f>
        <v/>
      </c>
    </row>
    <row r="289">
      <c r="BN289" s="8" t="n">
        <v>46813</v>
      </c>
      <c r="BO289">
        <f>Inputs!$A$45</f>
        <v/>
      </c>
      <c r="BP289" s="10">
        <f>AT58</f>
        <v/>
      </c>
    </row>
    <row r="290">
      <c r="BN290" s="8" t="n">
        <v>46844</v>
      </c>
      <c r="BO290">
        <f>Inputs!$A$36</f>
        <v/>
      </c>
      <c r="BP290" s="10">
        <f>AK59</f>
        <v/>
      </c>
    </row>
    <row r="291">
      <c r="BN291" s="8" t="n">
        <v>46844</v>
      </c>
      <c r="BO291">
        <f>Inputs!$A$37</f>
        <v/>
      </c>
      <c r="BP291" s="10">
        <f>AL59</f>
        <v/>
      </c>
    </row>
    <row r="292">
      <c r="BN292" s="8" t="n">
        <v>46844</v>
      </c>
      <c r="BO292">
        <f>Inputs!$A$38</f>
        <v/>
      </c>
      <c r="BP292" s="10">
        <f>AM59</f>
        <v/>
      </c>
    </row>
    <row r="293">
      <c r="BN293" s="8" t="n">
        <v>46844</v>
      </c>
      <c r="BO293">
        <f>Inputs!$A$39</f>
        <v/>
      </c>
      <c r="BP293" s="10">
        <f>AN59</f>
        <v/>
      </c>
    </row>
    <row r="294">
      <c r="BN294" s="8" t="n">
        <v>46844</v>
      </c>
      <c r="BO294">
        <f>Inputs!$A$40</f>
        <v/>
      </c>
      <c r="BP294" s="10">
        <f>AO59</f>
        <v/>
      </c>
    </row>
    <row r="295">
      <c r="BN295" s="8" t="n">
        <v>46844</v>
      </c>
      <c r="BO295">
        <f>Inputs!$A$41</f>
        <v/>
      </c>
      <c r="BP295" s="10">
        <f>AP59</f>
        <v/>
      </c>
    </row>
    <row r="296">
      <c r="BN296" s="8" t="n">
        <v>46844</v>
      </c>
      <c r="BO296">
        <f>Inputs!$A$42</f>
        <v/>
      </c>
      <c r="BP296" s="10">
        <f>AQ59</f>
        <v/>
      </c>
    </row>
    <row r="297">
      <c r="BN297" s="8" t="n">
        <v>46844</v>
      </c>
      <c r="BO297">
        <f>Inputs!$A$43</f>
        <v/>
      </c>
      <c r="BP297" s="10">
        <f>AR59</f>
        <v/>
      </c>
    </row>
    <row r="298">
      <c r="BN298" s="8" t="n">
        <v>46844</v>
      </c>
      <c r="BO298">
        <f>Inputs!$A$44</f>
        <v/>
      </c>
      <c r="BP298" s="10">
        <f>AS59</f>
        <v/>
      </c>
    </row>
    <row r="299">
      <c r="BN299" s="8" t="n">
        <v>46844</v>
      </c>
      <c r="BO299">
        <f>Inputs!$A$45</f>
        <v/>
      </c>
      <c r="BP299" s="10">
        <f>AT59</f>
        <v/>
      </c>
    </row>
    <row r="300">
      <c r="BN300" s="8" t="n">
        <v>46874</v>
      </c>
      <c r="BO300">
        <f>Inputs!$A$36</f>
        <v/>
      </c>
      <c r="BP300" s="10">
        <f>AK60</f>
        <v/>
      </c>
    </row>
    <row r="301">
      <c r="BN301" s="8" t="n">
        <v>46874</v>
      </c>
      <c r="BO301">
        <f>Inputs!$A$37</f>
        <v/>
      </c>
      <c r="BP301" s="10">
        <f>AL60</f>
        <v/>
      </c>
    </row>
    <row r="302">
      <c r="BN302" s="8" t="n">
        <v>46874</v>
      </c>
      <c r="BO302">
        <f>Inputs!$A$38</f>
        <v/>
      </c>
      <c r="BP302" s="10">
        <f>AM60</f>
        <v/>
      </c>
    </row>
    <row r="303">
      <c r="BN303" s="8" t="n">
        <v>46874</v>
      </c>
      <c r="BO303">
        <f>Inputs!$A$39</f>
        <v/>
      </c>
      <c r="BP303" s="10">
        <f>AN60</f>
        <v/>
      </c>
    </row>
    <row r="304">
      <c r="BN304" s="8" t="n">
        <v>46874</v>
      </c>
      <c r="BO304">
        <f>Inputs!$A$40</f>
        <v/>
      </c>
      <c r="BP304" s="10">
        <f>AO60</f>
        <v/>
      </c>
    </row>
    <row r="305">
      <c r="BN305" s="8" t="n">
        <v>46874</v>
      </c>
      <c r="BO305">
        <f>Inputs!$A$41</f>
        <v/>
      </c>
      <c r="BP305" s="10">
        <f>AP60</f>
        <v/>
      </c>
    </row>
    <row r="306">
      <c r="BN306" s="8" t="n">
        <v>46874</v>
      </c>
      <c r="BO306">
        <f>Inputs!$A$42</f>
        <v/>
      </c>
      <c r="BP306" s="10">
        <f>AQ60</f>
        <v/>
      </c>
    </row>
    <row r="307">
      <c r="BN307" s="8" t="n">
        <v>46874</v>
      </c>
      <c r="BO307">
        <f>Inputs!$A$43</f>
        <v/>
      </c>
      <c r="BP307" s="10">
        <f>AR60</f>
        <v/>
      </c>
    </row>
    <row r="308">
      <c r="BN308" s="8" t="n">
        <v>46874</v>
      </c>
      <c r="BO308">
        <f>Inputs!$A$44</f>
        <v/>
      </c>
      <c r="BP308" s="10">
        <f>AS60</f>
        <v/>
      </c>
    </row>
    <row r="309">
      <c r="BN309" s="8" t="n">
        <v>46874</v>
      </c>
      <c r="BO309">
        <f>Inputs!$A$45</f>
        <v/>
      </c>
      <c r="BP309" s="10">
        <f>AT60</f>
        <v/>
      </c>
    </row>
    <row r="310">
      <c r="BN310" s="8" t="n">
        <v>46905</v>
      </c>
      <c r="BO310">
        <f>Inputs!$A$36</f>
        <v/>
      </c>
      <c r="BP310" s="10">
        <f>AK61</f>
        <v/>
      </c>
    </row>
    <row r="311">
      <c r="BN311" s="8" t="n">
        <v>46905</v>
      </c>
      <c r="BO311">
        <f>Inputs!$A$37</f>
        <v/>
      </c>
      <c r="BP311" s="10">
        <f>AL61</f>
        <v/>
      </c>
    </row>
    <row r="312">
      <c r="BN312" s="8" t="n">
        <v>46905</v>
      </c>
      <c r="BO312">
        <f>Inputs!$A$38</f>
        <v/>
      </c>
      <c r="BP312" s="10">
        <f>AM61</f>
        <v/>
      </c>
    </row>
    <row r="313">
      <c r="BN313" s="8" t="n">
        <v>46905</v>
      </c>
      <c r="BO313">
        <f>Inputs!$A$39</f>
        <v/>
      </c>
      <c r="BP313" s="10">
        <f>AN61</f>
        <v/>
      </c>
    </row>
    <row r="314">
      <c r="BN314" s="8" t="n">
        <v>46905</v>
      </c>
      <c r="BO314">
        <f>Inputs!$A$40</f>
        <v/>
      </c>
      <c r="BP314" s="10">
        <f>AO61</f>
        <v/>
      </c>
    </row>
    <row r="315">
      <c r="BN315" s="8" t="n">
        <v>46905</v>
      </c>
      <c r="BO315">
        <f>Inputs!$A$41</f>
        <v/>
      </c>
      <c r="BP315" s="10">
        <f>AP61</f>
        <v/>
      </c>
    </row>
    <row r="316">
      <c r="BN316" s="8" t="n">
        <v>46905</v>
      </c>
      <c r="BO316">
        <f>Inputs!$A$42</f>
        <v/>
      </c>
      <c r="BP316" s="10">
        <f>AQ61</f>
        <v/>
      </c>
    </row>
    <row r="317">
      <c r="BN317" s="8" t="n">
        <v>46905</v>
      </c>
      <c r="BO317">
        <f>Inputs!$A$43</f>
        <v/>
      </c>
      <c r="BP317" s="10">
        <f>AR61</f>
        <v/>
      </c>
    </row>
    <row r="318">
      <c r="BN318" s="8" t="n">
        <v>46905</v>
      </c>
      <c r="BO318">
        <f>Inputs!$A$44</f>
        <v/>
      </c>
      <c r="BP318" s="10">
        <f>AS61</f>
        <v/>
      </c>
    </row>
    <row r="319">
      <c r="BN319" s="8" t="n">
        <v>46905</v>
      </c>
      <c r="BO319">
        <f>Inputs!$A$45</f>
        <v/>
      </c>
      <c r="BP319" s="10">
        <f>AT61</f>
        <v/>
      </c>
    </row>
    <row r="320">
      <c r="BN320" s="8" t="n">
        <v>46935</v>
      </c>
      <c r="BO320">
        <f>Inputs!$A$36</f>
        <v/>
      </c>
      <c r="BP320" s="10">
        <f>AK62</f>
        <v/>
      </c>
    </row>
    <row r="321">
      <c r="BN321" s="8" t="n">
        <v>46935</v>
      </c>
      <c r="BO321">
        <f>Inputs!$A$37</f>
        <v/>
      </c>
      <c r="BP321" s="10">
        <f>AL62</f>
        <v/>
      </c>
    </row>
    <row r="322">
      <c r="BN322" s="8" t="n">
        <v>46935</v>
      </c>
      <c r="BO322">
        <f>Inputs!$A$38</f>
        <v/>
      </c>
      <c r="BP322" s="10">
        <f>AM62</f>
        <v/>
      </c>
    </row>
    <row r="323">
      <c r="BN323" s="8" t="n">
        <v>46935</v>
      </c>
      <c r="BO323">
        <f>Inputs!$A$39</f>
        <v/>
      </c>
      <c r="BP323" s="10">
        <f>AN62</f>
        <v/>
      </c>
    </row>
    <row r="324">
      <c r="BN324" s="8" t="n">
        <v>46935</v>
      </c>
      <c r="BO324">
        <f>Inputs!$A$40</f>
        <v/>
      </c>
      <c r="BP324" s="10">
        <f>AO62</f>
        <v/>
      </c>
    </row>
    <row r="325">
      <c r="BN325" s="8" t="n">
        <v>46935</v>
      </c>
      <c r="BO325">
        <f>Inputs!$A$41</f>
        <v/>
      </c>
      <c r="BP325" s="10">
        <f>AP62</f>
        <v/>
      </c>
    </row>
    <row r="326">
      <c r="BN326" s="8" t="n">
        <v>46935</v>
      </c>
      <c r="BO326">
        <f>Inputs!$A$42</f>
        <v/>
      </c>
      <c r="BP326" s="10">
        <f>AQ62</f>
        <v/>
      </c>
    </row>
    <row r="327">
      <c r="BN327" s="8" t="n">
        <v>46935</v>
      </c>
      <c r="BO327">
        <f>Inputs!$A$43</f>
        <v/>
      </c>
      <c r="BP327" s="10">
        <f>AR62</f>
        <v/>
      </c>
    </row>
    <row r="328">
      <c r="BN328" s="8" t="n">
        <v>46935</v>
      </c>
      <c r="BO328">
        <f>Inputs!$A$44</f>
        <v/>
      </c>
      <c r="BP328" s="10">
        <f>AS62</f>
        <v/>
      </c>
    </row>
    <row r="329">
      <c r="BN329" s="8" t="n">
        <v>46935</v>
      </c>
      <c r="BO329">
        <f>Inputs!$A$45</f>
        <v/>
      </c>
      <c r="BP329" s="10">
        <f>AT62</f>
        <v/>
      </c>
    </row>
    <row r="330">
      <c r="BN330" s="8" t="n">
        <v>46966</v>
      </c>
      <c r="BO330">
        <f>Inputs!$A$36</f>
        <v/>
      </c>
      <c r="BP330" s="10">
        <f>AK63</f>
        <v/>
      </c>
    </row>
    <row r="331">
      <c r="BN331" s="8" t="n">
        <v>46966</v>
      </c>
      <c r="BO331">
        <f>Inputs!$A$37</f>
        <v/>
      </c>
      <c r="BP331" s="10">
        <f>AL63</f>
        <v/>
      </c>
    </row>
    <row r="332">
      <c r="BN332" s="8" t="n">
        <v>46966</v>
      </c>
      <c r="BO332">
        <f>Inputs!$A$38</f>
        <v/>
      </c>
      <c r="BP332" s="10">
        <f>AM63</f>
        <v/>
      </c>
    </row>
    <row r="333">
      <c r="BN333" s="8" t="n">
        <v>46966</v>
      </c>
      <c r="BO333">
        <f>Inputs!$A$39</f>
        <v/>
      </c>
      <c r="BP333" s="10">
        <f>AN63</f>
        <v/>
      </c>
    </row>
    <row r="334">
      <c r="BN334" s="8" t="n">
        <v>46966</v>
      </c>
      <c r="BO334">
        <f>Inputs!$A$40</f>
        <v/>
      </c>
      <c r="BP334" s="10">
        <f>AO63</f>
        <v/>
      </c>
    </row>
    <row r="335">
      <c r="BN335" s="8" t="n">
        <v>46966</v>
      </c>
      <c r="BO335">
        <f>Inputs!$A$41</f>
        <v/>
      </c>
      <c r="BP335" s="10">
        <f>AP63</f>
        <v/>
      </c>
    </row>
    <row r="336">
      <c r="BN336" s="8" t="n">
        <v>46966</v>
      </c>
      <c r="BO336">
        <f>Inputs!$A$42</f>
        <v/>
      </c>
      <c r="BP336" s="10">
        <f>AQ63</f>
        <v/>
      </c>
    </row>
    <row r="337">
      <c r="BN337" s="8" t="n">
        <v>46966</v>
      </c>
      <c r="BO337">
        <f>Inputs!$A$43</f>
        <v/>
      </c>
      <c r="BP337" s="10">
        <f>AR63</f>
        <v/>
      </c>
    </row>
    <row r="338">
      <c r="BN338" s="8" t="n">
        <v>46966</v>
      </c>
      <c r="BO338">
        <f>Inputs!$A$44</f>
        <v/>
      </c>
      <c r="BP338" s="10">
        <f>AS63</f>
        <v/>
      </c>
    </row>
    <row r="339">
      <c r="BN339" s="8" t="n">
        <v>46966</v>
      </c>
      <c r="BO339">
        <f>Inputs!$A$45</f>
        <v/>
      </c>
      <c r="BP339" s="10">
        <f>AT63</f>
        <v/>
      </c>
    </row>
    <row r="340">
      <c r="BN340" s="8" t="n">
        <v>46997</v>
      </c>
      <c r="BO340">
        <f>Inputs!$A$36</f>
        <v/>
      </c>
      <c r="BP340" s="10">
        <f>AK64</f>
        <v/>
      </c>
    </row>
    <row r="341">
      <c r="BN341" s="8" t="n">
        <v>46997</v>
      </c>
      <c r="BO341">
        <f>Inputs!$A$37</f>
        <v/>
      </c>
      <c r="BP341" s="10">
        <f>AL64</f>
        <v/>
      </c>
    </row>
    <row r="342">
      <c r="BN342" s="8" t="n">
        <v>46997</v>
      </c>
      <c r="BO342">
        <f>Inputs!$A$38</f>
        <v/>
      </c>
      <c r="BP342" s="10">
        <f>AM64</f>
        <v/>
      </c>
    </row>
    <row r="343">
      <c r="BN343" s="8" t="n">
        <v>46997</v>
      </c>
      <c r="BO343">
        <f>Inputs!$A$39</f>
        <v/>
      </c>
      <c r="BP343" s="10">
        <f>AN64</f>
        <v/>
      </c>
    </row>
    <row r="344">
      <c r="BN344" s="8" t="n">
        <v>46997</v>
      </c>
      <c r="BO344">
        <f>Inputs!$A$40</f>
        <v/>
      </c>
      <c r="BP344" s="10">
        <f>AO64</f>
        <v/>
      </c>
    </row>
    <row r="345">
      <c r="BN345" s="8" t="n">
        <v>46997</v>
      </c>
      <c r="BO345">
        <f>Inputs!$A$41</f>
        <v/>
      </c>
      <c r="BP345" s="10">
        <f>AP64</f>
        <v/>
      </c>
    </row>
    <row r="346">
      <c r="BN346" s="8" t="n">
        <v>46997</v>
      </c>
      <c r="BO346">
        <f>Inputs!$A$42</f>
        <v/>
      </c>
      <c r="BP346" s="10">
        <f>AQ64</f>
        <v/>
      </c>
    </row>
    <row r="347">
      <c r="BN347" s="8" t="n">
        <v>46997</v>
      </c>
      <c r="BO347">
        <f>Inputs!$A$43</f>
        <v/>
      </c>
      <c r="BP347" s="10">
        <f>AR64</f>
        <v/>
      </c>
    </row>
    <row r="348">
      <c r="BN348" s="8" t="n">
        <v>46997</v>
      </c>
      <c r="BO348">
        <f>Inputs!$A$44</f>
        <v/>
      </c>
      <c r="BP348" s="10">
        <f>AS64</f>
        <v/>
      </c>
    </row>
    <row r="349">
      <c r="BN349" s="8" t="n">
        <v>46997</v>
      </c>
      <c r="BO349">
        <f>Inputs!$A$45</f>
        <v/>
      </c>
      <c r="BP349" s="10">
        <f>AT64</f>
        <v/>
      </c>
    </row>
    <row r="350">
      <c r="BN350" s="8" t="n">
        <v>47027</v>
      </c>
      <c r="BO350">
        <f>Inputs!$A$36</f>
        <v/>
      </c>
      <c r="BP350" s="10">
        <f>AK65</f>
        <v/>
      </c>
    </row>
    <row r="351">
      <c r="BN351" s="8" t="n">
        <v>47027</v>
      </c>
      <c r="BO351">
        <f>Inputs!$A$37</f>
        <v/>
      </c>
      <c r="BP351" s="10">
        <f>AL65</f>
        <v/>
      </c>
    </row>
    <row r="352">
      <c r="BN352" s="8" t="n">
        <v>47027</v>
      </c>
      <c r="BO352">
        <f>Inputs!$A$38</f>
        <v/>
      </c>
      <c r="BP352" s="10">
        <f>AM65</f>
        <v/>
      </c>
    </row>
    <row r="353">
      <c r="BN353" s="8" t="n">
        <v>47027</v>
      </c>
      <c r="BO353">
        <f>Inputs!$A$39</f>
        <v/>
      </c>
      <c r="BP353" s="10">
        <f>AN65</f>
        <v/>
      </c>
    </row>
    <row r="354">
      <c r="BN354" s="8" t="n">
        <v>47027</v>
      </c>
      <c r="BO354">
        <f>Inputs!$A$40</f>
        <v/>
      </c>
      <c r="BP354" s="10">
        <f>AO65</f>
        <v/>
      </c>
    </row>
    <row r="355">
      <c r="BN355" s="8" t="n">
        <v>47027</v>
      </c>
      <c r="BO355">
        <f>Inputs!$A$41</f>
        <v/>
      </c>
      <c r="BP355" s="10">
        <f>AP65</f>
        <v/>
      </c>
    </row>
    <row r="356">
      <c r="BN356" s="8" t="n">
        <v>47027</v>
      </c>
      <c r="BO356">
        <f>Inputs!$A$42</f>
        <v/>
      </c>
      <c r="BP356" s="10">
        <f>AQ65</f>
        <v/>
      </c>
    </row>
    <row r="357">
      <c r="BN357" s="8" t="n">
        <v>47027</v>
      </c>
      <c r="BO357">
        <f>Inputs!$A$43</f>
        <v/>
      </c>
      <c r="BP357" s="10">
        <f>AR65</f>
        <v/>
      </c>
    </row>
    <row r="358">
      <c r="BN358" s="8" t="n">
        <v>47027</v>
      </c>
      <c r="BO358">
        <f>Inputs!$A$44</f>
        <v/>
      </c>
      <c r="BP358" s="10">
        <f>AS65</f>
        <v/>
      </c>
    </row>
    <row r="359">
      <c r="BN359" s="8" t="n">
        <v>47027</v>
      </c>
      <c r="BO359">
        <f>Inputs!$A$45</f>
        <v/>
      </c>
      <c r="BP359" s="10">
        <f>AT65</f>
        <v/>
      </c>
    </row>
    <row r="360">
      <c r="BN360" s="8" t="n">
        <v>47058</v>
      </c>
      <c r="BO360">
        <f>Inputs!$A$36</f>
        <v/>
      </c>
      <c r="BP360" s="10">
        <f>AK66</f>
        <v/>
      </c>
    </row>
    <row r="361">
      <c r="BN361" s="8" t="n">
        <v>47058</v>
      </c>
      <c r="BO361">
        <f>Inputs!$A$37</f>
        <v/>
      </c>
      <c r="BP361" s="10">
        <f>AL66</f>
        <v/>
      </c>
    </row>
    <row r="362">
      <c r="BN362" s="8" t="n">
        <v>47058</v>
      </c>
      <c r="BO362">
        <f>Inputs!$A$38</f>
        <v/>
      </c>
      <c r="BP362" s="10">
        <f>AM66</f>
        <v/>
      </c>
    </row>
    <row r="363">
      <c r="BN363" s="8" t="n">
        <v>47058</v>
      </c>
      <c r="BO363">
        <f>Inputs!$A$39</f>
        <v/>
      </c>
      <c r="BP363" s="10">
        <f>AN66</f>
        <v/>
      </c>
    </row>
    <row r="364">
      <c r="BN364" s="8" t="n">
        <v>47058</v>
      </c>
      <c r="BO364">
        <f>Inputs!$A$40</f>
        <v/>
      </c>
      <c r="BP364" s="10">
        <f>AO66</f>
        <v/>
      </c>
    </row>
    <row r="365">
      <c r="BN365" s="8" t="n">
        <v>47058</v>
      </c>
      <c r="BO365">
        <f>Inputs!$A$41</f>
        <v/>
      </c>
      <c r="BP365" s="10">
        <f>AP66</f>
        <v/>
      </c>
    </row>
    <row r="366">
      <c r="BN366" s="8" t="n">
        <v>47058</v>
      </c>
      <c r="BO366">
        <f>Inputs!$A$42</f>
        <v/>
      </c>
      <c r="BP366" s="10">
        <f>AQ66</f>
        <v/>
      </c>
    </row>
    <row r="367">
      <c r="BN367" s="8" t="n">
        <v>47058</v>
      </c>
      <c r="BO367">
        <f>Inputs!$A$43</f>
        <v/>
      </c>
      <c r="BP367" s="10">
        <f>AR66</f>
        <v/>
      </c>
    </row>
    <row r="368">
      <c r="BN368" s="8" t="n">
        <v>47058</v>
      </c>
      <c r="BO368">
        <f>Inputs!$A$44</f>
        <v/>
      </c>
      <c r="BP368" s="10">
        <f>AS66</f>
        <v/>
      </c>
    </row>
    <row r="369">
      <c r="BN369" s="8" t="n">
        <v>47058</v>
      </c>
      <c r="BO369">
        <f>Inputs!$A$45</f>
        <v/>
      </c>
      <c r="BP369" s="10">
        <f>AT66</f>
        <v/>
      </c>
    </row>
    <row r="370">
      <c r="BN370" s="8" t="n">
        <v>47088</v>
      </c>
      <c r="BO370">
        <f>Inputs!$A$36</f>
        <v/>
      </c>
      <c r="BP370" s="10">
        <f>AK67</f>
        <v/>
      </c>
    </row>
    <row r="371">
      <c r="BN371" s="8" t="n">
        <v>47088</v>
      </c>
      <c r="BO371">
        <f>Inputs!$A$37</f>
        <v/>
      </c>
      <c r="BP371" s="10">
        <f>AL67</f>
        <v/>
      </c>
    </row>
    <row r="372">
      <c r="BN372" s="8" t="n">
        <v>47088</v>
      </c>
      <c r="BO372">
        <f>Inputs!$A$38</f>
        <v/>
      </c>
      <c r="BP372" s="10">
        <f>AM67</f>
        <v/>
      </c>
    </row>
    <row r="373">
      <c r="BN373" s="8" t="n">
        <v>47088</v>
      </c>
      <c r="BO373">
        <f>Inputs!$A$39</f>
        <v/>
      </c>
      <c r="BP373" s="10">
        <f>AN67</f>
        <v/>
      </c>
    </row>
    <row r="374">
      <c r="BN374" s="8" t="n">
        <v>47088</v>
      </c>
      <c r="BO374">
        <f>Inputs!$A$40</f>
        <v/>
      </c>
      <c r="BP374" s="10">
        <f>AO67</f>
        <v/>
      </c>
    </row>
    <row r="375">
      <c r="BN375" s="8" t="n">
        <v>47088</v>
      </c>
      <c r="BO375">
        <f>Inputs!$A$41</f>
        <v/>
      </c>
      <c r="BP375" s="10">
        <f>AP67</f>
        <v/>
      </c>
    </row>
    <row r="376">
      <c r="BN376" s="8" t="n">
        <v>47088</v>
      </c>
      <c r="BO376">
        <f>Inputs!$A$42</f>
        <v/>
      </c>
      <c r="BP376" s="10">
        <f>AQ67</f>
        <v/>
      </c>
    </row>
    <row r="377">
      <c r="BN377" s="8" t="n">
        <v>47088</v>
      </c>
      <c r="BO377">
        <f>Inputs!$A$43</f>
        <v/>
      </c>
      <c r="BP377" s="10">
        <f>AR67</f>
        <v/>
      </c>
    </row>
    <row r="378">
      <c r="BN378" s="8" t="n">
        <v>47088</v>
      </c>
      <c r="BO378">
        <f>Inputs!$A$44</f>
        <v/>
      </c>
      <c r="BP378" s="10">
        <f>AS67</f>
        <v/>
      </c>
    </row>
    <row r="379">
      <c r="BN379" s="8" t="n">
        <v>47088</v>
      </c>
      <c r="BO379">
        <f>Inputs!$A$45</f>
        <v/>
      </c>
      <c r="BP379" s="10">
        <f>AT67</f>
        <v/>
      </c>
    </row>
  </sheetData>
  <mergeCells count="7">
    <mergeCell ref="BN18:BP18"/>
    <mergeCell ref="O18:X18"/>
    <mergeCell ref="D18:M18"/>
    <mergeCell ref="AV18:BE18"/>
    <mergeCell ref="AK18:AT18"/>
    <mergeCell ref="Z18:AI18"/>
    <mergeCell ref="BG18:BL18"/>
  </mergeCells>
  <conditionalFormatting sqref="A20:BL67">
    <cfRule type="expression" priority="1" dxfId="0">
      <formula>$B20="Actual"</formula>
    </cfRule>
  </conditionalFormatting>
  <dataValidations count="1">
    <dataValidation sqref="D15 E15 F15 G15 H15 I15 J15 K15 L15 M15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Chamber weights: share of each site's cases by chamber</t>
        </is>
      </c>
    </row>
    <row r="2">
      <c r="A2" s="6" t="inlineStr">
        <is>
          <t>Paste cases by chamber for each site (e.g. the last 3 months, if the mix has changed). The % table below splits every site tab's cases, hours and payroll by chamber, in actual and forecast months.</t>
        </is>
      </c>
    </row>
    <row r="4">
      <c r="A4" s="7" t="inlineStr">
        <is>
          <t>Cases</t>
        </is>
      </c>
      <c r="B4" s="7">
        <f>Inputs!$A$36</f>
        <v/>
      </c>
      <c r="C4" s="7">
        <f>Inputs!$A$37</f>
        <v/>
      </c>
      <c r="D4" s="7">
        <f>Inputs!$A$38</f>
        <v/>
      </c>
      <c r="E4" s="7">
        <f>Inputs!$A$39</f>
        <v/>
      </c>
      <c r="F4" s="7">
        <f>Inputs!$A$40</f>
        <v/>
      </c>
      <c r="G4" s="7">
        <f>Inputs!$A$41</f>
        <v/>
      </c>
      <c r="H4" s="7">
        <f>Inputs!$A$42</f>
        <v/>
      </c>
      <c r="I4" s="7">
        <f>Inputs!$A$43</f>
        <v/>
      </c>
      <c r="J4" s="7">
        <f>Inputs!$A$44</f>
        <v/>
      </c>
      <c r="K4" s="7">
        <f>Inputs!$A$45</f>
        <v/>
      </c>
      <c r="L4" s="7" t="inlineStr">
        <is>
          <t>Total</t>
        </is>
      </c>
    </row>
    <row r="5">
      <c r="A5" t="inlineStr">
        <is>
          <t>Ambient</t>
        </is>
      </c>
      <c r="B5" s="11" t="n">
        <v>5888234</v>
      </c>
      <c r="C5" s="11" t="n">
        <v>5232921</v>
      </c>
      <c r="D5" s="11" t="n">
        <v>4678306</v>
      </c>
      <c r="E5" s="11" t="n">
        <v>4735927</v>
      </c>
      <c r="F5" s="11" t="n">
        <v>4902900</v>
      </c>
      <c r="G5" s="11" t="n">
        <v>4642512</v>
      </c>
      <c r="H5" s="11" t="n">
        <v>3450065</v>
      </c>
      <c r="I5" s="11" t="n">
        <v>4491042</v>
      </c>
      <c r="J5" s="11" t="n">
        <v>958202</v>
      </c>
      <c r="K5" s="11" t="n">
        <v>959220</v>
      </c>
      <c r="L5" s="9">
        <f>SUM(B5:K5)</f>
        <v/>
      </c>
    </row>
    <row r="6">
      <c r="A6" t="inlineStr">
        <is>
          <t>Chiller</t>
        </is>
      </c>
      <c r="B6" s="11" t="n">
        <v>3318594</v>
      </c>
      <c r="C6" s="11" t="n">
        <v>3722258</v>
      </c>
      <c r="D6" s="11" t="n">
        <v>2627158</v>
      </c>
      <c r="E6" s="11" t="n">
        <v>3166203</v>
      </c>
      <c r="F6" s="11" t="n">
        <v>3459728</v>
      </c>
      <c r="G6" s="11" t="n">
        <v>3289068</v>
      </c>
      <c r="H6" s="11" t="n">
        <v>1968122</v>
      </c>
      <c r="I6" s="11" t="n">
        <v>2615720</v>
      </c>
      <c r="J6" s="11" t="n">
        <v>212817</v>
      </c>
      <c r="K6" s="11" t="n">
        <v>378386</v>
      </c>
      <c r="L6" s="9">
        <f>SUM(B6:K6)</f>
        <v/>
      </c>
    </row>
    <row r="7">
      <c r="A7" t="inlineStr">
        <is>
          <t>Freezer</t>
        </is>
      </c>
      <c r="B7" s="11" t="n">
        <v>459564</v>
      </c>
      <c r="C7" s="11" t="n">
        <v>0</v>
      </c>
      <c r="D7" s="11" t="n">
        <v>327452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1314009</v>
      </c>
      <c r="K7" s="11" t="n">
        <v>975144</v>
      </c>
      <c r="L7" s="9">
        <f>SUM(B7:K7)</f>
        <v/>
      </c>
    </row>
    <row r="8">
      <c r="A8" s="1" t="inlineStr">
        <is>
          <t>Total</t>
        </is>
      </c>
      <c r="B8" s="12">
        <f>SUM(B5:B7)</f>
        <v/>
      </c>
      <c r="C8" s="12">
        <f>SUM(C5:C7)</f>
        <v/>
      </c>
      <c r="D8" s="12">
        <f>SUM(D5:D7)</f>
        <v/>
      </c>
      <c r="E8" s="12">
        <f>SUM(E5:E7)</f>
        <v/>
      </c>
      <c r="F8" s="12">
        <f>SUM(F5:F7)</f>
        <v/>
      </c>
      <c r="G8" s="12">
        <f>SUM(G5:G7)</f>
        <v/>
      </c>
      <c r="H8" s="12">
        <f>SUM(H5:H7)</f>
        <v/>
      </c>
      <c r="I8" s="12">
        <f>SUM(I5:I7)</f>
        <v/>
      </c>
      <c r="J8" s="12">
        <f>SUM(J5:J7)</f>
        <v/>
      </c>
      <c r="K8" s="12">
        <f>SUM(K5:K7)</f>
        <v/>
      </c>
      <c r="L8" s="9">
        <f>SUM(B8:K8)</f>
        <v/>
      </c>
    </row>
    <row r="23">
      <c r="A23" s="7" t="inlineStr">
        <is>
          <t>Share of cases</t>
        </is>
      </c>
      <c r="B23" s="7">
        <f>Inputs!$A$36</f>
        <v/>
      </c>
      <c r="C23" s="7">
        <f>Inputs!$A$37</f>
        <v/>
      </c>
      <c r="D23" s="7">
        <f>Inputs!$A$38</f>
        <v/>
      </c>
      <c r="E23" s="7">
        <f>Inputs!$A$39</f>
        <v/>
      </c>
      <c r="F23" s="7">
        <f>Inputs!$A$40</f>
        <v/>
      </c>
      <c r="G23" s="7">
        <f>Inputs!$A$41</f>
        <v/>
      </c>
      <c r="H23" s="7">
        <f>Inputs!$A$42</f>
        <v/>
      </c>
      <c r="I23" s="7">
        <f>Inputs!$A$43</f>
        <v/>
      </c>
      <c r="J23" s="7">
        <f>Inputs!$A$44</f>
        <v/>
      </c>
      <c r="K23" s="7">
        <f>Inputs!$A$45</f>
        <v/>
      </c>
    </row>
    <row r="24">
      <c r="A24" t="inlineStr">
        <is>
          <t>Ambient</t>
        </is>
      </c>
      <c r="B24" s="17">
        <f>IFERROR(B5/B8,0)</f>
        <v/>
      </c>
      <c r="C24" s="17">
        <f>IFERROR(C5/C8,0)</f>
        <v/>
      </c>
      <c r="D24" s="17">
        <f>IFERROR(D5/D8,0)</f>
        <v/>
      </c>
      <c r="E24" s="17">
        <f>IFERROR(E5/E8,0)</f>
        <v/>
      </c>
      <c r="F24" s="17">
        <f>IFERROR(F5/F8,0)</f>
        <v/>
      </c>
      <c r="G24" s="17">
        <f>IFERROR(G5/G8,0)</f>
        <v/>
      </c>
      <c r="H24" s="17">
        <f>IFERROR(H5/H8,0)</f>
        <v/>
      </c>
      <c r="I24" s="17">
        <f>IFERROR(I5/I8,0)</f>
        <v/>
      </c>
      <c r="J24" s="17">
        <f>IFERROR(J5/J8,0)</f>
        <v/>
      </c>
      <c r="K24" s="17">
        <f>IFERROR(K5/K8,0)</f>
        <v/>
      </c>
    </row>
    <row r="25">
      <c r="A25" t="inlineStr">
        <is>
          <t>Chiller</t>
        </is>
      </c>
      <c r="B25" s="17">
        <f>IFERROR(B6/B8,0)</f>
        <v/>
      </c>
      <c r="C25" s="17">
        <f>IFERROR(C6/C8,0)</f>
        <v/>
      </c>
      <c r="D25" s="17">
        <f>IFERROR(D6/D8,0)</f>
        <v/>
      </c>
      <c r="E25" s="17">
        <f>IFERROR(E6/E8,0)</f>
        <v/>
      </c>
      <c r="F25" s="17">
        <f>IFERROR(F6/F8,0)</f>
        <v/>
      </c>
      <c r="G25" s="17">
        <f>IFERROR(G6/G8,0)</f>
        <v/>
      </c>
      <c r="H25" s="17">
        <f>IFERROR(H6/H8,0)</f>
        <v/>
      </c>
      <c r="I25" s="17">
        <f>IFERROR(I6/I8,0)</f>
        <v/>
      </c>
      <c r="J25" s="17">
        <f>IFERROR(J6/J8,0)</f>
        <v/>
      </c>
      <c r="K25" s="17">
        <f>IFERROR(K6/K8,0)</f>
        <v/>
      </c>
    </row>
    <row r="26">
      <c r="A26" t="inlineStr">
        <is>
          <t>Freezer</t>
        </is>
      </c>
      <c r="B26" s="17">
        <f>IFERROR(B7/B8,0)</f>
        <v/>
      </c>
      <c r="C26" s="17">
        <f>IFERROR(C7/C8,0)</f>
        <v/>
      </c>
      <c r="D26" s="17">
        <f>IFERROR(D7/D8,0)</f>
        <v/>
      </c>
      <c r="E26" s="17">
        <f>IFERROR(E7/E8,0)</f>
        <v/>
      </c>
      <c r="F26" s="17">
        <f>IFERROR(F7/F8,0)</f>
        <v/>
      </c>
      <c r="G26" s="17">
        <f>IFERROR(G7/G8,0)</f>
        <v/>
      </c>
      <c r="H26" s="17">
        <f>IFERROR(H7/H8,0)</f>
        <v/>
      </c>
      <c r="I26" s="17">
        <f>IFERROR(I7/I8,0)</f>
        <v/>
      </c>
      <c r="J26" s="17">
        <f>IFERROR(J7/J8,0)</f>
        <v/>
      </c>
      <c r="K26" s="17">
        <f>IFERROR(K7/K8,0)</f>
        <v/>
      </c>
    </row>
    <row r="27">
      <c r="A27" s="1" t="inlineStr">
        <is>
          <t>check</t>
        </is>
      </c>
      <c r="B27" s="18">
        <f>SUM(B24:B26)</f>
        <v/>
      </c>
      <c r="C27" s="18">
        <f>SUM(C24:C26)</f>
        <v/>
      </c>
      <c r="D27" s="18">
        <f>SUM(D24:D26)</f>
        <v/>
      </c>
      <c r="E27" s="18">
        <f>SUM(E24:E26)</f>
        <v/>
      </c>
      <c r="F27" s="18">
        <f>SUM(F24:F26)</f>
        <v/>
      </c>
      <c r="G27" s="18">
        <f>SUM(G24:G26)</f>
        <v/>
      </c>
      <c r="H27" s="18">
        <f>SUM(H24:H26)</f>
        <v/>
      </c>
      <c r="I27" s="18">
        <f>SUM(I24:I26)</f>
        <v/>
      </c>
      <c r="J27" s="18">
        <f>SUM(J24:J26)</f>
        <v/>
      </c>
      <c r="K27" s="18">
        <f>SUM(K24:K26)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11" customWidth="1" min="4" max="4"/>
    <col width="11" customWidth="1" min="5" max="5"/>
    <col width="11" customWidth="1" min="6" max="6"/>
    <col width="11" customWidth="1" min="7" max="7"/>
    <col width="8" customWidth="1" min="8" max="8"/>
    <col width="30" customWidth="1" min="9" max="9"/>
  </cols>
  <sheetData>
    <row r="1">
      <c r="A1" s="2" t="inlineStr">
        <is>
          <t>CLR: cost-saving initiatives (placeholder)</t>
        </is>
      </c>
    </row>
    <row r="2">
      <c r="A2" s="6" t="inlineStr">
        <is>
          <t>Placeholder only. Nothing on this tab feeds the forecast yet.</t>
        </is>
      </c>
    </row>
    <row r="4">
      <c r="A4" s="7" t="inlineStr">
        <is>
          <t>Initiative</t>
        </is>
      </c>
      <c r="B4" s="7" t="inlineStr">
        <is>
          <t>Site</t>
        </is>
      </c>
      <c r="C4" s="7" t="inlineStr">
        <is>
          <t>Type</t>
        </is>
      </c>
      <c r="D4" s="7" t="inlineStr">
        <is>
          <t>Value</t>
        </is>
      </c>
      <c r="E4" s="7" t="inlineStr">
        <is>
          <t>Start month</t>
        </is>
      </c>
      <c r="F4" s="7" t="inlineStr">
        <is>
          <t>Ramp-up months</t>
        </is>
      </c>
      <c r="G4" s="7" t="inlineStr">
        <is>
          <t>End month</t>
        </is>
      </c>
      <c r="H4" s="7" t="inlineStr">
        <is>
          <t>Active</t>
        </is>
      </c>
      <c r="I4" s="7" t="inlineStr">
        <is>
          <t>Owner / notes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C000"/>
    <outlinePr summaryBelow="1" summaryRight="1"/>
    <pageSetUpPr/>
  </sheetPr>
  <dimension ref="A1:E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8" customWidth="1" min="3" max="3"/>
  </cols>
  <sheetData>
    <row r="1">
      <c r="A1" s="7" t="inlineStr">
        <is>
          <t>Date</t>
        </is>
      </c>
      <c r="B1" s="7" t="inlineStr">
        <is>
          <t>Holiday</t>
        </is>
      </c>
      <c r="C1" s="7" t="inlineStr">
        <is>
          <t>State</t>
        </is>
      </c>
      <c r="E1" s="6" t="inlineStr">
        <is>
          <t>Generated by rule. Add, remove or move rows freely; the Calendar tab counts them by state and month.</t>
        </is>
      </c>
    </row>
    <row r="2">
      <c r="A2" s="19" t="n">
        <v>45658</v>
      </c>
      <c r="B2" t="inlineStr">
        <is>
          <t>New Year's Day</t>
        </is>
      </c>
      <c r="C2" t="inlineStr">
        <is>
          <t>NSW</t>
        </is>
      </c>
    </row>
    <row r="3">
      <c r="A3" s="19" t="n">
        <v>45684</v>
      </c>
      <c r="B3" t="inlineStr">
        <is>
          <t>Australia Day</t>
        </is>
      </c>
      <c r="C3" t="inlineStr">
        <is>
          <t>NSW</t>
        </is>
      </c>
    </row>
    <row r="4">
      <c r="A4" s="19" t="n">
        <v>45765</v>
      </c>
      <c r="B4" t="inlineStr">
        <is>
          <t>Good Friday</t>
        </is>
      </c>
      <c r="C4" t="inlineStr">
        <is>
          <t>NSW</t>
        </is>
      </c>
    </row>
    <row r="5">
      <c r="A5" s="19" t="n">
        <v>45766</v>
      </c>
      <c r="B5" t="inlineStr">
        <is>
          <t>Easter Saturday</t>
        </is>
      </c>
      <c r="C5" t="inlineStr">
        <is>
          <t>NSW</t>
        </is>
      </c>
    </row>
    <row r="6">
      <c r="A6" s="19" t="n">
        <v>45767</v>
      </c>
      <c r="B6" t="inlineStr">
        <is>
          <t>Easter Sunday</t>
        </is>
      </c>
      <c r="C6" t="inlineStr">
        <is>
          <t>NSW</t>
        </is>
      </c>
    </row>
    <row r="7">
      <c r="A7" s="19" t="n">
        <v>45768</v>
      </c>
      <c r="B7" t="inlineStr">
        <is>
          <t>Easter Monday</t>
        </is>
      </c>
      <c r="C7" t="inlineStr">
        <is>
          <t>NSW</t>
        </is>
      </c>
    </row>
    <row r="8">
      <c r="A8" s="19" t="n">
        <v>45772</v>
      </c>
      <c r="B8" t="inlineStr">
        <is>
          <t>Anzac Day</t>
        </is>
      </c>
      <c r="C8" t="inlineStr">
        <is>
          <t>NSW</t>
        </is>
      </c>
    </row>
    <row r="9">
      <c r="A9" s="19" t="n">
        <v>45817</v>
      </c>
      <c r="B9" t="inlineStr">
        <is>
          <t>King's Birthday</t>
        </is>
      </c>
      <c r="C9" t="inlineStr">
        <is>
          <t>NSW</t>
        </is>
      </c>
    </row>
    <row r="10">
      <c r="A10" s="19" t="n">
        <v>45936</v>
      </c>
      <c r="B10" t="inlineStr">
        <is>
          <t>Labour Day</t>
        </is>
      </c>
      <c r="C10" t="inlineStr">
        <is>
          <t>NSW</t>
        </is>
      </c>
    </row>
    <row r="11">
      <c r="A11" s="19" t="n">
        <v>46016</v>
      </c>
      <c r="B11" t="inlineStr">
        <is>
          <t>Christmas Day</t>
        </is>
      </c>
      <c r="C11" t="inlineStr">
        <is>
          <t>NSW</t>
        </is>
      </c>
    </row>
    <row r="12">
      <c r="A12" s="19" t="n">
        <v>46017</v>
      </c>
      <c r="B12" t="inlineStr">
        <is>
          <t>Boxing Day</t>
        </is>
      </c>
      <c r="C12" t="inlineStr">
        <is>
          <t>NSW</t>
        </is>
      </c>
    </row>
    <row r="13">
      <c r="A13" s="19" t="n">
        <v>46023</v>
      </c>
      <c r="B13" t="inlineStr">
        <is>
          <t>New Year's Day</t>
        </is>
      </c>
      <c r="C13" t="inlineStr">
        <is>
          <t>NSW</t>
        </is>
      </c>
    </row>
    <row r="14">
      <c r="A14" s="19" t="n">
        <v>46048</v>
      </c>
      <c r="B14" t="inlineStr">
        <is>
          <t>Australia Day</t>
        </is>
      </c>
      <c r="C14" t="inlineStr">
        <is>
          <t>NSW</t>
        </is>
      </c>
    </row>
    <row r="15">
      <c r="A15" s="19" t="n">
        <v>46115</v>
      </c>
      <c r="B15" t="inlineStr">
        <is>
          <t>Good Friday</t>
        </is>
      </c>
      <c r="C15" t="inlineStr">
        <is>
          <t>NSW</t>
        </is>
      </c>
    </row>
    <row r="16">
      <c r="A16" s="19" t="n">
        <v>46116</v>
      </c>
      <c r="B16" t="inlineStr">
        <is>
          <t>Easter Saturday</t>
        </is>
      </c>
      <c r="C16" t="inlineStr">
        <is>
          <t>NSW</t>
        </is>
      </c>
    </row>
    <row r="17">
      <c r="A17" s="19" t="n">
        <v>46117</v>
      </c>
      <c r="B17" t="inlineStr">
        <is>
          <t>Easter Sunday</t>
        </is>
      </c>
      <c r="C17" t="inlineStr">
        <is>
          <t>NSW</t>
        </is>
      </c>
    </row>
    <row r="18">
      <c r="A18" s="19" t="n">
        <v>46118</v>
      </c>
      <c r="B18" t="inlineStr">
        <is>
          <t>Easter Monday</t>
        </is>
      </c>
      <c r="C18" t="inlineStr">
        <is>
          <t>NSW</t>
        </is>
      </c>
    </row>
    <row r="19">
      <c r="A19" s="19" t="n">
        <v>46137</v>
      </c>
      <c r="B19" t="inlineStr">
        <is>
          <t>Anzac Day</t>
        </is>
      </c>
      <c r="C19" t="inlineStr">
        <is>
          <t>NSW</t>
        </is>
      </c>
    </row>
    <row r="20">
      <c r="A20" s="19" t="n">
        <v>46181</v>
      </c>
      <c r="B20" t="inlineStr">
        <is>
          <t>King's Birthday</t>
        </is>
      </c>
      <c r="C20" t="inlineStr">
        <is>
          <t>NSW</t>
        </is>
      </c>
    </row>
    <row r="21">
      <c r="A21" s="19" t="n">
        <v>46300</v>
      </c>
      <c r="B21" t="inlineStr">
        <is>
          <t>Labour Day</t>
        </is>
      </c>
      <c r="C21" t="inlineStr">
        <is>
          <t>NSW</t>
        </is>
      </c>
    </row>
    <row r="22">
      <c r="A22" s="19" t="n">
        <v>46381</v>
      </c>
      <c r="B22" t="inlineStr">
        <is>
          <t>Christmas Day</t>
        </is>
      </c>
      <c r="C22" t="inlineStr">
        <is>
          <t>NSW</t>
        </is>
      </c>
    </row>
    <row r="23">
      <c r="A23" s="19" t="n">
        <v>46382</v>
      </c>
      <c r="B23" t="inlineStr">
        <is>
          <t>Boxing Day</t>
        </is>
      </c>
      <c r="C23" t="inlineStr">
        <is>
          <t>NSW</t>
        </is>
      </c>
    </row>
    <row r="24">
      <c r="A24" s="19" t="n">
        <v>46384</v>
      </c>
      <c r="B24" t="inlineStr">
        <is>
          <t>Boxing Day (additional)</t>
        </is>
      </c>
      <c r="C24" t="inlineStr">
        <is>
          <t>NSW</t>
        </is>
      </c>
    </row>
    <row r="25">
      <c r="A25" s="19" t="n">
        <v>46388</v>
      </c>
      <c r="B25" t="inlineStr">
        <is>
          <t>New Year's Day</t>
        </is>
      </c>
      <c r="C25" t="inlineStr">
        <is>
          <t>NSW</t>
        </is>
      </c>
    </row>
    <row r="26">
      <c r="A26" s="19" t="n">
        <v>46413</v>
      </c>
      <c r="B26" t="inlineStr">
        <is>
          <t>Australia Day</t>
        </is>
      </c>
      <c r="C26" t="inlineStr">
        <is>
          <t>NSW</t>
        </is>
      </c>
    </row>
    <row r="27">
      <c r="A27" s="19" t="n">
        <v>46472</v>
      </c>
      <c r="B27" t="inlineStr">
        <is>
          <t>Good Friday</t>
        </is>
      </c>
      <c r="C27" t="inlineStr">
        <is>
          <t>NSW</t>
        </is>
      </c>
    </row>
    <row r="28">
      <c r="A28" s="19" t="n">
        <v>46473</v>
      </c>
      <c r="B28" t="inlineStr">
        <is>
          <t>Easter Saturday</t>
        </is>
      </c>
      <c r="C28" t="inlineStr">
        <is>
          <t>NSW</t>
        </is>
      </c>
    </row>
    <row r="29">
      <c r="A29" s="19" t="n">
        <v>46474</v>
      </c>
      <c r="B29" t="inlineStr">
        <is>
          <t>Easter Sunday</t>
        </is>
      </c>
      <c r="C29" t="inlineStr">
        <is>
          <t>NSW</t>
        </is>
      </c>
    </row>
    <row r="30">
      <c r="A30" s="19" t="n">
        <v>46475</v>
      </c>
      <c r="B30" t="inlineStr">
        <is>
          <t>Easter Monday</t>
        </is>
      </c>
      <c r="C30" t="inlineStr">
        <is>
          <t>NSW</t>
        </is>
      </c>
    </row>
    <row r="31">
      <c r="A31" s="19" t="n">
        <v>46502</v>
      </c>
      <c r="B31" t="inlineStr">
        <is>
          <t>Anzac Day</t>
        </is>
      </c>
      <c r="C31" t="inlineStr">
        <is>
          <t>NSW</t>
        </is>
      </c>
    </row>
    <row r="32">
      <c r="A32" s="19" t="n">
        <v>46552</v>
      </c>
      <c r="B32" t="inlineStr">
        <is>
          <t>King's Birthday</t>
        </is>
      </c>
      <c r="C32" t="inlineStr">
        <is>
          <t>NSW</t>
        </is>
      </c>
    </row>
    <row r="33">
      <c r="A33" s="19" t="n">
        <v>46664</v>
      </c>
      <c r="B33" t="inlineStr">
        <is>
          <t>Labour Day</t>
        </is>
      </c>
      <c r="C33" t="inlineStr">
        <is>
          <t>NSW</t>
        </is>
      </c>
    </row>
    <row r="34">
      <c r="A34" s="19" t="n">
        <v>46746</v>
      </c>
      <c r="B34" t="inlineStr">
        <is>
          <t>Christmas Day</t>
        </is>
      </c>
      <c r="C34" t="inlineStr">
        <is>
          <t>NSW</t>
        </is>
      </c>
    </row>
    <row r="35">
      <c r="A35" s="19" t="n">
        <v>46747</v>
      </c>
      <c r="B35" t="inlineStr">
        <is>
          <t>Boxing Day</t>
        </is>
      </c>
      <c r="C35" t="inlineStr">
        <is>
          <t>NSW</t>
        </is>
      </c>
    </row>
    <row r="36">
      <c r="A36" s="19" t="n">
        <v>46748</v>
      </c>
      <c r="B36" t="inlineStr">
        <is>
          <t>Christmas (additional)</t>
        </is>
      </c>
      <c r="C36" t="inlineStr">
        <is>
          <t>NSW</t>
        </is>
      </c>
    </row>
    <row r="37">
      <c r="A37" s="19" t="n">
        <v>46749</v>
      </c>
      <c r="B37" t="inlineStr">
        <is>
          <t>Boxing Day (additional)</t>
        </is>
      </c>
      <c r="C37" t="inlineStr">
        <is>
          <t>NSW</t>
        </is>
      </c>
    </row>
    <row r="38">
      <c r="A38" s="19" t="n">
        <v>46753</v>
      </c>
      <c r="B38" t="inlineStr">
        <is>
          <t>New Year's Day</t>
        </is>
      </c>
      <c r="C38" t="inlineStr">
        <is>
          <t>NSW</t>
        </is>
      </c>
    </row>
    <row r="39">
      <c r="A39" s="19" t="n">
        <v>46755</v>
      </c>
      <c r="B39" t="inlineStr">
        <is>
          <t>New Year's Day (additional)</t>
        </is>
      </c>
      <c r="C39" t="inlineStr">
        <is>
          <t>NSW</t>
        </is>
      </c>
    </row>
    <row r="40">
      <c r="A40" s="19" t="n">
        <v>46778</v>
      </c>
      <c r="B40" t="inlineStr">
        <is>
          <t>Australia Day</t>
        </is>
      </c>
      <c r="C40" t="inlineStr">
        <is>
          <t>NSW</t>
        </is>
      </c>
    </row>
    <row r="41">
      <c r="A41" s="19" t="n">
        <v>46857</v>
      </c>
      <c r="B41" t="inlineStr">
        <is>
          <t>Good Friday</t>
        </is>
      </c>
      <c r="C41" t="inlineStr">
        <is>
          <t>NSW</t>
        </is>
      </c>
    </row>
    <row r="42">
      <c r="A42" s="19" t="n">
        <v>46858</v>
      </c>
      <c r="B42" t="inlineStr">
        <is>
          <t>Easter Saturday</t>
        </is>
      </c>
      <c r="C42" t="inlineStr">
        <is>
          <t>NSW</t>
        </is>
      </c>
    </row>
    <row r="43">
      <c r="A43" s="19" t="n">
        <v>46859</v>
      </c>
      <c r="B43" t="inlineStr">
        <is>
          <t>Easter Sunday</t>
        </is>
      </c>
      <c r="C43" t="inlineStr">
        <is>
          <t>NSW</t>
        </is>
      </c>
    </row>
    <row r="44">
      <c r="A44" s="19" t="n">
        <v>46860</v>
      </c>
      <c r="B44" t="inlineStr">
        <is>
          <t>Easter Monday</t>
        </is>
      </c>
      <c r="C44" t="inlineStr">
        <is>
          <t>NSW</t>
        </is>
      </c>
    </row>
    <row r="45">
      <c r="A45" s="19" t="n">
        <v>46868</v>
      </c>
      <c r="B45" t="inlineStr">
        <is>
          <t>Anzac Day</t>
        </is>
      </c>
      <c r="C45" t="inlineStr">
        <is>
          <t>NSW</t>
        </is>
      </c>
    </row>
    <row r="46">
      <c r="A46" s="19" t="n">
        <v>46916</v>
      </c>
      <c r="B46" t="inlineStr">
        <is>
          <t>King's Birthday</t>
        </is>
      </c>
      <c r="C46" t="inlineStr">
        <is>
          <t>NSW</t>
        </is>
      </c>
    </row>
    <row r="47">
      <c r="A47" s="19" t="n">
        <v>47028</v>
      </c>
      <c r="B47" t="inlineStr">
        <is>
          <t>Labour Day</t>
        </is>
      </c>
      <c r="C47" t="inlineStr">
        <is>
          <t>NSW</t>
        </is>
      </c>
    </row>
    <row r="48">
      <c r="A48" s="19" t="n">
        <v>47112</v>
      </c>
      <c r="B48" t="inlineStr">
        <is>
          <t>Christmas Day</t>
        </is>
      </c>
      <c r="C48" t="inlineStr">
        <is>
          <t>NSW</t>
        </is>
      </c>
    </row>
    <row r="49">
      <c r="A49" s="19" t="n">
        <v>47113</v>
      </c>
      <c r="B49" t="inlineStr">
        <is>
          <t>Boxing Day</t>
        </is>
      </c>
      <c r="C49" t="inlineStr">
        <is>
          <t>NSW</t>
        </is>
      </c>
    </row>
    <row r="50">
      <c r="A50" s="19" t="n">
        <v>45658</v>
      </c>
      <c r="B50" t="inlineStr">
        <is>
          <t>New Year's Day</t>
        </is>
      </c>
      <c r="C50" t="inlineStr">
        <is>
          <t>QLD</t>
        </is>
      </c>
    </row>
    <row r="51">
      <c r="A51" s="19" t="n">
        <v>45684</v>
      </c>
      <c r="B51" t="inlineStr">
        <is>
          <t>Australia Day</t>
        </is>
      </c>
      <c r="C51" t="inlineStr">
        <is>
          <t>QLD</t>
        </is>
      </c>
    </row>
    <row r="52">
      <c r="A52" s="19" t="n">
        <v>45765</v>
      </c>
      <c r="B52" t="inlineStr">
        <is>
          <t>Good Friday</t>
        </is>
      </c>
      <c r="C52" t="inlineStr">
        <is>
          <t>QLD</t>
        </is>
      </c>
    </row>
    <row r="53">
      <c r="A53" s="19" t="n">
        <v>45766</v>
      </c>
      <c r="B53" t="inlineStr">
        <is>
          <t>Easter Saturday</t>
        </is>
      </c>
      <c r="C53" t="inlineStr">
        <is>
          <t>QLD</t>
        </is>
      </c>
    </row>
    <row r="54">
      <c r="A54" s="19" t="n">
        <v>45767</v>
      </c>
      <c r="B54" t="inlineStr">
        <is>
          <t>Easter Sunday</t>
        </is>
      </c>
      <c r="C54" t="inlineStr">
        <is>
          <t>QLD</t>
        </is>
      </c>
    </row>
    <row r="55">
      <c r="A55" s="19" t="n">
        <v>45768</v>
      </c>
      <c r="B55" t="inlineStr">
        <is>
          <t>Easter Monday</t>
        </is>
      </c>
      <c r="C55" t="inlineStr">
        <is>
          <t>QLD</t>
        </is>
      </c>
    </row>
    <row r="56">
      <c r="A56" s="19" t="n">
        <v>45772</v>
      </c>
      <c r="B56" t="inlineStr">
        <is>
          <t>Anzac Day</t>
        </is>
      </c>
      <c r="C56" t="inlineStr">
        <is>
          <t>QLD</t>
        </is>
      </c>
    </row>
    <row r="57">
      <c r="A57" s="19" t="n">
        <v>45782</v>
      </c>
      <c r="B57" t="inlineStr">
        <is>
          <t>Labour Day</t>
        </is>
      </c>
      <c r="C57" t="inlineStr">
        <is>
          <t>QLD</t>
        </is>
      </c>
    </row>
    <row r="58">
      <c r="A58" s="19" t="n">
        <v>45936</v>
      </c>
      <c r="B58" t="inlineStr">
        <is>
          <t>King's Birthday</t>
        </is>
      </c>
      <c r="C58" t="inlineStr">
        <is>
          <t>QLD</t>
        </is>
      </c>
    </row>
    <row r="59">
      <c r="A59" s="19" t="n">
        <v>46016</v>
      </c>
      <c r="B59" t="inlineStr">
        <is>
          <t>Christmas Day</t>
        </is>
      </c>
      <c r="C59" t="inlineStr">
        <is>
          <t>QLD</t>
        </is>
      </c>
    </row>
    <row r="60">
      <c r="A60" s="19" t="n">
        <v>46017</v>
      </c>
      <c r="B60" t="inlineStr">
        <is>
          <t>Boxing Day</t>
        </is>
      </c>
      <c r="C60" t="inlineStr">
        <is>
          <t>QLD</t>
        </is>
      </c>
    </row>
    <row r="61">
      <c r="A61" s="19" t="n">
        <v>46023</v>
      </c>
      <c r="B61" t="inlineStr">
        <is>
          <t>New Year's Day</t>
        </is>
      </c>
      <c r="C61" t="inlineStr">
        <is>
          <t>QLD</t>
        </is>
      </c>
    </row>
    <row r="62">
      <c r="A62" s="19" t="n">
        <v>46048</v>
      </c>
      <c r="B62" t="inlineStr">
        <is>
          <t>Australia Day</t>
        </is>
      </c>
      <c r="C62" t="inlineStr">
        <is>
          <t>QLD</t>
        </is>
      </c>
    </row>
    <row r="63">
      <c r="A63" s="19" t="n">
        <v>46115</v>
      </c>
      <c r="B63" t="inlineStr">
        <is>
          <t>Good Friday</t>
        </is>
      </c>
      <c r="C63" t="inlineStr">
        <is>
          <t>QLD</t>
        </is>
      </c>
    </row>
    <row r="64">
      <c r="A64" s="19" t="n">
        <v>46116</v>
      </c>
      <c r="B64" t="inlineStr">
        <is>
          <t>Easter Saturday</t>
        </is>
      </c>
      <c r="C64" t="inlineStr">
        <is>
          <t>QLD</t>
        </is>
      </c>
    </row>
    <row r="65">
      <c r="A65" s="19" t="n">
        <v>46117</v>
      </c>
      <c r="B65" t="inlineStr">
        <is>
          <t>Easter Sunday</t>
        </is>
      </c>
      <c r="C65" t="inlineStr">
        <is>
          <t>QLD</t>
        </is>
      </c>
    </row>
    <row r="66">
      <c r="A66" s="19" t="n">
        <v>46118</v>
      </c>
      <c r="B66" t="inlineStr">
        <is>
          <t>Easter Monday</t>
        </is>
      </c>
      <c r="C66" t="inlineStr">
        <is>
          <t>QLD</t>
        </is>
      </c>
    </row>
    <row r="67">
      <c r="A67" s="19" t="n">
        <v>46137</v>
      </c>
      <c r="B67" t="inlineStr">
        <is>
          <t>Anzac Day</t>
        </is>
      </c>
      <c r="C67" t="inlineStr">
        <is>
          <t>QLD</t>
        </is>
      </c>
    </row>
    <row r="68">
      <c r="A68" s="19" t="n">
        <v>46146</v>
      </c>
      <c r="B68" t="inlineStr">
        <is>
          <t>Labour Day</t>
        </is>
      </c>
      <c r="C68" t="inlineStr">
        <is>
          <t>QLD</t>
        </is>
      </c>
    </row>
    <row r="69">
      <c r="A69" s="19" t="n">
        <v>46300</v>
      </c>
      <c r="B69" t="inlineStr">
        <is>
          <t>King's Birthday</t>
        </is>
      </c>
      <c r="C69" t="inlineStr">
        <is>
          <t>QLD</t>
        </is>
      </c>
    </row>
    <row r="70">
      <c r="A70" s="19" t="n">
        <v>46381</v>
      </c>
      <c r="B70" t="inlineStr">
        <is>
          <t>Christmas Day</t>
        </is>
      </c>
      <c r="C70" t="inlineStr">
        <is>
          <t>QLD</t>
        </is>
      </c>
    </row>
    <row r="71">
      <c r="A71" s="19" t="n">
        <v>46382</v>
      </c>
      <c r="B71" t="inlineStr">
        <is>
          <t>Boxing Day</t>
        </is>
      </c>
      <c r="C71" t="inlineStr">
        <is>
          <t>QLD</t>
        </is>
      </c>
    </row>
    <row r="72">
      <c r="A72" s="19" t="n">
        <v>46384</v>
      </c>
      <c r="B72" t="inlineStr">
        <is>
          <t>Boxing Day (additional)</t>
        </is>
      </c>
      <c r="C72" t="inlineStr">
        <is>
          <t>QLD</t>
        </is>
      </c>
    </row>
    <row r="73">
      <c r="A73" s="19" t="n">
        <v>46388</v>
      </c>
      <c r="B73" t="inlineStr">
        <is>
          <t>New Year's Day</t>
        </is>
      </c>
      <c r="C73" t="inlineStr">
        <is>
          <t>QLD</t>
        </is>
      </c>
    </row>
    <row r="74">
      <c r="A74" s="19" t="n">
        <v>46413</v>
      </c>
      <c r="B74" t="inlineStr">
        <is>
          <t>Australia Day</t>
        </is>
      </c>
      <c r="C74" t="inlineStr">
        <is>
          <t>QLD</t>
        </is>
      </c>
    </row>
    <row r="75">
      <c r="A75" s="19" t="n">
        <v>46472</v>
      </c>
      <c r="B75" t="inlineStr">
        <is>
          <t>Good Friday</t>
        </is>
      </c>
      <c r="C75" t="inlineStr">
        <is>
          <t>QLD</t>
        </is>
      </c>
    </row>
    <row r="76">
      <c r="A76" s="19" t="n">
        <v>46473</v>
      </c>
      <c r="B76" t="inlineStr">
        <is>
          <t>Easter Saturday</t>
        </is>
      </c>
      <c r="C76" t="inlineStr">
        <is>
          <t>QLD</t>
        </is>
      </c>
    </row>
    <row r="77">
      <c r="A77" s="19" t="n">
        <v>46474</v>
      </c>
      <c r="B77" t="inlineStr">
        <is>
          <t>Easter Sunday</t>
        </is>
      </c>
      <c r="C77" t="inlineStr">
        <is>
          <t>QLD</t>
        </is>
      </c>
    </row>
    <row r="78">
      <c r="A78" s="19" t="n">
        <v>46475</v>
      </c>
      <c r="B78" t="inlineStr">
        <is>
          <t>Easter Monday</t>
        </is>
      </c>
      <c r="C78" t="inlineStr">
        <is>
          <t>QLD</t>
        </is>
      </c>
    </row>
    <row r="79">
      <c r="A79" s="19" t="n">
        <v>46502</v>
      </c>
      <c r="B79" t="inlineStr">
        <is>
          <t>Anzac Day</t>
        </is>
      </c>
      <c r="C79" t="inlineStr">
        <is>
          <t>QLD</t>
        </is>
      </c>
    </row>
    <row r="80">
      <c r="A80" s="19" t="n">
        <v>46510</v>
      </c>
      <c r="B80" t="inlineStr">
        <is>
          <t>Labour Day</t>
        </is>
      </c>
      <c r="C80" t="inlineStr">
        <is>
          <t>QLD</t>
        </is>
      </c>
    </row>
    <row r="81">
      <c r="A81" s="19" t="n">
        <v>46664</v>
      </c>
      <c r="B81" t="inlineStr">
        <is>
          <t>King's Birthday</t>
        </is>
      </c>
      <c r="C81" t="inlineStr">
        <is>
          <t>QLD</t>
        </is>
      </c>
    </row>
    <row r="82">
      <c r="A82" s="19" t="n">
        <v>46746</v>
      </c>
      <c r="B82" t="inlineStr">
        <is>
          <t>Christmas Day</t>
        </is>
      </c>
      <c r="C82" t="inlineStr">
        <is>
          <t>QLD</t>
        </is>
      </c>
    </row>
    <row r="83">
      <c r="A83" s="19" t="n">
        <v>46747</v>
      </c>
      <c r="B83" t="inlineStr">
        <is>
          <t>Boxing Day</t>
        </is>
      </c>
      <c r="C83" t="inlineStr">
        <is>
          <t>QLD</t>
        </is>
      </c>
    </row>
    <row r="84">
      <c r="A84" s="19" t="n">
        <v>46748</v>
      </c>
      <c r="B84" t="inlineStr">
        <is>
          <t>Christmas (additional)</t>
        </is>
      </c>
      <c r="C84" t="inlineStr">
        <is>
          <t>QLD</t>
        </is>
      </c>
    </row>
    <row r="85">
      <c r="A85" s="19" t="n">
        <v>46749</v>
      </c>
      <c r="B85" t="inlineStr">
        <is>
          <t>Boxing Day (additional)</t>
        </is>
      </c>
      <c r="C85" t="inlineStr">
        <is>
          <t>QLD</t>
        </is>
      </c>
    </row>
    <row r="86">
      <c r="A86" s="19" t="n">
        <v>46753</v>
      </c>
      <c r="B86" t="inlineStr">
        <is>
          <t>New Year's Day</t>
        </is>
      </c>
      <c r="C86" t="inlineStr">
        <is>
          <t>QLD</t>
        </is>
      </c>
    </row>
    <row r="87">
      <c r="A87" s="19" t="n">
        <v>46755</v>
      </c>
      <c r="B87" t="inlineStr">
        <is>
          <t>New Year's Day (additional)</t>
        </is>
      </c>
      <c r="C87" t="inlineStr">
        <is>
          <t>QLD</t>
        </is>
      </c>
    </row>
    <row r="88">
      <c r="A88" s="19" t="n">
        <v>46778</v>
      </c>
      <c r="B88" t="inlineStr">
        <is>
          <t>Australia Day</t>
        </is>
      </c>
      <c r="C88" t="inlineStr">
        <is>
          <t>QLD</t>
        </is>
      </c>
    </row>
    <row r="89">
      <c r="A89" s="19" t="n">
        <v>46857</v>
      </c>
      <c r="B89" t="inlineStr">
        <is>
          <t>Good Friday</t>
        </is>
      </c>
      <c r="C89" t="inlineStr">
        <is>
          <t>QLD</t>
        </is>
      </c>
    </row>
    <row r="90">
      <c r="A90" s="19" t="n">
        <v>46858</v>
      </c>
      <c r="B90" t="inlineStr">
        <is>
          <t>Easter Saturday</t>
        </is>
      </c>
      <c r="C90" t="inlineStr">
        <is>
          <t>QLD</t>
        </is>
      </c>
    </row>
    <row r="91">
      <c r="A91" s="19" t="n">
        <v>46859</v>
      </c>
      <c r="B91" t="inlineStr">
        <is>
          <t>Easter Sunday</t>
        </is>
      </c>
      <c r="C91" t="inlineStr">
        <is>
          <t>QLD</t>
        </is>
      </c>
    </row>
    <row r="92">
      <c r="A92" s="19" t="n">
        <v>46860</v>
      </c>
      <c r="B92" t="inlineStr">
        <is>
          <t>Easter Monday</t>
        </is>
      </c>
      <c r="C92" t="inlineStr">
        <is>
          <t>QLD</t>
        </is>
      </c>
    </row>
    <row r="93">
      <c r="A93" s="19" t="n">
        <v>46868</v>
      </c>
      <c r="B93" t="inlineStr">
        <is>
          <t>Anzac Day</t>
        </is>
      </c>
      <c r="C93" t="inlineStr">
        <is>
          <t>QLD</t>
        </is>
      </c>
    </row>
    <row r="94">
      <c r="A94" s="19" t="n">
        <v>46874</v>
      </c>
      <c r="B94" t="inlineStr">
        <is>
          <t>Labour Day</t>
        </is>
      </c>
      <c r="C94" t="inlineStr">
        <is>
          <t>QLD</t>
        </is>
      </c>
    </row>
    <row r="95">
      <c r="A95" s="19" t="n">
        <v>47028</v>
      </c>
      <c r="B95" t="inlineStr">
        <is>
          <t>King's Birthday</t>
        </is>
      </c>
      <c r="C95" t="inlineStr">
        <is>
          <t>QLD</t>
        </is>
      </c>
    </row>
    <row r="96">
      <c r="A96" s="19" t="n">
        <v>47112</v>
      </c>
      <c r="B96" t="inlineStr">
        <is>
          <t>Christmas Day</t>
        </is>
      </c>
      <c r="C96" t="inlineStr">
        <is>
          <t>QLD</t>
        </is>
      </c>
    </row>
    <row r="97">
      <c r="A97" s="19" t="n">
        <v>47113</v>
      </c>
      <c r="B97" t="inlineStr">
        <is>
          <t>Boxing Day</t>
        </is>
      </c>
      <c r="C97" t="inlineStr">
        <is>
          <t>QLD</t>
        </is>
      </c>
    </row>
    <row r="98">
      <c r="A98" s="19" t="n">
        <v>45658</v>
      </c>
      <c r="B98" t="inlineStr">
        <is>
          <t>New Year's Day</t>
        </is>
      </c>
      <c r="C98" t="inlineStr">
        <is>
          <t>SA</t>
        </is>
      </c>
    </row>
    <row r="99">
      <c r="A99" s="19" t="n">
        <v>45684</v>
      </c>
      <c r="B99" t="inlineStr">
        <is>
          <t>Australia Day</t>
        </is>
      </c>
      <c r="C99" t="inlineStr">
        <is>
          <t>SA</t>
        </is>
      </c>
    </row>
    <row r="100">
      <c r="A100" s="19" t="n">
        <v>45726</v>
      </c>
      <c r="B100" t="inlineStr">
        <is>
          <t>Adelaide Cup</t>
        </is>
      </c>
      <c r="C100" t="inlineStr">
        <is>
          <t>SA</t>
        </is>
      </c>
    </row>
    <row r="101">
      <c r="A101" s="19" t="n">
        <v>45765</v>
      </c>
      <c r="B101" t="inlineStr">
        <is>
          <t>Good Friday</t>
        </is>
      </c>
      <c r="C101" t="inlineStr">
        <is>
          <t>SA</t>
        </is>
      </c>
    </row>
    <row r="102">
      <c r="A102" s="19" t="n">
        <v>45766</v>
      </c>
      <c r="B102" t="inlineStr">
        <is>
          <t>Easter Saturday</t>
        </is>
      </c>
      <c r="C102" t="inlineStr">
        <is>
          <t>SA</t>
        </is>
      </c>
    </row>
    <row r="103">
      <c r="A103" s="19" t="n">
        <v>45767</v>
      </c>
      <c r="B103" t="inlineStr">
        <is>
          <t>Easter Sunday</t>
        </is>
      </c>
      <c r="C103" t="inlineStr">
        <is>
          <t>SA</t>
        </is>
      </c>
    </row>
    <row r="104">
      <c r="A104" s="19" t="n">
        <v>45768</v>
      </c>
      <c r="B104" t="inlineStr">
        <is>
          <t>Easter Monday</t>
        </is>
      </c>
      <c r="C104" t="inlineStr">
        <is>
          <t>SA</t>
        </is>
      </c>
    </row>
    <row r="105">
      <c r="A105" s="19" t="n">
        <v>45772</v>
      </c>
      <c r="B105" t="inlineStr">
        <is>
          <t>Anzac Day</t>
        </is>
      </c>
      <c r="C105" t="inlineStr">
        <is>
          <t>SA</t>
        </is>
      </c>
    </row>
    <row r="106">
      <c r="A106" s="19" t="n">
        <v>45817</v>
      </c>
      <c r="B106" t="inlineStr">
        <is>
          <t>King's Birthday</t>
        </is>
      </c>
      <c r="C106" t="inlineStr">
        <is>
          <t>SA</t>
        </is>
      </c>
    </row>
    <row r="107">
      <c r="A107" s="19" t="n">
        <v>45936</v>
      </c>
      <c r="B107" t="inlineStr">
        <is>
          <t>Labour Day</t>
        </is>
      </c>
      <c r="C107" t="inlineStr">
        <is>
          <t>SA</t>
        </is>
      </c>
    </row>
    <row r="108">
      <c r="A108" s="19" t="n">
        <v>46016</v>
      </c>
      <c r="B108" t="inlineStr">
        <is>
          <t>Christmas Day</t>
        </is>
      </c>
      <c r="C108" t="inlineStr">
        <is>
          <t>SA</t>
        </is>
      </c>
    </row>
    <row r="109">
      <c r="A109" s="19" t="n">
        <v>46017</v>
      </c>
      <c r="B109" t="inlineStr">
        <is>
          <t>Proclamation Day</t>
        </is>
      </c>
      <c r="C109" t="inlineStr">
        <is>
          <t>SA</t>
        </is>
      </c>
    </row>
    <row r="110">
      <c r="A110" s="19" t="n">
        <v>46023</v>
      </c>
      <c r="B110" t="inlineStr">
        <is>
          <t>New Year's Day</t>
        </is>
      </c>
      <c r="C110" t="inlineStr">
        <is>
          <t>SA</t>
        </is>
      </c>
    </row>
    <row r="111">
      <c r="A111" s="19" t="n">
        <v>46048</v>
      </c>
      <c r="B111" t="inlineStr">
        <is>
          <t>Australia Day</t>
        </is>
      </c>
      <c r="C111" t="inlineStr">
        <is>
          <t>SA</t>
        </is>
      </c>
    </row>
    <row r="112">
      <c r="A112" s="19" t="n">
        <v>46090</v>
      </c>
      <c r="B112" t="inlineStr">
        <is>
          <t>Adelaide Cup</t>
        </is>
      </c>
      <c r="C112" t="inlineStr">
        <is>
          <t>SA</t>
        </is>
      </c>
    </row>
    <row r="113">
      <c r="A113" s="19" t="n">
        <v>46115</v>
      </c>
      <c r="B113" t="inlineStr">
        <is>
          <t>Good Friday</t>
        </is>
      </c>
      <c r="C113" t="inlineStr">
        <is>
          <t>SA</t>
        </is>
      </c>
    </row>
    <row r="114">
      <c r="A114" s="19" t="n">
        <v>46116</v>
      </c>
      <c r="B114" t="inlineStr">
        <is>
          <t>Easter Saturday</t>
        </is>
      </c>
      <c r="C114" t="inlineStr">
        <is>
          <t>SA</t>
        </is>
      </c>
    </row>
    <row r="115">
      <c r="A115" s="19" t="n">
        <v>46117</v>
      </c>
      <c r="B115" t="inlineStr">
        <is>
          <t>Easter Sunday</t>
        </is>
      </c>
      <c r="C115" t="inlineStr">
        <is>
          <t>SA</t>
        </is>
      </c>
    </row>
    <row r="116">
      <c r="A116" s="19" t="n">
        <v>46118</v>
      </c>
      <c r="B116" t="inlineStr">
        <is>
          <t>Easter Monday</t>
        </is>
      </c>
      <c r="C116" t="inlineStr">
        <is>
          <t>SA</t>
        </is>
      </c>
    </row>
    <row r="117">
      <c r="A117" s="19" t="n">
        <v>46137</v>
      </c>
      <c r="B117" t="inlineStr">
        <is>
          <t>Anzac Day</t>
        </is>
      </c>
      <c r="C117" t="inlineStr">
        <is>
          <t>SA</t>
        </is>
      </c>
    </row>
    <row r="118">
      <c r="A118" s="19" t="n">
        <v>46181</v>
      </c>
      <c r="B118" t="inlineStr">
        <is>
          <t>King's Birthday</t>
        </is>
      </c>
      <c r="C118" t="inlineStr">
        <is>
          <t>SA</t>
        </is>
      </c>
    </row>
    <row r="119">
      <c r="A119" s="19" t="n">
        <v>46300</v>
      </c>
      <c r="B119" t="inlineStr">
        <is>
          <t>Labour Day</t>
        </is>
      </c>
      <c r="C119" t="inlineStr">
        <is>
          <t>SA</t>
        </is>
      </c>
    </row>
    <row r="120">
      <c r="A120" s="19" t="n">
        <v>46381</v>
      </c>
      <c r="B120" t="inlineStr">
        <is>
          <t>Christmas Day</t>
        </is>
      </c>
      <c r="C120" t="inlineStr">
        <is>
          <t>SA</t>
        </is>
      </c>
    </row>
    <row r="121">
      <c r="A121" s="19" t="n">
        <v>46382</v>
      </c>
      <c r="B121" t="inlineStr">
        <is>
          <t>Proclamation Day</t>
        </is>
      </c>
      <c r="C121" t="inlineStr">
        <is>
          <t>SA</t>
        </is>
      </c>
    </row>
    <row r="122">
      <c r="A122" s="19" t="n">
        <v>46384</v>
      </c>
      <c r="B122" t="inlineStr">
        <is>
          <t>Boxing Day (additional)</t>
        </is>
      </c>
      <c r="C122" t="inlineStr">
        <is>
          <t>SA</t>
        </is>
      </c>
    </row>
    <row r="123">
      <c r="A123" s="19" t="n">
        <v>46388</v>
      </c>
      <c r="B123" t="inlineStr">
        <is>
          <t>New Year's Day</t>
        </is>
      </c>
      <c r="C123" t="inlineStr">
        <is>
          <t>SA</t>
        </is>
      </c>
    </row>
    <row r="124">
      <c r="A124" s="19" t="n">
        <v>46413</v>
      </c>
      <c r="B124" t="inlineStr">
        <is>
          <t>Australia Day</t>
        </is>
      </c>
      <c r="C124" t="inlineStr">
        <is>
          <t>SA</t>
        </is>
      </c>
    </row>
    <row r="125">
      <c r="A125" s="19" t="n">
        <v>46454</v>
      </c>
      <c r="B125" t="inlineStr">
        <is>
          <t>Adelaide Cup</t>
        </is>
      </c>
      <c r="C125" t="inlineStr">
        <is>
          <t>SA</t>
        </is>
      </c>
    </row>
    <row r="126">
      <c r="A126" s="19" t="n">
        <v>46472</v>
      </c>
      <c r="B126" t="inlineStr">
        <is>
          <t>Good Friday</t>
        </is>
      </c>
      <c r="C126" t="inlineStr">
        <is>
          <t>SA</t>
        </is>
      </c>
    </row>
    <row r="127">
      <c r="A127" s="19" t="n">
        <v>46473</v>
      </c>
      <c r="B127" t="inlineStr">
        <is>
          <t>Easter Saturday</t>
        </is>
      </c>
      <c r="C127" t="inlineStr">
        <is>
          <t>SA</t>
        </is>
      </c>
    </row>
    <row r="128">
      <c r="A128" s="19" t="n">
        <v>46474</v>
      </c>
      <c r="B128" t="inlineStr">
        <is>
          <t>Easter Sunday</t>
        </is>
      </c>
      <c r="C128" t="inlineStr">
        <is>
          <t>SA</t>
        </is>
      </c>
    </row>
    <row r="129">
      <c r="A129" s="19" t="n">
        <v>46475</v>
      </c>
      <c r="B129" t="inlineStr">
        <is>
          <t>Easter Monday</t>
        </is>
      </c>
      <c r="C129" t="inlineStr">
        <is>
          <t>SA</t>
        </is>
      </c>
    </row>
    <row r="130">
      <c r="A130" s="19" t="n">
        <v>46502</v>
      </c>
      <c r="B130" t="inlineStr">
        <is>
          <t>Anzac Day</t>
        </is>
      </c>
      <c r="C130" t="inlineStr">
        <is>
          <t>SA</t>
        </is>
      </c>
    </row>
    <row r="131">
      <c r="A131" s="19" t="n">
        <v>46503</v>
      </c>
      <c r="B131" t="inlineStr">
        <is>
          <t>Anzac Day (additional)</t>
        </is>
      </c>
      <c r="C131" t="inlineStr">
        <is>
          <t>SA</t>
        </is>
      </c>
    </row>
    <row r="132">
      <c r="A132" s="19" t="n">
        <v>46552</v>
      </c>
      <c r="B132" t="inlineStr">
        <is>
          <t>King's Birthday</t>
        </is>
      </c>
      <c r="C132" t="inlineStr">
        <is>
          <t>SA</t>
        </is>
      </c>
    </row>
    <row r="133">
      <c r="A133" s="19" t="n">
        <v>46664</v>
      </c>
      <c r="B133" t="inlineStr">
        <is>
          <t>Labour Day</t>
        </is>
      </c>
      <c r="C133" t="inlineStr">
        <is>
          <t>SA</t>
        </is>
      </c>
    </row>
    <row r="134">
      <c r="A134" s="19" t="n">
        <v>46746</v>
      </c>
      <c r="B134" t="inlineStr">
        <is>
          <t>Christmas Day</t>
        </is>
      </c>
      <c r="C134" t="inlineStr">
        <is>
          <t>SA</t>
        </is>
      </c>
    </row>
    <row r="135">
      <c r="A135" s="19" t="n">
        <v>46747</v>
      </c>
      <c r="B135" t="inlineStr">
        <is>
          <t>Proclamation Day</t>
        </is>
      </c>
      <c r="C135" t="inlineStr">
        <is>
          <t>SA</t>
        </is>
      </c>
    </row>
    <row r="136">
      <c r="A136" s="19" t="n">
        <v>46748</v>
      </c>
      <c r="B136" t="inlineStr">
        <is>
          <t>Christmas (additional)</t>
        </is>
      </c>
      <c r="C136" t="inlineStr">
        <is>
          <t>SA</t>
        </is>
      </c>
    </row>
    <row r="137">
      <c r="A137" s="19" t="n">
        <v>46749</v>
      </c>
      <c r="B137" t="inlineStr">
        <is>
          <t>Boxing Day (additional)</t>
        </is>
      </c>
      <c r="C137" t="inlineStr">
        <is>
          <t>SA</t>
        </is>
      </c>
    </row>
    <row r="138">
      <c r="A138" s="19" t="n">
        <v>46753</v>
      </c>
      <c r="B138" t="inlineStr">
        <is>
          <t>New Year's Day</t>
        </is>
      </c>
      <c r="C138" t="inlineStr">
        <is>
          <t>SA</t>
        </is>
      </c>
    </row>
    <row r="139">
      <c r="A139" s="19" t="n">
        <v>46755</v>
      </c>
      <c r="B139" t="inlineStr">
        <is>
          <t>New Year's Day (additional)</t>
        </is>
      </c>
      <c r="C139" t="inlineStr">
        <is>
          <t>SA</t>
        </is>
      </c>
    </row>
    <row r="140">
      <c r="A140" s="19" t="n">
        <v>46778</v>
      </c>
      <c r="B140" t="inlineStr">
        <is>
          <t>Australia Day</t>
        </is>
      </c>
      <c r="C140" t="inlineStr">
        <is>
          <t>SA</t>
        </is>
      </c>
    </row>
    <row r="141">
      <c r="A141" s="19" t="n">
        <v>46825</v>
      </c>
      <c r="B141" t="inlineStr">
        <is>
          <t>Adelaide Cup</t>
        </is>
      </c>
      <c r="C141" t="inlineStr">
        <is>
          <t>SA</t>
        </is>
      </c>
    </row>
    <row r="142">
      <c r="A142" s="19" t="n">
        <v>46857</v>
      </c>
      <c r="B142" t="inlineStr">
        <is>
          <t>Good Friday</t>
        </is>
      </c>
      <c r="C142" t="inlineStr">
        <is>
          <t>SA</t>
        </is>
      </c>
    </row>
    <row r="143">
      <c r="A143" s="19" t="n">
        <v>46858</v>
      </c>
      <c r="B143" t="inlineStr">
        <is>
          <t>Easter Saturday</t>
        </is>
      </c>
      <c r="C143" t="inlineStr">
        <is>
          <t>SA</t>
        </is>
      </c>
    </row>
    <row r="144">
      <c r="A144" s="19" t="n">
        <v>46859</v>
      </c>
      <c r="B144" t="inlineStr">
        <is>
          <t>Easter Sunday</t>
        </is>
      </c>
      <c r="C144" t="inlineStr">
        <is>
          <t>SA</t>
        </is>
      </c>
    </row>
    <row r="145">
      <c r="A145" s="19" t="n">
        <v>46860</v>
      </c>
      <c r="B145" t="inlineStr">
        <is>
          <t>Easter Monday</t>
        </is>
      </c>
      <c r="C145" t="inlineStr">
        <is>
          <t>SA</t>
        </is>
      </c>
    </row>
    <row r="146">
      <c r="A146" s="19" t="n">
        <v>46868</v>
      </c>
      <c r="B146" t="inlineStr">
        <is>
          <t>Anzac Day</t>
        </is>
      </c>
      <c r="C146" t="inlineStr">
        <is>
          <t>SA</t>
        </is>
      </c>
    </row>
    <row r="147">
      <c r="A147" s="19" t="n">
        <v>46916</v>
      </c>
      <c r="B147" t="inlineStr">
        <is>
          <t>King's Birthday</t>
        </is>
      </c>
      <c r="C147" t="inlineStr">
        <is>
          <t>SA</t>
        </is>
      </c>
    </row>
    <row r="148">
      <c r="A148" s="19" t="n">
        <v>47028</v>
      </c>
      <c r="B148" t="inlineStr">
        <is>
          <t>Labour Day</t>
        </is>
      </c>
      <c r="C148" t="inlineStr">
        <is>
          <t>SA</t>
        </is>
      </c>
    </row>
    <row r="149">
      <c r="A149" s="19" t="n">
        <v>47112</v>
      </c>
      <c r="B149" t="inlineStr">
        <is>
          <t>Christmas Day</t>
        </is>
      </c>
      <c r="C149" t="inlineStr">
        <is>
          <t>SA</t>
        </is>
      </c>
    </row>
    <row r="150">
      <c r="A150" s="19" t="n">
        <v>47113</v>
      </c>
      <c r="B150" t="inlineStr">
        <is>
          <t>Proclamation Day</t>
        </is>
      </c>
      <c r="C150" t="inlineStr">
        <is>
          <t>SA</t>
        </is>
      </c>
    </row>
    <row r="151">
      <c r="A151" s="19" t="n">
        <v>45658</v>
      </c>
      <c r="B151" t="inlineStr">
        <is>
          <t>New Year's Day</t>
        </is>
      </c>
      <c r="C151" t="inlineStr">
        <is>
          <t>VIC</t>
        </is>
      </c>
    </row>
    <row r="152">
      <c r="A152" s="19" t="n">
        <v>45684</v>
      </c>
      <c r="B152" t="inlineStr">
        <is>
          <t>Australia Day</t>
        </is>
      </c>
      <c r="C152" t="inlineStr">
        <is>
          <t>VIC</t>
        </is>
      </c>
    </row>
    <row r="153">
      <c r="A153" s="19" t="n">
        <v>45726</v>
      </c>
      <c r="B153" t="inlineStr">
        <is>
          <t>Labour Day</t>
        </is>
      </c>
      <c r="C153" t="inlineStr">
        <is>
          <t>VIC</t>
        </is>
      </c>
    </row>
    <row r="154">
      <c r="A154" s="19" t="n">
        <v>45765</v>
      </c>
      <c r="B154" t="inlineStr">
        <is>
          <t>Good Friday</t>
        </is>
      </c>
      <c r="C154" t="inlineStr">
        <is>
          <t>VIC</t>
        </is>
      </c>
    </row>
    <row r="155">
      <c r="A155" s="19" t="n">
        <v>45766</v>
      </c>
      <c r="B155" t="inlineStr">
        <is>
          <t>Easter Saturday</t>
        </is>
      </c>
      <c r="C155" t="inlineStr">
        <is>
          <t>VIC</t>
        </is>
      </c>
    </row>
    <row r="156">
      <c r="A156" s="19" t="n">
        <v>45767</v>
      </c>
      <c r="B156" t="inlineStr">
        <is>
          <t>Easter Sunday</t>
        </is>
      </c>
      <c r="C156" t="inlineStr">
        <is>
          <t>VIC</t>
        </is>
      </c>
    </row>
    <row r="157">
      <c r="A157" s="19" t="n">
        <v>45768</v>
      </c>
      <c r="B157" t="inlineStr">
        <is>
          <t>Easter Monday</t>
        </is>
      </c>
      <c r="C157" t="inlineStr">
        <is>
          <t>VIC</t>
        </is>
      </c>
    </row>
    <row r="158">
      <c r="A158" s="19" t="n">
        <v>45772</v>
      </c>
      <c r="B158" t="inlineStr">
        <is>
          <t>Anzac Day</t>
        </is>
      </c>
      <c r="C158" t="inlineStr">
        <is>
          <t>VIC</t>
        </is>
      </c>
    </row>
    <row r="159">
      <c r="A159" s="19" t="n">
        <v>45817</v>
      </c>
      <c r="B159" t="inlineStr">
        <is>
          <t>King's Birthday</t>
        </is>
      </c>
      <c r="C159" t="inlineStr">
        <is>
          <t>VIC</t>
        </is>
      </c>
    </row>
    <row r="160">
      <c r="A160" s="19" t="n">
        <v>45926</v>
      </c>
      <c r="B160" t="inlineStr">
        <is>
          <t>AFL Grand Final Friday (check date)</t>
        </is>
      </c>
      <c r="C160" t="inlineStr">
        <is>
          <t>VIC</t>
        </is>
      </c>
    </row>
    <row r="161">
      <c r="A161" s="19" t="n">
        <v>45965</v>
      </c>
      <c r="B161" t="inlineStr">
        <is>
          <t>Melbourne Cup</t>
        </is>
      </c>
      <c r="C161" t="inlineStr">
        <is>
          <t>VIC</t>
        </is>
      </c>
    </row>
    <row r="162">
      <c r="A162" s="19" t="n">
        <v>46016</v>
      </c>
      <c r="B162" t="inlineStr">
        <is>
          <t>Christmas Day</t>
        </is>
      </c>
      <c r="C162" t="inlineStr">
        <is>
          <t>VIC</t>
        </is>
      </c>
    </row>
    <row r="163">
      <c r="A163" s="19" t="n">
        <v>46017</v>
      </c>
      <c r="B163" t="inlineStr">
        <is>
          <t>Boxing Day</t>
        </is>
      </c>
      <c r="C163" t="inlineStr">
        <is>
          <t>VIC</t>
        </is>
      </c>
    </row>
    <row r="164">
      <c r="A164" s="19" t="n">
        <v>46023</v>
      </c>
      <c r="B164" t="inlineStr">
        <is>
          <t>New Year's Day</t>
        </is>
      </c>
      <c r="C164" t="inlineStr">
        <is>
          <t>VIC</t>
        </is>
      </c>
    </row>
    <row r="165">
      <c r="A165" s="19" t="n">
        <v>46048</v>
      </c>
      <c r="B165" t="inlineStr">
        <is>
          <t>Australia Day</t>
        </is>
      </c>
      <c r="C165" t="inlineStr">
        <is>
          <t>VIC</t>
        </is>
      </c>
    </row>
    <row r="166">
      <c r="A166" s="19" t="n">
        <v>46090</v>
      </c>
      <c r="B166" t="inlineStr">
        <is>
          <t>Labour Day</t>
        </is>
      </c>
      <c r="C166" t="inlineStr">
        <is>
          <t>VIC</t>
        </is>
      </c>
    </row>
    <row r="167">
      <c r="A167" s="19" t="n">
        <v>46115</v>
      </c>
      <c r="B167" t="inlineStr">
        <is>
          <t>Good Friday</t>
        </is>
      </c>
      <c r="C167" t="inlineStr">
        <is>
          <t>VIC</t>
        </is>
      </c>
    </row>
    <row r="168">
      <c r="A168" s="19" t="n">
        <v>46116</v>
      </c>
      <c r="B168" t="inlineStr">
        <is>
          <t>Easter Saturday</t>
        </is>
      </c>
      <c r="C168" t="inlineStr">
        <is>
          <t>VIC</t>
        </is>
      </c>
    </row>
    <row r="169">
      <c r="A169" s="19" t="n">
        <v>46117</v>
      </c>
      <c r="B169" t="inlineStr">
        <is>
          <t>Easter Sunday</t>
        </is>
      </c>
      <c r="C169" t="inlineStr">
        <is>
          <t>VIC</t>
        </is>
      </c>
    </row>
    <row r="170">
      <c r="A170" s="19" t="n">
        <v>46118</v>
      </c>
      <c r="B170" t="inlineStr">
        <is>
          <t>Easter Monday</t>
        </is>
      </c>
      <c r="C170" t="inlineStr">
        <is>
          <t>VIC</t>
        </is>
      </c>
    </row>
    <row r="171">
      <c r="A171" s="19" t="n">
        <v>46137</v>
      </c>
      <c r="B171" t="inlineStr">
        <is>
          <t>Anzac Day</t>
        </is>
      </c>
      <c r="C171" t="inlineStr">
        <is>
          <t>VIC</t>
        </is>
      </c>
    </row>
    <row r="172">
      <c r="A172" s="19" t="n">
        <v>46181</v>
      </c>
      <c r="B172" t="inlineStr">
        <is>
          <t>King's Birthday</t>
        </is>
      </c>
      <c r="C172" t="inlineStr">
        <is>
          <t>VIC</t>
        </is>
      </c>
    </row>
    <row r="173">
      <c r="A173" s="19" t="n">
        <v>46290</v>
      </c>
      <c r="B173" t="inlineStr">
        <is>
          <t>AFL Grand Final Friday (check date)</t>
        </is>
      </c>
      <c r="C173" t="inlineStr">
        <is>
          <t>VIC</t>
        </is>
      </c>
    </row>
    <row r="174">
      <c r="A174" s="19" t="n">
        <v>46329</v>
      </c>
      <c r="B174" t="inlineStr">
        <is>
          <t>Melbourne Cup</t>
        </is>
      </c>
      <c r="C174" t="inlineStr">
        <is>
          <t>VIC</t>
        </is>
      </c>
    </row>
    <row r="175">
      <c r="A175" s="19" t="n">
        <v>46381</v>
      </c>
      <c r="B175" t="inlineStr">
        <is>
          <t>Christmas Day</t>
        </is>
      </c>
      <c r="C175" t="inlineStr">
        <is>
          <t>VIC</t>
        </is>
      </c>
    </row>
    <row r="176">
      <c r="A176" s="19" t="n">
        <v>46382</v>
      </c>
      <c r="B176" t="inlineStr">
        <is>
          <t>Boxing Day</t>
        </is>
      </c>
      <c r="C176" t="inlineStr">
        <is>
          <t>VIC</t>
        </is>
      </c>
    </row>
    <row r="177">
      <c r="A177" s="19" t="n">
        <v>46384</v>
      </c>
      <c r="B177" t="inlineStr">
        <is>
          <t>Boxing Day (additional)</t>
        </is>
      </c>
      <c r="C177" t="inlineStr">
        <is>
          <t>VIC</t>
        </is>
      </c>
    </row>
    <row r="178">
      <c r="A178" s="19" t="n">
        <v>46388</v>
      </c>
      <c r="B178" t="inlineStr">
        <is>
          <t>New Year's Day</t>
        </is>
      </c>
      <c r="C178" t="inlineStr">
        <is>
          <t>VIC</t>
        </is>
      </c>
    </row>
    <row r="179">
      <c r="A179" s="19" t="n">
        <v>46413</v>
      </c>
      <c r="B179" t="inlineStr">
        <is>
          <t>Australia Day</t>
        </is>
      </c>
      <c r="C179" t="inlineStr">
        <is>
          <t>VIC</t>
        </is>
      </c>
    </row>
    <row r="180">
      <c r="A180" s="19" t="n">
        <v>46454</v>
      </c>
      <c r="B180" t="inlineStr">
        <is>
          <t>Labour Day</t>
        </is>
      </c>
      <c r="C180" t="inlineStr">
        <is>
          <t>VIC</t>
        </is>
      </c>
    </row>
    <row r="181">
      <c r="A181" s="19" t="n">
        <v>46472</v>
      </c>
      <c r="B181" t="inlineStr">
        <is>
          <t>Good Friday</t>
        </is>
      </c>
      <c r="C181" t="inlineStr">
        <is>
          <t>VIC</t>
        </is>
      </c>
    </row>
    <row r="182">
      <c r="A182" s="19" t="n">
        <v>46473</v>
      </c>
      <c r="B182" t="inlineStr">
        <is>
          <t>Easter Saturday</t>
        </is>
      </c>
      <c r="C182" t="inlineStr">
        <is>
          <t>VIC</t>
        </is>
      </c>
    </row>
    <row r="183">
      <c r="A183" s="19" t="n">
        <v>46474</v>
      </c>
      <c r="B183" t="inlineStr">
        <is>
          <t>Easter Sunday</t>
        </is>
      </c>
      <c r="C183" t="inlineStr">
        <is>
          <t>VIC</t>
        </is>
      </c>
    </row>
    <row r="184">
      <c r="A184" s="19" t="n">
        <v>46475</v>
      </c>
      <c r="B184" t="inlineStr">
        <is>
          <t>Easter Monday</t>
        </is>
      </c>
      <c r="C184" t="inlineStr">
        <is>
          <t>VIC</t>
        </is>
      </c>
    </row>
    <row r="185">
      <c r="A185" s="19" t="n">
        <v>46502</v>
      </c>
      <c r="B185" t="inlineStr">
        <is>
          <t>Anzac Day</t>
        </is>
      </c>
      <c r="C185" t="inlineStr">
        <is>
          <t>VIC</t>
        </is>
      </c>
    </row>
    <row r="186">
      <c r="A186" s="19" t="n">
        <v>46552</v>
      </c>
      <c r="B186" t="inlineStr">
        <is>
          <t>King's Birthday</t>
        </is>
      </c>
      <c r="C186" t="inlineStr">
        <is>
          <t>VIC</t>
        </is>
      </c>
    </row>
    <row r="187">
      <c r="A187" s="19" t="n">
        <v>46654</v>
      </c>
      <c r="B187" t="inlineStr">
        <is>
          <t>AFL Grand Final Friday (check date)</t>
        </is>
      </c>
      <c r="C187" t="inlineStr">
        <is>
          <t>VIC</t>
        </is>
      </c>
    </row>
    <row r="188">
      <c r="A188" s="19" t="n">
        <v>46693</v>
      </c>
      <c r="B188" t="inlineStr">
        <is>
          <t>Melbourne Cup</t>
        </is>
      </c>
      <c r="C188" t="inlineStr">
        <is>
          <t>VIC</t>
        </is>
      </c>
    </row>
    <row r="189">
      <c r="A189" s="19" t="n">
        <v>46746</v>
      </c>
      <c r="B189" t="inlineStr">
        <is>
          <t>Christmas Day</t>
        </is>
      </c>
      <c r="C189" t="inlineStr">
        <is>
          <t>VIC</t>
        </is>
      </c>
    </row>
    <row r="190">
      <c r="A190" s="19" t="n">
        <v>46747</v>
      </c>
      <c r="B190" t="inlineStr">
        <is>
          <t>Boxing Day</t>
        </is>
      </c>
      <c r="C190" t="inlineStr">
        <is>
          <t>VIC</t>
        </is>
      </c>
    </row>
    <row r="191">
      <c r="A191" s="19" t="n">
        <v>46748</v>
      </c>
      <c r="B191" t="inlineStr">
        <is>
          <t>Christmas (additional)</t>
        </is>
      </c>
      <c r="C191" t="inlineStr">
        <is>
          <t>VIC</t>
        </is>
      </c>
    </row>
    <row r="192">
      <c r="A192" s="19" t="n">
        <v>46749</v>
      </c>
      <c r="B192" t="inlineStr">
        <is>
          <t>Boxing Day (additional)</t>
        </is>
      </c>
      <c r="C192" t="inlineStr">
        <is>
          <t>VIC</t>
        </is>
      </c>
    </row>
    <row r="193">
      <c r="A193" s="19" t="n">
        <v>46753</v>
      </c>
      <c r="B193" t="inlineStr">
        <is>
          <t>New Year's Day</t>
        </is>
      </c>
      <c r="C193" t="inlineStr">
        <is>
          <t>VIC</t>
        </is>
      </c>
    </row>
    <row r="194">
      <c r="A194" s="19" t="n">
        <v>46755</v>
      </c>
      <c r="B194" t="inlineStr">
        <is>
          <t>New Year's Day (additional)</t>
        </is>
      </c>
      <c r="C194" t="inlineStr">
        <is>
          <t>VIC</t>
        </is>
      </c>
    </row>
    <row r="195">
      <c r="A195" s="19" t="n">
        <v>46778</v>
      </c>
      <c r="B195" t="inlineStr">
        <is>
          <t>Australia Day</t>
        </is>
      </c>
      <c r="C195" t="inlineStr">
        <is>
          <t>VIC</t>
        </is>
      </c>
    </row>
    <row r="196">
      <c r="A196" s="19" t="n">
        <v>46825</v>
      </c>
      <c r="B196" t="inlineStr">
        <is>
          <t>Labour Day</t>
        </is>
      </c>
      <c r="C196" t="inlineStr">
        <is>
          <t>VIC</t>
        </is>
      </c>
    </row>
    <row r="197">
      <c r="A197" s="19" t="n">
        <v>46857</v>
      </c>
      <c r="B197" t="inlineStr">
        <is>
          <t>Good Friday</t>
        </is>
      </c>
      <c r="C197" t="inlineStr">
        <is>
          <t>VIC</t>
        </is>
      </c>
    </row>
    <row r="198">
      <c r="A198" s="19" t="n">
        <v>46858</v>
      </c>
      <c r="B198" t="inlineStr">
        <is>
          <t>Easter Saturday</t>
        </is>
      </c>
      <c r="C198" t="inlineStr">
        <is>
          <t>VIC</t>
        </is>
      </c>
    </row>
    <row r="199">
      <c r="A199" s="19" t="n">
        <v>46859</v>
      </c>
      <c r="B199" t="inlineStr">
        <is>
          <t>Easter Sunday</t>
        </is>
      </c>
      <c r="C199" t="inlineStr">
        <is>
          <t>VIC</t>
        </is>
      </c>
    </row>
    <row r="200">
      <c r="A200" s="19" t="n">
        <v>46860</v>
      </c>
      <c r="B200" t="inlineStr">
        <is>
          <t>Easter Monday</t>
        </is>
      </c>
      <c r="C200" t="inlineStr">
        <is>
          <t>VIC</t>
        </is>
      </c>
    </row>
    <row r="201">
      <c r="A201" s="19" t="n">
        <v>46868</v>
      </c>
      <c r="B201" t="inlineStr">
        <is>
          <t>Anzac Day</t>
        </is>
      </c>
      <c r="C201" t="inlineStr">
        <is>
          <t>VIC</t>
        </is>
      </c>
    </row>
    <row r="202">
      <c r="A202" s="19" t="n">
        <v>46916</v>
      </c>
      <c r="B202" t="inlineStr">
        <is>
          <t>King's Birthday</t>
        </is>
      </c>
      <c r="C202" t="inlineStr">
        <is>
          <t>VIC</t>
        </is>
      </c>
    </row>
    <row r="203">
      <c r="A203" s="19" t="n">
        <v>47025</v>
      </c>
      <c r="B203" t="inlineStr">
        <is>
          <t>AFL Grand Final Friday (check date)</t>
        </is>
      </c>
      <c r="C203" t="inlineStr">
        <is>
          <t>VIC</t>
        </is>
      </c>
    </row>
    <row r="204">
      <c r="A204" s="19" t="n">
        <v>47064</v>
      </c>
      <c r="B204" t="inlineStr">
        <is>
          <t>Melbourne Cup</t>
        </is>
      </c>
      <c r="C204" t="inlineStr">
        <is>
          <t>VIC</t>
        </is>
      </c>
    </row>
    <row r="205">
      <c r="A205" s="19" t="n">
        <v>47112</v>
      </c>
      <c r="B205" t="inlineStr">
        <is>
          <t>Christmas Day</t>
        </is>
      </c>
      <c r="C205" t="inlineStr">
        <is>
          <t>VIC</t>
        </is>
      </c>
    </row>
    <row r="206">
      <c r="A206" s="19" t="n">
        <v>47113</v>
      </c>
      <c r="B206" t="inlineStr">
        <is>
          <t>Boxing Day</t>
        </is>
      </c>
      <c r="C206" t="inlineStr">
        <is>
          <t>VIC</t>
        </is>
      </c>
    </row>
    <row r="207">
      <c r="A207" s="19" t="n">
        <v>45658</v>
      </c>
      <c r="B207" t="inlineStr">
        <is>
          <t>New Year's Day</t>
        </is>
      </c>
      <c r="C207" t="inlineStr">
        <is>
          <t>WA</t>
        </is>
      </c>
    </row>
    <row r="208">
      <c r="A208" s="19" t="n">
        <v>45684</v>
      </c>
      <c r="B208" t="inlineStr">
        <is>
          <t>Australia Day</t>
        </is>
      </c>
      <c r="C208" t="inlineStr">
        <is>
          <t>WA</t>
        </is>
      </c>
    </row>
    <row r="209">
      <c r="A209" s="19" t="n">
        <v>45719</v>
      </c>
      <c r="B209" t="inlineStr">
        <is>
          <t>Labour Day</t>
        </is>
      </c>
      <c r="C209" t="inlineStr">
        <is>
          <t>WA</t>
        </is>
      </c>
    </row>
    <row r="210">
      <c r="A210" s="19" t="n">
        <v>45765</v>
      </c>
      <c r="B210" t="inlineStr">
        <is>
          <t>Good Friday</t>
        </is>
      </c>
      <c r="C210" t="inlineStr">
        <is>
          <t>WA</t>
        </is>
      </c>
    </row>
    <row r="211">
      <c r="A211" s="19" t="n">
        <v>45767</v>
      </c>
      <c r="B211" t="inlineStr">
        <is>
          <t>Easter Sunday</t>
        </is>
      </c>
      <c r="C211" t="inlineStr">
        <is>
          <t>WA</t>
        </is>
      </c>
    </row>
    <row r="212">
      <c r="A212" s="19" t="n">
        <v>45768</v>
      </c>
      <c r="B212" t="inlineStr">
        <is>
          <t>Easter Monday</t>
        </is>
      </c>
      <c r="C212" t="inlineStr">
        <is>
          <t>WA</t>
        </is>
      </c>
    </row>
    <row r="213">
      <c r="A213" s="19" t="n">
        <v>45772</v>
      </c>
      <c r="B213" t="inlineStr">
        <is>
          <t>Anzac Day</t>
        </is>
      </c>
      <c r="C213" t="inlineStr">
        <is>
          <t>WA</t>
        </is>
      </c>
    </row>
    <row r="214">
      <c r="A214" s="19" t="n">
        <v>45810</v>
      </c>
      <c r="B214" t="inlineStr">
        <is>
          <t>WA Day</t>
        </is>
      </c>
      <c r="C214" t="inlineStr">
        <is>
          <t>WA</t>
        </is>
      </c>
    </row>
    <row r="215">
      <c r="A215" s="19" t="n">
        <v>45929</v>
      </c>
      <c r="B215" t="inlineStr">
        <is>
          <t>King's Birthday</t>
        </is>
      </c>
      <c r="C215" t="inlineStr">
        <is>
          <t>WA</t>
        </is>
      </c>
    </row>
    <row r="216">
      <c r="A216" s="19" t="n">
        <v>46016</v>
      </c>
      <c r="B216" t="inlineStr">
        <is>
          <t>Christmas Day</t>
        </is>
      </c>
      <c r="C216" t="inlineStr">
        <is>
          <t>WA</t>
        </is>
      </c>
    </row>
    <row r="217">
      <c r="A217" s="19" t="n">
        <v>46017</v>
      </c>
      <c r="B217" t="inlineStr">
        <is>
          <t>Boxing Day</t>
        </is>
      </c>
      <c r="C217" t="inlineStr">
        <is>
          <t>WA</t>
        </is>
      </c>
    </row>
    <row r="218">
      <c r="A218" s="19" t="n">
        <v>46023</v>
      </c>
      <c r="B218" t="inlineStr">
        <is>
          <t>New Year's Day</t>
        </is>
      </c>
      <c r="C218" t="inlineStr">
        <is>
          <t>WA</t>
        </is>
      </c>
    </row>
    <row r="219">
      <c r="A219" s="19" t="n">
        <v>46048</v>
      </c>
      <c r="B219" t="inlineStr">
        <is>
          <t>Australia Day</t>
        </is>
      </c>
      <c r="C219" t="inlineStr">
        <is>
          <t>WA</t>
        </is>
      </c>
    </row>
    <row r="220">
      <c r="A220" s="19" t="n">
        <v>46083</v>
      </c>
      <c r="B220" t="inlineStr">
        <is>
          <t>Labour Day</t>
        </is>
      </c>
      <c r="C220" t="inlineStr">
        <is>
          <t>WA</t>
        </is>
      </c>
    </row>
    <row r="221">
      <c r="A221" s="19" t="n">
        <v>46115</v>
      </c>
      <c r="B221" t="inlineStr">
        <is>
          <t>Good Friday</t>
        </is>
      </c>
      <c r="C221" t="inlineStr">
        <is>
          <t>WA</t>
        </is>
      </c>
    </row>
    <row r="222">
      <c r="A222" s="19" t="n">
        <v>46117</v>
      </c>
      <c r="B222" t="inlineStr">
        <is>
          <t>Easter Sunday</t>
        </is>
      </c>
      <c r="C222" t="inlineStr">
        <is>
          <t>WA</t>
        </is>
      </c>
    </row>
    <row r="223">
      <c r="A223" s="19" t="n">
        <v>46118</v>
      </c>
      <c r="B223" t="inlineStr">
        <is>
          <t>Easter Monday</t>
        </is>
      </c>
      <c r="C223" t="inlineStr">
        <is>
          <t>WA</t>
        </is>
      </c>
    </row>
    <row r="224">
      <c r="A224" s="19" t="n">
        <v>46137</v>
      </c>
      <c r="B224" t="inlineStr">
        <is>
          <t>Anzac Day</t>
        </is>
      </c>
      <c r="C224" t="inlineStr">
        <is>
          <t>WA</t>
        </is>
      </c>
    </row>
    <row r="225">
      <c r="A225" s="19" t="n">
        <v>46139</v>
      </c>
      <c r="B225" t="inlineStr">
        <is>
          <t>Anzac Day (additional)</t>
        </is>
      </c>
      <c r="C225" t="inlineStr">
        <is>
          <t>WA</t>
        </is>
      </c>
    </row>
    <row r="226">
      <c r="A226" s="19" t="n">
        <v>46174</v>
      </c>
      <c r="B226" t="inlineStr">
        <is>
          <t>WA Day</t>
        </is>
      </c>
      <c r="C226" t="inlineStr">
        <is>
          <t>WA</t>
        </is>
      </c>
    </row>
    <row r="227">
      <c r="A227" s="19" t="n">
        <v>46293</v>
      </c>
      <c r="B227" t="inlineStr">
        <is>
          <t>King's Birthday</t>
        </is>
      </c>
      <c r="C227" t="inlineStr">
        <is>
          <t>WA</t>
        </is>
      </c>
    </row>
    <row r="228">
      <c r="A228" s="19" t="n">
        <v>46381</v>
      </c>
      <c r="B228" t="inlineStr">
        <is>
          <t>Christmas Day</t>
        </is>
      </c>
      <c r="C228" t="inlineStr">
        <is>
          <t>WA</t>
        </is>
      </c>
    </row>
    <row r="229">
      <c r="A229" s="19" t="n">
        <v>46382</v>
      </c>
      <c r="B229" t="inlineStr">
        <is>
          <t>Boxing Day</t>
        </is>
      </c>
      <c r="C229" t="inlineStr">
        <is>
          <t>WA</t>
        </is>
      </c>
    </row>
    <row r="230">
      <c r="A230" s="19" t="n">
        <v>46384</v>
      </c>
      <c r="B230" t="inlineStr">
        <is>
          <t>Boxing Day (additional)</t>
        </is>
      </c>
      <c r="C230" t="inlineStr">
        <is>
          <t>WA</t>
        </is>
      </c>
    </row>
    <row r="231">
      <c r="A231" s="19" t="n">
        <v>46388</v>
      </c>
      <c r="B231" t="inlineStr">
        <is>
          <t>New Year's Day</t>
        </is>
      </c>
      <c r="C231" t="inlineStr">
        <is>
          <t>WA</t>
        </is>
      </c>
    </row>
    <row r="232">
      <c r="A232" s="19" t="n">
        <v>46413</v>
      </c>
      <c r="B232" t="inlineStr">
        <is>
          <t>Australia Day</t>
        </is>
      </c>
      <c r="C232" t="inlineStr">
        <is>
          <t>WA</t>
        </is>
      </c>
    </row>
    <row r="233">
      <c r="A233" s="19" t="n">
        <v>46447</v>
      </c>
      <c r="B233" t="inlineStr">
        <is>
          <t>Labour Day</t>
        </is>
      </c>
      <c r="C233" t="inlineStr">
        <is>
          <t>WA</t>
        </is>
      </c>
    </row>
    <row r="234">
      <c r="A234" s="19" t="n">
        <v>46472</v>
      </c>
      <c r="B234" t="inlineStr">
        <is>
          <t>Good Friday</t>
        </is>
      </c>
      <c r="C234" t="inlineStr">
        <is>
          <t>WA</t>
        </is>
      </c>
    </row>
    <row r="235">
      <c r="A235" s="19" t="n">
        <v>46474</v>
      </c>
      <c r="B235" t="inlineStr">
        <is>
          <t>Easter Sunday</t>
        </is>
      </c>
      <c r="C235" t="inlineStr">
        <is>
          <t>WA</t>
        </is>
      </c>
    </row>
    <row r="236">
      <c r="A236" s="19" t="n">
        <v>46475</v>
      </c>
      <c r="B236" t="inlineStr">
        <is>
          <t>Easter Monday</t>
        </is>
      </c>
      <c r="C236" t="inlineStr">
        <is>
          <t>WA</t>
        </is>
      </c>
    </row>
    <row r="237">
      <c r="A237" s="19" t="n">
        <v>46502</v>
      </c>
      <c r="B237" t="inlineStr">
        <is>
          <t>Anzac Day</t>
        </is>
      </c>
      <c r="C237" t="inlineStr">
        <is>
          <t>WA</t>
        </is>
      </c>
    </row>
    <row r="238">
      <c r="A238" s="19" t="n">
        <v>46503</v>
      </c>
      <c r="B238" t="inlineStr">
        <is>
          <t>Anzac Day (additional)</t>
        </is>
      </c>
      <c r="C238" t="inlineStr">
        <is>
          <t>WA</t>
        </is>
      </c>
    </row>
    <row r="239">
      <c r="A239" s="19" t="n">
        <v>46545</v>
      </c>
      <c r="B239" t="inlineStr">
        <is>
          <t>WA Day</t>
        </is>
      </c>
      <c r="C239" t="inlineStr">
        <is>
          <t>WA</t>
        </is>
      </c>
    </row>
    <row r="240">
      <c r="A240" s="19" t="n">
        <v>46657</v>
      </c>
      <c r="B240" t="inlineStr">
        <is>
          <t>King's Birthday</t>
        </is>
      </c>
      <c r="C240" t="inlineStr">
        <is>
          <t>WA</t>
        </is>
      </c>
    </row>
    <row r="241">
      <c r="A241" s="19" t="n">
        <v>46746</v>
      </c>
      <c r="B241" t="inlineStr">
        <is>
          <t>Christmas Day</t>
        </is>
      </c>
      <c r="C241" t="inlineStr">
        <is>
          <t>WA</t>
        </is>
      </c>
    </row>
    <row r="242">
      <c r="A242" s="19" t="n">
        <v>46747</v>
      </c>
      <c r="B242" t="inlineStr">
        <is>
          <t>Boxing Day</t>
        </is>
      </c>
      <c r="C242" t="inlineStr">
        <is>
          <t>WA</t>
        </is>
      </c>
    </row>
    <row r="243">
      <c r="A243" s="19" t="n">
        <v>46748</v>
      </c>
      <c r="B243" t="inlineStr">
        <is>
          <t>Christmas (additional)</t>
        </is>
      </c>
      <c r="C243" t="inlineStr">
        <is>
          <t>WA</t>
        </is>
      </c>
    </row>
    <row r="244">
      <c r="A244" s="19" t="n">
        <v>46749</v>
      </c>
      <c r="B244" t="inlineStr">
        <is>
          <t>Boxing Day (additional)</t>
        </is>
      </c>
      <c r="C244" t="inlineStr">
        <is>
          <t>WA</t>
        </is>
      </c>
    </row>
    <row r="245">
      <c r="A245" s="19" t="n">
        <v>46753</v>
      </c>
      <c r="B245" t="inlineStr">
        <is>
          <t>New Year's Day</t>
        </is>
      </c>
      <c r="C245" t="inlineStr">
        <is>
          <t>WA</t>
        </is>
      </c>
    </row>
    <row r="246">
      <c r="A246" s="19" t="n">
        <v>46755</v>
      </c>
      <c r="B246" t="inlineStr">
        <is>
          <t>New Year's Day (additional)</t>
        </is>
      </c>
      <c r="C246" t="inlineStr">
        <is>
          <t>WA</t>
        </is>
      </c>
    </row>
    <row r="247">
      <c r="A247" s="19" t="n">
        <v>46778</v>
      </c>
      <c r="B247" t="inlineStr">
        <is>
          <t>Australia Day</t>
        </is>
      </c>
      <c r="C247" t="inlineStr">
        <is>
          <t>WA</t>
        </is>
      </c>
    </row>
    <row r="248">
      <c r="A248" s="19" t="n">
        <v>46818</v>
      </c>
      <c r="B248" t="inlineStr">
        <is>
          <t>Labour Day</t>
        </is>
      </c>
      <c r="C248" t="inlineStr">
        <is>
          <t>WA</t>
        </is>
      </c>
    </row>
    <row r="249">
      <c r="A249" s="19" t="n">
        <v>46857</v>
      </c>
      <c r="B249" t="inlineStr">
        <is>
          <t>Good Friday</t>
        </is>
      </c>
      <c r="C249" t="inlineStr">
        <is>
          <t>WA</t>
        </is>
      </c>
    </row>
    <row r="250">
      <c r="A250" s="19" t="n">
        <v>46859</v>
      </c>
      <c r="B250" t="inlineStr">
        <is>
          <t>Easter Sunday</t>
        </is>
      </c>
      <c r="C250" t="inlineStr">
        <is>
          <t>WA</t>
        </is>
      </c>
    </row>
    <row r="251">
      <c r="A251" s="19" t="n">
        <v>46860</v>
      </c>
      <c r="B251" t="inlineStr">
        <is>
          <t>Easter Monday</t>
        </is>
      </c>
      <c r="C251" t="inlineStr">
        <is>
          <t>WA</t>
        </is>
      </c>
    </row>
    <row r="252">
      <c r="A252" s="19" t="n">
        <v>46868</v>
      </c>
      <c r="B252" t="inlineStr">
        <is>
          <t>Anzac Day</t>
        </is>
      </c>
      <c r="C252" t="inlineStr">
        <is>
          <t>WA</t>
        </is>
      </c>
    </row>
    <row r="253">
      <c r="A253" s="19" t="n">
        <v>46909</v>
      </c>
      <c r="B253" t="inlineStr">
        <is>
          <t>WA Day</t>
        </is>
      </c>
      <c r="C253" t="inlineStr">
        <is>
          <t>WA</t>
        </is>
      </c>
    </row>
    <row r="254">
      <c r="A254" s="19" t="n">
        <v>47021</v>
      </c>
      <c r="B254" t="inlineStr">
        <is>
          <t>King's Birthday</t>
        </is>
      </c>
      <c r="C254" t="inlineStr">
        <is>
          <t>WA</t>
        </is>
      </c>
    </row>
    <row r="255">
      <c r="A255" s="19" t="n">
        <v>47112</v>
      </c>
      <c r="B255" t="inlineStr">
        <is>
          <t>Christmas Day</t>
        </is>
      </c>
      <c r="C255" t="inlineStr">
        <is>
          <t>WA</t>
        </is>
      </c>
    </row>
    <row r="256">
      <c r="A256" s="19" t="n">
        <v>47113</v>
      </c>
      <c r="B256" t="inlineStr">
        <is>
          <t>Boxing Day</t>
        </is>
      </c>
      <c r="C256" t="inlineStr">
        <is>
          <t>WA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Calendar: public holidays, PH cost factor, wage index</t>
        </is>
      </c>
    </row>
    <row r="2">
      <c r="A2" s="6" t="inlineStr">
        <is>
          <t>PH factor = average cost per hour in the month vs a month with no public holidays.</t>
        </is>
      </c>
    </row>
    <row r="3">
      <c r="C3" s="1" t="inlineStr">
        <is>
          <t>Public holidays (count)</t>
        </is>
      </c>
      <c r="H3" s="1" t="inlineStr">
        <is>
          <t>PH cost factor</t>
        </is>
      </c>
    </row>
    <row r="4">
      <c r="A4" s="7" t="inlineStr">
        <is>
          <t>Month</t>
        </is>
      </c>
      <c r="B4" s="7" t="inlineStr">
        <is>
          <t>Days</t>
        </is>
      </c>
      <c r="C4" s="7" t="inlineStr">
        <is>
          <t>PH NSW</t>
        </is>
      </c>
      <c r="D4" s="7" t="inlineStr">
        <is>
          <t>PH VIC</t>
        </is>
      </c>
      <c r="E4" s="7" t="inlineStr">
        <is>
          <t>PH QLD</t>
        </is>
      </c>
      <c r="F4" s="7" t="inlineStr">
        <is>
          <t>PH SA</t>
        </is>
      </c>
      <c r="G4" s="7" t="inlineStr">
        <is>
          <t>PH WA</t>
        </is>
      </c>
      <c r="H4" s="7" t="inlineStr">
        <is>
          <t>NSW</t>
        </is>
      </c>
      <c r="I4" s="7" t="inlineStr">
        <is>
          <t>VIC</t>
        </is>
      </c>
      <c r="J4" s="7" t="inlineStr">
        <is>
          <t>QLD</t>
        </is>
      </c>
      <c r="K4" s="7" t="inlineStr">
        <is>
          <t>SA</t>
        </is>
      </c>
      <c r="L4" s="7" t="inlineStr">
        <is>
          <t>WA</t>
        </is>
      </c>
      <c r="M4" s="7" t="inlineStr">
        <is>
          <t>Wage index</t>
        </is>
      </c>
    </row>
    <row r="5">
      <c r="A5" s="8" t="n">
        <v>45658</v>
      </c>
      <c r="B5">
        <f>DAY(EOMONTH(A5,0))</f>
        <v/>
      </c>
      <c r="C5">
        <f>COUNTIFS(Holidays!$A$2:$A$1000,"&gt;="&amp;$A5,Holidays!$A$2:$A$1000,"&lt;="&amp;EOMONTH($A5,0),Holidays!$C$2:$C$1000,"NSW")</f>
        <v/>
      </c>
      <c r="D5">
        <f>COUNTIFS(Holidays!$A$2:$A$1000,"&gt;="&amp;$A5,Holidays!$A$2:$A$1000,"&lt;="&amp;EOMONTH($A5,0),Holidays!$C$2:$C$1000,"VIC")</f>
        <v/>
      </c>
      <c r="E5">
        <f>COUNTIFS(Holidays!$A$2:$A$1000,"&gt;="&amp;$A5,Holidays!$A$2:$A$1000,"&lt;="&amp;EOMONTH($A5,0),Holidays!$C$2:$C$1000,"QLD")</f>
        <v/>
      </c>
      <c r="F5">
        <f>COUNTIFS(Holidays!$A$2:$A$1000,"&gt;="&amp;$A5,Holidays!$A$2:$A$1000,"&lt;="&amp;EOMONTH($A5,0),Holidays!$C$2:$C$1000,"SA")</f>
        <v/>
      </c>
      <c r="G5">
        <f>COUNTIFS(Holidays!$A$2:$A$1000,"&gt;="&amp;$A5,Holidays!$A$2:$A$1000,"&lt;="&amp;EOMONTH($A5,0),Holidays!$C$2:$C$1000,"WA")</f>
        <v/>
      </c>
      <c r="H5" s="16">
        <f>($B5-C5+C5*PH_Roster*(1+PH_Loading))/($B5-C5+C5*PH_Roster)</f>
        <v/>
      </c>
      <c r="I5" s="16">
        <f>($B5-D5+D5*PH_Roster*(1+PH_Loading))/($B5-D5+D5*PH_Roster)</f>
        <v/>
      </c>
      <c r="J5" s="16">
        <f>($B5-E5+E5*PH_Roster*(1+PH_Loading))/($B5-E5+E5*PH_Roster)</f>
        <v/>
      </c>
      <c r="K5" s="16">
        <f>($B5-F5+F5*PH_Roster*(1+PH_Loading))/($B5-F5+F5*PH_Roster)</f>
        <v/>
      </c>
      <c r="L5" s="16">
        <f>($B5-G5+G5*PH_Roster*(1+PH_Loading))/($B5-G5+G5*PH_Roster)</f>
        <v/>
      </c>
      <c r="M5" s="16">
        <f>EXP(SUMPRODUCT((WageDates&lt;=$A5)*(WageDates&lt;&gt;"")*LN(1+WageRates)))</f>
        <v/>
      </c>
    </row>
    <row r="6">
      <c r="A6" s="8" t="n">
        <v>45689</v>
      </c>
      <c r="B6">
        <f>DAY(EOMONTH(A6,0))</f>
        <v/>
      </c>
      <c r="C6">
        <f>COUNTIFS(Holidays!$A$2:$A$1000,"&gt;="&amp;$A6,Holidays!$A$2:$A$1000,"&lt;="&amp;EOMONTH($A6,0),Holidays!$C$2:$C$1000,"NSW")</f>
        <v/>
      </c>
      <c r="D6">
        <f>COUNTIFS(Holidays!$A$2:$A$1000,"&gt;="&amp;$A6,Holidays!$A$2:$A$1000,"&lt;="&amp;EOMONTH($A6,0),Holidays!$C$2:$C$1000,"VIC")</f>
        <v/>
      </c>
      <c r="E6">
        <f>COUNTIFS(Holidays!$A$2:$A$1000,"&gt;="&amp;$A6,Holidays!$A$2:$A$1000,"&lt;="&amp;EOMONTH($A6,0),Holidays!$C$2:$C$1000,"QLD")</f>
        <v/>
      </c>
      <c r="F6">
        <f>COUNTIFS(Holidays!$A$2:$A$1000,"&gt;="&amp;$A6,Holidays!$A$2:$A$1000,"&lt;="&amp;EOMONTH($A6,0),Holidays!$C$2:$C$1000,"SA")</f>
        <v/>
      </c>
      <c r="G6">
        <f>COUNTIFS(Holidays!$A$2:$A$1000,"&gt;="&amp;$A6,Holidays!$A$2:$A$1000,"&lt;="&amp;EOMONTH($A6,0),Holidays!$C$2:$C$1000,"WA")</f>
        <v/>
      </c>
      <c r="H6" s="16">
        <f>($B6-C6+C6*PH_Roster*(1+PH_Loading))/($B6-C6+C6*PH_Roster)</f>
        <v/>
      </c>
      <c r="I6" s="16">
        <f>($B6-D6+D6*PH_Roster*(1+PH_Loading))/($B6-D6+D6*PH_Roster)</f>
        <v/>
      </c>
      <c r="J6" s="16">
        <f>($B6-E6+E6*PH_Roster*(1+PH_Loading))/($B6-E6+E6*PH_Roster)</f>
        <v/>
      </c>
      <c r="K6" s="16">
        <f>($B6-F6+F6*PH_Roster*(1+PH_Loading))/($B6-F6+F6*PH_Roster)</f>
        <v/>
      </c>
      <c r="L6" s="16">
        <f>($B6-G6+G6*PH_Roster*(1+PH_Loading))/($B6-G6+G6*PH_Roster)</f>
        <v/>
      </c>
      <c r="M6" s="16">
        <f>EXP(SUMPRODUCT((WageDates&lt;=$A6)*(WageDates&lt;&gt;"")*LN(1+WageRates)))</f>
        <v/>
      </c>
    </row>
    <row r="7">
      <c r="A7" s="8" t="n">
        <v>45717</v>
      </c>
      <c r="B7">
        <f>DAY(EOMONTH(A7,0))</f>
        <v/>
      </c>
      <c r="C7">
        <f>COUNTIFS(Holidays!$A$2:$A$1000,"&gt;="&amp;$A7,Holidays!$A$2:$A$1000,"&lt;="&amp;EOMONTH($A7,0),Holidays!$C$2:$C$1000,"NSW")</f>
        <v/>
      </c>
      <c r="D7">
        <f>COUNTIFS(Holidays!$A$2:$A$1000,"&gt;="&amp;$A7,Holidays!$A$2:$A$1000,"&lt;="&amp;EOMONTH($A7,0),Holidays!$C$2:$C$1000,"VIC")</f>
        <v/>
      </c>
      <c r="E7">
        <f>COUNTIFS(Holidays!$A$2:$A$1000,"&gt;="&amp;$A7,Holidays!$A$2:$A$1000,"&lt;="&amp;EOMONTH($A7,0),Holidays!$C$2:$C$1000,"QLD")</f>
        <v/>
      </c>
      <c r="F7">
        <f>COUNTIFS(Holidays!$A$2:$A$1000,"&gt;="&amp;$A7,Holidays!$A$2:$A$1000,"&lt;="&amp;EOMONTH($A7,0),Holidays!$C$2:$C$1000,"SA")</f>
        <v/>
      </c>
      <c r="G7">
        <f>COUNTIFS(Holidays!$A$2:$A$1000,"&gt;="&amp;$A7,Holidays!$A$2:$A$1000,"&lt;="&amp;EOMONTH($A7,0),Holidays!$C$2:$C$1000,"WA")</f>
        <v/>
      </c>
      <c r="H7" s="16">
        <f>($B7-C7+C7*PH_Roster*(1+PH_Loading))/($B7-C7+C7*PH_Roster)</f>
        <v/>
      </c>
      <c r="I7" s="16">
        <f>($B7-D7+D7*PH_Roster*(1+PH_Loading))/($B7-D7+D7*PH_Roster)</f>
        <v/>
      </c>
      <c r="J7" s="16">
        <f>($B7-E7+E7*PH_Roster*(1+PH_Loading))/($B7-E7+E7*PH_Roster)</f>
        <v/>
      </c>
      <c r="K7" s="16">
        <f>($B7-F7+F7*PH_Roster*(1+PH_Loading))/($B7-F7+F7*PH_Roster)</f>
        <v/>
      </c>
      <c r="L7" s="16">
        <f>($B7-G7+G7*PH_Roster*(1+PH_Loading))/($B7-G7+G7*PH_Roster)</f>
        <v/>
      </c>
      <c r="M7" s="16">
        <f>EXP(SUMPRODUCT((WageDates&lt;=$A7)*(WageDates&lt;&gt;"")*LN(1+WageRates)))</f>
        <v/>
      </c>
    </row>
    <row r="8">
      <c r="A8" s="8" t="n">
        <v>45748</v>
      </c>
      <c r="B8">
        <f>DAY(EOMONTH(A8,0))</f>
        <v/>
      </c>
      <c r="C8">
        <f>COUNTIFS(Holidays!$A$2:$A$1000,"&gt;="&amp;$A8,Holidays!$A$2:$A$1000,"&lt;="&amp;EOMONTH($A8,0),Holidays!$C$2:$C$1000,"NSW")</f>
        <v/>
      </c>
      <c r="D8">
        <f>COUNTIFS(Holidays!$A$2:$A$1000,"&gt;="&amp;$A8,Holidays!$A$2:$A$1000,"&lt;="&amp;EOMONTH($A8,0),Holidays!$C$2:$C$1000,"VIC")</f>
        <v/>
      </c>
      <c r="E8">
        <f>COUNTIFS(Holidays!$A$2:$A$1000,"&gt;="&amp;$A8,Holidays!$A$2:$A$1000,"&lt;="&amp;EOMONTH($A8,0),Holidays!$C$2:$C$1000,"QLD")</f>
        <v/>
      </c>
      <c r="F8">
        <f>COUNTIFS(Holidays!$A$2:$A$1000,"&gt;="&amp;$A8,Holidays!$A$2:$A$1000,"&lt;="&amp;EOMONTH($A8,0),Holidays!$C$2:$C$1000,"SA")</f>
        <v/>
      </c>
      <c r="G8">
        <f>COUNTIFS(Holidays!$A$2:$A$1000,"&gt;="&amp;$A8,Holidays!$A$2:$A$1000,"&lt;="&amp;EOMONTH($A8,0),Holidays!$C$2:$C$1000,"WA")</f>
        <v/>
      </c>
      <c r="H8" s="16">
        <f>($B8-C8+C8*PH_Roster*(1+PH_Loading))/($B8-C8+C8*PH_Roster)</f>
        <v/>
      </c>
      <c r="I8" s="16">
        <f>($B8-D8+D8*PH_Roster*(1+PH_Loading))/($B8-D8+D8*PH_Roster)</f>
        <v/>
      </c>
      <c r="J8" s="16">
        <f>($B8-E8+E8*PH_Roster*(1+PH_Loading))/($B8-E8+E8*PH_Roster)</f>
        <v/>
      </c>
      <c r="K8" s="16">
        <f>($B8-F8+F8*PH_Roster*(1+PH_Loading))/($B8-F8+F8*PH_Roster)</f>
        <v/>
      </c>
      <c r="L8" s="16">
        <f>($B8-G8+G8*PH_Roster*(1+PH_Loading))/($B8-G8+G8*PH_Roster)</f>
        <v/>
      </c>
      <c r="M8" s="16">
        <f>EXP(SUMPRODUCT((WageDates&lt;=$A8)*(WageDates&lt;&gt;"")*LN(1+WageRates)))</f>
        <v/>
      </c>
    </row>
    <row r="9">
      <c r="A9" s="8" t="n">
        <v>45778</v>
      </c>
      <c r="B9">
        <f>DAY(EOMONTH(A9,0))</f>
        <v/>
      </c>
      <c r="C9">
        <f>COUNTIFS(Holidays!$A$2:$A$1000,"&gt;="&amp;$A9,Holidays!$A$2:$A$1000,"&lt;="&amp;EOMONTH($A9,0),Holidays!$C$2:$C$1000,"NSW")</f>
        <v/>
      </c>
      <c r="D9">
        <f>COUNTIFS(Holidays!$A$2:$A$1000,"&gt;="&amp;$A9,Holidays!$A$2:$A$1000,"&lt;="&amp;EOMONTH($A9,0),Holidays!$C$2:$C$1000,"VIC")</f>
        <v/>
      </c>
      <c r="E9">
        <f>COUNTIFS(Holidays!$A$2:$A$1000,"&gt;="&amp;$A9,Holidays!$A$2:$A$1000,"&lt;="&amp;EOMONTH($A9,0),Holidays!$C$2:$C$1000,"QLD")</f>
        <v/>
      </c>
      <c r="F9">
        <f>COUNTIFS(Holidays!$A$2:$A$1000,"&gt;="&amp;$A9,Holidays!$A$2:$A$1000,"&lt;="&amp;EOMONTH($A9,0),Holidays!$C$2:$C$1000,"SA")</f>
        <v/>
      </c>
      <c r="G9">
        <f>COUNTIFS(Holidays!$A$2:$A$1000,"&gt;="&amp;$A9,Holidays!$A$2:$A$1000,"&lt;="&amp;EOMONTH($A9,0),Holidays!$C$2:$C$1000,"WA")</f>
        <v/>
      </c>
      <c r="H9" s="16">
        <f>($B9-C9+C9*PH_Roster*(1+PH_Loading))/($B9-C9+C9*PH_Roster)</f>
        <v/>
      </c>
      <c r="I9" s="16">
        <f>($B9-D9+D9*PH_Roster*(1+PH_Loading))/($B9-D9+D9*PH_Roster)</f>
        <v/>
      </c>
      <c r="J9" s="16">
        <f>($B9-E9+E9*PH_Roster*(1+PH_Loading))/($B9-E9+E9*PH_Roster)</f>
        <v/>
      </c>
      <c r="K9" s="16">
        <f>($B9-F9+F9*PH_Roster*(1+PH_Loading))/($B9-F9+F9*PH_Roster)</f>
        <v/>
      </c>
      <c r="L9" s="16">
        <f>($B9-G9+G9*PH_Roster*(1+PH_Loading))/($B9-G9+G9*PH_Roster)</f>
        <v/>
      </c>
      <c r="M9" s="16">
        <f>EXP(SUMPRODUCT((WageDates&lt;=$A9)*(WageDates&lt;&gt;"")*LN(1+WageRates)))</f>
        <v/>
      </c>
    </row>
    <row r="10">
      <c r="A10" s="8" t="n">
        <v>45809</v>
      </c>
      <c r="B10">
        <f>DAY(EOMONTH(A10,0))</f>
        <v/>
      </c>
      <c r="C10">
        <f>COUNTIFS(Holidays!$A$2:$A$1000,"&gt;="&amp;$A10,Holidays!$A$2:$A$1000,"&lt;="&amp;EOMONTH($A10,0),Holidays!$C$2:$C$1000,"NSW")</f>
        <v/>
      </c>
      <c r="D10">
        <f>COUNTIFS(Holidays!$A$2:$A$1000,"&gt;="&amp;$A10,Holidays!$A$2:$A$1000,"&lt;="&amp;EOMONTH($A10,0),Holidays!$C$2:$C$1000,"VIC")</f>
        <v/>
      </c>
      <c r="E10">
        <f>COUNTIFS(Holidays!$A$2:$A$1000,"&gt;="&amp;$A10,Holidays!$A$2:$A$1000,"&lt;="&amp;EOMONTH($A10,0),Holidays!$C$2:$C$1000,"QLD")</f>
        <v/>
      </c>
      <c r="F10">
        <f>COUNTIFS(Holidays!$A$2:$A$1000,"&gt;="&amp;$A10,Holidays!$A$2:$A$1000,"&lt;="&amp;EOMONTH($A10,0),Holidays!$C$2:$C$1000,"SA")</f>
        <v/>
      </c>
      <c r="G10">
        <f>COUNTIFS(Holidays!$A$2:$A$1000,"&gt;="&amp;$A10,Holidays!$A$2:$A$1000,"&lt;="&amp;EOMONTH($A10,0),Holidays!$C$2:$C$1000,"WA")</f>
        <v/>
      </c>
      <c r="H10" s="16">
        <f>($B10-C10+C10*PH_Roster*(1+PH_Loading))/($B10-C10+C10*PH_Roster)</f>
        <v/>
      </c>
      <c r="I10" s="16">
        <f>($B10-D10+D10*PH_Roster*(1+PH_Loading))/($B10-D10+D10*PH_Roster)</f>
        <v/>
      </c>
      <c r="J10" s="16">
        <f>($B10-E10+E10*PH_Roster*(1+PH_Loading))/($B10-E10+E10*PH_Roster)</f>
        <v/>
      </c>
      <c r="K10" s="16">
        <f>($B10-F10+F10*PH_Roster*(1+PH_Loading))/($B10-F10+F10*PH_Roster)</f>
        <v/>
      </c>
      <c r="L10" s="16">
        <f>($B10-G10+G10*PH_Roster*(1+PH_Loading))/($B10-G10+G10*PH_Roster)</f>
        <v/>
      </c>
      <c r="M10" s="16">
        <f>EXP(SUMPRODUCT((WageDates&lt;=$A10)*(WageDates&lt;&gt;"")*LN(1+WageRates)))</f>
        <v/>
      </c>
    </row>
    <row r="11">
      <c r="A11" s="8" t="n">
        <v>45839</v>
      </c>
      <c r="B11">
        <f>DAY(EOMONTH(A11,0))</f>
        <v/>
      </c>
      <c r="C11">
        <f>COUNTIFS(Holidays!$A$2:$A$1000,"&gt;="&amp;$A11,Holidays!$A$2:$A$1000,"&lt;="&amp;EOMONTH($A11,0),Holidays!$C$2:$C$1000,"NSW")</f>
        <v/>
      </c>
      <c r="D11">
        <f>COUNTIFS(Holidays!$A$2:$A$1000,"&gt;="&amp;$A11,Holidays!$A$2:$A$1000,"&lt;="&amp;EOMONTH($A11,0),Holidays!$C$2:$C$1000,"VIC")</f>
        <v/>
      </c>
      <c r="E11">
        <f>COUNTIFS(Holidays!$A$2:$A$1000,"&gt;="&amp;$A11,Holidays!$A$2:$A$1000,"&lt;="&amp;EOMONTH($A11,0),Holidays!$C$2:$C$1000,"QLD")</f>
        <v/>
      </c>
      <c r="F11">
        <f>COUNTIFS(Holidays!$A$2:$A$1000,"&gt;="&amp;$A11,Holidays!$A$2:$A$1000,"&lt;="&amp;EOMONTH($A11,0),Holidays!$C$2:$C$1000,"SA")</f>
        <v/>
      </c>
      <c r="G11">
        <f>COUNTIFS(Holidays!$A$2:$A$1000,"&gt;="&amp;$A11,Holidays!$A$2:$A$1000,"&lt;="&amp;EOMONTH($A11,0),Holidays!$C$2:$C$1000,"WA")</f>
        <v/>
      </c>
      <c r="H11" s="16">
        <f>($B11-C11+C11*PH_Roster*(1+PH_Loading))/($B11-C11+C11*PH_Roster)</f>
        <v/>
      </c>
      <c r="I11" s="16">
        <f>($B11-D11+D11*PH_Roster*(1+PH_Loading))/($B11-D11+D11*PH_Roster)</f>
        <v/>
      </c>
      <c r="J11" s="16">
        <f>($B11-E11+E11*PH_Roster*(1+PH_Loading))/($B11-E11+E11*PH_Roster)</f>
        <v/>
      </c>
      <c r="K11" s="16">
        <f>($B11-F11+F11*PH_Roster*(1+PH_Loading))/($B11-F11+F11*PH_Roster)</f>
        <v/>
      </c>
      <c r="L11" s="16">
        <f>($B11-G11+G11*PH_Roster*(1+PH_Loading))/($B11-G11+G11*PH_Roster)</f>
        <v/>
      </c>
      <c r="M11" s="16">
        <f>EXP(SUMPRODUCT((WageDates&lt;=$A11)*(WageDates&lt;&gt;"")*LN(1+WageRates)))</f>
        <v/>
      </c>
    </row>
    <row r="12">
      <c r="A12" s="8" t="n">
        <v>45870</v>
      </c>
      <c r="B12">
        <f>DAY(EOMONTH(A12,0))</f>
        <v/>
      </c>
      <c r="C12">
        <f>COUNTIFS(Holidays!$A$2:$A$1000,"&gt;="&amp;$A12,Holidays!$A$2:$A$1000,"&lt;="&amp;EOMONTH($A12,0),Holidays!$C$2:$C$1000,"NSW")</f>
        <v/>
      </c>
      <c r="D12">
        <f>COUNTIFS(Holidays!$A$2:$A$1000,"&gt;="&amp;$A12,Holidays!$A$2:$A$1000,"&lt;="&amp;EOMONTH($A12,0),Holidays!$C$2:$C$1000,"VIC")</f>
        <v/>
      </c>
      <c r="E12">
        <f>COUNTIFS(Holidays!$A$2:$A$1000,"&gt;="&amp;$A12,Holidays!$A$2:$A$1000,"&lt;="&amp;EOMONTH($A12,0),Holidays!$C$2:$C$1000,"QLD")</f>
        <v/>
      </c>
      <c r="F12">
        <f>COUNTIFS(Holidays!$A$2:$A$1000,"&gt;="&amp;$A12,Holidays!$A$2:$A$1000,"&lt;="&amp;EOMONTH($A12,0),Holidays!$C$2:$C$1000,"SA")</f>
        <v/>
      </c>
      <c r="G12">
        <f>COUNTIFS(Holidays!$A$2:$A$1000,"&gt;="&amp;$A12,Holidays!$A$2:$A$1000,"&lt;="&amp;EOMONTH($A12,0),Holidays!$C$2:$C$1000,"WA")</f>
        <v/>
      </c>
      <c r="H12" s="16">
        <f>($B12-C12+C12*PH_Roster*(1+PH_Loading))/($B12-C12+C12*PH_Roster)</f>
        <v/>
      </c>
      <c r="I12" s="16">
        <f>($B12-D12+D12*PH_Roster*(1+PH_Loading))/($B12-D12+D12*PH_Roster)</f>
        <v/>
      </c>
      <c r="J12" s="16">
        <f>($B12-E12+E12*PH_Roster*(1+PH_Loading))/($B12-E12+E12*PH_Roster)</f>
        <v/>
      </c>
      <c r="K12" s="16">
        <f>($B12-F12+F12*PH_Roster*(1+PH_Loading))/($B12-F12+F12*PH_Roster)</f>
        <v/>
      </c>
      <c r="L12" s="16">
        <f>($B12-G12+G12*PH_Roster*(1+PH_Loading))/($B12-G12+G12*PH_Roster)</f>
        <v/>
      </c>
      <c r="M12" s="16">
        <f>EXP(SUMPRODUCT((WageDates&lt;=$A12)*(WageDates&lt;&gt;"")*LN(1+WageRates)))</f>
        <v/>
      </c>
    </row>
    <row r="13">
      <c r="A13" s="8" t="n">
        <v>45901</v>
      </c>
      <c r="B13">
        <f>DAY(EOMONTH(A13,0))</f>
        <v/>
      </c>
      <c r="C13">
        <f>COUNTIFS(Holidays!$A$2:$A$1000,"&gt;="&amp;$A13,Holidays!$A$2:$A$1000,"&lt;="&amp;EOMONTH($A13,0),Holidays!$C$2:$C$1000,"NSW")</f>
        <v/>
      </c>
      <c r="D13">
        <f>COUNTIFS(Holidays!$A$2:$A$1000,"&gt;="&amp;$A13,Holidays!$A$2:$A$1000,"&lt;="&amp;EOMONTH($A13,0),Holidays!$C$2:$C$1000,"VIC")</f>
        <v/>
      </c>
      <c r="E13">
        <f>COUNTIFS(Holidays!$A$2:$A$1000,"&gt;="&amp;$A13,Holidays!$A$2:$A$1000,"&lt;="&amp;EOMONTH($A13,0),Holidays!$C$2:$C$1000,"QLD")</f>
        <v/>
      </c>
      <c r="F13">
        <f>COUNTIFS(Holidays!$A$2:$A$1000,"&gt;="&amp;$A13,Holidays!$A$2:$A$1000,"&lt;="&amp;EOMONTH($A13,0),Holidays!$C$2:$C$1000,"SA")</f>
        <v/>
      </c>
      <c r="G13">
        <f>COUNTIFS(Holidays!$A$2:$A$1000,"&gt;="&amp;$A13,Holidays!$A$2:$A$1000,"&lt;="&amp;EOMONTH($A13,0),Holidays!$C$2:$C$1000,"WA")</f>
        <v/>
      </c>
      <c r="H13" s="16">
        <f>($B13-C13+C13*PH_Roster*(1+PH_Loading))/($B13-C13+C13*PH_Roster)</f>
        <v/>
      </c>
      <c r="I13" s="16">
        <f>($B13-D13+D13*PH_Roster*(1+PH_Loading))/($B13-D13+D13*PH_Roster)</f>
        <v/>
      </c>
      <c r="J13" s="16">
        <f>($B13-E13+E13*PH_Roster*(1+PH_Loading))/($B13-E13+E13*PH_Roster)</f>
        <v/>
      </c>
      <c r="K13" s="16">
        <f>($B13-F13+F13*PH_Roster*(1+PH_Loading))/($B13-F13+F13*PH_Roster)</f>
        <v/>
      </c>
      <c r="L13" s="16">
        <f>($B13-G13+G13*PH_Roster*(1+PH_Loading))/($B13-G13+G13*PH_Roster)</f>
        <v/>
      </c>
      <c r="M13" s="16">
        <f>EXP(SUMPRODUCT((WageDates&lt;=$A13)*(WageDates&lt;&gt;"")*LN(1+WageRates)))</f>
        <v/>
      </c>
    </row>
    <row r="14">
      <c r="A14" s="8" t="n">
        <v>45931</v>
      </c>
      <c r="B14">
        <f>DAY(EOMONTH(A14,0))</f>
        <v/>
      </c>
      <c r="C14">
        <f>COUNTIFS(Holidays!$A$2:$A$1000,"&gt;="&amp;$A14,Holidays!$A$2:$A$1000,"&lt;="&amp;EOMONTH($A14,0),Holidays!$C$2:$C$1000,"NSW")</f>
        <v/>
      </c>
      <c r="D14">
        <f>COUNTIFS(Holidays!$A$2:$A$1000,"&gt;="&amp;$A14,Holidays!$A$2:$A$1000,"&lt;="&amp;EOMONTH($A14,0),Holidays!$C$2:$C$1000,"VIC")</f>
        <v/>
      </c>
      <c r="E14">
        <f>COUNTIFS(Holidays!$A$2:$A$1000,"&gt;="&amp;$A14,Holidays!$A$2:$A$1000,"&lt;="&amp;EOMONTH($A14,0),Holidays!$C$2:$C$1000,"QLD")</f>
        <v/>
      </c>
      <c r="F14">
        <f>COUNTIFS(Holidays!$A$2:$A$1000,"&gt;="&amp;$A14,Holidays!$A$2:$A$1000,"&lt;="&amp;EOMONTH($A14,0),Holidays!$C$2:$C$1000,"SA")</f>
        <v/>
      </c>
      <c r="G14">
        <f>COUNTIFS(Holidays!$A$2:$A$1000,"&gt;="&amp;$A14,Holidays!$A$2:$A$1000,"&lt;="&amp;EOMONTH($A14,0),Holidays!$C$2:$C$1000,"WA")</f>
        <v/>
      </c>
      <c r="H14" s="16">
        <f>($B14-C14+C14*PH_Roster*(1+PH_Loading))/($B14-C14+C14*PH_Roster)</f>
        <v/>
      </c>
      <c r="I14" s="16">
        <f>($B14-D14+D14*PH_Roster*(1+PH_Loading))/($B14-D14+D14*PH_Roster)</f>
        <v/>
      </c>
      <c r="J14" s="16">
        <f>($B14-E14+E14*PH_Roster*(1+PH_Loading))/($B14-E14+E14*PH_Roster)</f>
        <v/>
      </c>
      <c r="K14" s="16">
        <f>($B14-F14+F14*PH_Roster*(1+PH_Loading))/($B14-F14+F14*PH_Roster)</f>
        <v/>
      </c>
      <c r="L14" s="16">
        <f>($B14-G14+G14*PH_Roster*(1+PH_Loading))/($B14-G14+G14*PH_Roster)</f>
        <v/>
      </c>
      <c r="M14" s="16">
        <f>EXP(SUMPRODUCT((WageDates&lt;=$A14)*(WageDates&lt;&gt;"")*LN(1+WageRates)))</f>
        <v/>
      </c>
    </row>
    <row r="15">
      <c r="A15" s="8" t="n">
        <v>45962</v>
      </c>
      <c r="B15">
        <f>DAY(EOMONTH(A15,0))</f>
        <v/>
      </c>
      <c r="C15">
        <f>COUNTIFS(Holidays!$A$2:$A$1000,"&gt;="&amp;$A15,Holidays!$A$2:$A$1000,"&lt;="&amp;EOMONTH($A15,0),Holidays!$C$2:$C$1000,"NSW")</f>
        <v/>
      </c>
      <c r="D15">
        <f>COUNTIFS(Holidays!$A$2:$A$1000,"&gt;="&amp;$A15,Holidays!$A$2:$A$1000,"&lt;="&amp;EOMONTH($A15,0),Holidays!$C$2:$C$1000,"VIC")</f>
        <v/>
      </c>
      <c r="E15">
        <f>COUNTIFS(Holidays!$A$2:$A$1000,"&gt;="&amp;$A15,Holidays!$A$2:$A$1000,"&lt;="&amp;EOMONTH($A15,0),Holidays!$C$2:$C$1000,"QLD")</f>
        <v/>
      </c>
      <c r="F15">
        <f>COUNTIFS(Holidays!$A$2:$A$1000,"&gt;="&amp;$A15,Holidays!$A$2:$A$1000,"&lt;="&amp;EOMONTH($A15,0),Holidays!$C$2:$C$1000,"SA")</f>
        <v/>
      </c>
      <c r="G15">
        <f>COUNTIFS(Holidays!$A$2:$A$1000,"&gt;="&amp;$A15,Holidays!$A$2:$A$1000,"&lt;="&amp;EOMONTH($A15,0),Holidays!$C$2:$C$1000,"WA")</f>
        <v/>
      </c>
      <c r="H15" s="16">
        <f>($B15-C15+C15*PH_Roster*(1+PH_Loading))/($B15-C15+C15*PH_Roster)</f>
        <v/>
      </c>
      <c r="I15" s="16">
        <f>($B15-D15+D15*PH_Roster*(1+PH_Loading))/($B15-D15+D15*PH_Roster)</f>
        <v/>
      </c>
      <c r="J15" s="16">
        <f>($B15-E15+E15*PH_Roster*(1+PH_Loading))/($B15-E15+E15*PH_Roster)</f>
        <v/>
      </c>
      <c r="K15" s="16">
        <f>($B15-F15+F15*PH_Roster*(1+PH_Loading))/($B15-F15+F15*PH_Roster)</f>
        <v/>
      </c>
      <c r="L15" s="16">
        <f>($B15-G15+G15*PH_Roster*(1+PH_Loading))/($B15-G15+G15*PH_Roster)</f>
        <v/>
      </c>
      <c r="M15" s="16">
        <f>EXP(SUMPRODUCT((WageDates&lt;=$A15)*(WageDates&lt;&gt;"")*LN(1+WageRates)))</f>
        <v/>
      </c>
    </row>
    <row r="16">
      <c r="A16" s="8" t="n">
        <v>45992</v>
      </c>
      <c r="B16">
        <f>DAY(EOMONTH(A16,0))</f>
        <v/>
      </c>
      <c r="C16">
        <f>COUNTIFS(Holidays!$A$2:$A$1000,"&gt;="&amp;$A16,Holidays!$A$2:$A$1000,"&lt;="&amp;EOMONTH($A16,0),Holidays!$C$2:$C$1000,"NSW")</f>
        <v/>
      </c>
      <c r="D16">
        <f>COUNTIFS(Holidays!$A$2:$A$1000,"&gt;="&amp;$A16,Holidays!$A$2:$A$1000,"&lt;="&amp;EOMONTH($A16,0),Holidays!$C$2:$C$1000,"VIC")</f>
        <v/>
      </c>
      <c r="E16">
        <f>COUNTIFS(Holidays!$A$2:$A$1000,"&gt;="&amp;$A16,Holidays!$A$2:$A$1000,"&lt;="&amp;EOMONTH($A16,0),Holidays!$C$2:$C$1000,"QLD")</f>
        <v/>
      </c>
      <c r="F16">
        <f>COUNTIFS(Holidays!$A$2:$A$1000,"&gt;="&amp;$A16,Holidays!$A$2:$A$1000,"&lt;="&amp;EOMONTH($A16,0),Holidays!$C$2:$C$1000,"SA")</f>
        <v/>
      </c>
      <c r="G16">
        <f>COUNTIFS(Holidays!$A$2:$A$1000,"&gt;="&amp;$A16,Holidays!$A$2:$A$1000,"&lt;="&amp;EOMONTH($A16,0),Holidays!$C$2:$C$1000,"WA")</f>
        <v/>
      </c>
      <c r="H16" s="16">
        <f>($B16-C16+C16*PH_Roster*(1+PH_Loading))/($B16-C16+C16*PH_Roster)</f>
        <v/>
      </c>
      <c r="I16" s="16">
        <f>($B16-D16+D16*PH_Roster*(1+PH_Loading))/($B16-D16+D16*PH_Roster)</f>
        <v/>
      </c>
      <c r="J16" s="16">
        <f>($B16-E16+E16*PH_Roster*(1+PH_Loading))/($B16-E16+E16*PH_Roster)</f>
        <v/>
      </c>
      <c r="K16" s="16">
        <f>($B16-F16+F16*PH_Roster*(1+PH_Loading))/($B16-F16+F16*PH_Roster)</f>
        <v/>
      </c>
      <c r="L16" s="16">
        <f>($B16-G16+G16*PH_Roster*(1+PH_Loading))/($B16-G16+G16*PH_Roster)</f>
        <v/>
      </c>
      <c r="M16" s="16">
        <f>EXP(SUMPRODUCT((WageDates&lt;=$A16)*(WageDates&lt;&gt;"")*LN(1+WageRates)))</f>
        <v/>
      </c>
    </row>
    <row r="17">
      <c r="A17" s="8" t="n">
        <v>46023</v>
      </c>
      <c r="B17">
        <f>DAY(EOMONTH(A17,0))</f>
        <v/>
      </c>
      <c r="C17">
        <f>COUNTIFS(Holidays!$A$2:$A$1000,"&gt;="&amp;$A17,Holidays!$A$2:$A$1000,"&lt;="&amp;EOMONTH($A17,0),Holidays!$C$2:$C$1000,"NSW")</f>
        <v/>
      </c>
      <c r="D17">
        <f>COUNTIFS(Holidays!$A$2:$A$1000,"&gt;="&amp;$A17,Holidays!$A$2:$A$1000,"&lt;="&amp;EOMONTH($A17,0),Holidays!$C$2:$C$1000,"VIC")</f>
        <v/>
      </c>
      <c r="E17">
        <f>COUNTIFS(Holidays!$A$2:$A$1000,"&gt;="&amp;$A17,Holidays!$A$2:$A$1000,"&lt;="&amp;EOMONTH($A17,0),Holidays!$C$2:$C$1000,"QLD")</f>
        <v/>
      </c>
      <c r="F17">
        <f>COUNTIFS(Holidays!$A$2:$A$1000,"&gt;="&amp;$A17,Holidays!$A$2:$A$1000,"&lt;="&amp;EOMONTH($A17,0),Holidays!$C$2:$C$1000,"SA")</f>
        <v/>
      </c>
      <c r="G17">
        <f>COUNTIFS(Holidays!$A$2:$A$1000,"&gt;="&amp;$A17,Holidays!$A$2:$A$1000,"&lt;="&amp;EOMONTH($A17,0),Holidays!$C$2:$C$1000,"WA")</f>
        <v/>
      </c>
      <c r="H17" s="16">
        <f>($B17-C17+C17*PH_Roster*(1+PH_Loading))/($B17-C17+C17*PH_Roster)</f>
        <v/>
      </c>
      <c r="I17" s="16">
        <f>($B17-D17+D17*PH_Roster*(1+PH_Loading))/($B17-D17+D17*PH_Roster)</f>
        <v/>
      </c>
      <c r="J17" s="16">
        <f>($B17-E17+E17*PH_Roster*(1+PH_Loading))/($B17-E17+E17*PH_Roster)</f>
        <v/>
      </c>
      <c r="K17" s="16">
        <f>($B17-F17+F17*PH_Roster*(1+PH_Loading))/($B17-F17+F17*PH_Roster)</f>
        <v/>
      </c>
      <c r="L17" s="16">
        <f>($B17-G17+G17*PH_Roster*(1+PH_Loading))/($B17-G17+G17*PH_Roster)</f>
        <v/>
      </c>
      <c r="M17" s="16">
        <f>EXP(SUMPRODUCT((WageDates&lt;=$A17)*(WageDates&lt;&gt;"")*LN(1+WageRates)))</f>
        <v/>
      </c>
    </row>
    <row r="18">
      <c r="A18" s="8" t="n">
        <v>46054</v>
      </c>
      <c r="B18">
        <f>DAY(EOMONTH(A18,0))</f>
        <v/>
      </c>
      <c r="C18">
        <f>COUNTIFS(Holidays!$A$2:$A$1000,"&gt;="&amp;$A18,Holidays!$A$2:$A$1000,"&lt;="&amp;EOMONTH($A18,0),Holidays!$C$2:$C$1000,"NSW")</f>
        <v/>
      </c>
      <c r="D18">
        <f>COUNTIFS(Holidays!$A$2:$A$1000,"&gt;="&amp;$A18,Holidays!$A$2:$A$1000,"&lt;="&amp;EOMONTH($A18,0),Holidays!$C$2:$C$1000,"VIC")</f>
        <v/>
      </c>
      <c r="E18">
        <f>COUNTIFS(Holidays!$A$2:$A$1000,"&gt;="&amp;$A18,Holidays!$A$2:$A$1000,"&lt;="&amp;EOMONTH($A18,0),Holidays!$C$2:$C$1000,"QLD")</f>
        <v/>
      </c>
      <c r="F18">
        <f>COUNTIFS(Holidays!$A$2:$A$1000,"&gt;="&amp;$A18,Holidays!$A$2:$A$1000,"&lt;="&amp;EOMONTH($A18,0),Holidays!$C$2:$C$1000,"SA")</f>
        <v/>
      </c>
      <c r="G18">
        <f>COUNTIFS(Holidays!$A$2:$A$1000,"&gt;="&amp;$A18,Holidays!$A$2:$A$1000,"&lt;="&amp;EOMONTH($A18,0),Holidays!$C$2:$C$1000,"WA")</f>
        <v/>
      </c>
      <c r="H18" s="16">
        <f>($B18-C18+C18*PH_Roster*(1+PH_Loading))/($B18-C18+C18*PH_Roster)</f>
        <v/>
      </c>
      <c r="I18" s="16">
        <f>($B18-D18+D18*PH_Roster*(1+PH_Loading))/($B18-D18+D18*PH_Roster)</f>
        <v/>
      </c>
      <c r="J18" s="16">
        <f>($B18-E18+E18*PH_Roster*(1+PH_Loading))/($B18-E18+E18*PH_Roster)</f>
        <v/>
      </c>
      <c r="K18" s="16">
        <f>($B18-F18+F18*PH_Roster*(1+PH_Loading))/($B18-F18+F18*PH_Roster)</f>
        <v/>
      </c>
      <c r="L18" s="16">
        <f>($B18-G18+G18*PH_Roster*(1+PH_Loading))/($B18-G18+G18*PH_Roster)</f>
        <v/>
      </c>
      <c r="M18" s="16">
        <f>EXP(SUMPRODUCT((WageDates&lt;=$A18)*(WageDates&lt;&gt;"")*LN(1+WageRates)))</f>
        <v/>
      </c>
    </row>
    <row r="19">
      <c r="A19" s="8" t="n">
        <v>46082</v>
      </c>
      <c r="B19">
        <f>DAY(EOMONTH(A19,0))</f>
        <v/>
      </c>
      <c r="C19">
        <f>COUNTIFS(Holidays!$A$2:$A$1000,"&gt;="&amp;$A19,Holidays!$A$2:$A$1000,"&lt;="&amp;EOMONTH($A19,0),Holidays!$C$2:$C$1000,"NSW")</f>
        <v/>
      </c>
      <c r="D19">
        <f>COUNTIFS(Holidays!$A$2:$A$1000,"&gt;="&amp;$A19,Holidays!$A$2:$A$1000,"&lt;="&amp;EOMONTH($A19,0),Holidays!$C$2:$C$1000,"VIC")</f>
        <v/>
      </c>
      <c r="E19">
        <f>COUNTIFS(Holidays!$A$2:$A$1000,"&gt;="&amp;$A19,Holidays!$A$2:$A$1000,"&lt;="&amp;EOMONTH($A19,0),Holidays!$C$2:$C$1000,"QLD")</f>
        <v/>
      </c>
      <c r="F19">
        <f>COUNTIFS(Holidays!$A$2:$A$1000,"&gt;="&amp;$A19,Holidays!$A$2:$A$1000,"&lt;="&amp;EOMONTH($A19,0),Holidays!$C$2:$C$1000,"SA")</f>
        <v/>
      </c>
      <c r="G19">
        <f>COUNTIFS(Holidays!$A$2:$A$1000,"&gt;="&amp;$A19,Holidays!$A$2:$A$1000,"&lt;="&amp;EOMONTH($A19,0),Holidays!$C$2:$C$1000,"WA")</f>
        <v/>
      </c>
      <c r="H19" s="16">
        <f>($B19-C19+C19*PH_Roster*(1+PH_Loading))/($B19-C19+C19*PH_Roster)</f>
        <v/>
      </c>
      <c r="I19" s="16">
        <f>($B19-D19+D19*PH_Roster*(1+PH_Loading))/($B19-D19+D19*PH_Roster)</f>
        <v/>
      </c>
      <c r="J19" s="16">
        <f>($B19-E19+E19*PH_Roster*(1+PH_Loading))/($B19-E19+E19*PH_Roster)</f>
        <v/>
      </c>
      <c r="K19" s="16">
        <f>($B19-F19+F19*PH_Roster*(1+PH_Loading))/($B19-F19+F19*PH_Roster)</f>
        <v/>
      </c>
      <c r="L19" s="16">
        <f>($B19-G19+G19*PH_Roster*(1+PH_Loading))/($B19-G19+G19*PH_Roster)</f>
        <v/>
      </c>
      <c r="M19" s="16">
        <f>EXP(SUMPRODUCT((WageDates&lt;=$A19)*(WageDates&lt;&gt;"")*LN(1+WageRates)))</f>
        <v/>
      </c>
    </row>
    <row r="20">
      <c r="A20" s="8" t="n">
        <v>46113</v>
      </c>
      <c r="B20">
        <f>DAY(EOMONTH(A20,0))</f>
        <v/>
      </c>
      <c r="C20">
        <f>COUNTIFS(Holidays!$A$2:$A$1000,"&gt;="&amp;$A20,Holidays!$A$2:$A$1000,"&lt;="&amp;EOMONTH($A20,0),Holidays!$C$2:$C$1000,"NSW")</f>
        <v/>
      </c>
      <c r="D20">
        <f>COUNTIFS(Holidays!$A$2:$A$1000,"&gt;="&amp;$A20,Holidays!$A$2:$A$1000,"&lt;="&amp;EOMONTH($A20,0),Holidays!$C$2:$C$1000,"VIC")</f>
        <v/>
      </c>
      <c r="E20">
        <f>COUNTIFS(Holidays!$A$2:$A$1000,"&gt;="&amp;$A20,Holidays!$A$2:$A$1000,"&lt;="&amp;EOMONTH($A20,0),Holidays!$C$2:$C$1000,"QLD")</f>
        <v/>
      </c>
      <c r="F20">
        <f>COUNTIFS(Holidays!$A$2:$A$1000,"&gt;="&amp;$A20,Holidays!$A$2:$A$1000,"&lt;="&amp;EOMONTH($A20,0),Holidays!$C$2:$C$1000,"SA")</f>
        <v/>
      </c>
      <c r="G20">
        <f>COUNTIFS(Holidays!$A$2:$A$1000,"&gt;="&amp;$A20,Holidays!$A$2:$A$1000,"&lt;="&amp;EOMONTH($A20,0),Holidays!$C$2:$C$1000,"WA")</f>
        <v/>
      </c>
      <c r="H20" s="16">
        <f>($B20-C20+C20*PH_Roster*(1+PH_Loading))/($B20-C20+C20*PH_Roster)</f>
        <v/>
      </c>
      <c r="I20" s="16">
        <f>($B20-D20+D20*PH_Roster*(1+PH_Loading))/($B20-D20+D20*PH_Roster)</f>
        <v/>
      </c>
      <c r="J20" s="16">
        <f>($B20-E20+E20*PH_Roster*(1+PH_Loading))/($B20-E20+E20*PH_Roster)</f>
        <v/>
      </c>
      <c r="K20" s="16">
        <f>($B20-F20+F20*PH_Roster*(1+PH_Loading))/($B20-F20+F20*PH_Roster)</f>
        <v/>
      </c>
      <c r="L20" s="16">
        <f>($B20-G20+G20*PH_Roster*(1+PH_Loading))/($B20-G20+G20*PH_Roster)</f>
        <v/>
      </c>
      <c r="M20" s="16">
        <f>EXP(SUMPRODUCT((WageDates&lt;=$A20)*(WageDates&lt;&gt;"")*LN(1+WageRates)))</f>
        <v/>
      </c>
    </row>
    <row r="21">
      <c r="A21" s="8" t="n">
        <v>46143</v>
      </c>
      <c r="B21">
        <f>DAY(EOMONTH(A21,0))</f>
        <v/>
      </c>
      <c r="C21">
        <f>COUNTIFS(Holidays!$A$2:$A$1000,"&gt;="&amp;$A21,Holidays!$A$2:$A$1000,"&lt;="&amp;EOMONTH($A21,0),Holidays!$C$2:$C$1000,"NSW")</f>
        <v/>
      </c>
      <c r="D21">
        <f>COUNTIFS(Holidays!$A$2:$A$1000,"&gt;="&amp;$A21,Holidays!$A$2:$A$1000,"&lt;="&amp;EOMONTH($A21,0),Holidays!$C$2:$C$1000,"VIC")</f>
        <v/>
      </c>
      <c r="E21">
        <f>COUNTIFS(Holidays!$A$2:$A$1000,"&gt;="&amp;$A21,Holidays!$A$2:$A$1000,"&lt;="&amp;EOMONTH($A21,0),Holidays!$C$2:$C$1000,"QLD")</f>
        <v/>
      </c>
      <c r="F21">
        <f>COUNTIFS(Holidays!$A$2:$A$1000,"&gt;="&amp;$A21,Holidays!$A$2:$A$1000,"&lt;="&amp;EOMONTH($A21,0),Holidays!$C$2:$C$1000,"SA")</f>
        <v/>
      </c>
      <c r="G21">
        <f>COUNTIFS(Holidays!$A$2:$A$1000,"&gt;="&amp;$A21,Holidays!$A$2:$A$1000,"&lt;="&amp;EOMONTH($A21,0),Holidays!$C$2:$C$1000,"WA")</f>
        <v/>
      </c>
      <c r="H21" s="16">
        <f>($B21-C21+C21*PH_Roster*(1+PH_Loading))/($B21-C21+C21*PH_Roster)</f>
        <v/>
      </c>
      <c r="I21" s="16">
        <f>($B21-D21+D21*PH_Roster*(1+PH_Loading))/($B21-D21+D21*PH_Roster)</f>
        <v/>
      </c>
      <c r="J21" s="16">
        <f>($B21-E21+E21*PH_Roster*(1+PH_Loading))/($B21-E21+E21*PH_Roster)</f>
        <v/>
      </c>
      <c r="K21" s="16">
        <f>($B21-F21+F21*PH_Roster*(1+PH_Loading))/($B21-F21+F21*PH_Roster)</f>
        <v/>
      </c>
      <c r="L21" s="16">
        <f>($B21-G21+G21*PH_Roster*(1+PH_Loading))/($B21-G21+G21*PH_Roster)</f>
        <v/>
      </c>
      <c r="M21" s="16">
        <f>EXP(SUMPRODUCT((WageDates&lt;=$A21)*(WageDates&lt;&gt;"")*LN(1+WageRates)))</f>
        <v/>
      </c>
    </row>
    <row r="22">
      <c r="A22" s="8" t="n">
        <v>46174</v>
      </c>
      <c r="B22">
        <f>DAY(EOMONTH(A22,0))</f>
        <v/>
      </c>
      <c r="C22">
        <f>COUNTIFS(Holidays!$A$2:$A$1000,"&gt;="&amp;$A22,Holidays!$A$2:$A$1000,"&lt;="&amp;EOMONTH($A22,0),Holidays!$C$2:$C$1000,"NSW")</f>
        <v/>
      </c>
      <c r="D22">
        <f>COUNTIFS(Holidays!$A$2:$A$1000,"&gt;="&amp;$A22,Holidays!$A$2:$A$1000,"&lt;="&amp;EOMONTH($A22,0),Holidays!$C$2:$C$1000,"VIC")</f>
        <v/>
      </c>
      <c r="E22">
        <f>COUNTIFS(Holidays!$A$2:$A$1000,"&gt;="&amp;$A22,Holidays!$A$2:$A$1000,"&lt;="&amp;EOMONTH($A22,0),Holidays!$C$2:$C$1000,"QLD")</f>
        <v/>
      </c>
      <c r="F22">
        <f>COUNTIFS(Holidays!$A$2:$A$1000,"&gt;="&amp;$A22,Holidays!$A$2:$A$1000,"&lt;="&amp;EOMONTH($A22,0),Holidays!$C$2:$C$1000,"SA")</f>
        <v/>
      </c>
      <c r="G22">
        <f>COUNTIFS(Holidays!$A$2:$A$1000,"&gt;="&amp;$A22,Holidays!$A$2:$A$1000,"&lt;="&amp;EOMONTH($A22,0),Holidays!$C$2:$C$1000,"WA")</f>
        <v/>
      </c>
      <c r="H22" s="16">
        <f>($B22-C22+C22*PH_Roster*(1+PH_Loading))/($B22-C22+C22*PH_Roster)</f>
        <v/>
      </c>
      <c r="I22" s="16">
        <f>($B22-D22+D22*PH_Roster*(1+PH_Loading))/($B22-D22+D22*PH_Roster)</f>
        <v/>
      </c>
      <c r="J22" s="16">
        <f>($B22-E22+E22*PH_Roster*(1+PH_Loading))/($B22-E22+E22*PH_Roster)</f>
        <v/>
      </c>
      <c r="K22" s="16">
        <f>($B22-F22+F22*PH_Roster*(1+PH_Loading))/($B22-F22+F22*PH_Roster)</f>
        <v/>
      </c>
      <c r="L22" s="16">
        <f>($B22-G22+G22*PH_Roster*(1+PH_Loading))/($B22-G22+G22*PH_Roster)</f>
        <v/>
      </c>
      <c r="M22" s="16">
        <f>EXP(SUMPRODUCT((WageDates&lt;=$A22)*(WageDates&lt;&gt;"")*LN(1+WageRates)))</f>
        <v/>
      </c>
    </row>
    <row r="23">
      <c r="A23" s="8" t="n">
        <v>46204</v>
      </c>
      <c r="B23">
        <f>DAY(EOMONTH(A23,0))</f>
        <v/>
      </c>
      <c r="C23">
        <f>COUNTIFS(Holidays!$A$2:$A$1000,"&gt;="&amp;$A23,Holidays!$A$2:$A$1000,"&lt;="&amp;EOMONTH($A23,0),Holidays!$C$2:$C$1000,"NSW")</f>
        <v/>
      </c>
      <c r="D23">
        <f>COUNTIFS(Holidays!$A$2:$A$1000,"&gt;="&amp;$A23,Holidays!$A$2:$A$1000,"&lt;="&amp;EOMONTH($A23,0),Holidays!$C$2:$C$1000,"VIC")</f>
        <v/>
      </c>
      <c r="E23">
        <f>COUNTIFS(Holidays!$A$2:$A$1000,"&gt;="&amp;$A23,Holidays!$A$2:$A$1000,"&lt;="&amp;EOMONTH($A23,0),Holidays!$C$2:$C$1000,"QLD")</f>
        <v/>
      </c>
      <c r="F23">
        <f>COUNTIFS(Holidays!$A$2:$A$1000,"&gt;="&amp;$A23,Holidays!$A$2:$A$1000,"&lt;="&amp;EOMONTH($A23,0),Holidays!$C$2:$C$1000,"SA")</f>
        <v/>
      </c>
      <c r="G23">
        <f>COUNTIFS(Holidays!$A$2:$A$1000,"&gt;="&amp;$A23,Holidays!$A$2:$A$1000,"&lt;="&amp;EOMONTH($A23,0),Holidays!$C$2:$C$1000,"WA")</f>
        <v/>
      </c>
      <c r="H23" s="16">
        <f>($B23-C23+C23*PH_Roster*(1+PH_Loading))/($B23-C23+C23*PH_Roster)</f>
        <v/>
      </c>
      <c r="I23" s="16">
        <f>($B23-D23+D23*PH_Roster*(1+PH_Loading))/($B23-D23+D23*PH_Roster)</f>
        <v/>
      </c>
      <c r="J23" s="16">
        <f>($B23-E23+E23*PH_Roster*(1+PH_Loading))/($B23-E23+E23*PH_Roster)</f>
        <v/>
      </c>
      <c r="K23" s="16">
        <f>($B23-F23+F23*PH_Roster*(1+PH_Loading))/($B23-F23+F23*PH_Roster)</f>
        <v/>
      </c>
      <c r="L23" s="16">
        <f>($B23-G23+G23*PH_Roster*(1+PH_Loading))/($B23-G23+G23*PH_Roster)</f>
        <v/>
      </c>
      <c r="M23" s="16">
        <f>EXP(SUMPRODUCT((WageDates&lt;=$A23)*(WageDates&lt;&gt;"")*LN(1+WageRates)))</f>
        <v/>
      </c>
    </row>
    <row r="24">
      <c r="A24" s="8" t="n">
        <v>46235</v>
      </c>
      <c r="B24">
        <f>DAY(EOMONTH(A24,0))</f>
        <v/>
      </c>
      <c r="C24">
        <f>COUNTIFS(Holidays!$A$2:$A$1000,"&gt;="&amp;$A24,Holidays!$A$2:$A$1000,"&lt;="&amp;EOMONTH($A24,0),Holidays!$C$2:$C$1000,"NSW")</f>
        <v/>
      </c>
      <c r="D24">
        <f>COUNTIFS(Holidays!$A$2:$A$1000,"&gt;="&amp;$A24,Holidays!$A$2:$A$1000,"&lt;="&amp;EOMONTH($A24,0),Holidays!$C$2:$C$1000,"VIC")</f>
        <v/>
      </c>
      <c r="E24">
        <f>COUNTIFS(Holidays!$A$2:$A$1000,"&gt;="&amp;$A24,Holidays!$A$2:$A$1000,"&lt;="&amp;EOMONTH($A24,0),Holidays!$C$2:$C$1000,"QLD")</f>
        <v/>
      </c>
      <c r="F24">
        <f>COUNTIFS(Holidays!$A$2:$A$1000,"&gt;="&amp;$A24,Holidays!$A$2:$A$1000,"&lt;="&amp;EOMONTH($A24,0),Holidays!$C$2:$C$1000,"SA")</f>
        <v/>
      </c>
      <c r="G24">
        <f>COUNTIFS(Holidays!$A$2:$A$1000,"&gt;="&amp;$A24,Holidays!$A$2:$A$1000,"&lt;="&amp;EOMONTH($A24,0),Holidays!$C$2:$C$1000,"WA")</f>
        <v/>
      </c>
      <c r="H24" s="16">
        <f>($B24-C24+C24*PH_Roster*(1+PH_Loading))/($B24-C24+C24*PH_Roster)</f>
        <v/>
      </c>
      <c r="I24" s="16">
        <f>($B24-D24+D24*PH_Roster*(1+PH_Loading))/($B24-D24+D24*PH_Roster)</f>
        <v/>
      </c>
      <c r="J24" s="16">
        <f>($B24-E24+E24*PH_Roster*(1+PH_Loading))/($B24-E24+E24*PH_Roster)</f>
        <v/>
      </c>
      <c r="K24" s="16">
        <f>($B24-F24+F24*PH_Roster*(1+PH_Loading))/($B24-F24+F24*PH_Roster)</f>
        <v/>
      </c>
      <c r="L24" s="16">
        <f>($B24-G24+G24*PH_Roster*(1+PH_Loading))/($B24-G24+G24*PH_Roster)</f>
        <v/>
      </c>
      <c r="M24" s="16">
        <f>EXP(SUMPRODUCT((WageDates&lt;=$A24)*(WageDates&lt;&gt;"")*LN(1+WageRates)))</f>
        <v/>
      </c>
    </row>
    <row r="25">
      <c r="A25" s="8" t="n">
        <v>46266</v>
      </c>
      <c r="B25">
        <f>DAY(EOMONTH(A25,0))</f>
        <v/>
      </c>
      <c r="C25">
        <f>COUNTIFS(Holidays!$A$2:$A$1000,"&gt;="&amp;$A25,Holidays!$A$2:$A$1000,"&lt;="&amp;EOMONTH($A25,0),Holidays!$C$2:$C$1000,"NSW")</f>
        <v/>
      </c>
      <c r="D25">
        <f>COUNTIFS(Holidays!$A$2:$A$1000,"&gt;="&amp;$A25,Holidays!$A$2:$A$1000,"&lt;="&amp;EOMONTH($A25,0),Holidays!$C$2:$C$1000,"VIC")</f>
        <v/>
      </c>
      <c r="E25">
        <f>COUNTIFS(Holidays!$A$2:$A$1000,"&gt;="&amp;$A25,Holidays!$A$2:$A$1000,"&lt;="&amp;EOMONTH($A25,0),Holidays!$C$2:$C$1000,"QLD")</f>
        <v/>
      </c>
      <c r="F25">
        <f>COUNTIFS(Holidays!$A$2:$A$1000,"&gt;="&amp;$A25,Holidays!$A$2:$A$1000,"&lt;="&amp;EOMONTH($A25,0),Holidays!$C$2:$C$1000,"SA")</f>
        <v/>
      </c>
      <c r="G25">
        <f>COUNTIFS(Holidays!$A$2:$A$1000,"&gt;="&amp;$A25,Holidays!$A$2:$A$1000,"&lt;="&amp;EOMONTH($A25,0),Holidays!$C$2:$C$1000,"WA")</f>
        <v/>
      </c>
      <c r="H25" s="16">
        <f>($B25-C25+C25*PH_Roster*(1+PH_Loading))/($B25-C25+C25*PH_Roster)</f>
        <v/>
      </c>
      <c r="I25" s="16">
        <f>($B25-D25+D25*PH_Roster*(1+PH_Loading))/($B25-D25+D25*PH_Roster)</f>
        <v/>
      </c>
      <c r="J25" s="16">
        <f>($B25-E25+E25*PH_Roster*(1+PH_Loading))/($B25-E25+E25*PH_Roster)</f>
        <v/>
      </c>
      <c r="K25" s="16">
        <f>($B25-F25+F25*PH_Roster*(1+PH_Loading))/($B25-F25+F25*PH_Roster)</f>
        <v/>
      </c>
      <c r="L25" s="16">
        <f>($B25-G25+G25*PH_Roster*(1+PH_Loading))/($B25-G25+G25*PH_Roster)</f>
        <v/>
      </c>
      <c r="M25" s="16">
        <f>EXP(SUMPRODUCT((WageDates&lt;=$A25)*(WageDates&lt;&gt;"")*LN(1+WageRates)))</f>
        <v/>
      </c>
    </row>
    <row r="26">
      <c r="A26" s="8" t="n">
        <v>46296</v>
      </c>
      <c r="B26">
        <f>DAY(EOMONTH(A26,0))</f>
        <v/>
      </c>
      <c r="C26">
        <f>COUNTIFS(Holidays!$A$2:$A$1000,"&gt;="&amp;$A26,Holidays!$A$2:$A$1000,"&lt;="&amp;EOMONTH($A26,0),Holidays!$C$2:$C$1000,"NSW")</f>
        <v/>
      </c>
      <c r="D26">
        <f>COUNTIFS(Holidays!$A$2:$A$1000,"&gt;="&amp;$A26,Holidays!$A$2:$A$1000,"&lt;="&amp;EOMONTH($A26,0),Holidays!$C$2:$C$1000,"VIC")</f>
        <v/>
      </c>
      <c r="E26">
        <f>COUNTIFS(Holidays!$A$2:$A$1000,"&gt;="&amp;$A26,Holidays!$A$2:$A$1000,"&lt;="&amp;EOMONTH($A26,0),Holidays!$C$2:$C$1000,"QLD")</f>
        <v/>
      </c>
      <c r="F26">
        <f>COUNTIFS(Holidays!$A$2:$A$1000,"&gt;="&amp;$A26,Holidays!$A$2:$A$1000,"&lt;="&amp;EOMONTH($A26,0),Holidays!$C$2:$C$1000,"SA")</f>
        <v/>
      </c>
      <c r="G26">
        <f>COUNTIFS(Holidays!$A$2:$A$1000,"&gt;="&amp;$A26,Holidays!$A$2:$A$1000,"&lt;="&amp;EOMONTH($A26,0),Holidays!$C$2:$C$1000,"WA")</f>
        <v/>
      </c>
      <c r="H26" s="16">
        <f>($B26-C26+C26*PH_Roster*(1+PH_Loading))/($B26-C26+C26*PH_Roster)</f>
        <v/>
      </c>
      <c r="I26" s="16">
        <f>($B26-D26+D26*PH_Roster*(1+PH_Loading))/($B26-D26+D26*PH_Roster)</f>
        <v/>
      </c>
      <c r="J26" s="16">
        <f>($B26-E26+E26*PH_Roster*(1+PH_Loading))/($B26-E26+E26*PH_Roster)</f>
        <v/>
      </c>
      <c r="K26" s="16">
        <f>($B26-F26+F26*PH_Roster*(1+PH_Loading))/($B26-F26+F26*PH_Roster)</f>
        <v/>
      </c>
      <c r="L26" s="16">
        <f>($B26-G26+G26*PH_Roster*(1+PH_Loading))/($B26-G26+G26*PH_Roster)</f>
        <v/>
      </c>
      <c r="M26" s="16">
        <f>EXP(SUMPRODUCT((WageDates&lt;=$A26)*(WageDates&lt;&gt;"")*LN(1+WageRates)))</f>
        <v/>
      </c>
    </row>
    <row r="27">
      <c r="A27" s="8" t="n">
        <v>46327</v>
      </c>
      <c r="B27">
        <f>DAY(EOMONTH(A27,0))</f>
        <v/>
      </c>
      <c r="C27">
        <f>COUNTIFS(Holidays!$A$2:$A$1000,"&gt;="&amp;$A27,Holidays!$A$2:$A$1000,"&lt;="&amp;EOMONTH($A27,0),Holidays!$C$2:$C$1000,"NSW")</f>
        <v/>
      </c>
      <c r="D27">
        <f>COUNTIFS(Holidays!$A$2:$A$1000,"&gt;="&amp;$A27,Holidays!$A$2:$A$1000,"&lt;="&amp;EOMONTH($A27,0),Holidays!$C$2:$C$1000,"VIC")</f>
        <v/>
      </c>
      <c r="E27">
        <f>COUNTIFS(Holidays!$A$2:$A$1000,"&gt;="&amp;$A27,Holidays!$A$2:$A$1000,"&lt;="&amp;EOMONTH($A27,0),Holidays!$C$2:$C$1000,"QLD")</f>
        <v/>
      </c>
      <c r="F27">
        <f>COUNTIFS(Holidays!$A$2:$A$1000,"&gt;="&amp;$A27,Holidays!$A$2:$A$1000,"&lt;="&amp;EOMONTH($A27,0),Holidays!$C$2:$C$1000,"SA")</f>
        <v/>
      </c>
      <c r="G27">
        <f>COUNTIFS(Holidays!$A$2:$A$1000,"&gt;="&amp;$A27,Holidays!$A$2:$A$1000,"&lt;="&amp;EOMONTH($A27,0),Holidays!$C$2:$C$1000,"WA")</f>
        <v/>
      </c>
      <c r="H27" s="16">
        <f>($B27-C27+C27*PH_Roster*(1+PH_Loading))/($B27-C27+C27*PH_Roster)</f>
        <v/>
      </c>
      <c r="I27" s="16">
        <f>($B27-D27+D27*PH_Roster*(1+PH_Loading))/($B27-D27+D27*PH_Roster)</f>
        <v/>
      </c>
      <c r="J27" s="16">
        <f>($B27-E27+E27*PH_Roster*(1+PH_Loading))/($B27-E27+E27*PH_Roster)</f>
        <v/>
      </c>
      <c r="K27" s="16">
        <f>($B27-F27+F27*PH_Roster*(1+PH_Loading))/($B27-F27+F27*PH_Roster)</f>
        <v/>
      </c>
      <c r="L27" s="16">
        <f>($B27-G27+G27*PH_Roster*(1+PH_Loading))/($B27-G27+G27*PH_Roster)</f>
        <v/>
      </c>
      <c r="M27" s="16">
        <f>EXP(SUMPRODUCT((WageDates&lt;=$A27)*(WageDates&lt;&gt;"")*LN(1+WageRates)))</f>
        <v/>
      </c>
    </row>
    <row r="28">
      <c r="A28" s="8" t="n">
        <v>46357</v>
      </c>
      <c r="B28">
        <f>DAY(EOMONTH(A28,0))</f>
        <v/>
      </c>
      <c r="C28">
        <f>COUNTIFS(Holidays!$A$2:$A$1000,"&gt;="&amp;$A28,Holidays!$A$2:$A$1000,"&lt;="&amp;EOMONTH($A28,0),Holidays!$C$2:$C$1000,"NSW")</f>
        <v/>
      </c>
      <c r="D28">
        <f>COUNTIFS(Holidays!$A$2:$A$1000,"&gt;="&amp;$A28,Holidays!$A$2:$A$1000,"&lt;="&amp;EOMONTH($A28,0),Holidays!$C$2:$C$1000,"VIC")</f>
        <v/>
      </c>
      <c r="E28">
        <f>COUNTIFS(Holidays!$A$2:$A$1000,"&gt;="&amp;$A28,Holidays!$A$2:$A$1000,"&lt;="&amp;EOMONTH($A28,0),Holidays!$C$2:$C$1000,"QLD")</f>
        <v/>
      </c>
      <c r="F28">
        <f>COUNTIFS(Holidays!$A$2:$A$1000,"&gt;="&amp;$A28,Holidays!$A$2:$A$1000,"&lt;="&amp;EOMONTH($A28,0),Holidays!$C$2:$C$1000,"SA")</f>
        <v/>
      </c>
      <c r="G28">
        <f>COUNTIFS(Holidays!$A$2:$A$1000,"&gt;="&amp;$A28,Holidays!$A$2:$A$1000,"&lt;="&amp;EOMONTH($A28,0),Holidays!$C$2:$C$1000,"WA")</f>
        <v/>
      </c>
      <c r="H28" s="16">
        <f>($B28-C28+C28*PH_Roster*(1+PH_Loading))/($B28-C28+C28*PH_Roster)</f>
        <v/>
      </c>
      <c r="I28" s="16">
        <f>($B28-D28+D28*PH_Roster*(1+PH_Loading))/($B28-D28+D28*PH_Roster)</f>
        <v/>
      </c>
      <c r="J28" s="16">
        <f>($B28-E28+E28*PH_Roster*(1+PH_Loading))/($B28-E28+E28*PH_Roster)</f>
        <v/>
      </c>
      <c r="K28" s="16">
        <f>($B28-F28+F28*PH_Roster*(1+PH_Loading))/($B28-F28+F28*PH_Roster)</f>
        <v/>
      </c>
      <c r="L28" s="16">
        <f>($B28-G28+G28*PH_Roster*(1+PH_Loading))/($B28-G28+G28*PH_Roster)</f>
        <v/>
      </c>
      <c r="M28" s="16">
        <f>EXP(SUMPRODUCT((WageDates&lt;=$A28)*(WageDates&lt;&gt;"")*LN(1+WageRates)))</f>
        <v/>
      </c>
    </row>
    <row r="29">
      <c r="A29" s="8" t="n">
        <v>46388</v>
      </c>
      <c r="B29">
        <f>DAY(EOMONTH(A29,0))</f>
        <v/>
      </c>
      <c r="C29">
        <f>COUNTIFS(Holidays!$A$2:$A$1000,"&gt;="&amp;$A29,Holidays!$A$2:$A$1000,"&lt;="&amp;EOMONTH($A29,0),Holidays!$C$2:$C$1000,"NSW")</f>
        <v/>
      </c>
      <c r="D29">
        <f>COUNTIFS(Holidays!$A$2:$A$1000,"&gt;="&amp;$A29,Holidays!$A$2:$A$1000,"&lt;="&amp;EOMONTH($A29,0),Holidays!$C$2:$C$1000,"VIC")</f>
        <v/>
      </c>
      <c r="E29">
        <f>COUNTIFS(Holidays!$A$2:$A$1000,"&gt;="&amp;$A29,Holidays!$A$2:$A$1000,"&lt;="&amp;EOMONTH($A29,0),Holidays!$C$2:$C$1000,"QLD")</f>
        <v/>
      </c>
      <c r="F29">
        <f>COUNTIFS(Holidays!$A$2:$A$1000,"&gt;="&amp;$A29,Holidays!$A$2:$A$1000,"&lt;="&amp;EOMONTH($A29,0),Holidays!$C$2:$C$1000,"SA")</f>
        <v/>
      </c>
      <c r="G29">
        <f>COUNTIFS(Holidays!$A$2:$A$1000,"&gt;="&amp;$A29,Holidays!$A$2:$A$1000,"&lt;="&amp;EOMONTH($A29,0),Holidays!$C$2:$C$1000,"WA")</f>
        <v/>
      </c>
      <c r="H29" s="16">
        <f>($B29-C29+C29*PH_Roster*(1+PH_Loading))/($B29-C29+C29*PH_Roster)</f>
        <v/>
      </c>
      <c r="I29" s="16">
        <f>($B29-D29+D29*PH_Roster*(1+PH_Loading))/($B29-D29+D29*PH_Roster)</f>
        <v/>
      </c>
      <c r="J29" s="16">
        <f>($B29-E29+E29*PH_Roster*(1+PH_Loading))/($B29-E29+E29*PH_Roster)</f>
        <v/>
      </c>
      <c r="K29" s="16">
        <f>($B29-F29+F29*PH_Roster*(1+PH_Loading))/($B29-F29+F29*PH_Roster)</f>
        <v/>
      </c>
      <c r="L29" s="16">
        <f>($B29-G29+G29*PH_Roster*(1+PH_Loading))/($B29-G29+G29*PH_Roster)</f>
        <v/>
      </c>
      <c r="M29" s="16">
        <f>EXP(SUMPRODUCT((WageDates&lt;=$A29)*(WageDates&lt;&gt;"")*LN(1+WageRates)))</f>
        <v/>
      </c>
    </row>
    <row r="30">
      <c r="A30" s="8" t="n">
        <v>46419</v>
      </c>
      <c r="B30">
        <f>DAY(EOMONTH(A30,0))</f>
        <v/>
      </c>
      <c r="C30">
        <f>COUNTIFS(Holidays!$A$2:$A$1000,"&gt;="&amp;$A30,Holidays!$A$2:$A$1000,"&lt;="&amp;EOMONTH($A30,0),Holidays!$C$2:$C$1000,"NSW")</f>
        <v/>
      </c>
      <c r="D30">
        <f>COUNTIFS(Holidays!$A$2:$A$1000,"&gt;="&amp;$A30,Holidays!$A$2:$A$1000,"&lt;="&amp;EOMONTH($A30,0),Holidays!$C$2:$C$1000,"VIC")</f>
        <v/>
      </c>
      <c r="E30">
        <f>COUNTIFS(Holidays!$A$2:$A$1000,"&gt;="&amp;$A30,Holidays!$A$2:$A$1000,"&lt;="&amp;EOMONTH($A30,0),Holidays!$C$2:$C$1000,"QLD")</f>
        <v/>
      </c>
      <c r="F30">
        <f>COUNTIFS(Holidays!$A$2:$A$1000,"&gt;="&amp;$A30,Holidays!$A$2:$A$1000,"&lt;="&amp;EOMONTH($A30,0),Holidays!$C$2:$C$1000,"SA")</f>
        <v/>
      </c>
      <c r="G30">
        <f>COUNTIFS(Holidays!$A$2:$A$1000,"&gt;="&amp;$A30,Holidays!$A$2:$A$1000,"&lt;="&amp;EOMONTH($A30,0),Holidays!$C$2:$C$1000,"WA")</f>
        <v/>
      </c>
      <c r="H30" s="16">
        <f>($B30-C30+C30*PH_Roster*(1+PH_Loading))/($B30-C30+C30*PH_Roster)</f>
        <v/>
      </c>
      <c r="I30" s="16">
        <f>($B30-D30+D30*PH_Roster*(1+PH_Loading))/($B30-D30+D30*PH_Roster)</f>
        <v/>
      </c>
      <c r="J30" s="16">
        <f>($B30-E30+E30*PH_Roster*(1+PH_Loading))/($B30-E30+E30*PH_Roster)</f>
        <v/>
      </c>
      <c r="K30" s="16">
        <f>($B30-F30+F30*PH_Roster*(1+PH_Loading))/($B30-F30+F30*PH_Roster)</f>
        <v/>
      </c>
      <c r="L30" s="16">
        <f>($B30-G30+G30*PH_Roster*(1+PH_Loading))/($B30-G30+G30*PH_Roster)</f>
        <v/>
      </c>
      <c r="M30" s="16">
        <f>EXP(SUMPRODUCT((WageDates&lt;=$A30)*(WageDates&lt;&gt;"")*LN(1+WageRates)))</f>
        <v/>
      </c>
    </row>
    <row r="31">
      <c r="A31" s="8" t="n">
        <v>46447</v>
      </c>
      <c r="B31">
        <f>DAY(EOMONTH(A31,0))</f>
        <v/>
      </c>
      <c r="C31">
        <f>COUNTIFS(Holidays!$A$2:$A$1000,"&gt;="&amp;$A31,Holidays!$A$2:$A$1000,"&lt;="&amp;EOMONTH($A31,0),Holidays!$C$2:$C$1000,"NSW")</f>
        <v/>
      </c>
      <c r="D31">
        <f>COUNTIFS(Holidays!$A$2:$A$1000,"&gt;="&amp;$A31,Holidays!$A$2:$A$1000,"&lt;="&amp;EOMONTH($A31,0),Holidays!$C$2:$C$1000,"VIC")</f>
        <v/>
      </c>
      <c r="E31">
        <f>COUNTIFS(Holidays!$A$2:$A$1000,"&gt;="&amp;$A31,Holidays!$A$2:$A$1000,"&lt;="&amp;EOMONTH($A31,0),Holidays!$C$2:$C$1000,"QLD")</f>
        <v/>
      </c>
      <c r="F31">
        <f>COUNTIFS(Holidays!$A$2:$A$1000,"&gt;="&amp;$A31,Holidays!$A$2:$A$1000,"&lt;="&amp;EOMONTH($A31,0),Holidays!$C$2:$C$1000,"SA")</f>
        <v/>
      </c>
      <c r="G31">
        <f>COUNTIFS(Holidays!$A$2:$A$1000,"&gt;="&amp;$A31,Holidays!$A$2:$A$1000,"&lt;="&amp;EOMONTH($A31,0),Holidays!$C$2:$C$1000,"WA")</f>
        <v/>
      </c>
      <c r="H31" s="16">
        <f>($B31-C31+C31*PH_Roster*(1+PH_Loading))/($B31-C31+C31*PH_Roster)</f>
        <v/>
      </c>
      <c r="I31" s="16">
        <f>($B31-D31+D31*PH_Roster*(1+PH_Loading))/($B31-D31+D31*PH_Roster)</f>
        <v/>
      </c>
      <c r="J31" s="16">
        <f>($B31-E31+E31*PH_Roster*(1+PH_Loading))/($B31-E31+E31*PH_Roster)</f>
        <v/>
      </c>
      <c r="K31" s="16">
        <f>($B31-F31+F31*PH_Roster*(1+PH_Loading))/($B31-F31+F31*PH_Roster)</f>
        <v/>
      </c>
      <c r="L31" s="16">
        <f>($B31-G31+G31*PH_Roster*(1+PH_Loading))/($B31-G31+G31*PH_Roster)</f>
        <v/>
      </c>
      <c r="M31" s="16">
        <f>EXP(SUMPRODUCT((WageDates&lt;=$A31)*(WageDates&lt;&gt;"")*LN(1+WageRates)))</f>
        <v/>
      </c>
    </row>
    <row r="32">
      <c r="A32" s="8" t="n">
        <v>46478</v>
      </c>
      <c r="B32">
        <f>DAY(EOMONTH(A32,0))</f>
        <v/>
      </c>
      <c r="C32">
        <f>COUNTIFS(Holidays!$A$2:$A$1000,"&gt;="&amp;$A32,Holidays!$A$2:$A$1000,"&lt;="&amp;EOMONTH($A32,0),Holidays!$C$2:$C$1000,"NSW")</f>
        <v/>
      </c>
      <c r="D32">
        <f>COUNTIFS(Holidays!$A$2:$A$1000,"&gt;="&amp;$A32,Holidays!$A$2:$A$1000,"&lt;="&amp;EOMONTH($A32,0),Holidays!$C$2:$C$1000,"VIC")</f>
        <v/>
      </c>
      <c r="E32">
        <f>COUNTIFS(Holidays!$A$2:$A$1000,"&gt;="&amp;$A32,Holidays!$A$2:$A$1000,"&lt;="&amp;EOMONTH($A32,0),Holidays!$C$2:$C$1000,"QLD")</f>
        <v/>
      </c>
      <c r="F32">
        <f>COUNTIFS(Holidays!$A$2:$A$1000,"&gt;="&amp;$A32,Holidays!$A$2:$A$1000,"&lt;="&amp;EOMONTH($A32,0),Holidays!$C$2:$C$1000,"SA")</f>
        <v/>
      </c>
      <c r="G32">
        <f>COUNTIFS(Holidays!$A$2:$A$1000,"&gt;="&amp;$A32,Holidays!$A$2:$A$1000,"&lt;="&amp;EOMONTH($A32,0),Holidays!$C$2:$C$1000,"WA")</f>
        <v/>
      </c>
      <c r="H32" s="16">
        <f>($B32-C32+C32*PH_Roster*(1+PH_Loading))/($B32-C32+C32*PH_Roster)</f>
        <v/>
      </c>
      <c r="I32" s="16">
        <f>($B32-D32+D32*PH_Roster*(1+PH_Loading))/($B32-D32+D32*PH_Roster)</f>
        <v/>
      </c>
      <c r="J32" s="16">
        <f>($B32-E32+E32*PH_Roster*(1+PH_Loading))/($B32-E32+E32*PH_Roster)</f>
        <v/>
      </c>
      <c r="K32" s="16">
        <f>($B32-F32+F32*PH_Roster*(1+PH_Loading))/($B32-F32+F32*PH_Roster)</f>
        <v/>
      </c>
      <c r="L32" s="16">
        <f>($B32-G32+G32*PH_Roster*(1+PH_Loading))/($B32-G32+G32*PH_Roster)</f>
        <v/>
      </c>
      <c r="M32" s="16">
        <f>EXP(SUMPRODUCT((WageDates&lt;=$A32)*(WageDates&lt;&gt;"")*LN(1+WageRates)))</f>
        <v/>
      </c>
    </row>
    <row r="33">
      <c r="A33" s="8" t="n">
        <v>46508</v>
      </c>
      <c r="B33">
        <f>DAY(EOMONTH(A33,0))</f>
        <v/>
      </c>
      <c r="C33">
        <f>COUNTIFS(Holidays!$A$2:$A$1000,"&gt;="&amp;$A33,Holidays!$A$2:$A$1000,"&lt;="&amp;EOMONTH($A33,0),Holidays!$C$2:$C$1000,"NSW")</f>
        <v/>
      </c>
      <c r="D33">
        <f>COUNTIFS(Holidays!$A$2:$A$1000,"&gt;="&amp;$A33,Holidays!$A$2:$A$1000,"&lt;="&amp;EOMONTH($A33,0),Holidays!$C$2:$C$1000,"VIC")</f>
        <v/>
      </c>
      <c r="E33">
        <f>COUNTIFS(Holidays!$A$2:$A$1000,"&gt;="&amp;$A33,Holidays!$A$2:$A$1000,"&lt;="&amp;EOMONTH($A33,0),Holidays!$C$2:$C$1000,"QLD")</f>
        <v/>
      </c>
      <c r="F33">
        <f>COUNTIFS(Holidays!$A$2:$A$1000,"&gt;="&amp;$A33,Holidays!$A$2:$A$1000,"&lt;="&amp;EOMONTH($A33,0),Holidays!$C$2:$C$1000,"SA")</f>
        <v/>
      </c>
      <c r="G33">
        <f>COUNTIFS(Holidays!$A$2:$A$1000,"&gt;="&amp;$A33,Holidays!$A$2:$A$1000,"&lt;="&amp;EOMONTH($A33,0),Holidays!$C$2:$C$1000,"WA")</f>
        <v/>
      </c>
      <c r="H33" s="16">
        <f>($B33-C33+C33*PH_Roster*(1+PH_Loading))/($B33-C33+C33*PH_Roster)</f>
        <v/>
      </c>
      <c r="I33" s="16">
        <f>($B33-D33+D33*PH_Roster*(1+PH_Loading))/($B33-D33+D33*PH_Roster)</f>
        <v/>
      </c>
      <c r="J33" s="16">
        <f>($B33-E33+E33*PH_Roster*(1+PH_Loading))/($B33-E33+E33*PH_Roster)</f>
        <v/>
      </c>
      <c r="K33" s="16">
        <f>($B33-F33+F33*PH_Roster*(1+PH_Loading))/($B33-F33+F33*PH_Roster)</f>
        <v/>
      </c>
      <c r="L33" s="16">
        <f>($B33-G33+G33*PH_Roster*(1+PH_Loading))/($B33-G33+G33*PH_Roster)</f>
        <v/>
      </c>
      <c r="M33" s="16">
        <f>EXP(SUMPRODUCT((WageDates&lt;=$A33)*(WageDates&lt;&gt;"")*LN(1+WageRates)))</f>
        <v/>
      </c>
    </row>
    <row r="34">
      <c r="A34" s="8" t="n">
        <v>46539</v>
      </c>
      <c r="B34">
        <f>DAY(EOMONTH(A34,0))</f>
        <v/>
      </c>
      <c r="C34">
        <f>COUNTIFS(Holidays!$A$2:$A$1000,"&gt;="&amp;$A34,Holidays!$A$2:$A$1000,"&lt;="&amp;EOMONTH($A34,0),Holidays!$C$2:$C$1000,"NSW")</f>
        <v/>
      </c>
      <c r="D34">
        <f>COUNTIFS(Holidays!$A$2:$A$1000,"&gt;="&amp;$A34,Holidays!$A$2:$A$1000,"&lt;="&amp;EOMONTH($A34,0),Holidays!$C$2:$C$1000,"VIC")</f>
        <v/>
      </c>
      <c r="E34">
        <f>COUNTIFS(Holidays!$A$2:$A$1000,"&gt;="&amp;$A34,Holidays!$A$2:$A$1000,"&lt;="&amp;EOMONTH($A34,0),Holidays!$C$2:$C$1000,"QLD")</f>
        <v/>
      </c>
      <c r="F34">
        <f>COUNTIFS(Holidays!$A$2:$A$1000,"&gt;="&amp;$A34,Holidays!$A$2:$A$1000,"&lt;="&amp;EOMONTH($A34,0),Holidays!$C$2:$C$1000,"SA")</f>
        <v/>
      </c>
      <c r="G34">
        <f>COUNTIFS(Holidays!$A$2:$A$1000,"&gt;="&amp;$A34,Holidays!$A$2:$A$1000,"&lt;="&amp;EOMONTH($A34,0),Holidays!$C$2:$C$1000,"WA")</f>
        <v/>
      </c>
      <c r="H34" s="16">
        <f>($B34-C34+C34*PH_Roster*(1+PH_Loading))/($B34-C34+C34*PH_Roster)</f>
        <v/>
      </c>
      <c r="I34" s="16">
        <f>($B34-D34+D34*PH_Roster*(1+PH_Loading))/($B34-D34+D34*PH_Roster)</f>
        <v/>
      </c>
      <c r="J34" s="16">
        <f>($B34-E34+E34*PH_Roster*(1+PH_Loading))/($B34-E34+E34*PH_Roster)</f>
        <v/>
      </c>
      <c r="K34" s="16">
        <f>($B34-F34+F34*PH_Roster*(1+PH_Loading))/($B34-F34+F34*PH_Roster)</f>
        <v/>
      </c>
      <c r="L34" s="16">
        <f>($B34-G34+G34*PH_Roster*(1+PH_Loading))/($B34-G34+G34*PH_Roster)</f>
        <v/>
      </c>
      <c r="M34" s="16">
        <f>EXP(SUMPRODUCT((WageDates&lt;=$A34)*(WageDates&lt;&gt;"")*LN(1+WageRates)))</f>
        <v/>
      </c>
    </row>
    <row r="35">
      <c r="A35" s="8" t="n">
        <v>46569</v>
      </c>
      <c r="B35">
        <f>DAY(EOMONTH(A35,0))</f>
        <v/>
      </c>
      <c r="C35">
        <f>COUNTIFS(Holidays!$A$2:$A$1000,"&gt;="&amp;$A35,Holidays!$A$2:$A$1000,"&lt;="&amp;EOMONTH($A35,0),Holidays!$C$2:$C$1000,"NSW")</f>
        <v/>
      </c>
      <c r="D35">
        <f>COUNTIFS(Holidays!$A$2:$A$1000,"&gt;="&amp;$A35,Holidays!$A$2:$A$1000,"&lt;="&amp;EOMONTH($A35,0),Holidays!$C$2:$C$1000,"VIC")</f>
        <v/>
      </c>
      <c r="E35">
        <f>COUNTIFS(Holidays!$A$2:$A$1000,"&gt;="&amp;$A35,Holidays!$A$2:$A$1000,"&lt;="&amp;EOMONTH($A35,0),Holidays!$C$2:$C$1000,"QLD")</f>
        <v/>
      </c>
      <c r="F35">
        <f>COUNTIFS(Holidays!$A$2:$A$1000,"&gt;="&amp;$A35,Holidays!$A$2:$A$1000,"&lt;="&amp;EOMONTH($A35,0),Holidays!$C$2:$C$1000,"SA")</f>
        <v/>
      </c>
      <c r="G35">
        <f>COUNTIFS(Holidays!$A$2:$A$1000,"&gt;="&amp;$A35,Holidays!$A$2:$A$1000,"&lt;="&amp;EOMONTH($A35,0),Holidays!$C$2:$C$1000,"WA")</f>
        <v/>
      </c>
      <c r="H35" s="16">
        <f>($B35-C35+C35*PH_Roster*(1+PH_Loading))/($B35-C35+C35*PH_Roster)</f>
        <v/>
      </c>
      <c r="I35" s="16">
        <f>($B35-D35+D35*PH_Roster*(1+PH_Loading))/($B35-D35+D35*PH_Roster)</f>
        <v/>
      </c>
      <c r="J35" s="16">
        <f>($B35-E35+E35*PH_Roster*(1+PH_Loading))/($B35-E35+E35*PH_Roster)</f>
        <v/>
      </c>
      <c r="K35" s="16">
        <f>($B35-F35+F35*PH_Roster*(1+PH_Loading))/($B35-F35+F35*PH_Roster)</f>
        <v/>
      </c>
      <c r="L35" s="16">
        <f>($B35-G35+G35*PH_Roster*(1+PH_Loading))/($B35-G35+G35*PH_Roster)</f>
        <v/>
      </c>
      <c r="M35" s="16">
        <f>EXP(SUMPRODUCT((WageDates&lt;=$A35)*(WageDates&lt;&gt;"")*LN(1+WageRates)))</f>
        <v/>
      </c>
    </row>
    <row r="36">
      <c r="A36" s="8" t="n">
        <v>46600</v>
      </c>
      <c r="B36">
        <f>DAY(EOMONTH(A36,0))</f>
        <v/>
      </c>
      <c r="C36">
        <f>COUNTIFS(Holidays!$A$2:$A$1000,"&gt;="&amp;$A36,Holidays!$A$2:$A$1000,"&lt;="&amp;EOMONTH($A36,0),Holidays!$C$2:$C$1000,"NSW")</f>
        <v/>
      </c>
      <c r="D36">
        <f>COUNTIFS(Holidays!$A$2:$A$1000,"&gt;="&amp;$A36,Holidays!$A$2:$A$1000,"&lt;="&amp;EOMONTH($A36,0),Holidays!$C$2:$C$1000,"VIC")</f>
        <v/>
      </c>
      <c r="E36">
        <f>COUNTIFS(Holidays!$A$2:$A$1000,"&gt;="&amp;$A36,Holidays!$A$2:$A$1000,"&lt;="&amp;EOMONTH($A36,0),Holidays!$C$2:$C$1000,"QLD")</f>
        <v/>
      </c>
      <c r="F36">
        <f>COUNTIFS(Holidays!$A$2:$A$1000,"&gt;="&amp;$A36,Holidays!$A$2:$A$1000,"&lt;="&amp;EOMONTH($A36,0),Holidays!$C$2:$C$1000,"SA")</f>
        <v/>
      </c>
      <c r="G36">
        <f>COUNTIFS(Holidays!$A$2:$A$1000,"&gt;="&amp;$A36,Holidays!$A$2:$A$1000,"&lt;="&amp;EOMONTH($A36,0),Holidays!$C$2:$C$1000,"WA")</f>
        <v/>
      </c>
      <c r="H36" s="16">
        <f>($B36-C36+C36*PH_Roster*(1+PH_Loading))/($B36-C36+C36*PH_Roster)</f>
        <v/>
      </c>
      <c r="I36" s="16">
        <f>($B36-D36+D36*PH_Roster*(1+PH_Loading))/($B36-D36+D36*PH_Roster)</f>
        <v/>
      </c>
      <c r="J36" s="16">
        <f>($B36-E36+E36*PH_Roster*(1+PH_Loading))/($B36-E36+E36*PH_Roster)</f>
        <v/>
      </c>
      <c r="K36" s="16">
        <f>($B36-F36+F36*PH_Roster*(1+PH_Loading))/($B36-F36+F36*PH_Roster)</f>
        <v/>
      </c>
      <c r="L36" s="16">
        <f>($B36-G36+G36*PH_Roster*(1+PH_Loading))/($B36-G36+G36*PH_Roster)</f>
        <v/>
      </c>
      <c r="M36" s="16">
        <f>EXP(SUMPRODUCT((WageDates&lt;=$A36)*(WageDates&lt;&gt;"")*LN(1+WageRates)))</f>
        <v/>
      </c>
    </row>
    <row r="37">
      <c r="A37" s="8" t="n">
        <v>46631</v>
      </c>
      <c r="B37">
        <f>DAY(EOMONTH(A37,0))</f>
        <v/>
      </c>
      <c r="C37">
        <f>COUNTIFS(Holidays!$A$2:$A$1000,"&gt;="&amp;$A37,Holidays!$A$2:$A$1000,"&lt;="&amp;EOMONTH($A37,0),Holidays!$C$2:$C$1000,"NSW")</f>
        <v/>
      </c>
      <c r="D37">
        <f>COUNTIFS(Holidays!$A$2:$A$1000,"&gt;="&amp;$A37,Holidays!$A$2:$A$1000,"&lt;="&amp;EOMONTH($A37,0),Holidays!$C$2:$C$1000,"VIC")</f>
        <v/>
      </c>
      <c r="E37">
        <f>COUNTIFS(Holidays!$A$2:$A$1000,"&gt;="&amp;$A37,Holidays!$A$2:$A$1000,"&lt;="&amp;EOMONTH($A37,0),Holidays!$C$2:$C$1000,"QLD")</f>
        <v/>
      </c>
      <c r="F37">
        <f>COUNTIFS(Holidays!$A$2:$A$1000,"&gt;="&amp;$A37,Holidays!$A$2:$A$1000,"&lt;="&amp;EOMONTH($A37,0),Holidays!$C$2:$C$1000,"SA")</f>
        <v/>
      </c>
      <c r="G37">
        <f>COUNTIFS(Holidays!$A$2:$A$1000,"&gt;="&amp;$A37,Holidays!$A$2:$A$1000,"&lt;="&amp;EOMONTH($A37,0),Holidays!$C$2:$C$1000,"WA")</f>
        <v/>
      </c>
      <c r="H37" s="16">
        <f>($B37-C37+C37*PH_Roster*(1+PH_Loading))/($B37-C37+C37*PH_Roster)</f>
        <v/>
      </c>
      <c r="I37" s="16">
        <f>($B37-D37+D37*PH_Roster*(1+PH_Loading))/($B37-D37+D37*PH_Roster)</f>
        <v/>
      </c>
      <c r="J37" s="16">
        <f>($B37-E37+E37*PH_Roster*(1+PH_Loading))/($B37-E37+E37*PH_Roster)</f>
        <v/>
      </c>
      <c r="K37" s="16">
        <f>($B37-F37+F37*PH_Roster*(1+PH_Loading))/($B37-F37+F37*PH_Roster)</f>
        <v/>
      </c>
      <c r="L37" s="16">
        <f>($B37-G37+G37*PH_Roster*(1+PH_Loading))/($B37-G37+G37*PH_Roster)</f>
        <v/>
      </c>
      <c r="M37" s="16">
        <f>EXP(SUMPRODUCT((WageDates&lt;=$A37)*(WageDates&lt;&gt;"")*LN(1+WageRates)))</f>
        <v/>
      </c>
    </row>
    <row r="38">
      <c r="A38" s="8" t="n">
        <v>46661</v>
      </c>
      <c r="B38">
        <f>DAY(EOMONTH(A38,0))</f>
        <v/>
      </c>
      <c r="C38">
        <f>COUNTIFS(Holidays!$A$2:$A$1000,"&gt;="&amp;$A38,Holidays!$A$2:$A$1000,"&lt;="&amp;EOMONTH($A38,0),Holidays!$C$2:$C$1000,"NSW")</f>
        <v/>
      </c>
      <c r="D38">
        <f>COUNTIFS(Holidays!$A$2:$A$1000,"&gt;="&amp;$A38,Holidays!$A$2:$A$1000,"&lt;="&amp;EOMONTH($A38,0),Holidays!$C$2:$C$1000,"VIC")</f>
        <v/>
      </c>
      <c r="E38">
        <f>COUNTIFS(Holidays!$A$2:$A$1000,"&gt;="&amp;$A38,Holidays!$A$2:$A$1000,"&lt;="&amp;EOMONTH($A38,0),Holidays!$C$2:$C$1000,"QLD")</f>
        <v/>
      </c>
      <c r="F38">
        <f>COUNTIFS(Holidays!$A$2:$A$1000,"&gt;="&amp;$A38,Holidays!$A$2:$A$1000,"&lt;="&amp;EOMONTH($A38,0),Holidays!$C$2:$C$1000,"SA")</f>
        <v/>
      </c>
      <c r="G38">
        <f>COUNTIFS(Holidays!$A$2:$A$1000,"&gt;="&amp;$A38,Holidays!$A$2:$A$1000,"&lt;="&amp;EOMONTH($A38,0),Holidays!$C$2:$C$1000,"WA")</f>
        <v/>
      </c>
      <c r="H38" s="16">
        <f>($B38-C38+C38*PH_Roster*(1+PH_Loading))/($B38-C38+C38*PH_Roster)</f>
        <v/>
      </c>
      <c r="I38" s="16">
        <f>($B38-D38+D38*PH_Roster*(1+PH_Loading))/($B38-D38+D38*PH_Roster)</f>
        <v/>
      </c>
      <c r="J38" s="16">
        <f>($B38-E38+E38*PH_Roster*(1+PH_Loading))/($B38-E38+E38*PH_Roster)</f>
        <v/>
      </c>
      <c r="K38" s="16">
        <f>($B38-F38+F38*PH_Roster*(1+PH_Loading))/($B38-F38+F38*PH_Roster)</f>
        <v/>
      </c>
      <c r="L38" s="16">
        <f>($B38-G38+G38*PH_Roster*(1+PH_Loading))/($B38-G38+G38*PH_Roster)</f>
        <v/>
      </c>
      <c r="M38" s="16">
        <f>EXP(SUMPRODUCT((WageDates&lt;=$A38)*(WageDates&lt;&gt;"")*LN(1+WageRates)))</f>
        <v/>
      </c>
    </row>
    <row r="39">
      <c r="A39" s="8" t="n">
        <v>46692</v>
      </c>
      <c r="B39">
        <f>DAY(EOMONTH(A39,0))</f>
        <v/>
      </c>
      <c r="C39">
        <f>COUNTIFS(Holidays!$A$2:$A$1000,"&gt;="&amp;$A39,Holidays!$A$2:$A$1000,"&lt;="&amp;EOMONTH($A39,0),Holidays!$C$2:$C$1000,"NSW")</f>
        <v/>
      </c>
      <c r="D39">
        <f>COUNTIFS(Holidays!$A$2:$A$1000,"&gt;="&amp;$A39,Holidays!$A$2:$A$1000,"&lt;="&amp;EOMONTH($A39,0),Holidays!$C$2:$C$1000,"VIC")</f>
        <v/>
      </c>
      <c r="E39">
        <f>COUNTIFS(Holidays!$A$2:$A$1000,"&gt;="&amp;$A39,Holidays!$A$2:$A$1000,"&lt;="&amp;EOMONTH($A39,0),Holidays!$C$2:$C$1000,"QLD")</f>
        <v/>
      </c>
      <c r="F39">
        <f>COUNTIFS(Holidays!$A$2:$A$1000,"&gt;="&amp;$A39,Holidays!$A$2:$A$1000,"&lt;="&amp;EOMONTH($A39,0),Holidays!$C$2:$C$1000,"SA")</f>
        <v/>
      </c>
      <c r="G39">
        <f>COUNTIFS(Holidays!$A$2:$A$1000,"&gt;="&amp;$A39,Holidays!$A$2:$A$1000,"&lt;="&amp;EOMONTH($A39,0),Holidays!$C$2:$C$1000,"WA")</f>
        <v/>
      </c>
      <c r="H39" s="16">
        <f>($B39-C39+C39*PH_Roster*(1+PH_Loading))/($B39-C39+C39*PH_Roster)</f>
        <v/>
      </c>
      <c r="I39" s="16">
        <f>($B39-D39+D39*PH_Roster*(1+PH_Loading))/($B39-D39+D39*PH_Roster)</f>
        <v/>
      </c>
      <c r="J39" s="16">
        <f>($B39-E39+E39*PH_Roster*(1+PH_Loading))/($B39-E39+E39*PH_Roster)</f>
        <v/>
      </c>
      <c r="K39" s="16">
        <f>($B39-F39+F39*PH_Roster*(1+PH_Loading))/($B39-F39+F39*PH_Roster)</f>
        <v/>
      </c>
      <c r="L39" s="16">
        <f>($B39-G39+G39*PH_Roster*(1+PH_Loading))/($B39-G39+G39*PH_Roster)</f>
        <v/>
      </c>
      <c r="M39" s="16">
        <f>EXP(SUMPRODUCT((WageDates&lt;=$A39)*(WageDates&lt;&gt;"")*LN(1+WageRates)))</f>
        <v/>
      </c>
    </row>
    <row r="40">
      <c r="A40" s="8" t="n">
        <v>46722</v>
      </c>
      <c r="B40">
        <f>DAY(EOMONTH(A40,0))</f>
        <v/>
      </c>
      <c r="C40">
        <f>COUNTIFS(Holidays!$A$2:$A$1000,"&gt;="&amp;$A40,Holidays!$A$2:$A$1000,"&lt;="&amp;EOMONTH($A40,0),Holidays!$C$2:$C$1000,"NSW")</f>
        <v/>
      </c>
      <c r="D40">
        <f>COUNTIFS(Holidays!$A$2:$A$1000,"&gt;="&amp;$A40,Holidays!$A$2:$A$1000,"&lt;="&amp;EOMONTH($A40,0),Holidays!$C$2:$C$1000,"VIC")</f>
        <v/>
      </c>
      <c r="E40">
        <f>COUNTIFS(Holidays!$A$2:$A$1000,"&gt;="&amp;$A40,Holidays!$A$2:$A$1000,"&lt;="&amp;EOMONTH($A40,0),Holidays!$C$2:$C$1000,"QLD")</f>
        <v/>
      </c>
      <c r="F40">
        <f>COUNTIFS(Holidays!$A$2:$A$1000,"&gt;="&amp;$A40,Holidays!$A$2:$A$1000,"&lt;="&amp;EOMONTH($A40,0),Holidays!$C$2:$C$1000,"SA")</f>
        <v/>
      </c>
      <c r="G40">
        <f>COUNTIFS(Holidays!$A$2:$A$1000,"&gt;="&amp;$A40,Holidays!$A$2:$A$1000,"&lt;="&amp;EOMONTH($A40,0),Holidays!$C$2:$C$1000,"WA")</f>
        <v/>
      </c>
      <c r="H40" s="16">
        <f>($B40-C40+C40*PH_Roster*(1+PH_Loading))/($B40-C40+C40*PH_Roster)</f>
        <v/>
      </c>
      <c r="I40" s="16">
        <f>($B40-D40+D40*PH_Roster*(1+PH_Loading))/($B40-D40+D40*PH_Roster)</f>
        <v/>
      </c>
      <c r="J40" s="16">
        <f>($B40-E40+E40*PH_Roster*(1+PH_Loading))/($B40-E40+E40*PH_Roster)</f>
        <v/>
      </c>
      <c r="K40" s="16">
        <f>($B40-F40+F40*PH_Roster*(1+PH_Loading))/($B40-F40+F40*PH_Roster)</f>
        <v/>
      </c>
      <c r="L40" s="16">
        <f>($B40-G40+G40*PH_Roster*(1+PH_Loading))/($B40-G40+G40*PH_Roster)</f>
        <v/>
      </c>
      <c r="M40" s="16">
        <f>EXP(SUMPRODUCT((WageDates&lt;=$A40)*(WageDates&lt;&gt;"")*LN(1+WageRates)))</f>
        <v/>
      </c>
    </row>
    <row r="41">
      <c r="A41" s="8" t="n">
        <v>46753</v>
      </c>
      <c r="B41">
        <f>DAY(EOMONTH(A41,0))</f>
        <v/>
      </c>
      <c r="C41">
        <f>COUNTIFS(Holidays!$A$2:$A$1000,"&gt;="&amp;$A41,Holidays!$A$2:$A$1000,"&lt;="&amp;EOMONTH($A41,0),Holidays!$C$2:$C$1000,"NSW")</f>
        <v/>
      </c>
      <c r="D41">
        <f>COUNTIFS(Holidays!$A$2:$A$1000,"&gt;="&amp;$A41,Holidays!$A$2:$A$1000,"&lt;="&amp;EOMONTH($A41,0),Holidays!$C$2:$C$1000,"VIC")</f>
        <v/>
      </c>
      <c r="E41">
        <f>COUNTIFS(Holidays!$A$2:$A$1000,"&gt;="&amp;$A41,Holidays!$A$2:$A$1000,"&lt;="&amp;EOMONTH($A41,0),Holidays!$C$2:$C$1000,"QLD")</f>
        <v/>
      </c>
      <c r="F41">
        <f>COUNTIFS(Holidays!$A$2:$A$1000,"&gt;="&amp;$A41,Holidays!$A$2:$A$1000,"&lt;="&amp;EOMONTH($A41,0),Holidays!$C$2:$C$1000,"SA")</f>
        <v/>
      </c>
      <c r="G41">
        <f>COUNTIFS(Holidays!$A$2:$A$1000,"&gt;="&amp;$A41,Holidays!$A$2:$A$1000,"&lt;="&amp;EOMONTH($A41,0),Holidays!$C$2:$C$1000,"WA")</f>
        <v/>
      </c>
      <c r="H41" s="16">
        <f>($B41-C41+C41*PH_Roster*(1+PH_Loading))/($B41-C41+C41*PH_Roster)</f>
        <v/>
      </c>
      <c r="I41" s="16">
        <f>($B41-D41+D41*PH_Roster*(1+PH_Loading))/($B41-D41+D41*PH_Roster)</f>
        <v/>
      </c>
      <c r="J41" s="16">
        <f>($B41-E41+E41*PH_Roster*(1+PH_Loading))/($B41-E41+E41*PH_Roster)</f>
        <v/>
      </c>
      <c r="K41" s="16">
        <f>($B41-F41+F41*PH_Roster*(1+PH_Loading))/($B41-F41+F41*PH_Roster)</f>
        <v/>
      </c>
      <c r="L41" s="16">
        <f>($B41-G41+G41*PH_Roster*(1+PH_Loading))/($B41-G41+G41*PH_Roster)</f>
        <v/>
      </c>
      <c r="M41" s="16">
        <f>EXP(SUMPRODUCT((WageDates&lt;=$A41)*(WageDates&lt;&gt;"")*LN(1+WageRates)))</f>
        <v/>
      </c>
    </row>
    <row r="42">
      <c r="A42" s="8" t="n">
        <v>46784</v>
      </c>
      <c r="B42">
        <f>DAY(EOMONTH(A42,0))</f>
        <v/>
      </c>
      <c r="C42">
        <f>COUNTIFS(Holidays!$A$2:$A$1000,"&gt;="&amp;$A42,Holidays!$A$2:$A$1000,"&lt;="&amp;EOMONTH($A42,0),Holidays!$C$2:$C$1000,"NSW")</f>
        <v/>
      </c>
      <c r="D42">
        <f>COUNTIFS(Holidays!$A$2:$A$1000,"&gt;="&amp;$A42,Holidays!$A$2:$A$1000,"&lt;="&amp;EOMONTH($A42,0),Holidays!$C$2:$C$1000,"VIC")</f>
        <v/>
      </c>
      <c r="E42">
        <f>COUNTIFS(Holidays!$A$2:$A$1000,"&gt;="&amp;$A42,Holidays!$A$2:$A$1000,"&lt;="&amp;EOMONTH($A42,0),Holidays!$C$2:$C$1000,"QLD")</f>
        <v/>
      </c>
      <c r="F42">
        <f>COUNTIFS(Holidays!$A$2:$A$1000,"&gt;="&amp;$A42,Holidays!$A$2:$A$1000,"&lt;="&amp;EOMONTH($A42,0),Holidays!$C$2:$C$1000,"SA")</f>
        <v/>
      </c>
      <c r="G42">
        <f>COUNTIFS(Holidays!$A$2:$A$1000,"&gt;="&amp;$A42,Holidays!$A$2:$A$1000,"&lt;="&amp;EOMONTH($A42,0),Holidays!$C$2:$C$1000,"WA")</f>
        <v/>
      </c>
      <c r="H42" s="16">
        <f>($B42-C42+C42*PH_Roster*(1+PH_Loading))/($B42-C42+C42*PH_Roster)</f>
        <v/>
      </c>
      <c r="I42" s="16">
        <f>($B42-D42+D42*PH_Roster*(1+PH_Loading))/($B42-D42+D42*PH_Roster)</f>
        <v/>
      </c>
      <c r="J42" s="16">
        <f>($B42-E42+E42*PH_Roster*(1+PH_Loading))/($B42-E42+E42*PH_Roster)</f>
        <v/>
      </c>
      <c r="K42" s="16">
        <f>($B42-F42+F42*PH_Roster*(1+PH_Loading))/($B42-F42+F42*PH_Roster)</f>
        <v/>
      </c>
      <c r="L42" s="16">
        <f>($B42-G42+G42*PH_Roster*(1+PH_Loading))/($B42-G42+G42*PH_Roster)</f>
        <v/>
      </c>
      <c r="M42" s="16">
        <f>EXP(SUMPRODUCT((WageDates&lt;=$A42)*(WageDates&lt;&gt;"")*LN(1+WageRates)))</f>
        <v/>
      </c>
    </row>
    <row r="43">
      <c r="A43" s="8" t="n">
        <v>46813</v>
      </c>
      <c r="B43">
        <f>DAY(EOMONTH(A43,0))</f>
        <v/>
      </c>
      <c r="C43">
        <f>COUNTIFS(Holidays!$A$2:$A$1000,"&gt;="&amp;$A43,Holidays!$A$2:$A$1000,"&lt;="&amp;EOMONTH($A43,0),Holidays!$C$2:$C$1000,"NSW")</f>
        <v/>
      </c>
      <c r="D43">
        <f>COUNTIFS(Holidays!$A$2:$A$1000,"&gt;="&amp;$A43,Holidays!$A$2:$A$1000,"&lt;="&amp;EOMONTH($A43,0),Holidays!$C$2:$C$1000,"VIC")</f>
        <v/>
      </c>
      <c r="E43">
        <f>COUNTIFS(Holidays!$A$2:$A$1000,"&gt;="&amp;$A43,Holidays!$A$2:$A$1000,"&lt;="&amp;EOMONTH($A43,0),Holidays!$C$2:$C$1000,"QLD")</f>
        <v/>
      </c>
      <c r="F43">
        <f>COUNTIFS(Holidays!$A$2:$A$1000,"&gt;="&amp;$A43,Holidays!$A$2:$A$1000,"&lt;="&amp;EOMONTH($A43,0),Holidays!$C$2:$C$1000,"SA")</f>
        <v/>
      </c>
      <c r="G43">
        <f>COUNTIFS(Holidays!$A$2:$A$1000,"&gt;="&amp;$A43,Holidays!$A$2:$A$1000,"&lt;="&amp;EOMONTH($A43,0),Holidays!$C$2:$C$1000,"WA")</f>
        <v/>
      </c>
      <c r="H43" s="16">
        <f>($B43-C43+C43*PH_Roster*(1+PH_Loading))/($B43-C43+C43*PH_Roster)</f>
        <v/>
      </c>
      <c r="I43" s="16">
        <f>($B43-D43+D43*PH_Roster*(1+PH_Loading))/($B43-D43+D43*PH_Roster)</f>
        <v/>
      </c>
      <c r="J43" s="16">
        <f>($B43-E43+E43*PH_Roster*(1+PH_Loading))/($B43-E43+E43*PH_Roster)</f>
        <v/>
      </c>
      <c r="K43" s="16">
        <f>($B43-F43+F43*PH_Roster*(1+PH_Loading))/($B43-F43+F43*PH_Roster)</f>
        <v/>
      </c>
      <c r="L43" s="16">
        <f>($B43-G43+G43*PH_Roster*(1+PH_Loading))/($B43-G43+G43*PH_Roster)</f>
        <v/>
      </c>
      <c r="M43" s="16">
        <f>EXP(SUMPRODUCT((WageDates&lt;=$A43)*(WageDates&lt;&gt;"")*LN(1+WageRates)))</f>
        <v/>
      </c>
    </row>
    <row r="44">
      <c r="A44" s="8" t="n">
        <v>46844</v>
      </c>
      <c r="B44">
        <f>DAY(EOMONTH(A44,0))</f>
        <v/>
      </c>
      <c r="C44">
        <f>COUNTIFS(Holidays!$A$2:$A$1000,"&gt;="&amp;$A44,Holidays!$A$2:$A$1000,"&lt;="&amp;EOMONTH($A44,0),Holidays!$C$2:$C$1000,"NSW")</f>
        <v/>
      </c>
      <c r="D44">
        <f>COUNTIFS(Holidays!$A$2:$A$1000,"&gt;="&amp;$A44,Holidays!$A$2:$A$1000,"&lt;="&amp;EOMONTH($A44,0),Holidays!$C$2:$C$1000,"VIC")</f>
        <v/>
      </c>
      <c r="E44">
        <f>COUNTIFS(Holidays!$A$2:$A$1000,"&gt;="&amp;$A44,Holidays!$A$2:$A$1000,"&lt;="&amp;EOMONTH($A44,0),Holidays!$C$2:$C$1000,"QLD")</f>
        <v/>
      </c>
      <c r="F44">
        <f>COUNTIFS(Holidays!$A$2:$A$1000,"&gt;="&amp;$A44,Holidays!$A$2:$A$1000,"&lt;="&amp;EOMONTH($A44,0),Holidays!$C$2:$C$1000,"SA")</f>
        <v/>
      </c>
      <c r="G44">
        <f>COUNTIFS(Holidays!$A$2:$A$1000,"&gt;="&amp;$A44,Holidays!$A$2:$A$1000,"&lt;="&amp;EOMONTH($A44,0),Holidays!$C$2:$C$1000,"WA")</f>
        <v/>
      </c>
      <c r="H44" s="16">
        <f>($B44-C44+C44*PH_Roster*(1+PH_Loading))/($B44-C44+C44*PH_Roster)</f>
        <v/>
      </c>
      <c r="I44" s="16">
        <f>($B44-D44+D44*PH_Roster*(1+PH_Loading))/($B44-D44+D44*PH_Roster)</f>
        <v/>
      </c>
      <c r="J44" s="16">
        <f>($B44-E44+E44*PH_Roster*(1+PH_Loading))/($B44-E44+E44*PH_Roster)</f>
        <v/>
      </c>
      <c r="K44" s="16">
        <f>($B44-F44+F44*PH_Roster*(1+PH_Loading))/($B44-F44+F44*PH_Roster)</f>
        <v/>
      </c>
      <c r="L44" s="16">
        <f>($B44-G44+G44*PH_Roster*(1+PH_Loading))/($B44-G44+G44*PH_Roster)</f>
        <v/>
      </c>
      <c r="M44" s="16">
        <f>EXP(SUMPRODUCT((WageDates&lt;=$A44)*(WageDates&lt;&gt;"")*LN(1+WageRates)))</f>
        <v/>
      </c>
    </row>
    <row r="45">
      <c r="A45" s="8" t="n">
        <v>46874</v>
      </c>
      <c r="B45">
        <f>DAY(EOMONTH(A45,0))</f>
        <v/>
      </c>
      <c r="C45">
        <f>COUNTIFS(Holidays!$A$2:$A$1000,"&gt;="&amp;$A45,Holidays!$A$2:$A$1000,"&lt;="&amp;EOMONTH($A45,0),Holidays!$C$2:$C$1000,"NSW")</f>
        <v/>
      </c>
      <c r="D45">
        <f>COUNTIFS(Holidays!$A$2:$A$1000,"&gt;="&amp;$A45,Holidays!$A$2:$A$1000,"&lt;="&amp;EOMONTH($A45,0),Holidays!$C$2:$C$1000,"VIC")</f>
        <v/>
      </c>
      <c r="E45">
        <f>COUNTIFS(Holidays!$A$2:$A$1000,"&gt;="&amp;$A45,Holidays!$A$2:$A$1000,"&lt;="&amp;EOMONTH($A45,0),Holidays!$C$2:$C$1000,"QLD")</f>
        <v/>
      </c>
      <c r="F45">
        <f>COUNTIFS(Holidays!$A$2:$A$1000,"&gt;="&amp;$A45,Holidays!$A$2:$A$1000,"&lt;="&amp;EOMONTH($A45,0),Holidays!$C$2:$C$1000,"SA")</f>
        <v/>
      </c>
      <c r="G45">
        <f>COUNTIFS(Holidays!$A$2:$A$1000,"&gt;="&amp;$A45,Holidays!$A$2:$A$1000,"&lt;="&amp;EOMONTH($A45,0),Holidays!$C$2:$C$1000,"WA")</f>
        <v/>
      </c>
      <c r="H45" s="16">
        <f>($B45-C45+C45*PH_Roster*(1+PH_Loading))/($B45-C45+C45*PH_Roster)</f>
        <v/>
      </c>
      <c r="I45" s="16">
        <f>($B45-D45+D45*PH_Roster*(1+PH_Loading))/($B45-D45+D45*PH_Roster)</f>
        <v/>
      </c>
      <c r="J45" s="16">
        <f>($B45-E45+E45*PH_Roster*(1+PH_Loading))/($B45-E45+E45*PH_Roster)</f>
        <v/>
      </c>
      <c r="K45" s="16">
        <f>($B45-F45+F45*PH_Roster*(1+PH_Loading))/($B45-F45+F45*PH_Roster)</f>
        <v/>
      </c>
      <c r="L45" s="16">
        <f>($B45-G45+G45*PH_Roster*(1+PH_Loading))/($B45-G45+G45*PH_Roster)</f>
        <v/>
      </c>
      <c r="M45" s="16">
        <f>EXP(SUMPRODUCT((WageDates&lt;=$A45)*(WageDates&lt;&gt;"")*LN(1+WageRates)))</f>
        <v/>
      </c>
    </row>
    <row r="46">
      <c r="A46" s="8" t="n">
        <v>46905</v>
      </c>
      <c r="B46">
        <f>DAY(EOMONTH(A46,0))</f>
        <v/>
      </c>
      <c r="C46">
        <f>COUNTIFS(Holidays!$A$2:$A$1000,"&gt;="&amp;$A46,Holidays!$A$2:$A$1000,"&lt;="&amp;EOMONTH($A46,0),Holidays!$C$2:$C$1000,"NSW")</f>
        <v/>
      </c>
      <c r="D46">
        <f>COUNTIFS(Holidays!$A$2:$A$1000,"&gt;="&amp;$A46,Holidays!$A$2:$A$1000,"&lt;="&amp;EOMONTH($A46,0),Holidays!$C$2:$C$1000,"VIC")</f>
        <v/>
      </c>
      <c r="E46">
        <f>COUNTIFS(Holidays!$A$2:$A$1000,"&gt;="&amp;$A46,Holidays!$A$2:$A$1000,"&lt;="&amp;EOMONTH($A46,0),Holidays!$C$2:$C$1000,"QLD")</f>
        <v/>
      </c>
      <c r="F46">
        <f>COUNTIFS(Holidays!$A$2:$A$1000,"&gt;="&amp;$A46,Holidays!$A$2:$A$1000,"&lt;="&amp;EOMONTH($A46,0),Holidays!$C$2:$C$1000,"SA")</f>
        <v/>
      </c>
      <c r="G46">
        <f>COUNTIFS(Holidays!$A$2:$A$1000,"&gt;="&amp;$A46,Holidays!$A$2:$A$1000,"&lt;="&amp;EOMONTH($A46,0),Holidays!$C$2:$C$1000,"WA")</f>
        <v/>
      </c>
      <c r="H46" s="16">
        <f>($B46-C46+C46*PH_Roster*(1+PH_Loading))/($B46-C46+C46*PH_Roster)</f>
        <v/>
      </c>
      <c r="I46" s="16">
        <f>($B46-D46+D46*PH_Roster*(1+PH_Loading))/($B46-D46+D46*PH_Roster)</f>
        <v/>
      </c>
      <c r="J46" s="16">
        <f>($B46-E46+E46*PH_Roster*(1+PH_Loading))/($B46-E46+E46*PH_Roster)</f>
        <v/>
      </c>
      <c r="K46" s="16">
        <f>($B46-F46+F46*PH_Roster*(1+PH_Loading))/($B46-F46+F46*PH_Roster)</f>
        <v/>
      </c>
      <c r="L46" s="16">
        <f>($B46-G46+G46*PH_Roster*(1+PH_Loading))/($B46-G46+G46*PH_Roster)</f>
        <v/>
      </c>
      <c r="M46" s="16">
        <f>EXP(SUMPRODUCT((WageDates&lt;=$A46)*(WageDates&lt;&gt;"")*LN(1+WageRates)))</f>
        <v/>
      </c>
    </row>
    <row r="47">
      <c r="A47" s="8" t="n">
        <v>46935</v>
      </c>
      <c r="B47">
        <f>DAY(EOMONTH(A47,0))</f>
        <v/>
      </c>
      <c r="C47">
        <f>COUNTIFS(Holidays!$A$2:$A$1000,"&gt;="&amp;$A47,Holidays!$A$2:$A$1000,"&lt;="&amp;EOMONTH($A47,0),Holidays!$C$2:$C$1000,"NSW")</f>
        <v/>
      </c>
      <c r="D47">
        <f>COUNTIFS(Holidays!$A$2:$A$1000,"&gt;="&amp;$A47,Holidays!$A$2:$A$1000,"&lt;="&amp;EOMONTH($A47,0),Holidays!$C$2:$C$1000,"VIC")</f>
        <v/>
      </c>
      <c r="E47">
        <f>COUNTIFS(Holidays!$A$2:$A$1000,"&gt;="&amp;$A47,Holidays!$A$2:$A$1000,"&lt;="&amp;EOMONTH($A47,0),Holidays!$C$2:$C$1000,"QLD")</f>
        <v/>
      </c>
      <c r="F47">
        <f>COUNTIFS(Holidays!$A$2:$A$1000,"&gt;="&amp;$A47,Holidays!$A$2:$A$1000,"&lt;="&amp;EOMONTH($A47,0),Holidays!$C$2:$C$1000,"SA")</f>
        <v/>
      </c>
      <c r="G47">
        <f>COUNTIFS(Holidays!$A$2:$A$1000,"&gt;="&amp;$A47,Holidays!$A$2:$A$1000,"&lt;="&amp;EOMONTH($A47,0),Holidays!$C$2:$C$1000,"WA")</f>
        <v/>
      </c>
      <c r="H47" s="16">
        <f>($B47-C47+C47*PH_Roster*(1+PH_Loading))/($B47-C47+C47*PH_Roster)</f>
        <v/>
      </c>
      <c r="I47" s="16">
        <f>($B47-D47+D47*PH_Roster*(1+PH_Loading))/($B47-D47+D47*PH_Roster)</f>
        <v/>
      </c>
      <c r="J47" s="16">
        <f>($B47-E47+E47*PH_Roster*(1+PH_Loading))/($B47-E47+E47*PH_Roster)</f>
        <v/>
      </c>
      <c r="K47" s="16">
        <f>($B47-F47+F47*PH_Roster*(1+PH_Loading))/($B47-F47+F47*PH_Roster)</f>
        <v/>
      </c>
      <c r="L47" s="16">
        <f>($B47-G47+G47*PH_Roster*(1+PH_Loading))/($B47-G47+G47*PH_Roster)</f>
        <v/>
      </c>
      <c r="M47" s="16">
        <f>EXP(SUMPRODUCT((WageDates&lt;=$A47)*(WageDates&lt;&gt;"")*LN(1+WageRates)))</f>
        <v/>
      </c>
    </row>
    <row r="48">
      <c r="A48" s="8" t="n">
        <v>46966</v>
      </c>
      <c r="B48">
        <f>DAY(EOMONTH(A48,0))</f>
        <v/>
      </c>
      <c r="C48">
        <f>COUNTIFS(Holidays!$A$2:$A$1000,"&gt;="&amp;$A48,Holidays!$A$2:$A$1000,"&lt;="&amp;EOMONTH($A48,0),Holidays!$C$2:$C$1000,"NSW")</f>
        <v/>
      </c>
      <c r="D48">
        <f>COUNTIFS(Holidays!$A$2:$A$1000,"&gt;="&amp;$A48,Holidays!$A$2:$A$1000,"&lt;="&amp;EOMONTH($A48,0),Holidays!$C$2:$C$1000,"VIC")</f>
        <v/>
      </c>
      <c r="E48">
        <f>COUNTIFS(Holidays!$A$2:$A$1000,"&gt;="&amp;$A48,Holidays!$A$2:$A$1000,"&lt;="&amp;EOMONTH($A48,0),Holidays!$C$2:$C$1000,"QLD")</f>
        <v/>
      </c>
      <c r="F48">
        <f>COUNTIFS(Holidays!$A$2:$A$1000,"&gt;="&amp;$A48,Holidays!$A$2:$A$1000,"&lt;="&amp;EOMONTH($A48,0),Holidays!$C$2:$C$1000,"SA")</f>
        <v/>
      </c>
      <c r="G48">
        <f>COUNTIFS(Holidays!$A$2:$A$1000,"&gt;="&amp;$A48,Holidays!$A$2:$A$1000,"&lt;="&amp;EOMONTH($A48,0),Holidays!$C$2:$C$1000,"WA")</f>
        <v/>
      </c>
      <c r="H48" s="16">
        <f>($B48-C48+C48*PH_Roster*(1+PH_Loading))/($B48-C48+C48*PH_Roster)</f>
        <v/>
      </c>
      <c r="I48" s="16">
        <f>($B48-D48+D48*PH_Roster*(1+PH_Loading))/($B48-D48+D48*PH_Roster)</f>
        <v/>
      </c>
      <c r="J48" s="16">
        <f>($B48-E48+E48*PH_Roster*(1+PH_Loading))/($B48-E48+E48*PH_Roster)</f>
        <v/>
      </c>
      <c r="K48" s="16">
        <f>($B48-F48+F48*PH_Roster*(1+PH_Loading))/($B48-F48+F48*PH_Roster)</f>
        <v/>
      </c>
      <c r="L48" s="16">
        <f>($B48-G48+G48*PH_Roster*(1+PH_Loading))/($B48-G48+G48*PH_Roster)</f>
        <v/>
      </c>
      <c r="M48" s="16">
        <f>EXP(SUMPRODUCT((WageDates&lt;=$A48)*(WageDates&lt;&gt;"")*LN(1+WageRates)))</f>
        <v/>
      </c>
    </row>
    <row r="49">
      <c r="A49" s="8" t="n">
        <v>46997</v>
      </c>
      <c r="B49">
        <f>DAY(EOMONTH(A49,0))</f>
        <v/>
      </c>
      <c r="C49">
        <f>COUNTIFS(Holidays!$A$2:$A$1000,"&gt;="&amp;$A49,Holidays!$A$2:$A$1000,"&lt;="&amp;EOMONTH($A49,0),Holidays!$C$2:$C$1000,"NSW")</f>
        <v/>
      </c>
      <c r="D49">
        <f>COUNTIFS(Holidays!$A$2:$A$1000,"&gt;="&amp;$A49,Holidays!$A$2:$A$1000,"&lt;="&amp;EOMONTH($A49,0),Holidays!$C$2:$C$1000,"VIC")</f>
        <v/>
      </c>
      <c r="E49">
        <f>COUNTIFS(Holidays!$A$2:$A$1000,"&gt;="&amp;$A49,Holidays!$A$2:$A$1000,"&lt;="&amp;EOMONTH($A49,0),Holidays!$C$2:$C$1000,"QLD")</f>
        <v/>
      </c>
      <c r="F49">
        <f>COUNTIFS(Holidays!$A$2:$A$1000,"&gt;="&amp;$A49,Holidays!$A$2:$A$1000,"&lt;="&amp;EOMONTH($A49,0),Holidays!$C$2:$C$1000,"SA")</f>
        <v/>
      </c>
      <c r="G49">
        <f>COUNTIFS(Holidays!$A$2:$A$1000,"&gt;="&amp;$A49,Holidays!$A$2:$A$1000,"&lt;="&amp;EOMONTH($A49,0),Holidays!$C$2:$C$1000,"WA")</f>
        <v/>
      </c>
      <c r="H49" s="16">
        <f>($B49-C49+C49*PH_Roster*(1+PH_Loading))/($B49-C49+C49*PH_Roster)</f>
        <v/>
      </c>
      <c r="I49" s="16">
        <f>($B49-D49+D49*PH_Roster*(1+PH_Loading))/($B49-D49+D49*PH_Roster)</f>
        <v/>
      </c>
      <c r="J49" s="16">
        <f>($B49-E49+E49*PH_Roster*(1+PH_Loading))/($B49-E49+E49*PH_Roster)</f>
        <v/>
      </c>
      <c r="K49" s="16">
        <f>($B49-F49+F49*PH_Roster*(1+PH_Loading))/($B49-F49+F49*PH_Roster)</f>
        <v/>
      </c>
      <c r="L49" s="16">
        <f>($B49-G49+G49*PH_Roster*(1+PH_Loading))/($B49-G49+G49*PH_Roster)</f>
        <v/>
      </c>
      <c r="M49" s="16">
        <f>EXP(SUMPRODUCT((WageDates&lt;=$A49)*(WageDates&lt;&gt;"")*LN(1+WageRates)))</f>
        <v/>
      </c>
    </row>
    <row r="50">
      <c r="A50" s="8" t="n">
        <v>47027</v>
      </c>
      <c r="B50">
        <f>DAY(EOMONTH(A50,0))</f>
        <v/>
      </c>
      <c r="C50">
        <f>COUNTIFS(Holidays!$A$2:$A$1000,"&gt;="&amp;$A50,Holidays!$A$2:$A$1000,"&lt;="&amp;EOMONTH($A50,0),Holidays!$C$2:$C$1000,"NSW")</f>
        <v/>
      </c>
      <c r="D50">
        <f>COUNTIFS(Holidays!$A$2:$A$1000,"&gt;="&amp;$A50,Holidays!$A$2:$A$1000,"&lt;="&amp;EOMONTH($A50,0),Holidays!$C$2:$C$1000,"VIC")</f>
        <v/>
      </c>
      <c r="E50">
        <f>COUNTIFS(Holidays!$A$2:$A$1000,"&gt;="&amp;$A50,Holidays!$A$2:$A$1000,"&lt;="&amp;EOMONTH($A50,0),Holidays!$C$2:$C$1000,"QLD")</f>
        <v/>
      </c>
      <c r="F50">
        <f>COUNTIFS(Holidays!$A$2:$A$1000,"&gt;="&amp;$A50,Holidays!$A$2:$A$1000,"&lt;="&amp;EOMONTH($A50,0),Holidays!$C$2:$C$1000,"SA")</f>
        <v/>
      </c>
      <c r="G50">
        <f>COUNTIFS(Holidays!$A$2:$A$1000,"&gt;="&amp;$A50,Holidays!$A$2:$A$1000,"&lt;="&amp;EOMONTH($A50,0),Holidays!$C$2:$C$1000,"WA")</f>
        <v/>
      </c>
      <c r="H50" s="16">
        <f>($B50-C50+C50*PH_Roster*(1+PH_Loading))/($B50-C50+C50*PH_Roster)</f>
        <v/>
      </c>
      <c r="I50" s="16">
        <f>($B50-D50+D50*PH_Roster*(1+PH_Loading))/($B50-D50+D50*PH_Roster)</f>
        <v/>
      </c>
      <c r="J50" s="16">
        <f>($B50-E50+E50*PH_Roster*(1+PH_Loading))/($B50-E50+E50*PH_Roster)</f>
        <v/>
      </c>
      <c r="K50" s="16">
        <f>($B50-F50+F50*PH_Roster*(1+PH_Loading))/($B50-F50+F50*PH_Roster)</f>
        <v/>
      </c>
      <c r="L50" s="16">
        <f>($B50-G50+G50*PH_Roster*(1+PH_Loading))/($B50-G50+G50*PH_Roster)</f>
        <v/>
      </c>
      <c r="M50" s="16">
        <f>EXP(SUMPRODUCT((WageDates&lt;=$A50)*(WageDates&lt;&gt;"")*LN(1+WageRates)))</f>
        <v/>
      </c>
    </row>
    <row r="51">
      <c r="A51" s="8" t="n">
        <v>47058</v>
      </c>
      <c r="B51">
        <f>DAY(EOMONTH(A51,0))</f>
        <v/>
      </c>
      <c r="C51">
        <f>COUNTIFS(Holidays!$A$2:$A$1000,"&gt;="&amp;$A51,Holidays!$A$2:$A$1000,"&lt;="&amp;EOMONTH($A51,0),Holidays!$C$2:$C$1000,"NSW")</f>
        <v/>
      </c>
      <c r="D51">
        <f>COUNTIFS(Holidays!$A$2:$A$1000,"&gt;="&amp;$A51,Holidays!$A$2:$A$1000,"&lt;="&amp;EOMONTH($A51,0),Holidays!$C$2:$C$1000,"VIC")</f>
        <v/>
      </c>
      <c r="E51">
        <f>COUNTIFS(Holidays!$A$2:$A$1000,"&gt;="&amp;$A51,Holidays!$A$2:$A$1000,"&lt;="&amp;EOMONTH($A51,0),Holidays!$C$2:$C$1000,"QLD")</f>
        <v/>
      </c>
      <c r="F51">
        <f>COUNTIFS(Holidays!$A$2:$A$1000,"&gt;="&amp;$A51,Holidays!$A$2:$A$1000,"&lt;="&amp;EOMONTH($A51,0),Holidays!$C$2:$C$1000,"SA")</f>
        <v/>
      </c>
      <c r="G51">
        <f>COUNTIFS(Holidays!$A$2:$A$1000,"&gt;="&amp;$A51,Holidays!$A$2:$A$1000,"&lt;="&amp;EOMONTH($A51,0),Holidays!$C$2:$C$1000,"WA")</f>
        <v/>
      </c>
      <c r="H51" s="16">
        <f>($B51-C51+C51*PH_Roster*(1+PH_Loading))/($B51-C51+C51*PH_Roster)</f>
        <v/>
      </c>
      <c r="I51" s="16">
        <f>($B51-D51+D51*PH_Roster*(1+PH_Loading))/($B51-D51+D51*PH_Roster)</f>
        <v/>
      </c>
      <c r="J51" s="16">
        <f>($B51-E51+E51*PH_Roster*(1+PH_Loading))/($B51-E51+E51*PH_Roster)</f>
        <v/>
      </c>
      <c r="K51" s="16">
        <f>($B51-F51+F51*PH_Roster*(1+PH_Loading))/($B51-F51+F51*PH_Roster)</f>
        <v/>
      </c>
      <c r="L51" s="16">
        <f>($B51-G51+G51*PH_Roster*(1+PH_Loading))/($B51-G51+G51*PH_Roster)</f>
        <v/>
      </c>
      <c r="M51" s="16">
        <f>EXP(SUMPRODUCT((WageDates&lt;=$A51)*(WageDates&lt;&gt;"")*LN(1+WageRates)))</f>
        <v/>
      </c>
    </row>
    <row r="52">
      <c r="A52" s="8" t="n">
        <v>47088</v>
      </c>
      <c r="B52">
        <f>DAY(EOMONTH(A52,0))</f>
        <v/>
      </c>
      <c r="C52">
        <f>COUNTIFS(Holidays!$A$2:$A$1000,"&gt;="&amp;$A52,Holidays!$A$2:$A$1000,"&lt;="&amp;EOMONTH($A52,0),Holidays!$C$2:$C$1000,"NSW")</f>
        <v/>
      </c>
      <c r="D52">
        <f>COUNTIFS(Holidays!$A$2:$A$1000,"&gt;="&amp;$A52,Holidays!$A$2:$A$1000,"&lt;="&amp;EOMONTH($A52,0),Holidays!$C$2:$C$1000,"VIC")</f>
        <v/>
      </c>
      <c r="E52">
        <f>COUNTIFS(Holidays!$A$2:$A$1000,"&gt;="&amp;$A52,Holidays!$A$2:$A$1000,"&lt;="&amp;EOMONTH($A52,0),Holidays!$C$2:$C$1000,"QLD")</f>
        <v/>
      </c>
      <c r="F52">
        <f>COUNTIFS(Holidays!$A$2:$A$1000,"&gt;="&amp;$A52,Holidays!$A$2:$A$1000,"&lt;="&amp;EOMONTH($A52,0),Holidays!$C$2:$C$1000,"SA")</f>
        <v/>
      </c>
      <c r="G52">
        <f>COUNTIFS(Holidays!$A$2:$A$1000,"&gt;="&amp;$A52,Holidays!$A$2:$A$1000,"&lt;="&amp;EOMONTH($A52,0),Holidays!$C$2:$C$1000,"WA")</f>
        <v/>
      </c>
      <c r="H52" s="16">
        <f>($B52-C52+C52*PH_Roster*(1+PH_Loading))/($B52-C52+C52*PH_Roster)</f>
        <v/>
      </c>
      <c r="I52" s="16">
        <f>($B52-D52+D52*PH_Roster*(1+PH_Loading))/($B52-D52+D52*PH_Roster)</f>
        <v/>
      </c>
      <c r="J52" s="16">
        <f>($B52-E52+E52*PH_Roster*(1+PH_Loading))/($B52-E52+E52*PH_Roster)</f>
        <v/>
      </c>
      <c r="K52" s="16">
        <f>($B52-F52+F52*PH_Roster*(1+PH_Loading))/($B52-F52+F52*PH_Roster)</f>
        <v/>
      </c>
      <c r="L52" s="16">
        <f>($B52-G52+G52*PH_Roster*(1+PH_Loading))/($B52-G52+G52*PH_Roster)</f>
        <v/>
      </c>
      <c r="M52" s="16">
        <f>EXP(SUMPRODUCT((WageDates&lt;=$A52)*(WageDates&lt;&gt;"")*LN(1+WageRates)))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Checks</t>
        </is>
      </c>
    </row>
    <row r="3">
      <c r="A3" t="inlineStr">
        <is>
          <t>Overall</t>
        </is>
      </c>
      <c r="B3" s="1">
        <f>IF(COUNTIF(D6:D150,"ERROR")=0,"ALL CHECKS OK","CHECK ERRORS")</f>
        <v/>
      </c>
      <c r="C3">
        <f>COUNTIF(D6:D150,"WARN")&amp;" warning(s)"</f>
        <v/>
      </c>
    </row>
    <row r="5">
      <c r="A5" s="7" t="inlineStr">
        <is>
          <t>Check</t>
        </is>
      </c>
      <c r="B5" s="7" t="inlineStr">
        <is>
          <t>Value</t>
        </is>
      </c>
      <c r="C5" s="7" t="inlineStr">
        <is>
          <t>Expected</t>
        </is>
      </c>
      <c r="D5" s="7" t="inlineStr">
        <is>
          <t>Result</t>
        </is>
      </c>
    </row>
    <row r="6">
      <c r="A6">
        <f>Inputs!$A$36&amp;": actual rows in Data_Actuals (one per month)"</f>
        <v/>
      </c>
      <c r="B6" s="9">
        <f>COUNTIFS(Data_Actuals!$B$2:$B$5000,Inputs!$A$36,Data_Actuals!$A$2:$A$5000,"&lt;="&amp;LastActual)</f>
        <v/>
      </c>
      <c r="C6" s="9">
        <f>(YEAR(LastActual)-2025)*12+MONTH(LastActual)</f>
        <v/>
      </c>
      <c r="D6">
        <f>IF(ABS(B6-C6)&lt;=MAX(1,ABS(C6)*0.000001),"OK","ERROR")</f>
        <v/>
      </c>
    </row>
    <row r="7">
      <c r="A7">
        <f>Inputs!$A$37&amp;": actual rows in Data_Actuals (one per month)"</f>
        <v/>
      </c>
      <c r="B7" s="9">
        <f>COUNTIFS(Data_Actuals!$B$2:$B$5000,Inputs!$A$37,Data_Actuals!$A$2:$A$5000,"&lt;="&amp;LastActual)</f>
        <v/>
      </c>
      <c r="C7" s="9">
        <f>(YEAR(LastActual)-2025)*12+MONTH(LastActual)</f>
        <v/>
      </c>
      <c r="D7">
        <f>IF(ABS(B7-C7)&lt;=MAX(1,ABS(C7)*0.000001),"OK","ERROR")</f>
        <v/>
      </c>
    </row>
    <row r="8">
      <c r="A8">
        <f>Inputs!$A$38&amp;": actual rows in Data_Actuals (one per month)"</f>
        <v/>
      </c>
      <c r="B8" s="9">
        <f>COUNTIFS(Data_Actuals!$B$2:$B$5000,Inputs!$A$38,Data_Actuals!$A$2:$A$5000,"&lt;="&amp;LastActual)</f>
        <v/>
      </c>
      <c r="C8" s="9">
        <f>(YEAR(LastActual)-2025)*12+MONTH(LastActual)</f>
        <v/>
      </c>
      <c r="D8">
        <f>IF(ABS(B8-C8)&lt;=MAX(1,ABS(C8)*0.000001),"OK","ERROR")</f>
        <v/>
      </c>
    </row>
    <row r="9">
      <c r="A9">
        <f>Inputs!$A$39&amp;": actual rows in Data_Actuals (one per month)"</f>
        <v/>
      </c>
      <c r="B9" s="9">
        <f>COUNTIFS(Data_Actuals!$B$2:$B$5000,Inputs!$A$39,Data_Actuals!$A$2:$A$5000,"&lt;="&amp;LastActual)</f>
        <v/>
      </c>
      <c r="C9" s="9">
        <f>(YEAR(LastActual)-2025)*12+MONTH(LastActual)</f>
        <v/>
      </c>
      <c r="D9">
        <f>IF(ABS(B9-C9)&lt;=MAX(1,ABS(C9)*0.000001),"OK","ERROR")</f>
        <v/>
      </c>
    </row>
    <row r="10">
      <c r="A10">
        <f>Inputs!$A$40&amp;": actual rows in Data_Actuals (one per month)"</f>
        <v/>
      </c>
      <c r="B10" s="9">
        <f>COUNTIFS(Data_Actuals!$B$2:$B$5000,Inputs!$A$40,Data_Actuals!$A$2:$A$5000,"&lt;="&amp;LastActual)</f>
        <v/>
      </c>
      <c r="C10" s="9">
        <f>(YEAR(LastActual)-2025)*12+MONTH(LastActual)</f>
        <v/>
      </c>
      <c r="D10">
        <f>IF(ABS(B10-C10)&lt;=MAX(1,ABS(C10)*0.000001),"OK","ERROR")</f>
        <v/>
      </c>
    </row>
    <row r="11">
      <c r="A11">
        <f>Inputs!$A$41&amp;": actual rows in Data_Actuals (one per month)"</f>
        <v/>
      </c>
      <c r="B11" s="9">
        <f>COUNTIFS(Data_Actuals!$B$2:$B$5000,Inputs!$A$41,Data_Actuals!$A$2:$A$5000,"&lt;="&amp;LastActual)</f>
        <v/>
      </c>
      <c r="C11" s="9">
        <f>(YEAR(LastActual)-2025)*12+MONTH(LastActual)</f>
        <v/>
      </c>
      <c r="D11">
        <f>IF(ABS(B11-C11)&lt;=MAX(1,ABS(C11)*0.000001),"OK","ERROR")</f>
        <v/>
      </c>
    </row>
    <row r="12">
      <c r="A12">
        <f>Inputs!$A$42&amp;": actual rows in Data_Actuals (one per month)"</f>
        <v/>
      </c>
      <c r="B12" s="9">
        <f>COUNTIFS(Data_Actuals!$B$2:$B$5000,Inputs!$A$42,Data_Actuals!$A$2:$A$5000,"&lt;="&amp;LastActual)</f>
        <v/>
      </c>
      <c r="C12" s="9">
        <f>(YEAR(LastActual)-2025)*12+MONTH(LastActual)</f>
        <v/>
      </c>
      <c r="D12">
        <f>IF(ABS(B12-C12)&lt;=MAX(1,ABS(C12)*0.000001),"OK","ERROR")</f>
        <v/>
      </c>
    </row>
    <row r="13">
      <c r="A13">
        <f>Inputs!$A$43&amp;": actual rows in Data_Actuals (one per month)"</f>
        <v/>
      </c>
      <c r="B13" s="9">
        <f>COUNTIFS(Data_Actuals!$B$2:$B$5000,Inputs!$A$43,Data_Actuals!$A$2:$A$5000,"&lt;="&amp;LastActual)</f>
        <v/>
      </c>
      <c r="C13" s="9">
        <f>(YEAR(LastActual)-2025)*12+MONTH(LastActual)</f>
        <v/>
      </c>
      <c r="D13">
        <f>IF(ABS(B13-C13)&lt;=MAX(1,ABS(C13)*0.000001),"OK","ERROR")</f>
        <v/>
      </c>
    </row>
    <row r="14">
      <c r="A14">
        <f>Inputs!$A$44&amp;": actual rows in Data_Actuals (one per month)"</f>
        <v/>
      </c>
      <c r="B14" s="9">
        <f>COUNTIFS(Data_Actuals!$B$2:$B$5000,Inputs!$A$44,Data_Actuals!$A$2:$A$5000,"&lt;="&amp;LastActual)</f>
        <v/>
      </c>
      <c r="C14" s="9">
        <f>(YEAR(LastActual)-2025)*12+MONTH(LastActual)</f>
        <v/>
      </c>
      <c r="D14">
        <f>IF(ABS(B14-C14)&lt;=MAX(1,ABS(C14)*0.000001),"OK","ERROR")</f>
        <v/>
      </c>
    </row>
    <row r="15">
      <c r="A15">
        <f>Inputs!$A$45&amp;": actual rows in Data_Actuals (one per month)"</f>
        <v/>
      </c>
      <c r="B15" s="9">
        <f>COUNTIFS(Data_Actuals!$B$2:$B$5000,Inputs!$A$45,Data_Actuals!$A$2:$A$5000,"&lt;="&amp;LastActual)</f>
        <v/>
      </c>
      <c r="C15" s="9">
        <f>(YEAR(LastActual)-2025)*12+MONTH(LastActual)</f>
        <v/>
      </c>
      <c r="D15">
        <f>IF(ABS(B15-C15)&lt;=MAX(1,ABS(C15)*0.000001),"OK","ERROR")</f>
        <v/>
      </c>
    </row>
    <row r="16">
      <c r="A16">
        <f>Inputs!$A$36&amp;": plan sales present for every forecast month"</f>
        <v/>
      </c>
      <c r="B16" s="9">
        <f>COUNTIFS(Plan_Inputs!$B$2:$B$5000,Inputs!$A$36,Plan_Inputs!$A$2:$A$5000,"&gt;"&amp;LastActual,Plan_Inputs!$C$2:$C$5000,"&gt;0")</f>
        <v/>
      </c>
      <c r="C16" s="9">
        <f>(2028-YEAR(LastActual))*12+12-MONTH(LastActual)</f>
        <v/>
      </c>
      <c r="D16">
        <f>IF(ABS(B16-C16)&lt;=MAX(1,ABS(C16)*0.000001),"OK","ERROR")</f>
        <v/>
      </c>
    </row>
    <row r="17">
      <c r="A17">
        <f>Inputs!$A$37&amp;": plan sales present for every forecast month"</f>
        <v/>
      </c>
      <c r="B17" s="9">
        <f>COUNTIFS(Plan_Inputs!$B$2:$B$5000,Inputs!$A$37,Plan_Inputs!$A$2:$A$5000,"&gt;"&amp;LastActual,Plan_Inputs!$C$2:$C$5000,"&gt;0")</f>
        <v/>
      </c>
      <c r="C17" s="9">
        <f>(2028-YEAR(LastActual))*12+12-MONTH(LastActual)</f>
        <v/>
      </c>
      <c r="D17">
        <f>IF(ABS(B17-C17)&lt;=MAX(1,ABS(C17)*0.000001),"OK","ERROR")</f>
        <v/>
      </c>
    </row>
    <row r="18">
      <c r="A18">
        <f>Inputs!$A$38&amp;": plan sales present for every forecast month"</f>
        <v/>
      </c>
      <c r="B18" s="9">
        <f>COUNTIFS(Plan_Inputs!$B$2:$B$5000,Inputs!$A$38,Plan_Inputs!$A$2:$A$5000,"&gt;"&amp;LastActual,Plan_Inputs!$C$2:$C$5000,"&gt;0")</f>
        <v/>
      </c>
      <c r="C18" s="9">
        <f>(2028-YEAR(LastActual))*12+12-MONTH(LastActual)</f>
        <v/>
      </c>
      <c r="D18">
        <f>IF(ABS(B18-C18)&lt;=MAX(1,ABS(C18)*0.000001),"OK","ERROR")</f>
        <v/>
      </c>
    </row>
    <row r="19">
      <c r="A19">
        <f>Inputs!$A$39&amp;": plan sales present for every forecast month"</f>
        <v/>
      </c>
      <c r="B19" s="9">
        <f>COUNTIFS(Plan_Inputs!$B$2:$B$5000,Inputs!$A$39,Plan_Inputs!$A$2:$A$5000,"&gt;"&amp;LastActual,Plan_Inputs!$C$2:$C$5000,"&gt;0")</f>
        <v/>
      </c>
      <c r="C19" s="9">
        <f>(2028-YEAR(LastActual))*12+12-MONTH(LastActual)</f>
        <v/>
      </c>
      <c r="D19">
        <f>IF(ABS(B19-C19)&lt;=MAX(1,ABS(C19)*0.000001),"OK","ERROR")</f>
        <v/>
      </c>
    </row>
    <row r="20">
      <c r="A20">
        <f>Inputs!$A$40&amp;": plan sales present for every forecast month"</f>
        <v/>
      </c>
      <c r="B20" s="9">
        <f>COUNTIFS(Plan_Inputs!$B$2:$B$5000,Inputs!$A$40,Plan_Inputs!$A$2:$A$5000,"&gt;"&amp;LastActual,Plan_Inputs!$C$2:$C$5000,"&gt;0")</f>
        <v/>
      </c>
      <c r="C20" s="9">
        <f>(2028-YEAR(LastActual))*12+12-MONTH(LastActual)</f>
        <v/>
      </c>
      <c r="D20">
        <f>IF(ABS(B20-C20)&lt;=MAX(1,ABS(C20)*0.000001),"OK","ERROR")</f>
        <v/>
      </c>
    </row>
    <row r="21">
      <c r="A21">
        <f>Inputs!$A$41&amp;": plan sales present for every forecast month"</f>
        <v/>
      </c>
      <c r="B21" s="9">
        <f>COUNTIFS(Plan_Inputs!$B$2:$B$5000,Inputs!$A$41,Plan_Inputs!$A$2:$A$5000,"&gt;"&amp;LastActual,Plan_Inputs!$C$2:$C$5000,"&gt;0")</f>
        <v/>
      </c>
      <c r="C21" s="9">
        <f>(2028-YEAR(LastActual))*12+12-MONTH(LastActual)</f>
        <v/>
      </c>
      <c r="D21">
        <f>IF(ABS(B21-C21)&lt;=MAX(1,ABS(C21)*0.000001),"OK","ERROR")</f>
        <v/>
      </c>
    </row>
    <row r="22">
      <c r="A22">
        <f>Inputs!$A$42&amp;": plan sales present for every forecast month"</f>
        <v/>
      </c>
      <c r="B22" s="9">
        <f>COUNTIFS(Plan_Inputs!$B$2:$B$5000,Inputs!$A$42,Plan_Inputs!$A$2:$A$5000,"&gt;"&amp;LastActual,Plan_Inputs!$C$2:$C$5000,"&gt;0")</f>
        <v/>
      </c>
      <c r="C22" s="9">
        <f>(2028-YEAR(LastActual))*12+12-MONTH(LastActual)</f>
        <v/>
      </c>
      <c r="D22">
        <f>IF(ABS(B22-C22)&lt;=MAX(1,ABS(C22)*0.000001),"OK","ERROR")</f>
        <v/>
      </c>
    </row>
    <row r="23">
      <c r="A23">
        <f>Inputs!$A$43&amp;": plan sales present for every forecast month"</f>
        <v/>
      </c>
      <c r="B23" s="9">
        <f>COUNTIFS(Plan_Inputs!$B$2:$B$5000,Inputs!$A$43,Plan_Inputs!$A$2:$A$5000,"&gt;"&amp;LastActual,Plan_Inputs!$C$2:$C$5000,"&gt;0")</f>
        <v/>
      </c>
      <c r="C23" s="9">
        <f>(2028-YEAR(LastActual))*12+12-MONTH(LastActual)</f>
        <v/>
      </c>
      <c r="D23">
        <f>IF(ABS(B23-C23)&lt;=MAX(1,ABS(C23)*0.000001),"OK","ERROR")</f>
        <v/>
      </c>
    </row>
    <row r="24">
      <c r="A24" t="inlineStr">
        <is>
          <t>Unknown site codes in Data_Actuals</t>
        </is>
      </c>
      <c r="B24" s="9">
        <f>SUMPRODUCT((Data_Actuals!$B$2:$B$5000&lt;&gt;"")*(COUNTIF(SiteCodes,Data_Actuals!$B$2:$B$5000)=0))</f>
        <v/>
      </c>
      <c r="C24" s="9">
        <f>0</f>
        <v/>
      </c>
      <c r="D24">
        <f>IF(ABS(B24-C24)&lt;=MAX(1,ABS(C24)*0.000001),"OK","ERROR")</f>
        <v/>
      </c>
    </row>
    <row r="25">
      <c r="A25" t="inlineStr">
        <is>
          <t>At least 12 actual months (same month last year needs them)</t>
        </is>
      </c>
      <c r="B25" s="9">
        <f>(YEAR(LastActual)-2025)*12+MONTH(LastActual)</f>
        <v/>
      </c>
      <c r="C25" s="9">
        <f>12</f>
        <v/>
      </c>
      <c r="D25">
        <f>IF(B25&gt;=C25,"OK","ERROR")</f>
        <v/>
      </c>
    </row>
    <row r="26">
      <c r="A26" t="inlineStr">
        <is>
          <t>National sales = sum of 8 regions (IDCs excluded)</t>
        </is>
      </c>
      <c r="B26" s="9">
        <f>SUM(National!E15:E62)</f>
        <v/>
      </c>
      <c r="C26" s="9">
        <f>SUM('NSW-1'!E15:E62)+SUM('VIC-1'!E15:E62)+SUM('QLD-1'!E15:E62)+SUM('NSW-2'!E15:E62)+SUM('VIC-2'!E15:E62)+SUM('QLD-2'!E15:E62)+SUM('SA-1'!E15:E62)+SUM('WA-1'!E15:E62)</f>
        <v/>
      </c>
      <c r="D26">
        <f>IF(ABS(B26-C26)&lt;=MAX(1,ABS(C26)*0.000001),"OK","ERROR")</f>
        <v/>
      </c>
    </row>
    <row r="27">
      <c r="A27" t="inlineStr">
        <is>
          <t>National total payroll = sum of all 10 sites</t>
        </is>
      </c>
      <c r="B27" s="9">
        <f>SUM(National!J15:J62)</f>
        <v/>
      </c>
      <c r="C27" s="9">
        <f>SUM('NSW-1'!J15:J62)+SUM('VIC-1'!J15:J62)+SUM('QLD-1'!J15:J62)+SUM('NSW-2'!J15:J62)+SUM('VIC-2'!J15:J62)+SUM('QLD-2'!J15:J62)+SUM('SA-1'!J15:J62)+SUM('WA-1'!J15:J62)+SUM('IDC-NSW'!J15:J62)+SUM('IDC-VIC'!J15:J62)</f>
        <v/>
      </c>
      <c r="D27">
        <f>IF(ABS(B27-C27)&lt;=MAX(1,ABS(C27)*0.000001),"OK","ERROR")</f>
        <v/>
      </c>
    </row>
    <row r="28">
      <c r="A28" t="inlineStr">
        <is>
          <t>Staff + leadership = total payroll (national, all months)</t>
        </is>
      </c>
      <c r="B28" s="9">
        <f>SUM(National!H15:I62)</f>
        <v/>
      </c>
      <c r="C28" s="9">
        <f>SUM(National!J15:J62)</f>
        <v/>
      </c>
      <c r="D28">
        <f>IF(ABS(B28-C28)&lt;=MAX(1,ABS(C28)*0.000001),"OK","ERROR")</f>
        <v/>
      </c>
    </row>
    <row r="29">
      <c r="A29" t="inlineStr">
        <is>
          <t>Cases_Forecast: adjustments typed in actual months (ignored)</t>
        </is>
      </c>
      <c r="B29" s="9">
        <f>SUMPRODUCT((Cases_Forecast!$B$8:$B$55="Actual")*(Cases_Forecast!$N$8:$W$55&lt;&gt;""))</f>
        <v/>
      </c>
      <c r="C29" s="9">
        <f>0</f>
        <v/>
      </c>
      <c r="D29">
        <f>IF(B29=C29,"OK","WARN")</f>
        <v/>
      </c>
    </row>
    <row r="30">
      <c r="A30" t="inlineStr">
        <is>
          <t>Cases_Forecast: overrides typed in actual months (ignored)</t>
        </is>
      </c>
      <c r="B30" s="9">
        <f>SUMPRODUCT((Cases_Forecast!$B$8:$B$55="Actual")*(Cases_Forecast!$Y$8:$AH$55&lt;&gt;""))</f>
        <v/>
      </c>
      <c r="C30" s="9">
        <f>0</f>
        <v/>
      </c>
      <c r="D30">
        <f>IF(B30=C30,"OK","WARN")</f>
        <v/>
      </c>
    </row>
    <row r="31">
      <c r="A31" t="inlineStr">
        <is>
          <t>CPLH_Forecast: adjustments typed in actual months (ignored)</t>
        </is>
      </c>
      <c r="B31" s="9">
        <f>SUMPRODUCT((CPLH_Forecast!$B$8:$B$55="Actual")*(CPLH_Forecast!$N$8:$W$55&lt;&gt;""))</f>
        <v/>
      </c>
      <c r="C31" s="9">
        <f>0</f>
        <v/>
      </c>
      <c r="D31">
        <f>IF(B31=C31,"OK","WARN")</f>
        <v/>
      </c>
    </row>
    <row r="32">
      <c r="A32" t="inlineStr">
        <is>
          <t>CPLH_Forecast: overrides typed in actual months (ignored)</t>
        </is>
      </c>
      <c r="B32" s="9">
        <f>SUMPRODUCT((CPLH_Forecast!$B$8:$B$55="Actual")*(CPLH_Forecast!$Y$8:$AH$55&lt;&gt;""))</f>
        <v/>
      </c>
      <c r="C32" s="9">
        <f>0</f>
        <v/>
      </c>
      <c r="D32">
        <f>IF(B32=C32,"OK","WARN")</f>
        <v/>
      </c>
    </row>
    <row r="33">
      <c r="A33">
        <f>Inputs!$A$36&amp;": forecast months where CPLH moves more than the tolerance vs LY"</f>
        <v/>
      </c>
      <c r="B33" s="9">
        <f>COUNTIF('NSW-1'!AG15:AG62,"&gt;"&amp;CPLHTol)+COUNTIF('NSW-1'!AG15:AG62,"&lt;"&amp;-CPLHTol)</f>
        <v/>
      </c>
      <c r="C33" s="9">
        <f>0</f>
        <v/>
      </c>
      <c r="D33">
        <f>IF(B33=C33,"OK","WARN")</f>
        <v/>
      </c>
    </row>
    <row r="34">
      <c r="A34">
        <f>Inputs!$A$37&amp;": forecast months where CPLH moves more than the tolerance vs LY"</f>
        <v/>
      </c>
      <c r="B34" s="9">
        <f>COUNTIF('VIC-1'!AG15:AG62,"&gt;"&amp;CPLHTol)+COUNTIF('VIC-1'!AG15:AG62,"&lt;"&amp;-CPLHTol)</f>
        <v/>
      </c>
      <c r="C34" s="9">
        <f>0</f>
        <v/>
      </c>
      <c r="D34">
        <f>IF(B34=C34,"OK","WARN")</f>
        <v/>
      </c>
    </row>
    <row r="35">
      <c r="A35">
        <f>Inputs!$A$38&amp;": forecast months where CPLH moves more than the tolerance vs LY"</f>
        <v/>
      </c>
      <c r="B35" s="9">
        <f>COUNTIF('QLD-1'!AG15:AG62,"&gt;"&amp;CPLHTol)+COUNTIF('QLD-1'!AG15:AG62,"&lt;"&amp;-CPLHTol)</f>
        <v/>
      </c>
      <c r="C35" s="9">
        <f>0</f>
        <v/>
      </c>
      <c r="D35">
        <f>IF(B35=C35,"OK","WARN")</f>
        <v/>
      </c>
    </row>
    <row r="36">
      <c r="A36">
        <f>Inputs!$A$39&amp;": forecast months where CPLH moves more than the tolerance vs LY"</f>
        <v/>
      </c>
      <c r="B36" s="9">
        <f>COUNTIF('NSW-2'!AG15:AG62,"&gt;"&amp;CPLHTol)+COUNTIF('NSW-2'!AG15:AG62,"&lt;"&amp;-CPLHTol)</f>
        <v/>
      </c>
      <c r="C36" s="9">
        <f>0</f>
        <v/>
      </c>
      <c r="D36">
        <f>IF(B36=C36,"OK","WARN")</f>
        <v/>
      </c>
    </row>
    <row r="37">
      <c r="A37">
        <f>Inputs!$A$40&amp;": forecast months where CPLH moves more than the tolerance vs LY"</f>
        <v/>
      </c>
      <c r="B37" s="9">
        <f>COUNTIF('VIC-2'!AG15:AG62,"&gt;"&amp;CPLHTol)+COUNTIF('VIC-2'!AG15:AG62,"&lt;"&amp;-CPLHTol)</f>
        <v/>
      </c>
      <c r="C37" s="9">
        <f>0</f>
        <v/>
      </c>
      <c r="D37">
        <f>IF(B37=C37,"OK","WARN")</f>
        <v/>
      </c>
    </row>
    <row r="38">
      <c r="A38">
        <f>Inputs!$A$41&amp;": forecast months where CPLH moves more than the tolerance vs LY"</f>
        <v/>
      </c>
      <c r="B38" s="9">
        <f>COUNTIF('QLD-2'!AG15:AG62,"&gt;"&amp;CPLHTol)+COUNTIF('QLD-2'!AG15:AG62,"&lt;"&amp;-CPLHTol)</f>
        <v/>
      </c>
      <c r="C38" s="9">
        <f>0</f>
        <v/>
      </c>
      <c r="D38">
        <f>IF(B38=C38,"OK","WARN")</f>
        <v/>
      </c>
    </row>
    <row r="39">
      <c r="A39">
        <f>Inputs!$A$42&amp;": forecast months where CPLH moves more than the tolerance vs LY"</f>
        <v/>
      </c>
      <c r="B39" s="9">
        <f>COUNTIF('SA-1'!AG15:AG62,"&gt;"&amp;CPLHTol)+COUNTIF('SA-1'!AG15:AG62,"&lt;"&amp;-CPLHTol)</f>
        <v/>
      </c>
      <c r="C39" s="9">
        <f>0</f>
        <v/>
      </c>
      <c r="D39">
        <f>IF(B39=C39,"OK","WARN")</f>
        <v/>
      </c>
    </row>
    <row r="40">
      <c r="A40">
        <f>Inputs!$A$43&amp;": forecast months where CPLH moves more than the tolerance vs LY"</f>
        <v/>
      </c>
      <c r="B40" s="9">
        <f>COUNTIF('WA-1'!AG15:AG62,"&gt;"&amp;CPLHTol)+COUNTIF('WA-1'!AG15:AG62,"&lt;"&amp;-CPLHTol)</f>
        <v/>
      </c>
      <c r="C40" s="9">
        <f>0</f>
        <v/>
      </c>
      <c r="D40">
        <f>IF(B40=C40,"OK","WARN")</f>
        <v/>
      </c>
    </row>
    <row r="41">
      <c r="A41">
        <f>Inputs!$A$44&amp;": forecast months where CPLH moves more than the tolerance vs LY"</f>
        <v/>
      </c>
      <c r="B41" s="9">
        <f>COUNTIF('IDC-NSW'!AG15:AG62,"&gt;"&amp;CPLHTol)+COUNTIF('IDC-NSW'!AG15:AG62,"&lt;"&amp;-CPLHTol)</f>
        <v/>
      </c>
      <c r="C41" s="9">
        <f>0</f>
        <v/>
      </c>
      <c r="D41">
        <f>IF(B41=C41,"OK","WARN")</f>
        <v/>
      </c>
    </row>
    <row r="42">
      <c r="A42">
        <f>Inputs!$A$45&amp;": forecast months where CPLH moves more than the tolerance vs LY"</f>
        <v/>
      </c>
      <c r="B42" s="9">
        <f>COUNTIF('IDC-VIC'!AG15:AG62,"&gt;"&amp;CPLHTol)+COUNTIF('IDC-VIC'!AG15:AG62,"&lt;"&amp;-CPLHTol)</f>
        <v/>
      </c>
      <c r="C42" s="9">
        <f>0</f>
        <v/>
      </c>
      <c r="D42">
        <f>IF(B42=C42,"OK","WARN")</f>
        <v/>
      </c>
    </row>
    <row r="43">
      <c r="A43">
        <f>Inputs!$A$36&amp;": plan CPLH present for every forecast month (blank = same month LY)"</f>
        <v/>
      </c>
      <c r="B43" s="9">
        <f>COUNTIFS('NSW-1'!AH15:AH62,"&gt;0",'NSW-1'!D15:D62,"Forecast")</f>
        <v/>
      </c>
      <c r="C43" s="9">
        <f>(2028-YEAR(LastActual))*12+12-MONTH(LastActual)</f>
        <v/>
      </c>
      <c r="D43">
        <f>IF(B43=C43,"OK","WARN")</f>
        <v/>
      </c>
    </row>
    <row r="44">
      <c r="A44">
        <f>Inputs!$A$37&amp;": plan CPLH present for every forecast month (blank = same month LY)"</f>
        <v/>
      </c>
      <c r="B44" s="9">
        <f>COUNTIFS('VIC-1'!AH15:AH62,"&gt;0",'VIC-1'!D15:D62,"Forecast")</f>
        <v/>
      </c>
      <c r="C44" s="9">
        <f>(2028-YEAR(LastActual))*12+12-MONTH(LastActual)</f>
        <v/>
      </c>
      <c r="D44">
        <f>IF(B44=C44,"OK","WARN")</f>
        <v/>
      </c>
    </row>
    <row r="45">
      <c r="A45">
        <f>Inputs!$A$38&amp;": plan CPLH present for every forecast month (blank = same month LY)"</f>
        <v/>
      </c>
      <c r="B45" s="9">
        <f>COUNTIFS('QLD-1'!AH15:AH62,"&gt;0",'QLD-1'!D15:D62,"Forecast")</f>
        <v/>
      </c>
      <c r="C45" s="9">
        <f>(2028-YEAR(LastActual))*12+12-MONTH(LastActual)</f>
        <v/>
      </c>
      <c r="D45">
        <f>IF(B45=C45,"OK","WARN")</f>
        <v/>
      </c>
    </row>
    <row r="46">
      <c r="A46">
        <f>Inputs!$A$39&amp;": plan CPLH present for every forecast month (blank = same month LY)"</f>
        <v/>
      </c>
      <c r="B46" s="9">
        <f>COUNTIFS('NSW-2'!AH15:AH62,"&gt;0",'NSW-2'!D15:D62,"Forecast")</f>
        <v/>
      </c>
      <c r="C46" s="9">
        <f>(2028-YEAR(LastActual))*12+12-MONTH(LastActual)</f>
        <v/>
      </c>
      <c r="D46">
        <f>IF(B46=C46,"OK","WARN")</f>
        <v/>
      </c>
    </row>
    <row r="47">
      <c r="A47">
        <f>Inputs!$A$40&amp;": plan CPLH present for every forecast month (blank = same month LY)"</f>
        <v/>
      </c>
      <c r="B47" s="9">
        <f>COUNTIFS('VIC-2'!AH15:AH62,"&gt;0",'VIC-2'!D15:D62,"Forecast")</f>
        <v/>
      </c>
      <c r="C47" s="9">
        <f>(2028-YEAR(LastActual))*12+12-MONTH(LastActual)</f>
        <v/>
      </c>
      <c r="D47">
        <f>IF(B47=C47,"OK","WARN")</f>
        <v/>
      </c>
    </row>
    <row r="48">
      <c r="A48">
        <f>Inputs!$A$41&amp;": plan CPLH present for every forecast month (blank = same month LY)"</f>
        <v/>
      </c>
      <c r="B48" s="9">
        <f>COUNTIFS('QLD-2'!AH15:AH62,"&gt;0",'QLD-2'!D15:D62,"Forecast")</f>
        <v/>
      </c>
      <c r="C48" s="9">
        <f>(2028-YEAR(LastActual))*12+12-MONTH(LastActual)</f>
        <v/>
      </c>
      <c r="D48">
        <f>IF(B48=C48,"OK","WARN")</f>
        <v/>
      </c>
    </row>
    <row r="49">
      <c r="A49">
        <f>Inputs!$A$42&amp;": plan CPLH present for every forecast month (blank = same month LY)"</f>
        <v/>
      </c>
      <c r="B49" s="9">
        <f>COUNTIFS('SA-1'!AH15:AH62,"&gt;0",'SA-1'!D15:D62,"Forecast")</f>
        <v/>
      </c>
      <c r="C49" s="9">
        <f>(2028-YEAR(LastActual))*12+12-MONTH(LastActual)</f>
        <v/>
      </c>
      <c r="D49">
        <f>IF(B49=C49,"OK","WARN")</f>
        <v/>
      </c>
    </row>
    <row r="50">
      <c r="A50">
        <f>Inputs!$A$43&amp;": plan CPLH present for every forecast month (blank = same month LY)"</f>
        <v/>
      </c>
      <c r="B50" s="9">
        <f>COUNTIFS('WA-1'!AH15:AH62,"&gt;0",'WA-1'!D15:D62,"Forecast")</f>
        <v/>
      </c>
      <c r="C50" s="9">
        <f>(2028-YEAR(LastActual))*12+12-MONTH(LastActual)</f>
        <v/>
      </c>
      <c r="D50">
        <f>IF(B50=C50,"OK","WARN")</f>
        <v/>
      </c>
    </row>
    <row r="51">
      <c r="A51">
        <f>Inputs!$A$44&amp;": plan CPLH present for every forecast month (blank = same month LY)"</f>
        <v/>
      </c>
      <c r="B51" s="9">
        <f>COUNTIFS('IDC-NSW'!AH15:AH62,"&gt;0",'IDC-NSW'!D15:D62,"Forecast")</f>
        <v/>
      </c>
      <c r="C51" s="9">
        <f>(2028-YEAR(LastActual))*12+12-MONTH(LastActual)</f>
        <v/>
      </c>
      <c r="D51">
        <f>IF(B51=C51,"OK","WARN")</f>
        <v/>
      </c>
    </row>
    <row r="52">
      <c r="A52">
        <f>Inputs!$A$45&amp;": plan CPLH present for every forecast month (blank = same month LY)"</f>
        <v/>
      </c>
      <c r="B52" s="9">
        <f>COUNTIFS('IDC-VIC'!AH15:AH62,"&gt;0",'IDC-VIC'!D15:D62,"Forecast")</f>
        <v/>
      </c>
      <c r="C52" s="9">
        <f>(2028-YEAR(LastActual))*12+12-MONTH(LastActual)</f>
        <v/>
      </c>
      <c r="D52">
        <f>IF(B52=C52,"OK","WARN")</f>
        <v/>
      </c>
    </row>
    <row r="53">
      <c r="A53">
        <f>Inputs!$A$36&amp;": chamber weights add to 100%"</f>
        <v/>
      </c>
      <c r="B53" s="16">
        <f>'Chamber Weights'!B27</f>
        <v/>
      </c>
      <c r="C53" s="16">
        <f>1</f>
        <v/>
      </c>
      <c r="D53">
        <f>IF(ABS(B53-C53)&lt;=0.0001,"OK","ERROR")</f>
        <v/>
      </c>
    </row>
    <row r="54">
      <c r="A54">
        <f>Inputs!$A$37&amp;": chamber weights add to 100%"</f>
        <v/>
      </c>
      <c r="B54" s="16">
        <f>'Chamber Weights'!C27</f>
        <v/>
      </c>
      <c r="C54" s="16">
        <f>1</f>
        <v/>
      </c>
      <c r="D54">
        <f>IF(ABS(B54-C54)&lt;=0.0001,"OK","ERROR")</f>
        <v/>
      </c>
    </row>
    <row r="55">
      <c r="A55">
        <f>Inputs!$A$38&amp;": chamber weights add to 100%"</f>
        <v/>
      </c>
      <c r="B55" s="16">
        <f>'Chamber Weights'!D27</f>
        <v/>
      </c>
      <c r="C55" s="16">
        <f>1</f>
        <v/>
      </c>
      <c r="D55">
        <f>IF(ABS(B55-C55)&lt;=0.0001,"OK","ERROR")</f>
        <v/>
      </c>
    </row>
    <row r="56">
      <c r="A56">
        <f>Inputs!$A$39&amp;": chamber weights add to 100%"</f>
        <v/>
      </c>
      <c r="B56" s="16">
        <f>'Chamber Weights'!E27</f>
        <v/>
      </c>
      <c r="C56" s="16">
        <f>1</f>
        <v/>
      </c>
      <c r="D56">
        <f>IF(ABS(B56-C56)&lt;=0.0001,"OK","ERROR")</f>
        <v/>
      </c>
    </row>
    <row r="57">
      <c r="A57">
        <f>Inputs!$A$40&amp;": chamber weights add to 100%"</f>
        <v/>
      </c>
      <c r="B57" s="16">
        <f>'Chamber Weights'!F27</f>
        <v/>
      </c>
      <c r="C57" s="16">
        <f>1</f>
        <v/>
      </c>
      <c r="D57">
        <f>IF(ABS(B57-C57)&lt;=0.0001,"OK","ERROR")</f>
        <v/>
      </c>
    </row>
    <row r="58">
      <c r="A58">
        <f>Inputs!$A$41&amp;": chamber weights add to 100%"</f>
        <v/>
      </c>
      <c r="B58" s="16">
        <f>'Chamber Weights'!G27</f>
        <v/>
      </c>
      <c r="C58" s="16">
        <f>1</f>
        <v/>
      </c>
      <c r="D58">
        <f>IF(ABS(B58-C58)&lt;=0.0001,"OK","ERROR")</f>
        <v/>
      </c>
    </row>
    <row r="59">
      <c r="A59">
        <f>Inputs!$A$42&amp;": chamber weights add to 100%"</f>
        <v/>
      </c>
      <c r="B59" s="16">
        <f>'Chamber Weights'!H27</f>
        <v/>
      </c>
      <c r="C59" s="16">
        <f>1</f>
        <v/>
      </c>
      <c r="D59">
        <f>IF(ABS(B59-C59)&lt;=0.0001,"OK","ERROR")</f>
        <v/>
      </c>
    </row>
    <row r="60">
      <c r="A60">
        <f>Inputs!$A$43&amp;": chamber weights add to 100%"</f>
        <v/>
      </c>
      <c r="B60" s="16">
        <f>'Chamber Weights'!I27</f>
        <v/>
      </c>
      <c r="C60" s="16">
        <f>1</f>
        <v/>
      </c>
      <c r="D60">
        <f>IF(ABS(B60-C60)&lt;=0.0001,"OK","ERROR")</f>
        <v/>
      </c>
    </row>
    <row r="61">
      <c r="A61">
        <f>Inputs!$A$44&amp;": chamber weights add to 100%"</f>
        <v/>
      </c>
      <c r="B61" s="16">
        <f>'Chamber Weights'!J27</f>
        <v/>
      </c>
      <c r="C61" s="16">
        <f>1</f>
        <v/>
      </c>
      <c r="D61">
        <f>IF(ABS(B61-C61)&lt;=0.0001,"OK","ERROR")</f>
        <v/>
      </c>
    </row>
    <row r="62">
      <c r="A62">
        <f>Inputs!$A$45&amp;": chamber weights add to 100%"</f>
        <v/>
      </c>
      <c r="B62" s="16">
        <f>'Chamber Weights'!K27</f>
        <v/>
      </c>
      <c r="C62" s="16">
        <f>1</f>
        <v/>
      </c>
      <c r="D62">
        <f>IF(ABS(B62-C62)&lt;=0.0001,"OK","ERROR")</f>
        <v/>
      </c>
    </row>
    <row r="63">
      <c r="A63" t="inlineStr">
        <is>
          <t>National cases: sum of chambers = total (all months)</t>
        </is>
      </c>
      <c r="B63" s="9">
        <f>SUM(National!AJ15:AJ62)+SUM(National!AP15:AP62)+SUM(National!AV15:AV62)</f>
        <v/>
      </c>
      <c r="C63" s="9">
        <f>SUM(National!F15:F62)</f>
        <v/>
      </c>
      <c r="D63">
        <f>IF(ABS(B63-C63)&lt;=MAX(1,ABS(C63)*0.000001),"OK","ERROR")</f>
        <v/>
      </c>
    </row>
    <row r="64">
      <c r="A64" t="inlineStr">
        <is>
          <t>National hours: sum of chambers = total (all months)</t>
        </is>
      </c>
      <c r="B64" s="9">
        <f>SUM(National!AK15:AK62)+SUM(National!AQ15:AQ62)+SUM(National!AW15:AW62)</f>
        <v/>
      </c>
      <c r="C64" s="9">
        <f>SUM(National!G15:G62)</f>
        <v/>
      </c>
      <c r="D64">
        <f>IF(ABS(B64-C64)&lt;=MAX(1,ABS(C64)*0.000001),"OK","ERROR")</f>
        <v/>
      </c>
    </row>
    <row r="65">
      <c r="A65" t="inlineStr">
        <is>
          <t>National total payroll: sum of chambers = total (all months)</t>
        </is>
      </c>
      <c r="B65" s="9">
        <f>SUM(National!AN15:AN62)+SUM(National!AT15:AT62)+SUM(National!AZ15:AZ62)</f>
        <v/>
      </c>
      <c r="C65" s="9">
        <f>SUM(National!J15:J62)</f>
        <v/>
      </c>
      <c r="D65">
        <f>IF(ABS(B65-C65)&lt;=MAX(1,ABS(C65)*0.000001),"OK","ERROR")</f>
        <v/>
      </c>
    </row>
    <row r="66">
      <c r="A66" t="inlineStr">
        <is>
          <t>CPLH_Breakdown FY2026: resulting national CPLH = target (blank target = skipped; -1 = unreachable)</t>
        </is>
      </c>
      <c r="B66" s="16">
        <f>IF(CPLH_Breakdown!B9="",0,IF(ISERROR(CPLH_Breakdown!G9),-1,CPLH_Breakdown!H9))</f>
        <v/>
      </c>
      <c r="C66" s="16">
        <f>IF(CPLH_Breakdown!B9="",0,CPLH_Breakdown!B9)</f>
        <v/>
      </c>
      <c r="D66">
        <f>IF(ABS(B66-C66)&lt;=0.0001,"OK","ERROR")</f>
        <v/>
      </c>
    </row>
    <row r="67">
      <c r="A67" t="inlineStr">
        <is>
          <t>CPLH_Breakdown FY2027: resulting national CPLH = target (blank target = skipped; -1 = unreachable)</t>
        </is>
      </c>
      <c r="B67" s="16">
        <f>IF(CPLH_Breakdown!B10="",0,IF(ISERROR(CPLH_Breakdown!G10),-1,CPLH_Breakdown!H10))</f>
        <v/>
      </c>
      <c r="C67" s="16">
        <f>IF(CPLH_Breakdown!B10="",0,CPLH_Breakdown!B10)</f>
        <v/>
      </c>
      <c r="D67">
        <f>IF(ABS(B67-C67)&lt;=0.0001,"OK","ERROR")</f>
        <v/>
      </c>
    </row>
    <row r="68">
      <c r="A68" t="inlineStr">
        <is>
          <t>CPLH_Breakdown FY2028: resulting national CPLH = target (blank target = skipped; -1 = unreachable)</t>
        </is>
      </c>
      <c r="B68" s="16">
        <f>IF(CPLH_Breakdown!B11="",0,IF(ISERROR(CPLH_Breakdown!G11),-1,CPLH_Breakdown!H11))</f>
        <v/>
      </c>
      <c r="C68" s="16">
        <f>IF(CPLH_Breakdown!B11="",0,CPLH_Breakdown!B11)</f>
        <v/>
      </c>
      <c r="D68">
        <f>IF(ABS(B68-C68)&lt;=0.0001,"OK","ERROR")</f>
        <v/>
      </c>
    </row>
  </sheetData>
  <conditionalFormatting sqref="D6:D150">
    <cfRule type="expression" priority="1" dxfId="1">
      <formula>D6="ERROR"</formula>
    </cfRule>
    <cfRule type="expression" priority="2" dxfId="2">
      <formula>D6="OK"</formula>
    </cfRule>
    <cfRule type="expression" priority="3" dxfId="3">
      <formula>D6="WARN"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B050"/>
    <outlinePr summaryBelow="1" summaryRight="1"/>
    <pageSetUpPr/>
  </sheetPr>
  <dimension ref="A1:AZ71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3" customWidth="1" min="17" max="17"/>
    <col width="10" customWidth="1" min="18" max="18"/>
    <col width="11" customWidth="1" min="19" max="19"/>
    <col width="11" customWidth="1" min="20" max="20"/>
    <col width="11" customWidth="1" min="21" max="21"/>
    <col width="11" customWidth="1" min="22" max="22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2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2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2" customWidth="1" min="53" max="53"/>
  </cols>
  <sheetData>
    <row r="1">
      <c r="A1" s="2" t="inlineStr">
        <is>
          <t>National  |  8 regions + 2 IDCs  |  sales exclude IDCs</t>
        </is>
      </c>
    </row>
    <row r="2">
      <c r="A2" t="inlineStr">
        <is>
          <t>Model status</t>
        </is>
      </c>
      <c r="B2" s="1">
        <f>Checks!B3</f>
        <v/>
      </c>
    </row>
    <row r="4">
      <c r="R4" s="1" t="inlineStr">
        <is>
          <t>Total payroll ($m)</t>
        </is>
      </c>
    </row>
    <row r="5" ht="45" customHeight="1">
      <c r="A5" s="7" t="inlineStr">
        <is>
          <t>FY</t>
        </is>
      </c>
      <c r="D5" s="7" t="inlineStr">
        <is>
          <t>Status</t>
        </is>
      </c>
      <c r="E5" s="7" t="inlineStr">
        <is>
          <t>Sales</t>
        </is>
      </c>
      <c r="F5" s="7" t="inlineStr">
        <is>
          <t>Cases picked</t>
        </is>
      </c>
      <c r="G5" s="7" t="inlineStr">
        <is>
          <t>WH hours worked</t>
        </is>
      </c>
      <c r="H5" s="7" t="inlineStr">
        <is>
          <t>Staff payroll</t>
        </is>
      </c>
      <c r="I5" s="7" t="inlineStr">
        <is>
          <t>Leadership payroll</t>
        </is>
      </c>
      <c r="J5" s="7" t="inlineStr">
        <is>
          <t>Total payroll</t>
        </is>
      </c>
      <c r="K5" s="7" t="inlineStr">
        <is>
          <t>CPLH (cases / hr)</t>
        </is>
      </c>
      <c r="L5" s="7" t="inlineStr">
        <is>
          <t>Cost per hour (staff)</t>
        </is>
      </c>
      <c r="M5" s="7" t="inlineStr">
        <is>
          <t>Cost per case (total payroll)</t>
        </is>
      </c>
      <c r="N5" s="7" t="inlineStr">
        <is>
          <t>Total payroll % sales</t>
        </is>
      </c>
      <c r="O5" s="7" t="inlineStr">
        <is>
          <t>Leadership % of total payroll</t>
        </is>
      </c>
      <c r="R5" s="7" t="inlineStr">
        <is>
          <t>Site</t>
        </is>
      </c>
      <c r="S5" s="7" t="inlineStr">
        <is>
          <t>FY2025</t>
        </is>
      </c>
      <c r="T5" s="7" t="inlineStr">
        <is>
          <t>FY2026</t>
        </is>
      </c>
      <c r="U5" s="7" t="inlineStr">
        <is>
          <t>FY2027</t>
        </is>
      </c>
      <c r="V5" s="7" t="inlineStr">
        <is>
          <t>FY2028</t>
        </is>
      </c>
      <c r="AJ5" s="20" t="inlineStr">
        <is>
          <t>Cases picked</t>
        </is>
      </c>
      <c r="AK5" s="20" t="inlineStr">
        <is>
          <t>WH hours worked</t>
        </is>
      </c>
      <c r="AL5" s="20" t="inlineStr">
        <is>
          <t>Staff payroll</t>
        </is>
      </c>
      <c r="AM5" s="20" t="inlineStr">
        <is>
          <t>Leadership payroll</t>
        </is>
      </c>
      <c r="AN5" s="20" t="inlineStr">
        <is>
          <t>Total payroll</t>
        </is>
      </c>
      <c r="AP5" s="20" t="inlineStr">
        <is>
          <t>Cases picked</t>
        </is>
      </c>
      <c r="AQ5" s="20" t="inlineStr">
        <is>
          <t>WH hours worked</t>
        </is>
      </c>
      <c r="AR5" s="20" t="inlineStr">
        <is>
          <t>Staff payroll</t>
        </is>
      </c>
      <c r="AS5" s="20" t="inlineStr">
        <is>
          <t>Leadership payroll</t>
        </is>
      </c>
      <c r="AT5" s="20" t="inlineStr">
        <is>
          <t>Total payroll</t>
        </is>
      </c>
      <c r="AV5" s="20" t="inlineStr">
        <is>
          <t>Cases picked</t>
        </is>
      </c>
      <c r="AW5" s="20" t="inlineStr">
        <is>
          <t>WH hours worked</t>
        </is>
      </c>
      <c r="AX5" s="20" t="inlineStr">
        <is>
          <t>Staff payroll</t>
        </is>
      </c>
      <c r="AY5" s="20" t="inlineStr">
        <is>
          <t>Leadership payroll</t>
        </is>
      </c>
      <c r="AZ5" s="20" t="inlineStr">
        <is>
          <t>Total payroll</t>
        </is>
      </c>
    </row>
    <row r="6">
      <c r="A6" s="21" t="n">
        <v>2025</v>
      </c>
      <c r="D6" s="22">
        <f>IF(DATE(A6,12,1)&lt;=LastActual,"Actual",IF(DATE(A6,1,1)&gt;LastActual,"Forecast","Blended"))</f>
        <v/>
      </c>
      <c r="E6" s="23">
        <f>SUMIFS($E$15:$E$62,$B$15:$B$62,$A6)</f>
        <v/>
      </c>
      <c r="F6" s="24">
        <f>SUMIFS($F$15:$F$62,$B$15:$B$62,$A6)</f>
        <v/>
      </c>
      <c r="G6" s="25">
        <f>SUMIFS($G$15:$G$62,$B$15:$B$62,$A6)</f>
        <v/>
      </c>
      <c r="H6" s="23">
        <f>SUMIFS($H$15:$H$62,$B$15:$B$62,$A6)</f>
        <v/>
      </c>
      <c r="I6" s="23">
        <f>SUMIFS($I$15:$I$62,$B$15:$B$62,$A6)</f>
        <v/>
      </c>
      <c r="J6" s="23">
        <f>SUMIFS($J$15:$J$62,$B$15:$B$62,$A6)</f>
        <v/>
      </c>
      <c r="K6" s="26">
        <f>IFERROR(F6/G6,0)</f>
        <v/>
      </c>
      <c r="L6" s="27">
        <f>IFERROR(H6/G6,0)</f>
        <v/>
      </c>
      <c r="M6" s="28">
        <f>IFERROR(J6/F6,0)</f>
        <v/>
      </c>
      <c r="N6" s="29">
        <f>IFERROR(J6/E6,0)</f>
        <v/>
      </c>
      <c r="O6" s="29">
        <f>IFERROR(I6/J6,0)</f>
        <v/>
      </c>
      <c r="R6">
        <f>Inputs!$A$36</f>
        <v/>
      </c>
      <c r="S6" s="30">
        <f>SUMIFS('NSW-1'!$J$15:$J$62,'NSW-1'!$B$15:$B$62,2025)</f>
        <v/>
      </c>
      <c r="T6" s="30">
        <f>SUMIFS('NSW-1'!$J$15:$J$62,'NSW-1'!$B$15:$B$62,2026)</f>
        <v/>
      </c>
      <c r="U6" s="30">
        <f>SUMIFS('NSW-1'!$J$15:$J$62,'NSW-1'!$B$15:$B$62,2027)</f>
        <v/>
      </c>
      <c r="V6" s="30">
        <f>SUMIFS('NSW-1'!$J$15:$J$62,'NSW-1'!$B$15:$B$62,2028)</f>
        <v/>
      </c>
      <c r="AJ6" s="24">
        <f>SUMIFS($AJ$15:$AJ$62,$B$15:$B$62,$A6)</f>
        <v/>
      </c>
      <c r="AK6" s="25">
        <f>SUMIFS($AK$15:$AK$62,$B$15:$B$62,$A6)</f>
        <v/>
      </c>
      <c r="AL6" s="23">
        <f>SUMIFS($AL$15:$AL$62,$B$15:$B$62,$A6)</f>
        <v/>
      </c>
      <c r="AM6" s="23">
        <f>SUMIFS($AM$15:$AM$62,$B$15:$B$62,$A6)</f>
        <v/>
      </c>
      <c r="AN6" s="23">
        <f>SUMIFS($AN$15:$AN$62,$B$15:$B$62,$A6)</f>
        <v/>
      </c>
      <c r="AP6" s="24">
        <f>SUMIFS($AP$15:$AP$62,$B$15:$B$62,$A6)</f>
        <v/>
      </c>
      <c r="AQ6" s="25">
        <f>SUMIFS($AQ$15:$AQ$62,$B$15:$B$62,$A6)</f>
        <v/>
      </c>
      <c r="AR6" s="23">
        <f>SUMIFS($AR$15:$AR$62,$B$15:$B$62,$A6)</f>
        <v/>
      </c>
      <c r="AS6" s="23">
        <f>SUMIFS($AS$15:$AS$62,$B$15:$B$62,$A6)</f>
        <v/>
      </c>
      <c r="AT6" s="23">
        <f>SUMIFS($AT$15:$AT$62,$B$15:$B$62,$A6)</f>
        <v/>
      </c>
      <c r="AV6" s="24">
        <f>SUMIFS($AV$15:$AV$62,$B$15:$B$62,$A6)</f>
        <v/>
      </c>
      <c r="AW6" s="25">
        <f>SUMIFS($AW$15:$AW$62,$B$15:$B$62,$A6)</f>
        <v/>
      </c>
      <c r="AX6" s="23">
        <f>SUMIFS($AX$15:$AX$62,$B$15:$B$62,$A6)</f>
        <v/>
      </c>
      <c r="AY6" s="23">
        <f>SUMIFS($AY$15:$AY$62,$B$15:$B$62,$A6)</f>
        <v/>
      </c>
      <c r="AZ6" s="23">
        <f>SUMIFS($AZ$15:$AZ$62,$B$15:$B$62,$A6)</f>
        <v/>
      </c>
    </row>
    <row r="7">
      <c r="A7" s="21" t="n">
        <v>2026</v>
      </c>
      <c r="D7" s="22">
        <f>IF(DATE(A7,12,1)&lt;=LastActual,"Actual",IF(DATE(A7,1,1)&gt;LastActual,"Forecast","Blended"))</f>
        <v/>
      </c>
      <c r="E7" s="23">
        <f>SUMIFS($E$15:$E$62,$B$15:$B$62,$A7)</f>
        <v/>
      </c>
      <c r="F7" s="24">
        <f>SUMIFS($F$15:$F$62,$B$15:$B$62,$A7)</f>
        <v/>
      </c>
      <c r="G7" s="25">
        <f>SUMIFS($G$15:$G$62,$B$15:$B$62,$A7)</f>
        <v/>
      </c>
      <c r="H7" s="23">
        <f>SUMIFS($H$15:$H$62,$B$15:$B$62,$A7)</f>
        <v/>
      </c>
      <c r="I7" s="23">
        <f>SUMIFS($I$15:$I$62,$B$15:$B$62,$A7)</f>
        <v/>
      </c>
      <c r="J7" s="23">
        <f>SUMIFS($J$15:$J$62,$B$15:$B$62,$A7)</f>
        <v/>
      </c>
      <c r="K7" s="26">
        <f>IFERROR(F7/G7,0)</f>
        <v/>
      </c>
      <c r="L7" s="27">
        <f>IFERROR(H7/G7,0)</f>
        <v/>
      </c>
      <c r="M7" s="28">
        <f>IFERROR(J7/F7,0)</f>
        <v/>
      </c>
      <c r="N7" s="29">
        <f>IFERROR(J7/E7,0)</f>
        <v/>
      </c>
      <c r="O7" s="29">
        <f>IFERROR(I7/J7,0)</f>
        <v/>
      </c>
      <c r="R7">
        <f>Inputs!$A$37</f>
        <v/>
      </c>
      <c r="S7" s="30">
        <f>SUMIFS('VIC-1'!$J$15:$J$62,'VIC-1'!$B$15:$B$62,2025)</f>
        <v/>
      </c>
      <c r="T7" s="30">
        <f>SUMIFS('VIC-1'!$J$15:$J$62,'VIC-1'!$B$15:$B$62,2026)</f>
        <v/>
      </c>
      <c r="U7" s="30">
        <f>SUMIFS('VIC-1'!$J$15:$J$62,'VIC-1'!$B$15:$B$62,2027)</f>
        <v/>
      </c>
      <c r="V7" s="30">
        <f>SUMIFS('VIC-1'!$J$15:$J$62,'VIC-1'!$B$15:$B$62,2028)</f>
        <v/>
      </c>
      <c r="AJ7" s="24">
        <f>SUMIFS($AJ$15:$AJ$62,$B$15:$B$62,$A7)</f>
        <v/>
      </c>
      <c r="AK7" s="25">
        <f>SUMIFS($AK$15:$AK$62,$B$15:$B$62,$A7)</f>
        <v/>
      </c>
      <c r="AL7" s="23">
        <f>SUMIFS($AL$15:$AL$62,$B$15:$B$62,$A7)</f>
        <v/>
      </c>
      <c r="AM7" s="23">
        <f>SUMIFS($AM$15:$AM$62,$B$15:$B$62,$A7)</f>
        <v/>
      </c>
      <c r="AN7" s="23">
        <f>SUMIFS($AN$15:$AN$62,$B$15:$B$62,$A7)</f>
        <v/>
      </c>
      <c r="AP7" s="24">
        <f>SUMIFS($AP$15:$AP$62,$B$15:$B$62,$A7)</f>
        <v/>
      </c>
      <c r="AQ7" s="25">
        <f>SUMIFS($AQ$15:$AQ$62,$B$15:$B$62,$A7)</f>
        <v/>
      </c>
      <c r="AR7" s="23">
        <f>SUMIFS($AR$15:$AR$62,$B$15:$B$62,$A7)</f>
        <v/>
      </c>
      <c r="AS7" s="23">
        <f>SUMIFS($AS$15:$AS$62,$B$15:$B$62,$A7)</f>
        <v/>
      </c>
      <c r="AT7" s="23">
        <f>SUMIFS($AT$15:$AT$62,$B$15:$B$62,$A7)</f>
        <v/>
      </c>
      <c r="AV7" s="24">
        <f>SUMIFS($AV$15:$AV$62,$B$15:$B$62,$A7)</f>
        <v/>
      </c>
      <c r="AW7" s="25">
        <f>SUMIFS($AW$15:$AW$62,$B$15:$B$62,$A7)</f>
        <v/>
      </c>
      <c r="AX7" s="23">
        <f>SUMIFS($AX$15:$AX$62,$B$15:$B$62,$A7)</f>
        <v/>
      </c>
      <c r="AY7" s="23">
        <f>SUMIFS($AY$15:$AY$62,$B$15:$B$62,$A7)</f>
        <v/>
      </c>
      <c r="AZ7" s="23">
        <f>SUMIFS($AZ$15:$AZ$62,$B$15:$B$62,$A7)</f>
        <v/>
      </c>
    </row>
    <row r="8">
      <c r="A8" s="21" t="n">
        <v>2027</v>
      </c>
      <c r="D8" s="22">
        <f>IF(DATE(A8,12,1)&lt;=LastActual,"Actual",IF(DATE(A8,1,1)&gt;LastActual,"Forecast","Blended"))</f>
        <v/>
      </c>
      <c r="E8" s="23">
        <f>SUMIFS($E$15:$E$62,$B$15:$B$62,$A8)</f>
        <v/>
      </c>
      <c r="F8" s="24">
        <f>SUMIFS($F$15:$F$62,$B$15:$B$62,$A8)</f>
        <v/>
      </c>
      <c r="G8" s="25">
        <f>SUMIFS($G$15:$G$62,$B$15:$B$62,$A8)</f>
        <v/>
      </c>
      <c r="H8" s="23">
        <f>SUMIFS($H$15:$H$62,$B$15:$B$62,$A8)</f>
        <v/>
      </c>
      <c r="I8" s="23">
        <f>SUMIFS($I$15:$I$62,$B$15:$B$62,$A8)</f>
        <v/>
      </c>
      <c r="J8" s="23">
        <f>SUMIFS($J$15:$J$62,$B$15:$B$62,$A8)</f>
        <v/>
      </c>
      <c r="K8" s="26">
        <f>IFERROR(F8/G8,0)</f>
        <v/>
      </c>
      <c r="L8" s="27">
        <f>IFERROR(H8/G8,0)</f>
        <v/>
      </c>
      <c r="M8" s="28">
        <f>IFERROR(J8/F8,0)</f>
        <v/>
      </c>
      <c r="N8" s="29">
        <f>IFERROR(J8/E8,0)</f>
        <v/>
      </c>
      <c r="O8" s="29">
        <f>IFERROR(I8/J8,0)</f>
        <v/>
      </c>
      <c r="R8">
        <f>Inputs!$A$38</f>
        <v/>
      </c>
      <c r="S8" s="30">
        <f>SUMIFS('QLD-1'!$J$15:$J$62,'QLD-1'!$B$15:$B$62,2025)</f>
        <v/>
      </c>
      <c r="T8" s="30">
        <f>SUMIFS('QLD-1'!$J$15:$J$62,'QLD-1'!$B$15:$B$62,2026)</f>
        <v/>
      </c>
      <c r="U8" s="30">
        <f>SUMIFS('QLD-1'!$J$15:$J$62,'QLD-1'!$B$15:$B$62,2027)</f>
        <v/>
      </c>
      <c r="V8" s="30">
        <f>SUMIFS('QLD-1'!$J$15:$J$62,'QLD-1'!$B$15:$B$62,2028)</f>
        <v/>
      </c>
      <c r="AJ8" s="24">
        <f>SUMIFS($AJ$15:$AJ$62,$B$15:$B$62,$A8)</f>
        <v/>
      </c>
      <c r="AK8" s="25">
        <f>SUMIFS($AK$15:$AK$62,$B$15:$B$62,$A8)</f>
        <v/>
      </c>
      <c r="AL8" s="23">
        <f>SUMIFS($AL$15:$AL$62,$B$15:$B$62,$A8)</f>
        <v/>
      </c>
      <c r="AM8" s="23">
        <f>SUMIFS($AM$15:$AM$62,$B$15:$B$62,$A8)</f>
        <v/>
      </c>
      <c r="AN8" s="23">
        <f>SUMIFS($AN$15:$AN$62,$B$15:$B$62,$A8)</f>
        <v/>
      </c>
      <c r="AP8" s="24">
        <f>SUMIFS($AP$15:$AP$62,$B$15:$B$62,$A8)</f>
        <v/>
      </c>
      <c r="AQ8" s="25">
        <f>SUMIFS($AQ$15:$AQ$62,$B$15:$B$62,$A8)</f>
        <v/>
      </c>
      <c r="AR8" s="23">
        <f>SUMIFS($AR$15:$AR$62,$B$15:$B$62,$A8)</f>
        <v/>
      </c>
      <c r="AS8" s="23">
        <f>SUMIFS($AS$15:$AS$62,$B$15:$B$62,$A8)</f>
        <v/>
      </c>
      <c r="AT8" s="23">
        <f>SUMIFS($AT$15:$AT$62,$B$15:$B$62,$A8)</f>
        <v/>
      </c>
      <c r="AV8" s="24">
        <f>SUMIFS($AV$15:$AV$62,$B$15:$B$62,$A8)</f>
        <v/>
      </c>
      <c r="AW8" s="25">
        <f>SUMIFS($AW$15:$AW$62,$B$15:$B$62,$A8)</f>
        <v/>
      </c>
      <c r="AX8" s="23">
        <f>SUMIFS($AX$15:$AX$62,$B$15:$B$62,$A8)</f>
        <v/>
      </c>
      <c r="AY8" s="23">
        <f>SUMIFS($AY$15:$AY$62,$B$15:$B$62,$A8)</f>
        <v/>
      </c>
      <c r="AZ8" s="23">
        <f>SUMIFS($AZ$15:$AZ$62,$B$15:$B$62,$A8)</f>
        <v/>
      </c>
    </row>
    <row r="9">
      <c r="A9" s="21" t="n">
        <v>2028</v>
      </c>
      <c r="D9" s="22">
        <f>IF(DATE(A9,12,1)&lt;=LastActual,"Actual",IF(DATE(A9,1,1)&gt;LastActual,"Forecast","Blended"))</f>
        <v/>
      </c>
      <c r="E9" s="23">
        <f>SUMIFS($E$15:$E$62,$B$15:$B$62,$A9)</f>
        <v/>
      </c>
      <c r="F9" s="24">
        <f>SUMIFS($F$15:$F$62,$B$15:$B$62,$A9)</f>
        <v/>
      </c>
      <c r="G9" s="25">
        <f>SUMIFS($G$15:$G$62,$B$15:$B$62,$A9)</f>
        <v/>
      </c>
      <c r="H9" s="23">
        <f>SUMIFS($H$15:$H$62,$B$15:$B$62,$A9)</f>
        <v/>
      </c>
      <c r="I9" s="23">
        <f>SUMIFS($I$15:$I$62,$B$15:$B$62,$A9)</f>
        <v/>
      </c>
      <c r="J9" s="23">
        <f>SUMIFS($J$15:$J$62,$B$15:$B$62,$A9)</f>
        <v/>
      </c>
      <c r="K9" s="26">
        <f>IFERROR(F9/G9,0)</f>
        <v/>
      </c>
      <c r="L9" s="27">
        <f>IFERROR(H9/G9,0)</f>
        <v/>
      </c>
      <c r="M9" s="28">
        <f>IFERROR(J9/F9,0)</f>
        <v/>
      </c>
      <c r="N9" s="29">
        <f>IFERROR(J9/E9,0)</f>
        <v/>
      </c>
      <c r="O9" s="29">
        <f>IFERROR(I9/J9,0)</f>
        <v/>
      </c>
      <c r="R9">
        <f>Inputs!$A$39</f>
        <v/>
      </c>
      <c r="S9" s="30">
        <f>SUMIFS('NSW-2'!$J$15:$J$62,'NSW-2'!$B$15:$B$62,2025)</f>
        <v/>
      </c>
      <c r="T9" s="30">
        <f>SUMIFS('NSW-2'!$J$15:$J$62,'NSW-2'!$B$15:$B$62,2026)</f>
        <v/>
      </c>
      <c r="U9" s="30">
        <f>SUMIFS('NSW-2'!$J$15:$J$62,'NSW-2'!$B$15:$B$62,2027)</f>
        <v/>
      </c>
      <c r="V9" s="30">
        <f>SUMIFS('NSW-2'!$J$15:$J$62,'NSW-2'!$B$15:$B$62,2028)</f>
        <v/>
      </c>
      <c r="AJ9" s="24">
        <f>SUMIFS($AJ$15:$AJ$62,$B$15:$B$62,$A9)</f>
        <v/>
      </c>
      <c r="AK9" s="25">
        <f>SUMIFS($AK$15:$AK$62,$B$15:$B$62,$A9)</f>
        <v/>
      </c>
      <c r="AL9" s="23">
        <f>SUMIFS($AL$15:$AL$62,$B$15:$B$62,$A9)</f>
        <v/>
      </c>
      <c r="AM9" s="23">
        <f>SUMIFS($AM$15:$AM$62,$B$15:$B$62,$A9)</f>
        <v/>
      </c>
      <c r="AN9" s="23">
        <f>SUMIFS($AN$15:$AN$62,$B$15:$B$62,$A9)</f>
        <v/>
      </c>
      <c r="AP9" s="24">
        <f>SUMIFS($AP$15:$AP$62,$B$15:$B$62,$A9)</f>
        <v/>
      </c>
      <c r="AQ9" s="25">
        <f>SUMIFS($AQ$15:$AQ$62,$B$15:$B$62,$A9)</f>
        <v/>
      </c>
      <c r="AR9" s="23">
        <f>SUMIFS($AR$15:$AR$62,$B$15:$B$62,$A9)</f>
        <v/>
      </c>
      <c r="AS9" s="23">
        <f>SUMIFS($AS$15:$AS$62,$B$15:$B$62,$A9)</f>
        <v/>
      </c>
      <c r="AT9" s="23">
        <f>SUMIFS($AT$15:$AT$62,$B$15:$B$62,$A9)</f>
        <v/>
      </c>
      <c r="AV9" s="24">
        <f>SUMIFS($AV$15:$AV$62,$B$15:$B$62,$A9)</f>
        <v/>
      </c>
      <c r="AW9" s="25">
        <f>SUMIFS($AW$15:$AW$62,$B$15:$B$62,$A9)</f>
        <v/>
      </c>
      <c r="AX9" s="23">
        <f>SUMIFS($AX$15:$AX$62,$B$15:$B$62,$A9)</f>
        <v/>
      </c>
      <c r="AY9" s="23">
        <f>SUMIFS($AY$15:$AY$62,$B$15:$B$62,$A9)</f>
        <v/>
      </c>
      <c r="AZ9" s="23">
        <f>SUMIFS($AZ$15:$AZ$62,$B$15:$B$62,$A9)</f>
        <v/>
      </c>
    </row>
    <row r="10">
      <c r="R10">
        <f>Inputs!$A$40</f>
        <v/>
      </c>
      <c r="S10" s="30">
        <f>SUMIFS('VIC-2'!$J$15:$J$62,'VIC-2'!$B$15:$B$62,2025)</f>
        <v/>
      </c>
      <c r="T10" s="30">
        <f>SUMIFS('VIC-2'!$J$15:$J$62,'VIC-2'!$B$15:$B$62,2026)</f>
        <v/>
      </c>
      <c r="U10" s="30">
        <f>SUMIFS('VIC-2'!$J$15:$J$62,'VIC-2'!$B$15:$B$62,2027)</f>
        <v/>
      </c>
      <c r="V10" s="30">
        <f>SUMIFS('VIC-2'!$J$15:$J$62,'VIC-2'!$B$15:$B$62,2028)</f>
        <v/>
      </c>
      <c r="AJ10" s="1" t="inlineStr">
        <is>
          <t>Chamber split (same CPLH and cost per hour in every chamber; mix from Chamber Weights)</t>
        </is>
      </c>
    </row>
    <row r="11">
      <c r="R11">
        <f>Inputs!$A$41</f>
        <v/>
      </c>
      <c r="S11" s="30">
        <f>SUMIFS('QLD-2'!$J$15:$J$62,'QLD-2'!$B$15:$B$62,2025)</f>
        <v/>
      </c>
      <c r="T11" s="30">
        <f>SUMIFS('QLD-2'!$J$15:$J$62,'QLD-2'!$B$15:$B$62,2026)</f>
        <v/>
      </c>
      <c r="U11" s="30">
        <f>SUMIFS('QLD-2'!$J$15:$J$62,'QLD-2'!$B$15:$B$62,2027)</f>
        <v/>
      </c>
      <c r="V11" s="30">
        <f>SUMIFS('QLD-2'!$J$15:$J$62,'QLD-2'!$B$15:$B$62,2028)</f>
        <v/>
      </c>
      <c r="AJ11" s="6" t="inlineStr">
        <is>
          <t>Share of cases, all months</t>
        </is>
      </c>
      <c r="AK11" s="31">
        <f>IFERROR(SUM($AJ$15:$AJ$62)/SUM($F$15:$F$62),0)</f>
        <v/>
      </c>
      <c r="AP11" s="6" t="inlineStr">
        <is>
          <t>Share of cases, all months</t>
        </is>
      </c>
      <c r="AQ11" s="31">
        <f>IFERROR(SUM($AP$15:$AP$62)/SUM($F$15:$F$62),0)</f>
        <v/>
      </c>
      <c r="AV11" s="6" t="inlineStr">
        <is>
          <t>Share of cases, all months</t>
        </is>
      </c>
      <c r="AW11" s="31">
        <f>IFERROR(SUM($AV$15:$AV$62)/SUM($F$15:$F$62),0)</f>
        <v/>
      </c>
    </row>
    <row r="12">
      <c r="E12" s="7" t="inlineStr">
        <is>
          <t>Drivers</t>
        </is>
      </c>
      <c r="K12" s="7" t="inlineStr">
        <is>
          <t>Metrics</t>
        </is>
      </c>
      <c r="R12">
        <f>Inputs!$A$42</f>
        <v/>
      </c>
      <c r="S12" s="30">
        <f>SUMIFS('SA-1'!$J$15:$J$62,'SA-1'!$B$15:$B$62,2025)</f>
        <v/>
      </c>
      <c r="T12" s="30">
        <f>SUMIFS('SA-1'!$J$15:$J$62,'SA-1'!$B$15:$B$62,2026)</f>
        <v/>
      </c>
      <c r="U12" s="30">
        <f>SUMIFS('SA-1'!$J$15:$J$62,'SA-1'!$B$15:$B$62,2027)</f>
        <v/>
      </c>
      <c r="V12" s="30">
        <f>SUMIFS('SA-1'!$J$15:$J$62,'SA-1'!$B$15:$B$62,2028)</f>
        <v/>
      </c>
      <c r="AJ12" s="20" t="inlineStr">
        <is>
          <t>Ambient</t>
        </is>
      </c>
      <c r="AP12" s="20" t="inlineStr">
        <is>
          <t>Chiller</t>
        </is>
      </c>
      <c r="AV12" s="20" t="inlineStr">
        <is>
          <t>Freezer</t>
        </is>
      </c>
    </row>
    <row r="13" ht="60" customHeight="1">
      <c r="A13" s="7" t="inlineStr">
        <is>
          <t>Month</t>
        </is>
      </c>
      <c r="B13" s="7" t="inlineStr">
        <is>
          <t>Year</t>
        </is>
      </c>
      <c r="C13" s="7" t="inlineStr">
        <is>
          <t>Mth</t>
        </is>
      </c>
      <c r="D13" s="7" t="inlineStr">
        <is>
          <t>Status</t>
        </is>
      </c>
      <c r="E13" s="7" t="inlineStr">
        <is>
          <t>Sales</t>
        </is>
      </c>
      <c r="F13" s="7" t="inlineStr">
        <is>
          <t>Cases picked</t>
        </is>
      </c>
      <c r="G13" s="7" t="inlineStr">
        <is>
          <t>WH hours worked</t>
        </is>
      </c>
      <c r="H13" s="7" t="inlineStr">
        <is>
          <t>Staff payroll</t>
        </is>
      </c>
      <c r="I13" s="7" t="inlineStr">
        <is>
          <t>Leadership payroll</t>
        </is>
      </c>
      <c r="J13" s="7" t="inlineStr">
        <is>
          <t>Total payroll</t>
        </is>
      </c>
      <c r="K13" s="7" t="inlineStr">
        <is>
          <t>CPLH (cases / hr)</t>
        </is>
      </c>
      <c r="L13" s="7" t="inlineStr">
        <is>
          <t>Cost per hour (staff)</t>
        </is>
      </c>
      <c r="M13" s="7" t="inlineStr">
        <is>
          <t>Cost per case (total payroll)</t>
        </is>
      </c>
      <c r="N13" s="7" t="inlineStr">
        <is>
          <t>Total payroll % sales</t>
        </is>
      </c>
      <c r="O13" s="7" t="inlineStr">
        <is>
          <t>Leadership % of total payroll</t>
        </is>
      </c>
      <c r="R13">
        <f>Inputs!$A$43</f>
        <v/>
      </c>
      <c r="S13" s="30">
        <f>SUMIFS('WA-1'!$J$15:$J$62,'WA-1'!$B$15:$B$62,2025)</f>
        <v/>
      </c>
      <c r="T13" s="30">
        <f>SUMIFS('WA-1'!$J$15:$J$62,'WA-1'!$B$15:$B$62,2026)</f>
        <v/>
      </c>
      <c r="U13" s="30">
        <f>SUMIFS('WA-1'!$J$15:$J$62,'WA-1'!$B$15:$B$62,2027)</f>
        <v/>
      </c>
      <c r="V13" s="30">
        <f>SUMIFS('WA-1'!$J$15:$J$62,'WA-1'!$B$15:$B$62,2028)</f>
        <v/>
      </c>
      <c r="AJ13" s="20" t="inlineStr">
        <is>
          <t>Cases picked</t>
        </is>
      </c>
      <c r="AK13" s="20" t="inlineStr">
        <is>
          <t>WH hours worked</t>
        </is>
      </c>
      <c r="AL13" s="20" t="inlineStr">
        <is>
          <t>Staff payroll</t>
        </is>
      </c>
      <c r="AM13" s="20" t="inlineStr">
        <is>
          <t>Leadership payroll</t>
        </is>
      </c>
      <c r="AN13" s="20" t="inlineStr">
        <is>
          <t>Total payroll</t>
        </is>
      </c>
      <c r="AP13" s="20" t="inlineStr">
        <is>
          <t>Cases picked</t>
        </is>
      </c>
      <c r="AQ13" s="20" t="inlineStr">
        <is>
          <t>WH hours worked</t>
        </is>
      </c>
      <c r="AR13" s="20" t="inlineStr">
        <is>
          <t>Staff payroll</t>
        </is>
      </c>
      <c r="AS13" s="20" t="inlineStr">
        <is>
          <t>Leadership payroll</t>
        </is>
      </c>
      <c r="AT13" s="20" t="inlineStr">
        <is>
          <t>Total payroll</t>
        </is>
      </c>
      <c r="AV13" s="20" t="inlineStr">
        <is>
          <t>Cases picked</t>
        </is>
      </c>
      <c r="AW13" s="20" t="inlineStr">
        <is>
          <t>WH hours worked</t>
        </is>
      </c>
      <c r="AX13" s="20" t="inlineStr">
        <is>
          <t>Staff payroll</t>
        </is>
      </c>
      <c r="AY13" s="20" t="inlineStr">
        <is>
          <t>Leadership payroll</t>
        </is>
      </c>
      <c r="AZ13" s="20" t="inlineStr">
        <is>
          <t>Total payroll</t>
        </is>
      </c>
    </row>
    <row r="14">
      <c r="E14" s="32" t="inlineStr">
        <is>
          <t>$m</t>
        </is>
      </c>
      <c r="F14" s="32" t="inlineStr">
        <is>
          <t>m</t>
        </is>
      </c>
      <c r="G14" s="32" t="inlineStr">
        <is>
          <t>#</t>
        </is>
      </c>
      <c r="H14" s="32" t="inlineStr">
        <is>
          <t>$m</t>
        </is>
      </c>
      <c r="I14" s="32" t="inlineStr">
        <is>
          <t>$m</t>
        </is>
      </c>
      <c r="J14" s="32" t="inlineStr">
        <is>
          <t>$m</t>
        </is>
      </c>
      <c r="K14" s="32" t="inlineStr">
        <is>
          <t>#</t>
        </is>
      </c>
      <c r="L14" s="32" t="inlineStr">
        <is>
          <t>$</t>
        </is>
      </c>
      <c r="M14" s="32" t="inlineStr">
        <is>
          <t>$</t>
        </is>
      </c>
      <c r="N14" s="32" t="inlineStr">
        <is>
          <t>%</t>
        </is>
      </c>
      <c r="O14" s="32" t="inlineStr">
        <is>
          <t>%</t>
        </is>
      </c>
      <c r="R14">
        <f>Inputs!$A$44</f>
        <v/>
      </c>
      <c r="S14" s="30">
        <f>SUMIFS('IDC-NSW'!$J$15:$J$62,'IDC-NSW'!$B$15:$B$62,2025)</f>
        <v/>
      </c>
      <c r="T14" s="30">
        <f>SUMIFS('IDC-NSW'!$J$15:$J$62,'IDC-NSW'!$B$15:$B$62,2026)</f>
        <v/>
      </c>
      <c r="U14" s="30">
        <f>SUMIFS('IDC-NSW'!$J$15:$J$62,'IDC-NSW'!$B$15:$B$62,2027)</f>
        <v/>
      </c>
      <c r="V14" s="30">
        <f>SUMIFS('IDC-NSW'!$J$15:$J$62,'IDC-NSW'!$B$15:$B$62,2028)</f>
        <v/>
      </c>
      <c r="AJ14" s="32" t="inlineStr">
        <is>
          <t>m</t>
        </is>
      </c>
      <c r="AK14" s="32" t="inlineStr">
        <is>
          <t>#</t>
        </is>
      </c>
      <c r="AL14" s="32" t="inlineStr">
        <is>
          <t>$m</t>
        </is>
      </c>
      <c r="AM14" s="32" t="inlineStr">
        <is>
          <t>$m</t>
        </is>
      </c>
      <c r="AN14" s="32" t="inlineStr">
        <is>
          <t>$m</t>
        </is>
      </c>
      <c r="AP14" s="32" t="inlineStr">
        <is>
          <t>m</t>
        </is>
      </c>
      <c r="AQ14" s="32" t="inlineStr">
        <is>
          <t>#</t>
        </is>
      </c>
      <c r="AR14" s="32" t="inlineStr">
        <is>
          <t>$m</t>
        </is>
      </c>
      <c r="AS14" s="32" t="inlineStr">
        <is>
          <t>$m</t>
        </is>
      </c>
      <c r="AT14" s="32" t="inlineStr">
        <is>
          <t>$m</t>
        </is>
      </c>
      <c r="AV14" s="32" t="inlineStr">
        <is>
          <t>m</t>
        </is>
      </c>
      <c r="AW14" s="32" t="inlineStr">
        <is>
          <t>#</t>
        </is>
      </c>
      <c r="AX14" s="32" t="inlineStr">
        <is>
          <t>$m</t>
        </is>
      </c>
      <c r="AY14" s="32" t="inlineStr">
        <is>
          <t>$m</t>
        </is>
      </c>
      <c r="AZ14" s="32" t="inlineStr">
        <is>
          <t>$m</t>
        </is>
      </c>
    </row>
    <row r="15">
      <c r="A15" s="8" t="n">
        <v>45658</v>
      </c>
      <c r="B15" s="33">
        <f>YEAR(A15)</f>
        <v/>
      </c>
      <c r="C15" s="33">
        <f>MONTH(A15)</f>
        <v/>
      </c>
      <c r="D15">
        <f>IF(A15&lt;=LastActual,"Actual","Forecast")</f>
        <v/>
      </c>
      <c r="E15" s="30">
        <f>'NSW-1'!E15+'VIC-1'!E15+'QLD-1'!E15+'NSW-2'!E15+'VIC-2'!E15+'QLD-2'!E15+'SA-1'!E15+'WA-1'!E15</f>
        <v/>
      </c>
      <c r="F15" s="15">
        <f>'NSW-1'!F15+'VIC-1'!F15+'QLD-1'!F15+'NSW-2'!F15+'VIC-2'!F15+'QLD-2'!F15+'SA-1'!F15+'WA-1'!F15+'IDC-NSW'!F15+'IDC-VIC'!F15</f>
        <v/>
      </c>
      <c r="G15" s="9">
        <f>'NSW-1'!G15+'VIC-1'!G15+'QLD-1'!G15+'NSW-2'!G15+'VIC-2'!G15+'QLD-2'!G15+'SA-1'!G15+'WA-1'!G15+'IDC-NSW'!G15+'IDC-VIC'!G15</f>
        <v/>
      </c>
      <c r="H15" s="30">
        <f>'NSW-1'!H15+'VIC-1'!H15+'QLD-1'!H15+'NSW-2'!H15+'VIC-2'!H15+'QLD-2'!H15+'SA-1'!H15+'WA-1'!H15+'IDC-NSW'!H15+'IDC-VIC'!H15</f>
        <v/>
      </c>
      <c r="I15" s="30">
        <f>'NSW-1'!I15+'VIC-1'!I15+'QLD-1'!I15+'NSW-2'!I15+'VIC-2'!I15+'QLD-2'!I15+'SA-1'!I15+'WA-1'!I15+'IDC-NSW'!I15+'IDC-VIC'!I15</f>
        <v/>
      </c>
      <c r="J15" s="30">
        <f>'NSW-1'!J15+'VIC-1'!J15+'QLD-1'!J15+'NSW-2'!J15+'VIC-2'!J15+'QLD-2'!J15+'SA-1'!J15+'WA-1'!J15+'IDC-NSW'!J15+'IDC-VIC'!J15</f>
        <v/>
      </c>
      <c r="K15" s="10">
        <f>IFERROR(F15/G15,0)</f>
        <v/>
      </c>
      <c r="L15" s="34">
        <f>IFERROR(H15/G15,0)</f>
        <v/>
      </c>
      <c r="M15" s="35">
        <f>IFERROR(J15/F15,0)</f>
        <v/>
      </c>
      <c r="N15" s="36">
        <f>IFERROR(J15/E15,0)</f>
        <v/>
      </c>
      <c r="O15" s="36">
        <f>IFERROR(I15/J15,0)</f>
        <v/>
      </c>
      <c r="R15">
        <f>Inputs!$A$45</f>
        <v/>
      </c>
      <c r="S15" s="30">
        <f>SUMIFS('IDC-VIC'!$J$15:$J$62,'IDC-VIC'!$B$15:$B$62,2025)</f>
        <v/>
      </c>
      <c r="T15" s="30">
        <f>SUMIFS('IDC-VIC'!$J$15:$J$62,'IDC-VIC'!$B$15:$B$62,2026)</f>
        <v/>
      </c>
      <c r="U15" s="30">
        <f>SUMIFS('IDC-VIC'!$J$15:$J$62,'IDC-VIC'!$B$15:$B$62,2027)</f>
        <v/>
      </c>
      <c r="V15" s="30">
        <f>SUMIFS('IDC-VIC'!$J$15:$J$62,'IDC-VIC'!$B$15:$B$62,2028)</f>
        <v/>
      </c>
      <c r="AJ15" s="15">
        <f>'NSW-1'!AJ15+'VIC-1'!AJ15+'QLD-1'!AJ15+'NSW-2'!AJ15+'VIC-2'!AJ15+'QLD-2'!AJ15+'SA-1'!AJ15+'WA-1'!AJ15+'IDC-NSW'!AJ15+'IDC-VIC'!AJ15</f>
        <v/>
      </c>
      <c r="AK15" s="9">
        <f>'NSW-1'!AK15+'VIC-1'!AK15+'QLD-1'!AK15+'NSW-2'!AK15+'VIC-2'!AK15+'QLD-2'!AK15+'SA-1'!AK15+'WA-1'!AK15+'IDC-NSW'!AK15+'IDC-VIC'!AK15</f>
        <v/>
      </c>
      <c r="AL15" s="30">
        <f>'NSW-1'!AL15+'VIC-1'!AL15+'QLD-1'!AL15+'NSW-2'!AL15+'VIC-2'!AL15+'QLD-2'!AL15+'SA-1'!AL15+'WA-1'!AL15+'IDC-NSW'!AL15+'IDC-VIC'!AL15</f>
        <v/>
      </c>
      <c r="AM15" s="30">
        <f>'NSW-1'!AM15+'VIC-1'!AM15+'QLD-1'!AM15+'NSW-2'!AM15+'VIC-2'!AM15+'QLD-2'!AM15+'SA-1'!AM15+'WA-1'!AM15+'IDC-NSW'!AM15+'IDC-VIC'!AM15</f>
        <v/>
      </c>
      <c r="AN15" s="30">
        <f>'NSW-1'!AN15+'VIC-1'!AN15+'QLD-1'!AN15+'NSW-2'!AN15+'VIC-2'!AN15+'QLD-2'!AN15+'SA-1'!AN15+'WA-1'!AN15+'IDC-NSW'!AN15+'IDC-VIC'!AN15</f>
        <v/>
      </c>
      <c r="AP15" s="15">
        <f>'NSW-1'!AP15+'VIC-1'!AP15+'QLD-1'!AP15+'NSW-2'!AP15+'VIC-2'!AP15+'QLD-2'!AP15+'SA-1'!AP15+'WA-1'!AP15+'IDC-NSW'!AP15+'IDC-VIC'!AP15</f>
        <v/>
      </c>
      <c r="AQ15" s="9">
        <f>'NSW-1'!AQ15+'VIC-1'!AQ15+'QLD-1'!AQ15+'NSW-2'!AQ15+'VIC-2'!AQ15+'QLD-2'!AQ15+'SA-1'!AQ15+'WA-1'!AQ15+'IDC-NSW'!AQ15+'IDC-VIC'!AQ15</f>
        <v/>
      </c>
      <c r="AR15" s="30">
        <f>'NSW-1'!AR15+'VIC-1'!AR15+'QLD-1'!AR15+'NSW-2'!AR15+'VIC-2'!AR15+'QLD-2'!AR15+'SA-1'!AR15+'WA-1'!AR15+'IDC-NSW'!AR15+'IDC-VIC'!AR15</f>
        <v/>
      </c>
      <c r="AS15" s="30">
        <f>'NSW-1'!AS15+'VIC-1'!AS15+'QLD-1'!AS15+'NSW-2'!AS15+'VIC-2'!AS15+'QLD-2'!AS15+'SA-1'!AS15+'WA-1'!AS15+'IDC-NSW'!AS15+'IDC-VIC'!AS15</f>
        <v/>
      </c>
      <c r="AT15" s="30">
        <f>'NSW-1'!AT15+'VIC-1'!AT15+'QLD-1'!AT15+'NSW-2'!AT15+'VIC-2'!AT15+'QLD-2'!AT15+'SA-1'!AT15+'WA-1'!AT15+'IDC-NSW'!AT15+'IDC-VIC'!AT15</f>
        <v/>
      </c>
      <c r="AV15" s="15">
        <f>'NSW-1'!AV15+'VIC-1'!AV15+'QLD-1'!AV15+'NSW-2'!AV15+'VIC-2'!AV15+'QLD-2'!AV15+'SA-1'!AV15+'WA-1'!AV15+'IDC-NSW'!AV15+'IDC-VIC'!AV15</f>
        <v/>
      </c>
      <c r="AW15" s="9">
        <f>'NSW-1'!AW15+'VIC-1'!AW15+'QLD-1'!AW15+'NSW-2'!AW15+'VIC-2'!AW15+'QLD-2'!AW15+'SA-1'!AW15+'WA-1'!AW15+'IDC-NSW'!AW15+'IDC-VIC'!AW15</f>
        <v/>
      </c>
      <c r="AX15" s="30">
        <f>'NSW-1'!AX15+'VIC-1'!AX15+'QLD-1'!AX15+'NSW-2'!AX15+'VIC-2'!AX15+'QLD-2'!AX15+'SA-1'!AX15+'WA-1'!AX15+'IDC-NSW'!AX15+'IDC-VIC'!AX15</f>
        <v/>
      </c>
      <c r="AY15" s="30">
        <f>'NSW-1'!AY15+'VIC-1'!AY15+'QLD-1'!AY15+'NSW-2'!AY15+'VIC-2'!AY15+'QLD-2'!AY15+'SA-1'!AY15+'WA-1'!AY15+'IDC-NSW'!AY15+'IDC-VIC'!AY15</f>
        <v/>
      </c>
      <c r="AZ15" s="30">
        <f>'NSW-1'!AZ15+'VIC-1'!AZ15+'QLD-1'!AZ15+'NSW-2'!AZ15+'VIC-2'!AZ15+'QLD-2'!AZ15+'SA-1'!AZ15+'WA-1'!AZ15+'IDC-NSW'!AZ15+'IDC-VIC'!AZ15</f>
        <v/>
      </c>
    </row>
    <row r="16">
      <c r="A16" s="8" t="n">
        <v>45689</v>
      </c>
      <c r="B16" s="33">
        <f>YEAR(A16)</f>
        <v/>
      </c>
      <c r="C16" s="33">
        <f>MONTH(A16)</f>
        <v/>
      </c>
      <c r="D16">
        <f>IF(A16&lt;=LastActual,"Actual","Forecast")</f>
        <v/>
      </c>
      <c r="E16" s="30">
        <f>'NSW-1'!E16+'VIC-1'!E16+'QLD-1'!E16+'NSW-2'!E16+'VIC-2'!E16+'QLD-2'!E16+'SA-1'!E16+'WA-1'!E16</f>
        <v/>
      </c>
      <c r="F16" s="15">
        <f>'NSW-1'!F16+'VIC-1'!F16+'QLD-1'!F16+'NSW-2'!F16+'VIC-2'!F16+'QLD-2'!F16+'SA-1'!F16+'WA-1'!F16+'IDC-NSW'!F16+'IDC-VIC'!F16</f>
        <v/>
      </c>
      <c r="G16" s="9">
        <f>'NSW-1'!G16+'VIC-1'!G16+'QLD-1'!G16+'NSW-2'!G16+'VIC-2'!G16+'QLD-2'!G16+'SA-1'!G16+'WA-1'!G16+'IDC-NSW'!G16+'IDC-VIC'!G16</f>
        <v/>
      </c>
      <c r="H16" s="30">
        <f>'NSW-1'!H16+'VIC-1'!H16+'QLD-1'!H16+'NSW-2'!H16+'VIC-2'!H16+'QLD-2'!H16+'SA-1'!H16+'WA-1'!H16+'IDC-NSW'!H16+'IDC-VIC'!H16</f>
        <v/>
      </c>
      <c r="I16" s="30">
        <f>'NSW-1'!I16+'VIC-1'!I16+'QLD-1'!I16+'NSW-2'!I16+'VIC-2'!I16+'QLD-2'!I16+'SA-1'!I16+'WA-1'!I16+'IDC-NSW'!I16+'IDC-VIC'!I16</f>
        <v/>
      </c>
      <c r="J16" s="30">
        <f>'NSW-1'!J16+'VIC-1'!J16+'QLD-1'!J16+'NSW-2'!J16+'VIC-2'!J16+'QLD-2'!J16+'SA-1'!J16+'WA-1'!J16+'IDC-NSW'!J16+'IDC-VIC'!J16</f>
        <v/>
      </c>
      <c r="K16" s="10">
        <f>IFERROR(F16/G16,0)</f>
        <v/>
      </c>
      <c r="L16" s="34">
        <f>IFERROR(H16/G16,0)</f>
        <v/>
      </c>
      <c r="M16" s="35">
        <f>IFERROR(J16/F16,0)</f>
        <v/>
      </c>
      <c r="N16" s="36">
        <f>IFERROR(J16/E16,0)</f>
        <v/>
      </c>
      <c r="O16" s="36">
        <f>IFERROR(I16/J16,0)</f>
        <v/>
      </c>
      <c r="AJ16" s="15">
        <f>'NSW-1'!AJ16+'VIC-1'!AJ16+'QLD-1'!AJ16+'NSW-2'!AJ16+'VIC-2'!AJ16+'QLD-2'!AJ16+'SA-1'!AJ16+'WA-1'!AJ16+'IDC-NSW'!AJ16+'IDC-VIC'!AJ16</f>
        <v/>
      </c>
      <c r="AK16" s="9">
        <f>'NSW-1'!AK16+'VIC-1'!AK16+'QLD-1'!AK16+'NSW-2'!AK16+'VIC-2'!AK16+'QLD-2'!AK16+'SA-1'!AK16+'WA-1'!AK16+'IDC-NSW'!AK16+'IDC-VIC'!AK16</f>
        <v/>
      </c>
      <c r="AL16" s="30">
        <f>'NSW-1'!AL16+'VIC-1'!AL16+'QLD-1'!AL16+'NSW-2'!AL16+'VIC-2'!AL16+'QLD-2'!AL16+'SA-1'!AL16+'WA-1'!AL16+'IDC-NSW'!AL16+'IDC-VIC'!AL16</f>
        <v/>
      </c>
      <c r="AM16" s="30">
        <f>'NSW-1'!AM16+'VIC-1'!AM16+'QLD-1'!AM16+'NSW-2'!AM16+'VIC-2'!AM16+'QLD-2'!AM16+'SA-1'!AM16+'WA-1'!AM16+'IDC-NSW'!AM16+'IDC-VIC'!AM16</f>
        <v/>
      </c>
      <c r="AN16" s="30">
        <f>'NSW-1'!AN16+'VIC-1'!AN16+'QLD-1'!AN16+'NSW-2'!AN16+'VIC-2'!AN16+'QLD-2'!AN16+'SA-1'!AN16+'WA-1'!AN16+'IDC-NSW'!AN16+'IDC-VIC'!AN16</f>
        <v/>
      </c>
      <c r="AP16" s="15">
        <f>'NSW-1'!AP16+'VIC-1'!AP16+'QLD-1'!AP16+'NSW-2'!AP16+'VIC-2'!AP16+'QLD-2'!AP16+'SA-1'!AP16+'WA-1'!AP16+'IDC-NSW'!AP16+'IDC-VIC'!AP16</f>
        <v/>
      </c>
      <c r="AQ16" s="9">
        <f>'NSW-1'!AQ16+'VIC-1'!AQ16+'QLD-1'!AQ16+'NSW-2'!AQ16+'VIC-2'!AQ16+'QLD-2'!AQ16+'SA-1'!AQ16+'WA-1'!AQ16+'IDC-NSW'!AQ16+'IDC-VIC'!AQ16</f>
        <v/>
      </c>
      <c r="AR16" s="30">
        <f>'NSW-1'!AR16+'VIC-1'!AR16+'QLD-1'!AR16+'NSW-2'!AR16+'VIC-2'!AR16+'QLD-2'!AR16+'SA-1'!AR16+'WA-1'!AR16+'IDC-NSW'!AR16+'IDC-VIC'!AR16</f>
        <v/>
      </c>
      <c r="AS16" s="30">
        <f>'NSW-1'!AS16+'VIC-1'!AS16+'QLD-1'!AS16+'NSW-2'!AS16+'VIC-2'!AS16+'QLD-2'!AS16+'SA-1'!AS16+'WA-1'!AS16+'IDC-NSW'!AS16+'IDC-VIC'!AS16</f>
        <v/>
      </c>
      <c r="AT16" s="30">
        <f>'NSW-1'!AT16+'VIC-1'!AT16+'QLD-1'!AT16+'NSW-2'!AT16+'VIC-2'!AT16+'QLD-2'!AT16+'SA-1'!AT16+'WA-1'!AT16+'IDC-NSW'!AT16+'IDC-VIC'!AT16</f>
        <v/>
      </c>
      <c r="AV16" s="15">
        <f>'NSW-1'!AV16+'VIC-1'!AV16+'QLD-1'!AV16+'NSW-2'!AV16+'VIC-2'!AV16+'QLD-2'!AV16+'SA-1'!AV16+'WA-1'!AV16+'IDC-NSW'!AV16+'IDC-VIC'!AV16</f>
        <v/>
      </c>
      <c r="AW16" s="9">
        <f>'NSW-1'!AW16+'VIC-1'!AW16+'QLD-1'!AW16+'NSW-2'!AW16+'VIC-2'!AW16+'QLD-2'!AW16+'SA-1'!AW16+'WA-1'!AW16+'IDC-NSW'!AW16+'IDC-VIC'!AW16</f>
        <v/>
      </c>
      <c r="AX16" s="30">
        <f>'NSW-1'!AX16+'VIC-1'!AX16+'QLD-1'!AX16+'NSW-2'!AX16+'VIC-2'!AX16+'QLD-2'!AX16+'SA-1'!AX16+'WA-1'!AX16+'IDC-NSW'!AX16+'IDC-VIC'!AX16</f>
        <v/>
      </c>
      <c r="AY16" s="30">
        <f>'NSW-1'!AY16+'VIC-1'!AY16+'QLD-1'!AY16+'NSW-2'!AY16+'VIC-2'!AY16+'QLD-2'!AY16+'SA-1'!AY16+'WA-1'!AY16+'IDC-NSW'!AY16+'IDC-VIC'!AY16</f>
        <v/>
      </c>
      <c r="AZ16" s="30">
        <f>'NSW-1'!AZ16+'VIC-1'!AZ16+'QLD-1'!AZ16+'NSW-2'!AZ16+'VIC-2'!AZ16+'QLD-2'!AZ16+'SA-1'!AZ16+'WA-1'!AZ16+'IDC-NSW'!AZ16+'IDC-VIC'!AZ16</f>
        <v/>
      </c>
    </row>
    <row r="17">
      <c r="A17" s="8" t="n">
        <v>45717</v>
      </c>
      <c r="B17" s="33">
        <f>YEAR(A17)</f>
        <v/>
      </c>
      <c r="C17" s="33">
        <f>MONTH(A17)</f>
        <v/>
      </c>
      <c r="D17">
        <f>IF(A17&lt;=LastActual,"Actual","Forecast")</f>
        <v/>
      </c>
      <c r="E17" s="30">
        <f>'NSW-1'!E17+'VIC-1'!E17+'QLD-1'!E17+'NSW-2'!E17+'VIC-2'!E17+'QLD-2'!E17+'SA-1'!E17+'WA-1'!E17</f>
        <v/>
      </c>
      <c r="F17" s="15">
        <f>'NSW-1'!F17+'VIC-1'!F17+'QLD-1'!F17+'NSW-2'!F17+'VIC-2'!F17+'QLD-2'!F17+'SA-1'!F17+'WA-1'!F17+'IDC-NSW'!F17+'IDC-VIC'!F17</f>
        <v/>
      </c>
      <c r="G17" s="9">
        <f>'NSW-1'!G17+'VIC-1'!G17+'QLD-1'!G17+'NSW-2'!G17+'VIC-2'!G17+'QLD-2'!G17+'SA-1'!G17+'WA-1'!G17+'IDC-NSW'!G17+'IDC-VIC'!G17</f>
        <v/>
      </c>
      <c r="H17" s="30">
        <f>'NSW-1'!H17+'VIC-1'!H17+'QLD-1'!H17+'NSW-2'!H17+'VIC-2'!H17+'QLD-2'!H17+'SA-1'!H17+'WA-1'!H17+'IDC-NSW'!H17+'IDC-VIC'!H17</f>
        <v/>
      </c>
      <c r="I17" s="30">
        <f>'NSW-1'!I17+'VIC-1'!I17+'QLD-1'!I17+'NSW-2'!I17+'VIC-2'!I17+'QLD-2'!I17+'SA-1'!I17+'WA-1'!I17+'IDC-NSW'!I17+'IDC-VIC'!I17</f>
        <v/>
      </c>
      <c r="J17" s="30">
        <f>'NSW-1'!J17+'VIC-1'!J17+'QLD-1'!J17+'NSW-2'!J17+'VIC-2'!J17+'QLD-2'!J17+'SA-1'!J17+'WA-1'!J17+'IDC-NSW'!J17+'IDC-VIC'!J17</f>
        <v/>
      </c>
      <c r="K17" s="10">
        <f>IFERROR(F17/G17,0)</f>
        <v/>
      </c>
      <c r="L17" s="34">
        <f>IFERROR(H17/G17,0)</f>
        <v/>
      </c>
      <c r="M17" s="35">
        <f>IFERROR(J17/F17,0)</f>
        <v/>
      </c>
      <c r="N17" s="36">
        <f>IFERROR(J17/E17,0)</f>
        <v/>
      </c>
      <c r="O17" s="36">
        <f>IFERROR(I17/J17,0)</f>
        <v/>
      </c>
      <c r="AJ17" s="15">
        <f>'NSW-1'!AJ17+'VIC-1'!AJ17+'QLD-1'!AJ17+'NSW-2'!AJ17+'VIC-2'!AJ17+'QLD-2'!AJ17+'SA-1'!AJ17+'WA-1'!AJ17+'IDC-NSW'!AJ17+'IDC-VIC'!AJ17</f>
        <v/>
      </c>
      <c r="AK17" s="9">
        <f>'NSW-1'!AK17+'VIC-1'!AK17+'QLD-1'!AK17+'NSW-2'!AK17+'VIC-2'!AK17+'QLD-2'!AK17+'SA-1'!AK17+'WA-1'!AK17+'IDC-NSW'!AK17+'IDC-VIC'!AK17</f>
        <v/>
      </c>
      <c r="AL17" s="30">
        <f>'NSW-1'!AL17+'VIC-1'!AL17+'QLD-1'!AL17+'NSW-2'!AL17+'VIC-2'!AL17+'QLD-2'!AL17+'SA-1'!AL17+'WA-1'!AL17+'IDC-NSW'!AL17+'IDC-VIC'!AL17</f>
        <v/>
      </c>
      <c r="AM17" s="30">
        <f>'NSW-1'!AM17+'VIC-1'!AM17+'QLD-1'!AM17+'NSW-2'!AM17+'VIC-2'!AM17+'QLD-2'!AM17+'SA-1'!AM17+'WA-1'!AM17+'IDC-NSW'!AM17+'IDC-VIC'!AM17</f>
        <v/>
      </c>
      <c r="AN17" s="30">
        <f>'NSW-1'!AN17+'VIC-1'!AN17+'QLD-1'!AN17+'NSW-2'!AN17+'VIC-2'!AN17+'QLD-2'!AN17+'SA-1'!AN17+'WA-1'!AN17+'IDC-NSW'!AN17+'IDC-VIC'!AN17</f>
        <v/>
      </c>
      <c r="AP17" s="15">
        <f>'NSW-1'!AP17+'VIC-1'!AP17+'QLD-1'!AP17+'NSW-2'!AP17+'VIC-2'!AP17+'QLD-2'!AP17+'SA-1'!AP17+'WA-1'!AP17+'IDC-NSW'!AP17+'IDC-VIC'!AP17</f>
        <v/>
      </c>
      <c r="AQ17" s="9">
        <f>'NSW-1'!AQ17+'VIC-1'!AQ17+'QLD-1'!AQ17+'NSW-2'!AQ17+'VIC-2'!AQ17+'QLD-2'!AQ17+'SA-1'!AQ17+'WA-1'!AQ17+'IDC-NSW'!AQ17+'IDC-VIC'!AQ17</f>
        <v/>
      </c>
      <c r="AR17" s="30">
        <f>'NSW-1'!AR17+'VIC-1'!AR17+'QLD-1'!AR17+'NSW-2'!AR17+'VIC-2'!AR17+'QLD-2'!AR17+'SA-1'!AR17+'WA-1'!AR17+'IDC-NSW'!AR17+'IDC-VIC'!AR17</f>
        <v/>
      </c>
      <c r="AS17" s="30">
        <f>'NSW-1'!AS17+'VIC-1'!AS17+'QLD-1'!AS17+'NSW-2'!AS17+'VIC-2'!AS17+'QLD-2'!AS17+'SA-1'!AS17+'WA-1'!AS17+'IDC-NSW'!AS17+'IDC-VIC'!AS17</f>
        <v/>
      </c>
      <c r="AT17" s="30">
        <f>'NSW-1'!AT17+'VIC-1'!AT17+'QLD-1'!AT17+'NSW-2'!AT17+'VIC-2'!AT17+'QLD-2'!AT17+'SA-1'!AT17+'WA-1'!AT17+'IDC-NSW'!AT17+'IDC-VIC'!AT17</f>
        <v/>
      </c>
      <c r="AV17" s="15">
        <f>'NSW-1'!AV17+'VIC-1'!AV17+'QLD-1'!AV17+'NSW-2'!AV17+'VIC-2'!AV17+'QLD-2'!AV17+'SA-1'!AV17+'WA-1'!AV17+'IDC-NSW'!AV17+'IDC-VIC'!AV17</f>
        <v/>
      </c>
      <c r="AW17" s="9">
        <f>'NSW-1'!AW17+'VIC-1'!AW17+'QLD-1'!AW17+'NSW-2'!AW17+'VIC-2'!AW17+'QLD-2'!AW17+'SA-1'!AW17+'WA-1'!AW17+'IDC-NSW'!AW17+'IDC-VIC'!AW17</f>
        <v/>
      </c>
      <c r="AX17" s="30">
        <f>'NSW-1'!AX17+'VIC-1'!AX17+'QLD-1'!AX17+'NSW-2'!AX17+'VIC-2'!AX17+'QLD-2'!AX17+'SA-1'!AX17+'WA-1'!AX17+'IDC-NSW'!AX17+'IDC-VIC'!AX17</f>
        <v/>
      </c>
      <c r="AY17" s="30">
        <f>'NSW-1'!AY17+'VIC-1'!AY17+'QLD-1'!AY17+'NSW-2'!AY17+'VIC-2'!AY17+'QLD-2'!AY17+'SA-1'!AY17+'WA-1'!AY17+'IDC-NSW'!AY17+'IDC-VIC'!AY17</f>
        <v/>
      </c>
      <c r="AZ17" s="30">
        <f>'NSW-1'!AZ17+'VIC-1'!AZ17+'QLD-1'!AZ17+'NSW-2'!AZ17+'VIC-2'!AZ17+'QLD-2'!AZ17+'SA-1'!AZ17+'WA-1'!AZ17+'IDC-NSW'!AZ17+'IDC-VIC'!AZ17</f>
        <v/>
      </c>
    </row>
    <row r="18">
      <c r="A18" s="8" t="n">
        <v>45748</v>
      </c>
      <c r="B18" s="33">
        <f>YEAR(A18)</f>
        <v/>
      </c>
      <c r="C18" s="33">
        <f>MONTH(A18)</f>
        <v/>
      </c>
      <c r="D18">
        <f>IF(A18&lt;=LastActual,"Actual","Forecast")</f>
        <v/>
      </c>
      <c r="E18" s="30">
        <f>'NSW-1'!E18+'VIC-1'!E18+'QLD-1'!E18+'NSW-2'!E18+'VIC-2'!E18+'QLD-2'!E18+'SA-1'!E18+'WA-1'!E18</f>
        <v/>
      </c>
      <c r="F18" s="15">
        <f>'NSW-1'!F18+'VIC-1'!F18+'QLD-1'!F18+'NSW-2'!F18+'VIC-2'!F18+'QLD-2'!F18+'SA-1'!F18+'WA-1'!F18+'IDC-NSW'!F18+'IDC-VIC'!F18</f>
        <v/>
      </c>
      <c r="G18" s="9">
        <f>'NSW-1'!G18+'VIC-1'!G18+'QLD-1'!G18+'NSW-2'!G18+'VIC-2'!G18+'QLD-2'!G18+'SA-1'!G18+'WA-1'!G18+'IDC-NSW'!G18+'IDC-VIC'!G18</f>
        <v/>
      </c>
      <c r="H18" s="30">
        <f>'NSW-1'!H18+'VIC-1'!H18+'QLD-1'!H18+'NSW-2'!H18+'VIC-2'!H18+'QLD-2'!H18+'SA-1'!H18+'WA-1'!H18+'IDC-NSW'!H18+'IDC-VIC'!H18</f>
        <v/>
      </c>
      <c r="I18" s="30">
        <f>'NSW-1'!I18+'VIC-1'!I18+'QLD-1'!I18+'NSW-2'!I18+'VIC-2'!I18+'QLD-2'!I18+'SA-1'!I18+'WA-1'!I18+'IDC-NSW'!I18+'IDC-VIC'!I18</f>
        <v/>
      </c>
      <c r="J18" s="30">
        <f>'NSW-1'!J18+'VIC-1'!J18+'QLD-1'!J18+'NSW-2'!J18+'VIC-2'!J18+'QLD-2'!J18+'SA-1'!J18+'WA-1'!J18+'IDC-NSW'!J18+'IDC-VIC'!J18</f>
        <v/>
      </c>
      <c r="K18" s="10">
        <f>IFERROR(F18/G18,0)</f>
        <v/>
      </c>
      <c r="L18" s="34">
        <f>IFERROR(H18/G18,0)</f>
        <v/>
      </c>
      <c r="M18" s="35">
        <f>IFERROR(J18/F18,0)</f>
        <v/>
      </c>
      <c r="N18" s="36">
        <f>IFERROR(J18/E18,0)</f>
        <v/>
      </c>
      <c r="O18" s="36">
        <f>IFERROR(I18/J18,0)</f>
        <v/>
      </c>
      <c r="R18" s="1" t="inlineStr">
        <is>
          <t>Cases picked (m)</t>
        </is>
      </c>
      <c r="AJ18" s="15">
        <f>'NSW-1'!AJ18+'VIC-1'!AJ18+'QLD-1'!AJ18+'NSW-2'!AJ18+'VIC-2'!AJ18+'QLD-2'!AJ18+'SA-1'!AJ18+'WA-1'!AJ18+'IDC-NSW'!AJ18+'IDC-VIC'!AJ18</f>
        <v/>
      </c>
      <c r="AK18" s="9">
        <f>'NSW-1'!AK18+'VIC-1'!AK18+'QLD-1'!AK18+'NSW-2'!AK18+'VIC-2'!AK18+'QLD-2'!AK18+'SA-1'!AK18+'WA-1'!AK18+'IDC-NSW'!AK18+'IDC-VIC'!AK18</f>
        <v/>
      </c>
      <c r="AL18" s="30">
        <f>'NSW-1'!AL18+'VIC-1'!AL18+'QLD-1'!AL18+'NSW-2'!AL18+'VIC-2'!AL18+'QLD-2'!AL18+'SA-1'!AL18+'WA-1'!AL18+'IDC-NSW'!AL18+'IDC-VIC'!AL18</f>
        <v/>
      </c>
      <c r="AM18" s="30">
        <f>'NSW-1'!AM18+'VIC-1'!AM18+'QLD-1'!AM18+'NSW-2'!AM18+'VIC-2'!AM18+'QLD-2'!AM18+'SA-1'!AM18+'WA-1'!AM18+'IDC-NSW'!AM18+'IDC-VIC'!AM18</f>
        <v/>
      </c>
      <c r="AN18" s="30">
        <f>'NSW-1'!AN18+'VIC-1'!AN18+'QLD-1'!AN18+'NSW-2'!AN18+'VIC-2'!AN18+'QLD-2'!AN18+'SA-1'!AN18+'WA-1'!AN18+'IDC-NSW'!AN18+'IDC-VIC'!AN18</f>
        <v/>
      </c>
      <c r="AP18" s="15">
        <f>'NSW-1'!AP18+'VIC-1'!AP18+'QLD-1'!AP18+'NSW-2'!AP18+'VIC-2'!AP18+'QLD-2'!AP18+'SA-1'!AP18+'WA-1'!AP18+'IDC-NSW'!AP18+'IDC-VIC'!AP18</f>
        <v/>
      </c>
      <c r="AQ18" s="9">
        <f>'NSW-1'!AQ18+'VIC-1'!AQ18+'QLD-1'!AQ18+'NSW-2'!AQ18+'VIC-2'!AQ18+'QLD-2'!AQ18+'SA-1'!AQ18+'WA-1'!AQ18+'IDC-NSW'!AQ18+'IDC-VIC'!AQ18</f>
        <v/>
      </c>
      <c r="AR18" s="30">
        <f>'NSW-1'!AR18+'VIC-1'!AR18+'QLD-1'!AR18+'NSW-2'!AR18+'VIC-2'!AR18+'QLD-2'!AR18+'SA-1'!AR18+'WA-1'!AR18+'IDC-NSW'!AR18+'IDC-VIC'!AR18</f>
        <v/>
      </c>
      <c r="AS18" s="30">
        <f>'NSW-1'!AS18+'VIC-1'!AS18+'QLD-1'!AS18+'NSW-2'!AS18+'VIC-2'!AS18+'QLD-2'!AS18+'SA-1'!AS18+'WA-1'!AS18+'IDC-NSW'!AS18+'IDC-VIC'!AS18</f>
        <v/>
      </c>
      <c r="AT18" s="30">
        <f>'NSW-1'!AT18+'VIC-1'!AT18+'QLD-1'!AT18+'NSW-2'!AT18+'VIC-2'!AT18+'QLD-2'!AT18+'SA-1'!AT18+'WA-1'!AT18+'IDC-NSW'!AT18+'IDC-VIC'!AT18</f>
        <v/>
      </c>
      <c r="AV18" s="15">
        <f>'NSW-1'!AV18+'VIC-1'!AV18+'QLD-1'!AV18+'NSW-2'!AV18+'VIC-2'!AV18+'QLD-2'!AV18+'SA-1'!AV18+'WA-1'!AV18+'IDC-NSW'!AV18+'IDC-VIC'!AV18</f>
        <v/>
      </c>
      <c r="AW18" s="9">
        <f>'NSW-1'!AW18+'VIC-1'!AW18+'QLD-1'!AW18+'NSW-2'!AW18+'VIC-2'!AW18+'QLD-2'!AW18+'SA-1'!AW18+'WA-1'!AW18+'IDC-NSW'!AW18+'IDC-VIC'!AW18</f>
        <v/>
      </c>
      <c r="AX18" s="30">
        <f>'NSW-1'!AX18+'VIC-1'!AX18+'QLD-1'!AX18+'NSW-2'!AX18+'VIC-2'!AX18+'QLD-2'!AX18+'SA-1'!AX18+'WA-1'!AX18+'IDC-NSW'!AX18+'IDC-VIC'!AX18</f>
        <v/>
      </c>
      <c r="AY18" s="30">
        <f>'NSW-1'!AY18+'VIC-1'!AY18+'QLD-1'!AY18+'NSW-2'!AY18+'VIC-2'!AY18+'QLD-2'!AY18+'SA-1'!AY18+'WA-1'!AY18+'IDC-NSW'!AY18+'IDC-VIC'!AY18</f>
        <v/>
      </c>
      <c r="AZ18" s="30">
        <f>'NSW-1'!AZ18+'VIC-1'!AZ18+'QLD-1'!AZ18+'NSW-2'!AZ18+'VIC-2'!AZ18+'QLD-2'!AZ18+'SA-1'!AZ18+'WA-1'!AZ18+'IDC-NSW'!AZ18+'IDC-VIC'!AZ18</f>
        <v/>
      </c>
    </row>
    <row r="19">
      <c r="A19" s="8" t="n">
        <v>45778</v>
      </c>
      <c r="B19" s="33">
        <f>YEAR(A19)</f>
        <v/>
      </c>
      <c r="C19" s="33">
        <f>MONTH(A19)</f>
        <v/>
      </c>
      <c r="D19">
        <f>IF(A19&lt;=LastActual,"Actual","Forecast")</f>
        <v/>
      </c>
      <c r="E19" s="30">
        <f>'NSW-1'!E19+'VIC-1'!E19+'QLD-1'!E19+'NSW-2'!E19+'VIC-2'!E19+'QLD-2'!E19+'SA-1'!E19+'WA-1'!E19</f>
        <v/>
      </c>
      <c r="F19" s="15">
        <f>'NSW-1'!F19+'VIC-1'!F19+'QLD-1'!F19+'NSW-2'!F19+'VIC-2'!F19+'QLD-2'!F19+'SA-1'!F19+'WA-1'!F19+'IDC-NSW'!F19+'IDC-VIC'!F19</f>
        <v/>
      </c>
      <c r="G19" s="9">
        <f>'NSW-1'!G19+'VIC-1'!G19+'QLD-1'!G19+'NSW-2'!G19+'VIC-2'!G19+'QLD-2'!G19+'SA-1'!G19+'WA-1'!G19+'IDC-NSW'!G19+'IDC-VIC'!G19</f>
        <v/>
      </c>
      <c r="H19" s="30">
        <f>'NSW-1'!H19+'VIC-1'!H19+'QLD-1'!H19+'NSW-2'!H19+'VIC-2'!H19+'QLD-2'!H19+'SA-1'!H19+'WA-1'!H19+'IDC-NSW'!H19+'IDC-VIC'!H19</f>
        <v/>
      </c>
      <c r="I19" s="30">
        <f>'NSW-1'!I19+'VIC-1'!I19+'QLD-1'!I19+'NSW-2'!I19+'VIC-2'!I19+'QLD-2'!I19+'SA-1'!I19+'WA-1'!I19+'IDC-NSW'!I19+'IDC-VIC'!I19</f>
        <v/>
      </c>
      <c r="J19" s="30">
        <f>'NSW-1'!J19+'VIC-1'!J19+'QLD-1'!J19+'NSW-2'!J19+'VIC-2'!J19+'QLD-2'!J19+'SA-1'!J19+'WA-1'!J19+'IDC-NSW'!J19+'IDC-VIC'!J19</f>
        <v/>
      </c>
      <c r="K19" s="10">
        <f>IFERROR(F19/G19,0)</f>
        <v/>
      </c>
      <c r="L19" s="34">
        <f>IFERROR(H19/G19,0)</f>
        <v/>
      </c>
      <c r="M19" s="35">
        <f>IFERROR(J19/F19,0)</f>
        <v/>
      </c>
      <c r="N19" s="36">
        <f>IFERROR(J19/E19,0)</f>
        <v/>
      </c>
      <c r="O19" s="36">
        <f>IFERROR(I19/J19,0)</f>
        <v/>
      </c>
      <c r="R19" s="7" t="inlineStr">
        <is>
          <t>Site</t>
        </is>
      </c>
      <c r="S19" s="7" t="inlineStr">
        <is>
          <t>FY2025</t>
        </is>
      </c>
      <c r="T19" s="7" t="inlineStr">
        <is>
          <t>FY2026</t>
        </is>
      </c>
      <c r="U19" s="7" t="inlineStr">
        <is>
          <t>FY2027</t>
        </is>
      </c>
      <c r="V19" s="7" t="inlineStr">
        <is>
          <t>FY2028</t>
        </is>
      </c>
      <c r="AJ19" s="15">
        <f>'NSW-1'!AJ19+'VIC-1'!AJ19+'QLD-1'!AJ19+'NSW-2'!AJ19+'VIC-2'!AJ19+'QLD-2'!AJ19+'SA-1'!AJ19+'WA-1'!AJ19+'IDC-NSW'!AJ19+'IDC-VIC'!AJ19</f>
        <v/>
      </c>
      <c r="AK19" s="9">
        <f>'NSW-1'!AK19+'VIC-1'!AK19+'QLD-1'!AK19+'NSW-2'!AK19+'VIC-2'!AK19+'QLD-2'!AK19+'SA-1'!AK19+'WA-1'!AK19+'IDC-NSW'!AK19+'IDC-VIC'!AK19</f>
        <v/>
      </c>
      <c r="AL19" s="30">
        <f>'NSW-1'!AL19+'VIC-1'!AL19+'QLD-1'!AL19+'NSW-2'!AL19+'VIC-2'!AL19+'QLD-2'!AL19+'SA-1'!AL19+'WA-1'!AL19+'IDC-NSW'!AL19+'IDC-VIC'!AL19</f>
        <v/>
      </c>
      <c r="AM19" s="30">
        <f>'NSW-1'!AM19+'VIC-1'!AM19+'QLD-1'!AM19+'NSW-2'!AM19+'VIC-2'!AM19+'QLD-2'!AM19+'SA-1'!AM19+'WA-1'!AM19+'IDC-NSW'!AM19+'IDC-VIC'!AM19</f>
        <v/>
      </c>
      <c r="AN19" s="30">
        <f>'NSW-1'!AN19+'VIC-1'!AN19+'QLD-1'!AN19+'NSW-2'!AN19+'VIC-2'!AN19+'QLD-2'!AN19+'SA-1'!AN19+'WA-1'!AN19+'IDC-NSW'!AN19+'IDC-VIC'!AN19</f>
        <v/>
      </c>
      <c r="AP19" s="15">
        <f>'NSW-1'!AP19+'VIC-1'!AP19+'QLD-1'!AP19+'NSW-2'!AP19+'VIC-2'!AP19+'QLD-2'!AP19+'SA-1'!AP19+'WA-1'!AP19+'IDC-NSW'!AP19+'IDC-VIC'!AP19</f>
        <v/>
      </c>
      <c r="AQ19" s="9">
        <f>'NSW-1'!AQ19+'VIC-1'!AQ19+'QLD-1'!AQ19+'NSW-2'!AQ19+'VIC-2'!AQ19+'QLD-2'!AQ19+'SA-1'!AQ19+'WA-1'!AQ19+'IDC-NSW'!AQ19+'IDC-VIC'!AQ19</f>
        <v/>
      </c>
      <c r="AR19" s="30">
        <f>'NSW-1'!AR19+'VIC-1'!AR19+'QLD-1'!AR19+'NSW-2'!AR19+'VIC-2'!AR19+'QLD-2'!AR19+'SA-1'!AR19+'WA-1'!AR19+'IDC-NSW'!AR19+'IDC-VIC'!AR19</f>
        <v/>
      </c>
      <c r="AS19" s="30">
        <f>'NSW-1'!AS19+'VIC-1'!AS19+'QLD-1'!AS19+'NSW-2'!AS19+'VIC-2'!AS19+'QLD-2'!AS19+'SA-1'!AS19+'WA-1'!AS19+'IDC-NSW'!AS19+'IDC-VIC'!AS19</f>
        <v/>
      </c>
      <c r="AT19" s="30">
        <f>'NSW-1'!AT19+'VIC-1'!AT19+'QLD-1'!AT19+'NSW-2'!AT19+'VIC-2'!AT19+'QLD-2'!AT19+'SA-1'!AT19+'WA-1'!AT19+'IDC-NSW'!AT19+'IDC-VIC'!AT19</f>
        <v/>
      </c>
      <c r="AV19" s="15">
        <f>'NSW-1'!AV19+'VIC-1'!AV19+'QLD-1'!AV19+'NSW-2'!AV19+'VIC-2'!AV19+'QLD-2'!AV19+'SA-1'!AV19+'WA-1'!AV19+'IDC-NSW'!AV19+'IDC-VIC'!AV19</f>
        <v/>
      </c>
      <c r="AW19" s="9">
        <f>'NSW-1'!AW19+'VIC-1'!AW19+'QLD-1'!AW19+'NSW-2'!AW19+'VIC-2'!AW19+'QLD-2'!AW19+'SA-1'!AW19+'WA-1'!AW19+'IDC-NSW'!AW19+'IDC-VIC'!AW19</f>
        <v/>
      </c>
      <c r="AX19" s="30">
        <f>'NSW-1'!AX19+'VIC-1'!AX19+'QLD-1'!AX19+'NSW-2'!AX19+'VIC-2'!AX19+'QLD-2'!AX19+'SA-1'!AX19+'WA-1'!AX19+'IDC-NSW'!AX19+'IDC-VIC'!AX19</f>
        <v/>
      </c>
      <c r="AY19" s="30">
        <f>'NSW-1'!AY19+'VIC-1'!AY19+'QLD-1'!AY19+'NSW-2'!AY19+'VIC-2'!AY19+'QLD-2'!AY19+'SA-1'!AY19+'WA-1'!AY19+'IDC-NSW'!AY19+'IDC-VIC'!AY19</f>
        <v/>
      </c>
      <c r="AZ19" s="30">
        <f>'NSW-1'!AZ19+'VIC-1'!AZ19+'QLD-1'!AZ19+'NSW-2'!AZ19+'VIC-2'!AZ19+'QLD-2'!AZ19+'SA-1'!AZ19+'WA-1'!AZ19+'IDC-NSW'!AZ19+'IDC-VIC'!AZ19</f>
        <v/>
      </c>
    </row>
    <row r="20">
      <c r="A20" s="8" t="n">
        <v>45809</v>
      </c>
      <c r="B20" s="33">
        <f>YEAR(A20)</f>
        <v/>
      </c>
      <c r="C20" s="33">
        <f>MONTH(A20)</f>
        <v/>
      </c>
      <c r="D20">
        <f>IF(A20&lt;=LastActual,"Actual","Forecast")</f>
        <v/>
      </c>
      <c r="E20" s="30">
        <f>'NSW-1'!E20+'VIC-1'!E20+'QLD-1'!E20+'NSW-2'!E20+'VIC-2'!E20+'QLD-2'!E20+'SA-1'!E20+'WA-1'!E20</f>
        <v/>
      </c>
      <c r="F20" s="15">
        <f>'NSW-1'!F20+'VIC-1'!F20+'QLD-1'!F20+'NSW-2'!F20+'VIC-2'!F20+'QLD-2'!F20+'SA-1'!F20+'WA-1'!F20+'IDC-NSW'!F20+'IDC-VIC'!F20</f>
        <v/>
      </c>
      <c r="G20" s="9">
        <f>'NSW-1'!G20+'VIC-1'!G20+'QLD-1'!G20+'NSW-2'!G20+'VIC-2'!G20+'QLD-2'!G20+'SA-1'!G20+'WA-1'!G20+'IDC-NSW'!G20+'IDC-VIC'!G20</f>
        <v/>
      </c>
      <c r="H20" s="30">
        <f>'NSW-1'!H20+'VIC-1'!H20+'QLD-1'!H20+'NSW-2'!H20+'VIC-2'!H20+'QLD-2'!H20+'SA-1'!H20+'WA-1'!H20+'IDC-NSW'!H20+'IDC-VIC'!H20</f>
        <v/>
      </c>
      <c r="I20" s="30">
        <f>'NSW-1'!I20+'VIC-1'!I20+'QLD-1'!I20+'NSW-2'!I20+'VIC-2'!I20+'QLD-2'!I20+'SA-1'!I20+'WA-1'!I20+'IDC-NSW'!I20+'IDC-VIC'!I20</f>
        <v/>
      </c>
      <c r="J20" s="30">
        <f>'NSW-1'!J20+'VIC-1'!J20+'QLD-1'!J20+'NSW-2'!J20+'VIC-2'!J20+'QLD-2'!J20+'SA-1'!J20+'WA-1'!J20+'IDC-NSW'!J20+'IDC-VIC'!J20</f>
        <v/>
      </c>
      <c r="K20" s="10">
        <f>IFERROR(F20/G20,0)</f>
        <v/>
      </c>
      <c r="L20" s="34">
        <f>IFERROR(H20/G20,0)</f>
        <v/>
      </c>
      <c r="M20" s="35">
        <f>IFERROR(J20/F20,0)</f>
        <v/>
      </c>
      <c r="N20" s="36">
        <f>IFERROR(J20/E20,0)</f>
        <v/>
      </c>
      <c r="O20" s="36">
        <f>IFERROR(I20/J20,0)</f>
        <v/>
      </c>
      <c r="R20">
        <f>Inputs!$A$36</f>
        <v/>
      </c>
      <c r="S20" s="15">
        <f>SUMIFS('NSW-1'!$F$15:$F$62,'NSW-1'!$B$15:$B$62,2025)</f>
        <v/>
      </c>
      <c r="T20" s="15">
        <f>SUMIFS('NSW-1'!$F$15:$F$62,'NSW-1'!$B$15:$B$62,2026)</f>
        <v/>
      </c>
      <c r="U20" s="15">
        <f>SUMIFS('NSW-1'!$F$15:$F$62,'NSW-1'!$B$15:$B$62,2027)</f>
        <v/>
      </c>
      <c r="V20" s="15">
        <f>SUMIFS('NSW-1'!$F$15:$F$62,'NSW-1'!$B$15:$B$62,2028)</f>
        <v/>
      </c>
      <c r="AJ20" s="15">
        <f>'NSW-1'!AJ20+'VIC-1'!AJ20+'QLD-1'!AJ20+'NSW-2'!AJ20+'VIC-2'!AJ20+'QLD-2'!AJ20+'SA-1'!AJ20+'WA-1'!AJ20+'IDC-NSW'!AJ20+'IDC-VIC'!AJ20</f>
        <v/>
      </c>
      <c r="AK20" s="9">
        <f>'NSW-1'!AK20+'VIC-1'!AK20+'QLD-1'!AK20+'NSW-2'!AK20+'VIC-2'!AK20+'QLD-2'!AK20+'SA-1'!AK20+'WA-1'!AK20+'IDC-NSW'!AK20+'IDC-VIC'!AK20</f>
        <v/>
      </c>
      <c r="AL20" s="30">
        <f>'NSW-1'!AL20+'VIC-1'!AL20+'QLD-1'!AL20+'NSW-2'!AL20+'VIC-2'!AL20+'QLD-2'!AL20+'SA-1'!AL20+'WA-1'!AL20+'IDC-NSW'!AL20+'IDC-VIC'!AL20</f>
        <v/>
      </c>
      <c r="AM20" s="30">
        <f>'NSW-1'!AM20+'VIC-1'!AM20+'QLD-1'!AM20+'NSW-2'!AM20+'VIC-2'!AM20+'QLD-2'!AM20+'SA-1'!AM20+'WA-1'!AM20+'IDC-NSW'!AM20+'IDC-VIC'!AM20</f>
        <v/>
      </c>
      <c r="AN20" s="30">
        <f>'NSW-1'!AN20+'VIC-1'!AN20+'QLD-1'!AN20+'NSW-2'!AN20+'VIC-2'!AN20+'QLD-2'!AN20+'SA-1'!AN20+'WA-1'!AN20+'IDC-NSW'!AN20+'IDC-VIC'!AN20</f>
        <v/>
      </c>
      <c r="AP20" s="15">
        <f>'NSW-1'!AP20+'VIC-1'!AP20+'QLD-1'!AP20+'NSW-2'!AP20+'VIC-2'!AP20+'QLD-2'!AP20+'SA-1'!AP20+'WA-1'!AP20+'IDC-NSW'!AP20+'IDC-VIC'!AP20</f>
        <v/>
      </c>
      <c r="AQ20" s="9">
        <f>'NSW-1'!AQ20+'VIC-1'!AQ20+'QLD-1'!AQ20+'NSW-2'!AQ20+'VIC-2'!AQ20+'QLD-2'!AQ20+'SA-1'!AQ20+'WA-1'!AQ20+'IDC-NSW'!AQ20+'IDC-VIC'!AQ20</f>
        <v/>
      </c>
      <c r="AR20" s="30">
        <f>'NSW-1'!AR20+'VIC-1'!AR20+'QLD-1'!AR20+'NSW-2'!AR20+'VIC-2'!AR20+'QLD-2'!AR20+'SA-1'!AR20+'WA-1'!AR20+'IDC-NSW'!AR20+'IDC-VIC'!AR20</f>
        <v/>
      </c>
      <c r="AS20" s="30">
        <f>'NSW-1'!AS20+'VIC-1'!AS20+'QLD-1'!AS20+'NSW-2'!AS20+'VIC-2'!AS20+'QLD-2'!AS20+'SA-1'!AS20+'WA-1'!AS20+'IDC-NSW'!AS20+'IDC-VIC'!AS20</f>
        <v/>
      </c>
      <c r="AT20" s="30">
        <f>'NSW-1'!AT20+'VIC-1'!AT20+'QLD-1'!AT20+'NSW-2'!AT20+'VIC-2'!AT20+'QLD-2'!AT20+'SA-1'!AT20+'WA-1'!AT20+'IDC-NSW'!AT20+'IDC-VIC'!AT20</f>
        <v/>
      </c>
      <c r="AV20" s="15">
        <f>'NSW-1'!AV20+'VIC-1'!AV20+'QLD-1'!AV20+'NSW-2'!AV20+'VIC-2'!AV20+'QLD-2'!AV20+'SA-1'!AV20+'WA-1'!AV20+'IDC-NSW'!AV20+'IDC-VIC'!AV20</f>
        <v/>
      </c>
      <c r="AW20" s="9">
        <f>'NSW-1'!AW20+'VIC-1'!AW20+'QLD-1'!AW20+'NSW-2'!AW20+'VIC-2'!AW20+'QLD-2'!AW20+'SA-1'!AW20+'WA-1'!AW20+'IDC-NSW'!AW20+'IDC-VIC'!AW20</f>
        <v/>
      </c>
      <c r="AX20" s="30">
        <f>'NSW-1'!AX20+'VIC-1'!AX20+'QLD-1'!AX20+'NSW-2'!AX20+'VIC-2'!AX20+'QLD-2'!AX20+'SA-1'!AX20+'WA-1'!AX20+'IDC-NSW'!AX20+'IDC-VIC'!AX20</f>
        <v/>
      </c>
      <c r="AY20" s="30">
        <f>'NSW-1'!AY20+'VIC-1'!AY20+'QLD-1'!AY20+'NSW-2'!AY20+'VIC-2'!AY20+'QLD-2'!AY20+'SA-1'!AY20+'WA-1'!AY20+'IDC-NSW'!AY20+'IDC-VIC'!AY20</f>
        <v/>
      </c>
      <c r="AZ20" s="30">
        <f>'NSW-1'!AZ20+'VIC-1'!AZ20+'QLD-1'!AZ20+'NSW-2'!AZ20+'VIC-2'!AZ20+'QLD-2'!AZ20+'SA-1'!AZ20+'WA-1'!AZ20+'IDC-NSW'!AZ20+'IDC-VIC'!AZ20</f>
        <v/>
      </c>
    </row>
    <row r="21">
      <c r="A21" s="8" t="n">
        <v>45839</v>
      </c>
      <c r="B21" s="33">
        <f>YEAR(A21)</f>
        <v/>
      </c>
      <c r="C21" s="33">
        <f>MONTH(A21)</f>
        <v/>
      </c>
      <c r="D21">
        <f>IF(A21&lt;=LastActual,"Actual","Forecast")</f>
        <v/>
      </c>
      <c r="E21" s="30">
        <f>'NSW-1'!E21+'VIC-1'!E21+'QLD-1'!E21+'NSW-2'!E21+'VIC-2'!E21+'QLD-2'!E21+'SA-1'!E21+'WA-1'!E21</f>
        <v/>
      </c>
      <c r="F21" s="15">
        <f>'NSW-1'!F21+'VIC-1'!F21+'QLD-1'!F21+'NSW-2'!F21+'VIC-2'!F21+'QLD-2'!F21+'SA-1'!F21+'WA-1'!F21+'IDC-NSW'!F21+'IDC-VIC'!F21</f>
        <v/>
      </c>
      <c r="G21" s="9">
        <f>'NSW-1'!G21+'VIC-1'!G21+'QLD-1'!G21+'NSW-2'!G21+'VIC-2'!G21+'QLD-2'!G21+'SA-1'!G21+'WA-1'!G21+'IDC-NSW'!G21+'IDC-VIC'!G21</f>
        <v/>
      </c>
      <c r="H21" s="30">
        <f>'NSW-1'!H21+'VIC-1'!H21+'QLD-1'!H21+'NSW-2'!H21+'VIC-2'!H21+'QLD-2'!H21+'SA-1'!H21+'WA-1'!H21+'IDC-NSW'!H21+'IDC-VIC'!H21</f>
        <v/>
      </c>
      <c r="I21" s="30">
        <f>'NSW-1'!I21+'VIC-1'!I21+'QLD-1'!I21+'NSW-2'!I21+'VIC-2'!I21+'QLD-2'!I21+'SA-1'!I21+'WA-1'!I21+'IDC-NSW'!I21+'IDC-VIC'!I21</f>
        <v/>
      </c>
      <c r="J21" s="30">
        <f>'NSW-1'!J21+'VIC-1'!J21+'QLD-1'!J21+'NSW-2'!J21+'VIC-2'!J21+'QLD-2'!J21+'SA-1'!J21+'WA-1'!J21+'IDC-NSW'!J21+'IDC-VIC'!J21</f>
        <v/>
      </c>
      <c r="K21" s="10">
        <f>IFERROR(F21/G21,0)</f>
        <v/>
      </c>
      <c r="L21" s="34">
        <f>IFERROR(H21/G21,0)</f>
        <v/>
      </c>
      <c r="M21" s="35">
        <f>IFERROR(J21/F21,0)</f>
        <v/>
      </c>
      <c r="N21" s="36">
        <f>IFERROR(J21/E21,0)</f>
        <v/>
      </c>
      <c r="O21" s="36">
        <f>IFERROR(I21/J21,0)</f>
        <v/>
      </c>
      <c r="R21">
        <f>Inputs!$A$37</f>
        <v/>
      </c>
      <c r="S21" s="15">
        <f>SUMIFS('VIC-1'!$F$15:$F$62,'VIC-1'!$B$15:$B$62,2025)</f>
        <v/>
      </c>
      <c r="T21" s="15">
        <f>SUMIFS('VIC-1'!$F$15:$F$62,'VIC-1'!$B$15:$B$62,2026)</f>
        <v/>
      </c>
      <c r="U21" s="15">
        <f>SUMIFS('VIC-1'!$F$15:$F$62,'VIC-1'!$B$15:$B$62,2027)</f>
        <v/>
      </c>
      <c r="V21" s="15">
        <f>SUMIFS('VIC-1'!$F$15:$F$62,'VIC-1'!$B$15:$B$62,2028)</f>
        <v/>
      </c>
      <c r="AJ21" s="15">
        <f>'NSW-1'!AJ21+'VIC-1'!AJ21+'QLD-1'!AJ21+'NSW-2'!AJ21+'VIC-2'!AJ21+'QLD-2'!AJ21+'SA-1'!AJ21+'WA-1'!AJ21+'IDC-NSW'!AJ21+'IDC-VIC'!AJ21</f>
        <v/>
      </c>
      <c r="AK21" s="9">
        <f>'NSW-1'!AK21+'VIC-1'!AK21+'QLD-1'!AK21+'NSW-2'!AK21+'VIC-2'!AK21+'QLD-2'!AK21+'SA-1'!AK21+'WA-1'!AK21+'IDC-NSW'!AK21+'IDC-VIC'!AK21</f>
        <v/>
      </c>
      <c r="AL21" s="30">
        <f>'NSW-1'!AL21+'VIC-1'!AL21+'QLD-1'!AL21+'NSW-2'!AL21+'VIC-2'!AL21+'QLD-2'!AL21+'SA-1'!AL21+'WA-1'!AL21+'IDC-NSW'!AL21+'IDC-VIC'!AL21</f>
        <v/>
      </c>
      <c r="AM21" s="30">
        <f>'NSW-1'!AM21+'VIC-1'!AM21+'QLD-1'!AM21+'NSW-2'!AM21+'VIC-2'!AM21+'QLD-2'!AM21+'SA-1'!AM21+'WA-1'!AM21+'IDC-NSW'!AM21+'IDC-VIC'!AM21</f>
        <v/>
      </c>
      <c r="AN21" s="30">
        <f>'NSW-1'!AN21+'VIC-1'!AN21+'QLD-1'!AN21+'NSW-2'!AN21+'VIC-2'!AN21+'QLD-2'!AN21+'SA-1'!AN21+'WA-1'!AN21+'IDC-NSW'!AN21+'IDC-VIC'!AN21</f>
        <v/>
      </c>
      <c r="AP21" s="15">
        <f>'NSW-1'!AP21+'VIC-1'!AP21+'QLD-1'!AP21+'NSW-2'!AP21+'VIC-2'!AP21+'QLD-2'!AP21+'SA-1'!AP21+'WA-1'!AP21+'IDC-NSW'!AP21+'IDC-VIC'!AP21</f>
        <v/>
      </c>
      <c r="AQ21" s="9">
        <f>'NSW-1'!AQ21+'VIC-1'!AQ21+'QLD-1'!AQ21+'NSW-2'!AQ21+'VIC-2'!AQ21+'QLD-2'!AQ21+'SA-1'!AQ21+'WA-1'!AQ21+'IDC-NSW'!AQ21+'IDC-VIC'!AQ21</f>
        <v/>
      </c>
      <c r="AR21" s="30">
        <f>'NSW-1'!AR21+'VIC-1'!AR21+'QLD-1'!AR21+'NSW-2'!AR21+'VIC-2'!AR21+'QLD-2'!AR21+'SA-1'!AR21+'WA-1'!AR21+'IDC-NSW'!AR21+'IDC-VIC'!AR21</f>
        <v/>
      </c>
      <c r="AS21" s="30">
        <f>'NSW-1'!AS21+'VIC-1'!AS21+'QLD-1'!AS21+'NSW-2'!AS21+'VIC-2'!AS21+'QLD-2'!AS21+'SA-1'!AS21+'WA-1'!AS21+'IDC-NSW'!AS21+'IDC-VIC'!AS21</f>
        <v/>
      </c>
      <c r="AT21" s="30">
        <f>'NSW-1'!AT21+'VIC-1'!AT21+'QLD-1'!AT21+'NSW-2'!AT21+'VIC-2'!AT21+'QLD-2'!AT21+'SA-1'!AT21+'WA-1'!AT21+'IDC-NSW'!AT21+'IDC-VIC'!AT21</f>
        <v/>
      </c>
      <c r="AV21" s="15">
        <f>'NSW-1'!AV21+'VIC-1'!AV21+'QLD-1'!AV21+'NSW-2'!AV21+'VIC-2'!AV21+'QLD-2'!AV21+'SA-1'!AV21+'WA-1'!AV21+'IDC-NSW'!AV21+'IDC-VIC'!AV21</f>
        <v/>
      </c>
      <c r="AW21" s="9">
        <f>'NSW-1'!AW21+'VIC-1'!AW21+'QLD-1'!AW21+'NSW-2'!AW21+'VIC-2'!AW21+'QLD-2'!AW21+'SA-1'!AW21+'WA-1'!AW21+'IDC-NSW'!AW21+'IDC-VIC'!AW21</f>
        <v/>
      </c>
      <c r="AX21" s="30">
        <f>'NSW-1'!AX21+'VIC-1'!AX21+'QLD-1'!AX21+'NSW-2'!AX21+'VIC-2'!AX21+'QLD-2'!AX21+'SA-1'!AX21+'WA-1'!AX21+'IDC-NSW'!AX21+'IDC-VIC'!AX21</f>
        <v/>
      </c>
      <c r="AY21" s="30">
        <f>'NSW-1'!AY21+'VIC-1'!AY21+'QLD-1'!AY21+'NSW-2'!AY21+'VIC-2'!AY21+'QLD-2'!AY21+'SA-1'!AY21+'WA-1'!AY21+'IDC-NSW'!AY21+'IDC-VIC'!AY21</f>
        <v/>
      </c>
      <c r="AZ21" s="30">
        <f>'NSW-1'!AZ21+'VIC-1'!AZ21+'QLD-1'!AZ21+'NSW-2'!AZ21+'VIC-2'!AZ21+'QLD-2'!AZ21+'SA-1'!AZ21+'WA-1'!AZ21+'IDC-NSW'!AZ21+'IDC-VIC'!AZ21</f>
        <v/>
      </c>
    </row>
    <row r="22">
      <c r="A22" s="8" t="n">
        <v>45870</v>
      </c>
      <c r="B22" s="33">
        <f>YEAR(A22)</f>
        <v/>
      </c>
      <c r="C22" s="33">
        <f>MONTH(A22)</f>
        <v/>
      </c>
      <c r="D22">
        <f>IF(A22&lt;=LastActual,"Actual","Forecast")</f>
        <v/>
      </c>
      <c r="E22" s="30">
        <f>'NSW-1'!E22+'VIC-1'!E22+'QLD-1'!E22+'NSW-2'!E22+'VIC-2'!E22+'QLD-2'!E22+'SA-1'!E22+'WA-1'!E22</f>
        <v/>
      </c>
      <c r="F22" s="15">
        <f>'NSW-1'!F22+'VIC-1'!F22+'QLD-1'!F22+'NSW-2'!F22+'VIC-2'!F22+'QLD-2'!F22+'SA-1'!F22+'WA-1'!F22+'IDC-NSW'!F22+'IDC-VIC'!F22</f>
        <v/>
      </c>
      <c r="G22" s="9">
        <f>'NSW-1'!G22+'VIC-1'!G22+'QLD-1'!G22+'NSW-2'!G22+'VIC-2'!G22+'QLD-2'!G22+'SA-1'!G22+'WA-1'!G22+'IDC-NSW'!G22+'IDC-VIC'!G22</f>
        <v/>
      </c>
      <c r="H22" s="30">
        <f>'NSW-1'!H22+'VIC-1'!H22+'QLD-1'!H22+'NSW-2'!H22+'VIC-2'!H22+'QLD-2'!H22+'SA-1'!H22+'WA-1'!H22+'IDC-NSW'!H22+'IDC-VIC'!H22</f>
        <v/>
      </c>
      <c r="I22" s="30">
        <f>'NSW-1'!I22+'VIC-1'!I22+'QLD-1'!I22+'NSW-2'!I22+'VIC-2'!I22+'QLD-2'!I22+'SA-1'!I22+'WA-1'!I22+'IDC-NSW'!I22+'IDC-VIC'!I22</f>
        <v/>
      </c>
      <c r="J22" s="30">
        <f>'NSW-1'!J22+'VIC-1'!J22+'QLD-1'!J22+'NSW-2'!J22+'VIC-2'!J22+'QLD-2'!J22+'SA-1'!J22+'WA-1'!J22+'IDC-NSW'!J22+'IDC-VIC'!J22</f>
        <v/>
      </c>
      <c r="K22" s="10">
        <f>IFERROR(F22/G22,0)</f>
        <v/>
      </c>
      <c r="L22" s="34">
        <f>IFERROR(H22/G22,0)</f>
        <v/>
      </c>
      <c r="M22" s="35">
        <f>IFERROR(J22/F22,0)</f>
        <v/>
      </c>
      <c r="N22" s="36">
        <f>IFERROR(J22/E22,0)</f>
        <v/>
      </c>
      <c r="O22" s="36">
        <f>IFERROR(I22/J22,0)</f>
        <v/>
      </c>
      <c r="R22">
        <f>Inputs!$A$38</f>
        <v/>
      </c>
      <c r="S22" s="15">
        <f>SUMIFS('QLD-1'!$F$15:$F$62,'QLD-1'!$B$15:$B$62,2025)</f>
        <v/>
      </c>
      <c r="T22" s="15">
        <f>SUMIFS('QLD-1'!$F$15:$F$62,'QLD-1'!$B$15:$B$62,2026)</f>
        <v/>
      </c>
      <c r="U22" s="15">
        <f>SUMIFS('QLD-1'!$F$15:$F$62,'QLD-1'!$B$15:$B$62,2027)</f>
        <v/>
      </c>
      <c r="V22" s="15">
        <f>SUMIFS('QLD-1'!$F$15:$F$62,'QLD-1'!$B$15:$B$62,2028)</f>
        <v/>
      </c>
      <c r="AJ22" s="15">
        <f>'NSW-1'!AJ22+'VIC-1'!AJ22+'QLD-1'!AJ22+'NSW-2'!AJ22+'VIC-2'!AJ22+'QLD-2'!AJ22+'SA-1'!AJ22+'WA-1'!AJ22+'IDC-NSW'!AJ22+'IDC-VIC'!AJ22</f>
        <v/>
      </c>
      <c r="AK22" s="9">
        <f>'NSW-1'!AK22+'VIC-1'!AK22+'QLD-1'!AK22+'NSW-2'!AK22+'VIC-2'!AK22+'QLD-2'!AK22+'SA-1'!AK22+'WA-1'!AK22+'IDC-NSW'!AK22+'IDC-VIC'!AK22</f>
        <v/>
      </c>
      <c r="AL22" s="30">
        <f>'NSW-1'!AL22+'VIC-1'!AL22+'QLD-1'!AL22+'NSW-2'!AL22+'VIC-2'!AL22+'QLD-2'!AL22+'SA-1'!AL22+'WA-1'!AL22+'IDC-NSW'!AL22+'IDC-VIC'!AL22</f>
        <v/>
      </c>
      <c r="AM22" s="30">
        <f>'NSW-1'!AM22+'VIC-1'!AM22+'QLD-1'!AM22+'NSW-2'!AM22+'VIC-2'!AM22+'QLD-2'!AM22+'SA-1'!AM22+'WA-1'!AM22+'IDC-NSW'!AM22+'IDC-VIC'!AM22</f>
        <v/>
      </c>
      <c r="AN22" s="30">
        <f>'NSW-1'!AN22+'VIC-1'!AN22+'QLD-1'!AN22+'NSW-2'!AN22+'VIC-2'!AN22+'QLD-2'!AN22+'SA-1'!AN22+'WA-1'!AN22+'IDC-NSW'!AN22+'IDC-VIC'!AN22</f>
        <v/>
      </c>
      <c r="AP22" s="15">
        <f>'NSW-1'!AP22+'VIC-1'!AP22+'QLD-1'!AP22+'NSW-2'!AP22+'VIC-2'!AP22+'QLD-2'!AP22+'SA-1'!AP22+'WA-1'!AP22+'IDC-NSW'!AP22+'IDC-VIC'!AP22</f>
        <v/>
      </c>
      <c r="AQ22" s="9">
        <f>'NSW-1'!AQ22+'VIC-1'!AQ22+'QLD-1'!AQ22+'NSW-2'!AQ22+'VIC-2'!AQ22+'QLD-2'!AQ22+'SA-1'!AQ22+'WA-1'!AQ22+'IDC-NSW'!AQ22+'IDC-VIC'!AQ22</f>
        <v/>
      </c>
      <c r="AR22" s="30">
        <f>'NSW-1'!AR22+'VIC-1'!AR22+'QLD-1'!AR22+'NSW-2'!AR22+'VIC-2'!AR22+'QLD-2'!AR22+'SA-1'!AR22+'WA-1'!AR22+'IDC-NSW'!AR22+'IDC-VIC'!AR22</f>
        <v/>
      </c>
      <c r="AS22" s="30">
        <f>'NSW-1'!AS22+'VIC-1'!AS22+'QLD-1'!AS22+'NSW-2'!AS22+'VIC-2'!AS22+'QLD-2'!AS22+'SA-1'!AS22+'WA-1'!AS22+'IDC-NSW'!AS22+'IDC-VIC'!AS22</f>
        <v/>
      </c>
      <c r="AT22" s="30">
        <f>'NSW-1'!AT22+'VIC-1'!AT22+'QLD-1'!AT22+'NSW-2'!AT22+'VIC-2'!AT22+'QLD-2'!AT22+'SA-1'!AT22+'WA-1'!AT22+'IDC-NSW'!AT22+'IDC-VIC'!AT22</f>
        <v/>
      </c>
      <c r="AV22" s="15">
        <f>'NSW-1'!AV22+'VIC-1'!AV22+'QLD-1'!AV22+'NSW-2'!AV22+'VIC-2'!AV22+'QLD-2'!AV22+'SA-1'!AV22+'WA-1'!AV22+'IDC-NSW'!AV22+'IDC-VIC'!AV22</f>
        <v/>
      </c>
      <c r="AW22" s="9">
        <f>'NSW-1'!AW22+'VIC-1'!AW22+'QLD-1'!AW22+'NSW-2'!AW22+'VIC-2'!AW22+'QLD-2'!AW22+'SA-1'!AW22+'WA-1'!AW22+'IDC-NSW'!AW22+'IDC-VIC'!AW22</f>
        <v/>
      </c>
      <c r="AX22" s="30">
        <f>'NSW-1'!AX22+'VIC-1'!AX22+'QLD-1'!AX22+'NSW-2'!AX22+'VIC-2'!AX22+'QLD-2'!AX22+'SA-1'!AX22+'WA-1'!AX22+'IDC-NSW'!AX22+'IDC-VIC'!AX22</f>
        <v/>
      </c>
      <c r="AY22" s="30">
        <f>'NSW-1'!AY22+'VIC-1'!AY22+'QLD-1'!AY22+'NSW-2'!AY22+'VIC-2'!AY22+'QLD-2'!AY22+'SA-1'!AY22+'WA-1'!AY22+'IDC-NSW'!AY22+'IDC-VIC'!AY22</f>
        <v/>
      </c>
      <c r="AZ22" s="30">
        <f>'NSW-1'!AZ22+'VIC-1'!AZ22+'QLD-1'!AZ22+'NSW-2'!AZ22+'VIC-2'!AZ22+'QLD-2'!AZ22+'SA-1'!AZ22+'WA-1'!AZ22+'IDC-NSW'!AZ22+'IDC-VIC'!AZ22</f>
        <v/>
      </c>
    </row>
    <row r="23">
      <c r="A23" s="8" t="n">
        <v>45901</v>
      </c>
      <c r="B23" s="33">
        <f>YEAR(A23)</f>
        <v/>
      </c>
      <c r="C23" s="33">
        <f>MONTH(A23)</f>
        <v/>
      </c>
      <c r="D23">
        <f>IF(A23&lt;=LastActual,"Actual","Forecast")</f>
        <v/>
      </c>
      <c r="E23" s="30">
        <f>'NSW-1'!E23+'VIC-1'!E23+'QLD-1'!E23+'NSW-2'!E23+'VIC-2'!E23+'QLD-2'!E23+'SA-1'!E23+'WA-1'!E23</f>
        <v/>
      </c>
      <c r="F23" s="15">
        <f>'NSW-1'!F23+'VIC-1'!F23+'QLD-1'!F23+'NSW-2'!F23+'VIC-2'!F23+'QLD-2'!F23+'SA-1'!F23+'WA-1'!F23+'IDC-NSW'!F23+'IDC-VIC'!F23</f>
        <v/>
      </c>
      <c r="G23" s="9">
        <f>'NSW-1'!G23+'VIC-1'!G23+'QLD-1'!G23+'NSW-2'!G23+'VIC-2'!G23+'QLD-2'!G23+'SA-1'!G23+'WA-1'!G23+'IDC-NSW'!G23+'IDC-VIC'!G23</f>
        <v/>
      </c>
      <c r="H23" s="30">
        <f>'NSW-1'!H23+'VIC-1'!H23+'QLD-1'!H23+'NSW-2'!H23+'VIC-2'!H23+'QLD-2'!H23+'SA-1'!H23+'WA-1'!H23+'IDC-NSW'!H23+'IDC-VIC'!H23</f>
        <v/>
      </c>
      <c r="I23" s="30">
        <f>'NSW-1'!I23+'VIC-1'!I23+'QLD-1'!I23+'NSW-2'!I23+'VIC-2'!I23+'QLD-2'!I23+'SA-1'!I23+'WA-1'!I23+'IDC-NSW'!I23+'IDC-VIC'!I23</f>
        <v/>
      </c>
      <c r="J23" s="30">
        <f>'NSW-1'!J23+'VIC-1'!J23+'QLD-1'!J23+'NSW-2'!J23+'VIC-2'!J23+'QLD-2'!J23+'SA-1'!J23+'WA-1'!J23+'IDC-NSW'!J23+'IDC-VIC'!J23</f>
        <v/>
      </c>
      <c r="K23" s="10">
        <f>IFERROR(F23/G23,0)</f>
        <v/>
      </c>
      <c r="L23" s="34">
        <f>IFERROR(H23/G23,0)</f>
        <v/>
      </c>
      <c r="M23" s="35">
        <f>IFERROR(J23/F23,0)</f>
        <v/>
      </c>
      <c r="N23" s="36">
        <f>IFERROR(J23/E23,0)</f>
        <v/>
      </c>
      <c r="O23" s="36">
        <f>IFERROR(I23/J23,0)</f>
        <v/>
      </c>
      <c r="R23">
        <f>Inputs!$A$39</f>
        <v/>
      </c>
      <c r="S23" s="15">
        <f>SUMIFS('NSW-2'!$F$15:$F$62,'NSW-2'!$B$15:$B$62,2025)</f>
        <v/>
      </c>
      <c r="T23" s="15">
        <f>SUMIFS('NSW-2'!$F$15:$F$62,'NSW-2'!$B$15:$B$62,2026)</f>
        <v/>
      </c>
      <c r="U23" s="15">
        <f>SUMIFS('NSW-2'!$F$15:$F$62,'NSW-2'!$B$15:$B$62,2027)</f>
        <v/>
      </c>
      <c r="V23" s="15">
        <f>SUMIFS('NSW-2'!$F$15:$F$62,'NSW-2'!$B$15:$B$62,2028)</f>
        <v/>
      </c>
      <c r="AJ23" s="15">
        <f>'NSW-1'!AJ23+'VIC-1'!AJ23+'QLD-1'!AJ23+'NSW-2'!AJ23+'VIC-2'!AJ23+'QLD-2'!AJ23+'SA-1'!AJ23+'WA-1'!AJ23+'IDC-NSW'!AJ23+'IDC-VIC'!AJ23</f>
        <v/>
      </c>
      <c r="AK23" s="9">
        <f>'NSW-1'!AK23+'VIC-1'!AK23+'QLD-1'!AK23+'NSW-2'!AK23+'VIC-2'!AK23+'QLD-2'!AK23+'SA-1'!AK23+'WA-1'!AK23+'IDC-NSW'!AK23+'IDC-VIC'!AK23</f>
        <v/>
      </c>
      <c r="AL23" s="30">
        <f>'NSW-1'!AL23+'VIC-1'!AL23+'QLD-1'!AL23+'NSW-2'!AL23+'VIC-2'!AL23+'QLD-2'!AL23+'SA-1'!AL23+'WA-1'!AL23+'IDC-NSW'!AL23+'IDC-VIC'!AL23</f>
        <v/>
      </c>
      <c r="AM23" s="30">
        <f>'NSW-1'!AM23+'VIC-1'!AM23+'QLD-1'!AM23+'NSW-2'!AM23+'VIC-2'!AM23+'QLD-2'!AM23+'SA-1'!AM23+'WA-1'!AM23+'IDC-NSW'!AM23+'IDC-VIC'!AM23</f>
        <v/>
      </c>
      <c r="AN23" s="30">
        <f>'NSW-1'!AN23+'VIC-1'!AN23+'QLD-1'!AN23+'NSW-2'!AN23+'VIC-2'!AN23+'QLD-2'!AN23+'SA-1'!AN23+'WA-1'!AN23+'IDC-NSW'!AN23+'IDC-VIC'!AN23</f>
        <v/>
      </c>
      <c r="AP23" s="15">
        <f>'NSW-1'!AP23+'VIC-1'!AP23+'QLD-1'!AP23+'NSW-2'!AP23+'VIC-2'!AP23+'QLD-2'!AP23+'SA-1'!AP23+'WA-1'!AP23+'IDC-NSW'!AP23+'IDC-VIC'!AP23</f>
        <v/>
      </c>
      <c r="AQ23" s="9">
        <f>'NSW-1'!AQ23+'VIC-1'!AQ23+'QLD-1'!AQ23+'NSW-2'!AQ23+'VIC-2'!AQ23+'QLD-2'!AQ23+'SA-1'!AQ23+'WA-1'!AQ23+'IDC-NSW'!AQ23+'IDC-VIC'!AQ23</f>
        <v/>
      </c>
      <c r="AR23" s="30">
        <f>'NSW-1'!AR23+'VIC-1'!AR23+'QLD-1'!AR23+'NSW-2'!AR23+'VIC-2'!AR23+'QLD-2'!AR23+'SA-1'!AR23+'WA-1'!AR23+'IDC-NSW'!AR23+'IDC-VIC'!AR23</f>
        <v/>
      </c>
      <c r="AS23" s="30">
        <f>'NSW-1'!AS23+'VIC-1'!AS23+'QLD-1'!AS23+'NSW-2'!AS23+'VIC-2'!AS23+'QLD-2'!AS23+'SA-1'!AS23+'WA-1'!AS23+'IDC-NSW'!AS23+'IDC-VIC'!AS23</f>
        <v/>
      </c>
      <c r="AT23" s="30">
        <f>'NSW-1'!AT23+'VIC-1'!AT23+'QLD-1'!AT23+'NSW-2'!AT23+'VIC-2'!AT23+'QLD-2'!AT23+'SA-1'!AT23+'WA-1'!AT23+'IDC-NSW'!AT23+'IDC-VIC'!AT23</f>
        <v/>
      </c>
      <c r="AV23" s="15">
        <f>'NSW-1'!AV23+'VIC-1'!AV23+'QLD-1'!AV23+'NSW-2'!AV23+'VIC-2'!AV23+'QLD-2'!AV23+'SA-1'!AV23+'WA-1'!AV23+'IDC-NSW'!AV23+'IDC-VIC'!AV23</f>
        <v/>
      </c>
      <c r="AW23" s="9">
        <f>'NSW-1'!AW23+'VIC-1'!AW23+'QLD-1'!AW23+'NSW-2'!AW23+'VIC-2'!AW23+'QLD-2'!AW23+'SA-1'!AW23+'WA-1'!AW23+'IDC-NSW'!AW23+'IDC-VIC'!AW23</f>
        <v/>
      </c>
      <c r="AX23" s="30">
        <f>'NSW-1'!AX23+'VIC-1'!AX23+'QLD-1'!AX23+'NSW-2'!AX23+'VIC-2'!AX23+'QLD-2'!AX23+'SA-1'!AX23+'WA-1'!AX23+'IDC-NSW'!AX23+'IDC-VIC'!AX23</f>
        <v/>
      </c>
      <c r="AY23" s="30">
        <f>'NSW-1'!AY23+'VIC-1'!AY23+'QLD-1'!AY23+'NSW-2'!AY23+'VIC-2'!AY23+'QLD-2'!AY23+'SA-1'!AY23+'WA-1'!AY23+'IDC-NSW'!AY23+'IDC-VIC'!AY23</f>
        <v/>
      </c>
      <c r="AZ23" s="30">
        <f>'NSW-1'!AZ23+'VIC-1'!AZ23+'QLD-1'!AZ23+'NSW-2'!AZ23+'VIC-2'!AZ23+'QLD-2'!AZ23+'SA-1'!AZ23+'WA-1'!AZ23+'IDC-NSW'!AZ23+'IDC-VIC'!AZ23</f>
        <v/>
      </c>
    </row>
    <row r="24">
      <c r="A24" s="8" t="n">
        <v>45931</v>
      </c>
      <c r="B24" s="33">
        <f>YEAR(A24)</f>
        <v/>
      </c>
      <c r="C24" s="33">
        <f>MONTH(A24)</f>
        <v/>
      </c>
      <c r="D24">
        <f>IF(A24&lt;=LastActual,"Actual","Forecast")</f>
        <v/>
      </c>
      <c r="E24" s="30">
        <f>'NSW-1'!E24+'VIC-1'!E24+'QLD-1'!E24+'NSW-2'!E24+'VIC-2'!E24+'QLD-2'!E24+'SA-1'!E24+'WA-1'!E24</f>
        <v/>
      </c>
      <c r="F24" s="15">
        <f>'NSW-1'!F24+'VIC-1'!F24+'QLD-1'!F24+'NSW-2'!F24+'VIC-2'!F24+'QLD-2'!F24+'SA-1'!F24+'WA-1'!F24+'IDC-NSW'!F24+'IDC-VIC'!F24</f>
        <v/>
      </c>
      <c r="G24" s="9">
        <f>'NSW-1'!G24+'VIC-1'!G24+'QLD-1'!G24+'NSW-2'!G24+'VIC-2'!G24+'QLD-2'!G24+'SA-1'!G24+'WA-1'!G24+'IDC-NSW'!G24+'IDC-VIC'!G24</f>
        <v/>
      </c>
      <c r="H24" s="30">
        <f>'NSW-1'!H24+'VIC-1'!H24+'QLD-1'!H24+'NSW-2'!H24+'VIC-2'!H24+'QLD-2'!H24+'SA-1'!H24+'WA-1'!H24+'IDC-NSW'!H24+'IDC-VIC'!H24</f>
        <v/>
      </c>
      <c r="I24" s="30">
        <f>'NSW-1'!I24+'VIC-1'!I24+'QLD-1'!I24+'NSW-2'!I24+'VIC-2'!I24+'QLD-2'!I24+'SA-1'!I24+'WA-1'!I24+'IDC-NSW'!I24+'IDC-VIC'!I24</f>
        <v/>
      </c>
      <c r="J24" s="30">
        <f>'NSW-1'!J24+'VIC-1'!J24+'QLD-1'!J24+'NSW-2'!J24+'VIC-2'!J24+'QLD-2'!J24+'SA-1'!J24+'WA-1'!J24+'IDC-NSW'!J24+'IDC-VIC'!J24</f>
        <v/>
      </c>
      <c r="K24" s="10">
        <f>IFERROR(F24/G24,0)</f>
        <v/>
      </c>
      <c r="L24" s="34">
        <f>IFERROR(H24/G24,0)</f>
        <v/>
      </c>
      <c r="M24" s="35">
        <f>IFERROR(J24/F24,0)</f>
        <v/>
      </c>
      <c r="N24" s="36">
        <f>IFERROR(J24/E24,0)</f>
        <v/>
      </c>
      <c r="O24" s="36">
        <f>IFERROR(I24/J24,0)</f>
        <v/>
      </c>
      <c r="R24">
        <f>Inputs!$A$40</f>
        <v/>
      </c>
      <c r="S24" s="15">
        <f>SUMIFS('VIC-2'!$F$15:$F$62,'VIC-2'!$B$15:$B$62,2025)</f>
        <v/>
      </c>
      <c r="T24" s="15">
        <f>SUMIFS('VIC-2'!$F$15:$F$62,'VIC-2'!$B$15:$B$62,2026)</f>
        <v/>
      </c>
      <c r="U24" s="15">
        <f>SUMIFS('VIC-2'!$F$15:$F$62,'VIC-2'!$B$15:$B$62,2027)</f>
        <v/>
      </c>
      <c r="V24" s="15">
        <f>SUMIFS('VIC-2'!$F$15:$F$62,'VIC-2'!$B$15:$B$62,2028)</f>
        <v/>
      </c>
      <c r="AJ24" s="15">
        <f>'NSW-1'!AJ24+'VIC-1'!AJ24+'QLD-1'!AJ24+'NSW-2'!AJ24+'VIC-2'!AJ24+'QLD-2'!AJ24+'SA-1'!AJ24+'WA-1'!AJ24+'IDC-NSW'!AJ24+'IDC-VIC'!AJ24</f>
        <v/>
      </c>
      <c r="AK24" s="9">
        <f>'NSW-1'!AK24+'VIC-1'!AK24+'QLD-1'!AK24+'NSW-2'!AK24+'VIC-2'!AK24+'QLD-2'!AK24+'SA-1'!AK24+'WA-1'!AK24+'IDC-NSW'!AK24+'IDC-VIC'!AK24</f>
        <v/>
      </c>
      <c r="AL24" s="30">
        <f>'NSW-1'!AL24+'VIC-1'!AL24+'QLD-1'!AL24+'NSW-2'!AL24+'VIC-2'!AL24+'QLD-2'!AL24+'SA-1'!AL24+'WA-1'!AL24+'IDC-NSW'!AL24+'IDC-VIC'!AL24</f>
        <v/>
      </c>
      <c r="AM24" s="30">
        <f>'NSW-1'!AM24+'VIC-1'!AM24+'QLD-1'!AM24+'NSW-2'!AM24+'VIC-2'!AM24+'QLD-2'!AM24+'SA-1'!AM24+'WA-1'!AM24+'IDC-NSW'!AM24+'IDC-VIC'!AM24</f>
        <v/>
      </c>
      <c r="AN24" s="30">
        <f>'NSW-1'!AN24+'VIC-1'!AN24+'QLD-1'!AN24+'NSW-2'!AN24+'VIC-2'!AN24+'QLD-2'!AN24+'SA-1'!AN24+'WA-1'!AN24+'IDC-NSW'!AN24+'IDC-VIC'!AN24</f>
        <v/>
      </c>
      <c r="AP24" s="15">
        <f>'NSW-1'!AP24+'VIC-1'!AP24+'QLD-1'!AP24+'NSW-2'!AP24+'VIC-2'!AP24+'QLD-2'!AP24+'SA-1'!AP24+'WA-1'!AP24+'IDC-NSW'!AP24+'IDC-VIC'!AP24</f>
        <v/>
      </c>
      <c r="AQ24" s="9">
        <f>'NSW-1'!AQ24+'VIC-1'!AQ24+'QLD-1'!AQ24+'NSW-2'!AQ24+'VIC-2'!AQ24+'QLD-2'!AQ24+'SA-1'!AQ24+'WA-1'!AQ24+'IDC-NSW'!AQ24+'IDC-VIC'!AQ24</f>
        <v/>
      </c>
      <c r="AR24" s="30">
        <f>'NSW-1'!AR24+'VIC-1'!AR24+'QLD-1'!AR24+'NSW-2'!AR24+'VIC-2'!AR24+'QLD-2'!AR24+'SA-1'!AR24+'WA-1'!AR24+'IDC-NSW'!AR24+'IDC-VIC'!AR24</f>
        <v/>
      </c>
      <c r="AS24" s="30">
        <f>'NSW-1'!AS24+'VIC-1'!AS24+'QLD-1'!AS24+'NSW-2'!AS24+'VIC-2'!AS24+'QLD-2'!AS24+'SA-1'!AS24+'WA-1'!AS24+'IDC-NSW'!AS24+'IDC-VIC'!AS24</f>
        <v/>
      </c>
      <c r="AT24" s="30">
        <f>'NSW-1'!AT24+'VIC-1'!AT24+'QLD-1'!AT24+'NSW-2'!AT24+'VIC-2'!AT24+'QLD-2'!AT24+'SA-1'!AT24+'WA-1'!AT24+'IDC-NSW'!AT24+'IDC-VIC'!AT24</f>
        <v/>
      </c>
      <c r="AV24" s="15">
        <f>'NSW-1'!AV24+'VIC-1'!AV24+'QLD-1'!AV24+'NSW-2'!AV24+'VIC-2'!AV24+'QLD-2'!AV24+'SA-1'!AV24+'WA-1'!AV24+'IDC-NSW'!AV24+'IDC-VIC'!AV24</f>
        <v/>
      </c>
      <c r="AW24" s="9">
        <f>'NSW-1'!AW24+'VIC-1'!AW24+'QLD-1'!AW24+'NSW-2'!AW24+'VIC-2'!AW24+'QLD-2'!AW24+'SA-1'!AW24+'WA-1'!AW24+'IDC-NSW'!AW24+'IDC-VIC'!AW24</f>
        <v/>
      </c>
      <c r="AX24" s="30">
        <f>'NSW-1'!AX24+'VIC-1'!AX24+'QLD-1'!AX24+'NSW-2'!AX24+'VIC-2'!AX24+'QLD-2'!AX24+'SA-1'!AX24+'WA-1'!AX24+'IDC-NSW'!AX24+'IDC-VIC'!AX24</f>
        <v/>
      </c>
      <c r="AY24" s="30">
        <f>'NSW-1'!AY24+'VIC-1'!AY24+'QLD-1'!AY24+'NSW-2'!AY24+'VIC-2'!AY24+'QLD-2'!AY24+'SA-1'!AY24+'WA-1'!AY24+'IDC-NSW'!AY24+'IDC-VIC'!AY24</f>
        <v/>
      </c>
      <c r="AZ24" s="30">
        <f>'NSW-1'!AZ24+'VIC-1'!AZ24+'QLD-1'!AZ24+'NSW-2'!AZ24+'VIC-2'!AZ24+'QLD-2'!AZ24+'SA-1'!AZ24+'WA-1'!AZ24+'IDC-NSW'!AZ24+'IDC-VIC'!AZ24</f>
        <v/>
      </c>
    </row>
    <row r="25">
      <c r="A25" s="8" t="n">
        <v>45962</v>
      </c>
      <c r="B25" s="33">
        <f>YEAR(A25)</f>
        <v/>
      </c>
      <c r="C25" s="33">
        <f>MONTH(A25)</f>
        <v/>
      </c>
      <c r="D25">
        <f>IF(A25&lt;=LastActual,"Actual","Forecast")</f>
        <v/>
      </c>
      <c r="E25" s="30">
        <f>'NSW-1'!E25+'VIC-1'!E25+'QLD-1'!E25+'NSW-2'!E25+'VIC-2'!E25+'QLD-2'!E25+'SA-1'!E25+'WA-1'!E25</f>
        <v/>
      </c>
      <c r="F25" s="15">
        <f>'NSW-1'!F25+'VIC-1'!F25+'QLD-1'!F25+'NSW-2'!F25+'VIC-2'!F25+'QLD-2'!F25+'SA-1'!F25+'WA-1'!F25+'IDC-NSW'!F25+'IDC-VIC'!F25</f>
        <v/>
      </c>
      <c r="G25" s="9">
        <f>'NSW-1'!G25+'VIC-1'!G25+'QLD-1'!G25+'NSW-2'!G25+'VIC-2'!G25+'QLD-2'!G25+'SA-1'!G25+'WA-1'!G25+'IDC-NSW'!G25+'IDC-VIC'!G25</f>
        <v/>
      </c>
      <c r="H25" s="30">
        <f>'NSW-1'!H25+'VIC-1'!H25+'QLD-1'!H25+'NSW-2'!H25+'VIC-2'!H25+'QLD-2'!H25+'SA-1'!H25+'WA-1'!H25+'IDC-NSW'!H25+'IDC-VIC'!H25</f>
        <v/>
      </c>
      <c r="I25" s="30">
        <f>'NSW-1'!I25+'VIC-1'!I25+'QLD-1'!I25+'NSW-2'!I25+'VIC-2'!I25+'QLD-2'!I25+'SA-1'!I25+'WA-1'!I25+'IDC-NSW'!I25+'IDC-VIC'!I25</f>
        <v/>
      </c>
      <c r="J25" s="30">
        <f>'NSW-1'!J25+'VIC-1'!J25+'QLD-1'!J25+'NSW-2'!J25+'VIC-2'!J25+'QLD-2'!J25+'SA-1'!J25+'WA-1'!J25+'IDC-NSW'!J25+'IDC-VIC'!J25</f>
        <v/>
      </c>
      <c r="K25" s="10">
        <f>IFERROR(F25/G25,0)</f>
        <v/>
      </c>
      <c r="L25" s="34">
        <f>IFERROR(H25/G25,0)</f>
        <v/>
      </c>
      <c r="M25" s="35">
        <f>IFERROR(J25/F25,0)</f>
        <v/>
      </c>
      <c r="N25" s="36">
        <f>IFERROR(J25/E25,0)</f>
        <v/>
      </c>
      <c r="O25" s="36">
        <f>IFERROR(I25/J25,0)</f>
        <v/>
      </c>
      <c r="R25">
        <f>Inputs!$A$41</f>
        <v/>
      </c>
      <c r="S25" s="15">
        <f>SUMIFS('QLD-2'!$F$15:$F$62,'QLD-2'!$B$15:$B$62,2025)</f>
        <v/>
      </c>
      <c r="T25" s="15">
        <f>SUMIFS('QLD-2'!$F$15:$F$62,'QLD-2'!$B$15:$B$62,2026)</f>
        <v/>
      </c>
      <c r="U25" s="15">
        <f>SUMIFS('QLD-2'!$F$15:$F$62,'QLD-2'!$B$15:$B$62,2027)</f>
        <v/>
      </c>
      <c r="V25" s="15">
        <f>SUMIFS('QLD-2'!$F$15:$F$62,'QLD-2'!$B$15:$B$62,2028)</f>
        <v/>
      </c>
      <c r="AJ25" s="15">
        <f>'NSW-1'!AJ25+'VIC-1'!AJ25+'QLD-1'!AJ25+'NSW-2'!AJ25+'VIC-2'!AJ25+'QLD-2'!AJ25+'SA-1'!AJ25+'WA-1'!AJ25+'IDC-NSW'!AJ25+'IDC-VIC'!AJ25</f>
        <v/>
      </c>
      <c r="AK25" s="9">
        <f>'NSW-1'!AK25+'VIC-1'!AK25+'QLD-1'!AK25+'NSW-2'!AK25+'VIC-2'!AK25+'QLD-2'!AK25+'SA-1'!AK25+'WA-1'!AK25+'IDC-NSW'!AK25+'IDC-VIC'!AK25</f>
        <v/>
      </c>
      <c r="AL25" s="30">
        <f>'NSW-1'!AL25+'VIC-1'!AL25+'QLD-1'!AL25+'NSW-2'!AL25+'VIC-2'!AL25+'QLD-2'!AL25+'SA-1'!AL25+'WA-1'!AL25+'IDC-NSW'!AL25+'IDC-VIC'!AL25</f>
        <v/>
      </c>
      <c r="AM25" s="30">
        <f>'NSW-1'!AM25+'VIC-1'!AM25+'QLD-1'!AM25+'NSW-2'!AM25+'VIC-2'!AM25+'QLD-2'!AM25+'SA-1'!AM25+'WA-1'!AM25+'IDC-NSW'!AM25+'IDC-VIC'!AM25</f>
        <v/>
      </c>
      <c r="AN25" s="30">
        <f>'NSW-1'!AN25+'VIC-1'!AN25+'QLD-1'!AN25+'NSW-2'!AN25+'VIC-2'!AN25+'QLD-2'!AN25+'SA-1'!AN25+'WA-1'!AN25+'IDC-NSW'!AN25+'IDC-VIC'!AN25</f>
        <v/>
      </c>
      <c r="AP25" s="15">
        <f>'NSW-1'!AP25+'VIC-1'!AP25+'QLD-1'!AP25+'NSW-2'!AP25+'VIC-2'!AP25+'QLD-2'!AP25+'SA-1'!AP25+'WA-1'!AP25+'IDC-NSW'!AP25+'IDC-VIC'!AP25</f>
        <v/>
      </c>
      <c r="AQ25" s="9">
        <f>'NSW-1'!AQ25+'VIC-1'!AQ25+'QLD-1'!AQ25+'NSW-2'!AQ25+'VIC-2'!AQ25+'QLD-2'!AQ25+'SA-1'!AQ25+'WA-1'!AQ25+'IDC-NSW'!AQ25+'IDC-VIC'!AQ25</f>
        <v/>
      </c>
      <c r="AR25" s="30">
        <f>'NSW-1'!AR25+'VIC-1'!AR25+'QLD-1'!AR25+'NSW-2'!AR25+'VIC-2'!AR25+'QLD-2'!AR25+'SA-1'!AR25+'WA-1'!AR25+'IDC-NSW'!AR25+'IDC-VIC'!AR25</f>
        <v/>
      </c>
      <c r="AS25" s="30">
        <f>'NSW-1'!AS25+'VIC-1'!AS25+'QLD-1'!AS25+'NSW-2'!AS25+'VIC-2'!AS25+'QLD-2'!AS25+'SA-1'!AS25+'WA-1'!AS25+'IDC-NSW'!AS25+'IDC-VIC'!AS25</f>
        <v/>
      </c>
      <c r="AT25" s="30">
        <f>'NSW-1'!AT25+'VIC-1'!AT25+'QLD-1'!AT25+'NSW-2'!AT25+'VIC-2'!AT25+'QLD-2'!AT25+'SA-1'!AT25+'WA-1'!AT25+'IDC-NSW'!AT25+'IDC-VIC'!AT25</f>
        <v/>
      </c>
      <c r="AV25" s="15">
        <f>'NSW-1'!AV25+'VIC-1'!AV25+'QLD-1'!AV25+'NSW-2'!AV25+'VIC-2'!AV25+'QLD-2'!AV25+'SA-1'!AV25+'WA-1'!AV25+'IDC-NSW'!AV25+'IDC-VIC'!AV25</f>
        <v/>
      </c>
      <c r="AW25" s="9">
        <f>'NSW-1'!AW25+'VIC-1'!AW25+'QLD-1'!AW25+'NSW-2'!AW25+'VIC-2'!AW25+'QLD-2'!AW25+'SA-1'!AW25+'WA-1'!AW25+'IDC-NSW'!AW25+'IDC-VIC'!AW25</f>
        <v/>
      </c>
      <c r="AX25" s="30">
        <f>'NSW-1'!AX25+'VIC-1'!AX25+'QLD-1'!AX25+'NSW-2'!AX25+'VIC-2'!AX25+'QLD-2'!AX25+'SA-1'!AX25+'WA-1'!AX25+'IDC-NSW'!AX25+'IDC-VIC'!AX25</f>
        <v/>
      </c>
      <c r="AY25" s="30">
        <f>'NSW-1'!AY25+'VIC-1'!AY25+'QLD-1'!AY25+'NSW-2'!AY25+'VIC-2'!AY25+'QLD-2'!AY25+'SA-1'!AY25+'WA-1'!AY25+'IDC-NSW'!AY25+'IDC-VIC'!AY25</f>
        <v/>
      </c>
      <c r="AZ25" s="30">
        <f>'NSW-1'!AZ25+'VIC-1'!AZ25+'QLD-1'!AZ25+'NSW-2'!AZ25+'VIC-2'!AZ25+'QLD-2'!AZ25+'SA-1'!AZ25+'WA-1'!AZ25+'IDC-NSW'!AZ25+'IDC-VIC'!AZ25</f>
        <v/>
      </c>
    </row>
    <row r="26">
      <c r="A26" s="37" t="n">
        <v>45992</v>
      </c>
      <c r="B26" s="38">
        <f>YEAR(A26)</f>
        <v/>
      </c>
      <c r="C26" s="38">
        <f>MONTH(A26)</f>
        <v/>
      </c>
      <c r="D26" s="39">
        <f>IF(A26&lt;=LastActual,"Actual","Forecast")</f>
        <v/>
      </c>
      <c r="E26" s="40">
        <f>'NSW-1'!E26+'VIC-1'!E26+'QLD-1'!E26+'NSW-2'!E26+'VIC-2'!E26+'QLD-2'!E26+'SA-1'!E26+'WA-1'!E26</f>
        <v/>
      </c>
      <c r="F26" s="41">
        <f>'NSW-1'!F26+'VIC-1'!F26+'QLD-1'!F26+'NSW-2'!F26+'VIC-2'!F26+'QLD-2'!F26+'SA-1'!F26+'WA-1'!F26+'IDC-NSW'!F26+'IDC-VIC'!F26</f>
        <v/>
      </c>
      <c r="G26" s="42">
        <f>'NSW-1'!G26+'VIC-1'!G26+'QLD-1'!G26+'NSW-2'!G26+'VIC-2'!G26+'QLD-2'!G26+'SA-1'!G26+'WA-1'!G26+'IDC-NSW'!G26+'IDC-VIC'!G26</f>
        <v/>
      </c>
      <c r="H26" s="40">
        <f>'NSW-1'!H26+'VIC-1'!H26+'QLD-1'!H26+'NSW-2'!H26+'VIC-2'!H26+'QLD-2'!H26+'SA-1'!H26+'WA-1'!H26+'IDC-NSW'!H26+'IDC-VIC'!H26</f>
        <v/>
      </c>
      <c r="I26" s="40">
        <f>'NSW-1'!I26+'VIC-1'!I26+'QLD-1'!I26+'NSW-2'!I26+'VIC-2'!I26+'QLD-2'!I26+'SA-1'!I26+'WA-1'!I26+'IDC-NSW'!I26+'IDC-VIC'!I26</f>
        <v/>
      </c>
      <c r="J26" s="40">
        <f>'NSW-1'!J26+'VIC-1'!J26+'QLD-1'!J26+'NSW-2'!J26+'VIC-2'!J26+'QLD-2'!J26+'SA-1'!J26+'WA-1'!J26+'IDC-NSW'!J26+'IDC-VIC'!J26</f>
        <v/>
      </c>
      <c r="K26" s="43">
        <f>IFERROR(F26/G26,0)</f>
        <v/>
      </c>
      <c r="L26" s="44">
        <f>IFERROR(H26/G26,0)</f>
        <v/>
      </c>
      <c r="M26" s="45">
        <f>IFERROR(J26/F26,0)</f>
        <v/>
      </c>
      <c r="N26" s="46">
        <f>IFERROR(J26/E26,0)</f>
        <v/>
      </c>
      <c r="O26" s="46">
        <f>IFERROR(I26/J26,0)</f>
        <v/>
      </c>
      <c r="R26">
        <f>Inputs!$A$42</f>
        <v/>
      </c>
      <c r="S26" s="15">
        <f>SUMIFS('SA-1'!$F$15:$F$62,'SA-1'!$B$15:$B$62,2025)</f>
        <v/>
      </c>
      <c r="T26" s="15">
        <f>SUMIFS('SA-1'!$F$15:$F$62,'SA-1'!$B$15:$B$62,2026)</f>
        <v/>
      </c>
      <c r="U26" s="15">
        <f>SUMIFS('SA-1'!$F$15:$F$62,'SA-1'!$B$15:$B$62,2027)</f>
        <v/>
      </c>
      <c r="V26" s="15">
        <f>SUMIFS('SA-1'!$F$15:$F$62,'SA-1'!$B$15:$B$62,2028)</f>
        <v/>
      </c>
      <c r="AJ26" s="41">
        <f>'NSW-1'!AJ26+'VIC-1'!AJ26+'QLD-1'!AJ26+'NSW-2'!AJ26+'VIC-2'!AJ26+'QLD-2'!AJ26+'SA-1'!AJ26+'WA-1'!AJ26+'IDC-NSW'!AJ26+'IDC-VIC'!AJ26</f>
        <v/>
      </c>
      <c r="AK26" s="42">
        <f>'NSW-1'!AK26+'VIC-1'!AK26+'QLD-1'!AK26+'NSW-2'!AK26+'VIC-2'!AK26+'QLD-2'!AK26+'SA-1'!AK26+'WA-1'!AK26+'IDC-NSW'!AK26+'IDC-VIC'!AK26</f>
        <v/>
      </c>
      <c r="AL26" s="40">
        <f>'NSW-1'!AL26+'VIC-1'!AL26+'QLD-1'!AL26+'NSW-2'!AL26+'VIC-2'!AL26+'QLD-2'!AL26+'SA-1'!AL26+'WA-1'!AL26+'IDC-NSW'!AL26+'IDC-VIC'!AL26</f>
        <v/>
      </c>
      <c r="AM26" s="40">
        <f>'NSW-1'!AM26+'VIC-1'!AM26+'QLD-1'!AM26+'NSW-2'!AM26+'VIC-2'!AM26+'QLD-2'!AM26+'SA-1'!AM26+'WA-1'!AM26+'IDC-NSW'!AM26+'IDC-VIC'!AM26</f>
        <v/>
      </c>
      <c r="AN26" s="40">
        <f>'NSW-1'!AN26+'VIC-1'!AN26+'QLD-1'!AN26+'NSW-2'!AN26+'VIC-2'!AN26+'QLD-2'!AN26+'SA-1'!AN26+'WA-1'!AN26+'IDC-NSW'!AN26+'IDC-VIC'!AN26</f>
        <v/>
      </c>
      <c r="AP26" s="41">
        <f>'NSW-1'!AP26+'VIC-1'!AP26+'QLD-1'!AP26+'NSW-2'!AP26+'VIC-2'!AP26+'QLD-2'!AP26+'SA-1'!AP26+'WA-1'!AP26+'IDC-NSW'!AP26+'IDC-VIC'!AP26</f>
        <v/>
      </c>
      <c r="AQ26" s="42">
        <f>'NSW-1'!AQ26+'VIC-1'!AQ26+'QLD-1'!AQ26+'NSW-2'!AQ26+'VIC-2'!AQ26+'QLD-2'!AQ26+'SA-1'!AQ26+'WA-1'!AQ26+'IDC-NSW'!AQ26+'IDC-VIC'!AQ26</f>
        <v/>
      </c>
      <c r="AR26" s="40">
        <f>'NSW-1'!AR26+'VIC-1'!AR26+'QLD-1'!AR26+'NSW-2'!AR26+'VIC-2'!AR26+'QLD-2'!AR26+'SA-1'!AR26+'WA-1'!AR26+'IDC-NSW'!AR26+'IDC-VIC'!AR26</f>
        <v/>
      </c>
      <c r="AS26" s="40">
        <f>'NSW-1'!AS26+'VIC-1'!AS26+'QLD-1'!AS26+'NSW-2'!AS26+'VIC-2'!AS26+'QLD-2'!AS26+'SA-1'!AS26+'WA-1'!AS26+'IDC-NSW'!AS26+'IDC-VIC'!AS26</f>
        <v/>
      </c>
      <c r="AT26" s="40">
        <f>'NSW-1'!AT26+'VIC-1'!AT26+'QLD-1'!AT26+'NSW-2'!AT26+'VIC-2'!AT26+'QLD-2'!AT26+'SA-1'!AT26+'WA-1'!AT26+'IDC-NSW'!AT26+'IDC-VIC'!AT26</f>
        <v/>
      </c>
      <c r="AV26" s="41">
        <f>'NSW-1'!AV26+'VIC-1'!AV26+'QLD-1'!AV26+'NSW-2'!AV26+'VIC-2'!AV26+'QLD-2'!AV26+'SA-1'!AV26+'WA-1'!AV26+'IDC-NSW'!AV26+'IDC-VIC'!AV26</f>
        <v/>
      </c>
      <c r="AW26" s="42">
        <f>'NSW-1'!AW26+'VIC-1'!AW26+'QLD-1'!AW26+'NSW-2'!AW26+'VIC-2'!AW26+'QLD-2'!AW26+'SA-1'!AW26+'WA-1'!AW26+'IDC-NSW'!AW26+'IDC-VIC'!AW26</f>
        <v/>
      </c>
      <c r="AX26" s="40">
        <f>'NSW-1'!AX26+'VIC-1'!AX26+'QLD-1'!AX26+'NSW-2'!AX26+'VIC-2'!AX26+'QLD-2'!AX26+'SA-1'!AX26+'WA-1'!AX26+'IDC-NSW'!AX26+'IDC-VIC'!AX26</f>
        <v/>
      </c>
      <c r="AY26" s="40">
        <f>'NSW-1'!AY26+'VIC-1'!AY26+'QLD-1'!AY26+'NSW-2'!AY26+'VIC-2'!AY26+'QLD-2'!AY26+'SA-1'!AY26+'WA-1'!AY26+'IDC-NSW'!AY26+'IDC-VIC'!AY26</f>
        <v/>
      </c>
      <c r="AZ26" s="40">
        <f>'NSW-1'!AZ26+'VIC-1'!AZ26+'QLD-1'!AZ26+'NSW-2'!AZ26+'VIC-2'!AZ26+'QLD-2'!AZ26+'SA-1'!AZ26+'WA-1'!AZ26+'IDC-NSW'!AZ26+'IDC-VIC'!AZ26</f>
        <v/>
      </c>
    </row>
    <row r="27">
      <c r="A27" s="8" t="n">
        <v>46023</v>
      </c>
      <c r="B27" s="33">
        <f>YEAR(A27)</f>
        <v/>
      </c>
      <c r="C27" s="33">
        <f>MONTH(A27)</f>
        <v/>
      </c>
      <c r="D27">
        <f>IF(A27&lt;=LastActual,"Actual","Forecast")</f>
        <v/>
      </c>
      <c r="E27" s="30">
        <f>'NSW-1'!E27+'VIC-1'!E27+'QLD-1'!E27+'NSW-2'!E27+'VIC-2'!E27+'QLD-2'!E27+'SA-1'!E27+'WA-1'!E27</f>
        <v/>
      </c>
      <c r="F27" s="15">
        <f>'NSW-1'!F27+'VIC-1'!F27+'QLD-1'!F27+'NSW-2'!F27+'VIC-2'!F27+'QLD-2'!F27+'SA-1'!F27+'WA-1'!F27+'IDC-NSW'!F27+'IDC-VIC'!F27</f>
        <v/>
      </c>
      <c r="G27" s="9">
        <f>'NSW-1'!G27+'VIC-1'!G27+'QLD-1'!G27+'NSW-2'!G27+'VIC-2'!G27+'QLD-2'!G27+'SA-1'!G27+'WA-1'!G27+'IDC-NSW'!G27+'IDC-VIC'!G27</f>
        <v/>
      </c>
      <c r="H27" s="30">
        <f>'NSW-1'!H27+'VIC-1'!H27+'QLD-1'!H27+'NSW-2'!H27+'VIC-2'!H27+'QLD-2'!H27+'SA-1'!H27+'WA-1'!H27+'IDC-NSW'!H27+'IDC-VIC'!H27</f>
        <v/>
      </c>
      <c r="I27" s="30">
        <f>'NSW-1'!I27+'VIC-1'!I27+'QLD-1'!I27+'NSW-2'!I27+'VIC-2'!I27+'QLD-2'!I27+'SA-1'!I27+'WA-1'!I27+'IDC-NSW'!I27+'IDC-VIC'!I27</f>
        <v/>
      </c>
      <c r="J27" s="30">
        <f>'NSW-1'!J27+'VIC-1'!J27+'QLD-1'!J27+'NSW-2'!J27+'VIC-2'!J27+'QLD-2'!J27+'SA-1'!J27+'WA-1'!J27+'IDC-NSW'!J27+'IDC-VIC'!J27</f>
        <v/>
      </c>
      <c r="K27" s="10">
        <f>IFERROR(F27/G27,0)</f>
        <v/>
      </c>
      <c r="L27" s="34">
        <f>IFERROR(H27/G27,0)</f>
        <v/>
      </c>
      <c r="M27" s="35">
        <f>IFERROR(J27/F27,0)</f>
        <v/>
      </c>
      <c r="N27" s="36">
        <f>IFERROR(J27/E27,0)</f>
        <v/>
      </c>
      <c r="O27" s="36">
        <f>IFERROR(I27/J27,0)</f>
        <v/>
      </c>
      <c r="R27">
        <f>Inputs!$A$43</f>
        <v/>
      </c>
      <c r="S27" s="15">
        <f>SUMIFS('WA-1'!$F$15:$F$62,'WA-1'!$B$15:$B$62,2025)</f>
        <v/>
      </c>
      <c r="T27" s="15">
        <f>SUMIFS('WA-1'!$F$15:$F$62,'WA-1'!$B$15:$B$62,2026)</f>
        <v/>
      </c>
      <c r="U27" s="15">
        <f>SUMIFS('WA-1'!$F$15:$F$62,'WA-1'!$B$15:$B$62,2027)</f>
        <v/>
      </c>
      <c r="V27" s="15">
        <f>SUMIFS('WA-1'!$F$15:$F$62,'WA-1'!$B$15:$B$62,2028)</f>
        <v/>
      </c>
      <c r="AJ27" s="15">
        <f>'NSW-1'!AJ27+'VIC-1'!AJ27+'QLD-1'!AJ27+'NSW-2'!AJ27+'VIC-2'!AJ27+'QLD-2'!AJ27+'SA-1'!AJ27+'WA-1'!AJ27+'IDC-NSW'!AJ27+'IDC-VIC'!AJ27</f>
        <v/>
      </c>
      <c r="AK27" s="9">
        <f>'NSW-1'!AK27+'VIC-1'!AK27+'QLD-1'!AK27+'NSW-2'!AK27+'VIC-2'!AK27+'QLD-2'!AK27+'SA-1'!AK27+'WA-1'!AK27+'IDC-NSW'!AK27+'IDC-VIC'!AK27</f>
        <v/>
      </c>
      <c r="AL27" s="30">
        <f>'NSW-1'!AL27+'VIC-1'!AL27+'QLD-1'!AL27+'NSW-2'!AL27+'VIC-2'!AL27+'QLD-2'!AL27+'SA-1'!AL27+'WA-1'!AL27+'IDC-NSW'!AL27+'IDC-VIC'!AL27</f>
        <v/>
      </c>
      <c r="AM27" s="30">
        <f>'NSW-1'!AM27+'VIC-1'!AM27+'QLD-1'!AM27+'NSW-2'!AM27+'VIC-2'!AM27+'QLD-2'!AM27+'SA-1'!AM27+'WA-1'!AM27+'IDC-NSW'!AM27+'IDC-VIC'!AM27</f>
        <v/>
      </c>
      <c r="AN27" s="30">
        <f>'NSW-1'!AN27+'VIC-1'!AN27+'QLD-1'!AN27+'NSW-2'!AN27+'VIC-2'!AN27+'QLD-2'!AN27+'SA-1'!AN27+'WA-1'!AN27+'IDC-NSW'!AN27+'IDC-VIC'!AN27</f>
        <v/>
      </c>
      <c r="AP27" s="15">
        <f>'NSW-1'!AP27+'VIC-1'!AP27+'QLD-1'!AP27+'NSW-2'!AP27+'VIC-2'!AP27+'QLD-2'!AP27+'SA-1'!AP27+'WA-1'!AP27+'IDC-NSW'!AP27+'IDC-VIC'!AP27</f>
        <v/>
      </c>
      <c r="AQ27" s="9">
        <f>'NSW-1'!AQ27+'VIC-1'!AQ27+'QLD-1'!AQ27+'NSW-2'!AQ27+'VIC-2'!AQ27+'QLD-2'!AQ27+'SA-1'!AQ27+'WA-1'!AQ27+'IDC-NSW'!AQ27+'IDC-VIC'!AQ27</f>
        <v/>
      </c>
      <c r="AR27" s="30">
        <f>'NSW-1'!AR27+'VIC-1'!AR27+'QLD-1'!AR27+'NSW-2'!AR27+'VIC-2'!AR27+'QLD-2'!AR27+'SA-1'!AR27+'WA-1'!AR27+'IDC-NSW'!AR27+'IDC-VIC'!AR27</f>
        <v/>
      </c>
      <c r="AS27" s="30">
        <f>'NSW-1'!AS27+'VIC-1'!AS27+'QLD-1'!AS27+'NSW-2'!AS27+'VIC-2'!AS27+'QLD-2'!AS27+'SA-1'!AS27+'WA-1'!AS27+'IDC-NSW'!AS27+'IDC-VIC'!AS27</f>
        <v/>
      </c>
      <c r="AT27" s="30">
        <f>'NSW-1'!AT27+'VIC-1'!AT27+'QLD-1'!AT27+'NSW-2'!AT27+'VIC-2'!AT27+'QLD-2'!AT27+'SA-1'!AT27+'WA-1'!AT27+'IDC-NSW'!AT27+'IDC-VIC'!AT27</f>
        <v/>
      </c>
      <c r="AV27" s="15">
        <f>'NSW-1'!AV27+'VIC-1'!AV27+'QLD-1'!AV27+'NSW-2'!AV27+'VIC-2'!AV27+'QLD-2'!AV27+'SA-1'!AV27+'WA-1'!AV27+'IDC-NSW'!AV27+'IDC-VIC'!AV27</f>
        <v/>
      </c>
      <c r="AW27" s="9">
        <f>'NSW-1'!AW27+'VIC-1'!AW27+'QLD-1'!AW27+'NSW-2'!AW27+'VIC-2'!AW27+'QLD-2'!AW27+'SA-1'!AW27+'WA-1'!AW27+'IDC-NSW'!AW27+'IDC-VIC'!AW27</f>
        <v/>
      </c>
      <c r="AX27" s="30">
        <f>'NSW-1'!AX27+'VIC-1'!AX27+'QLD-1'!AX27+'NSW-2'!AX27+'VIC-2'!AX27+'QLD-2'!AX27+'SA-1'!AX27+'WA-1'!AX27+'IDC-NSW'!AX27+'IDC-VIC'!AX27</f>
        <v/>
      </c>
      <c r="AY27" s="30">
        <f>'NSW-1'!AY27+'VIC-1'!AY27+'QLD-1'!AY27+'NSW-2'!AY27+'VIC-2'!AY27+'QLD-2'!AY27+'SA-1'!AY27+'WA-1'!AY27+'IDC-NSW'!AY27+'IDC-VIC'!AY27</f>
        <v/>
      </c>
      <c r="AZ27" s="30">
        <f>'NSW-1'!AZ27+'VIC-1'!AZ27+'QLD-1'!AZ27+'NSW-2'!AZ27+'VIC-2'!AZ27+'QLD-2'!AZ27+'SA-1'!AZ27+'WA-1'!AZ27+'IDC-NSW'!AZ27+'IDC-VIC'!AZ27</f>
        <v/>
      </c>
    </row>
    <row r="28">
      <c r="A28" s="8" t="n">
        <v>46054</v>
      </c>
      <c r="B28" s="33">
        <f>YEAR(A28)</f>
        <v/>
      </c>
      <c r="C28" s="33">
        <f>MONTH(A28)</f>
        <v/>
      </c>
      <c r="D28">
        <f>IF(A28&lt;=LastActual,"Actual","Forecast")</f>
        <v/>
      </c>
      <c r="E28" s="30">
        <f>'NSW-1'!E28+'VIC-1'!E28+'QLD-1'!E28+'NSW-2'!E28+'VIC-2'!E28+'QLD-2'!E28+'SA-1'!E28+'WA-1'!E28</f>
        <v/>
      </c>
      <c r="F28" s="15">
        <f>'NSW-1'!F28+'VIC-1'!F28+'QLD-1'!F28+'NSW-2'!F28+'VIC-2'!F28+'QLD-2'!F28+'SA-1'!F28+'WA-1'!F28+'IDC-NSW'!F28+'IDC-VIC'!F28</f>
        <v/>
      </c>
      <c r="G28" s="9">
        <f>'NSW-1'!G28+'VIC-1'!G28+'QLD-1'!G28+'NSW-2'!G28+'VIC-2'!G28+'QLD-2'!G28+'SA-1'!G28+'WA-1'!G28+'IDC-NSW'!G28+'IDC-VIC'!G28</f>
        <v/>
      </c>
      <c r="H28" s="30">
        <f>'NSW-1'!H28+'VIC-1'!H28+'QLD-1'!H28+'NSW-2'!H28+'VIC-2'!H28+'QLD-2'!H28+'SA-1'!H28+'WA-1'!H28+'IDC-NSW'!H28+'IDC-VIC'!H28</f>
        <v/>
      </c>
      <c r="I28" s="30">
        <f>'NSW-1'!I28+'VIC-1'!I28+'QLD-1'!I28+'NSW-2'!I28+'VIC-2'!I28+'QLD-2'!I28+'SA-1'!I28+'WA-1'!I28+'IDC-NSW'!I28+'IDC-VIC'!I28</f>
        <v/>
      </c>
      <c r="J28" s="30">
        <f>'NSW-1'!J28+'VIC-1'!J28+'QLD-1'!J28+'NSW-2'!J28+'VIC-2'!J28+'QLD-2'!J28+'SA-1'!J28+'WA-1'!J28+'IDC-NSW'!J28+'IDC-VIC'!J28</f>
        <v/>
      </c>
      <c r="K28" s="10">
        <f>IFERROR(F28/G28,0)</f>
        <v/>
      </c>
      <c r="L28" s="34">
        <f>IFERROR(H28/G28,0)</f>
        <v/>
      </c>
      <c r="M28" s="35">
        <f>IFERROR(J28/F28,0)</f>
        <v/>
      </c>
      <c r="N28" s="36">
        <f>IFERROR(J28/E28,0)</f>
        <v/>
      </c>
      <c r="O28" s="36">
        <f>IFERROR(I28/J28,0)</f>
        <v/>
      </c>
      <c r="R28">
        <f>Inputs!$A$44</f>
        <v/>
      </c>
      <c r="S28" s="15">
        <f>SUMIFS('IDC-NSW'!$F$15:$F$62,'IDC-NSW'!$B$15:$B$62,2025)</f>
        <v/>
      </c>
      <c r="T28" s="15">
        <f>SUMIFS('IDC-NSW'!$F$15:$F$62,'IDC-NSW'!$B$15:$B$62,2026)</f>
        <v/>
      </c>
      <c r="U28" s="15">
        <f>SUMIFS('IDC-NSW'!$F$15:$F$62,'IDC-NSW'!$B$15:$B$62,2027)</f>
        <v/>
      </c>
      <c r="V28" s="15">
        <f>SUMIFS('IDC-NSW'!$F$15:$F$62,'IDC-NSW'!$B$15:$B$62,2028)</f>
        <v/>
      </c>
      <c r="AJ28" s="15">
        <f>'NSW-1'!AJ28+'VIC-1'!AJ28+'QLD-1'!AJ28+'NSW-2'!AJ28+'VIC-2'!AJ28+'QLD-2'!AJ28+'SA-1'!AJ28+'WA-1'!AJ28+'IDC-NSW'!AJ28+'IDC-VIC'!AJ28</f>
        <v/>
      </c>
      <c r="AK28" s="9">
        <f>'NSW-1'!AK28+'VIC-1'!AK28+'QLD-1'!AK28+'NSW-2'!AK28+'VIC-2'!AK28+'QLD-2'!AK28+'SA-1'!AK28+'WA-1'!AK28+'IDC-NSW'!AK28+'IDC-VIC'!AK28</f>
        <v/>
      </c>
      <c r="AL28" s="30">
        <f>'NSW-1'!AL28+'VIC-1'!AL28+'QLD-1'!AL28+'NSW-2'!AL28+'VIC-2'!AL28+'QLD-2'!AL28+'SA-1'!AL28+'WA-1'!AL28+'IDC-NSW'!AL28+'IDC-VIC'!AL28</f>
        <v/>
      </c>
      <c r="AM28" s="30">
        <f>'NSW-1'!AM28+'VIC-1'!AM28+'QLD-1'!AM28+'NSW-2'!AM28+'VIC-2'!AM28+'QLD-2'!AM28+'SA-1'!AM28+'WA-1'!AM28+'IDC-NSW'!AM28+'IDC-VIC'!AM28</f>
        <v/>
      </c>
      <c r="AN28" s="30">
        <f>'NSW-1'!AN28+'VIC-1'!AN28+'QLD-1'!AN28+'NSW-2'!AN28+'VIC-2'!AN28+'QLD-2'!AN28+'SA-1'!AN28+'WA-1'!AN28+'IDC-NSW'!AN28+'IDC-VIC'!AN28</f>
        <v/>
      </c>
      <c r="AP28" s="15">
        <f>'NSW-1'!AP28+'VIC-1'!AP28+'QLD-1'!AP28+'NSW-2'!AP28+'VIC-2'!AP28+'QLD-2'!AP28+'SA-1'!AP28+'WA-1'!AP28+'IDC-NSW'!AP28+'IDC-VIC'!AP28</f>
        <v/>
      </c>
      <c r="AQ28" s="9">
        <f>'NSW-1'!AQ28+'VIC-1'!AQ28+'QLD-1'!AQ28+'NSW-2'!AQ28+'VIC-2'!AQ28+'QLD-2'!AQ28+'SA-1'!AQ28+'WA-1'!AQ28+'IDC-NSW'!AQ28+'IDC-VIC'!AQ28</f>
        <v/>
      </c>
      <c r="AR28" s="30">
        <f>'NSW-1'!AR28+'VIC-1'!AR28+'QLD-1'!AR28+'NSW-2'!AR28+'VIC-2'!AR28+'QLD-2'!AR28+'SA-1'!AR28+'WA-1'!AR28+'IDC-NSW'!AR28+'IDC-VIC'!AR28</f>
        <v/>
      </c>
      <c r="AS28" s="30">
        <f>'NSW-1'!AS28+'VIC-1'!AS28+'QLD-1'!AS28+'NSW-2'!AS28+'VIC-2'!AS28+'QLD-2'!AS28+'SA-1'!AS28+'WA-1'!AS28+'IDC-NSW'!AS28+'IDC-VIC'!AS28</f>
        <v/>
      </c>
      <c r="AT28" s="30">
        <f>'NSW-1'!AT28+'VIC-1'!AT28+'QLD-1'!AT28+'NSW-2'!AT28+'VIC-2'!AT28+'QLD-2'!AT28+'SA-1'!AT28+'WA-1'!AT28+'IDC-NSW'!AT28+'IDC-VIC'!AT28</f>
        <v/>
      </c>
      <c r="AV28" s="15">
        <f>'NSW-1'!AV28+'VIC-1'!AV28+'QLD-1'!AV28+'NSW-2'!AV28+'VIC-2'!AV28+'QLD-2'!AV28+'SA-1'!AV28+'WA-1'!AV28+'IDC-NSW'!AV28+'IDC-VIC'!AV28</f>
        <v/>
      </c>
      <c r="AW28" s="9">
        <f>'NSW-1'!AW28+'VIC-1'!AW28+'QLD-1'!AW28+'NSW-2'!AW28+'VIC-2'!AW28+'QLD-2'!AW28+'SA-1'!AW28+'WA-1'!AW28+'IDC-NSW'!AW28+'IDC-VIC'!AW28</f>
        <v/>
      </c>
      <c r="AX28" s="30">
        <f>'NSW-1'!AX28+'VIC-1'!AX28+'QLD-1'!AX28+'NSW-2'!AX28+'VIC-2'!AX28+'QLD-2'!AX28+'SA-1'!AX28+'WA-1'!AX28+'IDC-NSW'!AX28+'IDC-VIC'!AX28</f>
        <v/>
      </c>
      <c r="AY28" s="30">
        <f>'NSW-1'!AY28+'VIC-1'!AY28+'QLD-1'!AY28+'NSW-2'!AY28+'VIC-2'!AY28+'QLD-2'!AY28+'SA-1'!AY28+'WA-1'!AY28+'IDC-NSW'!AY28+'IDC-VIC'!AY28</f>
        <v/>
      </c>
      <c r="AZ28" s="30">
        <f>'NSW-1'!AZ28+'VIC-1'!AZ28+'QLD-1'!AZ28+'NSW-2'!AZ28+'VIC-2'!AZ28+'QLD-2'!AZ28+'SA-1'!AZ28+'WA-1'!AZ28+'IDC-NSW'!AZ28+'IDC-VIC'!AZ28</f>
        <v/>
      </c>
    </row>
    <row r="29">
      <c r="A29" s="8" t="n">
        <v>46082</v>
      </c>
      <c r="B29" s="33">
        <f>YEAR(A29)</f>
        <v/>
      </c>
      <c r="C29" s="33">
        <f>MONTH(A29)</f>
        <v/>
      </c>
      <c r="D29">
        <f>IF(A29&lt;=LastActual,"Actual","Forecast")</f>
        <v/>
      </c>
      <c r="E29" s="30">
        <f>'NSW-1'!E29+'VIC-1'!E29+'QLD-1'!E29+'NSW-2'!E29+'VIC-2'!E29+'QLD-2'!E29+'SA-1'!E29+'WA-1'!E29</f>
        <v/>
      </c>
      <c r="F29" s="15">
        <f>'NSW-1'!F29+'VIC-1'!F29+'QLD-1'!F29+'NSW-2'!F29+'VIC-2'!F29+'QLD-2'!F29+'SA-1'!F29+'WA-1'!F29+'IDC-NSW'!F29+'IDC-VIC'!F29</f>
        <v/>
      </c>
      <c r="G29" s="9">
        <f>'NSW-1'!G29+'VIC-1'!G29+'QLD-1'!G29+'NSW-2'!G29+'VIC-2'!G29+'QLD-2'!G29+'SA-1'!G29+'WA-1'!G29+'IDC-NSW'!G29+'IDC-VIC'!G29</f>
        <v/>
      </c>
      <c r="H29" s="30">
        <f>'NSW-1'!H29+'VIC-1'!H29+'QLD-1'!H29+'NSW-2'!H29+'VIC-2'!H29+'QLD-2'!H29+'SA-1'!H29+'WA-1'!H29+'IDC-NSW'!H29+'IDC-VIC'!H29</f>
        <v/>
      </c>
      <c r="I29" s="30">
        <f>'NSW-1'!I29+'VIC-1'!I29+'QLD-1'!I29+'NSW-2'!I29+'VIC-2'!I29+'QLD-2'!I29+'SA-1'!I29+'WA-1'!I29+'IDC-NSW'!I29+'IDC-VIC'!I29</f>
        <v/>
      </c>
      <c r="J29" s="30">
        <f>'NSW-1'!J29+'VIC-1'!J29+'QLD-1'!J29+'NSW-2'!J29+'VIC-2'!J29+'QLD-2'!J29+'SA-1'!J29+'WA-1'!J29+'IDC-NSW'!J29+'IDC-VIC'!J29</f>
        <v/>
      </c>
      <c r="K29" s="10">
        <f>IFERROR(F29/G29,0)</f>
        <v/>
      </c>
      <c r="L29" s="34">
        <f>IFERROR(H29/G29,0)</f>
        <v/>
      </c>
      <c r="M29" s="35">
        <f>IFERROR(J29/F29,0)</f>
        <v/>
      </c>
      <c r="N29" s="36">
        <f>IFERROR(J29/E29,0)</f>
        <v/>
      </c>
      <c r="O29" s="36">
        <f>IFERROR(I29/J29,0)</f>
        <v/>
      </c>
      <c r="R29">
        <f>Inputs!$A$45</f>
        <v/>
      </c>
      <c r="S29" s="15">
        <f>SUMIFS('IDC-VIC'!$F$15:$F$62,'IDC-VIC'!$B$15:$B$62,2025)</f>
        <v/>
      </c>
      <c r="T29" s="15">
        <f>SUMIFS('IDC-VIC'!$F$15:$F$62,'IDC-VIC'!$B$15:$B$62,2026)</f>
        <v/>
      </c>
      <c r="U29" s="15">
        <f>SUMIFS('IDC-VIC'!$F$15:$F$62,'IDC-VIC'!$B$15:$B$62,2027)</f>
        <v/>
      </c>
      <c r="V29" s="15">
        <f>SUMIFS('IDC-VIC'!$F$15:$F$62,'IDC-VIC'!$B$15:$B$62,2028)</f>
        <v/>
      </c>
      <c r="AJ29" s="15">
        <f>'NSW-1'!AJ29+'VIC-1'!AJ29+'QLD-1'!AJ29+'NSW-2'!AJ29+'VIC-2'!AJ29+'QLD-2'!AJ29+'SA-1'!AJ29+'WA-1'!AJ29+'IDC-NSW'!AJ29+'IDC-VIC'!AJ29</f>
        <v/>
      </c>
      <c r="AK29" s="9">
        <f>'NSW-1'!AK29+'VIC-1'!AK29+'QLD-1'!AK29+'NSW-2'!AK29+'VIC-2'!AK29+'QLD-2'!AK29+'SA-1'!AK29+'WA-1'!AK29+'IDC-NSW'!AK29+'IDC-VIC'!AK29</f>
        <v/>
      </c>
      <c r="AL29" s="30">
        <f>'NSW-1'!AL29+'VIC-1'!AL29+'QLD-1'!AL29+'NSW-2'!AL29+'VIC-2'!AL29+'QLD-2'!AL29+'SA-1'!AL29+'WA-1'!AL29+'IDC-NSW'!AL29+'IDC-VIC'!AL29</f>
        <v/>
      </c>
      <c r="AM29" s="30">
        <f>'NSW-1'!AM29+'VIC-1'!AM29+'QLD-1'!AM29+'NSW-2'!AM29+'VIC-2'!AM29+'QLD-2'!AM29+'SA-1'!AM29+'WA-1'!AM29+'IDC-NSW'!AM29+'IDC-VIC'!AM29</f>
        <v/>
      </c>
      <c r="AN29" s="30">
        <f>'NSW-1'!AN29+'VIC-1'!AN29+'QLD-1'!AN29+'NSW-2'!AN29+'VIC-2'!AN29+'QLD-2'!AN29+'SA-1'!AN29+'WA-1'!AN29+'IDC-NSW'!AN29+'IDC-VIC'!AN29</f>
        <v/>
      </c>
      <c r="AP29" s="15">
        <f>'NSW-1'!AP29+'VIC-1'!AP29+'QLD-1'!AP29+'NSW-2'!AP29+'VIC-2'!AP29+'QLD-2'!AP29+'SA-1'!AP29+'WA-1'!AP29+'IDC-NSW'!AP29+'IDC-VIC'!AP29</f>
        <v/>
      </c>
      <c r="AQ29" s="9">
        <f>'NSW-1'!AQ29+'VIC-1'!AQ29+'QLD-1'!AQ29+'NSW-2'!AQ29+'VIC-2'!AQ29+'QLD-2'!AQ29+'SA-1'!AQ29+'WA-1'!AQ29+'IDC-NSW'!AQ29+'IDC-VIC'!AQ29</f>
        <v/>
      </c>
      <c r="AR29" s="30">
        <f>'NSW-1'!AR29+'VIC-1'!AR29+'QLD-1'!AR29+'NSW-2'!AR29+'VIC-2'!AR29+'QLD-2'!AR29+'SA-1'!AR29+'WA-1'!AR29+'IDC-NSW'!AR29+'IDC-VIC'!AR29</f>
        <v/>
      </c>
      <c r="AS29" s="30">
        <f>'NSW-1'!AS29+'VIC-1'!AS29+'QLD-1'!AS29+'NSW-2'!AS29+'VIC-2'!AS29+'QLD-2'!AS29+'SA-1'!AS29+'WA-1'!AS29+'IDC-NSW'!AS29+'IDC-VIC'!AS29</f>
        <v/>
      </c>
      <c r="AT29" s="30">
        <f>'NSW-1'!AT29+'VIC-1'!AT29+'QLD-1'!AT29+'NSW-2'!AT29+'VIC-2'!AT29+'QLD-2'!AT29+'SA-1'!AT29+'WA-1'!AT29+'IDC-NSW'!AT29+'IDC-VIC'!AT29</f>
        <v/>
      </c>
      <c r="AV29" s="15">
        <f>'NSW-1'!AV29+'VIC-1'!AV29+'QLD-1'!AV29+'NSW-2'!AV29+'VIC-2'!AV29+'QLD-2'!AV29+'SA-1'!AV29+'WA-1'!AV29+'IDC-NSW'!AV29+'IDC-VIC'!AV29</f>
        <v/>
      </c>
      <c r="AW29" s="9">
        <f>'NSW-1'!AW29+'VIC-1'!AW29+'QLD-1'!AW29+'NSW-2'!AW29+'VIC-2'!AW29+'QLD-2'!AW29+'SA-1'!AW29+'WA-1'!AW29+'IDC-NSW'!AW29+'IDC-VIC'!AW29</f>
        <v/>
      </c>
      <c r="AX29" s="30">
        <f>'NSW-1'!AX29+'VIC-1'!AX29+'QLD-1'!AX29+'NSW-2'!AX29+'VIC-2'!AX29+'QLD-2'!AX29+'SA-1'!AX29+'WA-1'!AX29+'IDC-NSW'!AX29+'IDC-VIC'!AX29</f>
        <v/>
      </c>
      <c r="AY29" s="30">
        <f>'NSW-1'!AY29+'VIC-1'!AY29+'QLD-1'!AY29+'NSW-2'!AY29+'VIC-2'!AY29+'QLD-2'!AY29+'SA-1'!AY29+'WA-1'!AY29+'IDC-NSW'!AY29+'IDC-VIC'!AY29</f>
        <v/>
      </c>
      <c r="AZ29" s="30">
        <f>'NSW-1'!AZ29+'VIC-1'!AZ29+'QLD-1'!AZ29+'NSW-2'!AZ29+'VIC-2'!AZ29+'QLD-2'!AZ29+'SA-1'!AZ29+'WA-1'!AZ29+'IDC-NSW'!AZ29+'IDC-VIC'!AZ29</f>
        <v/>
      </c>
    </row>
    <row r="30">
      <c r="A30" s="8" t="n">
        <v>46113</v>
      </c>
      <c r="B30" s="33">
        <f>YEAR(A30)</f>
        <v/>
      </c>
      <c r="C30" s="33">
        <f>MONTH(A30)</f>
        <v/>
      </c>
      <c r="D30">
        <f>IF(A30&lt;=LastActual,"Actual","Forecast")</f>
        <v/>
      </c>
      <c r="E30" s="30">
        <f>'NSW-1'!E30+'VIC-1'!E30+'QLD-1'!E30+'NSW-2'!E30+'VIC-2'!E30+'QLD-2'!E30+'SA-1'!E30+'WA-1'!E30</f>
        <v/>
      </c>
      <c r="F30" s="15">
        <f>'NSW-1'!F30+'VIC-1'!F30+'QLD-1'!F30+'NSW-2'!F30+'VIC-2'!F30+'QLD-2'!F30+'SA-1'!F30+'WA-1'!F30+'IDC-NSW'!F30+'IDC-VIC'!F30</f>
        <v/>
      </c>
      <c r="G30" s="9">
        <f>'NSW-1'!G30+'VIC-1'!G30+'QLD-1'!G30+'NSW-2'!G30+'VIC-2'!G30+'QLD-2'!G30+'SA-1'!G30+'WA-1'!G30+'IDC-NSW'!G30+'IDC-VIC'!G30</f>
        <v/>
      </c>
      <c r="H30" s="30">
        <f>'NSW-1'!H30+'VIC-1'!H30+'QLD-1'!H30+'NSW-2'!H30+'VIC-2'!H30+'QLD-2'!H30+'SA-1'!H30+'WA-1'!H30+'IDC-NSW'!H30+'IDC-VIC'!H30</f>
        <v/>
      </c>
      <c r="I30" s="30">
        <f>'NSW-1'!I30+'VIC-1'!I30+'QLD-1'!I30+'NSW-2'!I30+'VIC-2'!I30+'QLD-2'!I30+'SA-1'!I30+'WA-1'!I30+'IDC-NSW'!I30+'IDC-VIC'!I30</f>
        <v/>
      </c>
      <c r="J30" s="30">
        <f>'NSW-1'!J30+'VIC-1'!J30+'QLD-1'!J30+'NSW-2'!J30+'VIC-2'!J30+'QLD-2'!J30+'SA-1'!J30+'WA-1'!J30+'IDC-NSW'!J30+'IDC-VIC'!J30</f>
        <v/>
      </c>
      <c r="K30" s="10">
        <f>IFERROR(F30/G30,0)</f>
        <v/>
      </c>
      <c r="L30" s="34">
        <f>IFERROR(H30/G30,0)</f>
        <v/>
      </c>
      <c r="M30" s="35">
        <f>IFERROR(J30/F30,0)</f>
        <v/>
      </c>
      <c r="N30" s="36">
        <f>IFERROR(J30/E30,0)</f>
        <v/>
      </c>
      <c r="O30" s="36">
        <f>IFERROR(I30/J30,0)</f>
        <v/>
      </c>
      <c r="AJ30" s="15">
        <f>'NSW-1'!AJ30+'VIC-1'!AJ30+'QLD-1'!AJ30+'NSW-2'!AJ30+'VIC-2'!AJ30+'QLD-2'!AJ30+'SA-1'!AJ30+'WA-1'!AJ30+'IDC-NSW'!AJ30+'IDC-VIC'!AJ30</f>
        <v/>
      </c>
      <c r="AK30" s="9">
        <f>'NSW-1'!AK30+'VIC-1'!AK30+'QLD-1'!AK30+'NSW-2'!AK30+'VIC-2'!AK30+'QLD-2'!AK30+'SA-1'!AK30+'WA-1'!AK30+'IDC-NSW'!AK30+'IDC-VIC'!AK30</f>
        <v/>
      </c>
      <c r="AL30" s="30">
        <f>'NSW-1'!AL30+'VIC-1'!AL30+'QLD-1'!AL30+'NSW-2'!AL30+'VIC-2'!AL30+'QLD-2'!AL30+'SA-1'!AL30+'WA-1'!AL30+'IDC-NSW'!AL30+'IDC-VIC'!AL30</f>
        <v/>
      </c>
      <c r="AM30" s="30">
        <f>'NSW-1'!AM30+'VIC-1'!AM30+'QLD-1'!AM30+'NSW-2'!AM30+'VIC-2'!AM30+'QLD-2'!AM30+'SA-1'!AM30+'WA-1'!AM30+'IDC-NSW'!AM30+'IDC-VIC'!AM30</f>
        <v/>
      </c>
      <c r="AN30" s="30">
        <f>'NSW-1'!AN30+'VIC-1'!AN30+'QLD-1'!AN30+'NSW-2'!AN30+'VIC-2'!AN30+'QLD-2'!AN30+'SA-1'!AN30+'WA-1'!AN30+'IDC-NSW'!AN30+'IDC-VIC'!AN30</f>
        <v/>
      </c>
      <c r="AP30" s="15">
        <f>'NSW-1'!AP30+'VIC-1'!AP30+'QLD-1'!AP30+'NSW-2'!AP30+'VIC-2'!AP30+'QLD-2'!AP30+'SA-1'!AP30+'WA-1'!AP30+'IDC-NSW'!AP30+'IDC-VIC'!AP30</f>
        <v/>
      </c>
      <c r="AQ30" s="9">
        <f>'NSW-1'!AQ30+'VIC-1'!AQ30+'QLD-1'!AQ30+'NSW-2'!AQ30+'VIC-2'!AQ30+'QLD-2'!AQ30+'SA-1'!AQ30+'WA-1'!AQ30+'IDC-NSW'!AQ30+'IDC-VIC'!AQ30</f>
        <v/>
      </c>
      <c r="AR30" s="30">
        <f>'NSW-1'!AR30+'VIC-1'!AR30+'QLD-1'!AR30+'NSW-2'!AR30+'VIC-2'!AR30+'QLD-2'!AR30+'SA-1'!AR30+'WA-1'!AR30+'IDC-NSW'!AR30+'IDC-VIC'!AR30</f>
        <v/>
      </c>
      <c r="AS30" s="30">
        <f>'NSW-1'!AS30+'VIC-1'!AS30+'QLD-1'!AS30+'NSW-2'!AS30+'VIC-2'!AS30+'QLD-2'!AS30+'SA-1'!AS30+'WA-1'!AS30+'IDC-NSW'!AS30+'IDC-VIC'!AS30</f>
        <v/>
      </c>
      <c r="AT30" s="30">
        <f>'NSW-1'!AT30+'VIC-1'!AT30+'QLD-1'!AT30+'NSW-2'!AT30+'VIC-2'!AT30+'QLD-2'!AT30+'SA-1'!AT30+'WA-1'!AT30+'IDC-NSW'!AT30+'IDC-VIC'!AT30</f>
        <v/>
      </c>
      <c r="AV30" s="15">
        <f>'NSW-1'!AV30+'VIC-1'!AV30+'QLD-1'!AV30+'NSW-2'!AV30+'VIC-2'!AV30+'QLD-2'!AV30+'SA-1'!AV30+'WA-1'!AV30+'IDC-NSW'!AV30+'IDC-VIC'!AV30</f>
        <v/>
      </c>
      <c r="AW30" s="9">
        <f>'NSW-1'!AW30+'VIC-1'!AW30+'QLD-1'!AW30+'NSW-2'!AW30+'VIC-2'!AW30+'QLD-2'!AW30+'SA-1'!AW30+'WA-1'!AW30+'IDC-NSW'!AW30+'IDC-VIC'!AW30</f>
        <v/>
      </c>
      <c r="AX30" s="30">
        <f>'NSW-1'!AX30+'VIC-1'!AX30+'QLD-1'!AX30+'NSW-2'!AX30+'VIC-2'!AX30+'QLD-2'!AX30+'SA-1'!AX30+'WA-1'!AX30+'IDC-NSW'!AX30+'IDC-VIC'!AX30</f>
        <v/>
      </c>
      <c r="AY30" s="30">
        <f>'NSW-1'!AY30+'VIC-1'!AY30+'QLD-1'!AY30+'NSW-2'!AY30+'VIC-2'!AY30+'QLD-2'!AY30+'SA-1'!AY30+'WA-1'!AY30+'IDC-NSW'!AY30+'IDC-VIC'!AY30</f>
        <v/>
      </c>
      <c r="AZ30" s="30">
        <f>'NSW-1'!AZ30+'VIC-1'!AZ30+'QLD-1'!AZ30+'NSW-2'!AZ30+'VIC-2'!AZ30+'QLD-2'!AZ30+'SA-1'!AZ30+'WA-1'!AZ30+'IDC-NSW'!AZ30+'IDC-VIC'!AZ30</f>
        <v/>
      </c>
    </row>
    <row r="31">
      <c r="A31" s="8" t="n">
        <v>46143</v>
      </c>
      <c r="B31" s="33">
        <f>YEAR(A31)</f>
        <v/>
      </c>
      <c r="C31" s="33">
        <f>MONTH(A31)</f>
        <v/>
      </c>
      <c r="D31">
        <f>IF(A31&lt;=LastActual,"Actual","Forecast")</f>
        <v/>
      </c>
      <c r="E31" s="30">
        <f>'NSW-1'!E31+'VIC-1'!E31+'QLD-1'!E31+'NSW-2'!E31+'VIC-2'!E31+'QLD-2'!E31+'SA-1'!E31+'WA-1'!E31</f>
        <v/>
      </c>
      <c r="F31" s="15">
        <f>'NSW-1'!F31+'VIC-1'!F31+'QLD-1'!F31+'NSW-2'!F31+'VIC-2'!F31+'QLD-2'!F31+'SA-1'!F31+'WA-1'!F31+'IDC-NSW'!F31+'IDC-VIC'!F31</f>
        <v/>
      </c>
      <c r="G31" s="9">
        <f>'NSW-1'!G31+'VIC-1'!G31+'QLD-1'!G31+'NSW-2'!G31+'VIC-2'!G31+'QLD-2'!G31+'SA-1'!G31+'WA-1'!G31+'IDC-NSW'!G31+'IDC-VIC'!G31</f>
        <v/>
      </c>
      <c r="H31" s="30">
        <f>'NSW-1'!H31+'VIC-1'!H31+'QLD-1'!H31+'NSW-2'!H31+'VIC-2'!H31+'QLD-2'!H31+'SA-1'!H31+'WA-1'!H31+'IDC-NSW'!H31+'IDC-VIC'!H31</f>
        <v/>
      </c>
      <c r="I31" s="30">
        <f>'NSW-1'!I31+'VIC-1'!I31+'QLD-1'!I31+'NSW-2'!I31+'VIC-2'!I31+'QLD-2'!I31+'SA-1'!I31+'WA-1'!I31+'IDC-NSW'!I31+'IDC-VIC'!I31</f>
        <v/>
      </c>
      <c r="J31" s="30">
        <f>'NSW-1'!J31+'VIC-1'!J31+'QLD-1'!J31+'NSW-2'!J31+'VIC-2'!J31+'QLD-2'!J31+'SA-1'!J31+'WA-1'!J31+'IDC-NSW'!J31+'IDC-VIC'!J31</f>
        <v/>
      </c>
      <c r="K31" s="10">
        <f>IFERROR(F31/G31,0)</f>
        <v/>
      </c>
      <c r="L31" s="34">
        <f>IFERROR(H31/G31,0)</f>
        <v/>
      </c>
      <c r="M31" s="35">
        <f>IFERROR(J31/F31,0)</f>
        <v/>
      </c>
      <c r="N31" s="36">
        <f>IFERROR(J31/E31,0)</f>
        <v/>
      </c>
      <c r="O31" s="36">
        <f>IFERROR(I31/J31,0)</f>
        <v/>
      </c>
      <c r="AJ31" s="15">
        <f>'NSW-1'!AJ31+'VIC-1'!AJ31+'QLD-1'!AJ31+'NSW-2'!AJ31+'VIC-2'!AJ31+'QLD-2'!AJ31+'SA-1'!AJ31+'WA-1'!AJ31+'IDC-NSW'!AJ31+'IDC-VIC'!AJ31</f>
        <v/>
      </c>
      <c r="AK31" s="9">
        <f>'NSW-1'!AK31+'VIC-1'!AK31+'QLD-1'!AK31+'NSW-2'!AK31+'VIC-2'!AK31+'QLD-2'!AK31+'SA-1'!AK31+'WA-1'!AK31+'IDC-NSW'!AK31+'IDC-VIC'!AK31</f>
        <v/>
      </c>
      <c r="AL31" s="30">
        <f>'NSW-1'!AL31+'VIC-1'!AL31+'QLD-1'!AL31+'NSW-2'!AL31+'VIC-2'!AL31+'QLD-2'!AL31+'SA-1'!AL31+'WA-1'!AL31+'IDC-NSW'!AL31+'IDC-VIC'!AL31</f>
        <v/>
      </c>
      <c r="AM31" s="30">
        <f>'NSW-1'!AM31+'VIC-1'!AM31+'QLD-1'!AM31+'NSW-2'!AM31+'VIC-2'!AM31+'QLD-2'!AM31+'SA-1'!AM31+'WA-1'!AM31+'IDC-NSW'!AM31+'IDC-VIC'!AM31</f>
        <v/>
      </c>
      <c r="AN31" s="30">
        <f>'NSW-1'!AN31+'VIC-1'!AN31+'QLD-1'!AN31+'NSW-2'!AN31+'VIC-2'!AN31+'QLD-2'!AN31+'SA-1'!AN31+'WA-1'!AN31+'IDC-NSW'!AN31+'IDC-VIC'!AN31</f>
        <v/>
      </c>
      <c r="AP31" s="15">
        <f>'NSW-1'!AP31+'VIC-1'!AP31+'QLD-1'!AP31+'NSW-2'!AP31+'VIC-2'!AP31+'QLD-2'!AP31+'SA-1'!AP31+'WA-1'!AP31+'IDC-NSW'!AP31+'IDC-VIC'!AP31</f>
        <v/>
      </c>
      <c r="AQ31" s="9">
        <f>'NSW-1'!AQ31+'VIC-1'!AQ31+'QLD-1'!AQ31+'NSW-2'!AQ31+'VIC-2'!AQ31+'QLD-2'!AQ31+'SA-1'!AQ31+'WA-1'!AQ31+'IDC-NSW'!AQ31+'IDC-VIC'!AQ31</f>
        <v/>
      </c>
      <c r="AR31" s="30">
        <f>'NSW-1'!AR31+'VIC-1'!AR31+'QLD-1'!AR31+'NSW-2'!AR31+'VIC-2'!AR31+'QLD-2'!AR31+'SA-1'!AR31+'WA-1'!AR31+'IDC-NSW'!AR31+'IDC-VIC'!AR31</f>
        <v/>
      </c>
      <c r="AS31" s="30">
        <f>'NSW-1'!AS31+'VIC-1'!AS31+'QLD-1'!AS31+'NSW-2'!AS31+'VIC-2'!AS31+'QLD-2'!AS31+'SA-1'!AS31+'WA-1'!AS31+'IDC-NSW'!AS31+'IDC-VIC'!AS31</f>
        <v/>
      </c>
      <c r="AT31" s="30">
        <f>'NSW-1'!AT31+'VIC-1'!AT31+'QLD-1'!AT31+'NSW-2'!AT31+'VIC-2'!AT31+'QLD-2'!AT31+'SA-1'!AT31+'WA-1'!AT31+'IDC-NSW'!AT31+'IDC-VIC'!AT31</f>
        <v/>
      </c>
      <c r="AV31" s="15">
        <f>'NSW-1'!AV31+'VIC-1'!AV31+'QLD-1'!AV31+'NSW-2'!AV31+'VIC-2'!AV31+'QLD-2'!AV31+'SA-1'!AV31+'WA-1'!AV31+'IDC-NSW'!AV31+'IDC-VIC'!AV31</f>
        <v/>
      </c>
      <c r="AW31" s="9">
        <f>'NSW-1'!AW31+'VIC-1'!AW31+'QLD-1'!AW31+'NSW-2'!AW31+'VIC-2'!AW31+'QLD-2'!AW31+'SA-1'!AW31+'WA-1'!AW31+'IDC-NSW'!AW31+'IDC-VIC'!AW31</f>
        <v/>
      </c>
      <c r="AX31" s="30">
        <f>'NSW-1'!AX31+'VIC-1'!AX31+'QLD-1'!AX31+'NSW-2'!AX31+'VIC-2'!AX31+'QLD-2'!AX31+'SA-1'!AX31+'WA-1'!AX31+'IDC-NSW'!AX31+'IDC-VIC'!AX31</f>
        <v/>
      </c>
      <c r="AY31" s="30">
        <f>'NSW-1'!AY31+'VIC-1'!AY31+'QLD-1'!AY31+'NSW-2'!AY31+'VIC-2'!AY31+'QLD-2'!AY31+'SA-1'!AY31+'WA-1'!AY31+'IDC-NSW'!AY31+'IDC-VIC'!AY31</f>
        <v/>
      </c>
      <c r="AZ31" s="30">
        <f>'NSW-1'!AZ31+'VIC-1'!AZ31+'QLD-1'!AZ31+'NSW-2'!AZ31+'VIC-2'!AZ31+'QLD-2'!AZ31+'SA-1'!AZ31+'WA-1'!AZ31+'IDC-NSW'!AZ31+'IDC-VIC'!AZ31</f>
        <v/>
      </c>
    </row>
    <row r="32">
      <c r="A32" s="8" t="n">
        <v>46174</v>
      </c>
      <c r="B32" s="33">
        <f>YEAR(A32)</f>
        <v/>
      </c>
      <c r="C32" s="33">
        <f>MONTH(A32)</f>
        <v/>
      </c>
      <c r="D32">
        <f>IF(A32&lt;=LastActual,"Actual","Forecast")</f>
        <v/>
      </c>
      <c r="E32" s="30">
        <f>'NSW-1'!E32+'VIC-1'!E32+'QLD-1'!E32+'NSW-2'!E32+'VIC-2'!E32+'QLD-2'!E32+'SA-1'!E32+'WA-1'!E32</f>
        <v/>
      </c>
      <c r="F32" s="15">
        <f>'NSW-1'!F32+'VIC-1'!F32+'QLD-1'!F32+'NSW-2'!F32+'VIC-2'!F32+'QLD-2'!F32+'SA-1'!F32+'WA-1'!F32+'IDC-NSW'!F32+'IDC-VIC'!F32</f>
        <v/>
      </c>
      <c r="G32" s="9">
        <f>'NSW-1'!G32+'VIC-1'!G32+'QLD-1'!G32+'NSW-2'!G32+'VIC-2'!G32+'QLD-2'!G32+'SA-1'!G32+'WA-1'!G32+'IDC-NSW'!G32+'IDC-VIC'!G32</f>
        <v/>
      </c>
      <c r="H32" s="30">
        <f>'NSW-1'!H32+'VIC-1'!H32+'QLD-1'!H32+'NSW-2'!H32+'VIC-2'!H32+'QLD-2'!H32+'SA-1'!H32+'WA-1'!H32+'IDC-NSW'!H32+'IDC-VIC'!H32</f>
        <v/>
      </c>
      <c r="I32" s="30">
        <f>'NSW-1'!I32+'VIC-1'!I32+'QLD-1'!I32+'NSW-2'!I32+'VIC-2'!I32+'QLD-2'!I32+'SA-1'!I32+'WA-1'!I32+'IDC-NSW'!I32+'IDC-VIC'!I32</f>
        <v/>
      </c>
      <c r="J32" s="30">
        <f>'NSW-1'!J32+'VIC-1'!J32+'QLD-1'!J32+'NSW-2'!J32+'VIC-2'!J32+'QLD-2'!J32+'SA-1'!J32+'WA-1'!J32+'IDC-NSW'!J32+'IDC-VIC'!J32</f>
        <v/>
      </c>
      <c r="K32" s="10">
        <f>IFERROR(F32/G32,0)</f>
        <v/>
      </c>
      <c r="L32" s="34">
        <f>IFERROR(H32/G32,0)</f>
        <v/>
      </c>
      <c r="M32" s="35">
        <f>IFERROR(J32/F32,0)</f>
        <v/>
      </c>
      <c r="N32" s="36">
        <f>IFERROR(J32/E32,0)</f>
        <v/>
      </c>
      <c r="O32" s="36">
        <f>IFERROR(I32/J32,0)</f>
        <v/>
      </c>
      <c r="R32" s="1" t="inlineStr">
        <is>
          <t>Payroll % of sales (IDC: % of host sales)</t>
        </is>
      </c>
      <c r="AJ32" s="15">
        <f>'NSW-1'!AJ32+'VIC-1'!AJ32+'QLD-1'!AJ32+'NSW-2'!AJ32+'VIC-2'!AJ32+'QLD-2'!AJ32+'SA-1'!AJ32+'WA-1'!AJ32+'IDC-NSW'!AJ32+'IDC-VIC'!AJ32</f>
        <v/>
      </c>
      <c r="AK32" s="9">
        <f>'NSW-1'!AK32+'VIC-1'!AK32+'QLD-1'!AK32+'NSW-2'!AK32+'VIC-2'!AK32+'QLD-2'!AK32+'SA-1'!AK32+'WA-1'!AK32+'IDC-NSW'!AK32+'IDC-VIC'!AK32</f>
        <v/>
      </c>
      <c r="AL32" s="30">
        <f>'NSW-1'!AL32+'VIC-1'!AL32+'QLD-1'!AL32+'NSW-2'!AL32+'VIC-2'!AL32+'QLD-2'!AL32+'SA-1'!AL32+'WA-1'!AL32+'IDC-NSW'!AL32+'IDC-VIC'!AL32</f>
        <v/>
      </c>
      <c r="AM32" s="30">
        <f>'NSW-1'!AM32+'VIC-1'!AM32+'QLD-1'!AM32+'NSW-2'!AM32+'VIC-2'!AM32+'QLD-2'!AM32+'SA-1'!AM32+'WA-1'!AM32+'IDC-NSW'!AM32+'IDC-VIC'!AM32</f>
        <v/>
      </c>
      <c r="AN32" s="30">
        <f>'NSW-1'!AN32+'VIC-1'!AN32+'QLD-1'!AN32+'NSW-2'!AN32+'VIC-2'!AN32+'QLD-2'!AN32+'SA-1'!AN32+'WA-1'!AN32+'IDC-NSW'!AN32+'IDC-VIC'!AN32</f>
        <v/>
      </c>
      <c r="AP32" s="15">
        <f>'NSW-1'!AP32+'VIC-1'!AP32+'QLD-1'!AP32+'NSW-2'!AP32+'VIC-2'!AP32+'QLD-2'!AP32+'SA-1'!AP32+'WA-1'!AP32+'IDC-NSW'!AP32+'IDC-VIC'!AP32</f>
        <v/>
      </c>
      <c r="AQ32" s="9">
        <f>'NSW-1'!AQ32+'VIC-1'!AQ32+'QLD-1'!AQ32+'NSW-2'!AQ32+'VIC-2'!AQ32+'QLD-2'!AQ32+'SA-1'!AQ32+'WA-1'!AQ32+'IDC-NSW'!AQ32+'IDC-VIC'!AQ32</f>
        <v/>
      </c>
      <c r="AR32" s="30">
        <f>'NSW-1'!AR32+'VIC-1'!AR32+'QLD-1'!AR32+'NSW-2'!AR32+'VIC-2'!AR32+'QLD-2'!AR32+'SA-1'!AR32+'WA-1'!AR32+'IDC-NSW'!AR32+'IDC-VIC'!AR32</f>
        <v/>
      </c>
      <c r="AS32" s="30">
        <f>'NSW-1'!AS32+'VIC-1'!AS32+'QLD-1'!AS32+'NSW-2'!AS32+'VIC-2'!AS32+'QLD-2'!AS32+'SA-1'!AS32+'WA-1'!AS32+'IDC-NSW'!AS32+'IDC-VIC'!AS32</f>
        <v/>
      </c>
      <c r="AT32" s="30">
        <f>'NSW-1'!AT32+'VIC-1'!AT32+'QLD-1'!AT32+'NSW-2'!AT32+'VIC-2'!AT32+'QLD-2'!AT32+'SA-1'!AT32+'WA-1'!AT32+'IDC-NSW'!AT32+'IDC-VIC'!AT32</f>
        <v/>
      </c>
      <c r="AV32" s="15">
        <f>'NSW-1'!AV32+'VIC-1'!AV32+'QLD-1'!AV32+'NSW-2'!AV32+'VIC-2'!AV32+'QLD-2'!AV32+'SA-1'!AV32+'WA-1'!AV32+'IDC-NSW'!AV32+'IDC-VIC'!AV32</f>
        <v/>
      </c>
      <c r="AW32" s="9">
        <f>'NSW-1'!AW32+'VIC-1'!AW32+'QLD-1'!AW32+'NSW-2'!AW32+'VIC-2'!AW32+'QLD-2'!AW32+'SA-1'!AW32+'WA-1'!AW32+'IDC-NSW'!AW32+'IDC-VIC'!AW32</f>
        <v/>
      </c>
      <c r="AX32" s="30">
        <f>'NSW-1'!AX32+'VIC-1'!AX32+'QLD-1'!AX32+'NSW-2'!AX32+'VIC-2'!AX32+'QLD-2'!AX32+'SA-1'!AX32+'WA-1'!AX32+'IDC-NSW'!AX32+'IDC-VIC'!AX32</f>
        <v/>
      </c>
      <c r="AY32" s="30">
        <f>'NSW-1'!AY32+'VIC-1'!AY32+'QLD-1'!AY32+'NSW-2'!AY32+'VIC-2'!AY32+'QLD-2'!AY32+'SA-1'!AY32+'WA-1'!AY32+'IDC-NSW'!AY32+'IDC-VIC'!AY32</f>
        <v/>
      </c>
      <c r="AZ32" s="30">
        <f>'NSW-1'!AZ32+'VIC-1'!AZ32+'QLD-1'!AZ32+'NSW-2'!AZ32+'VIC-2'!AZ32+'QLD-2'!AZ32+'SA-1'!AZ32+'WA-1'!AZ32+'IDC-NSW'!AZ32+'IDC-VIC'!AZ32</f>
        <v/>
      </c>
    </row>
    <row r="33">
      <c r="A33" s="8" t="n">
        <v>46204</v>
      </c>
      <c r="B33" s="33">
        <f>YEAR(A33)</f>
        <v/>
      </c>
      <c r="C33" s="33">
        <f>MONTH(A33)</f>
        <v/>
      </c>
      <c r="D33">
        <f>IF(A33&lt;=LastActual,"Actual","Forecast")</f>
        <v/>
      </c>
      <c r="E33" s="30">
        <f>'NSW-1'!E33+'VIC-1'!E33+'QLD-1'!E33+'NSW-2'!E33+'VIC-2'!E33+'QLD-2'!E33+'SA-1'!E33+'WA-1'!E33</f>
        <v/>
      </c>
      <c r="F33" s="15">
        <f>'NSW-1'!F33+'VIC-1'!F33+'QLD-1'!F33+'NSW-2'!F33+'VIC-2'!F33+'QLD-2'!F33+'SA-1'!F33+'WA-1'!F33+'IDC-NSW'!F33+'IDC-VIC'!F33</f>
        <v/>
      </c>
      <c r="G33" s="9">
        <f>'NSW-1'!G33+'VIC-1'!G33+'QLD-1'!G33+'NSW-2'!G33+'VIC-2'!G33+'QLD-2'!G33+'SA-1'!G33+'WA-1'!G33+'IDC-NSW'!G33+'IDC-VIC'!G33</f>
        <v/>
      </c>
      <c r="H33" s="30">
        <f>'NSW-1'!H33+'VIC-1'!H33+'QLD-1'!H33+'NSW-2'!H33+'VIC-2'!H33+'QLD-2'!H33+'SA-1'!H33+'WA-1'!H33+'IDC-NSW'!H33+'IDC-VIC'!H33</f>
        <v/>
      </c>
      <c r="I33" s="30">
        <f>'NSW-1'!I33+'VIC-1'!I33+'QLD-1'!I33+'NSW-2'!I33+'VIC-2'!I33+'QLD-2'!I33+'SA-1'!I33+'WA-1'!I33+'IDC-NSW'!I33+'IDC-VIC'!I33</f>
        <v/>
      </c>
      <c r="J33" s="30">
        <f>'NSW-1'!J33+'VIC-1'!J33+'QLD-1'!J33+'NSW-2'!J33+'VIC-2'!J33+'QLD-2'!J33+'SA-1'!J33+'WA-1'!J33+'IDC-NSW'!J33+'IDC-VIC'!J33</f>
        <v/>
      </c>
      <c r="K33" s="10">
        <f>IFERROR(F33/G33,0)</f>
        <v/>
      </c>
      <c r="L33" s="34">
        <f>IFERROR(H33/G33,0)</f>
        <v/>
      </c>
      <c r="M33" s="35">
        <f>IFERROR(J33/F33,0)</f>
        <v/>
      </c>
      <c r="N33" s="36">
        <f>IFERROR(J33/E33,0)</f>
        <v/>
      </c>
      <c r="O33" s="36">
        <f>IFERROR(I33/J33,0)</f>
        <v/>
      </c>
      <c r="R33" s="7" t="inlineStr">
        <is>
          <t>Site</t>
        </is>
      </c>
      <c r="S33" s="7" t="inlineStr">
        <is>
          <t>FY2025</t>
        </is>
      </c>
      <c r="T33" s="7" t="inlineStr">
        <is>
          <t>FY2026</t>
        </is>
      </c>
      <c r="U33" s="7" t="inlineStr">
        <is>
          <t>FY2027</t>
        </is>
      </c>
      <c r="V33" s="7" t="inlineStr">
        <is>
          <t>FY2028</t>
        </is>
      </c>
      <c r="AJ33" s="15">
        <f>'NSW-1'!AJ33+'VIC-1'!AJ33+'QLD-1'!AJ33+'NSW-2'!AJ33+'VIC-2'!AJ33+'QLD-2'!AJ33+'SA-1'!AJ33+'WA-1'!AJ33+'IDC-NSW'!AJ33+'IDC-VIC'!AJ33</f>
        <v/>
      </c>
      <c r="AK33" s="9">
        <f>'NSW-1'!AK33+'VIC-1'!AK33+'QLD-1'!AK33+'NSW-2'!AK33+'VIC-2'!AK33+'QLD-2'!AK33+'SA-1'!AK33+'WA-1'!AK33+'IDC-NSW'!AK33+'IDC-VIC'!AK33</f>
        <v/>
      </c>
      <c r="AL33" s="30">
        <f>'NSW-1'!AL33+'VIC-1'!AL33+'QLD-1'!AL33+'NSW-2'!AL33+'VIC-2'!AL33+'QLD-2'!AL33+'SA-1'!AL33+'WA-1'!AL33+'IDC-NSW'!AL33+'IDC-VIC'!AL33</f>
        <v/>
      </c>
      <c r="AM33" s="30">
        <f>'NSW-1'!AM33+'VIC-1'!AM33+'QLD-1'!AM33+'NSW-2'!AM33+'VIC-2'!AM33+'QLD-2'!AM33+'SA-1'!AM33+'WA-1'!AM33+'IDC-NSW'!AM33+'IDC-VIC'!AM33</f>
        <v/>
      </c>
      <c r="AN33" s="30">
        <f>'NSW-1'!AN33+'VIC-1'!AN33+'QLD-1'!AN33+'NSW-2'!AN33+'VIC-2'!AN33+'QLD-2'!AN33+'SA-1'!AN33+'WA-1'!AN33+'IDC-NSW'!AN33+'IDC-VIC'!AN33</f>
        <v/>
      </c>
      <c r="AP33" s="15">
        <f>'NSW-1'!AP33+'VIC-1'!AP33+'QLD-1'!AP33+'NSW-2'!AP33+'VIC-2'!AP33+'QLD-2'!AP33+'SA-1'!AP33+'WA-1'!AP33+'IDC-NSW'!AP33+'IDC-VIC'!AP33</f>
        <v/>
      </c>
      <c r="AQ33" s="9">
        <f>'NSW-1'!AQ33+'VIC-1'!AQ33+'QLD-1'!AQ33+'NSW-2'!AQ33+'VIC-2'!AQ33+'QLD-2'!AQ33+'SA-1'!AQ33+'WA-1'!AQ33+'IDC-NSW'!AQ33+'IDC-VIC'!AQ33</f>
        <v/>
      </c>
      <c r="AR33" s="30">
        <f>'NSW-1'!AR33+'VIC-1'!AR33+'QLD-1'!AR33+'NSW-2'!AR33+'VIC-2'!AR33+'QLD-2'!AR33+'SA-1'!AR33+'WA-1'!AR33+'IDC-NSW'!AR33+'IDC-VIC'!AR33</f>
        <v/>
      </c>
      <c r="AS33" s="30">
        <f>'NSW-1'!AS33+'VIC-1'!AS33+'QLD-1'!AS33+'NSW-2'!AS33+'VIC-2'!AS33+'QLD-2'!AS33+'SA-1'!AS33+'WA-1'!AS33+'IDC-NSW'!AS33+'IDC-VIC'!AS33</f>
        <v/>
      </c>
      <c r="AT33" s="30">
        <f>'NSW-1'!AT33+'VIC-1'!AT33+'QLD-1'!AT33+'NSW-2'!AT33+'VIC-2'!AT33+'QLD-2'!AT33+'SA-1'!AT33+'WA-1'!AT33+'IDC-NSW'!AT33+'IDC-VIC'!AT33</f>
        <v/>
      </c>
      <c r="AV33" s="15">
        <f>'NSW-1'!AV33+'VIC-1'!AV33+'QLD-1'!AV33+'NSW-2'!AV33+'VIC-2'!AV33+'QLD-2'!AV33+'SA-1'!AV33+'WA-1'!AV33+'IDC-NSW'!AV33+'IDC-VIC'!AV33</f>
        <v/>
      </c>
      <c r="AW33" s="9">
        <f>'NSW-1'!AW33+'VIC-1'!AW33+'QLD-1'!AW33+'NSW-2'!AW33+'VIC-2'!AW33+'QLD-2'!AW33+'SA-1'!AW33+'WA-1'!AW33+'IDC-NSW'!AW33+'IDC-VIC'!AW33</f>
        <v/>
      </c>
      <c r="AX33" s="30">
        <f>'NSW-1'!AX33+'VIC-1'!AX33+'QLD-1'!AX33+'NSW-2'!AX33+'VIC-2'!AX33+'QLD-2'!AX33+'SA-1'!AX33+'WA-1'!AX33+'IDC-NSW'!AX33+'IDC-VIC'!AX33</f>
        <v/>
      </c>
      <c r="AY33" s="30">
        <f>'NSW-1'!AY33+'VIC-1'!AY33+'QLD-1'!AY33+'NSW-2'!AY33+'VIC-2'!AY33+'QLD-2'!AY33+'SA-1'!AY33+'WA-1'!AY33+'IDC-NSW'!AY33+'IDC-VIC'!AY33</f>
        <v/>
      </c>
      <c r="AZ33" s="30">
        <f>'NSW-1'!AZ33+'VIC-1'!AZ33+'QLD-1'!AZ33+'NSW-2'!AZ33+'VIC-2'!AZ33+'QLD-2'!AZ33+'SA-1'!AZ33+'WA-1'!AZ33+'IDC-NSW'!AZ33+'IDC-VIC'!AZ33</f>
        <v/>
      </c>
    </row>
    <row r="34">
      <c r="A34" s="8" t="n">
        <v>46235</v>
      </c>
      <c r="B34" s="33">
        <f>YEAR(A34)</f>
        <v/>
      </c>
      <c r="C34" s="33">
        <f>MONTH(A34)</f>
        <v/>
      </c>
      <c r="D34">
        <f>IF(A34&lt;=LastActual,"Actual","Forecast")</f>
        <v/>
      </c>
      <c r="E34" s="30">
        <f>'NSW-1'!E34+'VIC-1'!E34+'QLD-1'!E34+'NSW-2'!E34+'VIC-2'!E34+'QLD-2'!E34+'SA-1'!E34+'WA-1'!E34</f>
        <v/>
      </c>
      <c r="F34" s="15">
        <f>'NSW-1'!F34+'VIC-1'!F34+'QLD-1'!F34+'NSW-2'!F34+'VIC-2'!F34+'QLD-2'!F34+'SA-1'!F34+'WA-1'!F34+'IDC-NSW'!F34+'IDC-VIC'!F34</f>
        <v/>
      </c>
      <c r="G34" s="9">
        <f>'NSW-1'!G34+'VIC-1'!G34+'QLD-1'!G34+'NSW-2'!G34+'VIC-2'!G34+'QLD-2'!G34+'SA-1'!G34+'WA-1'!G34+'IDC-NSW'!G34+'IDC-VIC'!G34</f>
        <v/>
      </c>
      <c r="H34" s="30">
        <f>'NSW-1'!H34+'VIC-1'!H34+'QLD-1'!H34+'NSW-2'!H34+'VIC-2'!H34+'QLD-2'!H34+'SA-1'!H34+'WA-1'!H34+'IDC-NSW'!H34+'IDC-VIC'!H34</f>
        <v/>
      </c>
      <c r="I34" s="30">
        <f>'NSW-1'!I34+'VIC-1'!I34+'QLD-1'!I34+'NSW-2'!I34+'VIC-2'!I34+'QLD-2'!I34+'SA-1'!I34+'WA-1'!I34+'IDC-NSW'!I34+'IDC-VIC'!I34</f>
        <v/>
      </c>
      <c r="J34" s="30">
        <f>'NSW-1'!J34+'VIC-1'!J34+'QLD-1'!J34+'NSW-2'!J34+'VIC-2'!J34+'QLD-2'!J34+'SA-1'!J34+'WA-1'!J34+'IDC-NSW'!J34+'IDC-VIC'!J34</f>
        <v/>
      </c>
      <c r="K34" s="10">
        <f>IFERROR(F34/G34,0)</f>
        <v/>
      </c>
      <c r="L34" s="34">
        <f>IFERROR(H34/G34,0)</f>
        <v/>
      </c>
      <c r="M34" s="35">
        <f>IFERROR(J34/F34,0)</f>
        <v/>
      </c>
      <c r="N34" s="36">
        <f>IFERROR(J34/E34,0)</f>
        <v/>
      </c>
      <c r="O34" s="36">
        <f>IFERROR(I34/J34,0)</f>
        <v/>
      </c>
      <c r="R34">
        <f>Inputs!$A$36</f>
        <v/>
      </c>
      <c r="S34" s="36">
        <f>IFERROR(SUMIFS('NSW-1'!$J$15:$J$62,'NSW-1'!$B$15:$B$62,2025)/SUMIFS('NSW-1'!$E$15:$E$62,'NSW-1'!$B$15:$B$62,2025),0)</f>
        <v/>
      </c>
      <c r="T34" s="36">
        <f>IFERROR(SUMIFS('NSW-1'!$J$15:$J$62,'NSW-1'!$B$15:$B$62,2026)/SUMIFS('NSW-1'!$E$15:$E$62,'NSW-1'!$B$15:$B$62,2026),0)</f>
        <v/>
      </c>
      <c r="U34" s="36">
        <f>IFERROR(SUMIFS('NSW-1'!$J$15:$J$62,'NSW-1'!$B$15:$B$62,2027)/SUMIFS('NSW-1'!$E$15:$E$62,'NSW-1'!$B$15:$B$62,2027),0)</f>
        <v/>
      </c>
      <c r="V34" s="36">
        <f>IFERROR(SUMIFS('NSW-1'!$J$15:$J$62,'NSW-1'!$B$15:$B$62,2028)/SUMIFS('NSW-1'!$E$15:$E$62,'NSW-1'!$B$15:$B$62,2028),0)</f>
        <v/>
      </c>
      <c r="AJ34" s="15">
        <f>'NSW-1'!AJ34+'VIC-1'!AJ34+'QLD-1'!AJ34+'NSW-2'!AJ34+'VIC-2'!AJ34+'QLD-2'!AJ34+'SA-1'!AJ34+'WA-1'!AJ34+'IDC-NSW'!AJ34+'IDC-VIC'!AJ34</f>
        <v/>
      </c>
      <c r="AK34" s="9">
        <f>'NSW-1'!AK34+'VIC-1'!AK34+'QLD-1'!AK34+'NSW-2'!AK34+'VIC-2'!AK34+'QLD-2'!AK34+'SA-1'!AK34+'WA-1'!AK34+'IDC-NSW'!AK34+'IDC-VIC'!AK34</f>
        <v/>
      </c>
      <c r="AL34" s="30">
        <f>'NSW-1'!AL34+'VIC-1'!AL34+'QLD-1'!AL34+'NSW-2'!AL34+'VIC-2'!AL34+'QLD-2'!AL34+'SA-1'!AL34+'WA-1'!AL34+'IDC-NSW'!AL34+'IDC-VIC'!AL34</f>
        <v/>
      </c>
      <c r="AM34" s="30">
        <f>'NSW-1'!AM34+'VIC-1'!AM34+'QLD-1'!AM34+'NSW-2'!AM34+'VIC-2'!AM34+'QLD-2'!AM34+'SA-1'!AM34+'WA-1'!AM34+'IDC-NSW'!AM34+'IDC-VIC'!AM34</f>
        <v/>
      </c>
      <c r="AN34" s="30">
        <f>'NSW-1'!AN34+'VIC-1'!AN34+'QLD-1'!AN34+'NSW-2'!AN34+'VIC-2'!AN34+'QLD-2'!AN34+'SA-1'!AN34+'WA-1'!AN34+'IDC-NSW'!AN34+'IDC-VIC'!AN34</f>
        <v/>
      </c>
      <c r="AP34" s="15">
        <f>'NSW-1'!AP34+'VIC-1'!AP34+'QLD-1'!AP34+'NSW-2'!AP34+'VIC-2'!AP34+'QLD-2'!AP34+'SA-1'!AP34+'WA-1'!AP34+'IDC-NSW'!AP34+'IDC-VIC'!AP34</f>
        <v/>
      </c>
      <c r="AQ34" s="9">
        <f>'NSW-1'!AQ34+'VIC-1'!AQ34+'QLD-1'!AQ34+'NSW-2'!AQ34+'VIC-2'!AQ34+'QLD-2'!AQ34+'SA-1'!AQ34+'WA-1'!AQ34+'IDC-NSW'!AQ34+'IDC-VIC'!AQ34</f>
        <v/>
      </c>
      <c r="AR34" s="30">
        <f>'NSW-1'!AR34+'VIC-1'!AR34+'QLD-1'!AR34+'NSW-2'!AR34+'VIC-2'!AR34+'QLD-2'!AR34+'SA-1'!AR34+'WA-1'!AR34+'IDC-NSW'!AR34+'IDC-VIC'!AR34</f>
        <v/>
      </c>
      <c r="AS34" s="30">
        <f>'NSW-1'!AS34+'VIC-1'!AS34+'QLD-1'!AS34+'NSW-2'!AS34+'VIC-2'!AS34+'QLD-2'!AS34+'SA-1'!AS34+'WA-1'!AS34+'IDC-NSW'!AS34+'IDC-VIC'!AS34</f>
        <v/>
      </c>
      <c r="AT34" s="30">
        <f>'NSW-1'!AT34+'VIC-1'!AT34+'QLD-1'!AT34+'NSW-2'!AT34+'VIC-2'!AT34+'QLD-2'!AT34+'SA-1'!AT34+'WA-1'!AT34+'IDC-NSW'!AT34+'IDC-VIC'!AT34</f>
        <v/>
      </c>
      <c r="AV34" s="15">
        <f>'NSW-1'!AV34+'VIC-1'!AV34+'QLD-1'!AV34+'NSW-2'!AV34+'VIC-2'!AV34+'QLD-2'!AV34+'SA-1'!AV34+'WA-1'!AV34+'IDC-NSW'!AV34+'IDC-VIC'!AV34</f>
        <v/>
      </c>
      <c r="AW34" s="9">
        <f>'NSW-1'!AW34+'VIC-1'!AW34+'QLD-1'!AW34+'NSW-2'!AW34+'VIC-2'!AW34+'QLD-2'!AW34+'SA-1'!AW34+'WA-1'!AW34+'IDC-NSW'!AW34+'IDC-VIC'!AW34</f>
        <v/>
      </c>
      <c r="AX34" s="30">
        <f>'NSW-1'!AX34+'VIC-1'!AX34+'QLD-1'!AX34+'NSW-2'!AX34+'VIC-2'!AX34+'QLD-2'!AX34+'SA-1'!AX34+'WA-1'!AX34+'IDC-NSW'!AX34+'IDC-VIC'!AX34</f>
        <v/>
      </c>
      <c r="AY34" s="30">
        <f>'NSW-1'!AY34+'VIC-1'!AY34+'QLD-1'!AY34+'NSW-2'!AY34+'VIC-2'!AY34+'QLD-2'!AY34+'SA-1'!AY34+'WA-1'!AY34+'IDC-NSW'!AY34+'IDC-VIC'!AY34</f>
        <v/>
      </c>
      <c r="AZ34" s="30">
        <f>'NSW-1'!AZ34+'VIC-1'!AZ34+'QLD-1'!AZ34+'NSW-2'!AZ34+'VIC-2'!AZ34+'QLD-2'!AZ34+'SA-1'!AZ34+'WA-1'!AZ34+'IDC-NSW'!AZ34+'IDC-VIC'!AZ34</f>
        <v/>
      </c>
    </row>
    <row r="35">
      <c r="A35" s="8" t="n">
        <v>46266</v>
      </c>
      <c r="B35" s="33">
        <f>YEAR(A35)</f>
        <v/>
      </c>
      <c r="C35" s="33">
        <f>MONTH(A35)</f>
        <v/>
      </c>
      <c r="D35">
        <f>IF(A35&lt;=LastActual,"Actual","Forecast")</f>
        <v/>
      </c>
      <c r="E35" s="30">
        <f>'NSW-1'!E35+'VIC-1'!E35+'QLD-1'!E35+'NSW-2'!E35+'VIC-2'!E35+'QLD-2'!E35+'SA-1'!E35+'WA-1'!E35</f>
        <v/>
      </c>
      <c r="F35" s="15">
        <f>'NSW-1'!F35+'VIC-1'!F35+'QLD-1'!F35+'NSW-2'!F35+'VIC-2'!F35+'QLD-2'!F35+'SA-1'!F35+'WA-1'!F35+'IDC-NSW'!F35+'IDC-VIC'!F35</f>
        <v/>
      </c>
      <c r="G35" s="9">
        <f>'NSW-1'!G35+'VIC-1'!G35+'QLD-1'!G35+'NSW-2'!G35+'VIC-2'!G35+'QLD-2'!G35+'SA-1'!G35+'WA-1'!G35+'IDC-NSW'!G35+'IDC-VIC'!G35</f>
        <v/>
      </c>
      <c r="H35" s="30">
        <f>'NSW-1'!H35+'VIC-1'!H35+'QLD-1'!H35+'NSW-2'!H35+'VIC-2'!H35+'QLD-2'!H35+'SA-1'!H35+'WA-1'!H35+'IDC-NSW'!H35+'IDC-VIC'!H35</f>
        <v/>
      </c>
      <c r="I35" s="30">
        <f>'NSW-1'!I35+'VIC-1'!I35+'QLD-1'!I35+'NSW-2'!I35+'VIC-2'!I35+'QLD-2'!I35+'SA-1'!I35+'WA-1'!I35+'IDC-NSW'!I35+'IDC-VIC'!I35</f>
        <v/>
      </c>
      <c r="J35" s="30">
        <f>'NSW-1'!J35+'VIC-1'!J35+'QLD-1'!J35+'NSW-2'!J35+'VIC-2'!J35+'QLD-2'!J35+'SA-1'!J35+'WA-1'!J35+'IDC-NSW'!J35+'IDC-VIC'!J35</f>
        <v/>
      </c>
      <c r="K35" s="10">
        <f>IFERROR(F35/G35,0)</f>
        <v/>
      </c>
      <c r="L35" s="34">
        <f>IFERROR(H35/G35,0)</f>
        <v/>
      </c>
      <c r="M35" s="35">
        <f>IFERROR(J35/F35,0)</f>
        <v/>
      </c>
      <c r="N35" s="36">
        <f>IFERROR(J35/E35,0)</f>
        <v/>
      </c>
      <c r="O35" s="36">
        <f>IFERROR(I35/J35,0)</f>
        <v/>
      </c>
      <c r="R35">
        <f>Inputs!$A$37</f>
        <v/>
      </c>
      <c r="S35" s="36">
        <f>IFERROR(SUMIFS('VIC-1'!$J$15:$J$62,'VIC-1'!$B$15:$B$62,2025)/SUMIFS('VIC-1'!$E$15:$E$62,'VIC-1'!$B$15:$B$62,2025),0)</f>
        <v/>
      </c>
      <c r="T35" s="36">
        <f>IFERROR(SUMIFS('VIC-1'!$J$15:$J$62,'VIC-1'!$B$15:$B$62,2026)/SUMIFS('VIC-1'!$E$15:$E$62,'VIC-1'!$B$15:$B$62,2026),0)</f>
        <v/>
      </c>
      <c r="U35" s="36">
        <f>IFERROR(SUMIFS('VIC-1'!$J$15:$J$62,'VIC-1'!$B$15:$B$62,2027)/SUMIFS('VIC-1'!$E$15:$E$62,'VIC-1'!$B$15:$B$62,2027),0)</f>
        <v/>
      </c>
      <c r="V35" s="36">
        <f>IFERROR(SUMIFS('VIC-1'!$J$15:$J$62,'VIC-1'!$B$15:$B$62,2028)/SUMIFS('VIC-1'!$E$15:$E$62,'VIC-1'!$B$15:$B$62,2028),0)</f>
        <v/>
      </c>
      <c r="AJ35" s="15">
        <f>'NSW-1'!AJ35+'VIC-1'!AJ35+'QLD-1'!AJ35+'NSW-2'!AJ35+'VIC-2'!AJ35+'QLD-2'!AJ35+'SA-1'!AJ35+'WA-1'!AJ35+'IDC-NSW'!AJ35+'IDC-VIC'!AJ35</f>
        <v/>
      </c>
      <c r="AK35" s="9">
        <f>'NSW-1'!AK35+'VIC-1'!AK35+'QLD-1'!AK35+'NSW-2'!AK35+'VIC-2'!AK35+'QLD-2'!AK35+'SA-1'!AK35+'WA-1'!AK35+'IDC-NSW'!AK35+'IDC-VIC'!AK35</f>
        <v/>
      </c>
      <c r="AL35" s="30">
        <f>'NSW-1'!AL35+'VIC-1'!AL35+'QLD-1'!AL35+'NSW-2'!AL35+'VIC-2'!AL35+'QLD-2'!AL35+'SA-1'!AL35+'WA-1'!AL35+'IDC-NSW'!AL35+'IDC-VIC'!AL35</f>
        <v/>
      </c>
      <c r="AM35" s="30">
        <f>'NSW-1'!AM35+'VIC-1'!AM35+'QLD-1'!AM35+'NSW-2'!AM35+'VIC-2'!AM35+'QLD-2'!AM35+'SA-1'!AM35+'WA-1'!AM35+'IDC-NSW'!AM35+'IDC-VIC'!AM35</f>
        <v/>
      </c>
      <c r="AN35" s="30">
        <f>'NSW-1'!AN35+'VIC-1'!AN35+'QLD-1'!AN35+'NSW-2'!AN35+'VIC-2'!AN35+'QLD-2'!AN35+'SA-1'!AN35+'WA-1'!AN35+'IDC-NSW'!AN35+'IDC-VIC'!AN35</f>
        <v/>
      </c>
      <c r="AP35" s="15">
        <f>'NSW-1'!AP35+'VIC-1'!AP35+'QLD-1'!AP35+'NSW-2'!AP35+'VIC-2'!AP35+'QLD-2'!AP35+'SA-1'!AP35+'WA-1'!AP35+'IDC-NSW'!AP35+'IDC-VIC'!AP35</f>
        <v/>
      </c>
      <c r="AQ35" s="9">
        <f>'NSW-1'!AQ35+'VIC-1'!AQ35+'QLD-1'!AQ35+'NSW-2'!AQ35+'VIC-2'!AQ35+'QLD-2'!AQ35+'SA-1'!AQ35+'WA-1'!AQ35+'IDC-NSW'!AQ35+'IDC-VIC'!AQ35</f>
        <v/>
      </c>
      <c r="AR35" s="30">
        <f>'NSW-1'!AR35+'VIC-1'!AR35+'QLD-1'!AR35+'NSW-2'!AR35+'VIC-2'!AR35+'QLD-2'!AR35+'SA-1'!AR35+'WA-1'!AR35+'IDC-NSW'!AR35+'IDC-VIC'!AR35</f>
        <v/>
      </c>
      <c r="AS35" s="30">
        <f>'NSW-1'!AS35+'VIC-1'!AS35+'QLD-1'!AS35+'NSW-2'!AS35+'VIC-2'!AS35+'QLD-2'!AS35+'SA-1'!AS35+'WA-1'!AS35+'IDC-NSW'!AS35+'IDC-VIC'!AS35</f>
        <v/>
      </c>
      <c r="AT35" s="30">
        <f>'NSW-1'!AT35+'VIC-1'!AT35+'QLD-1'!AT35+'NSW-2'!AT35+'VIC-2'!AT35+'QLD-2'!AT35+'SA-1'!AT35+'WA-1'!AT35+'IDC-NSW'!AT35+'IDC-VIC'!AT35</f>
        <v/>
      </c>
      <c r="AV35" s="15">
        <f>'NSW-1'!AV35+'VIC-1'!AV35+'QLD-1'!AV35+'NSW-2'!AV35+'VIC-2'!AV35+'QLD-2'!AV35+'SA-1'!AV35+'WA-1'!AV35+'IDC-NSW'!AV35+'IDC-VIC'!AV35</f>
        <v/>
      </c>
      <c r="AW35" s="9">
        <f>'NSW-1'!AW35+'VIC-1'!AW35+'QLD-1'!AW35+'NSW-2'!AW35+'VIC-2'!AW35+'QLD-2'!AW35+'SA-1'!AW35+'WA-1'!AW35+'IDC-NSW'!AW35+'IDC-VIC'!AW35</f>
        <v/>
      </c>
      <c r="AX35" s="30">
        <f>'NSW-1'!AX35+'VIC-1'!AX35+'QLD-1'!AX35+'NSW-2'!AX35+'VIC-2'!AX35+'QLD-2'!AX35+'SA-1'!AX35+'WA-1'!AX35+'IDC-NSW'!AX35+'IDC-VIC'!AX35</f>
        <v/>
      </c>
      <c r="AY35" s="30">
        <f>'NSW-1'!AY35+'VIC-1'!AY35+'QLD-1'!AY35+'NSW-2'!AY35+'VIC-2'!AY35+'QLD-2'!AY35+'SA-1'!AY35+'WA-1'!AY35+'IDC-NSW'!AY35+'IDC-VIC'!AY35</f>
        <v/>
      </c>
      <c r="AZ35" s="30">
        <f>'NSW-1'!AZ35+'VIC-1'!AZ35+'QLD-1'!AZ35+'NSW-2'!AZ35+'VIC-2'!AZ35+'QLD-2'!AZ35+'SA-1'!AZ35+'WA-1'!AZ35+'IDC-NSW'!AZ35+'IDC-VIC'!AZ35</f>
        <v/>
      </c>
    </row>
    <row r="36">
      <c r="A36" s="8" t="n">
        <v>46296</v>
      </c>
      <c r="B36" s="33">
        <f>YEAR(A36)</f>
        <v/>
      </c>
      <c r="C36" s="33">
        <f>MONTH(A36)</f>
        <v/>
      </c>
      <c r="D36">
        <f>IF(A36&lt;=LastActual,"Actual","Forecast")</f>
        <v/>
      </c>
      <c r="E36" s="30">
        <f>'NSW-1'!E36+'VIC-1'!E36+'QLD-1'!E36+'NSW-2'!E36+'VIC-2'!E36+'QLD-2'!E36+'SA-1'!E36+'WA-1'!E36</f>
        <v/>
      </c>
      <c r="F36" s="15">
        <f>'NSW-1'!F36+'VIC-1'!F36+'QLD-1'!F36+'NSW-2'!F36+'VIC-2'!F36+'QLD-2'!F36+'SA-1'!F36+'WA-1'!F36+'IDC-NSW'!F36+'IDC-VIC'!F36</f>
        <v/>
      </c>
      <c r="G36" s="9">
        <f>'NSW-1'!G36+'VIC-1'!G36+'QLD-1'!G36+'NSW-2'!G36+'VIC-2'!G36+'QLD-2'!G36+'SA-1'!G36+'WA-1'!G36+'IDC-NSW'!G36+'IDC-VIC'!G36</f>
        <v/>
      </c>
      <c r="H36" s="30">
        <f>'NSW-1'!H36+'VIC-1'!H36+'QLD-1'!H36+'NSW-2'!H36+'VIC-2'!H36+'QLD-2'!H36+'SA-1'!H36+'WA-1'!H36+'IDC-NSW'!H36+'IDC-VIC'!H36</f>
        <v/>
      </c>
      <c r="I36" s="30">
        <f>'NSW-1'!I36+'VIC-1'!I36+'QLD-1'!I36+'NSW-2'!I36+'VIC-2'!I36+'QLD-2'!I36+'SA-1'!I36+'WA-1'!I36+'IDC-NSW'!I36+'IDC-VIC'!I36</f>
        <v/>
      </c>
      <c r="J36" s="30">
        <f>'NSW-1'!J36+'VIC-1'!J36+'QLD-1'!J36+'NSW-2'!J36+'VIC-2'!J36+'QLD-2'!J36+'SA-1'!J36+'WA-1'!J36+'IDC-NSW'!J36+'IDC-VIC'!J36</f>
        <v/>
      </c>
      <c r="K36" s="10">
        <f>IFERROR(F36/G36,0)</f>
        <v/>
      </c>
      <c r="L36" s="34">
        <f>IFERROR(H36/G36,0)</f>
        <v/>
      </c>
      <c r="M36" s="35">
        <f>IFERROR(J36/F36,0)</f>
        <v/>
      </c>
      <c r="N36" s="36">
        <f>IFERROR(J36/E36,0)</f>
        <v/>
      </c>
      <c r="O36" s="36">
        <f>IFERROR(I36/J36,0)</f>
        <v/>
      </c>
      <c r="R36">
        <f>Inputs!$A$38</f>
        <v/>
      </c>
      <c r="S36" s="36">
        <f>IFERROR(SUMIFS('QLD-1'!$J$15:$J$62,'QLD-1'!$B$15:$B$62,2025)/SUMIFS('QLD-1'!$E$15:$E$62,'QLD-1'!$B$15:$B$62,2025),0)</f>
        <v/>
      </c>
      <c r="T36" s="36">
        <f>IFERROR(SUMIFS('QLD-1'!$J$15:$J$62,'QLD-1'!$B$15:$B$62,2026)/SUMIFS('QLD-1'!$E$15:$E$62,'QLD-1'!$B$15:$B$62,2026),0)</f>
        <v/>
      </c>
      <c r="U36" s="36">
        <f>IFERROR(SUMIFS('QLD-1'!$J$15:$J$62,'QLD-1'!$B$15:$B$62,2027)/SUMIFS('QLD-1'!$E$15:$E$62,'QLD-1'!$B$15:$B$62,2027),0)</f>
        <v/>
      </c>
      <c r="V36" s="36">
        <f>IFERROR(SUMIFS('QLD-1'!$J$15:$J$62,'QLD-1'!$B$15:$B$62,2028)/SUMIFS('QLD-1'!$E$15:$E$62,'QLD-1'!$B$15:$B$62,2028),0)</f>
        <v/>
      </c>
      <c r="AJ36" s="15">
        <f>'NSW-1'!AJ36+'VIC-1'!AJ36+'QLD-1'!AJ36+'NSW-2'!AJ36+'VIC-2'!AJ36+'QLD-2'!AJ36+'SA-1'!AJ36+'WA-1'!AJ36+'IDC-NSW'!AJ36+'IDC-VIC'!AJ36</f>
        <v/>
      </c>
      <c r="AK36" s="9">
        <f>'NSW-1'!AK36+'VIC-1'!AK36+'QLD-1'!AK36+'NSW-2'!AK36+'VIC-2'!AK36+'QLD-2'!AK36+'SA-1'!AK36+'WA-1'!AK36+'IDC-NSW'!AK36+'IDC-VIC'!AK36</f>
        <v/>
      </c>
      <c r="AL36" s="30">
        <f>'NSW-1'!AL36+'VIC-1'!AL36+'QLD-1'!AL36+'NSW-2'!AL36+'VIC-2'!AL36+'QLD-2'!AL36+'SA-1'!AL36+'WA-1'!AL36+'IDC-NSW'!AL36+'IDC-VIC'!AL36</f>
        <v/>
      </c>
      <c r="AM36" s="30">
        <f>'NSW-1'!AM36+'VIC-1'!AM36+'QLD-1'!AM36+'NSW-2'!AM36+'VIC-2'!AM36+'QLD-2'!AM36+'SA-1'!AM36+'WA-1'!AM36+'IDC-NSW'!AM36+'IDC-VIC'!AM36</f>
        <v/>
      </c>
      <c r="AN36" s="30">
        <f>'NSW-1'!AN36+'VIC-1'!AN36+'QLD-1'!AN36+'NSW-2'!AN36+'VIC-2'!AN36+'QLD-2'!AN36+'SA-1'!AN36+'WA-1'!AN36+'IDC-NSW'!AN36+'IDC-VIC'!AN36</f>
        <v/>
      </c>
      <c r="AP36" s="15">
        <f>'NSW-1'!AP36+'VIC-1'!AP36+'QLD-1'!AP36+'NSW-2'!AP36+'VIC-2'!AP36+'QLD-2'!AP36+'SA-1'!AP36+'WA-1'!AP36+'IDC-NSW'!AP36+'IDC-VIC'!AP36</f>
        <v/>
      </c>
      <c r="AQ36" s="9">
        <f>'NSW-1'!AQ36+'VIC-1'!AQ36+'QLD-1'!AQ36+'NSW-2'!AQ36+'VIC-2'!AQ36+'QLD-2'!AQ36+'SA-1'!AQ36+'WA-1'!AQ36+'IDC-NSW'!AQ36+'IDC-VIC'!AQ36</f>
        <v/>
      </c>
      <c r="AR36" s="30">
        <f>'NSW-1'!AR36+'VIC-1'!AR36+'QLD-1'!AR36+'NSW-2'!AR36+'VIC-2'!AR36+'QLD-2'!AR36+'SA-1'!AR36+'WA-1'!AR36+'IDC-NSW'!AR36+'IDC-VIC'!AR36</f>
        <v/>
      </c>
      <c r="AS36" s="30">
        <f>'NSW-1'!AS36+'VIC-1'!AS36+'QLD-1'!AS36+'NSW-2'!AS36+'VIC-2'!AS36+'QLD-2'!AS36+'SA-1'!AS36+'WA-1'!AS36+'IDC-NSW'!AS36+'IDC-VIC'!AS36</f>
        <v/>
      </c>
      <c r="AT36" s="30">
        <f>'NSW-1'!AT36+'VIC-1'!AT36+'QLD-1'!AT36+'NSW-2'!AT36+'VIC-2'!AT36+'QLD-2'!AT36+'SA-1'!AT36+'WA-1'!AT36+'IDC-NSW'!AT36+'IDC-VIC'!AT36</f>
        <v/>
      </c>
      <c r="AV36" s="15">
        <f>'NSW-1'!AV36+'VIC-1'!AV36+'QLD-1'!AV36+'NSW-2'!AV36+'VIC-2'!AV36+'QLD-2'!AV36+'SA-1'!AV36+'WA-1'!AV36+'IDC-NSW'!AV36+'IDC-VIC'!AV36</f>
        <v/>
      </c>
      <c r="AW36" s="9">
        <f>'NSW-1'!AW36+'VIC-1'!AW36+'QLD-1'!AW36+'NSW-2'!AW36+'VIC-2'!AW36+'QLD-2'!AW36+'SA-1'!AW36+'WA-1'!AW36+'IDC-NSW'!AW36+'IDC-VIC'!AW36</f>
        <v/>
      </c>
      <c r="AX36" s="30">
        <f>'NSW-1'!AX36+'VIC-1'!AX36+'QLD-1'!AX36+'NSW-2'!AX36+'VIC-2'!AX36+'QLD-2'!AX36+'SA-1'!AX36+'WA-1'!AX36+'IDC-NSW'!AX36+'IDC-VIC'!AX36</f>
        <v/>
      </c>
      <c r="AY36" s="30">
        <f>'NSW-1'!AY36+'VIC-1'!AY36+'QLD-1'!AY36+'NSW-2'!AY36+'VIC-2'!AY36+'QLD-2'!AY36+'SA-1'!AY36+'WA-1'!AY36+'IDC-NSW'!AY36+'IDC-VIC'!AY36</f>
        <v/>
      </c>
      <c r="AZ36" s="30">
        <f>'NSW-1'!AZ36+'VIC-1'!AZ36+'QLD-1'!AZ36+'NSW-2'!AZ36+'VIC-2'!AZ36+'QLD-2'!AZ36+'SA-1'!AZ36+'WA-1'!AZ36+'IDC-NSW'!AZ36+'IDC-VIC'!AZ36</f>
        <v/>
      </c>
    </row>
    <row r="37">
      <c r="A37" s="8" t="n">
        <v>46327</v>
      </c>
      <c r="B37" s="33">
        <f>YEAR(A37)</f>
        <v/>
      </c>
      <c r="C37" s="33">
        <f>MONTH(A37)</f>
        <v/>
      </c>
      <c r="D37">
        <f>IF(A37&lt;=LastActual,"Actual","Forecast")</f>
        <v/>
      </c>
      <c r="E37" s="30">
        <f>'NSW-1'!E37+'VIC-1'!E37+'QLD-1'!E37+'NSW-2'!E37+'VIC-2'!E37+'QLD-2'!E37+'SA-1'!E37+'WA-1'!E37</f>
        <v/>
      </c>
      <c r="F37" s="15">
        <f>'NSW-1'!F37+'VIC-1'!F37+'QLD-1'!F37+'NSW-2'!F37+'VIC-2'!F37+'QLD-2'!F37+'SA-1'!F37+'WA-1'!F37+'IDC-NSW'!F37+'IDC-VIC'!F37</f>
        <v/>
      </c>
      <c r="G37" s="9">
        <f>'NSW-1'!G37+'VIC-1'!G37+'QLD-1'!G37+'NSW-2'!G37+'VIC-2'!G37+'QLD-2'!G37+'SA-1'!G37+'WA-1'!G37+'IDC-NSW'!G37+'IDC-VIC'!G37</f>
        <v/>
      </c>
      <c r="H37" s="30">
        <f>'NSW-1'!H37+'VIC-1'!H37+'QLD-1'!H37+'NSW-2'!H37+'VIC-2'!H37+'QLD-2'!H37+'SA-1'!H37+'WA-1'!H37+'IDC-NSW'!H37+'IDC-VIC'!H37</f>
        <v/>
      </c>
      <c r="I37" s="30">
        <f>'NSW-1'!I37+'VIC-1'!I37+'QLD-1'!I37+'NSW-2'!I37+'VIC-2'!I37+'QLD-2'!I37+'SA-1'!I37+'WA-1'!I37+'IDC-NSW'!I37+'IDC-VIC'!I37</f>
        <v/>
      </c>
      <c r="J37" s="30">
        <f>'NSW-1'!J37+'VIC-1'!J37+'QLD-1'!J37+'NSW-2'!J37+'VIC-2'!J37+'QLD-2'!J37+'SA-1'!J37+'WA-1'!J37+'IDC-NSW'!J37+'IDC-VIC'!J37</f>
        <v/>
      </c>
      <c r="K37" s="10">
        <f>IFERROR(F37/G37,0)</f>
        <v/>
      </c>
      <c r="L37" s="34">
        <f>IFERROR(H37/G37,0)</f>
        <v/>
      </c>
      <c r="M37" s="35">
        <f>IFERROR(J37/F37,0)</f>
        <v/>
      </c>
      <c r="N37" s="36">
        <f>IFERROR(J37/E37,0)</f>
        <v/>
      </c>
      <c r="O37" s="36">
        <f>IFERROR(I37/J37,0)</f>
        <v/>
      </c>
      <c r="R37">
        <f>Inputs!$A$39</f>
        <v/>
      </c>
      <c r="S37" s="36">
        <f>IFERROR(SUMIFS('NSW-2'!$J$15:$J$62,'NSW-2'!$B$15:$B$62,2025)/SUMIFS('NSW-2'!$E$15:$E$62,'NSW-2'!$B$15:$B$62,2025),0)</f>
        <v/>
      </c>
      <c r="T37" s="36">
        <f>IFERROR(SUMIFS('NSW-2'!$J$15:$J$62,'NSW-2'!$B$15:$B$62,2026)/SUMIFS('NSW-2'!$E$15:$E$62,'NSW-2'!$B$15:$B$62,2026),0)</f>
        <v/>
      </c>
      <c r="U37" s="36">
        <f>IFERROR(SUMIFS('NSW-2'!$J$15:$J$62,'NSW-2'!$B$15:$B$62,2027)/SUMIFS('NSW-2'!$E$15:$E$62,'NSW-2'!$B$15:$B$62,2027),0)</f>
        <v/>
      </c>
      <c r="V37" s="36">
        <f>IFERROR(SUMIFS('NSW-2'!$J$15:$J$62,'NSW-2'!$B$15:$B$62,2028)/SUMIFS('NSW-2'!$E$15:$E$62,'NSW-2'!$B$15:$B$62,2028),0)</f>
        <v/>
      </c>
      <c r="AJ37" s="15">
        <f>'NSW-1'!AJ37+'VIC-1'!AJ37+'QLD-1'!AJ37+'NSW-2'!AJ37+'VIC-2'!AJ37+'QLD-2'!AJ37+'SA-1'!AJ37+'WA-1'!AJ37+'IDC-NSW'!AJ37+'IDC-VIC'!AJ37</f>
        <v/>
      </c>
      <c r="AK37" s="9">
        <f>'NSW-1'!AK37+'VIC-1'!AK37+'QLD-1'!AK37+'NSW-2'!AK37+'VIC-2'!AK37+'QLD-2'!AK37+'SA-1'!AK37+'WA-1'!AK37+'IDC-NSW'!AK37+'IDC-VIC'!AK37</f>
        <v/>
      </c>
      <c r="AL37" s="30">
        <f>'NSW-1'!AL37+'VIC-1'!AL37+'QLD-1'!AL37+'NSW-2'!AL37+'VIC-2'!AL37+'QLD-2'!AL37+'SA-1'!AL37+'WA-1'!AL37+'IDC-NSW'!AL37+'IDC-VIC'!AL37</f>
        <v/>
      </c>
      <c r="AM37" s="30">
        <f>'NSW-1'!AM37+'VIC-1'!AM37+'QLD-1'!AM37+'NSW-2'!AM37+'VIC-2'!AM37+'QLD-2'!AM37+'SA-1'!AM37+'WA-1'!AM37+'IDC-NSW'!AM37+'IDC-VIC'!AM37</f>
        <v/>
      </c>
      <c r="AN37" s="30">
        <f>'NSW-1'!AN37+'VIC-1'!AN37+'QLD-1'!AN37+'NSW-2'!AN37+'VIC-2'!AN37+'QLD-2'!AN37+'SA-1'!AN37+'WA-1'!AN37+'IDC-NSW'!AN37+'IDC-VIC'!AN37</f>
        <v/>
      </c>
      <c r="AP37" s="15">
        <f>'NSW-1'!AP37+'VIC-1'!AP37+'QLD-1'!AP37+'NSW-2'!AP37+'VIC-2'!AP37+'QLD-2'!AP37+'SA-1'!AP37+'WA-1'!AP37+'IDC-NSW'!AP37+'IDC-VIC'!AP37</f>
        <v/>
      </c>
      <c r="AQ37" s="9">
        <f>'NSW-1'!AQ37+'VIC-1'!AQ37+'QLD-1'!AQ37+'NSW-2'!AQ37+'VIC-2'!AQ37+'QLD-2'!AQ37+'SA-1'!AQ37+'WA-1'!AQ37+'IDC-NSW'!AQ37+'IDC-VIC'!AQ37</f>
        <v/>
      </c>
      <c r="AR37" s="30">
        <f>'NSW-1'!AR37+'VIC-1'!AR37+'QLD-1'!AR37+'NSW-2'!AR37+'VIC-2'!AR37+'QLD-2'!AR37+'SA-1'!AR37+'WA-1'!AR37+'IDC-NSW'!AR37+'IDC-VIC'!AR37</f>
        <v/>
      </c>
      <c r="AS37" s="30">
        <f>'NSW-1'!AS37+'VIC-1'!AS37+'QLD-1'!AS37+'NSW-2'!AS37+'VIC-2'!AS37+'QLD-2'!AS37+'SA-1'!AS37+'WA-1'!AS37+'IDC-NSW'!AS37+'IDC-VIC'!AS37</f>
        <v/>
      </c>
      <c r="AT37" s="30">
        <f>'NSW-1'!AT37+'VIC-1'!AT37+'QLD-1'!AT37+'NSW-2'!AT37+'VIC-2'!AT37+'QLD-2'!AT37+'SA-1'!AT37+'WA-1'!AT37+'IDC-NSW'!AT37+'IDC-VIC'!AT37</f>
        <v/>
      </c>
      <c r="AV37" s="15">
        <f>'NSW-1'!AV37+'VIC-1'!AV37+'QLD-1'!AV37+'NSW-2'!AV37+'VIC-2'!AV37+'QLD-2'!AV37+'SA-1'!AV37+'WA-1'!AV37+'IDC-NSW'!AV37+'IDC-VIC'!AV37</f>
        <v/>
      </c>
      <c r="AW37" s="9">
        <f>'NSW-1'!AW37+'VIC-1'!AW37+'QLD-1'!AW37+'NSW-2'!AW37+'VIC-2'!AW37+'QLD-2'!AW37+'SA-1'!AW37+'WA-1'!AW37+'IDC-NSW'!AW37+'IDC-VIC'!AW37</f>
        <v/>
      </c>
      <c r="AX37" s="30">
        <f>'NSW-1'!AX37+'VIC-1'!AX37+'QLD-1'!AX37+'NSW-2'!AX37+'VIC-2'!AX37+'QLD-2'!AX37+'SA-1'!AX37+'WA-1'!AX37+'IDC-NSW'!AX37+'IDC-VIC'!AX37</f>
        <v/>
      </c>
      <c r="AY37" s="30">
        <f>'NSW-1'!AY37+'VIC-1'!AY37+'QLD-1'!AY37+'NSW-2'!AY37+'VIC-2'!AY37+'QLD-2'!AY37+'SA-1'!AY37+'WA-1'!AY37+'IDC-NSW'!AY37+'IDC-VIC'!AY37</f>
        <v/>
      </c>
      <c r="AZ37" s="30">
        <f>'NSW-1'!AZ37+'VIC-1'!AZ37+'QLD-1'!AZ37+'NSW-2'!AZ37+'VIC-2'!AZ37+'QLD-2'!AZ37+'SA-1'!AZ37+'WA-1'!AZ37+'IDC-NSW'!AZ37+'IDC-VIC'!AZ37</f>
        <v/>
      </c>
    </row>
    <row r="38">
      <c r="A38" s="37" t="n">
        <v>46357</v>
      </c>
      <c r="B38" s="38">
        <f>YEAR(A38)</f>
        <v/>
      </c>
      <c r="C38" s="38">
        <f>MONTH(A38)</f>
        <v/>
      </c>
      <c r="D38" s="39">
        <f>IF(A38&lt;=LastActual,"Actual","Forecast")</f>
        <v/>
      </c>
      <c r="E38" s="40">
        <f>'NSW-1'!E38+'VIC-1'!E38+'QLD-1'!E38+'NSW-2'!E38+'VIC-2'!E38+'QLD-2'!E38+'SA-1'!E38+'WA-1'!E38</f>
        <v/>
      </c>
      <c r="F38" s="41">
        <f>'NSW-1'!F38+'VIC-1'!F38+'QLD-1'!F38+'NSW-2'!F38+'VIC-2'!F38+'QLD-2'!F38+'SA-1'!F38+'WA-1'!F38+'IDC-NSW'!F38+'IDC-VIC'!F38</f>
        <v/>
      </c>
      <c r="G38" s="42">
        <f>'NSW-1'!G38+'VIC-1'!G38+'QLD-1'!G38+'NSW-2'!G38+'VIC-2'!G38+'QLD-2'!G38+'SA-1'!G38+'WA-1'!G38+'IDC-NSW'!G38+'IDC-VIC'!G38</f>
        <v/>
      </c>
      <c r="H38" s="40">
        <f>'NSW-1'!H38+'VIC-1'!H38+'QLD-1'!H38+'NSW-2'!H38+'VIC-2'!H38+'QLD-2'!H38+'SA-1'!H38+'WA-1'!H38+'IDC-NSW'!H38+'IDC-VIC'!H38</f>
        <v/>
      </c>
      <c r="I38" s="40">
        <f>'NSW-1'!I38+'VIC-1'!I38+'QLD-1'!I38+'NSW-2'!I38+'VIC-2'!I38+'QLD-2'!I38+'SA-1'!I38+'WA-1'!I38+'IDC-NSW'!I38+'IDC-VIC'!I38</f>
        <v/>
      </c>
      <c r="J38" s="40">
        <f>'NSW-1'!J38+'VIC-1'!J38+'QLD-1'!J38+'NSW-2'!J38+'VIC-2'!J38+'QLD-2'!J38+'SA-1'!J38+'WA-1'!J38+'IDC-NSW'!J38+'IDC-VIC'!J38</f>
        <v/>
      </c>
      <c r="K38" s="43">
        <f>IFERROR(F38/G38,0)</f>
        <v/>
      </c>
      <c r="L38" s="44">
        <f>IFERROR(H38/G38,0)</f>
        <v/>
      </c>
      <c r="M38" s="45">
        <f>IFERROR(J38/F38,0)</f>
        <v/>
      </c>
      <c r="N38" s="46">
        <f>IFERROR(J38/E38,0)</f>
        <v/>
      </c>
      <c r="O38" s="46">
        <f>IFERROR(I38/J38,0)</f>
        <v/>
      </c>
      <c r="R38">
        <f>Inputs!$A$40</f>
        <v/>
      </c>
      <c r="S38" s="36">
        <f>IFERROR(SUMIFS('VIC-2'!$J$15:$J$62,'VIC-2'!$B$15:$B$62,2025)/SUMIFS('VIC-2'!$E$15:$E$62,'VIC-2'!$B$15:$B$62,2025),0)</f>
        <v/>
      </c>
      <c r="T38" s="36">
        <f>IFERROR(SUMIFS('VIC-2'!$J$15:$J$62,'VIC-2'!$B$15:$B$62,2026)/SUMIFS('VIC-2'!$E$15:$E$62,'VIC-2'!$B$15:$B$62,2026),0)</f>
        <v/>
      </c>
      <c r="U38" s="36">
        <f>IFERROR(SUMIFS('VIC-2'!$J$15:$J$62,'VIC-2'!$B$15:$B$62,2027)/SUMIFS('VIC-2'!$E$15:$E$62,'VIC-2'!$B$15:$B$62,2027),0)</f>
        <v/>
      </c>
      <c r="V38" s="36">
        <f>IFERROR(SUMIFS('VIC-2'!$J$15:$J$62,'VIC-2'!$B$15:$B$62,2028)/SUMIFS('VIC-2'!$E$15:$E$62,'VIC-2'!$B$15:$B$62,2028),0)</f>
        <v/>
      </c>
      <c r="AJ38" s="41">
        <f>'NSW-1'!AJ38+'VIC-1'!AJ38+'QLD-1'!AJ38+'NSW-2'!AJ38+'VIC-2'!AJ38+'QLD-2'!AJ38+'SA-1'!AJ38+'WA-1'!AJ38+'IDC-NSW'!AJ38+'IDC-VIC'!AJ38</f>
        <v/>
      </c>
      <c r="AK38" s="42">
        <f>'NSW-1'!AK38+'VIC-1'!AK38+'QLD-1'!AK38+'NSW-2'!AK38+'VIC-2'!AK38+'QLD-2'!AK38+'SA-1'!AK38+'WA-1'!AK38+'IDC-NSW'!AK38+'IDC-VIC'!AK38</f>
        <v/>
      </c>
      <c r="AL38" s="40">
        <f>'NSW-1'!AL38+'VIC-1'!AL38+'QLD-1'!AL38+'NSW-2'!AL38+'VIC-2'!AL38+'QLD-2'!AL38+'SA-1'!AL38+'WA-1'!AL38+'IDC-NSW'!AL38+'IDC-VIC'!AL38</f>
        <v/>
      </c>
      <c r="AM38" s="40">
        <f>'NSW-1'!AM38+'VIC-1'!AM38+'QLD-1'!AM38+'NSW-2'!AM38+'VIC-2'!AM38+'QLD-2'!AM38+'SA-1'!AM38+'WA-1'!AM38+'IDC-NSW'!AM38+'IDC-VIC'!AM38</f>
        <v/>
      </c>
      <c r="AN38" s="40">
        <f>'NSW-1'!AN38+'VIC-1'!AN38+'QLD-1'!AN38+'NSW-2'!AN38+'VIC-2'!AN38+'QLD-2'!AN38+'SA-1'!AN38+'WA-1'!AN38+'IDC-NSW'!AN38+'IDC-VIC'!AN38</f>
        <v/>
      </c>
      <c r="AP38" s="41">
        <f>'NSW-1'!AP38+'VIC-1'!AP38+'QLD-1'!AP38+'NSW-2'!AP38+'VIC-2'!AP38+'QLD-2'!AP38+'SA-1'!AP38+'WA-1'!AP38+'IDC-NSW'!AP38+'IDC-VIC'!AP38</f>
        <v/>
      </c>
      <c r="AQ38" s="42">
        <f>'NSW-1'!AQ38+'VIC-1'!AQ38+'QLD-1'!AQ38+'NSW-2'!AQ38+'VIC-2'!AQ38+'QLD-2'!AQ38+'SA-1'!AQ38+'WA-1'!AQ38+'IDC-NSW'!AQ38+'IDC-VIC'!AQ38</f>
        <v/>
      </c>
      <c r="AR38" s="40">
        <f>'NSW-1'!AR38+'VIC-1'!AR38+'QLD-1'!AR38+'NSW-2'!AR38+'VIC-2'!AR38+'QLD-2'!AR38+'SA-1'!AR38+'WA-1'!AR38+'IDC-NSW'!AR38+'IDC-VIC'!AR38</f>
        <v/>
      </c>
      <c r="AS38" s="40">
        <f>'NSW-1'!AS38+'VIC-1'!AS38+'QLD-1'!AS38+'NSW-2'!AS38+'VIC-2'!AS38+'QLD-2'!AS38+'SA-1'!AS38+'WA-1'!AS38+'IDC-NSW'!AS38+'IDC-VIC'!AS38</f>
        <v/>
      </c>
      <c r="AT38" s="40">
        <f>'NSW-1'!AT38+'VIC-1'!AT38+'QLD-1'!AT38+'NSW-2'!AT38+'VIC-2'!AT38+'QLD-2'!AT38+'SA-1'!AT38+'WA-1'!AT38+'IDC-NSW'!AT38+'IDC-VIC'!AT38</f>
        <v/>
      </c>
      <c r="AV38" s="41">
        <f>'NSW-1'!AV38+'VIC-1'!AV38+'QLD-1'!AV38+'NSW-2'!AV38+'VIC-2'!AV38+'QLD-2'!AV38+'SA-1'!AV38+'WA-1'!AV38+'IDC-NSW'!AV38+'IDC-VIC'!AV38</f>
        <v/>
      </c>
      <c r="AW38" s="42">
        <f>'NSW-1'!AW38+'VIC-1'!AW38+'QLD-1'!AW38+'NSW-2'!AW38+'VIC-2'!AW38+'QLD-2'!AW38+'SA-1'!AW38+'WA-1'!AW38+'IDC-NSW'!AW38+'IDC-VIC'!AW38</f>
        <v/>
      </c>
      <c r="AX38" s="40">
        <f>'NSW-1'!AX38+'VIC-1'!AX38+'QLD-1'!AX38+'NSW-2'!AX38+'VIC-2'!AX38+'QLD-2'!AX38+'SA-1'!AX38+'WA-1'!AX38+'IDC-NSW'!AX38+'IDC-VIC'!AX38</f>
        <v/>
      </c>
      <c r="AY38" s="40">
        <f>'NSW-1'!AY38+'VIC-1'!AY38+'QLD-1'!AY38+'NSW-2'!AY38+'VIC-2'!AY38+'QLD-2'!AY38+'SA-1'!AY38+'WA-1'!AY38+'IDC-NSW'!AY38+'IDC-VIC'!AY38</f>
        <v/>
      </c>
      <c r="AZ38" s="40">
        <f>'NSW-1'!AZ38+'VIC-1'!AZ38+'QLD-1'!AZ38+'NSW-2'!AZ38+'VIC-2'!AZ38+'QLD-2'!AZ38+'SA-1'!AZ38+'WA-1'!AZ38+'IDC-NSW'!AZ38+'IDC-VIC'!AZ38</f>
        <v/>
      </c>
    </row>
    <row r="39">
      <c r="A39" s="8" t="n">
        <v>46388</v>
      </c>
      <c r="B39" s="33">
        <f>YEAR(A39)</f>
        <v/>
      </c>
      <c r="C39" s="33">
        <f>MONTH(A39)</f>
        <v/>
      </c>
      <c r="D39">
        <f>IF(A39&lt;=LastActual,"Actual","Forecast")</f>
        <v/>
      </c>
      <c r="E39" s="30">
        <f>'NSW-1'!E39+'VIC-1'!E39+'QLD-1'!E39+'NSW-2'!E39+'VIC-2'!E39+'QLD-2'!E39+'SA-1'!E39+'WA-1'!E39</f>
        <v/>
      </c>
      <c r="F39" s="15">
        <f>'NSW-1'!F39+'VIC-1'!F39+'QLD-1'!F39+'NSW-2'!F39+'VIC-2'!F39+'QLD-2'!F39+'SA-1'!F39+'WA-1'!F39+'IDC-NSW'!F39+'IDC-VIC'!F39</f>
        <v/>
      </c>
      <c r="G39" s="9">
        <f>'NSW-1'!G39+'VIC-1'!G39+'QLD-1'!G39+'NSW-2'!G39+'VIC-2'!G39+'QLD-2'!G39+'SA-1'!G39+'WA-1'!G39+'IDC-NSW'!G39+'IDC-VIC'!G39</f>
        <v/>
      </c>
      <c r="H39" s="30">
        <f>'NSW-1'!H39+'VIC-1'!H39+'QLD-1'!H39+'NSW-2'!H39+'VIC-2'!H39+'QLD-2'!H39+'SA-1'!H39+'WA-1'!H39+'IDC-NSW'!H39+'IDC-VIC'!H39</f>
        <v/>
      </c>
      <c r="I39" s="30">
        <f>'NSW-1'!I39+'VIC-1'!I39+'QLD-1'!I39+'NSW-2'!I39+'VIC-2'!I39+'QLD-2'!I39+'SA-1'!I39+'WA-1'!I39+'IDC-NSW'!I39+'IDC-VIC'!I39</f>
        <v/>
      </c>
      <c r="J39" s="30">
        <f>'NSW-1'!J39+'VIC-1'!J39+'QLD-1'!J39+'NSW-2'!J39+'VIC-2'!J39+'QLD-2'!J39+'SA-1'!J39+'WA-1'!J39+'IDC-NSW'!J39+'IDC-VIC'!J39</f>
        <v/>
      </c>
      <c r="K39" s="10">
        <f>IFERROR(F39/G39,0)</f>
        <v/>
      </c>
      <c r="L39" s="34">
        <f>IFERROR(H39/G39,0)</f>
        <v/>
      </c>
      <c r="M39" s="35">
        <f>IFERROR(J39/F39,0)</f>
        <v/>
      </c>
      <c r="N39" s="36">
        <f>IFERROR(J39/E39,0)</f>
        <v/>
      </c>
      <c r="O39" s="36">
        <f>IFERROR(I39/J39,0)</f>
        <v/>
      </c>
      <c r="R39">
        <f>Inputs!$A$41</f>
        <v/>
      </c>
      <c r="S39" s="36">
        <f>IFERROR(SUMIFS('QLD-2'!$J$15:$J$62,'QLD-2'!$B$15:$B$62,2025)/SUMIFS('QLD-2'!$E$15:$E$62,'QLD-2'!$B$15:$B$62,2025),0)</f>
        <v/>
      </c>
      <c r="T39" s="36">
        <f>IFERROR(SUMIFS('QLD-2'!$J$15:$J$62,'QLD-2'!$B$15:$B$62,2026)/SUMIFS('QLD-2'!$E$15:$E$62,'QLD-2'!$B$15:$B$62,2026),0)</f>
        <v/>
      </c>
      <c r="U39" s="36">
        <f>IFERROR(SUMIFS('QLD-2'!$J$15:$J$62,'QLD-2'!$B$15:$B$62,2027)/SUMIFS('QLD-2'!$E$15:$E$62,'QLD-2'!$B$15:$B$62,2027),0)</f>
        <v/>
      </c>
      <c r="V39" s="36">
        <f>IFERROR(SUMIFS('QLD-2'!$J$15:$J$62,'QLD-2'!$B$15:$B$62,2028)/SUMIFS('QLD-2'!$E$15:$E$62,'QLD-2'!$B$15:$B$62,2028),0)</f>
        <v/>
      </c>
      <c r="AJ39" s="15">
        <f>'NSW-1'!AJ39+'VIC-1'!AJ39+'QLD-1'!AJ39+'NSW-2'!AJ39+'VIC-2'!AJ39+'QLD-2'!AJ39+'SA-1'!AJ39+'WA-1'!AJ39+'IDC-NSW'!AJ39+'IDC-VIC'!AJ39</f>
        <v/>
      </c>
      <c r="AK39" s="9">
        <f>'NSW-1'!AK39+'VIC-1'!AK39+'QLD-1'!AK39+'NSW-2'!AK39+'VIC-2'!AK39+'QLD-2'!AK39+'SA-1'!AK39+'WA-1'!AK39+'IDC-NSW'!AK39+'IDC-VIC'!AK39</f>
        <v/>
      </c>
      <c r="AL39" s="30">
        <f>'NSW-1'!AL39+'VIC-1'!AL39+'QLD-1'!AL39+'NSW-2'!AL39+'VIC-2'!AL39+'QLD-2'!AL39+'SA-1'!AL39+'WA-1'!AL39+'IDC-NSW'!AL39+'IDC-VIC'!AL39</f>
        <v/>
      </c>
      <c r="AM39" s="30">
        <f>'NSW-1'!AM39+'VIC-1'!AM39+'QLD-1'!AM39+'NSW-2'!AM39+'VIC-2'!AM39+'QLD-2'!AM39+'SA-1'!AM39+'WA-1'!AM39+'IDC-NSW'!AM39+'IDC-VIC'!AM39</f>
        <v/>
      </c>
      <c r="AN39" s="30">
        <f>'NSW-1'!AN39+'VIC-1'!AN39+'QLD-1'!AN39+'NSW-2'!AN39+'VIC-2'!AN39+'QLD-2'!AN39+'SA-1'!AN39+'WA-1'!AN39+'IDC-NSW'!AN39+'IDC-VIC'!AN39</f>
        <v/>
      </c>
      <c r="AP39" s="15">
        <f>'NSW-1'!AP39+'VIC-1'!AP39+'QLD-1'!AP39+'NSW-2'!AP39+'VIC-2'!AP39+'QLD-2'!AP39+'SA-1'!AP39+'WA-1'!AP39+'IDC-NSW'!AP39+'IDC-VIC'!AP39</f>
        <v/>
      </c>
      <c r="AQ39" s="9">
        <f>'NSW-1'!AQ39+'VIC-1'!AQ39+'QLD-1'!AQ39+'NSW-2'!AQ39+'VIC-2'!AQ39+'QLD-2'!AQ39+'SA-1'!AQ39+'WA-1'!AQ39+'IDC-NSW'!AQ39+'IDC-VIC'!AQ39</f>
        <v/>
      </c>
      <c r="AR39" s="30">
        <f>'NSW-1'!AR39+'VIC-1'!AR39+'QLD-1'!AR39+'NSW-2'!AR39+'VIC-2'!AR39+'QLD-2'!AR39+'SA-1'!AR39+'WA-1'!AR39+'IDC-NSW'!AR39+'IDC-VIC'!AR39</f>
        <v/>
      </c>
      <c r="AS39" s="30">
        <f>'NSW-1'!AS39+'VIC-1'!AS39+'QLD-1'!AS39+'NSW-2'!AS39+'VIC-2'!AS39+'QLD-2'!AS39+'SA-1'!AS39+'WA-1'!AS39+'IDC-NSW'!AS39+'IDC-VIC'!AS39</f>
        <v/>
      </c>
      <c r="AT39" s="30">
        <f>'NSW-1'!AT39+'VIC-1'!AT39+'QLD-1'!AT39+'NSW-2'!AT39+'VIC-2'!AT39+'QLD-2'!AT39+'SA-1'!AT39+'WA-1'!AT39+'IDC-NSW'!AT39+'IDC-VIC'!AT39</f>
        <v/>
      </c>
      <c r="AV39" s="15">
        <f>'NSW-1'!AV39+'VIC-1'!AV39+'QLD-1'!AV39+'NSW-2'!AV39+'VIC-2'!AV39+'QLD-2'!AV39+'SA-1'!AV39+'WA-1'!AV39+'IDC-NSW'!AV39+'IDC-VIC'!AV39</f>
        <v/>
      </c>
      <c r="AW39" s="9">
        <f>'NSW-1'!AW39+'VIC-1'!AW39+'QLD-1'!AW39+'NSW-2'!AW39+'VIC-2'!AW39+'QLD-2'!AW39+'SA-1'!AW39+'WA-1'!AW39+'IDC-NSW'!AW39+'IDC-VIC'!AW39</f>
        <v/>
      </c>
      <c r="AX39" s="30">
        <f>'NSW-1'!AX39+'VIC-1'!AX39+'QLD-1'!AX39+'NSW-2'!AX39+'VIC-2'!AX39+'QLD-2'!AX39+'SA-1'!AX39+'WA-1'!AX39+'IDC-NSW'!AX39+'IDC-VIC'!AX39</f>
        <v/>
      </c>
      <c r="AY39" s="30">
        <f>'NSW-1'!AY39+'VIC-1'!AY39+'QLD-1'!AY39+'NSW-2'!AY39+'VIC-2'!AY39+'QLD-2'!AY39+'SA-1'!AY39+'WA-1'!AY39+'IDC-NSW'!AY39+'IDC-VIC'!AY39</f>
        <v/>
      </c>
      <c r="AZ39" s="30">
        <f>'NSW-1'!AZ39+'VIC-1'!AZ39+'QLD-1'!AZ39+'NSW-2'!AZ39+'VIC-2'!AZ39+'QLD-2'!AZ39+'SA-1'!AZ39+'WA-1'!AZ39+'IDC-NSW'!AZ39+'IDC-VIC'!AZ39</f>
        <v/>
      </c>
    </row>
    <row r="40">
      <c r="A40" s="8" t="n">
        <v>46419</v>
      </c>
      <c r="B40" s="33">
        <f>YEAR(A40)</f>
        <v/>
      </c>
      <c r="C40" s="33">
        <f>MONTH(A40)</f>
        <v/>
      </c>
      <c r="D40">
        <f>IF(A40&lt;=LastActual,"Actual","Forecast")</f>
        <v/>
      </c>
      <c r="E40" s="30">
        <f>'NSW-1'!E40+'VIC-1'!E40+'QLD-1'!E40+'NSW-2'!E40+'VIC-2'!E40+'QLD-2'!E40+'SA-1'!E40+'WA-1'!E40</f>
        <v/>
      </c>
      <c r="F40" s="15">
        <f>'NSW-1'!F40+'VIC-1'!F40+'QLD-1'!F40+'NSW-2'!F40+'VIC-2'!F40+'QLD-2'!F40+'SA-1'!F40+'WA-1'!F40+'IDC-NSW'!F40+'IDC-VIC'!F40</f>
        <v/>
      </c>
      <c r="G40" s="9">
        <f>'NSW-1'!G40+'VIC-1'!G40+'QLD-1'!G40+'NSW-2'!G40+'VIC-2'!G40+'QLD-2'!G40+'SA-1'!G40+'WA-1'!G40+'IDC-NSW'!G40+'IDC-VIC'!G40</f>
        <v/>
      </c>
      <c r="H40" s="30">
        <f>'NSW-1'!H40+'VIC-1'!H40+'QLD-1'!H40+'NSW-2'!H40+'VIC-2'!H40+'QLD-2'!H40+'SA-1'!H40+'WA-1'!H40+'IDC-NSW'!H40+'IDC-VIC'!H40</f>
        <v/>
      </c>
      <c r="I40" s="30">
        <f>'NSW-1'!I40+'VIC-1'!I40+'QLD-1'!I40+'NSW-2'!I40+'VIC-2'!I40+'QLD-2'!I40+'SA-1'!I40+'WA-1'!I40+'IDC-NSW'!I40+'IDC-VIC'!I40</f>
        <v/>
      </c>
      <c r="J40" s="30">
        <f>'NSW-1'!J40+'VIC-1'!J40+'QLD-1'!J40+'NSW-2'!J40+'VIC-2'!J40+'QLD-2'!J40+'SA-1'!J40+'WA-1'!J40+'IDC-NSW'!J40+'IDC-VIC'!J40</f>
        <v/>
      </c>
      <c r="K40" s="10">
        <f>IFERROR(F40/G40,0)</f>
        <v/>
      </c>
      <c r="L40" s="34">
        <f>IFERROR(H40/G40,0)</f>
        <v/>
      </c>
      <c r="M40" s="35">
        <f>IFERROR(J40/F40,0)</f>
        <v/>
      </c>
      <c r="N40" s="36">
        <f>IFERROR(J40/E40,0)</f>
        <v/>
      </c>
      <c r="O40" s="36">
        <f>IFERROR(I40/J40,0)</f>
        <v/>
      </c>
      <c r="R40">
        <f>Inputs!$A$42</f>
        <v/>
      </c>
      <c r="S40" s="36">
        <f>IFERROR(SUMIFS('SA-1'!$J$15:$J$62,'SA-1'!$B$15:$B$62,2025)/SUMIFS('SA-1'!$E$15:$E$62,'SA-1'!$B$15:$B$62,2025),0)</f>
        <v/>
      </c>
      <c r="T40" s="36">
        <f>IFERROR(SUMIFS('SA-1'!$J$15:$J$62,'SA-1'!$B$15:$B$62,2026)/SUMIFS('SA-1'!$E$15:$E$62,'SA-1'!$B$15:$B$62,2026),0)</f>
        <v/>
      </c>
      <c r="U40" s="36">
        <f>IFERROR(SUMIFS('SA-1'!$J$15:$J$62,'SA-1'!$B$15:$B$62,2027)/SUMIFS('SA-1'!$E$15:$E$62,'SA-1'!$B$15:$B$62,2027),0)</f>
        <v/>
      </c>
      <c r="V40" s="36">
        <f>IFERROR(SUMIFS('SA-1'!$J$15:$J$62,'SA-1'!$B$15:$B$62,2028)/SUMIFS('SA-1'!$E$15:$E$62,'SA-1'!$B$15:$B$62,2028),0)</f>
        <v/>
      </c>
      <c r="AJ40" s="15">
        <f>'NSW-1'!AJ40+'VIC-1'!AJ40+'QLD-1'!AJ40+'NSW-2'!AJ40+'VIC-2'!AJ40+'QLD-2'!AJ40+'SA-1'!AJ40+'WA-1'!AJ40+'IDC-NSW'!AJ40+'IDC-VIC'!AJ40</f>
        <v/>
      </c>
      <c r="AK40" s="9">
        <f>'NSW-1'!AK40+'VIC-1'!AK40+'QLD-1'!AK40+'NSW-2'!AK40+'VIC-2'!AK40+'QLD-2'!AK40+'SA-1'!AK40+'WA-1'!AK40+'IDC-NSW'!AK40+'IDC-VIC'!AK40</f>
        <v/>
      </c>
      <c r="AL40" s="30">
        <f>'NSW-1'!AL40+'VIC-1'!AL40+'QLD-1'!AL40+'NSW-2'!AL40+'VIC-2'!AL40+'QLD-2'!AL40+'SA-1'!AL40+'WA-1'!AL40+'IDC-NSW'!AL40+'IDC-VIC'!AL40</f>
        <v/>
      </c>
      <c r="AM40" s="30">
        <f>'NSW-1'!AM40+'VIC-1'!AM40+'QLD-1'!AM40+'NSW-2'!AM40+'VIC-2'!AM40+'QLD-2'!AM40+'SA-1'!AM40+'WA-1'!AM40+'IDC-NSW'!AM40+'IDC-VIC'!AM40</f>
        <v/>
      </c>
      <c r="AN40" s="30">
        <f>'NSW-1'!AN40+'VIC-1'!AN40+'QLD-1'!AN40+'NSW-2'!AN40+'VIC-2'!AN40+'QLD-2'!AN40+'SA-1'!AN40+'WA-1'!AN40+'IDC-NSW'!AN40+'IDC-VIC'!AN40</f>
        <v/>
      </c>
      <c r="AP40" s="15">
        <f>'NSW-1'!AP40+'VIC-1'!AP40+'QLD-1'!AP40+'NSW-2'!AP40+'VIC-2'!AP40+'QLD-2'!AP40+'SA-1'!AP40+'WA-1'!AP40+'IDC-NSW'!AP40+'IDC-VIC'!AP40</f>
        <v/>
      </c>
      <c r="AQ40" s="9">
        <f>'NSW-1'!AQ40+'VIC-1'!AQ40+'QLD-1'!AQ40+'NSW-2'!AQ40+'VIC-2'!AQ40+'QLD-2'!AQ40+'SA-1'!AQ40+'WA-1'!AQ40+'IDC-NSW'!AQ40+'IDC-VIC'!AQ40</f>
        <v/>
      </c>
      <c r="AR40" s="30">
        <f>'NSW-1'!AR40+'VIC-1'!AR40+'QLD-1'!AR40+'NSW-2'!AR40+'VIC-2'!AR40+'QLD-2'!AR40+'SA-1'!AR40+'WA-1'!AR40+'IDC-NSW'!AR40+'IDC-VIC'!AR40</f>
        <v/>
      </c>
      <c r="AS40" s="30">
        <f>'NSW-1'!AS40+'VIC-1'!AS40+'QLD-1'!AS40+'NSW-2'!AS40+'VIC-2'!AS40+'QLD-2'!AS40+'SA-1'!AS40+'WA-1'!AS40+'IDC-NSW'!AS40+'IDC-VIC'!AS40</f>
        <v/>
      </c>
      <c r="AT40" s="30">
        <f>'NSW-1'!AT40+'VIC-1'!AT40+'QLD-1'!AT40+'NSW-2'!AT40+'VIC-2'!AT40+'QLD-2'!AT40+'SA-1'!AT40+'WA-1'!AT40+'IDC-NSW'!AT40+'IDC-VIC'!AT40</f>
        <v/>
      </c>
      <c r="AV40" s="15">
        <f>'NSW-1'!AV40+'VIC-1'!AV40+'QLD-1'!AV40+'NSW-2'!AV40+'VIC-2'!AV40+'QLD-2'!AV40+'SA-1'!AV40+'WA-1'!AV40+'IDC-NSW'!AV40+'IDC-VIC'!AV40</f>
        <v/>
      </c>
      <c r="AW40" s="9">
        <f>'NSW-1'!AW40+'VIC-1'!AW40+'QLD-1'!AW40+'NSW-2'!AW40+'VIC-2'!AW40+'QLD-2'!AW40+'SA-1'!AW40+'WA-1'!AW40+'IDC-NSW'!AW40+'IDC-VIC'!AW40</f>
        <v/>
      </c>
      <c r="AX40" s="30">
        <f>'NSW-1'!AX40+'VIC-1'!AX40+'QLD-1'!AX40+'NSW-2'!AX40+'VIC-2'!AX40+'QLD-2'!AX40+'SA-1'!AX40+'WA-1'!AX40+'IDC-NSW'!AX40+'IDC-VIC'!AX40</f>
        <v/>
      </c>
      <c r="AY40" s="30">
        <f>'NSW-1'!AY40+'VIC-1'!AY40+'QLD-1'!AY40+'NSW-2'!AY40+'VIC-2'!AY40+'QLD-2'!AY40+'SA-1'!AY40+'WA-1'!AY40+'IDC-NSW'!AY40+'IDC-VIC'!AY40</f>
        <v/>
      </c>
      <c r="AZ40" s="30">
        <f>'NSW-1'!AZ40+'VIC-1'!AZ40+'QLD-1'!AZ40+'NSW-2'!AZ40+'VIC-2'!AZ40+'QLD-2'!AZ40+'SA-1'!AZ40+'WA-1'!AZ40+'IDC-NSW'!AZ40+'IDC-VIC'!AZ40</f>
        <v/>
      </c>
    </row>
    <row r="41">
      <c r="A41" s="8" t="n">
        <v>46447</v>
      </c>
      <c r="B41" s="33">
        <f>YEAR(A41)</f>
        <v/>
      </c>
      <c r="C41" s="33">
        <f>MONTH(A41)</f>
        <v/>
      </c>
      <c r="D41">
        <f>IF(A41&lt;=LastActual,"Actual","Forecast")</f>
        <v/>
      </c>
      <c r="E41" s="30">
        <f>'NSW-1'!E41+'VIC-1'!E41+'QLD-1'!E41+'NSW-2'!E41+'VIC-2'!E41+'QLD-2'!E41+'SA-1'!E41+'WA-1'!E41</f>
        <v/>
      </c>
      <c r="F41" s="15">
        <f>'NSW-1'!F41+'VIC-1'!F41+'QLD-1'!F41+'NSW-2'!F41+'VIC-2'!F41+'QLD-2'!F41+'SA-1'!F41+'WA-1'!F41+'IDC-NSW'!F41+'IDC-VIC'!F41</f>
        <v/>
      </c>
      <c r="G41" s="9">
        <f>'NSW-1'!G41+'VIC-1'!G41+'QLD-1'!G41+'NSW-2'!G41+'VIC-2'!G41+'QLD-2'!G41+'SA-1'!G41+'WA-1'!G41+'IDC-NSW'!G41+'IDC-VIC'!G41</f>
        <v/>
      </c>
      <c r="H41" s="30">
        <f>'NSW-1'!H41+'VIC-1'!H41+'QLD-1'!H41+'NSW-2'!H41+'VIC-2'!H41+'QLD-2'!H41+'SA-1'!H41+'WA-1'!H41+'IDC-NSW'!H41+'IDC-VIC'!H41</f>
        <v/>
      </c>
      <c r="I41" s="30">
        <f>'NSW-1'!I41+'VIC-1'!I41+'QLD-1'!I41+'NSW-2'!I41+'VIC-2'!I41+'QLD-2'!I41+'SA-1'!I41+'WA-1'!I41+'IDC-NSW'!I41+'IDC-VIC'!I41</f>
        <v/>
      </c>
      <c r="J41" s="30">
        <f>'NSW-1'!J41+'VIC-1'!J41+'QLD-1'!J41+'NSW-2'!J41+'VIC-2'!J41+'QLD-2'!J41+'SA-1'!J41+'WA-1'!J41+'IDC-NSW'!J41+'IDC-VIC'!J41</f>
        <v/>
      </c>
      <c r="K41" s="10">
        <f>IFERROR(F41/G41,0)</f>
        <v/>
      </c>
      <c r="L41" s="34">
        <f>IFERROR(H41/G41,0)</f>
        <v/>
      </c>
      <c r="M41" s="35">
        <f>IFERROR(J41/F41,0)</f>
        <v/>
      </c>
      <c r="N41" s="36">
        <f>IFERROR(J41/E41,0)</f>
        <v/>
      </c>
      <c r="O41" s="36">
        <f>IFERROR(I41/J41,0)</f>
        <v/>
      </c>
      <c r="R41">
        <f>Inputs!$A$43</f>
        <v/>
      </c>
      <c r="S41" s="36">
        <f>IFERROR(SUMIFS('WA-1'!$J$15:$J$62,'WA-1'!$B$15:$B$62,2025)/SUMIFS('WA-1'!$E$15:$E$62,'WA-1'!$B$15:$B$62,2025),0)</f>
        <v/>
      </c>
      <c r="T41" s="36">
        <f>IFERROR(SUMIFS('WA-1'!$J$15:$J$62,'WA-1'!$B$15:$B$62,2026)/SUMIFS('WA-1'!$E$15:$E$62,'WA-1'!$B$15:$B$62,2026),0)</f>
        <v/>
      </c>
      <c r="U41" s="36">
        <f>IFERROR(SUMIFS('WA-1'!$J$15:$J$62,'WA-1'!$B$15:$B$62,2027)/SUMIFS('WA-1'!$E$15:$E$62,'WA-1'!$B$15:$B$62,2027),0)</f>
        <v/>
      </c>
      <c r="V41" s="36">
        <f>IFERROR(SUMIFS('WA-1'!$J$15:$J$62,'WA-1'!$B$15:$B$62,2028)/SUMIFS('WA-1'!$E$15:$E$62,'WA-1'!$B$15:$B$62,2028),0)</f>
        <v/>
      </c>
      <c r="AJ41" s="15">
        <f>'NSW-1'!AJ41+'VIC-1'!AJ41+'QLD-1'!AJ41+'NSW-2'!AJ41+'VIC-2'!AJ41+'QLD-2'!AJ41+'SA-1'!AJ41+'WA-1'!AJ41+'IDC-NSW'!AJ41+'IDC-VIC'!AJ41</f>
        <v/>
      </c>
      <c r="AK41" s="9">
        <f>'NSW-1'!AK41+'VIC-1'!AK41+'QLD-1'!AK41+'NSW-2'!AK41+'VIC-2'!AK41+'QLD-2'!AK41+'SA-1'!AK41+'WA-1'!AK41+'IDC-NSW'!AK41+'IDC-VIC'!AK41</f>
        <v/>
      </c>
      <c r="AL41" s="30">
        <f>'NSW-1'!AL41+'VIC-1'!AL41+'QLD-1'!AL41+'NSW-2'!AL41+'VIC-2'!AL41+'QLD-2'!AL41+'SA-1'!AL41+'WA-1'!AL41+'IDC-NSW'!AL41+'IDC-VIC'!AL41</f>
        <v/>
      </c>
      <c r="AM41" s="30">
        <f>'NSW-1'!AM41+'VIC-1'!AM41+'QLD-1'!AM41+'NSW-2'!AM41+'VIC-2'!AM41+'QLD-2'!AM41+'SA-1'!AM41+'WA-1'!AM41+'IDC-NSW'!AM41+'IDC-VIC'!AM41</f>
        <v/>
      </c>
      <c r="AN41" s="30">
        <f>'NSW-1'!AN41+'VIC-1'!AN41+'QLD-1'!AN41+'NSW-2'!AN41+'VIC-2'!AN41+'QLD-2'!AN41+'SA-1'!AN41+'WA-1'!AN41+'IDC-NSW'!AN41+'IDC-VIC'!AN41</f>
        <v/>
      </c>
      <c r="AP41" s="15">
        <f>'NSW-1'!AP41+'VIC-1'!AP41+'QLD-1'!AP41+'NSW-2'!AP41+'VIC-2'!AP41+'QLD-2'!AP41+'SA-1'!AP41+'WA-1'!AP41+'IDC-NSW'!AP41+'IDC-VIC'!AP41</f>
        <v/>
      </c>
      <c r="AQ41" s="9">
        <f>'NSW-1'!AQ41+'VIC-1'!AQ41+'QLD-1'!AQ41+'NSW-2'!AQ41+'VIC-2'!AQ41+'QLD-2'!AQ41+'SA-1'!AQ41+'WA-1'!AQ41+'IDC-NSW'!AQ41+'IDC-VIC'!AQ41</f>
        <v/>
      </c>
      <c r="AR41" s="30">
        <f>'NSW-1'!AR41+'VIC-1'!AR41+'QLD-1'!AR41+'NSW-2'!AR41+'VIC-2'!AR41+'QLD-2'!AR41+'SA-1'!AR41+'WA-1'!AR41+'IDC-NSW'!AR41+'IDC-VIC'!AR41</f>
        <v/>
      </c>
      <c r="AS41" s="30">
        <f>'NSW-1'!AS41+'VIC-1'!AS41+'QLD-1'!AS41+'NSW-2'!AS41+'VIC-2'!AS41+'QLD-2'!AS41+'SA-1'!AS41+'WA-1'!AS41+'IDC-NSW'!AS41+'IDC-VIC'!AS41</f>
        <v/>
      </c>
      <c r="AT41" s="30">
        <f>'NSW-1'!AT41+'VIC-1'!AT41+'QLD-1'!AT41+'NSW-2'!AT41+'VIC-2'!AT41+'QLD-2'!AT41+'SA-1'!AT41+'WA-1'!AT41+'IDC-NSW'!AT41+'IDC-VIC'!AT41</f>
        <v/>
      </c>
      <c r="AV41" s="15">
        <f>'NSW-1'!AV41+'VIC-1'!AV41+'QLD-1'!AV41+'NSW-2'!AV41+'VIC-2'!AV41+'QLD-2'!AV41+'SA-1'!AV41+'WA-1'!AV41+'IDC-NSW'!AV41+'IDC-VIC'!AV41</f>
        <v/>
      </c>
      <c r="AW41" s="9">
        <f>'NSW-1'!AW41+'VIC-1'!AW41+'QLD-1'!AW41+'NSW-2'!AW41+'VIC-2'!AW41+'QLD-2'!AW41+'SA-1'!AW41+'WA-1'!AW41+'IDC-NSW'!AW41+'IDC-VIC'!AW41</f>
        <v/>
      </c>
      <c r="AX41" s="30">
        <f>'NSW-1'!AX41+'VIC-1'!AX41+'QLD-1'!AX41+'NSW-2'!AX41+'VIC-2'!AX41+'QLD-2'!AX41+'SA-1'!AX41+'WA-1'!AX41+'IDC-NSW'!AX41+'IDC-VIC'!AX41</f>
        <v/>
      </c>
      <c r="AY41" s="30">
        <f>'NSW-1'!AY41+'VIC-1'!AY41+'QLD-1'!AY41+'NSW-2'!AY41+'VIC-2'!AY41+'QLD-2'!AY41+'SA-1'!AY41+'WA-1'!AY41+'IDC-NSW'!AY41+'IDC-VIC'!AY41</f>
        <v/>
      </c>
      <c r="AZ41" s="30">
        <f>'NSW-1'!AZ41+'VIC-1'!AZ41+'QLD-1'!AZ41+'NSW-2'!AZ41+'VIC-2'!AZ41+'QLD-2'!AZ41+'SA-1'!AZ41+'WA-1'!AZ41+'IDC-NSW'!AZ41+'IDC-VIC'!AZ41</f>
        <v/>
      </c>
    </row>
    <row r="42">
      <c r="A42" s="8" t="n">
        <v>46478</v>
      </c>
      <c r="B42" s="33">
        <f>YEAR(A42)</f>
        <v/>
      </c>
      <c r="C42" s="33">
        <f>MONTH(A42)</f>
        <v/>
      </c>
      <c r="D42">
        <f>IF(A42&lt;=LastActual,"Actual","Forecast")</f>
        <v/>
      </c>
      <c r="E42" s="30">
        <f>'NSW-1'!E42+'VIC-1'!E42+'QLD-1'!E42+'NSW-2'!E42+'VIC-2'!E42+'QLD-2'!E42+'SA-1'!E42+'WA-1'!E42</f>
        <v/>
      </c>
      <c r="F42" s="15">
        <f>'NSW-1'!F42+'VIC-1'!F42+'QLD-1'!F42+'NSW-2'!F42+'VIC-2'!F42+'QLD-2'!F42+'SA-1'!F42+'WA-1'!F42+'IDC-NSW'!F42+'IDC-VIC'!F42</f>
        <v/>
      </c>
      <c r="G42" s="9">
        <f>'NSW-1'!G42+'VIC-1'!G42+'QLD-1'!G42+'NSW-2'!G42+'VIC-2'!G42+'QLD-2'!G42+'SA-1'!G42+'WA-1'!G42+'IDC-NSW'!G42+'IDC-VIC'!G42</f>
        <v/>
      </c>
      <c r="H42" s="30">
        <f>'NSW-1'!H42+'VIC-1'!H42+'QLD-1'!H42+'NSW-2'!H42+'VIC-2'!H42+'QLD-2'!H42+'SA-1'!H42+'WA-1'!H42+'IDC-NSW'!H42+'IDC-VIC'!H42</f>
        <v/>
      </c>
      <c r="I42" s="30">
        <f>'NSW-1'!I42+'VIC-1'!I42+'QLD-1'!I42+'NSW-2'!I42+'VIC-2'!I42+'QLD-2'!I42+'SA-1'!I42+'WA-1'!I42+'IDC-NSW'!I42+'IDC-VIC'!I42</f>
        <v/>
      </c>
      <c r="J42" s="30">
        <f>'NSW-1'!J42+'VIC-1'!J42+'QLD-1'!J42+'NSW-2'!J42+'VIC-2'!J42+'QLD-2'!J42+'SA-1'!J42+'WA-1'!J42+'IDC-NSW'!J42+'IDC-VIC'!J42</f>
        <v/>
      </c>
      <c r="K42" s="10">
        <f>IFERROR(F42/G42,0)</f>
        <v/>
      </c>
      <c r="L42" s="34">
        <f>IFERROR(H42/G42,0)</f>
        <v/>
      </c>
      <c r="M42" s="35">
        <f>IFERROR(J42/F42,0)</f>
        <v/>
      </c>
      <c r="N42" s="36">
        <f>IFERROR(J42/E42,0)</f>
        <v/>
      </c>
      <c r="O42" s="36">
        <f>IFERROR(I42/J42,0)</f>
        <v/>
      </c>
      <c r="R42">
        <f>Inputs!$A$44</f>
        <v/>
      </c>
      <c r="S42" s="36">
        <f>IFERROR(SUMIFS('IDC-NSW'!$J$15:$J$62,'IDC-NSW'!$B$15:$B$62,2025)/SUMIFS('IDC-NSW'!$E$15:$E$62,'IDC-NSW'!$B$15:$B$62,2025),0)</f>
        <v/>
      </c>
      <c r="T42" s="36">
        <f>IFERROR(SUMIFS('IDC-NSW'!$J$15:$J$62,'IDC-NSW'!$B$15:$B$62,2026)/SUMIFS('IDC-NSW'!$E$15:$E$62,'IDC-NSW'!$B$15:$B$62,2026),0)</f>
        <v/>
      </c>
      <c r="U42" s="36">
        <f>IFERROR(SUMIFS('IDC-NSW'!$J$15:$J$62,'IDC-NSW'!$B$15:$B$62,2027)/SUMIFS('IDC-NSW'!$E$15:$E$62,'IDC-NSW'!$B$15:$B$62,2027),0)</f>
        <v/>
      </c>
      <c r="V42" s="36">
        <f>IFERROR(SUMIFS('IDC-NSW'!$J$15:$J$62,'IDC-NSW'!$B$15:$B$62,2028)/SUMIFS('IDC-NSW'!$E$15:$E$62,'IDC-NSW'!$B$15:$B$62,2028),0)</f>
        <v/>
      </c>
      <c r="AJ42" s="15">
        <f>'NSW-1'!AJ42+'VIC-1'!AJ42+'QLD-1'!AJ42+'NSW-2'!AJ42+'VIC-2'!AJ42+'QLD-2'!AJ42+'SA-1'!AJ42+'WA-1'!AJ42+'IDC-NSW'!AJ42+'IDC-VIC'!AJ42</f>
        <v/>
      </c>
      <c r="AK42" s="9">
        <f>'NSW-1'!AK42+'VIC-1'!AK42+'QLD-1'!AK42+'NSW-2'!AK42+'VIC-2'!AK42+'QLD-2'!AK42+'SA-1'!AK42+'WA-1'!AK42+'IDC-NSW'!AK42+'IDC-VIC'!AK42</f>
        <v/>
      </c>
      <c r="AL42" s="30">
        <f>'NSW-1'!AL42+'VIC-1'!AL42+'QLD-1'!AL42+'NSW-2'!AL42+'VIC-2'!AL42+'QLD-2'!AL42+'SA-1'!AL42+'WA-1'!AL42+'IDC-NSW'!AL42+'IDC-VIC'!AL42</f>
        <v/>
      </c>
      <c r="AM42" s="30">
        <f>'NSW-1'!AM42+'VIC-1'!AM42+'QLD-1'!AM42+'NSW-2'!AM42+'VIC-2'!AM42+'QLD-2'!AM42+'SA-1'!AM42+'WA-1'!AM42+'IDC-NSW'!AM42+'IDC-VIC'!AM42</f>
        <v/>
      </c>
      <c r="AN42" s="30">
        <f>'NSW-1'!AN42+'VIC-1'!AN42+'QLD-1'!AN42+'NSW-2'!AN42+'VIC-2'!AN42+'QLD-2'!AN42+'SA-1'!AN42+'WA-1'!AN42+'IDC-NSW'!AN42+'IDC-VIC'!AN42</f>
        <v/>
      </c>
      <c r="AP42" s="15">
        <f>'NSW-1'!AP42+'VIC-1'!AP42+'QLD-1'!AP42+'NSW-2'!AP42+'VIC-2'!AP42+'QLD-2'!AP42+'SA-1'!AP42+'WA-1'!AP42+'IDC-NSW'!AP42+'IDC-VIC'!AP42</f>
        <v/>
      </c>
      <c r="AQ42" s="9">
        <f>'NSW-1'!AQ42+'VIC-1'!AQ42+'QLD-1'!AQ42+'NSW-2'!AQ42+'VIC-2'!AQ42+'QLD-2'!AQ42+'SA-1'!AQ42+'WA-1'!AQ42+'IDC-NSW'!AQ42+'IDC-VIC'!AQ42</f>
        <v/>
      </c>
      <c r="AR42" s="30">
        <f>'NSW-1'!AR42+'VIC-1'!AR42+'QLD-1'!AR42+'NSW-2'!AR42+'VIC-2'!AR42+'QLD-2'!AR42+'SA-1'!AR42+'WA-1'!AR42+'IDC-NSW'!AR42+'IDC-VIC'!AR42</f>
        <v/>
      </c>
      <c r="AS42" s="30">
        <f>'NSW-1'!AS42+'VIC-1'!AS42+'QLD-1'!AS42+'NSW-2'!AS42+'VIC-2'!AS42+'QLD-2'!AS42+'SA-1'!AS42+'WA-1'!AS42+'IDC-NSW'!AS42+'IDC-VIC'!AS42</f>
        <v/>
      </c>
      <c r="AT42" s="30">
        <f>'NSW-1'!AT42+'VIC-1'!AT42+'QLD-1'!AT42+'NSW-2'!AT42+'VIC-2'!AT42+'QLD-2'!AT42+'SA-1'!AT42+'WA-1'!AT42+'IDC-NSW'!AT42+'IDC-VIC'!AT42</f>
        <v/>
      </c>
      <c r="AV42" s="15">
        <f>'NSW-1'!AV42+'VIC-1'!AV42+'QLD-1'!AV42+'NSW-2'!AV42+'VIC-2'!AV42+'QLD-2'!AV42+'SA-1'!AV42+'WA-1'!AV42+'IDC-NSW'!AV42+'IDC-VIC'!AV42</f>
        <v/>
      </c>
      <c r="AW42" s="9">
        <f>'NSW-1'!AW42+'VIC-1'!AW42+'QLD-1'!AW42+'NSW-2'!AW42+'VIC-2'!AW42+'QLD-2'!AW42+'SA-1'!AW42+'WA-1'!AW42+'IDC-NSW'!AW42+'IDC-VIC'!AW42</f>
        <v/>
      </c>
      <c r="AX42" s="30">
        <f>'NSW-1'!AX42+'VIC-1'!AX42+'QLD-1'!AX42+'NSW-2'!AX42+'VIC-2'!AX42+'QLD-2'!AX42+'SA-1'!AX42+'WA-1'!AX42+'IDC-NSW'!AX42+'IDC-VIC'!AX42</f>
        <v/>
      </c>
      <c r="AY42" s="30">
        <f>'NSW-1'!AY42+'VIC-1'!AY42+'QLD-1'!AY42+'NSW-2'!AY42+'VIC-2'!AY42+'QLD-2'!AY42+'SA-1'!AY42+'WA-1'!AY42+'IDC-NSW'!AY42+'IDC-VIC'!AY42</f>
        <v/>
      </c>
      <c r="AZ42" s="30">
        <f>'NSW-1'!AZ42+'VIC-1'!AZ42+'QLD-1'!AZ42+'NSW-2'!AZ42+'VIC-2'!AZ42+'QLD-2'!AZ42+'SA-1'!AZ42+'WA-1'!AZ42+'IDC-NSW'!AZ42+'IDC-VIC'!AZ42</f>
        <v/>
      </c>
    </row>
    <row r="43">
      <c r="A43" s="8" t="n">
        <v>46508</v>
      </c>
      <c r="B43" s="33">
        <f>YEAR(A43)</f>
        <v/>
      </c>
      <c r="C43" s="33">
        <f>MONTH(A43)</f>
        <v/>
      </c>
      <c r="D43">
        <f>IF(A43&lt;=LastActual,"Actual","Forecast")</f>
        <v/>
      </c>
      <c r="E43" s="30">
        <f>'NSW-1'!E43+'VIC-1'!E43+'QLD-1'!E43+'NSW-2'!E43+'VIC-2'!E43+'QLD-2'!E43+'SA-1'!E43+'WA-1'!E43</f>
        <v/>
      </c>
      <c r="F43" s="15">
        <f>'NSW-1'!F43+'VIC-1'!F43+'QLD-1'!F43+'NSW-2'!F43+'VIC-2'!F43+'QLD-2'!F43+'SA-1'!F43+'WA-1'!F43+'IDC-NSW'!F43+'IDC-VIC'!F43</f>
        <v/>
      </c>
      <c r="G43" s="9">
        <f>'NSW-1'!G43+'VIC-1'!G43+'QLD-1'!G43+'NSW-2'!G43+'VIC-2'!G43+'QLD-2'!G43+'SA-1'!G43+'WA-1'!G43+'IDC-NSW'!G43+'IDC-VIC'!G43</f>
        <v/>
      </c>
      <c r="H43" s="30">
        <f>'NSW-1'!H43+'VIC-1'!H43+'QLD-1'!H43+'NSW-2'!H43+'VIC-2'!H43+'QLD-2'!H43+'SA-1'!H43+'WA-1'!H43+'IDC-NSW'!H43+'IDC-VIC'!H43</f>
        <v/>
      </c>
      <c r="I43" s="30">
        <f>'NSW-1'!I43+'VIC-1'!I43+'QLD-1'!I43+'NSW-2'!I43+'VIC-2'!I43+'QLD-2'!I43+'SA-1'!I43+'WA-1'!I43+'IDC-NSW'!I43+'IDC-VIC'!I43</f>
        <v/>
      </c>
      <c r="J43" s="30">
        <f>'NSW-1'!J43+'VIC-1'!J43+'QLD-1'!J43+'NSW-2'!J43+'VIC-2'!J43+'QLD-2'!J43+'SA-1'!J43+'WA-1'!J43+'IDC-NSW'!J43+'IDC-VIC'!J43</f>
        <v/>
      </c>
      <c r="K43" s="10">
        <f>IFERROR(F43/G43,0)</f>
        <v/>
      </c>
      <c r="L43" s="34">
        <f>IFERROR(H43/G43,0)</f>
        <v/>
      </c>
      <c r="M43" s="35">
        <f>IFERROR(J43/F43,0)</f>
        <v/>
      </c>
      <c r="N43" s="36">
        <f>IFERROR(J43/E43,0)</f>
        <v/>
      </c>
      <c r="O43" s="36">
        <f>IFERROR(I43/J43,0)</f>
        <v/>
      </c>
      <c r="R43">
        <f>Inputs!$A$45</f>
        <v/>
      </c>
      <c r="S43" s="36">
        <f>IFERROR(SUMIFS('IDC-VIC'!$J$15:$J$62,'IDC-VIC'!$B$15:$B$62,2025)/SUMIFS('IDC-VIC'!$E$15:$E$62,'IDC-VIC'!$B$15:$B$62,2025),0)</f>
        <v/>
      </c>
      <c r="T43" s="36">
        <f>IFERROR(SUMIFS('IDC-VIC'!$J$15:$J$62,'IDC-VIC'!$B$15:$B$62,2026)/SUMIFS('IDC-VIC'!$E$15:$E$62,'IDC-VIC'!$B$15:$B$62,2026),0)</f>
        <v/>
      </c>
      <c r="U43" s="36">
        <f>IFERROR(SUMIFS('IDC-VIC'!$J$15:$J$62,'IDC-VIC'!$B$15:$B$62,2027)/SUMIFS('IDC-VIC'!$E$15:$E$62,'IDC-VIC'!$B$15:$B$62,2027),0)</f>
        <v/>
      </c>
      <c r="V43" s="36">
        <f>IFERROR(SUMIFS('IDC-VIC'!$J$15:$J$62,'IDC-VIC'!$B$15:$B$62,2028)/SUMIFS('IDC-VIC'!$E$15:$E$62,'IDC-VIC'!$B$15:$B$62,2028),0)</f>
        <v/>
      </c>
      <c r="AJ43" s="15">
        <f>'NSW-1'!AJ43+'VIC-1'!AJ43+'QLD-1'!AJ43+'NSW-2'!AJ43+'VIC-2'!AJ43+'QLD-2'!AJ43+'SA-1'!AJ43+'WA-1'!AJ43+'IDC-NSW'!AJ43+'IDC-VIC'!AJ43</f>
        <v/>
      </c>
      <c r="AK43" s="9">
        <f>'NSW-1'!AK43+'VIC-1'!AK43+'QLD-1'!AK43+'NSW-2'!AK43+'VIC-2'!AK43+'QLD-2'!AK43+'SA-1'!AK43+'WA-1'!AK43+'IDC-NSW'!AK43+'IDC-VIC'!AK43</f>
        <v/>
      </c>
      <c r="AL43" s="30">
        <f>'NSW-1'!AL43+'VIC-1'!AL43+'QLD-1'!AL43+'NSW-2'!AL43+'VIC-2'!AL43+'QLD-2'!AL43+'SA-1'!AL43+'WA-1'!AL43+'IDC-NSW'!AL43+'IDC-VIC'!AL43</f>
        <v/>
      </c>
      <c r="AM43" s="30">
        <f>'NSW-1'!AM43+'VIC-1'!AM43+'QLD-1'!AM43+'NSW-2'!AM43+'VIC-2'!AM43+'QLD-2'!AM43+'SA-1'!AM43+'WA-1'!AM43+'IDC-NSW'!AM43+'IDC-VIC'!AM43</f>
        <v/>
      </c>
      <c r="AN43" s="30">
        <f>'NSW-1'!AN43+'VIC-1'!AN43+'QLD-1'!AN43+'NSW-2'!AN43+'VIC-2'!AN43+'QLD-2'!AN43+'SA-1'!AN43+'WA-1'!AN43+'IDC-NSW'!AN43+'IDC-VIC'!AN43</f>
        <v/>
      </c>
      <c r="AP43" s="15">
        <f>'NSW-1'!AP43+'VIC-1'!AP43+'QLD-1'!AP43+'NSW-2'!AP43+'VIC-2'!AP43+'QLD-2'!AP43+'SA-1'!AP43+'WA-1'!AP43+'IDC-NSW'!AP43+'IDC-VIC'!AP43</f>
        <v/>
      </c>
      <c r="AQ43" s="9">
        <f>'NSW-1'!AQ43+'VIC-1'!AQ43+'QLD-1'!AQ43+'NSW-2'!AQ43+'VIC-2'!AQ43+'QLD-2'!AQ43+'SA-1'!AQ43+'WA-1'!AQ43+'IDC-NSW'!AQ43+'IDC-VIC'!AQ43</f>
        <v/>
      </c>
      <c r="AR43" s="30">
        <f>'NSW-1'!AR43+'VIC-1'!AR43+'QLD-1'!AR43+'NSW-2'!AR43+'VIC-2'!AR43+'QLD-2'!AR43+'SA-1'!AR43+'WA-1'!AR43+'IDC-NSW'!AR43+'IDC-VIC'!AR43</f>
        <v/>
      </c>
      <c r="AS43" s="30">
        <f>'NSW-1'!AS43+'VIC-1'!AS43+'QLD-1'!AS43+'NSW-2'!AS43+'VIC-2'!AS43+'QLD-2'!AS43+'SA-1'!AS43+'WA-1'!AS43+'IDC-NSW'!AS43+'IDC-VIC'!AS43</f>
        <v/>
      </c>
      <c r="AT43" s="30">
        <f>'NSW-1'!AT43+'VIC-1'!AT43+'QLD-1'!AT43+'NSW-2'!AT43+'VIC-2'!AT43+'QLD-2'!AT43+'SA-1'!AT43+'WA-1'!AT43+'IDC-NSW'!AT43+'IDC-VIC'!AT43</f>
        <v/>
      </c>
      <c r="AV43" s="15">
        <f>'NSW-1'!AV43+'VIC-1'!AV43+'QLD-1'!AV43+'NSW-2'!AV43+'VIC-2'!AV43+'QLD-2'!AV43+'SA-1'!AV43+'WA-1'!AV43+'IDC-NSW'!AV43+'IDC-VIC'!AV43</f>
        <v/>
      </c>
      <c r="AW43" s="9">
        <f>'NSW-1'!AW43+'VIC-1'!AW43+'QLD-1'!AW43+'NSW-2'!AW43+'VIC-2'!AW43+'QLD-2'!AW43+'SA-1'!AW43+'WA-1'!AW43+'IDC-NSW'!AW43+'IDC-VIC'!AW43</f>
        <v/>
      </c>
      <c r="AX43" s="30">
        <f>'NSW-1'!AX43+'VIC-1'!AX43+'QLD-1'!AX43+'NSW-2'!AX43+'VIC-2'!AX43+'QLD-2'!AX43+'SA-1'!AX43+'WA-1'!AX43+'IDC-NSW'!AX43+'IDC-VIC'!AX43</f>
        <v/>
      </c>
      <c r="AY43" s="30">
        <f>'NSW-1'!AY43+'VIC-1'!AY43+'QLD-1'!AY43+'NSW-2'!AY43+'VIC-2'!AY43+'QLD-2'!AY43+'SA-1'!AY43+'WA-1'!AY43+'IDC-NSW'!AY43+'IDC-VIC'!AY43</f>
        <v/>
      </c>
      <c r="AZ43" s="30">
        <f>'NSW-1'!AZ43+'VIC-1'!AZ43+'QLD-1'!AZ43+'NSW-2'!AZ43+'VIC-2'!AZ43+'QLD-2'!AZ43+'SA-1'!AZ43+'WA-1'!AZ43+'IDC-NSW'!AZ43+'IDC-VIC'!AZ43</f>
        <v/>
      </c>
    </row>
    <row r="44">
      <c r="A44" s="8" t="n">
        <v>46539</v>
      </c>
      <c r="B44" s="33">
        <f>YEAR(A44)</f>
        <v/>
      </c>
      <c r="C44" s="33">
        <f>MONTH(A44)</f>
        <v/>
      </c>
      <c r="D44">
        <f>IF(A44&lt;=LastActual,"Actual","Forecast")</f>
        <v/>
      </c>
      <c r="E44" s="30">
        <f>'NSW-1'!E44+'VIC-1'!E44+'QLD-1'!E44+'NSW-2'!E44+'VIC-2'!E44+'QLD-2'!E44+'SA-1'!E44+'WA-1'!E44</f>
        <v/>
      </c>
      <c r="F44" s="15">
        <f>'NSW-1'!F44+'VIC-1'!F44+'QLD-1'!F44+'NSW-2'!F44+'VIC-2'!F44+'QLD-2'!F44+'SA-1'!F44+'WA-1'!F44+'IDC-NSW'!F44+'IDC-VIC'!F44</f>
        <v/>
      </c>
      <c r="G44" s="9">
        <f>'NSW-1'!G44+'VIC-1'!G44+'QLD-1'!G44+'NSW-2'!G44+'VIC-2'!G44+'QLD-2'!G44+'SA-1'!G44+'WA-1'!G44+'IDC-NSW'!G44+'IDC-VIC'!G44</f>
        <v/>
      </c>
      <c r="H44" s="30">
        <f>'NSW-1'!H44+'VIC-1'!H44+'QLD-1'!H44+'NSW-2'!H44+'VIC-2'!H44+'QLD-2'!H44+'SA-1'!H44+'WA-1'!H44+'IDC-NSW'!H44+'IDC-VIC'!H44</f>
        <v/>
      </c>
      <c r="I44" s="30">
        <f>'NSW-1'!I44+'VIC-1'!I44+'QLD-1'!I44+'NSW-2'!I44+'VIC-2'!I44+'QLD-2'!I44+'SA-1'!I44+'WA-1'!I44+'IDC-NSW'!I44+'IDC-VIC'!I44</f>
        <v/>
      </c>
      <c r="J44" s="30">
        <f>'NSW-1'!J44+'VIC-1'!J44+'QLD-1'!J44+'NSW-2'!J44+'VIC-2'!J44+'QLD-2'!J44+'SA-1'!J44+'WA-1'!J44+'IDC-NSW'!J44+'IDC-VIC'!J44</f>
        <v/>
      </c>
      <c r="K44" s="10">
        <f>IFERROR(F44/G44,0)</f>
        <v/>
      </c>
      <c r="L44" s="34">
        <f>IFERROR(H44/G44,0)</f>
        <v/>
      </c>
      <c r="M44" s="35">
        <f>IFERROR(J44/F44,0)</f>
        <v/>
      </c>
      <c r="N44" s="36">
        <f>IFERROR(J44/E44,0)</f>
        <v/>
      </c>
      <c r="O44" s="36">
        <f>IFERROR(I44/J44,0)</f>
        <v/>
      </c>
      <c r="AJ44" s="15">
        <f>'NSW-1'!AJ44+'VIC-1'!AJ44+'QLD-1'!AJ44+'NSW-2'!AJ44+'VIC-2'!AJ44+'QLD-2'!AJ44+'SA-1'!AJ44+'WA-1'!AJ44+'IDC-NSW'!AJ44+'IDC-VIC'!AJ44</f>
        <v/>
      </c>
      <c r="AK44" s="9">
        <f>'NSW-1'!AK44+'VIC-1'!AK44+'QLD-1'!AK44+'NSW-2'!AK44+'VIC-2'!AK44+'QLD-2'!AK44+'SA-1'!AK44+'WA-1'!AK44+'IDC-NSW'!AK44+'IDC-VIC'!AK44</f>
        <v/>
      </c>
      <c r="AL44" s="30">
        <f>'NSW-1'!AL44+'VIC-1'!AL44+'QLD-1'!AL44+'NSW-2'!AL44+'VIC-2'!AL44+'QLD-2'!AL44+'SA-1'!AL44+'WA-1'!AL44+'IDC-NSW'!AL44+'IDC-VIC'!AL44</f>
        <v/>
      </c>
      <c r="AM44" s="30">
        <f>'NSW-1'!AM44+'VIC-1'!AM44+'QLD-1'!AM44+'NSW-2'!AM44+'VIC-2'!AM44+'QLD-2'!AM44+'SA-1'!AM44+'WA-1'!AM44+'IDC-NSW'!AM44+'IDC-VIC'!AM44</f>
        <v/>
      </c>
      <c r="AN44" s="30">
        <f>'NSW-1'!AN44+'VIC-1'!AN44+'QLD-1'!AN44+'NSW-2'!AN44+'VIC-2'!AN44+'QLD-2'!AN44+'SA-1'!AN44+'WA-1'!AN44+'IDC-NSW'!AN44+'IDC-VIC'!AN44</f>
        <v/>
      </c>
      <c r="AP44" s="15">
        <f>'NSW-1'!AP44+'VIC-1'!AP44+'QLD-1'!AP44+'NSW-2'!AP44+'VIC-2'!AP44+'QLD-2'!AP44+'SA-1'!AP44+'WA-1'!AP44+'IDC-NSW'!AP44+'IDC-VIC'!AP44</f>
        <v/>
      </c>
      <c r="AQ44" s="9">
        <f>'NSW-1'!AQ44+'VIC-1'!AQ44+'QLD-1'!AQ44+'NSW-2'!AQ44+'VIC-2'!AQ44+'QLD-2'!AQ44+'SA-1'!AQ44+'WA-1'!AQ44+'IDC-NSW'!AQ44+'IDC-VIC'!AQ44</f>
        <v/>
      </c>
      <c r="AR44" s="30">
        <f>'NSW-1'!AR44+'VIC-1'!AR44+'QLD-1'!AR44+'NSW-2'!AR44+'VIC-2'!AR44+'QLD-2'!AR44+'SA-1'!AR44+'WA-1'!AR44+'IDC-NSW'!AR44+'IDC-VIC'!AR44</f>
        <v/>
      </c>
      <c r="AS44" s="30">
        <f>'NSW-1'!AS44+'VIC-1'!AS44+'QLD-1'!AS44+'NSW-2'!AS44+'VIC-2'!AS44+'QLD-2'!AS44+'SA-1'!AS44+'WA-1'!AS44+'IDC-NSW'!AS44+'IDC-VIC'!AS44</f>
        <v/>
      </c>
      <c r="AT44" s="30">
        <f>'NSW-1'!AT44+'VIC-1'!AT44+'QLD-1'!AT44+'NSW-2'!AT44+'VIC-2'!AT44+'QLD-2'!AT44+'SA-1'!AT44+'WA-1'!AT44+'IDC-NSW'!AT44+'IDC-VIC'!AT44</f>
        <v/>
      </c>
      <c r="AV44" s="15">
        <f>'NSW-1'!AV44+'VIC-1'!AV44+'QLD-1'!AV44+'NSW-2'!AV44+'VIC-2'!AV44+'QLD-2'!AV44+'SA-1'!AV44+'WA-1'!AV44+'IDC-NSW'!AV44+'IDC-VIC'!AV44</f>
        <v/>
      </c>
      <c r="AW44" s="9">
        <f>'NSW-1'!AW44+'VIC-1'!AW44+'QLD-1'!AW44+'NSW-2'!AW44+'VIC-2'!AW44+'QLD-2'!AW44+'SA-1'!AW44+'WA-1'!AW44+'IDC-NSW'!AW44+'IDC-VIC'!AW44</f>
        <v/>
      </c>
      <c r="AX44" s="30">
        <f>'NSW-1'!AX44+'VIC-1'!AX44+'QLD-1'!AX44+'NSW-2'!AX44+'VIC-2'!AX44+'QLD-2'!AX44+'SA-1'!AX44+'WA-1'!AX44+'IDC-NSW'!AX44+'IDC-VIC'!AX44</f>
        <v/>
      </c>
      <c r="AY44" s="30">
        <f>'NSW-1'!AY44+'VIC-1'!AY44+'QLD-1'!AY44+'NSW-2'!AY44+'VIC-2'!AY44+'QLD-2'!AY44+'SA-1'!AY44+'WA-1'!AY44+'IDC-NSW'!AY44+'IDC-VIC'!AY44</f>
        <v/>
      </c>
      <c r="AZ44" s="30">
        <f>'NSW-1'!AZ44+'VIC-1'!AZ44+'QLD-1'!AZ44+'NSW-2'!AZ44+'VIC-2'!AZ44+'QLD-2'!AZ44+'SA-1'!AZ44+'WA-1'!AZ44+'IDC-NSW'!AZ44+'IDC-VIC'!AZ44</f>
        <v/>
      </c>
    </row>
    <row r="45">
      <c r="A45" s="8" t="n">
        <v>46569</v>
      </c>
      <c r="B45" s="33">
        <f>YEAR(A45)</f>
        <v/>
      </c>
      <c r="C45" s="33">
        <f>MONTH(A45)</f>
        <v/>
      </c>
      <c r="D45">
        <f>IF(A45&lt;=LastActual,"Actual","Forecast")</f>
        <v/>
      </c>
      <c r="E45" s="30">
        <f>'NSW-1'!E45+'VIC-1'!E45+'QLD-1'!E45+'NSW-2'!E45+'VIC-2'!E45+'QLD-2'!E45+'SA-1'!E45+'WA-1'!E45</f>
        <v/>
      </c>
      <c r="F45" s="15">
        <f>'NSW-1'!F45+'VIC-1'!F45+'QLD-1'!F45+'NSW-2'!F45+'VIC-2'!F45+'QLD-2'!F45+'SA-1'!F45+'WA-1'!F45+'IDC-NSW'!F45+'IDC-VIC'!F45</f>
        <v/>
      </c>
      <c r="G45" s="9">
        <f>'NSW-1'!G45+'VIC-1'!G45+'QLD-1'!G45+'NSW-2'!G45+'VIC-2'!G45+'QLD-2'!G45+'SA-1'!G45+'WA-1'!G45+'IDC-NSW'!G45+'IDC-VIC'!G45</f>
        <v/>
      </c>
      <c r="H45" s="30">
        <f>'NSW-1'!H45+'VIC-1'!H45+'QLD-1'!H45+'NSW-2'!H45+'VIC-2'!H45+'QLD-2'!H45+'SA-1'!H45+'WA-1'!H45+'IDC-NSW'!H45+'IDC-VIC'!H45</f>
        <v/>
      </c>
      <c r="I45" s="30">
        <f>'NSW-1'!I45+'VIC-1'!I45+'QLD-1'!I45+'NSW-2'!I45+'VIC-2'!I45+'QLD-2'!I45+'SA-1'!I45+'WA-1'!I45+'IDC-NSW'!I45+'IDC-VIC'!I45</f>
        <v/>
      </c>
      <c r="J45" s="30">
        <f>'NSW-1'!J45+'VIC-1'!J45+'QLD-1'!J45+'NSW-2'!J45+'VIC-2'!J45+'QLD-2'!J45+'SA-1'!J45+'WA-1'!J45+'IDC-NSW'!J45+'IDC-VIC'!J45</f>
        <v/>
      </c>
      <c r="K45" s="10">
        <f>IFERROR(F45/G45,0)</f>
        <v/>
      </c>
      <c r="L45" s="34">
        <f>IFERROR(H45/G45,0)</f>
        <v/>
      </c>
      <c r="M45" s="35">
        <f>IFERROR(J45/F45,0)</f>
        <v/>
      </c>
      <c r="N45" s="36">
        <f>IFERROR(J45/E45,0)</f>
        <v/>
      </c>
      <c r="O45" s="36">
        <f>IFERROR(I45/J45,0)</f>
        <v/>
      </c>
      <c r="AJ45" s="15">
        <f>'NSW-1'!AJ45+'VIC-1'!AJ45+'QLD-1'!AJ45+'NSW-2'!AJ45+'VIC-2'!AJ45+'QLD-2'!AJ45+'SA-1'!AJ45+'WA-1'!AJ45+'IDC-NSW'!AJ45+'IDC-VIC'!AJ45</f>
        <v/>
      </c>
      <c r="AK45" s="9">
        <f>'NSW-1'!AK45+'VIC-1'!AK45+'QLD-1'!AK45+'NSW-2'!AK45+'VIC-2'!AK45+'QLD-2'!AK45+'SA-1'!AK45+'WA-1'!AK45+'IDC-NSW'!AK45+'IDC-VIC'!AK45</f>
        <v/>
      </c>
      <c r="AL45" s="30">
        <f>'NSW-1'!AL45+'VIC-1'!AL45+'QLD-1'!AL45+'NSW-2'!AL45+'VIC-2'!AL45+'QLD-2'!AL45+'SA-1'!AL45+'WA-1'!AL45+'IDC-NSW'!AL45+'IDC-VIC'!AL45</f>
        <v/>
      </c>
      <c r="AM45" s="30">
        <f>'NSW-1'!AM45+'VIC-1'!AM45+'QLD-1'!AM45+'NSW-2'!AM45+'VIC-2'!AM45+'QLD-2'!AM45+'SA-1'!AM45+'WA-1'!AM45+'IDC-NSW'!AM45+'IDC-VIC'!AM45</f>
        <v/>
      </c>
      <c r="AN45" s="30">
        <f>'NSW-1'!AN45+'VIC-1'!AN45+'QLD-1'!AN45+'NSW-2'!AN45+'VIC-2'!AN45+'QLD-2'!AN45+'SA-1'!AN45+'WA-1'!AN45+'IDC-NSW'!AN45+'IDC-VIC'!AN45</f>
        <v/>
      </c>
      <c r="AP45" s="15">
        <f>'NSW-1'!AP45+'VIC-1'!AP45+'QLD-1'!AP45+'NSW-2'!AP45+'VIC-2'!AP45+'QLD-2'!AP45+'SA-1'!AP45+'WA-1'!AP45+'IDC-NSW'!AP45+'IDC-VIC'!AP45</f>
        <v/>
      </c>
      <c r="AQ45" s="9">
        <f>'NSW-1'!AQ45+'VIC-1'!AQ45+'QLD-1'!AQ45+'NSW-2'!AQ45+'VIC-2'!AQ45+'QLD-2'!AQ45+'SA-1'!AQ45+'WA-1'!AQ45+'IDC-NSW'!AQ45+'IDC-VIC'!AQ45</f>
        <v/>
      </c>
      <c r="AR45" s="30">
        <f>'NSW-1'!AR45+'VIC-1'!AR45+'QLD-1'!AR45+'NSW-2'!AR45+'VIC-2'!AR45+'QLD-2'!AR45+'SA-1'!AR45+'WA-1'!AR45+'IDC-NSW'!AR45+'IDC-VIC'!AR45</f>
        <v/>
      </c>
      <c r="AS45" s="30">
        <f>'NSW-1'!AS45+'VIC-1'!AS45+'QLD-1'!AS45+'NSW-2'!AS45+'VIC-2'!AS45+'QLD-2'!AS45+'SA-1'!AS45+'WA-1'!AS45+'IDC-NSW'!AS45+'IDC-VIC'!AS45</f>
        <v/>
      </c>
      <c r="AT45" s="30">
        <f>'NSW-1'!AT45+'VIC-1'!AT45+'QLD-1'!AT45+'NSW-2'!AT45+'VIC-2'!AT45+'QLD-2'!AT45+'SA-1'!AT45+'WA-1'!AT45+'IDC-NSW'!AT45+'IDC-VIC'!AT45</f>
        <v/>
      </c>
      <c r="AV45" s="15">
        <f>'NSW-1'!AV45+'VIC-1'!AV45+'QLD-1'!AV45+'NSW-2'!AV45+'VIC-2'!AV45+'QLD-2'!AV45+'SA-1'!AV45+'WA-1'!AV45+'IDC-NSW'!AV45+'IDC-VIC'!AV45</f>
        <v/>
      </c>
      <c r="AW45" s="9">
        <f>'NSW-1'!AW45+'VIC-1'!AW45+'QLD-1'!AW45+'NSW-2'!AW45+'VIC-2'!AW45+'QLD-2'!AW45+'SA-1'!AW45+'WA-1'!AW45+'IDC-NSW'!AW45+'IDC-VIC'!AW45</f>
        <v/>
      </c>
      <c r="AX45" s="30">
        <f>'NSW-1'!AX45+'VIC-1'!AX45+'QLD-1'!AX45+'NSW-2'!AX45+'VIC-2'!AX45+'QLD-2'!AX45+'SA-1'!AX45+'WA-1'!AX45+'IDC-NSW'!AX45+'IDC-VIC'!AX45</f>
        <v/>
      </c>
      <c r="AY45" s="30">
        <f>'NSW-1'!AY45+'VIC-1'!AY45+'QLD-1'!AY45+'NSW-2'!AY45+'VIC-2'!AY45+'QLD-2'!AY45+'SA-1'!AY45+'WA-1'!AY45+'IDC-NSW'!AY45+'IDC-VIC'!AY45</f>
        <v/>
      </c>
      <c r="AZ45" s="30">
        <f>'NSW-1'!AZ45+'VIC-1'!AZ45+'QLD-1'!AZ45+'NSW-2'!AZ45+'VIC-2'!AZ45+'QLD-2'!AZ45+'SA-1'!AZ45+'WA-1'!AZ45+'IDC-NSW'!AZ45+'IDC-VIC'!AZ45</f>
        <v/>
      </c>
    </row>
    <row r="46">
      <c r="A46" s="8" t="n">
        <v>46600</v>
      </c>
      <c r="B46" s="33">
        <f>YEAR(A46)</f>
        <v/>
      </c>
      <c r="C46" s="33">
        <f>MONTH(A46)</f>
        <v/>
      </c>
      <c r="D46">
        <f>IF(A46&lt;=LastActual,"Actual","Forecast")</f>
        <v/>
      </c>
      <c r="E46" s="30">
        <f>'NSW-1'!E46+'VIC-1'!E46+'QLD-1'!E46+'NSW-2'!E46+'VIC-2'!E46+'QLD-2'!E46+'SA-1'!E46+'WA-1'!E46</f>
        <v/>
      </c>
      <c r="F46" s="15">
        <f>'NSW-1'!F46+'VIC-1'!F46+'QLD-1'!F46+'NSW-2'!F46+'VIC-2'!F46+'QLD-2'!F46+'SA-1'!F46+'WA-1'!F46+'IDC-NSW'!F46+'IDC-VIC'!F46</f>
        <v/>
      </c>
      <c r="G46" s="9">
        <f>'NSW-1'!G46+'VIC-1'!G46+'QLD-1'!G46+'NSW-2'!G46+'VIC-2'!G46+'QLD-2'!G46+'SA-1'!G46+'WA-1'!G46+'IDC-NSW'!G46+'IDC-VIC'!G46</f>
        <v/>
      </c>
      <c r="H46" s="30">
        <f>'NSW-1'!H46+'VIC-1'!H46+'QLD-1'!H46+'NSW-2'!H46+'VIC-2'!H46+'QLD-2'!H46+'SA-1'!H46+'WA-1'!H46+'IDC-NSW'!H46+'IDC-VIC'!H46</f>
        <v/>
      </c>
      <c r="I46" s="30">
        <f>'NSW-1'!I46+'VIC-1'!I46+'QLD-1'!I46+'NSW-2'!I46+'VIC-2'!I46+'QLD-2'!I46+'SA-1'!I46+'WA-1'!I46+'IDC-NSW'!I46+'IDC-VIC'!I46</f>
        <v/>
      </c>
      <c r="J46" s="30">
        <f>'NSW-1'!J46+'VIC-1'!J46+'QLD-1'!J46+'NSW-2'!J46+'VIC-2'!J46+'QLD-2'!J46+'SA-1'!J46+'WA-1'!J46+'IDC-NSW'!J46+'IDC-VIC'!J46</f>
        <v/>
      </c>
      <c r="K46" s="10">
        <f>IFERROR(F46/G46,0)</f>
        <v/>
      </c>
      <c r="L46" s="34">
        <f>IFERROR(H46/G46,0)</f>
        <v/>
      </c>
      <c r="M46" s="35">
        <f>IFERROR(J46/F46,0)</f>
        <v/>
      </c>
      <c r="N46" s="36">
        <f>IFERROR(J46/E46,0)</f>
        <v/>
      </c>
      <c r="O46" s="36">
        <f>IFERROR(I46/J46,0)</f>
        <v/>
      </c>
      <c r="R46" s="1" t="inlineStr">
        <is>
          <t>CPLH (cases / hr)</t>
        </is>
      </c>
      <c r="AJ46" s="15">
        <f>'NSW-1'!AJ46+'VIC-1'!AJ46+'QLD-1'!AJ46+'NSW-2'!AJ46+'VIC-2'!AJ46+'QLD-2'!AJ46+'SA-1'!AJ46+'WA-1'!AJ46+'IDC-NSW'!AJ46+'IDC-VIC'!AJ46</f>
        <v/>
      </c>
      <c r="AK46" s="9">
        <f>'NSW-1'!AK46+'VIC-1'!AK46+'QLD-1'!AK46+'NSW-2'!AK46+'VIC-2'!AK46+'QLD-2'!AK46+'SA-1'!AK46+'WA-1'!AK46+'IDC-NSW'!AK46+'IDC-VIC'!AK46</f>
        <v/>
      </c>
      <c r="AL46" s="30">
        <f>'NSW-1'!AL46+'VIC-1'!AL46+'QLD-1'!AL46+'NSW-2'!AL46+'VIC-2'!AL46+'QLD-2'!AL46+'SA-1'!AL46+'WA-1'!AL46+'IDC-NSW'!AL46+'IDC-VIC'!AL46</f>
        <v/>
      </c>
      <c r="AM46" s="30">
        <f>'NSW-1'!AM46+'VIC-1'!AM46+'QLD-1'!AM46+'NSW-2'!AM46+'VIC-2'!AM46+'QLD-2'!AM46+'SA-1'!AM46+'WA-1'!AM46+'IDC-NSW'!AM46+'IDC-VIC'!AM46</f>
        <v/>
      </c>
      <c r="AN46" s="30">
        <f>'NSW-1'!AN46+'VIC-1'!AN46+'QLD-1'!AN46+'NSW-2'!AN46+'VIC-2'!AN46+'QLD-2'!AN46+'SA-1'!AN46+'WA-1'!AN46+'IDC-NSW'!AN46+'IDC-VIC'!AN46</f>
        <v/>
      </c>
      <c r="AP46" s="15">
        <f>'NSW-1'!AP46+'VIC-1'!AP46+'QLD-1'!AP46+'NSW-2'!AP46+'VIC-2'!AP46+'QLD-2'!AP46+'SA-1'!AP46+'WA-1'!AP46+'IDC-NSW'!AP46+'IDC-VIC'!AP46</f>
        <v/>
      </c>
      <c r="AQ46" s="9">
        <f>'NSW-1'!AQ46+'VIC-1'!AQ46+'QLD-1'!AQ46+'NSW-2'!AQ46+'VIC-2'!AQ46+'QLD-2'!AQ46+'SA-1'!AQ46+'WA-1'!AQ46+'IDC-NSW'!AQ46+'IDC-VIC'!AQ46</f>
        <v/>
      </c>
      <c r="AR46" s="30">
        <f>'NSW-1'!AR46+'VIC-1'!AR46+'QLD-1'!AR46+'NSW-2'!AR46+'VIC-2'!AR46+'QLD-2'!AR46+'SA-1'!AR46+'WA-1'!AR46+'IDC-NSW'!AR46+'IDC-VIC'!AR46</f>
        <v/>
      </c>
      <c r="AS46" s="30">
        <f>'NSW-1'!AS46+'VIC-1'!AS46+'QLD-1'!AS46+'NSW-2'!AS46+'VIC-2'!AS46+'QLD-2'!AS46+'SA-1'!AS46+'WA-1'!AS46+'IDC-NSW'!AS46+'IDC-VIC'!AS46</f>
        <v/>
      </c>
      <c r="AT46" s="30">
        <f>'NSW-1'!AT46+'VIC-1'!AT46+'QLD-1'!AT46+'NSW-2'!AT46+'VIC-2'!AT46+'QLD-2'!AT46+'SA-1'!AT46+'WA-1'!AT46+'IDC-NSW'!AT46+'IDC-VIC'!AT46</f>
        <v/>
      </c>
      <c r="AV46" s="15">
        <f>'NSW-1'!AV46+'VIC-1'!AV46+'QLD-1'!AV46+'NSW-2'!AV46+'VIC-2'!AV46+'QLD-2'!AV46+'SA-1'!AV46+'WA-1'!AV46+'IDC-NSW'!AV46+'IDC-VIC'!AV46</f>
        <v/>
      </c>
      <c r="AW46" s="9">
        <f>'NSW-1'!AW46+'VIC-1'!AW46+'QLD-1'!AW46+'NSW-2'!AW46+'VIC-2'!AW46+'QLD-2'!AW46+'SA-1'!AW46+'WA-1'!AW46+'IDC-NSW'!AW46+'IDC-VIC'!AW46</f>
        <v/>
      </c>
      <c r="AX46" s="30">
        <f>'NSW-1'!AX46+'VIC-1'!AX46+'QLD-1'!AX46+'NSW-2'!AX46+'VIC-2'!AX46+'QLD-2'!AX46+'SA-1'!AX46+'WA-1'!AX46+'IDC-NSW'!AX46+'IDC-VIC'!AX46</f>
        <v/>
      </c>
      <c r="AY46" s="30">
        <f>'NSW-1'!AY46+'VIC-1'!AY46+'QLD-1'!AY46+'NSW-2'!AY46+'VIC-2'!AY46+'QLD-2'!AY46+'SA-1'!AY46+'WA-1'!AY46+'IDC-NSW'!AY46+'IDC-VIC'!AY46</f>
        <v/>
      </c>
      <c r="AZ46" s="30">
        <f>'NSW-1'!AZ46+'VIC-1'!AZ46+'QLD-1'!AZ46+'NSW-2'!AZ46+'VIC-2'!AZ46+'QLD-2'!AZ46+'SA-1'!AZ46+'WA-1'!AZ46+'IDC-NSW'!AZ46+'IDC-VIC'!AZ46</f>
        <v/>
      </c>
    </row>
    <row r="47">
      <c r="A47" s="8" t="n">
        <v>46631</v>
      </c>
      <c r="B47" s="33">
        <f>YEAR(A47)</f>
        <v/>
      </c>
      <c r="C47" s="33">
        <f>MONTH(A47)</f>
        <v/>
      </c>
      <c r="D47">
        <f>IF(A47&lt;=LastActual,"Actual","Forecast")</f>
        <v/>
      </c>
      <c r="E47" s="30">
        <f>'NSW-1'!E47+'VIC-1'!E47+'QLD-1'!E47+'NSW-2'!E47+'VIC-2'!E47+'QLD-2'!E47+'SA-1'!E47+'WA-1'!E47</f>
        <v/>
      </c>
      <c r="F47" s="15">
        <f>'NSW-1'!F47+'VIC-1'!F47+'QLD-1'!F47+'NSW-2'!F47+'VIC-2'!F47+'QLD-2'!F47+'SA-1'!F47+'WA-1'!F47+'IDC-NSW'!F47+'IDC-VIC'!F47</f>
        <v/>
      </c>
      <c r="G47" s="9">
        <f>'NSW-1'!G47+'VIC-1'!G47+'QLD-1'!G47+'NSW-2'!G47+'VIC-2'!G47+'QLD-2'!G47+'SA-1'!G47+'WA-1'!G47+'IDC-NSW'!G47+'IDC-VIC'!G47</f>
        <v/>
      </c>
      <c r="H47" s="30">
        <f>'NSW-1'!H47+'VIC-1'!H47+'QLD-1'!H47+'NSW-2'!H47+'VIC-2'!H47+'QLD-2'!H47+'SA-1'!H47+'WA-1'!H47+'IDC-NSW'!H47+'IDC-VIC'!H47</f>
        <v/>
      </c>
      <c r="I47" s="30">
        <f>'NSW-1'!I47+'VIC-1'!I47+'QLD-1'!I47+'NSW-2'!I47+'VIC-2'!I47+'QLD-2'!I47+'SA-1'!I47+'WA-1'!I47+'IDC-NSW'!I47+'IDC-VIC'!I47</f>
        <v/>
      </c>
      <c r="J47" s="30">
        <f>'NSW-1'!J47+'VIC-1'!J47+'QLD-1'!J47+'NSW-2'!J47+'VIC-2'!J47+'QLD-2'!J47+'SA-1'!J47+'WA-1'!J47+'IDC-NSW'!J47+'IDC-VIC'!J47</f>
        <v/>
      </c>
      <c r="K47" s="10">
        <f>IFERROR(F47/G47,0)</f>
        <v/>
      </c>
      <c r="L47" s="34">
        <f>IFERROR(H47/G47,0)</f>
        <v/>
      </c>
      <c r="M47" s="35">
        <f>IFERROR(J47/F47,0)</f>
        <v/>
      </c>
      <c r="N47" s="36">
        <f>IFERROR(J47/E47,0)</f>
        <v/>
      </c>
      <c r="O47" s="36">
        <f>IFERROR(I47/J47,0)</f>
        <v/>
      </c>
      <c r="R47" s="7" t="inlineStr">
        <is>
          <t>Site</t>
        </is>
      </c>
      <c r="S47" s="7" t="inlineStr">
        <is>
          <t>FY2025</t>
        </is>
      </c>
      <c r="T47" s="7" t="inlineStr">
        <is>
          <t>FY2026</t>
        </is>
      </c>
      <c r="U47" s="7" t="inlineStr">
        <is>
          <t>FY2027</t>
        </is>
      </c>
      <c r="V47" s="7" t="inlineStr">
        <is>
          <t>FY2028</t>
        </is>
      </c>
      <c r="AJ47" s="15">
        <f>'NSW-1'!AJ47+'VIC-1'!AJ47+'QLD-1'!AJ47+'NSW-2'!AJ47+'VIC-2'!AJ47+'QLD-2'!AJ47+'SA-1'!AJ47+'WA-1'!AJ47+'IDC-NSW'!AJ47+'IDC-VIC'!AJ47</f>
        <v/>
      </c>
      <c r="AK47" s="9">
        <f>'NSW-1'!AK47+'VIC-1'!AK47+'QLD-1'!AK47+'NSW-2'!AK47+'VIC-2'!AK47+'QLD-2'!AK47+'SA-1'!AK47+'WA-1'!AK47+'IDC-NSW'!AK47+'IDC-VIC'!AK47</f>
        <v/>
      </c>
      <c r="AL47" s="30">
        <f>'NSW-1'!AL47+'VIC-1'!AL47+'QLD-1'!AL47+'NSW-2'!AL47+'VIC-2'!AL47+'QLD-2'!AL47+'SA-1'!AL47+'WA-1'!AL47+'IDC-NSW'!AL47+'IDC-VIC'!AL47</f>
        <v/>
      </c>
      <c r="AM47" s="30">
        <f>'NSW-1'!AM47+'VIC-1'!AM47+'QLD-1'!AM47+'NSW-2'!AM47+'VIC-2'!AM47+'QLD-2'!AM47+'SA-1'!AM47+'WA-1'!AM47+'IDC-NSW'!AM47+'IDC-VIC'!AM47</f>
        <v/>
      </c>
      <c r="AN47" s="30">
        <f>'NSW-1'!AN47+'VIC-1'!AN47+'QLD-1'!AN47+'NSW-2'!AN47+'VIC-2'!AN47+'QLD-2'!AN47+'SA-1'!AN47+'WA-1'!AN47+'IDC-NSW'!AN47+'IDC-VIC'!AN47</f>
        <v/>
      </c>
      <c r="AP47" s="15">
        <f>'NSW-1'!AP47+'VIC-1'!AP47+'QLD-1'!AP47+'NSW-2'!AP47+'VIC-2'!AP47+'QLD-2'!AP47+'SA-1'!AP47+'WA-1'!AP47+'IDC-NSW'!AP47+'IDC-VIC'!AP47</f>
        <v/>
      </c>
      <c r="AQ47" s="9">
        <f>'NSW-1'!AQ47+'VIC-1'!AQ47+'QLD-1'!AQ47+'NSW-2'!AQ47+'VIC-2'!AQ47+'QLD-2'!AQ47+'SA-1'!AQ47+'WA-1'!AQ47+'IDC-NSW'!AQ47+'IDC-VIC'!AQ47</f>
        <v/>
      </c>
      <c r="AR47" s="30">
        <f>'NSW-1'!AR47+'VIC-1'!AR47+'QLD-1'!AR47+'NSW-2'!AR47+'VIC-2'!AR47+'QLD-2'!AR47+'SA-1'!AR47+'WA-1'!AR47+'IDC-NSW'!AR47+'IDC-VIC'!AR47</f>
        <v/>
      </c>
      <c r="AS47" s="30">
        <f>'NSW-1'!AS47+'VIC-1'!AS47+'QLD-1'!AS47+'NSW-2'!AS47+'VIC-2'!AS47+'QLD-2'!AS47+'SA-1'!AS47+'WA-1'!AS47+'IDC-NSW'!AS47+'IDC-VIC'!AS47</f>
        <v/>
      </c>
      <c r="AT47" s="30">
        <f>'NSW-1'!AT47+'VIC-1'!AT47+'QLD-1'!AT47+'NSW-2'!AT47+'VIC-2'!AT47+'QLD-2'!AT47+'SA-1'!AT47+'WA-1'!AT47+'IDC-NSW'!AT47+'IDC-VIC'!AT47</f>
        <v/>
      </c>
      <c r="AV47" s="15">
        <f>'NSW-1'!AV47+'VIC-1'!AV47+'QLD-1'!AV47+'NSW-2'!AV47+'VIC-2'!AV47+'QLD-2'!AV47+'SA-1'!AV47+'WA-1'!AV47+'IDC-NSW'!AV47+'IDC-VIC'!AV47</f>
        <v/>
      </c>
      <c r="AW47" s="9">
        <f>'NSW-1'!AW47+'VIC-1'!AW47+'QLD-1'!AW47+'NSW-2'!AW47+'VIC-2'!AW47+'QLD-2'!AW47+'SA-1'!AW47+'WA-1'!AW47+'IDC-NSW'!AW47+'IDC-VIC'!AW47</f>
        <v/>
      </c>
      <c r="AX47" s="30">
        <f>'NSW-1'!AX47+'VIC-1'!AX47+'QLD-1'!AX47+'NSW-2'!AX47+'VIC-2'!AX47+'QLD-2'!AX47+'SA-1'!AX47+'WA-1'!AX47+'IDC-NSW'!AX47+'IDC-VIC'!AX47</f>
        <v/>
      </c>
      <c r="AY47" s="30">
        <f>'NSW-1'!AY47+'VIC-1'!AY47+'QLD-1'!AY47+'NSW-2'!AY47+'VIC-2'!AY47+'QLD-2'!AY47+'SA-1'!AY47+'WA-1'!AY47+'IDC-NSW'!AY47+'IDC-VIC'!AY47</f>
        <v/>
      </c>
      <c r="AZ47" s="30">
        <f>'NSW-1'!AZ47+'VIC-1'!AZ47+'QLD-1'!AZ47+'NSW-2'!AZ47+'VIC-2'!AZ47+'QLD-2'!AZ47+'SA-1'!AZ47+'WA-1'!AZ47+'IDC-NSW'!AZ47+'IDC-VIC'!AZ47</f>
        <v/>
      </c>
    </row>
    <row r="48">
      <c r="A48" s="8" t="n">
        <v>46661</v>
      </c>
      <c r="B48" s="33">
        <f>YEAR(A48)</f>
        <v/>
      </c>
      <c r="C48" s="33">
        <f>MONTH(A48)</f>
        <v/>
      </c>
      <c r="D48">
        <f>IF(A48&lt;=LastActual,"Actual","Forecast")</f>
        <v/>
      </c>
      <c r="E48" s="30">
        <f>'NSW-1'!E48+'VIC-1'!E48+'QLD-1'!E48+'NSW-2'!E48+'VIC-2'!E48+'QLD-2'!E48+'SA-1'!E48+'WA-1'!E48</f>
        <v/>
      </c>
      <c r="F48" s="15">
        <f>'NSW-1'!F48+'VIC-1'!F48+'QLD-1'!F48+'NSW-2'!F48+'VIC-2'!F48+'QLD-2'!F48+'SA-1'!F48+'WA-1'!F48+'IDC-NSW'!F48+'IDC-VIC'!F48</f>
        <v/>
      </c>
      <c r="G48" s="9">
        <f>'NSW-1'!G48+'VIC-1'!G48+'QLD-1'!G48+'NSW-2'!G48+'VIC-2'!G48+'QLD-2'!G48+'SA-1'!G48+'WA-1'!G48+'IDC-NSW'!G48+'IDC-VIC'!G48</f>
        <v/>
      </c>
      <c r="H48" s="30">
        <f>'NSW-1'!H48+'VIC-1'!H48+'QLD-1'!H48+'NSW-2'!H48+'VIC-2'!H48+'QLD-2'!H48+'SA-1'!H48+'WA-1'!H48+'IDC-NSW'!H48+'IDC-VIC'!H48</f>
        <v/>
      </c>
      <c r="I48" s="30">
        <f>'NSW-1'!I48+'VIC-1'!I48+'QLD-1'!I48+'NSW-2'!I48+'VIC-2'!I48+'QLD-2'!I48+'SA-1'!I48+'WA-1'!I48+'IDC-NSW'!I48+'IDC-VIC'!I48</f>
        <v/>
      </c>
      <c r="J48" s="30">
        <f>'NSW-1'!J48+'VIC-1'!J48+'QLD-1'!J48+'NSW-2'!J48+'VIC-2'!J48+'QLD-2'!J48+'SA-1'!J48+'WA-1'!J48+'IDC-NSW'!J48+'IDC-VIC'!J48</f>
        <v/>
      </c>
      <c r="K48" s="10">
        <f>IFERROR(F48/G48,0)</f>
        <v/>
      </c>
      <c r="L48" s="34">
        <f>IFERROR(H48/G48,0)</f>
        <v/>
      </c>
      <c r="M48" s="35">
        <f>IFERROR(J48/F48,0)</f>
        <v/>
      </c>
      <c r="N48" s="36">
        <f>IFERROR(J48/E48,0)</f>
        <v/>
      </c>
      <c r="O48" s="36">
        <f>IFERROR(I48/J48,0)</f>
        <v/>
      </c>
      <c r="R48">
        <f>Inputs!$A$36</f>
        <v/>
      </c>
      <c r="S48" s="10">
        <f>IFERROR(SUMIFS('NSW-1'!$F$15:$F$62,'NSW-1'!$B$15:$B$62,2025)/SUMIFS('NSW-1'!$G$15:$G$62,'NSW-1'!$B$15:$B$62,2025),0)</f>
        <v/>
      </c>
      <c r="T48" s="10">
        <f>IFERROR(SUMIFS('NSW-1'!$F$15:$F$62,'NSW-1'!$B$15:$B$62,2026)/SUMIFS('NSW-1'!$G$15:$G$62,'NSW-1'!$B$15:$B$62,2026),0)</f>
        <v/>
      </c>
      <c r="U48" s="10">
        <f>IFERROR(SUMIFS('NSW-1'!$F$15:$F$62,'NSW-1'!$B$15:$B$62,2027)/SUMIFS('NSW-1'!$G$15:$G$62,'NSW-1'!$B$15:$B$62,2027),0)</f>
        <v/>
      </c>
      <c r="V48" s="10">
        <f>IFERROR(SUMIFS('NSW-1'!$F$15:$F$62,'NSW-1'!$B$15:$B$62,2028)/SUMIFS('NSW-1'!$G$15:$G$62,'NSW-1'!$B$15:$B$62,2028),0)</f>
        <v/>
      </c>
      <c r="AJ48" s="15">
        <f>'NSW-1'!AJ48+'VIC-1'!AJ48+'QLD-1'!AJ48+'NSW-2'!AJ48+'VIC-2'!AJ48+'QLD-2'!AJ48+'SA-1'!AJ48+'WA-1'!AJ48+'IDC-NSW'!AJ48+'IDC-VIC'!AJ48</f>
        <v/>
      </c>
      <c r="AK48" s="9">
        <f>'NSW-1'!AK48+'VIC-1'!AK48+'QLD-1'!AK48+'NSW-2'!AK48+'VIC-2'!AK48+'QLD-2'!AK48+'SA-1'!AK48+'WA-1'!AK48+'IDC-NSW'!AK48+'IDC-VIC'!AK48</f>
        <v/>
      </c>
      <c r="AL48" s="30">
        <f>'NSW-1'!AL48+'VIC-1'!AL48+'QLD-1'!AL48+'NSW-2'!AL48+'VIC-2'!AL48+'QLD-2'!AL48+'SA-1'!AL48+'WA-1'!AL48+'IDC-NSW'!AL48+'IDC-VIC'!AL48</f>
        <v/>
      </c>
      <c r="AM48" s="30">
        <f>'NSW-1'!AM48+'VIC-1'!AM48+'QLD-1'!AM48+'NSW-2'!AM48+'VIC-2'!AM48+'QLD-2'!AM48+'SA-1'!AM48+'WA-1'!AM48+'IDC-NSW'!AM48+'IDC-VIC'!AM48</f>
        <v/>
      </c>
      <c r="AN48" s="30">
        <f>'NSW-1'!AN48+'VIC-1'!AN48+'QLD-1'!AN48+'NSW-2'!AN48+'VIC-2'!AN48+'QLD-2'!AN48+'SA-1'!AN48+'WA-1'!AN48+'IDC-NSW'!AN48+'IDC-VIC'!AN48</f>
        <v/>
      </c>
      <c r="AP48" s="15">
        <f>'NSW-1'!AP48+'VIC-1'!AP48+'QLD-1'!AP48+'NSW-2'!AP48+'VIC-2'!AP48+'QLD-2'!AP48+'SA-1'!AP48+'WA-1'!AP48+'IDC-NSW'!AP48+'IDC-VIC'!AP48</f>
        <v/>
      </c>
      <c r="AQ48" s="9">
        <f>'NSW-1'!AQ48+'VIC-1'!AQ48+'QLD-1'!AQ48+'NSW-2'!AQ48+'VIC-2'!AQ48+'QLD-2'!AQ48+'SA-1'!AQ48+'WA-1'!AQ48+'IDC-NSW'!AQ48+'IDC-VIC'!AQ48</f>
        <v/>
      </c>
      <c r="AR48" s="30">
        <f>'NSW-1'!AR48+'VIC-1'!AR48+'QLD-1'!AR48+'NSW-2'!AR48+'VIC-2'!AR48+'QLD-2'!AR48+'SA-1'!AR48+'WA-1'!AR48+'IDC-NSW'!AR48+'IDC-VIC'!AR48</f>
        <v/>
      </c>
      <c r="AS48" s="30">
        <f>'NSW-1'!AS48+'VIC-1'!AS48+'QLD-1'!AS48+'NSW-2'!AS48+'VIC-2'!AS48+'QLD-2'!AS48+'SA-1'!AS48+'WA-1'!AS48+'IDC-NSW'!AS48+'IDC-VIC'!AS48</f>
        <v/>
      </c>
      <c r="AT48" s="30">
        <f>'NSW-1'!AT48+'VIC-1'!AT48+'QLD-1'!AT48+'NSW-2'!AT48+'VIC-2'!AT48+'QLD-2'!AT48+'SA-1'!AT48+'WA-1'!AT48+'IDC-NSW'!AT48+'IDC-VIC'!AT48</f>
        <v/>
      </c>
      <c r="AV48" s="15">
        <f>'NSW-1'!AV48+'VIC-1'!AV48+'QLD-1'!AV48+'NSW-2'!AV48+'VIC-2'!AV48+'QLD-2'!AV48+'SA-1'!AV48+'WA-1'!AV48+'IDC-NSW'!AV48+'IDC-VIC'!AV48</f>
        <v/>
      </c>
      <c r="AW48" s="9">
        <f>'NSW-1'!AW48+'VIC-1'!AW48+'QLD-1'!AW48+'NSW-2'!AW48+'VIC-2'!AW48+'QLD-2'!AW48+'SA-1'!AW48+'WA-1'!AW48+'IDC-NSW'!AW48+'IDC-VIC'!AW48</f>
        <v/>
      </c>
      <c r="AX48" s="30">
        <f>'NSW-1'!AX48+'VIC-1'!AX48+'QLD-1'!AX48+'NSW-2'!AX48+'VIC-2'!AX48+'QLD-2'!AX48+'SA-1'!AX48+'WA-1'!AX48+'IDC-NSW'!AX48+'IDC-VIC'!AX48</f>
        <v/>
      </c>
      <c r="AY48" s="30">
        <f>'NSW-1'!AY48+'VIC-1'!AY48+'QLD-1'!AY48+'NSW-2'!AY48+'VIC-2'!AY48+'QLD-2'!AY48+'SA-1'!AY48+'WA-1'!AY48+'IDC-NSW'!AY48+'IDC-VIC'!AY48</f>
        <v/>
      </c>
      <c r="AZ48" s="30">
        <f>'NSW-1'!AZ48+'VIC-1'!AZ48+'QLD-1'!AZ48+'NSW-2'!AZ48+'VIC-2'!AZ48+'QLD-2'!AZ48+'SA-1'!AZ48+'WA-1'!AZ48+'IDC-NSW'!AZ48+'IDC-VIC'!AZ48</f>
        <v/>
      </c>
    </row>
    <row r="49">
      <c r="A49" s="8" t="n">
        <v>46692</v>
      </c>
      <c r="B49" s="33">
        <f>YEAR(A49)</f>
        <v/>
      </c>
      <c r="C49" s="33">
        <f>MONTH(A49)</f>
        <v/>
      </c>
      <c r="D49">
        <f>IF(A49&lt;=LastActual,"Actual","Forecast")</f>
        <v/>
      </c>
      <c r="E49" s="30">
        <f>'NSW-1'!E49+'VIC-1'!E49+'QLD-1'!E49+'NSW-2'!E49+'VIC-2'!E49+'QLD-2'!E49+'SA-1'!E49+'WA-1'!E49</f>
        <v/>
      </c>
      <c r="F49" s="15">
        <f>'NSW-1'!F49+'VIC-1'!F49+'QLD-1'!F49+'NSW-2'!F49+'VIC-2'!F49+'QLD-2'!F49+'SA-1'!F49+'WA-1'!F49+'IDC-NSW'!F49+'IDC-VIC'!F49</f>
        <v/>
      </c>
      <c r="G49" s="9">
        <f>'NSW-1'!G49+'VIC-1'!G49+'QLD-1'!G49+'NSW-2'!G49+'VIC-2'!G49+'QLD-2'!G49+'SA-1'!G49+'WA-1'!G49+'IDC-NSW'!G49+'IDC-VIC'!G49</f>
        <v/>
      </c>
      <c r="H49" s="30">
        <f>'NSW-1'!H49+'VIC-1'!H49+'QLD-1'!H49+'NSW-2'!H49+'VIC-2'!H49+'QLD-2'!H49+'SA-1'!H49+'WA-1'!H49+'IDC-NSW'!H49+'IDC-VIC'!H49</f>
        <v/>
      </c>
      <c r="I49" s="30">
        <f>'NSW-1'!I49+'VIC-1'!I49+'QLD-1'!I49+'NSW-2'!I49+'VIC-2'!I49+'QLD-2'!I49+'SA-1'!I49+'WA-1'!I49+'IDC-NSW'!I49+'IDC-VIC'!I49</f>
        <v/>
      </c>
      <c r="J49" s="30">
        <f>'NSW-1'!J49+'VIC-1'!J49+'QLD-1'!J49+'NSW-2'!J49+'VIC-2'!J49+'QLD-2'!J49+'SA-1'!J49+'WA-1'!J49+'IDC-NSW'!J49+'IDC-VIC'!J49</f>
        <v/>
      </c>
      <c r="K49" s="10">
        <f>IFERROR(F49/G49,0)</f>
        <v/>
      </c>
      <c r="L49" s="34">
        <f>IFERROR(H49/G49,0)</f>
        <v/>
      </c>
      <c r="M49" s="35">
        <f>IFERROR(J49/F49,0)</f>
        <v/>
      </c>
      <c r="N49" s="36">
        <f>IFERROR(J49/E49,0)</f>
        <v/>
      </c>
      <c r="O49" s="36">
        <f>IFERROR(I49/J49,0)</f>
        <v/>
      </c>
      <c r="R49">
        <f>Inputs!$A$37</f>
        <v/>
      </c>
      <c r="S49" s="10">
        <f>IFERROR(SUMIFS('VIC-1'!$F$15:$F$62,'VIC-1'!$B$15:$B$62,2025)/SUMIFS('VIC-1'!$G$15:$G$62,'VIC-1'!$B$15:$B$62,2025),0)</f>
        <v/>
      </c>
      <c r="T49" s="10">
        <f>IFERROR(SUMIFS('VIC-1'!$F$15:$F$62,'VIC-1'!$B$15:$B$62,2026)/SUMIFS('VIC-1'!$G$15:$G$62,'VIC-1'!$B$15:$B$62,2026),0)</f>
        <v/>
      </c>
      <c r="U49" s="10">
        <f>IFERROR(SUMIFS('VIC-1'!$F$15:$F$62,'VIC-1'!$B$15:$B$62,2027)/SUMIFS('VIC-1'!$G$15:$G$62,'VIC-1'!$B$15:$B$62,2027),0)</f>
        <v/>
      </c>
      <c r="V49" s="10">
        <f>IFERROR(SUMIFS('VIC-1'!$F$15:$F$62,'VIC-1'!$B$15:$B$62,2028)/SUMIFS('VIC-1'!$G$15:$G$62,'VIC-1'!$B$15:$B$62,2028),0)</f>
        <v/>
      </c>
      <c r="AJ49" s="15">
        <f>'NSW-1'!AJ49+'VIC-1'!AJ49+'QLD-1'!AJ49+'NSW-2'!AJ49+'VIC-2'!AJ49+'QLD-2'!AJ49+'SA-1'!AJ49+'WA-1'!AJ49+'IDC-NSW'!AJ49+'IDC-VIC'!AJ49</f>
        <v/>
      </c>
      <c r="AK49" s="9">
        <f>'NSW-1'!AK49+'VIC-1'!AK49+'QLD-1'!AK49+'NSW-2'!AK49+'VIC-2'!AK49+'QLD-2'!AK49+'SA-1'!AK49+'WA-1'!AK49+'IDC-NSW'!AK49+'IDC-VIC'!AK49</f>
        <v/>
      </c>
      <c r="AL49" s="30">
        <f>'NSW-1'!AL49+'VIC-1'!AL49+'QLD-1'!AL49+'NSW-2'!AL49+'VIC-2'!AL49+'QLD-2'!AL49+'SA-1'!AL49+'WA-1'!AL49+'IDC-NSW'!AL49+'IDC-VIC'!AL49</f>
        <v/>
      </c>
      <c r="AM49" s="30">
        <f>'NSW-1'!AM49+'VIC-1'!AM49+'QLD-1'!AM49+'NSW-2'!AM49+'VIC-2'!AM49+'QLD-2'!AM49+'SA-1'!AM49+'WA-1'!AM49+'IDC-NSW'!AM49+'IDC-VIC'!AM49</f>
        <v/>
      </c>
      <c r="AN49" s="30">
        <f>'NSW-1'!AN49+'VIC-1'!AN49+'QLD-1'!AN49+'NSW-2'!AN49+'VIC-2'!AN49+'QLD-2'!AN49+'SA-1'!AN49+'WA-1'!AN49+'IDC-NSW'!AN49+'IDC-VIC'!AN49</f>
        <v/>
      </c>
      <c r="AP49" s="15">
        <f>'NSW-1'!AP49+'VIC-1'!AP49+'QLD-1'!AP49+'NSW-2'!AP49+'VIC-2'!AP49+'QLD-2'!AP49+'SA-1'!AP49+'WA-1'!AP49+'IDC-NSW'!AP49+'IDC-VIC'!AP49</f>
        <v/>
      </c>
      <c r="AQ49" s="9">
        <f>'NSW-1'!AQ49+'VIC-1'!AQ49+'QLD-1'!AQ49+'NSW-2'!AQ49+'VIC-2'!AQ49+'QLD-2'!AQ49+'SA-1'!AQ49+'WA-1'!AQ49+'IDC-NSW'!AQ49+'IDC-VIC'!AQ49</f>
        <v/>
      </c>
      <c r="AR49" s="30">
        <f>'NSW-1'!AR49+'VIC-1'!AR49+'QLD-1'!AR49+'NSW-2'!AR49+'VIC-2'!AR49+'QLD-2'!AR49+'SA-1'!AR49+'WA-1'!AR49+'IDC-NSW'!AR49+'IDC-VIC'!AR49</f>
        <v/>
      </c>
      <c r="AS49" s="30">
        <f>'NSW-1'!AS49+'VIC-1'!AS49+'QLD-1'!AS49+'NSW-2'!AS49+'VIC-2'!AS49+'QLD-2'!AS49+'SA-1'!AS49+'WA-1'!AS49+'IDC-NSW'!AS49+'IDC-VIC'!AS49</f>
        <v/>
      </c>
      <c r="AT49" s="30">
        <f>'NSW-1'!AT49+'VIC-1'!AT49+'QLD-1'!AT49+'NSW-2'!AT49+'VIC-2'!AT49+'QLD-2'!AT49+'SA-1'!AT49+'WA-1'!AT49+'IDC-NSW'!AT49+'IDC-VIC'!AT49</f>
        <v/>
      </c>
      <c r="AV49" s="15">
        <f>'NSW-1'!AV49+'VIC-1'!AV49+'QLD-1'!AV49+'NSW-2'!AV49+'VIC-2'!AV49+'QLD-2'!AV49+'SA-1'!AV49+'WA-1'!AV49+'IDC-NSW'!AV49+'IDC-VIC'!AV49</f>
        <v/>
      </c>
      <c r="AW49" s="9">
        <f>'NSW-1'!AW49+'VIC-1'!AW49+'QLD-1'!AW49+'NSW-2'!AW49+'VIC-2'!AW49+'QLD-2'!AW49+'SA-1'!AW49+'WA-1'!AW49+'IDC-NSW'!AW49+'IDC-VIC'!AW49</f>
        <v/>
      </c>
      <c r="AX49" s="30">
        <f>'NSW-1'!AX49+'VIC-1'!AX49+'QLD-1'!AX49+'NSW-2'!AX49+'VIC-2'!AX49+'QLD-2'!AX49+'SA-1'!AX49+'WA-1'!AX49+'IDC-NSW'!AX49+'IDC-VIC'!AX49</f>
        <v/>
      </c>
      <c r="AY49" s="30">
        <f>'NSW-1'!AY49+'VIC-1'!AY49+'QLD-1'!AY49+'NSW-2'!AY49+'VIC-2'!AY49+'QLD-2'!AY49+'SA-1'!AY49+'WA-1'!AY49+'IDC-NSW'!AY49+'IDC-VIC'!AY49</f>
        <v/>
      </c>
      <c r="AZ49" s="30">
        <f>'NSW-1'!AZ49+'VIC-1'!AZ49+'QLD-1'!AZ49+'NSW-2'!AZ49+'VIC-2'!AZ49+'QLD-2'!AZ49+'SA-1'!AZ49+'WA-1'!AZ49+'IDC-NSW'!AZ49+'IDC-VIC'!AZ49</f>
        <v/>
      </c>
    </row>
    <row r="50">
      <c r="A50" s="37" t="n">
        <v>46722</v>
      </c>
      <c r="B50" s="38">
        <f>YEAR(A50)</f>
        <v/>
      </c>
      <c r="C50" s="38">
        <f>MONTH(A50)</f>
        <v/>
      </c>
      <c r="D50" s="39">
        <f>IF(A50&lt;=LastActual,"Actual","Forecast")</f>
        <v/>
      </c>
      <c r="E50" s="40">
        <f>'NSW-1'!E50+'VIC-1'!E50+'QLD-1'!E50+'NSW-2'!E50+'VIC-2'!E50+'QLD-2'!E50+'SA-1'!E50+'WA-1'!E50</f>
        <v/>
      </c>
      <c r="F50" s="41">
        <f>'NSW-1'!F50+'VIC-1'!F50+'QLD-1'!F50+'NSW-2'!F50+'VIC-2'!F50+'QLD-2'!F50+'SA-1'!F50+'WA-1'!F50+'IDC-NSW'!F50+'IDC-VIC'!F50</f>
        <v/>
      </c>
      <c r="G50" s="42">
        <f>'NSW-1'!G50+'VIC-1'!G50+'QLD-1'!G50+'NSW-2'!G50+'VIC-2'!G50+'QLD-2'!G50+'SA-1'!G50+'WA-1'!G50+'IDC-NSW'!G50+'IDC-VIC'!G50</f>
        <v/>
      </c>
      <c r="H50" s="40">
        <f>'NSW-1'!H50+'VIC-1'!H50+'QLD-1'!H50+'NSW-2'!H50+'VIC-2'!H50+'QLD-2'!H50+'SA-1'!H50+'WA-1'!H50+'IDC-NSW'!H50+'IDC-VIC'!H50</f>
        <v/>
      </c>
      <c r="I50" s="40">
        <f>'NSW-1'!I50+'VIC-1'!I50+'QLD-1'!I50+'NSW-2'!I50+'VIC-2'!I50+'QLD-2'!I50+'SA-1'!I50+'WA-1'!I50+'IDC-NSW'!I50+'IDC-VIC'!I50</f>
        <v/>
      </c>
      <c r="J50" s="40">
        <f>'NSW-1'!J50+'VIC-1'!J50+'QLD-1'!J50+'NSW-2'!J50+'VIC-2'!J50+'QLD-2'!J50+'SA-1'!J50+'WA-1'!J50+'IDC-NSW'!J50+'IDC-VIC'!J50</f>
        <v/>
      </c>
      <c r="K50" s="43">
        <f>IFERROR(F50/G50,0)</f>
        <v/>
      </c>
      <c r="L50" s="44">
        <f>IFERROR(H50/G50,0)</f>
        <v/>
      </c>
      <c r="M50" s="45">
        <f>IFERROR(J50/F50,0)</f>
        <v/>
      </c>
      <c r="N50" s="46">
        <f>IFERROR(J50/E50,0)</f>
        <v/>
      </c>
      <c r="O50" s="46">
        <f>IFERROR(I50/J50,0)</f>
        <v/>
      </c>
      <c r="R50">
        <f>Inputs!$A$38</f>
        <v/>
      </c>
      <c r="S50" s="10">
        <f>IFERROR(SUMIFS('QLD-1'!$F$15:$F$62,'QLD-1'!$B$15:$B$62,2025)/SUMIFS('QLD-1'!$G$15:$G$62,'QLD-1'!$B$15:$B$62,2025),0)</f>
        <v/>
      </c>
      <c r="T50" s="10">
        <f>IFERROR(SUMIFS('QLD-1'!$F$15:$F$62,'QLD-1'!$B$15:$B$62,2026)/SUMIFS('QLD-1'!$G$15:$G$62,'QLD-1'!$B$15:$B$62,2026),0)</f>
        <v/>
      </c>
      <c r="U50" s="10">
        <f>IFERROR(SUMIFS('QLD-1'!$F$15:$F$62,'QLD-1'!$B$15:$B$62,2027)/SUMIFS('QLD-1'!$G$15:$G$62,'QLD-1'!$B$15:$B$62,2027),0)</f>
        <v/>
      </c>
      <c r="V50" s="10">
        <f>IFERROR(SUMIFS('QLD-1'!$F$15:$F$62,'QLD-1'!$B$15:$B$62,2028)/SUMIFS('QLD-1'!$G$15:$G$62,'QLD-1'!$B$15:$B$62,2028),0)</f>
        <v/>
      </c>
      <c r="AJ50" s="41">
        <f>'NSW-1'!AJ50+'VIC-1'!AJ50+'QLD-1'!AJ50+'NSW-2'!AJ50+'VIC-2'!AJ50+'QLD-2'!AJ50+'SA-1'!AJ50+'WA-1'!AJ50+'IDC-NSW'!AJ50+'IDC-VIC'!AJ50</f>
        <v/>
      </c>
      <c r="AK50" s="42">
        <f>'NSW-1'!AK50+'VIC-1'!AK50+'QLD-1'!AK50+'NSW-2'!AK50+'VIC-2'!AK50+'QLD-2'!AK50+'SA-1'!AK50+'WA-1'!AK50+'IDC-NSW'!AK50+'IDC-VIC'!AK50</f>
        <v/>
      </c>
      <c r="AL50" s="40">
        <f>'NSW-1'!AL50+'VIC-1'!AL50+'QLD-1'!AL50+'NSW-2'!AL50+'VIC-2'!AL50+'QLD-2'!AL50+'SA-1'!AL50+'WA-1'!AL50+'IDC-NSW'!AL50+'IDC-VIC'!AL50</f>
        <v/>
      </c>
      <c r="AM50" s="40">
        <f>'NSW-1'!AM50+'VIC-1'!AM50+'QLD-1'!AM50+'NSW-2'!AM50+'VIC-2'!AM50+'QLD-2'!AM50+'SA-1'!AM50+'WA-1'!AM50+'IDC-NSW'!AM50+'IDC-VIC'!AM50</f>
        <v/>
      </c>
      <c r="AN50" s="40">
        <f>'NSW-1'!AN50+'VIC-1'!AN50+'QLD-1'!AN50+'NSW-2'!AN50+'VIC-2'!AN50+'QLD-2'!AN50+'SA-1'!AN50+'WA-1'!AN50+'IDC-NSW'!AN50+'IDC-VIC'!AN50</f>
        <v/>
      </c>
      <c r="AP50" s="41">
        <f>'NSW-1'!AP50+'VIC-1'!AP50+'QLD-1'!AP50+'NSW-2'!AP50+'VIC-2'!AP50+'QLD-2'!AP50+'SA-1'!AP50+'WA-1'!AP50+'IDC-NSW'!AP50+'IDC-VIC'!AP50</f>
        <v/>
      </c>
      <c r="AQ50" s="42">
        <f>'NSW-1'!AQ50+'VIC-1'!AQ50+'QLD-1'!AQ50+'NSW-2'!AQ50+'VIC-2'!AQ50+'QLD-2'!AQ50+'SA-1'!AQ50+'WA-1'!AQ50+'IDC-NSW'!AQ50+'IDC-VIC'!AQ50</f>
        <v/>
      </c>
      <c r="AR50" s="40">
        <f>'NSW-1'!AR50+'VIC-1'!AR50+'QLD-1'!AR50+'NSW-2'!AR50+'VIC-2'!AR50+'QLD-2'!AR50+'SA-1'!AR50+'WA-1'!AR50+'IDC-NSW'!AR50+'IDC-VIC'!AR50</f>
        <v/>
      </c>
      <c r="AS50" s="40">
        <f>'NSW-1'!AS50+'VIC-1'!AS50+'QLD-1'!AS50+'NSW-2'!AS50+'VIC-2'!AS50+'QLD-2'!AS50+'SA-1'!AS50+'WA-1'!AS50+'IDC-NSW'!AS50+'IDC-VIC'!AS50</f>
        <v/>
      </c>
      <c r="AT50" s="40">
        <f>'NSW-1'!AT50+'VIC-1'!AT50+'QLD-1'!AT50+'NSW-2'!AT50+'VIC-2'!AT50+'QLD-2'!AT50+'SA-1'!AT50+'WA-1'!AT50+'IDC-NSW'!AT50+'IDC-VIC'!AT50</f>
        <v/>
      </c>
      <c r="AV50" s="41">
        <f>'NSW-1'!AV50+'VIC-1'!AV50+'QLD-1'!AV50+'NSW-2'!AV50+'VIC-2'!AV50+'QLD-2'!AV50+'SA-1'!AV50+'WA-1'!AV50+'IDC-NSW'!AV50+'IDC-VIC'!AV50</f>
        <v/>
      </c>
      <c r="AW50" s="42">
        <f>'NSW-1'!AW50+'VIC-1'!AW50+'QLD-1'!AW50+'NSW-2'!AW50+'VIC-2'!AW50+'QLD-2'!AW50+'SA-1'!AW50+'WA-1'!AW50+'IDC-NSW'!AW50+'IDC-VIC'!AW50</f>
        <v/>
      </c>
      <c r="AX50" s="40">
        <f>'NSW-1'!AX50+'VIC-1'!AX50+'QLD-1'!AX50+'NSW-2'!AX50+'VIC-2'!AX50+'QLD-2'!AX50+'SA-1'!AX50+'WA-1'!AX50+'IDC-NSW'!AX50+'IDC-VIC'!AX50</f>
        <v/>
      </c>
      <c r="AY50" s="40">
        <f>'NSW-1'!AY50+'VIC-1'!AY50+'QLD-1'!AY50+'NSW-2'!AY50+'VIC-2'!AY50+'QLD-2'!AY50+'SA-1'!AY50+'WA-1'!AY50+'IDC-NSW'!AY50+'IDC-VIC'!AY50</f>
        <v/>
      </c>
      <c r="AZ50" s="40">
        <f>'NSW-1'!AZ50+'VIC-1'!AZ50+'QLD-1'!AZ50+'NSW-2'!AZ50+'VIC-2'!AZ50+'QLD-2'!AZ50+'SA-1'!AZ50+'WA-1'!AZ50+'IDC-NSW'!AZ50+'IDC-VIC'!AZ50</f>
        <v/>
      </c>
    </row>
    <row r="51">
      <c r="A51" s="8" t="n">
        <v>46753</v>
      </c>
      <c r="B51" s="33">
        <f>YEAR(A51)</f>
        <v/>
      </c>
      <c r="C51" s="33">
        <f>MONTH(A51)</f>
        <v/>
      </c>
      <c r="D51">
        <f>IF(A51&lt;=LastActual,"Actual","Forecast")</f>
        <v/>
      </c>
      <c r="E51" s="30">
        <f>'NSW-1'!E51+'VIC-1'!E51+'QLD-1'!E51+'NSW-2'!E51+'VIC-2'!E51+'QLD-2'!E51+'SA-1'!E51+'WA-1'!E51</f>
        <v/>
      </c>
      <c r="F51" s="15">
        <f>'NSW-1'!F51+'VIC-1'!F51+'QLD-1'!F51+'NSW-2'!F51+'VIC-2'!F51+'QLD-2'!F51+'SA-1'!F51+'WA-1'!F51+'IDC-NSW'!F51+'IDC-VIC'!F51</f>
        <v/>
      </c>
      <c r="G51" s="9">
        <f>'NSW-1'!G51+'VIC-1'!G51+'QLD-1'!G51+'NSW-2'!G51+'VIC-2'!G51+'QLD-2'!G51+'SA-1'!G51+'WA-1'!G51+'IDC-NSW'!G51+'IDC-VIC'!G51</f>
        <v/>
      </c>
      <c r="H51" s="30">
        <f>'NSW-1'!H51+'VIC-1'!H51+'QLD-1'!H51+'NSW-2'!H51+'VIC-2'!H51+'QLD-2'!H51+'SA-1'!H51+'WA-1'!H51+'IDC-NSW'!H51+'IDC-VIC'!H51</f>
        <v/>
      </c>
      <c r="I51" s="30">
        <f>'NSW-1'!I51+'VIC-1'!I51+'QLD-1'!I51+'NSW-2'!I51+'VIC-2'!I51+'QLD-2'!I51+'SA-1'!I51+'WA-1'!I51+'IDC-NSW'!I51+'IDC-VIC'!I51</f>
        <v/>
      </c>
      <c r="J51" s="30">
        <f>'NSW-1'!J51+'VIC-1'!J51+'QLD-1'!J51+'NSW-2'!J51+'VIC-2'!J51+'QLD-2'!J51+'SA-1'!J51+'WA-1'!J51+'IDC-NSW'!J51+'IDC-VIC'!J51</f>
        <v/>
      </c>
      <c r="K51" s="10">
        <f>IFERROR(F51/G51,0)</f>
        <v/>
      </c>
      <c r="L51" s="34">
        <f>IFERROR(H51/G51,0)</f>
        <v/>
      </c>
      <c r="M51" s="35">
        <f>IFERROR(J51/F51,0)</f>
        <v/>
      </c>
      <c r="N51" s="36">
        <f>IFERROR(J51/E51,0)</f>
        <v/>
      </c>
      <c r="O51" s="36">
        <f>IFERROR(I51/J51,0)</f>
        <v/>
      </c>
      <c r="R51">
        <f>Inputs!$A$39</f>
        <v/>
      </c>
      <c r="S51" s="10">
        <f>IFERROR(SUMIFS('NSW-2'!$F$15:$F$62,'NSW-2'!$B$15:$B$62,2025)/SUMIFS('NSW-2'!$G$15:$G$62,'NSW-2'!$B$15:$B$62,2025),0)</f>
        <v/>
      </c>
      <c r="T51" s="10">
        <f>IFERROR(SUMIFS('NSW-2'!$F$15:$F$62,'NSW-2'!$B$15:$B$62,2026)/SUMIFS('NSW-2'!$G$15:$G$62,'NSW-2'!$B$15:$B$62,2026),0)</f>
        <v/>
      </c>
      <c r="U51" s="10">
        <f>IFERROR(SUMIFS('NSW-2'!$F$15:$F$62,'NSW-2'!$B$15:$B$62,2027)/SUMIFS('NSW-2'!$G$15:$G$62,'NSW-2'!$B$15:$B$62,2027),0)</f>
        <v/>
      </c>
      <c r="V51" s="10">
        <f>IFERROR(SUMIFS('NSW-2'!$F$15:$F$62,'NSW-2'!$B$15:$B$62,2028)/SUMIFS('NSW-2'!$G$15:$G$62,'NSW-2'!$B$15:$B$62,2028),0)</f>
        <v/>
      </c>
      <c r="AJ51" s="15">
        <f>'NSW-1'!AJ51+'VIC-1'!AJ51+'QLD-1'!AJ51+'NSW-2'!AJ51+'VIC-2'!AJ51+'QLD-2'!AJ51+'SA-1'!AJ51+'WA-1'!AJ51+'IDC-NSW'!AJ51+'IDC-VIC'!AJ51</f>
        <v/>
      </c>
      <c r="AK51" s="9">
        <f>'NSW-1'!AK51+'VIC-1'!AK51+'QLD-1'!AK51+'NSW-2'!AK51+'VIC-2'!AK51+'QLD-2'!AK51+'SA-1'!AK51+'WA-1'!AK51+'IDC-NSW'!AK51+'IDC-VIC'!AK51</f>
        <v/>
      </c>
      <c r="AL51" s="30">
        <f>'NSW-1'!AL51+'VIC-1'!AL51+'QLD-1'!AL51+'NSW-2'!AL51+'VIC-2'!AL51+'QLD-2'!AL51+'SA-1'!AL51+'WA-1'!AL51+'IDC-NSW'!AL51+'IDC-VIC'!AL51</f>
        <v/>
      </c>
      <c r="AM51" s="30">
        <f>'NSW-1'!AM51+'VIC-1'!AM51+'QLD-1'!AM51+'NSW-2'!AM51+'VIC-2'!AM51+'QLD-2'!AM51+'SA-1'!AM51+'WA-1'!AM51+'IDC-NSW'!AM51+'IDC-VIC'!AM51</f>
        <v/>
      </c>
      <c r="AN51" s="30">
        <f>'NSW-1'!AN51+'VIC-1'!AN51+'QLD-1'!AN51+'NSW-2'!AN51+'VIC-2'!AN51+'QLD-2'!AN51+'SA-1'!AN51+'WA-1'!AN51+'IDC-NSW'!AN51+'IDC-VIC'!AN51</f>
        <v/>
      </c>
      <c r="AP51" s="15">
        <f>'NSW-1'!AP51+'VIC-1'!AP51+'QLD-1'!AP51+'NSW-2'!AP51+'VIC-2'!AP51+'QLD-2'!AP51+'SA-1'!AP51+'WA-1'!AP51+'IDC-NSW'!AP51+'IDC-VIC'!AP51</f>
        <v/>
      </c>
      <c r="AQ51" s="9">
        <f>'NSW-1'!AQ51+'VIC-1'!AQ51+'QLD-1'!AQ51+'NSW-2'!AQ51+'VIC-2'!AQ51+'QLD-2'!AQ51+'SA-1'!AQ51+'WA-1'!AQ51+'IDC-NSW'!AQ51+'IDC-VIC'!AQ51</f>
        <v/>
      </c>
      <c r="AR51" s="30">
        <f>'NSW-1'!AR51+'VIC-1'!AR51+'QLD-1'!AR51+'NSW-2'!AR51+'VIC-2'!AR51+'QLD-2'!AR51+'SA-1'!AR51+'WA-1'!AR51+'IDC-NSW'!AR51+'IDC-VIC'!AR51</f>
        <v/>
      </c>
      <c r="AS51" s="30">
        <f>'NSW-1'!AS51+'VIC-1'!AS51+'QLD-1'!AS51+'NSW-2'!AS51+'VIC-2'!AS51+'QLD-2'!AS51+'SA-1'!AS51+'WA-1'!AS51+'IDC-NSW'!AS51+'IDC-VIC'!AS51</f>
        <v/>
      </c>
      <c r="AT51" s="30">
        <f>'NSW-1'!AT51+'VIC-1'!AT51+'QLD-1'!AT51+'NSW-2'!AT51+'VIC-2'!AT51+'QLD-2'!AT51+'SA-1'!AT51+'WA-1'!AT51+'IDC-NSW'!AT51+'IDC-VIC'!AT51</f>
        <v/>
      </c>
      <c r="AV51" s="15">
        <f>'NSW-1'!AV51+'VIC-1'!AV51+'QLD-1'!AV51+'NSW-2'!AV51+'VIC-2'!AV51+'QLD-2'!AV51+'SA-1'!AV51+'WA-1'!AV51+'IDC-NSW'!AV51+'IDC-VIC'!AV51</f>
        <v/>
      </c>
      <c r="AW51" s="9">
        <f>'NSW-1'!AW51+'VIC-1'!AW51+'QLD-1'!AW51+'NSW-2'!AW51+'VIC-2'!AW51+'QLD-2'!AW51+'SA-1'!AW51+'WA-1'!AW51+'IDC-NSW'!AW51+'IDC-VIC'!AW51</f>
        <v/>
      </c>
      <c r="AX51" s="30">
        <f>'NSW-1'!AX51+'VIC-1'!AX51+'QLD-1'!AX51+'NSW-2'!AX51+'VIC-2'!AX51+'QLD-2'!AX51+'SA-1'!AX51+'WA-1'!AX51+'IDC-NSW'!AX51+'IDC-VIC'!AX51</f>
        <v/>
      </c>
      <c r="AY51" s="30">
        <f>'NSW-1'!AY51+'VIC-1'!AY51+'QLD-1'!AY51+'NSW-2'!AY51+'VIC-2'!AY51+'QLD-2'!AY51+'SA-1'!AY51+'WA-1'!AY51+'IDC-NSW'!AY51+'IDC-VIC'!AY51</f>
        <v/>
      </c>
      <c r="AZ51" s="30">
        <f>'NSW-1'!AZ51+'VIC-1'!AZ51+'QLD-1'!AZ51+'NSW-2'!AZ51+'VIC-2'!AZ51+'QLD-2'!AZ51+'SA-1'!AZ51+'WA-1'!AZ51+'IDC-NSW'!AZ51+'IDC-VIC'!AZ51</f>
        <v/>
      </c>
    </row>
    <row r="52">
      <c r="A52" s="8" t="n">
        <v>46784</v>
      </c>
      <c r="B52" s="33">
        <f>YEAR(A52)</f>
        <v/>
      </c>
      <c r="C52" s="33">
        <f>MONTH(A52)</f>
        <v/>
      </c>
      <c r="D52">
        <f>IF(A52&lt;=LastActual,"Actual","Forecast")</f>
        <v/>
      </c>
      <c r="E52" s="30">
        <f>'NSW-1'!E52+'VIC-1'!E52+'QLD-1'!E52+'NSW-2'!E52+'VIC-2'!E52+'QLD-2'!E52+'SA-1'!E52+'WA-1'!E52</f>
        <v/>
      </c>
      <c r="F52" s="15">
        <f>'NSW-1'!F52+'VIC-1'!F52+'QLD-1'!F52+'NSW-2'!F52+'VIC-2'!F52+'QLD-2'!F52+'SA-1'!F52+'WA-1'!F52+'IDC-NSW'!F52+'IDC-VIC'!F52</f>
        <v/>
      </c>
      <c r="G52" s="9">
        <f>'NSW-1'!G52+'VIC-1'!G52+'QLD-1'!G52+'NSW-2'!G52+'VIC-2'!G52+'QLD-2'!G52+'SA-1'!G52+'WA-1'!G52+'IDC-NSW'!G52+'IDC-VIC'!G52</f>
        <v/>
      </c>
      <c r="H52" s="30">
        <f>'NSW-1'!H52+'VIC-1'!H52+'QLD-1'!H52+'NSW-2'!H52+'VIC-2'!H52+'QLD-2'!H52+'SA-1'!H52+'WA-1'!H52+'IDC-NSW'!H52+'IDC-VIC'!H52</f>
        <v/>
      </c>
      <c r="I52" s="30">
        <f>'NSW-1'!I52+'VIC-1'!I52+'QLD-1'!I52+'NSW-2'!I52+'VIC-2'!I52+'QLD-2'!I52+'SA-1'!I52+'WA-1'!I52+'IDC-NSW'!I52+'IDC-VIC'!I52</f>
        <v/>
      </c>
      <c r="J52" s="30">
        <f>'NSW-1'!J52+'VIC-1'!J52+'QLD-1'!J52+'NSW-2'!J52+'VIC-2'!J52+'QLD-2'!J52+'SA-1'!J52+'WA-1'!J52+'IDC-NSW'!J52+'IDC-VIC'!J52</f>
        <v/>
      </c>
      <c r="K52" s="10">
        <f>IFERROR(F52/G52,0)</f>
        <v/>
      </c>
      <c r="L52" s="34">
        <f>IFERROR(H52/G52,0)</f>
        <v/>
      </c>
      <c r="M52" s="35">
        <f>IFERROR(J52/F52,0)</f>
        <v/>
      </c>
      <c r="N52" s="36">
        <f>IFERROR(J52/E52,0)</f>
        <v/>
      </c>
      <c r="O52" s="36">
        <f>IFERROR(I52/J52,0)</f>
        <v/>
      </c>
      <c r="R52">
        <f>Inputs!$A$40</f>
        <v/>
      </c>
      <c r="S52" s="10">
        <f>IFERROR(SUMIFS('VIC-2'!$F$15:$F$62,'VIC-2'!$B$15:$B$62,2025)/SUMIFS('VIC-2'!$G$15:$G$62,'VIC-2'!$B$15:$B$62,2025),0)</f>
        <v/>
      </c>
      <c r="T52" s="10">
        <f>IFERROR(SUMIFS('VIC-2'!$F$15:$F$62,'VIC-2'!$B$15:$B$62,2026)/SUMIFS('VIC-2'!$G$15:$G$62,'VIC-2'!$B$15:$B$62,2026),0)</f>
        <v/>
      </c>
      <c r="U52" s="10">
        <f>IFERROR(SUMIFS('VIC-2'!$F$15:$F$62,'VIC-2'!$B$15:$B$62,2027)/SUMIFS('VIC-2'!$G$15:$G$62,'VIC-2'!$B$15:$B$62,2027),0)</f>
        <v/>
      </c>
      <c r="V52" s="10">
        <f>IFERROR(SUMIFS('VIC-2'!$F$15:$F$62,'VIC-2'!$B$15:$B$62,2028)/SUMIFS('VIC-2'!$G$15:$G$62,'VIC-2'!$B$15:$B$62,2028),0)</f>
        <v/>
      </c>
      <c r="AJ52" s="15">
        <f>'NSW-1'!AJ52+'VIC-1'!AJ52+'QLD-1'!AJ52+'NSW-2'!AJ52+'VIC-2'!AJ52+'QLD-2'!AJ52+'SA-1'!AJ52+'WA-1'!AJ52+'IDC-NSW'!AJ52+'IDC-VIC'!AJ52</f>
        <v/>
      </c>
      <c r="AK52" s="9">
        <f>'NSW-1'!AK52+'VIC-1'!AK52+'QLD-1'!AK52+'NSW-2'!AK52+'VIC-2'!AK52+'QLD-2'!AK52+'SA-1'!AK52+'WA-1'!AK52+'IDC-NSW'!AK52+'IDC-VIC'!AK52</f>
        <v/>
      </c>
      <c r="AL52" s="30">
        <f>'NSW-1'!AL52+'VIC-1'!AL52+'QLD-1'!AL52+'NSW-2'!AL52+'VIC-2'!AL52+'QLD-2'!AL52+'SA-1'!AL52+'WA-1'!AL52+'IDC-NSW'!AL52+'IDC-VIC'!AL52</f>
        <v/>
      </c>
      <c r="AM52" s="30">
        <f>'NSW-1'!AM52+'VIC-1'!AM52+'QLD-1'!AM52+'NSW-2'!AM52+'VIC-2'!AM52+'QLD-2'!AM52+'SA-1'!AM52+'WA-1'!AM52+'IDC-NSW'!AM52+'IDC-VIC'!AM52</f>
        <v/>
      </c>
      <c r="AN52" s="30">
        <f>'NSW-1'!AN52+'VIC-1'!AN52+'QLD-1'!AN52+'NSW-2'!AN52+'VIC-2'!AN52+'QLD-2'!AN52+'SA-1'!AN52+'WA-1'!AN52+'IDC-NSW'!AN52+'IDC-VIC'!AN52</f>
        <v/>
      </c>
      <c r="AP52" s="15">
        <f>'NSW-1'!AP52+'VIC-1'!AP52+'QLD-1'!AP52+'NSW-2'!AP52+'VIC-2'!AP52+'QLD-2'!AP52+'SA-1'!AP52+'WA-1'!AP52+'IDC-NSW'!AP52+'IDC-VIC'!AP52</f>
        <v/>
      </c>
      <c r="AQ52" s="9">
        <f>'NSW-1'!AQ52+'VIC-1'!AQ52+'QLD-1'!AQ52+'NSW-2'!AQ52+'VIC-2'!AQ52+'QLD-2'!AQ52+'SA-1'!AQ52+'WA-1'!AQ52+'IDC-NSW'!AQ52+'IDC-VIC'!AQ52</f>
        <v/>
      </c>
      <c r="AR52" s="30">
        <f>'NSW-1'!AR52+'VIC-1'!AR52+'QLD-1'!AR52+'NSW-2'!AR52+'VIC-2'!AR52+'QLD-2'!AR52+'SA-1'!AR52+'WA-1'!AR52+'IDC-NSW'!AR52+'IDC-VIC'!AR52</f>
        <v/>
      </c>
      <c r="AS52" s="30">
        <f>'NSW-1'!AS52+'VIC-1'!AS52+'QLD-1'!AS52+'NSW-2'!AS52+'VIC-2'!AS52+'QLD-2'!AS52+'SA-1'!AS52+'WA-1'!AS52+'IDC-NSW'!AS52+'IDC-VIC'!AS52</f>
        <v/>
      </c>
      <c r="AT52" s="30">
        <f>'NSW-1'!AT52+'VIC-1'!AT52+'QLD-1'!AT52+'NSW-2'!AT52+'VIC-2'!AT52+'QLD-2'!AT52+'SA-1'!AT52+'WA-1'!AT52+'IDC-NSW'!AT52+'IDC-VIC'!AT52</f>
        <v/>
      </c>
      <c r="AV52" s="15">
        <f>'NSW-1'!AV52+'VIC-1'!AV52+'QLD-1'!AV52+'NSW-2'!AV52+'VIC-2'!AV52+'QLD-2'!AV52+'SA-1'!AV52+'WA-1'!AV52+'IDC-NSW'!AV52+'IDC-VIC'!AV52</f>
        <v/>
      </c>
      <c r="AW52" s="9">
        <f>'NSW-1'!AW52+'VIC-1'!AW52+'QLD-1'!AW52+'NSW-2'!AW52+'VIC-2'!AW52+'QLD-2'!AW52+'SA-1'!AW52+'WA-1'!AW52+'IDC-NSW'!AW52+'IDC-VIC'!AW52</f>
        <v/>
      </c>
      <c r="AX52" s="30">
        <f>'NSW-1'!AX52+'VIC-1'!AX52+'QLD-1'!AX52+'NSW-2'!AX52+'VIC-2'!AX52+'QLD-2'!AX52+'SA-1'!AX52+'WA-1'!AX52+'IDC-NSW'!AX52+'IDC-VIC'!AX52</f>
        <v/>
      </c>
      <c r="AY52" s="30">
        <f>'NSW-1'!AY52+'VIC-1'!AY52+'QLD-1'!AY52+'NSW-2'!AY52+'VIC-2'!AY52+'QLD-2'!AY52+'SA-1'!AY52+'WA-1'!AY52+'IDC-NSW'!AY52+'IDC-VIC'!AY52</f>
        <v/>
      </c>
      <c r="AZ52" s="30">
        <f>'NSW-1'!AZ52+'VIC-1'!AZ52+'QLD-1'!AZ52+'NSW-2'!AZ52+'VIC-2'!AZ52+'QLD-2'!AZ52+'SA-1'!AZ52+'WA-1'!AZ52+'IDC-NSW'!AZ52+'IDC-VIC'!AZ52</f>
        <v/>
      </c>
    </row>
    <row r="53">
      <c r="A53" s="8" t="n">
        <v>46813</v>
      </c>
      <c r="B53" s="33">
        <f>YEAR(A53)</f>
        <v/>
      </c>
      <c r="C53" s="33">
        <f>MONTH(A53)</f>
        <v/>
      </c>
      <c r="D53">
        <f>IF(A53&lt;=LastActual,"Actual","Forecast")</f>
        <v/>
      </c>
      <c r="E53" s="30">
        <f>'NSW-1'!E53+'VIC-1'!E53+'QLD-1'!E53+'NSW-2'!E53+'VIC-2'!E53+'QLD-2'!E53+'SA-1'!E53+'WA-1'!E53</f>
        <v/>
      </c>
      <c r="F53" s="15">
        <f>'NSW-1'!F53+'VIC-1'!F53+'QLD-1'!F53+'NSW-2'!F53+'VIC-2'!F53+'QLD-2'!F53+'SA-1'!F53+'WA-1'!F53+'IDC-NSW'!F53+'IDC-VIC'!F53</f>
        <v/>
      </c>
      <c r="G53" s="9">
        <f>'NSW-1'!G53+'VIC-1'!G53+'QLD-1'!G53+'NSW-2'!G53+'VIC-2'!G53+'QLD-2'!G53+'SA-1'!G53+'WA-1'!G53+'IDC-NSW'!G53+'IDC-VIC'!G53</f>
        <v/>
      </c>
      <c r="H53" s="30">
        <f>'NSW-1'!H53+'VIC-1'!H53+'QLD-1'!H53+'NSW-2'!H53+'VIC-2'!H53+'QLD-2'!H53+'SA-1'!H53+'WA-1'!H53+'IDC-NSW'!H53+'IDC-VIC'!H53</f>
        <v/>
      </c>
      <c r="I53" s="30">
        <f>'NSW-1'!I53+'VIC-1'!I53+'QLD-1'!I53+'NSW-2'!I53+'VIC-2'!I53+'QLD-2'!I53+'SA-1'!I53+'WA-1'!I53+'IDC-NSW'!I53+'IDC-VIC'!I53</f>
        <v/>
      </c>
      <c r="J53" s="30">
        <f>'NSW-1'!J53+'VIC-1'!J53+'QLD-1'!J53+'NSW-2'!J53+'VIC-2'!J53+'QLD-2'!J53+'SA-1'!J53+'WA-1'!J53+'IDC-NSW'!J53+'IDC-VIC'!J53</f>
        <v/>
      </c>
      <c r="K53" s="10">
        <f>IFERROR(F53/G53,0)</f>
        <v/>
      </c>
      <c r="L53" s="34">
        <f>IFERROR(H53/G53,0)</f>
        <v/>
      </c>
      <c r="M53" s="35">
        <f>IFERROR(J53/F53,0)</f>
        <v/>
      </c>
      <c r="N53" s="36">
        <f>IFERROR(J53/E53,0)</f>
        <v/>
      </c>
      <c r="O53" s="36">
        <f>IFERROR(I53/J53,0)</f>
        <v/>
      </c>
      <c r="R53">
        <f>Inputs!$A$41</f>
        <v/>
      </c>
      <c r="S53" s="10">
        <f>IFERROR(SUMIFS('QLD-2'!$F$15:$F$62,'QLD-2'!$B$15:$B$62,2025)/SUMIFS('QLD-2'!$G$15:$G$62,'QLD-2'!$B$15:$B$62,2025),0)</f>
        <v/>
      </c>
      <c r="T53" s="10">
        <f>IFERROR(SUMIFS('QLD-2'!$F$15:$F$62,'QLD-2'!$B$15:$B$62,2026)/SUMIFS('QLD-2'!$G$15:$G$62,'QLD-2'!$B$15:$B$62,2026),0)</f>
        <v/>
      </c>
      <c r="U53" s="10">
        <f>IFERROR(SUMIFS('QLD-2'!$F$15:$F$62,'QLD-2'!$B$15:$B$62,2027)/SUMIFS('QLD-2'!$G$15:$G$62,'QLD-2'!$B$15:$B$62,2027),0)</f>
        <v/>
      </c>
      <c r="V53" s="10">
        <f>IFERROR(SUMIFS('QLD-2'!$F$15:$F$62,'QLD-2'!$B$15:$B$62,2028)/SUMIFS('QLD-2'!$G$15:$G$62,'QLD-2'!$B$15:$B$62,2028),0)</f>
        <v/>
      </c>
      <c r="AJ53" s="15">
        <f>'NSW-1'!AJ53+'VIC-1'!AJ53+'QLD-1'!AJ53+'NSW-2'!AJ53+'VIC-2'!AJ53+'QLD-2'!AJ53+'SA-1'!AJ53+'WA-1'!AJ53+'IDC-NSW'!AJ53+'IDC-VIC'!AJ53</f>
        <v/>
      </c>
      <c r="AK53" s="9">
        <f>'NSW-1'!AK53+'VIC-1'!AK53+'QLD-1'!AK53+'NSW-2'!AK53+'VIC-2'!AK53+'QLD-2'!AK53+'SA-1'!AK53+'WA-1'!AK53+'IDC-NSW'!AK53+'IDC-VIC'!AK53</f>
        <v/>
      </c>
      <c r="AL53" s="30">
        <f>'NSW-1'!AL53+'VIC-1'!AL53+'QLD-1'!AL53+'NSW-2'!AL53+'VIC-2'!AL53+'QLD-2'!AL53+'SA-1'!AL53+'WA-1'!AL53+'IDC-NSW'!AL53+'IDC-VIC'!AL53</f>
        <v/>
      </c>
      <c r="AM53" s="30">
        <f>'NSW-1'!AM53+'VIC-1'!AM53+'QLD-1'!AM53+'NSW-2'!AM53+'VIC-2'!AM53+'QLD-2'!AM53+'SA-1'!AM53+'WA-1'!AM53+'IDC-NSW'!AM53+'IDC-VIC'!AM53</f>
        <v/>
      </c>
      <c r="AN53" s="30">
        <f>'NSW-1'!AN53+'VIC-1'!AN53+'QLD-1'!AN53+'NSW-2'!AN53+'VIC-2'!AN53+'QLD-2'!AN53+'SA-1'!AN53+'WA-1'!AN53+'IDC-NSW'!AN53+'IDC-VIC'!AN53</f>
        <v/>
      </c>
      <c r="AP53" s="15">
        <f>'NSW-1'!AP53+'VIC-1'!AP53+'QLD-1'!AP53+'NSW-2'!AP53+'VIC-2'!AP53+'QLD-2'!AP53+'SA-1'!AP53+'WA-1'!AP53+'IDC-NSW'!AP53+'IDC-VIC'!AP53</f>
        <v/>
      </c>
      <c r="AQ53" s="9">
        <f>'NSW-1'!AQ53+'VIC-1'!AQ53+'QLD-1'!AQ53+'NSW-2'!AQ53+'VIC-2'!AQ53+'QLD-2'!AQ53+'SA-1'!AQ53+'WA-1'!AQ53+'IDC-NSW'!AQ53+'IDC-VIC'!AQ53</f>
        <v/>
      </c>
      <c r="AR53" s="30">
        <f>'NSW-1'!AR53+'VIC-1'!AR53+'QLD-1'!AR53+'NSW-2'!AR53+'VIC-2'!AR53+'QLD-2'!AR53+'SA-1'!AR53+'WA-1'!AR53+'IDC-NSW'!AR53+'IDC-VIC'!AR53</f>
        <v/>
      </c>
      <c r="AS53" s="30">
        <f>'NSW-1'!AS53+'VIC-1'!AS53+'QLD-1'!AS53+'NSW-2'!AS53+'VIC-2'!AS53+'QLD-2'!AS53+'SA-1'!AS53+'WA-1'!AS53+'IDC-NSW'!AS53+'IDC-VIC'!AS53</f>
        <v/>
      </c>
      <c r="AT53" s="30">
        <f>'NSW-1'!AT53+'VIC-1'!AT53+'QLD-1'!AT53+'NSW-2'!AT53+'VIC-2'!AT53+'QLD-2'!AT53+'SA-1'!AT53+'WA-1'!AT53+'IDC-NSW'!AT53+'IDC-VIC'!AT53</f>
        <v/>
      </c>
      <c r="AV53" s="15">
        <f>'NSW-1'!AV53+'VIC-1'!AV53+'QLD-1'!AV53+'NSW-2'!AV53+'VIC-2'!AV53+'QLD-2'!AV53+'SA-1'!AV53+'WA-1'!AV53+'IDC-NSW'!AV53+'IDC-VIC'!AV53</f>
        <v/>
      </c>
      <c r="AW53" s="9">
        <f>'NSW-1'!AW53+'VIC-1'!AW53+'QLD-1'!AW53+'NSW-2'!AW53+'VIC-2'!AW53+'QLD-2'!AW53+'SA-1'!AW53+'WA-1'!AW53+'IDC-NSW'!AW53+'IDC-VIC'!AW53</f>
        <v/>
      </c>
      <c r="AX53" s="30">
        <f>'NSW-1'!AX53+'VIC-1'!AX53+'QLD-1'!AX53+'NSW-2'!AX53+'VIC-2'!AX53+'QLD-2'!AX53+'SA-1'!AX53+'WA-1'!AX53+'IDC-NSW'!AX53+'IDC-VIC'!AX53</f>
        <v/>
      </c>
      <c r="AY53" s="30">
        <f>'NSW-1'!AY53+'VIC-1'!AY53+'QLD-1'!AY53+'NSW-2'!AY53+'VIC-2'!AY53+'QLD-2'!AY53+'SA-1'!AY53+'WA-1'!AY53+'IDC-NSW'!AY53+'IDC-VIC'!AY53</f>
        <v/>
      </c>
      <c r="AZ53" s="30">
        <f>'NSW-1'!AZ53+'VIC-1'!AZ53+'QLD-1'!AZ53+'NSW-2'!AZ53+'VIC-2'!AZ53+'QLD-2'!AZ53+'SA-1'!AZ53+'WA-1'!AZ53+'IDC-NSW'!AZ53+'IDC-VIC'!AZ53</f>
        <v/>
      </c>
    </row>
    <row r="54">
      <c r="A54" s="8" t="n">
        <v>46844</v>
      </c>
      <c r="B54" s="33">
        <f>YEAR(A54)</f>
        <v/>
      </c>
      <c r="C54" s="33">
        <f>MONTH(A54)</f>
        <v/>
      </c>
      <c r="D54">
        <f>IF(A54&lt;=LastActual,"Actual","Forecast")</f>
        <v/>
      </c>
      <c r="E54" s="30">
        <f>'NSW-1'!E54+'VIC-1'!E54+'QLD-1'!E54+'NSW-2'!E54+'VIC-2'!E54+'QLD-2'!E54+'SA-1'!E54+'WA-1'!E54</f>
        <v/>
      </c>
      <c r="F54" s="15">
        <f>'NSW-1'!F54+'VIC-1'!F54+'QLD-1'!F54+'NSW-2'!F54+'VIC-2'!F54+'QLD-2'!F54+'SA-1'!F54+'WA-1'!F54+'IDC-NSW'!F54+'IDC-VIC'!F54</f>
        <v/>
      </c>
      <c r="G54" s="9">
        <f>'NSW-1'!G54+'VIC-1'!G54+'QLD-1'!G54+'NSW-2'!G54+'VIC-2'!G54+'QLD-2'!G54+'SA-1'!G54+'WA-1'!G54+'IDC-NSW'!G54+'IDC-VIC'!G54</f>
        <v/>
      </c>
      <c r="H54" s="30">
        <f>'NSW-1'!H54+'VIC-1'!H54+'QLD-1'!H54+'NSW-2'!H54+'VIC-2'!H54+'QLD-2'!H54+'SA-1'!H54+'WA-1'!H54+'IDC-NSW'!H54+'IDC-VIC'!H54</f>
        <v/>
      </c>
      <c r="I54" s="30">
        <f>'NSW-1'!I54+'VIC-1'!I54+'QLD-1'!I54+'NSW-2'!I54+'VIC-2'!I54+'QLD-2'!I54+'SA-1'!I54+'WA-1'!I54+'IDC-NSW'!I54+'IDC-VIC'!I54</f>
        <v/>
      </c>
      <c r="J54" s="30">
        <f>'NSW-1'!J54+'VIC-1'!J54+'QLD-1'!J54+'NSW-2'!J54+'VIC-2'!J54+'QLD-2'!J54+'SA-1'!J54+'WA-1'!J54+'IDC-NSW'!J54+'IDC-VIC'!J54</f>
        <v/>
      </c>
      <c r="K54" s="10">
        <f>IFERROR(F54/G54,0)</f>
        <v/>
      </c>
      <c r="L54" s="34">
        <f>IFERROR(H54/G54,0)</f>
        <v/>
      </c>
      <c r="M54" s="35">
        <f>IFERROR(J54/F54,0)</f>
        <v/>
      </c>
      <c r="N54" s="36">
        <f>IFERROR(J54/E54,0)</f>
        <v/>
      </c>
      <c r="O54" s="36">
        <f>IFERROR(I54/J54,0)</f>
        <v/>
      </c>
      <c r="R54">
        <f>Inputs!$A$42</f>
        <v/>
      </c>
      <c r="S54" s="10">
        <f>IFERROR(SUMIFS('SA-1'!$F$15:$F$62,'SA-1'!$B$15:$B$62,2025)/SUMIFS('SA-1'!$G$15:$G$62,'SA-1'!$B$15:$B$62,2025),0)</f>
        <v/>
      </c>
      <c r="T54" s="10">
        <f>IFERROR(SUMIFS('SA-1'!$F$15:$F$62,'SA-1'!$B$15:$B$62,2026)/SUMIFS('SA-1'!$G$15:$G$62,'SA-1'!$B$15:$B$62,2026),0)</f>
        <v/>
      </c>
      <c r="U54" s="10">
        <f>IFERROR(SUMIFS('SA-1'!$F$15:$F$62,'SA-1'!$B$15:$B$62,2027)/SUMIFS('SA-1'!$G$15:$G$62,'SA-1'!$B$15:$B$62,2027),0)</f>
        <v/>
      </c>
      <c r="V54" s="10">
        <f>IFERROR(SUMIFS('SA-1'!$F$15:$F$62,'SA-1'!$B$15:$B$62,2028)/SUMIFS('SA-1'!$G$15:$G$62,'SA-1'!$B$15:$B$62,2028),0)</f>
        <v/>
      </c>
      <c r="AJ54" s="15">
        <f>'NSW-1'!AJ54+'VIC-1'!AJ54+'QLD-1'!AJ54+'NSW-2'!AJ54+'VIC-2'!AJ54+'QLD-2'!AJ54+'SA-1'!AJ54+'WA-1'!AJ54+'IDC-NSW'!AJ54+'IDC-VIC'!AJ54</f>
        <v/>
      </c>
      <c r="AK54" s="9">
        <f>'NSW-1'!AK54+'VIC-1'!AK54+'QLD-1'!AK54+'NSW-2'!AK54+'VIC-2'!AK54+'QLD-2'!AK54+'SA-1'!AK54+'WA-1'!AK54+'IDC-NSW'!AK54+'IDC-VIC'!AK54</f>
        <v/>
      </c>
      <c r="AL54" s="30">
        <f>'NSW-1'!AL54+'VIC-1'!AL54+'QLD-1'!AL54+'NSW-2'!AL54+'VIC-2'!AL54+'QLD-2'!AL54+'SA-1'!AL54+'WA-1'!AL54+'IDC-NSW'!AL54+'IDC-VIC'!AL54</f>
        <v/>
      </c>
      <c r="AM54" s="30">
        <f>'NSW-1'!AM54+'VIC-1'!AM54+'QLD-1'!AM54+'NSW-2'!AM54+'VIC-2'!AM54+'QLD-2'!AM54+'SA-1'!AM54+'WA-1'!AM54+'IDC-NSW'!AM54+'IDC-VIC'!AM54</f>
        <v/>
      </c>
      <c r="AN54" s="30">
        <f>'NSW-1'!AN54+'VIC-1'!AN54+'QLD-1'!AN54+'NSW-2'!AN54+'VIC-2'!AN54+'QLD-2'!AN54+'SA-1'!AN54+'WA-1'!AN54+'IDC-NSW'!AN54+'IDC-VIC'!AN54</f>
        <v/>
      </c>
      <c r="AP54" s="15">
        <f>'NSW-1'!AP54+'VIC-1'!AP54+'QLD-1'!AP54+'NSW-2'!AP54+'VIC-2'!AP54+'QLD-2'!AP54+'SA-1'!AP54+'WA-1'!AP54+'IDC-NSW'!AP54+'IDC-VIC'!AP54</f>
        <v/>
      </c>
      <c r="AQ54" s="9">
        <f>'NSW-1'!AQ54+'VIC-1'!AQ54+'QLD-1'!AQ54+'NSW-2'!AQ54+'VIC-2'!AQ54+'QLD-2'!AQ54+'SA-1'!AQ54+'WA-1'!AQ54+'IDC-NSW'!AQ54+'IDC-VIC'!AQ54</f>
        <v/>
      </c>
      <c r="AR54" s="30">
        <f>'NSW-1'!AR54+'VIC-1'!AR54+'QLD-1'!AR54+'NSW-2'!AR54+'VIC-2'!AR54+'QLD-2'!AR54+'SA-1'!AR54+'WA-1'!AR54+'IDC-NSW'!AR54+'IDC-VIC'!AR54</f>
        <v/>
      </c>
      <c r="AS54" s="30">
        <f>'NSW-1'!AS54+'VIC-1'!AS54+'QLD-1'!AS54+'NSW-2'!AS54+'VIC-2'!AS54+'QLD-2'!AS54+'SA-1'!AS54+'WA-1'!AS54+'IDC-NSW'!AS54+'IDC-VIC'!AS54</f>
        <v/>
      </c>
      <c r="AT54" s="30">
        <f>'NSW-1'!AT54+'VIC-1'!AT54+'QLD-1'!AT54+'NSW-2'!AT54+'VIC-2'!AT54+'QLD-2'!AT54+'SA-1'!AT54+'WA-1'!AT54+'IDC-NSW'!AT54+'IDC-VIC'!AT54</f>
        <v/>
      </c>
      <c r="AV54" s="15">
        <f>'NSW-1'!AV54+'VIC-1'!AV54+'QLD-1'!AV54+'NSW-2'!AV54+'VIC-2'!AV54+'QLD-2'!AV54+'SA-1'!AV54+'WA-1'!AV54+'IDC-NSW'!AV54+'IDC-VIC'!AV54</f>
        <v/>
      </c>
      <c r="AW54" s="9">
        <f>'NSW-1'!AW54+'VIC-1'!AW54+'QLD-1'!AW54+'NSW-2'!AW54+'VIC-2'!AW54+'QLD-2'!AW54+'SA-1'!AW54+'WA-1'!AW54+'IDC-NSW'!AW54+'IDC-VIC'!AW54</f>
        <v/>
      </c>
      <c r="AX54" s="30">
        <f>'NSW-1'!AX54+'VIC-1'!AX54+'QLD-1'!AX54+'NSW-2'!AX54+'VIC-2'!AX54+'QLD-2'!AX54+'SA-1'!AX54+'WA-1'!AX54+'IDC-NSW'!AX54+'IDC-VIC'!AX54</f>
        <v/>
      </c>
      <c r="AY54" s="30">
        <f>'NSW-1'!AY54+'VIC-1'!AY54+'QLD-1'!AY54+'NSW-2'!AY54+'VIC-2'!AY54+'QLD-2'!AY54+'SA-1'!AY54+'WA-1'!AY54+'IDC-NSW'!AY54+'IDC-VIC'!AY54</f>
        <v/>
      </c>
      <c r="AZ54" s="30">
        <f>'NSW-1'!AZ54+'VIC-1'!AZ54+'QLD-1'!AZ54+'NSW-2'!AZ54+'VIC-2'!AZ54+'QLD-2'!AZ54+'SA-1'!AZ54+'WA-1'!AZ54+'IDC-NSW'!AZ54+'IDC-VIC'!AZ54</f>
        <v/>
      </c>
    </row>
    <row r="55">
      <c r="A55" s="8" t="n">
        <v>46874</v>
      </c>
      <c r="B55" s="33">
        <f>YEAR(A55)</f>
        <v/>
      </c>
      <c r="C55" s="33">
        <f>MONTH(A55)</f>
        <v/>
      </c>
      <c r="D55">
        <f>IF(A55&lt;=LastActual,"Actual","Forecast")</f>
        <v/>
      </c>
      <c r="E55" s="30">
        <f>'NSW-1'!E55+'VIC-1'!E55+'QLD-1'!E55+'NSW-2'!E55+'VIC-2'!E55+'QLD-2'!E55+'SA-1'!E55+'WA-1'!E55</f>
        <v/>
      </c>
      <c r="F55" s="15">
        <f>'NSW-1'!F55+'VIC-1'!F55+'QLD-1'!F55+'NSW-2'!F55+'VIC-2'!F55+'QLD-2'!F55+'SA-1'!F55+'WA-1'!F55+'IDC-NSW'!F55+'IDC-VIC'!F55</f>
        <v/>
      </c>
      <c r="G55" s="9">
        <f>'NSW-1'!G55+'VIC-1'!G55+'QLD-1'!G55+'NSW-2'!G55+'VIC-2'!G55+'QLD-2'!G55+'SA-1'!G55+'WA-1'!G55+'IDC-NSW'!G55+'IDC-VIC'!G55</f>
        <v/>
      </c>
      <c r="H55" s="30">
        <f>'NSW-1'!H55+'VIC-1'!H55+'QLD-1'!H55+'NSW-2'!H55+'VIC-2'!H55+'QLD-2'!H55+'SA-1'!H55+'WA-1'!H55+'IDC-NSW'!H55+'IDC-VIC'!H55</f>
        <v/>
      </c>
      <c r="I55" s="30">
        <f>'NSW-1'!I55+'VIC-1'!I55+'QLD-1'!I55+'NSW-2'!I55+'VIC-2'!I55+'QLD-2'!I55+'SA-1'!I55+'WA-1'!I55+'IDC-NSW'!I55+'IDC-VIC'!I55</f>
        <v/>
      </c>
      <c r="J55" s="30">
        <f>'NSW-1'!J55+'VIC-1'!J55+'QLD-1'!J55+'NSW-2'!J55+'VIC-2'!J55+'QLD-2'!J55+'SA-1'!J55+'WA-1'!J55+'IDC-NSW'!J55+'IDC-VIC'!J55</f>
        <v/>
      </c>
      <c r="K55" s="10">
        <f>IFERROR(F55/G55,0)</f>
        <v/>
      </c>
      <c r="L55" s="34">
        <f>IFERROR(H55/G55,0)</f>
        <v/>
      </c>
      <c r="M55" s="35">
        <f>IFERROR(J55/F55,0)</f>
        <v/>
      </c>
      <c r="N55" s="36">
        <f>IFERROR(J55/E55,0)</f>
        <v/>
      </c>
      <c r="O55" s="36">
        <f>IFERROR(I55/J55,0)</f>
        <v/>
      </c>
      <c r="R55">
        <f>Inputs!$A$43</f>
        <v/>
      </c>
      <c r="S55" s="10">
        <f>IFERROR(SUMIFS('WA-1'!$F$15:$F$62,'WA-1'!$B$15:$B$62,2025)/SUMIFS('WA-1'!$G$15:$G$62,'WA-1'!$B$15:$B$62,2025),0)</f>
        <v/>
      </c>
      <c r="T55" s="10">
        <f>IFERROR(SUMIFS('WA-1'!$F$15:$F$62,'WA-1'!$B$15:$B$62,2026)/SUMIFS('WA-1'!$G$15:$G$62,'WA-1'!$B$15:$B$62,2026),0)</f>
        <v/>
      </c>
      <c r="U55" s="10">
        <f>IFERROR(SUMIFS('WA-1'!$F$15:$F$62,'WA-1'!$B$15:$B$62,2027)/SUMIFS('WA-1'!$G$15:$G$62,'WA-1'!$B$15:$B$62,2027),0)</f>
        <v/>
      </c>
      <c r="V55" s="10">
        <f>IFERROR(SUMIFS('WA-1'!$F$15:$F$62,'WA-1'!$B$15:$B$62,2028)/SUMIFS('WA-1'!$G$15:$G$62,'WA-1'!$B$15:$B$62,2028),0)</f>
        <v/>
      </c>
      <c r="AJ55" s="15">
        <f>'NSW-1'!AJ55+'VIC-1'!AJ55+'QLD-1'!AJ55+'NSW-2'!AJ55+'VIC-2'!AJ55+'QLD-2'!AJ55+'SA-1'!AJ55+'WA-1'!AJ55+'IDC-NSW'!AJ55+'IDC-VIC'!AJ55</f>
        <v/>
      </c>
      <c r="AK55" s="9">
        <f>'NSW-1'!AK55+'VIC-1'!AK55+'QLD-1'!AK55+'NSW-2'!AK55+'VIC-2'!AK55+'QLD-2'!AK55+'SA-1'!AK55+'WA-1'!AK55+'IDC-NSW'!AK55+'IDC-VIC'!AK55</f>
        <v/>
      </c>
      <c r="AL55" s="30">
        <f>'NSW-1'!AL55+'VIC-1'!AL55+'QLD-1'!AL55+'NSW-2'!AL55+'VIC-2'!AL55+'QLD-2'!AL55+'SA-1'!AL55+'WA-1'!AL55+'IDC-NSW'!AL55+'IDC-VIC'!AL55</f>
        <v/>
      </c>
      <c r="AM55" s="30">
        <f>'NSW-1'!AM55+'VIC-1'!AM55+'QLD-1'!AM55+'NSW-2'!AM55+'VIC-2'!AM55+'QLD-2'!AM55+'SA-1'!AM55+'WA-1'!AM55+'IDC-NSW'!AM55+'IDC-VIC'!AM55</f>
        <v/>
      </c>
      <c r="AN55" s="30">
        <f>'NSW-1'!AN55+'VIC-1'!AN55+'QLD-1'!AN55+'NSW-2'!AN55+'VIC-2'!AN55+'QLD-2'!AN55+'SA-1'!AN55+'WA-1'!AN55+'IDC-NSW'!AN55+'IDC-VIC'!AN55</f>
        <v/>
      </c>
      <c r="AP55" s="15">
        <f>'NSW-1'!AP55+'VIC-1'!AP55+'QLD-1'!AP55+'NSW-2'!AP55+'VIC-2'!AP55+'QLD-2'!AP55+'SA-1'!AP55+'WA-1'!AP55+'IDC-NSW'!AP55+'IDC-VIC'!AP55</f>
        <v/>
      </c>
      <c r="AQ55" s="9">
        <f>'NSW-1'!AQ55+'VIC-1'!AQ55+'QLD-1'!AQ55+'NSW-2'!AQ55+'VIC-2'!AQ55+'QLD-2'!AQ55+'SA-1'!AQ55+'WA-1'!AQ55+'IDC-NSW'!AQ55+'IDC-VIC'!AQ55</f>
        <v/>
      </c>
      <c r="AR55" s="30">
        <f>'NSW-1'!AR55+'VIC-1'!AR55+'QLD-1'!AR55+'NSW-2'!AR55+'VIC-2'!AR55+'QLD-2'!AR55+'SA-1'!AR55+'WA-1'!AR55+'IDC-NSW'!AR55+'IDC-VIC'!AR55</f>
        <v/>
      </c>
      <c r="AS55" s="30">
        <f>'NSW-1'!AS55+'VIC-1'!AS55+'QLD-1'!AS55+'NSW-2'!AS55+'VIC-2'!AS55+'QLD-2'!AS55+'SA-1'!AS55+'WA-1'!AS55+'IDC-NSW'!AS55+'IDC-VIC'!AS55</f>
        <v/>
      </c>
      <c r="AT55" s="30">
        <f>'NSW-1'!AT55+'VIC-1'!AT55+'QLD-1'!AT55+'NSW-2'!AT55+'VIC-2'!AT55+'QLD-2'!AT55+'SA-1'!AT55+'WA-1'!AT55+'IDC-NSW'!AT55+'IDC-VIC'!AT55</f>
        <v/>
      </c>
      <c r="AV55" s="15">
        <f>'NSW-1'!AV55+'VIC-1'!AV55+'QLD-1'!AV55+'NSW-2'!AV55+'VIC-2'!AV55+'QLD-2'!AV55+'SA-1'!AV55+'WA-1'!AV55+'IDC-NSW'!AV55+'IDC-VIC'!AV55</f>
        <v/>
      </c>
      <c r="AW55" s="9">
        <f>'NSW-1'!AW55+'VIC-1'!AW55+'QLD-1'!AW55+'NSW-2'!AW55+'VIC-2'!AW55+'QLD-2'!AW55+'SA-1'!AW55+'WA-1'!AW55+'IDC-NSW'!AW55+'IDC-VIC'!AW55</f>
        <v/>
      </c>
      <c r="AX55" s="30">
        <f>'NSW-1'!AX55+'VIC-1'!AX55+'QLD-1'!AX55+'NSW-2'!AX55+'VIC-2'!AX55+'QLD-2'!AX55+'SA-1'!AX55+'WA-1'!AX55+'IDC-NSW'!AX55+'IDC-VIC'!AX55</f>
        <v/>
      </c>
      <c r="AY55" s="30">
        <f>'NSW-1'!AY55+'VIC-1'!AY55+'QLD-1'!AY55+'NSW-2'!AY55+'VIC-2'!AY55+'QLD-2'!AY55+'SA-1'!AY55+'WA-1'!AY55+'IDC-NSW'!AY55+'IDC-VIC'!AY55</f>
        <v/>
      </c>
      <c r="AZ55" s="30">
        <f>'NSW-1'!AZ55+'VIC-1'!AZ55+'QLD-1'!AZ55+'NSW-2'!AZ55+'VIC-2'!AZ55+'QLD-2'!AZ55+'SA-1'!AZ55+'WA-1'!AZ55+'IDC-NSW'!AZ55+'IDC-VIC'!AZ55</f>
        <v/>
      </c>
    </row>
    <row r="56">
      <c r="A56" s="8" t="n">
        <v>46905</v>
      </c>
      <c r="B56" s="33">
        <f>YEAR(A56)</f>
        <v/>
      </c>
      <c r="C56" s="33">
        <f>MONTH(A56)</f>
        <v/>
      </c>
      <c r="D56">
        <f>IF(A56&lt;=LastActual,"Actual","Forecast")</f>
        <v/>
      </c>
      <c r="E56" s="30">
        <f>'NSW-1'!E56+'VIC-1'!E56+'QLD-1'!E56+'NSW-2'!E56+'VIC-2'!E56+'QLD-2'!E56+'SA-1'!E56+'WA-1'!E56</f>
        <v/>
      </c>
      <c r="F56" s="15">
        <f>'NSW-1'!F56+'VIC-1'!F56+'QLD-1'!F56+'NSW-2'!F56+'VIC-2'!F56+'QLD-2'!F56+'SA-1'!F56+'WA-1'!F56+'IDC-NSW'!F56+'IDC-VIC'!F56</f>
        <v/>
      </c>
      <c r="G56" s="9">
        <f>'NSW-1'!G56+'VIC-1'!G56+'QLD-1'!G56+'NSW-2'!G56+'VIC-2'!G56+'QLD-2'!G56+'SA-1'!G56+'WA-1'!G56+'IDC-NSW'!G56+'IDC-VIC'!G56</f>
        <v/>
      </c>
      <c r="H56" s="30">
        <f>'NSW-1'!H56+'VIC-1'!H56+'QLD-1'!H56+'NSW-2'!H56+'VIC-2'!H56+'QLD-2'!H56+'SA-1'!H56+'WA-1'!H56+'IDC-NSW'!H56+'IDC-VIC'!H56</f>
        <v/>
      </c>
      <c r="I56" s="30">
        <f>'NSW-1'!I56+'VIC-1'!I56+'QLD-1'!I56+'NSW-2'!I56+'VIC-2'!I56+'QLD-2'!I56+'SA-1'!I56+'WA-1'!I56+'IDC-NSW'!I56+'IDC-VIC'!I56</f>
        <v/>
      </c>
      <c r="J56" s="30">
        <f>'NSW-1'!J56+'VIC-1'!J56+'QLD-1'!J56+'NSW-2'!J56+'VIC-2'!J56+'QLD-2'!J56+'SA-1'!J56+'WA-1'!J56+'IDC-NSW'!J56+'IDC-VIC'!J56</f>
        <v/>
      </c>
      <c r="K56" s="10">
        <f>IFERROR(F56/G56,0)</f>
        <v/>
      </c>
      <c r="L56" s="34">
        <f>IFERROR(H56/G56,0)</f>
        <v/>
      </c>
      <c r="M56" s="35">
        <f>IFERROR(J56/F56,0)</f>
        <v/>
      </c>
      <c r="N56" s="36">
        <f>IFERROR(J56/E56,0)</f>
        <v/>
      </c>
      <c r="O56" s="36">
        <f>IFERROR(I56/J56,0)</f>
        <v/>
      </c>
      <c r="R56">
        <f>Inputs!$A$44</f>
        <v/>
      </c>
      <c r="S56" s="10">
        <f>IFERROR(SUMIFS('IDC-NSW'!$F$15:$F$62,'IDC-NSW'!$B$15:$B$62,2025)/SUMIFS('IDC-NSW'!$G$15:$G$62,'IDC-NSW'!$B$15:$B$62,2025),0)</f>
        <v/>
      </c>
      <c r="T56" s="10">
        <f>IFERROR(SUMIFS('IDC-NSW'!$F$15:$F$62,'IDC-NSW'!$B$15:$B$62,2026)/SUMIFS('IDC-NSW'!$G$15:$G$62,'IDC-NSW'!$B$15:$B$62,2026),0)</f>
        <v/>
      </c>
      <c r="U56" s="10">
        <f>IFERROR(SUMIFS('IDC-NSW'!$F$15:$F$62,'IDC-NSW'!$B$15:$B$62,2027)/SUMIFS('IDC-NSW'!$G$15:$G$62,'IDC-NSW'!$B$15:$B$62,2027),0)</f>
        <v/>
      </c>
      <c r="V56" s="10">
        <f>IFERROR(SUMIFS('IDC-NSW'!$F$15:$F$62,'IDC-NSW'!$B$15:$B$62,2028)/SUMIFS('IDC-NSW'!$G$15:$G$62,'IDC-NSW'!$B$15:$B$62,2028),0)</f>
        <v/>
      </c>
      <c r="AJ56" s="15">
        <f>'NSW-1'!AJ56+'VIC-1'!AJ56+'QLD-1'!AJ56+'NSW-2'!AJ56+'VIC-2'!AJ56+'QLD-2'!AJ56+'SA-1'!AJ56+'WA-1'!AJ56+'IDC-NSW'!AJ56+'IDC-VIC'!AJ56</f>
        <v/>
      </c>
      <c r="AK56" s="9">
        <f>'NSW-1'!AK56+'VIC-1'!AK56+'QLD-1'!AK56+'NSW-2'!AK56+'VIC-2'!AK56+'QLD-2'!AK56+'SA-1'!AK56+'WA-1'!AK56+'IDC-NSW'!AK56+'IDC-VIC'!AK56</f>
        <v/>
      </c>
      <c r="AL56" s="30">
        <f>'NSW-1'!AL56+'VIC-1'!AL56+'QLD-1'!AL56+'NSW-2'!AL56+'VIC-2'!AL56+'QLD-2'!AL56+'SA-1'!AL56+'WA-1'!AL56+'IDC-NSW'!AL56+'IDC-VIC'!AL56</f>
        <v/>
      </c>
      <c r="AM56" s="30">
        <f>'NSW-1'!AM56+'VIC-1'!AM56+'QLD-1'!AM56+'NSW-2'!AM56+'VIC-2'!AM56+'QLD-2'!AM56+'SA-1'!AM56+'WA-1'!AM56+'IDC-NSW'!AM56+'IDC-VIC'!AM56</f>
        <v/>
      </c>
      <c r="AN56" s="30">
        <f>'NSW-1'!AN56+'VIC-1'!AN56+'QLD-1'!AN56+'NSW-2'!AN56+'VIC-2'!AN56+'QLD-2'!AN56+'SA-1'!AN56+'WA-1'!AN56+'IDC-NSW'!AN56+'IDC-VIC'!AN56</f>
        <v/>
      </c>
      <c r="AP56" s="15">
        <f>'NSW-1'!AP56+'VIC-1'!AP56+'QLD-1'!AP56+'NSW-2'!AP56+'VIC-2'!AP56+'QLD-2'!AP56+'SA-1'!AP56+'WA-1'!AP56+'IDC-NSW'!AP56+'IDC-VIC'!AP56</f>
        <v/>
      </c>
      <c r="AQ56" s="9">
        <f>'NSW-1'!AQ56+'VIC-1'!AQ56+'QLD-1'!AQ56+'NSW-2'!AQ56+'VIC-2'!AQ56+'QLD-2'!AQ56+'SA-1'!AQ56+'WA-1'!AQ56+'IDC-NSW'!AQ56+'IDC-VIC'!AQ56</f>
        <v/>
      </c>
      <c r="AR56" s="30">
        <f>'NSW-1'!AR56+'VIC-1'!AR56+'QLD-1'!AR56+'NSW-2'!AR56+'VIC-2'!AR56+'QLD-2'!AR56+'SA-1'!AR56+'WA-1'!AR56+'IDC-NSW'!AR56+'IDC-VIC'!AR56</f>
        <v/>
      </c>
      <c r="AS56" s="30">
        <f>'NSW-1'!AS56+'VIC-1'!AS56+'QLD-1'!AS56+'NSW-2'!AS56+'VIC-2'!AS56+'QLD-2'!AS56+'SA-1'!AS56+'WA-1'!AS56+'IDC-NSW'!AS56+'IDC-VIC'!AS56</f>
        <v/>
      </c>
      <c r="AT56" s="30">
        <f>'NSW-1'!AT56+'VIC-1'!AT56+'QLD-1'!AT56+'NSW-2'!AT56+'VIC-2'!AT56+'QLD-2'!AT56+'SA-1'!AT56+'WA-1'!AT56+'IDC-NSW'!AT56+'IDC-VIC'!AT56</f>
        <v/>
      </c>
      <c r="AV56" s="15">
        <f>'NSW-1'!AV56+'VIC-1'!AV56+'QLD-1'!AV56+'NSW-2'!AV56+'VIC-2'!AV56+'QLD-2'!AV56+'SA-1'!AV56+'WA-1'!AV56+'IDC-NSW'!AV56+'IDC-VIC'!AV56</f>
        <v/>
      </c>
      <c r="AW56" s="9">
        <f>'NSW-1'!AW56+'VIC-1'!AW56+'QLD-1'!AW56+'NSW-2'!AW56+'VIC-2'!AW56+'QLD-2'!AW56+'SA-1'!AW56+'WA-1'!AW56+'IDC-NSW'!AW56+'IDC-VIC'!AW56</f>
        <v/>
      </c>
      <c r="AX56" s="30">
        <f>'NSW-1'!AX56+'VIC-1'!AX56+'QLD-1'!AX56+'NSW-2'!AX56+'VIC-2'!AX56+'QLD-2'!AX56+'SA-1'!AX56+'WA-1'!AX56+'IDC-NSW'!AX56+'IDC-VIC'!AX56</f>
        <v/>
      </c>
      <c r="AY56" s="30">
        <f>'NSW-1'!AY56+'VIC-1'!AY56+'QLD-1'!AY56+'NSW-2'!AY56+'VIC-2'!AY56+'QLD-2'!AY56+'SA-1'!AY56+'WA-1'!AY56+'IDC-NSW'!AY56+'IDC-VIC'!AY56</f>
        <v/>
      </c>
      <c r="AZ56" s="30">
        <f>'NSW-1'!AZ56+'VIC-1'!AZ56+'QLD-1'!AZ56+'NSW-2'!AZ56+'VIC-2'!AZ56+'QLD-2'!AZ56+'SA-1'!AZ56+'WA-1'!AZ56+'IDC-NSW'!AZ56+'IDC-VIC'!AZ56</f>
        <v/>
      </c>
    </row>
    <row r="57">
      <c r="A57" s="8" t="n">
        <v>46935</v>
      </c>
      <c r="B57" s="33">
        <f>YEAR(A57)</f>
        <v/>
      </c>
      <c r="C57" s="33">
        <f>MONTH(A57)</f>
        <v/>
      </c>
      <c r="D57">
        <f>IF(A57&lt;=LastActual,"Actual","Forecast")</f>
        <v/>
      </c>
      <c r="E57" s="30">
        <f>'NSW-1'!E57+'VIC-1'!E57+'QLD-1'!E57+'NSW-2'!E57+'VIC-2'!E57+'QLD-2'!E57+'SA-1'!E57+'WA-1'!E57</f>
        <v/>
      </c>
      <c r="F57" s="15">
        <f>'NSW-1'!F57+'VIC-1'!F57+'QLD-1'!F57+'NSW-2'!F57+'VIC-2'!F57+'QLD-2'!F57+'SA-1'!F57+'WA-1'!F57+'IDC-NSW'!F57+'IDC-VIC'!F57</f>
        <v/>
      </c>
      <c r="G57" s="9">
        <f>'NSW-1'!G57+'VIC-1'!G57+'QLD-1'!G57+'NSW-2'!G57+'VIC-2'!G57+'QLD-2'!G57+'SA-1'!G57+'WA-1'!G57+'IDC-NSW'!G57+'IDC-VIC'!G57</f>
        <v/>
      </c>
      <c r="H57" s="30">
        <f>'NSW-1'!H57+'VIC-1'!H57+'QLD-1'!H57+'NSW-2'!H57+'VIC-2'!H57+'QLD-2'!H57+'SA-1'!H57+'WA-1'!H57+'IDC-NSW'!H57+'IDC-VIC'!H57</f>
        <v/>
      </c>
      <c r="I57" s="30">
        <f>'NSW-1'!I57+'VIC-1'!I57+'QLD-1'!I57+'NSW-2'!I57+'VIC-2'!I57+'QLD-2'!I57+'SA-1'!I57+'WA-1'!I57+'IDC-NSW'!I57+'IDC-VIC'!I57</f>
        <v/>
      </c>
      <c r="J57" s="30">
        <f>'NSW-1'!J57+'VIC-1'!J57+'QLD-1'!J57+'NSW-2'!J57+'VIC-2'!J57+'QLD-2'!J57+'SA-1'!J57+'WA-1'!J57+'IDC-NSW'!J57+'IDC-VIC'!J57</f>
        <v/>
      </c>
      <c r="K57" s="10">
        <f>IFERROR(F57/G57,0)</f>
        <v/>
      </c>
      <c r="L57" s="34">
        <f>IFERROR(H57/G57,0)</f>
        <v/>
      </c>
      <c r="M57" s="35">
        <f>IFERROR(J57/F57,0)</f>
        <v/>
      </c>
      <c r="N57" s="36">
        <f>IFERROR(J57/E57,0)</f>
        <v/>
      </c>
      <c r="O57" s="36">
        <f>IFERROR(I57/J57,0)</f>
        <v/>
      </c>
      <c r="R57">
        <f>Inputs!$A$45</f>
        <v/>
      </c>
      <c r="S57" s="10">
        <f>IFERROR(SUMIFS('IDC-VIC'!$F$15:$F$62,'IDC-VIC'!$B$15:$B$62,2025)/SUMIFS('IDC-VIC'!$G$15:$G$62,'IDC-VIC'!$B$15:$B$62,2025),0)</f>
        <v/>
      </c>
      <c r="T57" s="10">
        <f>IFERROR(SUMIFS('IDC-VIC'!$F$15:$F$62,'IDC-VIC'!$B$15:$B$62,2026)/SUMIFS('IDC-VIC'!$G$15:$G$62,'IDC-VIC'!$B$15:$B$62,2026),0)</f>
        <v/>
      </c>
      <c r="U57" s="10">
        <f>IFERROR(SUMIFS('IDC-VIC'!$F$15:$F$62,'IDC-VIC'!$B$15:$B$62,2027)/SUMIFS('IDC-VIC'!$G$15:$G$62,'IDC-VIC'!$B$15:$B$62,2027),0)</f>
        <v/>
      </c>
      <c r="V57" s="10">
        <f>IFERROR(SUMIFS('IDC-VIC'!$F$15:$F$62,'IDC-VIC'!$B$15:$B$62,2028)/SUMIFS('IDC-VIC'!$G$15:$G$62,'IDC-VIC'!$B$15:$B$62,2028),0)</f>
        <v/>
      </c>
      <c r="AJ57" s="15">
        <f>'NSW-1'!AJ57+'VIC-1'!AJ57+'QLD-1'!AJ57+'NSW-2'!AJ57+'VIC-2'!AJ57+'QLD-2'!AJ57+'SA-1'!AJ57+'WA-1'!AJ57+'IDC-NSW'!AJ57+'IDC-VIC'!AJ57</f>
        <v/>
      </c>
      <c r="AK57" s="9">
        <f>'NSW-1'!AK57+'VIC-1'!AK57+'QLD-1'!AK57+'NSW-2'!AK57+'VIC-2'!AK57+'QLD-2'!AK57+'SA-1'!AK57+'WA-1'!AK57+'IDC-NSW'!AK57+'IDC-VIC'!AK57</f>
        <v/>
      </c>
      <c r="AL57" s="30">
        <f>'NSW-1'!AL57+'VIC-1'!AL57+'QLD-1'!AL57+'NSW-2'!AL57+'VIC-2'!AL57+'QLD-2'!AL57+'SA-1'!AL57+'WA-1'!AL57+'IDC-NSW'!AL57+'IDC-VIC'!AL57</f>
        <v/>
      </c>
      <c r="AM57" s="30">
        <f>'NSW-1'!AM57+'VIC-1'!AM57+'QLD-1'!AM57+'NSW-2'!AM57+'VIC-2'!AM57+'QLD-2'!AM57+'SA-1'!AM57+'WA-1'!AM57+'IDC-NSW'!AM57+'IDC-VIC'!AM57</f>
        <v/>
      </c>
      <c r="AN57" s="30">
        <f>'NSW-1'!AN57+'VIC-1'!AN57+'QLD-1'!AN57+'NSW-2'!AN57+'VIC-2'!AN57+'QLD-2'!AN57+'SA-1'!AN57+'WA-1'!AN57+'IDC-NSW'!AN57+'IDC-VIC'!AN57</f>
        <v/>
      </c>
      <c r="AP57" s="15">
        <f>'NSW-1'!AP57+'VIC-1'!AP57+'QLD-1'!AP57+'NSW-2'!AP57+'VIC-2'!AP57+'QLD-2'!AP57+'SA-1'!AP57+'WA-1'!AP57+'IDC-NSW'!AP57+'IDC-VIC'!AP57</f>
        <v/>
      </c>
      <c r="AQ57" s="9">
        <f>'NSW-1'!AQ57+'VIC-1'!AQ57+'QLD-1'!AQ57+'NSW-2'!AQ57+'VIC-2'!AQ57+'QLD-2'!AQ57+'SA-1'!AQ57+'WA-1'!AQ57+'IDC-NSW'!AQ57+'IDC-VIC'!AQ57</f>
        <v/>
      </c>
      <c r="AR57" s="30">
        <f>'NSW-1'!AR57+'VIC-1'!AR57+'QLD-1'!AR57+'NSW-2'!AR57+'VIC-2'!AR57+'QLD-2'!AR57+'SA-1'!AR57+'WA-1'!AR57+'IDC-NSW'!AR57+'IDC-VIC'!AR57</f>
        <v/>
      </c>
      <c r="AS57" s="30">
        <f>'NSW-1'!AS57+'VIC-1'!AS57+'QLD-1'!AS57+'NSW-2'!AS57+'VIC-2'!AS57+'QLD-2'!AS57+'SA-1'!AS57+'WA-1'!AS57+'IDC-NSW'!AS57+'IDC-VIC'!AS57</f>
        <v/>
      </c>
      <c r="AT57" s="30">
        <f>'NSW-1'!AT57+'VIC-1'!AT57+'QLD-1'!AT57+'NSW-2'!AT57+'VIC-2'!AT57+'QLD-2'!AT57+'SA-1'!AT57+'WA-1'!AT57+'IDC-NSW'!AT57+'IDC-VIC'!AT57</f>
        <v/>
      </c>
      <c r="AV57" s="15">
        <f>'NSW-1'!AV57+'VIC-1'!AV57+'QLD-1'!AV57+'NSW-2'!AV57+'VIC-2'!AV57+'QLD-2'!AV57+'SA-1'!AV57+'WA-1'!AV57+'IDC-NSW'!AV57+'IDC-VIC'!AV57</f>
        <v/>
      </c>
      <c r="AW57" s="9">
        <f>'NSW-1'!AW57+'VIC-1'!AW57+'QLD-1'!AW57+'NSW-2'!AW57+'VIC-2'!AW57+'QLD-2'!AW57+'SA-1'!AW57+'WA-1'!AW57+'IDC-NSW'!AW57+'IDC-VIC'!AW57</f>
        <v/>
      </c>
      <c r="AX57" s="30">
        <f>'NSW-1'!AX57+'VIC-1'!AX57+'QLD-1'!AX57+'NSW-2'!AX57+'VIC-2'!AX57+'QLD-2'!AX57+'SA-1'!AX57+'WA-1'!AX57+'IDC-NSW'!AX57+'IDC-VIC'!AX57</f>
        <v/>
      </c>
      <c r="AY57" s="30">
        <f>'NSW-1'!AY57+'VIC-1'!AY57+'QLD-1'!AY57+'NSW-2'!AY57+'VIC-2'!AY57+'QLD-2'!AY57+'SA-1'!AY57+'WA-1'!AY57+'IDC-NSW'!AY57+'IDC-VIC'!AY57</f>
        <v/>
      </c>
      <c r="AZ57" s="30">
        <f>'NSW-1'!AZ57+'VIC-1'!AZ57+'QLD-1'!AZ57+'NSW-2'!AZ57+'VIC-2'!AZ57+'QLD-2'!AZ57+'SA-1'!AZ57+'WA-1'!AZ57+'IDC-NSW'!AZ57+'IDC-VIC'!AZ57</f>
        <v/>
      </c>
    </row>
    <row r="58">
      <c r="A58" s="8" t="n">
        <v>46966</v>
      </c>
      <c r="B58" s="33">
        <f>YEAR(A58)</f>
        <v/>
      </c>
      <c r="C58" s="33">
        <f>MONTH(A58)</f>
        <v/>
      </c>
      <c r="D58">
        <f>IF(A58&lt;=LastActual,"Actual","Forecast")</f>
        <v/>
      </c>
      <c r="E58" s="30">
        <f>'NSW-1'!E58+'VIC-1'!E58+'QLD-1'!E58+'NSW-2'!E58+'VIC-2'!E58+'QLD-2'!E58+'SA-1'!E58+'WA-1'!E58</f>
        <v/>
      </c>
      <c r="F58" s="15">
        <f>'NSW-1'!F58+'VIC-1'!F58+'QLD-1'!F58+'NSW-2'!F58+'VIC-2'!F58+'QLD-2'!F58+'SA-1'!F58+'WA-1'!F58+'IDC-NSW'!F58+'IDC-VIC'!F58</f>
        <v/>
      </c>
      <c r="G58" s="9">
        <f>'NSW-1'!G58+'VIC-1'!G58+'QLD-1'!G58+'NSW-2'!G58+'VIC-2'!G58+'QLD-2'!G58+'SA-1'!G58+'WA-1'!G58+'IDC-NSW'!G58+'IDC-VIC'!G58</f>
        <v/>
      </c>
      <c r="H58" s="30">
        <f>'NSW-1'!H58+'VIC-1'!H58+'QLD-1'!H58+'NSW-2'!H58+'VIC-2'!H58+'QLD-2'!H58+'SA-1'!H58+'WA-1'!H58+'IDC-NSW'!H58+'IDC-VIC'!H58</f>
        <v/>
      </c>
      <c r="I58" s="30">
        <f>'NSW-1'!I58+'VIC-1'!I58+'QLD-1'!I58+'NSW-2'!I58+'VIC-2'!I58+'QLD-2'!I58+'SA-1'!I58+'WA-1'!I58+'IDC-NSW'!I58+'IDC-VIC'!I58</f>
        <v/>
      </c>
      <c r="J58" s="30">
        <f>'NSW-1'!J58+'VIC-1'!J58+'QLD-1'!J58+'NSW-2'!J58+'VIC-2'!J58+'QLD-2'!J58+'SA-1'!J58+'WA-1'!J58+'IDC-NSW'!J58+'IDC-VIC'!J58</f>
        <v/>
      </c>
      <c r="K58" s="10">
        <f>IFERROR(F58/G58,0)</f>
        <v/>
      </c>
      <c r="L58" s="34">
        <f>IFERROR(H58/G58,0)</f>
        <v/>
      </c>
      <c r="M58" s="35">
        <f>IFERROR(J58/F58,0)</f>
        <v/>
      </c>
      <c r="N58" s="36">
        <f>IFERROR(J58/E58,0)</f>
        <v/>
      </c>
      <c r="O58" s="36">
        <f>IFERROR(I58/J58,0)</f>
        <v/>
      </c>
      <c r="AJ58" s="15">
        <f>'NSW-1'!AJ58+'VIC-1'!AJ58+'QLD-1'!AJ58+'NSW-2'!AJ58+'VIC-2'!AJ58+'QLD-2'!AJ58+'SA-1'!AJ58+'WA-1'!AJ58+'IDC-NSW'!AJ58+'IDC-VIC'!AJ58</f>
        <v/>
      </c>
      <c r="AK58" s="9">
        <f>'NSW-1'!AK58+'VIC-1'!AK58+'QLD-1'!AK58+'NSW-2'!AK58+'VIC-2'!AK58+'QLD-2'!AK58+'SA-1'!AK58+'WA-1'!AK58+'IDC-NSW'!AK58+'IDC-VIC'!AK58</f>
        <v/>
      </c>
      <c r="AL58" s="30">
        <f>'NSW-1'!AL58+'VIC-1'!AL58+'QLD-1'!AL58+'NSW-2'!AL58+'VIC-2'!AL58+'QLD-2'!AL58+'SA-1'!AL58+'WA-1'!AL58+'IDC-NSW'!AL58+'IDC-VIC'!AL58</f>
        <v/>
      </c>
      <c r="AM58" s="30">
        <f>'NSW-1'!AM58+'VIC-1'!AM58+'QLD-1'!AM58+'NSW-2'!AM58+'VIC-2'!AM58+'QLD-2'!AM58+'SA-1'!AM58+'WA-1'!AM58+'IDC-NSW'!AM58+'IDC-VIC'!AM58</f>
        <v/>
      </c>
      <c r="AN58" s="30">
        <f>'NSW-1'!AN58+'VIC-1'!AN58+'QLD-1'!AN58+'NSW-2'!AN58+'VIC-2'!AN58+'QLD-2'!AN58+'SA-1'!AN58+'WA-1'!AN58+'IDC-NSW'!AN58+'IDC-VIC'!AN58</f>
        <v/>
      </c>
      <c r="AP58" s="15">
        <f>'NSW-1'!AP58+'VIC-1'!AP58+'QLD-1'!AP58+'NSW-2'!AP58+'VIC-2'!AP58+'QLD-2'!AP58+'SA-1'!AP58+'WA-1'!AP58+'IDC-NSW'!AP58+'IDC-VIC'!AP58</f>
        <v/>
      </c>
      <c r="AQ58" s="9">
        <f>'NSW-1'!AQ58+'VIC-1'!AQ58+'QLD-1'!AQ58+'NSW-2'!AQ58+'VIC-2'!AQ58+'QLD-2'!AQ58+'SA-1'!AQ58+'WA-1'!AQ58+'IDC-NSW'!AQ58+'IDC-VIC'!AQ58</f>
        <v/>
      </c>
      <c r="AR58" s="30">
        <f>'NSW-1'!AR58+'VIC-1'!AR58+'QLD-1'!AR58+'NSW-2'!AR58+'VIC-2'!AR58+'QLD-2'!AR58+'SA-1'!AR58+'WA-1'!AR58+'IDC-NSW'!AR58+'IDC-VIC'!AR58</f>
        <v/>
      </c>
      <c r="AS58" s="30">
        <f>'NSW-1'!AS58+'VIC-1'!AS58+'QLD-1'!AS58+'NSW-2'!AS58+'VIC-2'!AS58+'QLD-2'!AS58+'SA-1'!AS58+'WA-1'!AS58+'IDC-NSW'!AS58+'IDC-VIC'!AS58</f>
        <v/>
      </c>
      <c r="AT58" s="30">
        <f>'NSW-1'!AT58+'VIC-1'!AT58+'QLD-1'!AT58+'NSW-2'!AT58+'VIC-2'!AT58+'QLD-2'!AT58+'SA-1'!AT58+'WA-1'!AT58+'IDC-NSW'!AT58+'IDC-VIC'!AT58</f>
        <v/>
      </c>
      <c r="AV58" s="15">
        <f>'NSW-1'!AV58+'VIC-1'!AV58+'QLD-1'!AV58+'NSW-2'!AV58+'VIC-2'!AV58+'QLD-2'!AV58+'SA-1'!AV58+'WA-1'!AV58+'IDC-NSW'!AV58+'IDC-VIC'!AV58</f>
        <v/>
      </c>
      <c r="AW58" s="9">
        <f>'NSW-1'!AW58+'VIC-1'!AW58+'QLD-1'!AW58+'NSW-2'!AW58+'VIC-2'!AW58+'QLD-2'!AW58+'SA-1'!AW58+'WA-1'!AW58+'IDC-NSW'!AW58+'IDC-VIC'!AW58</f>
        <v/>
      </c>
      <c r="AX58" s="30">
        <f>'NSW-1'!AX58+'VIC-1'!AX58+'QLD-1'!AX58+'NSW-2'!AX58+'VIC-2'!AX58+'QLD-2'!AX58+'SA-1'!AX58+'WA-1'!AX58+'IDC-NSW'!AX58+'IDC-VIC'!AX58</f>
        <v/>
      </c>
      <c r="AY58" s="30">
        <f>'NSW-1'!AY58+'VIC-1'!AY58+'QLD-1'!AY58+'NSW-2'!AY58+'VIC-2'!AY58+'QLD-2'!AY58+'SA-1'!AY58+'WA-1'!AY58+'IDC-NSW'!AY58+'IDC-VIC'!AY58</f>
        <v/>
      </c>
      <c r="AZ58" s="30">
        <f>'NSW-1'!AZ58+'VIC-1'!AZ58+'QLD-1'!AZ58+'NSW-2'!AZ58+'VIC-2'!AZ58+'QLD-2'!AZ58+'SA-1'!AZ58+'WA-1'!AZ58+'IDC-NSW'!AZ58+'IDC-VIC'!AZ58</f>
        <v/>
      </c>
    </row>
    <row r="59">
      <c r="A59" s="8" t="n">
        <v>46997</v>
      </c>
      <c r="B59" s="33">
        <f>YEAR(A59)</f>
        <v/>
      </c>
      <c r="C59" s="33">
        <f>MONTH(A59)</f>
        <v/>
      </c>
      <c r="D59">
        <f>IF(A59&lt;=LastActual,"Actual","Forecast")</f>
        <v/>
      </c>
      <c r="E59" s="30">
        <f>'NSW-1'!E59+'VIC-1'!E59+'QLD-1'!E59+'NSW-2'!E59+'VIC-2'!E59+'QLD-2'!E59+'SA-1'!E59+'WA-1'!E59</f>
        <v/>
      </c>
      <c r="F59" s="15">
        <f>'NSW-1'!F59+'VIC-1'!F59+'QLD-1'!F59+'NSW-2'!F59+'VIC-2'!F59+'QLD-2'!F59+'SA-1'!F59+'WA-1'!F59+'IDC-NSW'!F59+'IDC-VIC'!F59</f>
        <v/>
      </c>
      <c r="G59" s="9">
        <f>'NSW-1'!G59+'VIC-1'!G59+'QLD-1'!G59+'NSW-2'!G59+'VIC-2'!G59+'QLD-2'!G59+'SA-1'!G59+'WA-1'!G59+'IDC-NSW'!G59+'IDC-VIC'!G59</f>
        <v/>
      </c>
      <c r="H59" s="30">
        <f>'NSW-1'!H59+'VIC-1'!H59+'QLD-1'!H59+'NSW-2'!H59+'VIC-2'!H59+'QLD-2'!H59+'SA-1'!H59+'WA-1'!H59+'IDC-NSW'!H59+'IDC-VIC'!H59</f>
        <v/>
      </c>
      <c r="I59" s="30">
        <f>'NSW-1'!I59+'VIC-1'!I59+'QLD-1'!I59+'NSW-2'!I59+'VIC-2'!I59+'QLD-2'!I59+'SA-1'!I59+'WA-1'!I59+'IDC-NSW'!I59+'IDC-VIC'!I59</f>
        <v/>
      </c>
      <c r="J59" s="30">
        <f>'NSW-1'!J59+'VIC-1'!J59+'QLD-1'!J59+'NSW-2'!J59+'VIC-2'!J59+'QLD-2'!J59+'SA-1'!J59+'WA-1'!J59+'IDC-NSW'!J59+'IDC-VIC'!J59</f>
        <v/>
      </c>
      <c r="K59" s="10">
        <f>IFERROR(F59/G59,0)</f>
        <v/>
      </c>
      <c r="L59" s="34">
        <f>IFERROR(H59/G59,0)</f>
        <v/>
      </c>
      <c r="M59" s="35">
        <f>IFERROR(J59/F59,0)</f>
        <v/>
      </c>
      <c r="N59" s="36">
        <f>IFERROR(J59/E59,0)</f>
        <v/>
      </c>
      <c r="O59" s="36">
        <f>IFERROR(I59/J59,0)</f>
        <v/>
      </c>
      <c r="AJ59" s="15">
        <f>'NSW-1'!AJ59+'VIC-1'!AJ59+'QLD-1'!AJ59+'NSW-2'!AJ59+'VIC-2'!AJ59+'QLD-2'!AJ59+'SA-1'!AJ59+'WA-1'!AJ59+'IDC-NSW'!AJ59+'IDC-VIC'!AJ59</f>
        <v/>
      </c>
      <c r="AK59" s="9">
        <f>'NSW-1'!AK59+'VIC-1'!AK59+'QLD-1'!AK59+'NSW-2'!AK59+'VIC-2'!AK59+'QLD-2'!AK59+'SA-1'!AK59+'WA-1'!AK59+'IDC-NSW'!AK59+'IDC-VIC'!AK59</f>
        <v/>
      </c>
      <c r="AL59" s="30">
        <f>'NSW-1'!AL59+'VIC-1'!AL59+'QLD-1'!AL59+'NSW-2'!AL59+'VIC-2'!AL59+'QLD-2'!AL59+'SA-1'!AL59+'WA-1'!AL59+'IDC-NSW'!AL59+'IDC-VIC'!AL59</f>
        <v/>
      </c>
      <c r="AM59" s="30">
        <f>'NSW-1'!AM59+'VIC-1'!AM59+'QLD-1'!AM59+'NSW-2'!AM59+'VIC-2'!AM59+'QLD-2'!AM59+'SA-1'!AM59+'WA-1'!AM59+'IDC-NSW'!AM59+'IDC-VIC'!AM59</f>
        <v/>
      </c>
      <c r="AN59" s="30">
        <f>'NSW-1'!AN59+'VIC-1'!AN59+'QLD-1'!AN59+'NSW-2'!AN59+'VIC-2'!AN59+'QLD-2'!AN59+'SA-1'!AN59+'WA-1'!AN59+'IDC-NSW'!AN59+'IDC-VIC'!AN59</f>
        <v/>
      </c>
      <c r="AP59" s="15">
        <f>'NSW-1'!AP59+'VIC-1'!AP59+'QLD-1'!AP59+'NSW-2'!AP59+'VIC-2'!AP59+'QLD-2'!AP59+'SA-1'!AP59+'WA-1'!AP59+'IDC-NSW'!AP59+'IDC-VIC'!AP59</f>
        <v/>
      </c>
      <c r="AQ59" s="9">
        <f>'NSW-1'!AQ59+'VIC-1'!AQ59+'QLD-1'!AQ59+'NSW-2'!AQ59+'VIC-2'!AQ59+'QLD-2'!AQ59+'SA-1'!AQ59+'WA-1'!AQ59+'IDC-NSW'!AQ59+'IDC-VIC'!AQ59</f>
        <v/>
      </c>
      <c r="AR59" s="30">
        <f>'NSW-1'!AR59+'VIC-1'!AR59+'QLD-1'!AR59+'NSW-2'!AR59+'VIC-2'!AR59+'QLD-2'!AR59+'SA-1'!AR59+'WA-1'!AR59+'IDC-NSW'!AR59+'IDC-VIC'!AR59</f>
        <v/>
      </c>
      <c r="AS59" s="30">
        <f>'NSW-1'!AS59+'VIC-1'!AS59+'QLD-1'!AS59+'NSW-2'!AS59+'VIC-2'!AS59+'QLD-2'!AS59+'SA-1'!AS59+'WA-1'!AS59+'IDC-NSW'!AS59+'IDC-VIC'!AS59</f>
        <v/>
      </c>
      <c r="AT59" s="30">
        <f>'NSW-1'!AT59+'VIC-1'!AT59+'QLD-1'!AT59+'NSW-2'!AT59+'VIC-2'!AT59+'QLD-2'!AT59+'SA-1'!AT59+'WA-1'!AT59+'IDC-NSW'!AT59+'IDC-VIC'!AT59</f>
        <v/>
      </c>
      <c r="AV59" s="15">
        <f>'NSW-1'!AV59+'VIC-1'!AV59+'QLD-1'!AV59+'NSW-2'!AV59+'VIC-2'!AV59+'QLD-2'!AV59+'SA-1'!AV59+'WA-1'!AV59+'IDC-NSW'!AV59+'IDC-VIC'!AV59</f>
        <v/>
      </c>
      <c r="AW59" s="9">
        <f>'NSW-1'!AW59+'VIC-1'!AW59+'QLD-1'!AW59+'NSW-2'!AW59+'VIC-2'!AW59+'QLD-2'!AW59+'SA-1'!AW59+'WA-1'!AW59+'IDC-NSW'!AW59+'IDC-VIC'!AW59</f>
        <v/>
      </c>
      <c r="AX59" s="30">
        <f>'NSW-1'!AX59+'VIC-1'!AX59+'QLD-1'!AX59+'NSW-2'!AX59+'VIC-2'!AX59+'QLD-2'!AX59+'SA-1'!AX59+'WA-1'!AX59+'IDC-NSW'!AX59+'IDC-VIC'!AX59</f>
        <v/>
      </c>
      <c r="AY59" s="30">
        <f>'NSW-1'!AY59+'VIC-1'!AY59+'QLD-1'!AY59+'NSW-2'!AY59+'VIC-2'!AY59+'QLD-2'!AY59+'SA-1'!AY59+'WA-1'!AY59+'IDC-NSW'!AY59+'IDC-VIC'!AY59</f>
        <v/>
      </c>
      <c r="AZ59" s="30">
        <f>'NSW-1'!AZ59+'VIC-1'!AZ59+'QLD-1'!AZ59+'NSW-2'!AZ59+'VIC-2'!AZ59+'QLD-2'!AZ59+'SA-1'!AZ59+'WA-1'!AZ59+'IDC-NSW'!AZ59+'IDC-VIC'!AZ59</f>
        <v/>
      </c>
    </row>
    <row r="60">
      <c r="A60" s="8" t="n">
        <v>47027</v>
      </c>
      <c r="B60" s="33">
        <f>YEAR(A60)</f>
        <v/>
      </c>
      <c r="C60" s="33">
        <f>MONTH(A60)</f>
        <v/>
      </c>
      <c r="D60">
        <f>IF(A60&lt;=LastActual,"Actual","Forecast")</f>
        <v/>
      </c>
      <c r="E60" s="30">
        <f>'NSW-1'!E60+'VIC-1'!E60+'QLD-1'!E60+'NSW-2'!E60+'VIC-2'!E60+'QLD-2'!E60+'SA-1'!E60+'WA-1'!E60</f>
        <v/>
      </c>
      <c r="F60" s="15">
        <f>'NSW-1'!F60+'VIC-1'!F60+'QLD-1'!F60+'NSW-2'!F60+'VIC-2'!F60+'QLD-2'!F60+'SA-1'!F60+'WA-1'!F60+'IDC-NSW'!F60+'IDC-VIC'!F60</f>
        <v/>
      </c>
      <c r="G60" s="9">
        <f>'NSW-1'!G60+'VIC-1'!G60+'QLD-1'!G60+'NSW-2'!G60+'VIC-2'!G60+'QLD-2'!G60+'SA-1'!G60+'WA-1'!G60+'IDC-NSW'!G60+'IDC-VIC'!G60</f>
        <v/>
      </c>
      <c r="H60" s="30">
        <f>'NSW-1'!H60+'VIC-1'!H60+'QLD-1'!H60+'NSW-2'!H60+'VIC-2'!H60+'QLD-2'!H60+'SA-1'!H60+'WA-1'!H60+'IDC-NSW'!H60+'IDC-VIC'!H60</f>
        <v/>
      </c>
      <c r="I60" s="30">
        <f>'NSW-1'!I60+'VIC-1'!I60+'QLD-1'!I60+'NSW-2'!I60+'VIC-2'!I60+'QLD-2'!I60+'SA-1'!I60+'WA-1'!I60+'IDC-NSW'!I60+'IDC-VIC'!I60</f>
        <v/>
      </c>
      <c r="J60" s="30">
        <f>'NSW-1'!J60+'VIC-1'!J60+'QLD-1'!J60+'NSW-2'!J60+'VIC-2'!J60+'QLD-2'!J60+'SA-1'!J60+'WA-1'!J60+'IDC-NSW'!J60+'IDC-VIC'!J60</f>
        <v/>
      </c>
      <c r="K60" s="10">
        <f>IFERROR(F60/G60,0)</f>
        <v/>
      </c>
      <c r="L60" s="34">
        <f>IFERROR(H60/G60,0)</f>
        <v/>
      </c>
      <c r="M60" s="35">
        <f>IFERROR(J60/F60,0)</f>
        <v/>
      </c>
      <c r="N60" s="36">
        <f>IFERROR(J60/E60,0)</f>
        <v/>
      </c>
      <c r="O60" s="36">
        <f>IFERROR(I60/J60,0)</f>
        <v/>
      </c>
      <c r="R60" s="1" t="inlineStr">
        <is>
          <t>Cost per case ($, total payroll)</t>
        </is>
      </c>
      <c r="AJ60" s="15">
        <f>'NSW-1'!AJ60+'VIC-1'!AJ60+'QLD-1'!AJ60+'NSW-2'!AJ60+'VIC-2'!AJ60+'QLD-2'!AJ60+'SA-1'!AJ60+'WA-1'!AJ60+'IDC-NSW'!AJ60+'IDC-VIC'!AJ60</f>
        <v/>
      </c>
      <c r="AK60" s="9">
        <f>'NSW-1'!AK60+'VIC-1'!AK60+'QLD-1'!AK60+'NSW-2'!AK60+'VIC-2'!AK60+'QLD-2'!AK60+'SA-1'!AK60+'WA-1'!AK60+'IDC-NSW'!AK60+'IDC-VIC'!AK60</f>
        <v/>
      </c>
      <c r="AL60" s="30">
        <f>'NSW-1'!AL60+'VIC-1'!AL60+'QLD-1'!AL60+'NSW-2'!AL60+'VIC-2'!AL60+'QLD-2'!AL60+'SA-1'!AL60+'WA-1'!AL60+'IDC-NSW'!AL60+'IDC-VIC'!AL60</f>
        <v/>
      </c>
      <c r="AM60" s="30">
        <f>'NSW-1'!AM60+'VIC-1'!AM60+'QLD-1'!AM60+'NSW-2'!AM60+'VIC-2'!AM60+'QLD-2'!AM60+'SA-1'!AM60+'WA-1'!AM60+'IDC-NSW'!AM60+'IDC-VIC'!AM60</f>
        <v/>
      </c>
      <c r="AN60" s="30">
        <f>'NSW-1'!AN60+'VIC-1'!AN60+'QLD-1'!AN60+'NSW-2'!AN60+'VIC-2'!AN60+'QLD-2'!AN60+'SA-1'!AN60+'WA-1'!AN60+'IDC-NSW'!AN60+'IDC-VIC'!AN60</f>
        <v/>
      </c>
      <c r="AP60" s="15">
        <f>'NSW-1'!AP60+'VIC-1'!AP60+'QLD-1'!AP60+'NSW-2'!AP60+'VIC-2'!AP60+'QLD-2'!AP60+'SA-1'!AP60+'WA-1'!AP60+'IDC-NSW'!AP60+'IDC-VIC'!AP60</f>
        <v/>
      </c>
      <c r="AQ60" s="9">
        <f>'NSW-1'!AQ60+'VIC-1'!AQ60+'QLD-1'!AQ60+'NSW-2'!AQ60+'VIC-2'!AQ60+'QLD-2'!AQ60+'SA-1'!AQ60+'WA-1'!AQ60+'IDC-NSW'!AQ60+'IDC-VIC'!AQ60</f>
        <v/>
      </c>
      <c r="AR60" s="30">
        <f>'NSW-1'!AR60+'VIC-1'!AR60+'QLD-1'!AR60+'NSW-2'!AR60+'VIC-2'!AR60+'QLD-2'!AR60+'SA-1'!AR60+'WA-1'!AR60+'IDC-NSW'!AR60+'IDC-VIC'!AR60</f>
        <v/>
      </c>
      <c r="AS60" s="30">
        <f>'NSW-1'!AS60+'VIC-1'!AS60+'QLD-1'!AS60+'NSW-2'!AS60+'VIC-2'!AS60+'QLD-2'!AS60+'SA-1'!AS60+'WA-1'!AS60+'IDC-NSW'!AS60+'IDC-VIC'!AS60</f>
        <v/>
      </c>
      <c r="AT60" s="30">
        <f>'NSW-1'!AT60+'VIC-1'!AT60+'QLD-1'!AT60+'NSW-2'!AT60+'VIC-2'!AT60+'QLD-2'!AT60+'SA-1'!AT60+'WA-1'!AT60+'IDC-NSW'!AT60+'IDC-VIC'!AT60</f>
        <v/>
      </c>
      <c r="AV60" s="15">
        <f>'NSW-1'!AV60+'VIC-1'!AV60+'QLD-1'!AV60+'NSW-2'!AV60+'VIC-2'!AV60+'QLD-2'!AV60+'SA-1'!AV60+'WA-1'!AV60+'IDC-NSW'!AV60+'IDC-VIC'!AV60</f>
        <v/>
      </c>
      <c r="AW60" s="9">
        <f>'NSW-1'!AW60+'VIC-1'!AW60+'QLD-1'!AW60+'NSW-2'!AW60+'VIC-2'!AW60+'QLD-2'!AW60+'SA-1'!AW60+'WA-1'!AW60+'IDC-NSW'!AW60+'IDC-VIC'!AW60</f>
        <v/>
      </c>
      <c r="AX60" s="30">
        <f>'NSW-1'!AX60+'VIC-1'!AX60+'QLD-1'!AX60+'NSW-2'!AX60+'VIC-2'!AX60+'QLD-2'!AX60+'SA-1'!AX60+'WA-1'!AX60+'IDC-NSW'!AX60+'IDC-VIC'!AX60</f>
        <v/>
      </c>
      <c r="AY60" s="30">
        <f>'NSW-1'!AY60+'VIC-1'!AY60+'QLD-1'!AY60+'NSW-2'!AY60+'VIC-2'!AY60+'QLD-2'!AY60+'SA-1'!AY60+'WA-1'!AY60+'IDC-NSW'!AY60+'IDC-VIC'!AY60</f>
        <v/>
      </c>
      <c r="AZ60" s="30">
        <f>'NSW-1'!AZ60+'VIC-1'!AZ60+'QLD-1'!AZ60+'NSW-2'!AZ60+'VIC-2'!AZ60+'QLD-2'!AZ60+'SA-1'!AZ60+'WA-1'!AZ60+'IDC-NSW'!AZ60+'IDC-VIC'!AZ60</f>
        <v/>
      </c>
    </row>
    <row r="61">
      <c r="A61" s="8" t="n">
        <v>47058</v>
      </c>
      <c r="B61" s="33">
        <f>YEAR(A61)</f>
        <v/>
      </c>
      <c r="C61" s="33">
        <f>MONTH(A61)</f>
        <v/>
      </c>
      <c r="D61">
        <f>IF(A61&lt;=LastActual,"Actual","Forecast")</f>
        <v/>
      </c>
      <c r="E61" s="30">
        <f>'NSW-1'!E61+'VIC-1'!E61+'QLD-1'!E61+'NSW-2'!E61+'VIC-2'!E61+'QLD-2'!E61+'SA-1'!E61+'WA-1'!E61</f>
        <v/>
      </c>
      <c r="F61" s="15">
        <f>'NSW-1'!F61+'VIC-1'!F61+'QLD-1'!F61+'NSW-2'!F61+'VIC-2'!F61+'QLD-2'!F61+'SA-1'!F61+'WA-1'!F61+'IDC-NSW'!F61+'IDC-VIC'!F61</f>
        <v/>
      </c>
      <c r="G61" s="9">
        <f>'NSW-1'!G61+'VIC-1'!G61+'QLD-1'!G61+'NSW-2'!G61+'VIC-2'!G61+'QLD-2'!G61+'SA-1'!G61+'WA-1'!G61+'IDC-NSW'!G61+'IDC-VIC'!G61</f>
        <v/>
      </c>
      <c r="H61" s="30">
        <f>'NSW-1'!H61+'VIC-1'!H61+'QLD-1'!H61+'NSW-2'!H61+'VIC-2'!H61+'QLD-2'!H61+'SA-1'!H61+'WA-1'!H61+'IDC-NSW'!H61+'IDC-VIC'!H61</f>
        <v/>
      </c>
      <c r="I61" s="30">
        <f>'NSW-1'!I61+'VIC-1'!I61+'QLD-1'!I61+'NSW-2'!I61+'VIC-2'!I61+'QLD-2'!I61+'SA-1'!I61+'WA-1'!I61+'IDC-NSW'!I61+'IDC-VIC'!I61</f>
        <v/>
      </c>
      <c r="J61" s="30">
        <f>'NSW-1'!J61+'VIC-1'!J61+'QLD-1'!J61+'NSW-2'!J61+'VIC-2'!J61+'QLD-2'!J61+'SA-1'!J61+'WA-1'!J61+'IDC-NSW'!J61+'IDC-VIC'!J61</f>
        <v/>
      </c>
      <c r="K61" s="10">
        <f>IFERROR(F61/G61,0)</f>
        <v/>
      </c>
      <c r="L61" s="34">
        <f>IFERROR(H61/G61,0)</f>
        <v/>
      </c>
      <c r="M61" s="35">
        <f>IFERROR(J61/F61,0)</f>
        <v/>
      </c>
      <c r="N61" s="36">
        <f>IFERROR(J61/E61,0)</f>
        <v/>
      </c>
      <c r="O61" s="36">
        <f>IFERROR(I61/J61,0)</f>
        <v/>
      </c>
      <c r="R61" s="7" t="inlineStr">
        <is>
          <t>Site</t>
        </is>
      </c>
      <c r="S61" s="7" t="inlineStr">
        <is>
          <t>FY2025</t>
        </is>
      </c>
      <c r="T61" s="7" t="inlineStr">
        <is>
          <t>FY2026</t>
        </is>
      </c>
      <c r="U61" s="7" t="inlineStr">
        <is>
          <t>FY2027</t>
        </is>
      </c>
      <c r="V61" s="7" t="inlineStr">
        <is>
          <t>FY2028</t>
        </is>
      </c>
      <c r="AJ61" s="15">
        <f>'NSW-1'!AJ61+'VIC-1'!AJ61+'QLD-1'!AJ61+'NSW-2'!AJ61+'VIC-2'!AJ61+'QLD-2'!AJ61+'SA-1'!AJ61+'WA-1'!AJ61+'IDC-NSW'!AJ61+'IDC-VIC'!AJ61</f>
        <v/>
      </c>
      <c r="AK61" s="9">
        <f>'NSW-1'!AK61+'VIC-1'!AK61+'QLD-1'!AK61+'NSW-2'!AK61+'VIC-2'!AK61+'QLD-2'!AK61+'SA-1'!AK61+'WA-1'!AK61+'IDC-NSW'!AK61+'IDC-VIC'!AK61</f>
        <v/>
      </c>
      <c r="AL61" s="30">
        <f>'NSW-1'!AL61+'VIC-1'!AL61+'QLD-1'!AL61+'NSW-2'!AL61+'VIC-2'!AL61+'QLD-2'!AL61+'SA-1'!AL61+'WA-1'!AL61+'IDC-NSW'!AL61+'IDC-VIC'!AL61</f>
        <v/>
      </c>
      <c r="AM61" s="30">
        <f>'NSW-1'!AM61+'VIC-1'!AM61+'QLD-1'!AM61+'NSW-2'!AM61+'VIC-2'!AM61+'QLD-2'!AM61+'SA-1'!AM61+'WA-1'!AM61+'IDC-NSW'!AM61+'IDC-VIC'!AM61</f>
        <v/>
      </c>
      <c r="AN61" s="30">
        <f>'NSW-1'!AN61+'VIC-1'!AN61+'QLD-1'!AN61+'NSW-2'!AN61+'VIC-2'!AN61+'QLD-2'!AN61+'SA-1'!AN61+'WA-1'!AN61+'IDC-NSW'!AN61+'IDC-VIC'!AN61</f>
        <v/>
      </c>
      <c r="AP61" s="15">
        <f>'NSW-1'!AP61+'VIC-1'!AP61+'QLD-1'!AP61+'NSW-2'!AP61+'VIC-2'!AP61+'QLD-2'!AP61+'SA-1'!AP61+'WA-1'!AP61+'IDC-NSW'!AP61+'IDC-VIC'!AP61</f>
        <v/>
      </c>
      <c r="AQ61" s="9">
        <f>'NSW-1'!AQ61+'VIC-1'!AQ61+'QLD-1'!AQ61+'NSW-2'!AQ61+'VIC-2'!AQ61+'QLD-2'!AQ61+'SA-1'!AQ61+'WA-1'!AQ61+'IDC-NSW'!AQ61+'IDC-VIC'!AQ61</f>
        <v/>
      </c>
      <c r="AR61" s="30">
        <f>'NSW-1'!AR61+'VIC-1'!AR61+'QLD-1'!AR61+'NSW-2'!AR61+'VIC-2'!AR61+'QLD-2'!AR61+'SA-1'!AR61+'WA-1'!AR61+'IDC-NSW'!AR61+'IDC-VIC'!AR61</f>
        <v/>
      </c>
      <c r="AS61" s="30">
        <f>'NSW-1'!AS61+'VIC-1'!AS61+'QLD-1'!AS61+'NSW-2'!AS61+'VIC-2'!AS61+'QLD-2'!AS61+'SA-1'!AS61+'WA-1'!AS61+'IDC-NSW'!AS61+'IDC-VIC'!AS61</f>
        <v/>
      </c>
      <c r="AT61" s="30">
        <f>'NSW-1'!AT61+'VIC-1'!AT61+'QLD-1'!AT61+'NSW-2'!AT61+'VIC-2'!AT61+'QLD-2'!AT61+'SA-1'!AT61+'WA-1'!AT61+'IDC-NSW'!AT61+'IDC-VIC'!AT61</f>
        <v/>
      </c>
      <c r="AV61" s="15">
        <f>'NSW-1'!AV61+'VIC-1'!AV61+'QLD-1'!AV61+'NSW-2'!AV61+'VIC-2'!AV61+'QLD-2'!AV61+'SA-1'!AV61+'WA-1'!AV61+'IDC-NSW'!AV61+'IDC-VIC'!AV61</f>
        <v/>
      </c>
      <c r="AW61" s="9">
        <f>'NSW-1'!AW61+'VIC-1'!AW61+'QLD-1'!AW61+'NSW-2'!AW61+'VIC-2'!AW61+'QLD-2'!AW61+'SA-1'!AW61+'WA-1'!AW61+'IDC-NSW'!AW61+'IDC-VIC'!AW61</f>
        <v/>
      </c>
      <c r="AX61" s="30">
        <f>'NSW-1'!AX61+'VIC-1'!AX61+'QLD-1'!AX61+'NSW-2'!AX61+'VIC-2'!AX61+'QLD-2'!AX61+'SA-1'!AX61+'WA-1'!AX61+'IDC-NSW'!AX61+'IDC-VIC'!AX61</f>
        <v/>
      </c>
      <c r="AY61" s="30">
        <f>'NSW-1'!AY61+'VIC-1'!AY61+'QLD-1'!AY61+'NSW-2'!AY61+'VIC-2'!AY61+'QLD-2'!AY61+'SA-1'!AY61+'WA-1'!AY61+'IDC-NSW'!AY61+'IDC-VIC'!AY61</f>
        <v/>
      </c>
      <c r="AZ61" s="30">
        <f>'NSW-1'!AZ61+'VIC-1'!AZ61+'QLD-1'!AZ61+'NSW-2'!AZ61+'VIC-2'!AZ61+'QLD-2'!AZ61+'SA-1'!AZ61+'WA-1'!AZ61+'IDC-NSW'!AZ61+'IDC-VIC'!AZ61</f>
        <v/>
      </c>
    </row>
    <row r="62">
      <c r="A62" s="37" t="n">
        <v>47088</v>
      </c>
      <c r="B62" s="38">
        <f>YEAR(A62)</f>
        <v/>
      </c>
      <c r="C62" s="38">
        <f>MONTH(A62)</f>
        <v/>
      </c>
      <c r="D62" s="39">
        <f>IF(A62&lt;=LastActual,"Actual","Forecast")</f>
        <v/>
      </c>
      <c r="E62" s="40">
        <f>'NSW-1'!E62+'VIC-1'!E62+'QLD-1'!E62+'NSW-2'!E62+'VIC-2'!E62+'QLD-2'!E62+'SA-1'!E62+'WA-1'!E62</f>
        <v/>
      </c>
      <c r="F62" s="41">
        <f>'NSW-1'!F62+'VIC-1'!F62+'QLD-1'!F62+'NSW-2'!F62+'VIC-2'!F62+'QLD-2'!F62+'SA-1'!F62+'WA-1'!F62+'IDC-NSW'!F62+'IDC-VIC'!F62</f>
        <v/>
      </c>
      <c r="G62" s="42">
        <f>'NSW-1'!G62+'VIC-1'!G62+'QLD-1'!G62+'NSW-2'!G62+'VIC-2'!G62+'QLD-2'!G62+'SA-1'!G62+'WA-1'!G62+'IDC-NSW'!G62+'IDC-VIC'!G62</f>
        <v/>
      </c>
      <c r="H62" s="40">
        <f>'NSW-1'!H62+'VIC-1'!H62+'QLD-1'!H62+'NSW-2'!H62+'VIC-2'!H62+'QLD-2'!H62+'SA-1'!H62+'WA-1'!H62+'IDC-NSW'!H62+'IDC-VIC'!H62</f>
        <v/>
      </c>
      <c r="I62" s="40">
        <f>'NSW-1'!I62+'VIC-1'!I62+'QLD-1'!I62+'NSW-2'!I62+'VIC-2'!I62+'QLD-2'!I62+'SA-1'!I62+'WA-1'!I62+'IDC-NSW'!I62+'IDC-VIC'!I62</f>
        <v/>
      </c>
      <c r="J62" s="40">
        <f>'NSW-1'!J62+'VIC-1'!J62+'QLD-1'!J62+'NSW-2'!J62+'VIC-2'!J62+'QLD-2'!J62+'SA-1'!J62+'WA-1'!J62+'IDC-NSW'!J62+'IDC-VIC'!J62</f>
        <v/>
      </c>
      <c r="K62" s="43">
        <f>IFERROR(F62/G62,0)</f>
        <v/>
      </c>
      <c r="L62" s="44">
        <f>IFERROR(H62/G62,0)</f>
        <v/>
      </c>
      <c r="M62" s="45">
        <f>IFERROR(J62/F62,0)</f>
        <v/>
      </c>
      <c r="N62" s="46">
        <f>IFERROR(J62/E62,0)</f>
        <v/>
      </c>
      <c r="O62" s="46">
        <f>IFERROR(I62/J62,0)</f>
        <v/>
      </c>
      <c r="R62">
        <f>Inputs!$A$36</f>
        <v/>
      </c>
      <c r="S62" s="35">
        <f>IFERROR(SUMIFS('NSW-1'!$J$15:$J$62,'NSW-1'!$B$15:$B$62,2025)/SUMIFS('NSW-1'!$F$15:$F$62,'NSW-1'!$B$15:$B$62,2025),0)</f>
        <v/>
      </c>
      <c r="T62" s="35">
        <f>IFERROR(SUMIFS('NSW-1'!$J$15:$J$62,'NSW-1'!$B$15:$B$62,2026)/SUMIFS('NSW-1'!$F$15:$F$62,'NSW-1'!$B$15:$B$62,2026),0)</f>
        <v/>
      </c>
      <c r="U62" s="35">
        <f>IFERROR(SUMIFS('NSW-1'!$J$15:$J$62,'NSW-1'!$B$15:$B$62,2027)/SUMIFS('NSW-1'!$F$15:$F$62,'NSW-1'!$B$15:$B$62,2027),0)</f>
        <v/>
      </c>
      <c r="V62" s="35">
        <f>IFERROR(SUMIFS('NSW-1'!$J$15:$J$62,'NSW-1'!$B$15:$B$62,2028)/SUMIFS('NSW-1'!$F$15:$F$62,'NSW-1'!$B$15:$B$62,2028),0)</f>
        <v/>
      </c>
      <c r="AJ62" s="41">
        <f>'NSW-1'!AJ62+'VIC-1'!AJ62+'QLD-1'!AJ62+'NSW-2'!AJ62+'VIC-2'!AJ62+'QLD-2'!AJ62+'SA-1'!AJ62+'WA-1'!AJ62+'IDC-NSW'!AJ62+'IDC-VIC'!AJ62</f>
        <v/>
      </c>
      <c r="AK62" s="42">
        <f>'NSW-1'!AK62+'VIC-1'!AK62+'QLD-1'!AK62+'NSW-2'!AK62+'VIC-2'!AK62+'QLD-2'!AK62+'SA-1'!AK62+'WA-1'!AK62+'IDC-NSW'!AK62+'IDC-VIC'!AK62</f>
        <v/>
      </c>
      <c r="AL62" s="40">
        <f>'NSW-1'!AL62+'VIC-1'!AL62+'QLD-1'!AL62+'NSW-2'!AL62+'VIC-2'!AL62+'QLD-2'!AL62+'SA-1'!AL62+'WA-1'!AL62+'IDC-NSW'!AL62+'IDC-VIC'!AL62</f>
        <v/>
      </c>
      <c r="AM62" s="40">
        <f>'NSW-1'!AM62+'VIC-1'!AM62+'QLD-1'!AM62+'NSW-2'!AM62+'VIC-2'!AM62+'QLD-2'!AM62+'SA-1'!AM62+'WA-1'!AM62+'IDC-NSW'!AM62+'IDC-VIC'!AM62</f>
        <v/>
      </c>
      <c r="AN62" s="40">
        <f>'NSW-1'!AN62+'VIC-1'!AN62+'QLD-1'!AN62+'NSW-2'!AN62+'VIC-2'!AN62+'QLD-2'!AN62+'SA-1'!AN62+'WA-1'!AN62+'IDC-NSW'!AN62+'IDC-VIC'!AN62</f>
        <v/>
      </c>
      <c r="AP62" s="41">
        <f>'NSW-1'!AP62+'VIC-1'!AP62+'QLD-1'!AP62+'NSW-2'!AP62+'VIC-2'!AP62+'QLD-2'!AP62+'SA-1'!AP62+'WA-1'!AP62+'IDC-NSW'!AP62+'IDC-VIC'!AP62</f>
        <v/>
      </c>
      <c r="AQ62" s="42">
        <f>'NSW-1'!AQ62+'VIC-1'!AQ62+'QLD-1'!AQ62+'NSW-2'!AQ62+'VIC-2'!AQ62+'QLD-2'!AQ62+'SA-1'!AQ62+'WA-1'!AQ62+'IDC-NSW'!AQ62+'IDC-VIC'!AQ62</f>
        <v/>
      </c>
      <c r="AR62" s="40">
        <f>'NSW-1'!AR62+'VIC-1'!AR62+'QLD-1'!AR62+'NSW-2'!AR62+'VIC-2'!AR62+'QLD-2'!AR62+'SA-1'!AR62+'WA-1'!AR62+'IDC-NSW'!AR62+'IDC-VIC'!AR62</f>
        <v/>
      </c>
      <c r="AS62" s="40">
        <f>'NSW-1'!AS62+'VIC-1'!AS62+'QLD-1'!AS62+'NSW-2'!AS62+'VIC-2'!AS62+'QLD-2'!AS62+'SA-1'!AS62+'WA-1'!AS62+'IDC-NSW'!AS62+'IDC-VIC'!AS62</f>
        <v/>
      </c>
      <c r="AT62" s="40">
        <f>'NSW-1'!AT62+'VIC-1'!AT62+'QLD-1'!AT62+'NSW-2'!AT62+'VIC-2'!AT62+'QLD-2'!AT62+'SA-1'!AT62+'WA-1'!AT62+'IDC-NSW'!AT62+'IDC-VIC'!AT62</f>
        <v/>
      </c>
      <c r="AV62" s="41">
        <f>'NSW-1'!AV62+'VIC-1'!AV62+'QLD-1'!AV62+'NSW-2'!AV62+'VIC-2'!AV62+'QLD-2'!AV62+'SA-1'!AV62+'WA-1'!AV62+'IDC-NSW'!AV62+'IDC-VIC'!AV62</f>
        <v/>
      </c>
      <c r="AW62" s="42">
        <f>'NSW-1'!AW62+'VIC-1'!AW62+'QLD-1'!AW62+'NSW-2'!AW62+'VIC-2'!AW62+'QLD-2'!AW62+'SA-1'!AW62+'WA-1'!AW62+'IDC-NSW'!AW62+'IDC-VIC'!AW62</f>
        <v/>
      </c>
      <c r="AX62" s="40">
        <f>'NSW-1'!AX62+'VIC-1'!AX62+'QLD-1'!AX62+'NSW-2'!AX62+'VIC-2'!AX62+'QLD-2'!AX62+'SA-1'!AX62+'WA-1'!AX62+'IDC-NSW'!AX62+'IDC-VIC'!AX62</f>
        <v/>
      </c>
      <c r="AY62" s="40">
        <f>'NSW-1'!AY62+'VIC-1'!AY62+'QLD-1'!AY62+'NSW-2'!AY62+'VIC-2'!AY62+'QLD-2'!AY62+'SA-1'!AY62+'WA-1'!AY62+'IDC-NSW'!AY62+'IDC-VIC'!AY62</f>
        <v/>
      </c>
      <c r="AZ62" s="40">
        <f>'NSW-1'!AZ62+'VIC-1'!AZ62+'QLD-1'!AZ62+'NSW-2'!AZ62+'VIC-2'!AZ62+'QLD-2'!AZ62+'SA-1'!AZ62+'WA-1'!AZ62+'IDC-NSW'!AZ62+'IDC-VIC'!AZ62</f>
        <v/>
      </c>
    </row>
    <row r="63">
      <c r="R63">
        <f>Inputs!$A$37</f>
        <v/>
      </c>
      <c r="S63" s="35">
        <f>IFERROR(SUMIFS('VIC-1'!$J$15:$J$62,'VIC-1'!$B$15:$B$62,2025)/SUMIFS('VIC-1'!$F$15:$F$62,'VIC-1'!$B$15:$B$62,2025),0)</f>
        <v/>
      </c>
      <c r="T63" s="35">
        <f>IFERROR(SUMIFS('VIC-1'!$J$15:$J$62,'VIC-1'!$B$15:$B$62,2026)/SUMIFS('VIC-1'!$F$15:$F$62,'VIC-1'!$B$15:$B$62,2026),0)</f>
        <v/>
      </c>
      <c r="U63" s="35">
        <f>IFERROR(SUMIFS('VIC-1'!$J$15:$J$62,'VIC-1'!$B$15:$B$62,2027)/SUMIFS('VIC-1'!$F$15:$F$62,'VIC-1'!$B$15:$B$62,2027),0)</f>
        <v/>
      </c>
      <c r="V63" s="35">
        <f>IFERROR(SUMIFS('VIC-1'!$J$15:$J$62,'VIC-1'!$B$15:$B$62,2028)/SUMIFS('VIC-1'!$F$15:$F$62,'VIC-1'!$B$15:$B$62,2028),0)</f>
        <v/>
      </c>
    </row>
    <row r="64">
      <c r="R64">
        <f>Inputs!$A$38</f>
        <v/>
      </c>
      <c r="S64" s="35">
        <f>IFERROR(SUMIFS('QLD-1'!$J$15:$J$62,'QLD-1'!$B$15:$B$62,2025)/SUMIFS('QLD-1'!$F$15:$F$62,'QLD-1'!$B$15:$B$62,2025),0)</f>
        <v/>
      </c>
      <c r="T64" s="35">
        <f>IFERROR(SUMIFS('QLD-1'!$J$15:$J$62,'QLD-1'!$B$15:$B$62,2026)/SUMIFS('QLD-1'!$F$15:$F$62,'QLD-1'!$B$15:$B$62,2026),0)</f>
        <v/>
      </c>
      <c r="U64" s="35">
        <f>IFERROR(SUMIFS('QLD-1'!$J$15:$J$62,'QLD-1'!$B$15:$B$62,2027)/SUMIFS('QLD-1'!$F$15:$F$62,'QLD-1'!$B$15:$B$62,2027),0)</f>
        <v/>
      </c>
      <c r="V64" s="35">
        <f>IFERROR(SUMIFS('QLD-1'!$J$15:$J$62,'QLD-1'!$B$15:$B$62,2028)/SUMIFS('QLD-1'!$F$15:$F$62,'QLD-1'!$B$15:$B$62,2028),0)</f>
        <v/>
      </c>
    </row>
    <row r="65">
      <c r="R65">
        <f>Inputs!$A$39</f>
        <v/>
      </c>
      <c r="S65" s="35">
        <f>IFERROR(SUMIFS('NSW-2'!$J$15:$J$62,'NSW-2'!$B$15:$B$62,2025)/SUMIFS('NSW-2'!$F$15:$F$62,'NSW-2'!$B$15:$B$62,2025),0)</f>
        <v/>
      </c>
      <c r="T65" s="35">
        <f>IFERROR(SUMIFS('NSW-2'!$J$15:$J$62,'NSW-2'!$B$15:$B$62,2026)/SUMIFS('NSW-2'!$F$15:$F$62,'NSW-2'!$B$15:$B$62,2026),0)</f>
        <v/>
      </c>
      <c r="U65" s="35">
        <f>IFERROR(SUMIFS('NSW-2'!$J$15:$J$62,'NSW-2'!$B$15:$B$62,2027)/SUMIFS('NSW-2'!$F$15:$F$62,'NSW-2'!$B$15:$B$62,2027),0)</f>
        <v/>
      </c>
      <c r="V65" s="35">
        <f>IFERROR(SUMIFS('NSW-2'!$J$15:$J$62,'NSW-2'!$B$15:$B$62,2028)/SUMIFS('NSW-2'!$F$15:$F$62,'NSW-2'!$B$15:$B$62,2028),0)</f>
        <v/>
      </c>
    </row>
    <row r="66">
      <c r="R66">
        <f>Inputs!$A$40</f>
        <v/>
      </c>
      <c r="S66" s="35">
        <f>IFERROR(SUMIFS('VIC-2'!$J$15:$J$62,'VIC-2'!$B$15:$B$62,2025)/SUMIFS('VIC-2'!$F$15:$F$62,'VIC-2'!$B$15:$B$62,2025),0)</f>
        <v/>
      </c>
      <c r="T66" s="35">
        <f>IFERROR(SUMIFS('VIC-2'!$J$15:$J$62,'VIC-2'!$B$15:$B$62,2026)/SUMIFS('VIC-2'!$F$15:$F$62,'VIC-2'!$B$15:$B$62,2026),0)</f>
        <v/>
      </c>
      <c r="U66" s="35">
        <f>IFERROR(SUMIFS('VIC-2'!$J$15:$J$62,'VIC-2'!$B$15:$B$62,2027)/SUMIFS('VIC-2'!$F$15:$F$62,'VIC-2'!$B$15:$B$62,2027),0)</f>
        <v/>
      </c>
      <c r="V66" s="35">
        <f>IFERROR(SUMIFS('VIC-2'!$J$15:$J$62,'VIC-2'!$B$15:$B$62,2028)/SUMIFS('VIC-2'!$F$15:$F$62,'VIC-2'!$B$15:$B$62,2028),0)</f>
        <v/>
      </c>
    </row>
    <row r="67">
      <c r="R67">
        <f>Inputs!$A$41</f>
        <v/>
      </c>
      <c r="S67" s="35">
        <f>IFERROR(SUMIFS('QLD-2'!$J$15:$J$62,'QLD-2'!$B$15:$B$62,2025)/SUMIFS('QLD-2'!$F$15:$F$62,'QLD-2'!$B$15:$B$62,2025),0)</f>
        <v/>
      </c>
      <c r="T67" s="35">
        <f>IFERROR(SUMIFS('QLD-2'!$J$15:$J$62,'QLD-2'!$B$15:$B$62,2026)/SUMIFS('QLD-2'!$F$15:$F$62,'QLD-2'!$B$15:$B$62,2026),0)</f>
        <v/>
      </c>
      <c r="U67" s="35">
        <f>IFERROR(SUMIFS('QLD-2'!$J$15:$J$62,'QLD-2'!$B$15:$B$62,2027)/SUMIFS('QLD-2'!$F$15:$F$62,'QLD-2'!$B$15:$B$62,2027),0)</f>
        <v/>
      </c>
      <c r="V67" s="35">
        <f>IFERROR(SUMIFS('QLD-2'!$J$15:$J$62,'QLD-2'!$B$15:$B$62,2028)/SUMIFS('QLD-2'!$F$15:$F$62,'QLD-2'!$B$15:$B$62,2028),0)</f>
        <v/>
      </c>
    </row>
    <row r="68">
      <c r="R68">
        <f>Inputs!$A$42</f>
        <v/>
      </c>
      <c r="S68" s="35">
        <f>IFERROR(SUMIFS('SA-1'!$J$15:$J$62,'SA-1'!$B$15:$B$62,2025)/SUMIFS('SA-1'!$F$15:$F$62,'SA-1'!$B$15:$B$62,2025),0)</f>
        <v/>
      </c>
      <c r="T68" s="35">
        <f>IFERROR(SUMIFS('SA-1'!$J$15:$J$62,'SA-1'!$B$15:$B$62,2026)/SUMIFS('SA-1'!$F$15:$F$62,'SA-1'!$B$15:$B$62,2026),0)</f>
        <v/>
      </c>
      <c r="U68" s="35">
        <f>IFERROR(SUMIFS('SA-1'!$J$15:$J$62,'SA-1'!$B$15:$B$62,2027)/SUMIFS('SA-1'!$F$15:$F$62,'SA-1'!$B$15:$B$62,2027),0)</f>
        <v/>
      </c>
      <c r="V68" s="35">
        <f>IFERROR(SUMIFS('SA-1'!$J$15:$J$62,'SA-1'!$B$15:$B$62,2028)/SUMIFS('SA-1'!$F$15:$F$62,'SA-1'!$B$15:$B$62,2028),0)</f>
        <v/>
      </c>
    </row>
    <row r="69">
      <c r="R69">
        <f>Inputs!$A$43</f>
        <v/>
      </c>
      <c r="S69" s="35">
        <f>IFERROR(SUMIFS('WA-1'!$J$15:$J$62,'WA-1'!$B$15:$B$62,2025)/SUMIFS('WA-1'!$F$15:$F$62,'WA-1'!$B$15:$B$62,2025),0)</f>
        <v/>
      </c>
      <c r="T69" s="35">
        <f>IFERROR(SUMIFS('WA-1'!$J$15:$J$62,'WA-1'!$B$15:$B$62,2026)/SUMIFS('WA-1'!$F$15:$F$62,'WA-1'!$B$15:$B$62,2026),0)</f>
        <v/>
      </c>
      <c r="U69" s="35">
        <f>IFERROR(SUMIFS('WA-1'!$J$15:$J$62,'WA-1'!$B$15:$B$62,2027)/SUMIFS('WA-1'!$F$15:$F$62,'WA-1'!$B$15:$B$62,2027),0)</f>
        <v/>
      </c>
      <c r="V69" s="35">
        <f>IFERROR(SUMIFS('WA-1'!$J$15:$J$62,'WA-1'!$B$15:$B$62,2028)/SUMIFS('WA-1'!$F$15:$F$62,'WA-1'!$B$15:$B$62,2028),0)</f>
        <v/>
      </c>
    </row>
    <row r="70">
      <c r="R70">
        <f>Inputs!$A$44</f>
        <v/>
      </c>
      <c r="S70" s="35">
        <f>IFERROR(SUMIFS('IDC-NSW'!$J$15:$J$62,'IDC-NSW'!$B$15:$B$62,2025)/SUMIFS('IDC-NSW'!$F$15:$F$62,'IDC-NSW'!$B$15:$B$62,2025),0)</f>
        <v/>
      </c>
      <c r="T70" s="35">
        <f>IFERROR(SUMIFS('IDC-NSW'!$J$15:$J$62,'IDC-NSW'!$B$15:$B$62,2026)/SUMIFS('IDC-NSW'!$F$15:$F$62,'IDC-NSW'!$B$15:$B$62,2026),0)</f>
        <v/>
      </c>
      <c r="U70" s="35">
        <f>IFERROR(SUMIFS('IDC-NSW'!$J$15:$J$62,'IDC-NSW'!$B$15:$B$62,2027)/SUMIFS('IDC-NSW'!$F$15:$F$62,'IDC-NSW'!$B$15:$B$62,2027),0)</f>
        <v/>
      </c>
      <c r="V70" s="35">
        <f>IFERROR(SUMIFS('IDC-NSW'!$J$15:$J$62,'IDC-NSW'!$B$15:$B$62,2028)/SUMIFS('IDC-NSW'!$F$15:$F$62,'IDC-NSW'!$B$15:$B$62,2028),0)</f>
        <v/>
      </c>
    </row>
    <row r="71">
      <c r="R71">
        <f>Inputs!$A$45</f>
        <v/>
      </c>
      <c r="S71" s="35">
        <f>IFERROR(SUMIFS('IDC-VIC'!$J$15:$J$62,'IDC-VIC'!$B$15:$B$62,2025)/SUMIFS('IDC-VIC'!$F$15:$F$62,'IDC-VIC'!$B$15:$B$62,2025),0)</f>
        <v/>
      </c>
      <c r="T71" s="35">
        <f>IFERROR(SUMIFS('IDC-VIC'!$J$15:$J$62,'IDC-VIC'!$B$15:$B$62,2026)/SUMIFS('IDC-VIC'!$F$15:$F$62,'IDC-VIC'!$B$15:$B$62,2026),0)</f>
        <v/>
      </c>
      <c r="U71" s="35">
        <f>IFERROR(SUMIFS('IDC-VIC'!$J$15:$J$62,'IDC-VIC'!$B$15:$B$62,2027)/SUMIFS('IDC-VIC'!$F$15:$F$62,'IDC-VIC'!$B$15:$B$62,2027),0)</f>
        <v/>
      </c>
      <c r="V71" s="35">
        <f>IFERROR(SUMIFS('IDC-VIC'!$J$15:$J$62,'IDC-VIC'!$B$15:$B$62,2028)/SUMIFS('IDC-VIC'!$F$15:$F$62,'IDC-VIC'!$B$15:$B$62,2028),0)</f>
        <v/>
      </c>
    </row>
  </sheetData>
  <mergeCells count="5">
    <mergeCell ref="K12:O12"/>
    <mergeCell ref="AV12:AZ12"/>
    <mergeCell ref="AJ12:AN12"/>
    <mergeCell ref="AP12:AT12"/>
    <mergeCell ref="E12:J12"/>
  </mergeCells>
  <conditionalFormatting sqref="A15:O62">
    <cfRule type="expression" priority="1" dxfId="4">
      <formula>$D15="Forecast"</formula>
    </cfRule>
  </conditionalFormatting>
  <conditionalFormatting sqref="AJ15:AZ62">
    <cfRule type="expression" priority="2" dxfId="4">
      <formula>$D15="Forecast"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0B050"/>
    <outlinePr summaryBelow="1" summaryRight="1"/>
    <pageSetUpPr/>
  </sheetPr>
  <dimension ref="A1:T17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2" customWidth="1" min="6" max="6"/>
    <col width="10" customWidth="1" min="7" max="7"/>
    <col width="10" customWidth="1" min="8" max="8"/>
    <col width="10" customWidth="1" min="9" max="9"/>
    <col width="10" customWidth="1" min="10" max="10"/>
    <col width="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" customWidth="1" min="16" max="16"/>
    <col width="10" customWidth="1" min="17" max="17"/>
    <col width="10" customWidth="1" min="18" max="18"/>
    <col width="10" customWidth="1" min="19" max="19"/>
    <col width="10" customWidth="1" min="20" max="20"/>
    <col width="2" customWidth="1" min="21" max="21"/>
  </cols>
  <sheetData>
    <row r="1">
      <c r="A1" s="2" t="inlineStr">
        <is>
          <t>Chamber summary: one FY by site and chamber</t>
        </is>
      </c>
    </row>
    <row r="3">
      <c r="A3" t="inlineStr">
        <is>
          <t>FY</t>
        </is>
      </c>
      <c r="B3" s="5" t="n">
        <v>2027</v>
      </c>
      <c r="C3" s="6" t="inlineStr">
        <is>
          <t>Type a year (2025-2028). Actual and forecast months are both included.</t>
        </is>
      </c>
    </row>
    <row r="5">
      <c r="B5" s="7" t="inlineStr">
        <is>
          <t>Cases picked (m)</t>
        </is>
      </c>
      <c r="G5" s="7" t="inlineStr">
        <is>
          <t>WH hours worked</t>
        </is>
      </c>
      <c r="L5" s="7" t="inlineStr">
        <is>
          <t>Staff payroll ($m)</t>
        </is>
      </c>
      <c r="Q5" s="7" t="inlineStr">
        <is>
          <t>Total payroll ($m)</t>
        </is>
      </c>
    </row>
    <row r="6">
      <c r="A6" s="7" t="inlineStr">
        <is>
          <t>Site</t>
        </is>
      </c>
      <c r="B6" s="20" t="inlineStr">
        <is>
          <t>Ambient</t>
        </is>
      </c>
      <c r="C6" s="20" t="inlineStr">
        <is>
          <t>Chiller</t>
        </is>
      </c>
      <c r="D6" s="20" t="inlineStr">
        <is>
          <t>Freezer</t>
        </is>
      </c>
      <c r="E6" s="7" t="inlineStr">
        <is>
          <t>Total</t>
        </is>
      </c>
      <c r="G6" s="20" t="inlineStr">
        <is>
          <t>Ambient</t>
        </is>
      </c>
      <c r="H6" s="20" t="inlineStr">
        <is>
          <t>Chiller</t>
        </is>
      </c>
      <c r="I6" s="20" t="inlineStr">
        <is>
          <t>Freezer</t>
        </is>
      </c>
      <c r="J6" s="7" t="inlineStr">
        <is>
          <t>Total</t>
        </is>
      </c>
      <c r="L6" s="20" t="inlineStr">
        <is>
          <t>Ambient</t>
        </is>
      </c>
      <c r="M6" s="20" t="inlineStr">
        <is>
          <t>Chiller</t>
        </is>
      </c>
      <c r="N6" s="20" t="inlineStr">
        <is>
          <t>Freezer</t>
        </is>
      </c>
      <c r="O6" s="7" t="inlineStr">
        <is>
          <t>Total</t>
        </is>
      </c>
      <c r="Q6" s="20" t="inlineStr">
        <is>
          <t>Ambient</t>
        </is>
      </c>
      <c r="R6" s="20" t="inlineStr">
        <is>
          <t>Chiller</t>
        </is>
      </c>
      <c r="S6" s="20" t="inlineStr">
        <is>
          <t>Freezer</t>
        </is>
      </c>
      <c r="T6" s="7" t="inlineStr">
        <is>
          <t>Total</t>
        </is>
      </c>
    </row>
    <row r="7">
      <c r="A7" s="1">
        <f>Inputs!$A$36</f>
        <v/>
      </c>
      <c r="B7" s="15">
        <f>SUMIFS('NSW-1'!$AJ$15:$AJ$62,'NSW-1'!$B$15:$B$62,$B$3)</f>
        <v/>
      </c>
      <c r="C7" s="15">
        <f>SUMIFS('NSW-1'!$AP$15:$AP$62,'NSW-1'!$B$15:$B$62,$B$3)</f>
        <v/>
      </c>
      <c r="D7" s="15">
        <f>SUMIFS('NSW-1'!$AV$15:$AV$62,'NSW-1'!$B$15:$B$62,$B$3)</f>
        <v/>
      </c>
      <c r="E7" s="15">
        <f>SUM(B7:D7)</f>
        <v/>
      </c>
      <c r="G7" s="9">
        <f>SUMIFS('NSW-1'!$AK$15:$AK$62,'NSW-1'!$B$15:$B$62,$B$3)</f>
        <v/>
      </c>
      <c r="H7" s="9">
        <f>SUMIFS('NSW-1'!$AQ$15:$AQ$62,'NSW-1'!$B$15:$B$62,$B$3)</f>
        <v/>
      </c>
      <c r="I7" s="9">
        <f>SUMIFS('NSW-1'!$AW$15:$AW$62,'NSW-1'!$B$15:$B$62,$B$3)</f>
        <v/>
      </c>
      <c r="J7" s="9">
        <f>SUM(G7:I7)</f>
        <v/>
      </c>
      <c r="L7" s="30">
        <f>SUMIFS('NSW-1'!$AL$15:$AL$62,'NSW-1'!$B$15:$B$62,$B$3)</f>
        <v/>
      </c>
      <c r="M7" s="30">
        <f>SUMIFS('NSW-1'!$AR$15:$AR$62,'NSW-1'!$B$15:$B$62,$B$3)</f>
        <v/>
      </c>
      <c r="N7" s="30">
        <f>SUMIFS('NSW-1'!$AX$15:$AX$62,'NSW-1'!$B$15:$B$62,$B$3)</f>
        <v/>
      </c>
      <c r="O7" s="30">
        <f>SUM(L7:N7)</f>
        <v/>
      </c>
      <c r="Q7" s="30">
        <f>SUMIFS('NSW-1'!$AN$15:$AN$62,'NSW-1'!$B$15:$B$62,$B$3)</f>
        <v/>
      </c>
      <c r="R7" s="30">
        <f>SUMIFS('NSW-1'!$AT$15:$AT$62,'NSW-1'!$B$15:$B$62,$B$3)</f>
        <v/>
      </c>
      <c r="S7" s="30">
        <f>SUMIFS('NSW-1'!$AZ$15:$AZ$62,'NSW-1'!$B$15:$B$62,$B$3)</f>
        <v/>
      </c>
      <c r="T7" s="30">
        <f>SUM(Q7:S7)</f>
        <v/>
      </c>
    </row>
    <row r="8">
      <c r="A8" s="1">
        <f>Inputs!$A$37</f>
        <v/>
      </c>
      <c r="B8" s="15">
        <f>SUMIFS('VIC-1'!$AJ$15:$AJ$62,'VIC-1'!$B$15:$B$62,$B$3)</f>
        <v/>
      </c>
      <c r="C8" s="15">
        <f>SUMIFS('VIC-1'!$AP$15:$AP$62,'VIC-1'!$B$15:$B$62,$B$3)</f>
        <v/>
      </c>
      <c r="D8" s="15">
        <f>SUMIFS('VIC-1'!$AV$15:$AV$62,'VIC-1'!$B$15:$B$62,$B$3)</f>
        <v/>
      </c>
      <c r="E8" s="15">
        <f>SUM(B8:D8)</f>
        <v/>
      </c>
      <c r="G8" s="9">
        <f>SUMIFS('VIC-1'!$AK$15:$AK$62,'VIC-1'!$B$15:$B$62,$B$3)</f>
        <v/>
      </c>
      <c r="H8" s="9">
        <f>SUMIFS('VIC-1'!$AQ$15:$AQ$62,'VIC-1'!$B$15:$B$62,$B$3)</f>
        <v/>
      </c>
      <c r="I8" s="9">
        <f>SUMIFS('VIC-1'!$AW$15:$AW$62,'VIC-1'!$B$15:$B$62,$B$3)</f>
        <v/>
      </c>
      <c r="J8" s="9">
        <f>SUM(G8:I8)</f>
        <v/>
      </c>
      <c r="L8" s="30">
        <f>SUMIFS('VIC-1'!$AL$15:$AL$62,'VIC-1'!$B$15:$B$62,$B$3)</f>
        <v/>
      </c>
      <c r="M8" s="30">
        <f>SUMIFS('VIC-1'!$AR$15:$AR$62,'VIC-1'!$B$15:$B$62,$B$3)</f>
        <v/>
      </c>
      <c r="N8" s="30">
        <f>SUMIFS('VIC-1'!$AX$15:$AX$62,'VIC-1'!$B$15:$B$62,$B$3)</f>
        <v/>
      </c>
      <c r="O8" s="30">
        <f>SUM(L8:N8)</f>
        <v/>
      </c>
      <c r="Q8" s="30">
        <f>SUMIFS('VIC-1'!$AN$15:$AN$62,'VIC-1'!$B$15:$B$62,$B$3)</f>
        <v/>
      </c>
      <c r="R8" s="30">
        <f>SUMIFS('VIC-1'!$AT$15:$AT$62,'VIC-1'!$B$15:$B$62,$B$3)</f>
        <v/>
      </c>
      <c r="S8" s="30">
        <f>SUMIFS('VIC-1'!$AZ$15:$AZ$62,'VIC-1'!$B$15:$B$62,$B$3)</f>
        <v/>
      </c>
      <c r="T8" s="30">
        <f>SUM(Q8:S8)</f>
        <v/>
      </c>
    </row>
    <row r="9">
      <c r="A9" s="1">
        <f>Inputs!$A$38</f>
        <v/>
      </c>
      <c r="B9" s="15">
        <f>SUMIFS('QLD-1'!$AJ$15:$AJ$62,'QLD-1'!$B$15:$B$62,$B$3)</f>
        <v/>
      </c>
      <c r="C9" s="15">
        <f>SUMIFS('QLD-1'!$AP$15:$AP$62,'QLD-1'!$B$15:$B$62,$B$3)</f>
        <v/>
      </c>
      <c r="D9" s="15">
        <f>SUMIFS('QLD-1'!$AV$15:$AV$62,'QLD-1'!$B$15:$B$62,$B$3)</f>
        <v/>
      </c>
      <c r="E9" s="15">
        <f>SUM(B9:D9)</f>
        <v/>
      </c>
      <c r="G9" s="9">
        <f>SUMIFS('QLD-1'!$AK$15:$AK$62,'QLD-1'!$B$15:$B$62,$B$3)</f>
        <v/>
      </c>
      <c r="H9" s="9">
        <f>SUMIFS('QLD-1'!$AQ$15:$AQ$62,'QLD-1'!$B$15:$B$62,$B$3)</f>
        <v/>
      </c>
      <c r="I9" s="9">
        <f>SUMIFS('QLD-1'!$AW$15:$AW$62,'QLD-1'!$B$15:$B$62,$B$3)</f>
        <v/>
      </c>
      <c r="J9" s="9">
        <f>SUM(G9:I9)</f>
        <v/>
      </c>
      <c r="L9" s="30">
        <f>SUMIFS('QLD-1'!$AL$15:$AL$62,'QLD-1'!$B$15:$B$62,$B$3)</f>
        <v/>
      </c>
      <c r="M9" s="30">
        <f>SUMIFS('QLD-1'!$AR$15:$AR$62,'QLD-1'!$B$15:$B$62,$B$3)</f>
        <v/>
      </c>
      <c r="N9" s="30">
        <f>SUMIFS('QLD-1'!$AX$15:$AX$62,'QLD-1'!$B$15:$B$62,$B$3)</f>
        <v/>
      </c>
      <c r="O9" s="30">
        <f>SUM(L9:N9)</f>
        <v/>
      </c>
      <c r="Q9" s="30">
        <f>SUMIFS('QLD-1'!$AN$15:$AN$62,'QLD-1'!$B$15:$B$62,$B$3)</f>
        <v/>
      </c>
      <c r="R9" s="30">
        <f>SUMIFS('QLD-1'!$AT$15:$AT$62,'QLD-1'!$B$15:$B$62,$B$3)</f>
        <v/>
      </c>
      <c r="S9" s="30">
        <f>SUMIFS('QLD-1'!$AZ$15:$AZ$62,'QLD-1'!$B$15:$B$62,$B$3)</f>
        <v/>
      </c>
      <c r="T9" s="30">
        <f>SUM(Q9:S9)</f>
        <v/>
      </c>
    </row>
    <row r="10">
      <c r="A10" s="1">
        <f>Inputs!$A$39</f>
        <v/>
      </c>
      <c r="B10" s="15">
        <f>SUMIFS('NSW-2'!$AJ$15:$AJ$62,'NSW-2'!$B$15:$B$62,$B$3)</f>
        <v/>
      </c>
      <c r="C10" s="15">
        <f>SUMIFS('NSW-2'!$AP$15:$AP$62,'NSW-2'!$B$15:$B$62,$B$3)</f>
        <v/>
      </c>
      <c r="D10" s="15">
        <f>SUMIFS('NSW-2'!$AV$15:$AV$62,'NSW-2'!$B$15:$B$62,$B$3)</f>
        <v/>
      </c>
      <c r="E10" s="15">
        <f>SUM(B10:D10)</f>
        <v/>
      </c>
      <c r="G10" s="9">
        <f>SUMIFS('NSW-2'!$AK$15:$AK$62,'NSW-2'!$B$15:$B$62,$B$3)</f>
        <v/>
      </c>
      <c r="H10" s="9">
        <f>SUMIFS('NSW-2'!$AQ$15:$AQ$62,'NSW-2'!$B$15:$B$62,$B$3)</f>
        <v/>
      </c>
      <c r="I10" s="9">
        <f>SUMIFS('NSW-2'!$AW$15:$AW$62,'NSW-2'!$B$15:$B$62,$B$3)</f>
        <v/>
      </c>
      <c r="J10" s="9">
        <f>SUM(G10:I10)</f>
        <v/>
      </c>
      <c r="L10" s="30">
        <f>SUMIFS('NSW-2'!$AL$15:$AL$62,'NSW-2'!$B$15:$B$62,$B$3)</f>
        <v/>
      </c>
      <c r="M10" s="30">
        <f>SUMIFS('NSW-2'!$AR$15:$AR$62,'NSW-2'!$B$15:$B$62,$B$3)</f>
        <v/>
      </c>
      <c r="N10" s="30">
        <f>SUMIFS('NSW-2'!$AX$15:$AX$62,'NSW-2'!$B$15:$B$62,$B$3)</f>
        <v/>
      </c>
      <c r="O10" s="30">
        <f>SUM(L10:N10)</f>
        <v/>
      </c>
      <c r="Q10" s="30">
        <f>SUMIFS('NSW-2'!$AN$15:$AN$62,'NSW-2'!$B$15:$B$62,$B$3)</f>
        <v/>
      </c>
      <c r="R10" s="30">
        <f>SUMIFS('NSW-2'!$AT$15:$AT$62,'NSW-2'!$B$15:$B$62,$B$3)</f>
        <v/>
      </c>
      <c r="S10" s="30">
        <f>SUMIFS('NSW-2'!$AZ$15:$AZ$62,'NSW-2'!$B$15:$B$62,$B$3)</f>
        <v/>
      </c>
      <c r="T10" s="30">
        <f>SUM(Q10:S10)</f>
        <v/>
      </c>
    </row>
    <row r="11">
      <c r="A11" s="1">
        <f>Inputs!$A$40</f>
        <v/>
      </c>
      <c r="B11" s="15">
        <f>SUMIFS('VIC-2'!$AJ$15:$AJ$62,'VIC-2'!$B$15:$B$62,$B$3)</f>
        <v/>
      </c>
      <c r="C11" s="15">
        <f>SUMIFS('VIC-2'!$AP$15:$AP$62,'VIC-2'!$B$15:$B$62,$B$3)</f>
        <v/>
      </c>
      <c r="D11" s="15">
        <f>SUMIFS('VIC-2'!$AV$15:$AV$62,'VIC-2'!$B$15:$B$62,$B$3)</f>
        <v/>
      </c>
      <c r="E11" s="15">
        <f>SUM(B11:D11)</f>
        <v/>
      </c>
      <c r="G11" s="9">
        <f>SUMIFS('VIC-2'!$AK$15:$AK$62,'VIC-2'!$B$15:$B$62,$B$3)</f>
        <v/>
      </c>
      <c r="H11" s="9">
        <f>SUMIFS('VIC-2'!$AQ$15:$AQ$62,'VIC-2'!$B$15:$B$62,$B$3)</f>
        <v/>
      </c>
      <c r="I11" s="9">
        <f>SUMIFS('VIC-2'!$AW$15:$AW$62,'VIC-2'!$B$15:$B$62,$B$3)</f>
        <v/>
      </c>
      <c r="J11" s="9">
        <f>SUM(G11:I11)</f>
        <v/>
      </c>
      <c r="L11" s="30">
        <f>SUMIFS('VIC-2'!$AL$15:$AL$62,'VIC-2'!$B$15:$B$62,$B$3)</f>
        <v/>
      </c>
      <c r="M11" s="30">
        <f>SUMIFS('VIC-2'!$AR$15:$AR$62,'VIC-2'!$B$15:$B$62,$B$3)</f>
        <v/>
      </c>
      <c r="N11" s="30">
        <f>SUMIFS('VIC-2'!$AX$15:$AX$62,'VIC-2'!$B$15:$B$62,$B$3)</f>
        <v/>
      </c>
      <c r="O11" s="30">
        <f>SUM(L11:N11)</f>
        <v/>
      </c>
      <c r="Q11" s="30">
        <f>SUMIFS('VIC-2'!$AN$15:$AN$62,'VIC-2'!$B$15:$B$62,$B$3)</f>
        <v/>
      </c>
      <c r="R11" s="30">
        <f>SUMIFS('VIC-2'!$AT$15:$AT$62,'VIC-2'!$B$15:$B$62,$B$3)</f>
        <v/>
      </c>
      <c r="S11" s="30">
        <f>SUMIFS('VIC-2'!$AZ$15:$AZ$62,'VIC-2'!$B$15:$B$62,$B$3)</f>
        <v/>
      </c>
      <c r="T11" s="30">
        <f>SUM(Q11:S11)</f>
        <v/>
      </c>
    </row>
    <row r="12">
      <c r="A12" s="1">
        <f>Inputs!$A$41</f>
        <v/>
      </c>
      <c r="B12" s="15">
        <f>SUMIFS('QLD-2'!$AJ$15:$AJ$62,'QLD-2'!$B$15:$B$62,$B$3)</f>
        <v/>
      </c>
      <c r="C12" s="15">
        <f>SUMIFS('QLD-2'!$AP$15:$AP$62,'QLD-2'!$B$15:$B$62,$B$3)</f>
        <v/>
      </c>
      <c r="D12" s="15">
        <f>SUMIFS('QLD-2'!$AV$15:$AV$62,'QLD-2'!$B$15:$B$62,$B$3)</f>
        <v/>
      </c>
      <c r="E12" s="15">
        <f>SUM(B12:D12)</f>
        <v/>
      </c>
      <c r="G12" s="9">
        <f>SUMIFS('QLD-2'!$AK$15:$AK$62,'QLD-2'!$B$15:$B$62,$B$3)</f>
        <v/>
      </c>
      <c r="H12" s="9">
        <f>SUMIFS('QLD-2'!$AQ$15:$AQ$62,'QLD-2'!$B$15:$B$62,$B$3)</f>
        <v/>
      </c>
      <c r="I12" s="9">
        <f>SUMIFS('QLD-2'!$AW$15:$AW$62,'QLD-2'!$B$15:$B$62,$B$3)</f>
        <v/>
      </c>
      <c r="J12" s="9">
        <f>SUM(G12:I12)</f>
        <v/>
      </c>
      <c r="L12" s="30">
        <f>SUMIFS('QLD-2'!$AL$15:$AL$62,'QLD-2'!$B$15:$B$62,$B$3)</f>
        <v/>
      </c>
      <c r="M12" s="30">
        <f>SUMIFS('QLD-2'!$AR$15:$AR$62,'QLD-2'!$B$15:$B$62,$B$3)</f>
        <v/>
      </c>
      <c r="N12" s="30">
        <f>SUMIFS('QLD-2'!$AX$15:$AX$62,'QLD-2'!$B$15:$B$62,$B$3)</f>
        <v/>
      </c>
      <c r="O12" s="30">
        <f>SUM(L12:N12)</f>
        <v/>
      </c>
      <c r="Q12" s="30">
        <f>SUMIFS('QLD-2'!$AN$15:$AN$62,'QLD-2'!$B$15:$B$62,$B$3)</f>
        <v/>
      </c>
      <c r="R12" s="30">
        <f>SUMIFS('QLD-2'!$AT$15:$AT$62,'QLD-2'!$B$15:$B$62,$B$3)</f>
        <v/>
      </c>
      <c r="S12" s="30">
        <f>SUMIFS('QLD-2'!$AZ$15:$AZ$62,'QLD-2'!$B$15:$B$62,$B$3)</f>
        <v/>
      </c>
      <c r="T12" s="30">
        <f>SUM(Q12:S12)</f>
        <v/>
      </c>
    </row>
    <row r="13">
      <c r="A13" s="1">
        <f>Inputs!$A$42</f>
        <v/>
      </c>
      <c r="B13" s="15">
        <f>SUMIFS('SA-1'!$AJ$15:$AJ$62,'SA-1'!$B$15:$B$62,$B$3)</f>
        <v/>
      </c>
      <c r="C13" s="15">
        <f>SUMIFS('SA-1'!$AP$15:$AP$62,'SA-1'!$B$15:$B$62,$B$3)</f>
        <v/>
      </c>
      <c r="D13" s="15">
        <f>SUMIFS('SA-1'!$AV$15:$AV$62,'SA-1'!$B$15:$B$62,$B$3)</f>
        <v/>
      </c>
      <c r="E13" s="15">
        <f>SUM(B13:D13)</f>
        <v/>
      </c>
      <c r="G13" s="9">
        <f>SUMIFS('SA-1'!$AK$15:$AK$62,'SA-1'!$B$15:$B$62,$B$3)</f>
        <v/>
      </c>
      <c r="H13" s="9">
        <f>SUMIFS('SA-1'!$AQ$15:$AQ$62,'SA-1'!$B$15:$B$62,$B$3)</f>
        <v/>
      </c>
      <c r="I13" s="9">
        <f>SUMIFS('SA-1'!$AW$15:$AW$62,'SA-1'!$B$15:$B$62,$B$3)</f>
        <v/>
      </c>
      <c r="J13" s="9">
        <f>SUM(G13:I13)</f>
        <v/>
      </c>
      <c r="L13" s="30">
        <f>SUMIFS('SA-1'!$AL$15:$AL$62,'SA-1'!$B$15:$B$62,$B$3)</f>
        <v/>
      </c>
      <c r="M13" s="30">
        <f>SUMIFS('SA-1'!$AR$15:$AR$62,'SA-1'!$B$15:$B$62,$B$3)</f>
        <v/>
      </c>
      <c r="N13" s="30">
        <f>SUMIFS('SA-1'!$AX$15:$AX$62,'SA-1'!$B$15:$B$62,$B$3)</f>
        <v/>
      </c>
      <c r="O13" s="30">
        <f>SUM(L13:N13)</f>
        <v/>
      </c>
      <c r="Q13" s="30">
        <f>SUMIFS('SA-1'!$AN$15:$AN$62,'SA-1'!$B$15:$B$62,$B$3)</f>
        <v/>
      </c>
      <c r="R13" s="30">
        <f>SUMIFS('SA-1'!$AT$15:$AT$62,'SA-1'!$B$15:$B$62,$B$3)</f>
        <v/>
      </c>
      <c r="S13" s="30">
        <f>SUMIFS('SA-1'!$AZ$15:$AZ$62,'SA-1'!$B$15:$B$62,$B$3)</f>
        <v/>
      </c>
      <c r="T13" s="30">
        <f>SUM(Q13:S13)</f>
        <v/>
      </c>
    </row>
    <row r="14">
      <c r="A14" s="1">
        <f>Inputs!$A$43</f>
        <v/>
      </c>
      <c r="B14" s="15">
        <f>SUMIFS('WA-1'!$AJ$15:$AJ$62,'WA-1'!$B$15:$B$62,$B$3)</f>
        <v/>
      </c>
      <c r="C14" s="15">
        <f>SUMIFS('WA-1'!$AP$15:$AP$62,'WA-1'!$B$15:$B$62,$B$3)</f>
        <v/>
      </c>
      <c r="D14" s="15">
        <f>SUMIFS('WA-1'!$AV$15:$AV$62,'WA-1'!$B$15:$B$62,$B$3)</f>
        <v/>
      </c>
      <c r="E14" s="15">
        <f>SUM(B14:D14)</f>
        <v/>
      </c>
      <c r="G14" s="9">
        <f>SUMIFS('WA-1'!$AK$15:$AK$62,'WA-1'!$B$15:$B$62,$B$3)</f>
        <v/>
      </c>
      <c r="H14" s="9">
        <f>SUMIFS('WA-1'!$AQ$15:$AQ$62,'WA-1'!$B$15:$B$62,$B$3)</f>
        <v/>
      </c>
      <c r="I14" s="9">
        <f>SUMIFS('WA-1'!$AW$15:$AW$62,'WA-1'!$B$15:$B$62,$B$3)</f>
        <v/>
      </c>
      <c r="J14" s="9">
        <f>SUM(G14:I14)</f>
        <v/>
      </c>
      <c r="L14" s="30">
        <f>SUMIFS('WA-1'!$AL$15:$AL$62,'WA-1'!$B$15:$B$62,$B$3)</f>
        <v/>
      </c>
      <c r="M14" s="30">
        <f>SUMIFS('WA-1'!$AR$15:$AR$62,'WA-1'!$B$15:$B$62,$B$3)</f>
        <v/>
      </c>
      <c r="N14" s="30">
        <f>SUMIFS('WA-1'!$AX$15:$AX$62,'WA-1'!$B$15:$B$62,$B$3)</f>
        <v/>
      </c>
      <c r="O14" s="30">
        <f>SUM(L14:N14)</f>
        <v/>
      </c>
      <c r="Q14" s="30">
        <f>SUMIFS('WA-1'!$AN$15:$AN$62,'WA-1'!$B$15:$B$62,$B$3)</f>
        <v/>
      </c>
      <c r="R14" s="30">
        <f>SUMIFS('WA-1'!$AT$15:$AT$62,'WA-1'!$B$15:$B$62,$B$3)</f>
        <v/>
      </c>
      <c r="S14" s="30">
        <f>SUMIFS('WA-1'!$AZ$15:$AZ$62,'WA-1'!$B$15:$B$62,$B$3)</f>
        <v/>
      </c>
      <c r="T14" s="30">
        <f>SUM(Q14:S14)</f>
        <v/>
      </c>
    </row>
    <row r="15">
      <c r="A15" s="1">
        <f>Inputs!$A$44</f>
        <v/>
      </c>
      <c r="B15" s="15">
        <f>SUMIFS('IDC-NSW'!$AJ$15:$AJ$62,'IDC-NSW'!$B$15:$B$62,$B$3)</f>
        <v/>
      </c>
      <c r="C15" s="15">
        <f>SUMIFS('IDC-NSW'!$AP$15:$AP$62,'IDC-NSW'!$B$15:$B$62,$B$3)</f>
        <v/>
      </c>
      <c r="D15" s="15">
        <f>SUMIFS('IDC-NSW'!$AV$15:$AV$62,'IDC-NSW'!$B$15:$B$62,$B$3)</f>
        <v/>
      </c>
      <c r="E15" s="15">
        <f>SUM(B15:D15)</f>
        <v/>
      </c>
      <c r="G15" s="9">
        <f>SUMIFS('IDC-NSW'!$AK$15:$AK$62,'IDC-NSW'!$B$15:$B$62,$B$3)</f>
        <v/>
      </c>
      <c r="H15" s="9">
        <f>SUMIFS('IDC-NSW'!$AQ$15:$AQ$62,'IDC-NSW'!$B$15:$B$62,$B$3)</f>
        <v/>
      </c>
      <c r="I15" s="9">
        <f>SUMIFS('IDC-NSW'!$AW$15:$AW$62,'IDC-NSW'!$B$15:$B$62,$B$3)</f>
        <v/>
      </c>
      <c r="J15" s="9">
        <f>SUM(G15:I15)</f>
        <v/>
      </c>
      <c r="L15" s="30">
        <f>SUMIFS('IDC-NSW'!$AL$15:$AL$62,'IDC-NSW'!$B$15:$B$62,$B$3)</f>
        <v/>
      </c>
      <c r="M15" s="30">
        <f>SUMIFS('IDC-NSW'!$AR$15:$AR$62,'IDC-NSW'!$B$15:$B$62,$B$3)</f>
        <v/>
      </c>
      <c r="N15" s="30">
        <f>SUMIFS('IDC-NSW'!$AX$15:$AX$62,'IDC-NSW'!$B$15:$B$62,$B$3)</f>
        <v/>
      </c>
      <c r="O15" s="30">
        <f>SUM(L15:N15)</f>
        <v/>
      </c>
      <c r="Q15" s="30">
        <f>SUMIFS('IDC-NSW'!$AN$15:$AN$62,'IDC-NSW'!$B$15:$B$62,$B$3)</f>
        <v/>
      </c>
      <c r="R15" s="30">
        <f>SUMIFS('IDC-NSW'!$AT$15:$AT$62,'IDC-NSW'!$B$15:$B$62,$B$3)</f>
        <v/>
      </c>
      <c r="S15" s="30">
        <f>SUMIFS('IDC-NSW'!$AZ$15:$AZ$62,'IDC-NSW'!$B$15:$B$62,$B$3)</f>
        <v/>
      </c>
      <c r="T15" s="30">
        <f>SUM(Q15:S15)</f>
        <v/>
      </c>
    </row>
    <row r="16">
      <c r="A16" s="1">
        <f>Inputs!$A$45</f>
        <v/>
      </c>
      <c r="B16" s="15">
        <f>SUMIFS('IDC-VIC'!$AJ$15:$AJ$62,'IDC-VIC'!$B$15:$B$62,$B$3)</f>
        <v/>
      </c>
      <c r="C16" s="15">
        <f>SUMIFS('IDC-VIC'!$AP$15:$AP$62,'IDC-VIC'!$B$15:$B$62,$B$3)</f>
        <v/>
      </c>
      <c r="D16" s="15">
        <f>SUMIFS('IDC-VIC'!$AV$15:$AV$62,'IDC-VIC'!$B$15:$B$62,$B$3)</f>
        <v/>
      </c>
      <c r="E16" s="15">
        <f>SUM(B16:D16)</f>
        <v/>
      </c>
      <c r="G16" s="9">
        <f>SUMIFS('IDC-VIC'!$AK$15:$AK$62,'IDC-VIC'!$B$15:$B$62,$B$3)</f>
        <v/>
      </c>
      <c r="H16" s="9">
        <f>SUMIFS('IDC-VIC'!$AQ$15:$AQ$62,'IDC-VIC'!$B$15:$B$62,$B$3)</f>
        <v/>
      </c>
      <c r="I16" s="9">
        <f>SUMIFS('IDC-VIC'!$AW$15:$AW$62,'IDC-VIC'!$B$15:$B$62,$B$3)</f>
        <v/>
      </c>
      <c r="J16" s="9">
        <f>SUM(G16:I16)</f>
        <v/>
      </c>
      <c r="L16" s="30">
        <f>SUMIFS('IDC-VIC'!$AL$15:$AL$62,'IDC-VIC'!$B$15:$B$62,$B$3)</f>
        <v/>
      </c>
      <c r="M16" s="30">
        <f>SUMIFS('IDC-VIC'!$AR$15:$AR$62,'IDC-VIC'!$B$15:$B$62,$B$3)</f>
        <v/>
      </c>
      <c r="N16" s="30">
        <f>SUMIFS('IDC-VIC'!$AX$15:$AX$62,'IDC-VIC'!$B$15:$B$62,$B$3)</f>
        <v/>
      </c>
      <c r="O16" s="30">
        <f>SUM(L16:N16)</f>
        <v/>
      </c>
      <c r="Q16" s="30">
        <f>SUMIFS('IDC-VIC'!$AN$15:$AN$62,'IDC-VIC'!$B$15:$B$62,$B$3)</f>
        <v/>
      </c>
      <c r="R16" s="30">
        <f>SUMIFS('IDC-VIC'!$AT$15:$AT$62,'IDC-VIC'!$B$15:$B$62,$B$3)</f>
        <v/>
      </c>
      <c r="S16" s="30">
        <f>SUMIFS('IDC-VIC'!$AZ$15:$AZ$62,'IDC-VIC'!$B$15:$B$62,$B$3)</f>
        <v/>
      </c>
      <c r="T16" s="30">
        <f>SUM(Q16:S16)</f>
        <v/>
      </c>
    </row>
    <row r="17">
      <c r="A17" s="1" t="inlineStr">
        <is>
          <t>National</t>
        </is>
      </c>
      <c r="B17" s="47">
        <f>SUM(B7:B16)</f>
        <v/>
      </c>
      <c r="C17" s="47">
        <f>SUM(C7:C16)</f>
        <v/>
      </c>
      <c r="D17" s="47">
        <f>SUM(D7:D16)</f>
        <v/>
      </c>
      <c r="E17" s="47">
        <f>SUM(B17:D17)</f>
        <v/>
      </c>
      <c r="G17" s="48">
        <f>SUM(G7:G16)</f>
        <v/>
      </c>
      <c r="H17" s="48">
        <f>SUM(H7:H16)</f>
        <v/>
      </c>
      <c r="I17" s="48">
        <f>SUM(I7:I16)</f>
        <v/>
      </c>
      <c r="J17" s="48">
        <f>SUM(G17:I17)</f>
        <v/>
      </c>
      <c r="L17" s="49">
        <f>SUM(L7:L16)</f>
        <v/>
      </c>
      <c r="M17" s="49">
        <f>SUM(M7:M16)</f>
        <v/>
      </c>
      <c r="N17" s="49">
        <f>SUM(N7:N16)</f>
        <v/>
      </c>
      <c r="O17" s="49">
        <f>SUM(L17:N17)</f>
        <v/>
      </c>
      <c r="Q17" s="49">
        <f>SUM(Q7:Q16)</f>
        <v/>
      </c>
      <c r="R17" s="49">
        <f>SUM(R7:R16)</f>
        <v/>
      </c>
      <c r="S17" s="49">
        <f>SUM(S7:S16)</f>
        <v/>
      </c>
      <c r="T17" s="49">
        <f>SUM(Q17:S17)</f>
        <v/>
      </c>
    </row>
  </sheetData>
  <mergeCells count="4">
    <mergeCell ref="L5:O5"/>
    <mergeCell ref="G5:J5"/>
    <mergeCell ref="B5:E5"/>
    <mergeCell ref="Q5:T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3864"/>
    <outlinePr summaryBelow="1" summaryRight="1"/>
    <pageSetUpPr/>
  </sheetPr>
  <dimension ref="A1:AZ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  <col width="10" customWidth="1" min="34" max="34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2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2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2" customWidth="1" min="53" max="53"/>
  </cols>
  <sheetData>
    <row r="1">
      <c r="A1" s="2">
        <f>$B$2&amp;"  |  Region  |  NSW"</f>
        <v/>
      </c>
    </row>
    <row r="2">
      <c r="A2" t="inlineStr">
        <is>
          <t>Code</t>
        </is>
      </c>
      <c r="B2" s="1">
        <f>Inputs!$A$36</f>
        <v/>
      </c>
      <c r="C2" t="inlineStr">
        <is>
          <t>State</t>
        </is>
      </c>
      <c r="D2" s="1" t="inlineStr">
        <is>
          <t>NSW</t>
        </is>
      </c>
      <c r="F2" t="inlineStr">
        <is>
          <t>Leadership share of total payroll, last actual month</t>
        </is>
      </c>
      <c r="K2" s="50">
        <f>IFERROR(INDEX($V$15:$V$62,MATCH(LastActual,$A$15:$A$62,0))/(INDEX($U$15:$U$62,MATCH(LastActual,$A$15:$A$62,0))+INDEX($V$15:$V$62,MATCH(LastActual,$A$15:$A$62,0))),0)</f>
        <v/>
      </c>
    </row>
    <row r="5" ht="45" customHeight="1">
      <c r="A5" s="7" t="inlineStr">
        <is>
          <t>FY</t>
        </is>
      </c>
      <c r="D5" s="7" t="inlineStr">
        <is>
          <t>Status</t>
        </is>
      </c>
      <c r="E5" s="7" t="inlineStr">
        <is>
          <t>Sales</t>
        </is>
      </c>
      <c r="F5" s="7" t="inlineStr">
        <is>
          <t>Cases picked</t>
        </is>
      </c>
      <c r="G5" s="7" t="inlineStr">
        <is>
          <t>WH hours worked</t>
        </is>
      </c>
      <c r="H5" s="7" t="inlineStr">
        <is>
          <t>Staff payroll</t>
        </is>
      </c>
      <c r="I5" s="7" t="inlineStr">
        <is>
          <t>Leadership payroll</t>
        </is>
      </c>
      <c r="J5" s="7" t="inlineStr">
        <is>
          <t>Total payroll</t>
        </is>
      </c>
      <c r="K5" s="7" t="inlineStr">
        <is>
          <t>CPLH (cases / hr)</t>
        </is>
      </c>
      <c r="L5" s="7" t="inlineStr">
        <is>
          <t>Cost per hour (staff)</t>
        </is>
      </c>
      <c r="M5" s="7" t="inlineStr">
        <is>
          <t>Cost per case (total payroll)</t>
        </is>
      </c>
      <c r="N5" s="7" t="inlineStr">
        <is>
          <t>Total payroll % sales</t>
        </is>
      </c>
      <c r="O5" s="7" t="inlineStr">
        <is>
          <t>Leadership % of total payroll</t>
        </is>
      </c>
      <c r="AJ5" s="20" t="inlineStr">
        <is>
          <t>Cases picked</t>
        </is>
      </c>
      <c r="AK5" s="20" t="inlineStr">
        <is>
          <t>WH hours worked</t>
        </is>
      </c>
      <c r="AL5" s="20" t="inlineStr">
        <is>
          <t>Staff payroll</t>
        </is>
      </c>
      <c r="AM5" s="20" t="inlineStr">
        <is>
          <t>Leadership payroll</t>
        </is>
      </c>
      <c r="AN5" s="20" t="inlineStr">
        <is>
          <t>Total payroll</t>
        </is>
      </c>
      <c r="AP5" s="20" t="inlineStr">
        <is>
          <t>Cases picked</t>
        </is>
      </c>
      <c r="AQ5" s="20" t="inlineStr">
        <is>
          <t>WH hours worked</t>
        </is>
      </c>
      <c r="AR5" s="20" t="inlineStr">
        <is>
          <t>Staff payroll</t>
        </is>
      </c>
      <c r="AS5" s="20" t="inlineStr">
        <is>
          <t>Leadership payroll</t>
        </is>
      </c>
      <c r="AT5" s="20" t="inlineStr">
        <is>
          <t>Total payroll</t>
        </is>
      </c>
      <c r="AV5" s="20" t="inlineStr">
        <is>
          <t>Cases picked</t>
        </is>
      </c>
      <c r="AW5" s="20" t="inlineStr">
        <is>
          <t>WH hours worked</t>
        </is>
      </c>
      <c r="AX5" s="20" t="inlineStr">
        <is>
          <t>Staff payroll</t>
        </is>
      </c>
      <c r="AY5" s="20" t="inlineStr">
        <is>
          <t>Leadership payroll</t>
        </is>
      </c>
      <c r="AZ5" s="20" t="inlineStr">
        <is>
          <t>Total payroll</t>
        </is>
      </c>
    </row>
    <row r="6">
      <c r="A6" s="21" t="n">
        <v>2025</v>
      </c>
      <c r="D6" s="22">
        <f>IF(DATE(A6,12,1)&lt;=LastActual,"Actual",IF(DATE(A6,1,1)&gt;LastActual,"Forecast","Blended"))</f>
        <v/>
      </c>
      <c r="E6" s="23">
        <f>SUMIFS($E$15:$E$62,$B$15:$B$62,$A6)</f>
        <v/>
      </c>
      <c r="F6" s="24">
        <f>SUMIFS($F$15:$F$62,$B$15:$B$62,$A6)</f>
        <v/>
      </c>
      <c r="G6" s="25">
        <f>SUMIFS($G$15:$G$62,$B$15:$B$62,$A6)</f>
        <v/>
      </c>
      <c r="H6" s="23">
        <f>SUMIFS($H$15:$H$62,$B$15:$B$62,$A6)</f>
        <v/>
      </c>
      <c r="I6" s="23">
        <f>SUMIFS($I$15:$I$62,$B$15:$B$62,$A6)</f>
        <v/>
      </c>
      <c r="J6" s="23">
        <f>SUMIFS($J$15:$J$62,$B$15:$B$62,$A6)</f>
        <v/>
      </c>
      <c r="K6" s="26">
        <f>IFERROR(F6/G6,0)</f>
        <v/>
      </c>
      <c r="L6" s="27">
        <f>IFERROR(H6/G6,0)</f>
        <v/>
      </c>
      <c r="M6" s="28">
        <f>IFERROR(J6/F6,0)</f>
        <v/>
      </c>
      <c r="N6" s="29">
        <f>IFERROR(J6/E6,0)</f>
        <v/>
      </c>
      <c r="O6" s="29">
        <f>IFERROR(I6/J6,0)</f>
        <v/>
      </c>
      <c r="AJ6" s="24">
        <f>SUMIFS($AJ$15:$AJ$62,$B$15:$B$62,$A6)</f>
        <v/>
      </c>
      <c r="AK6" s="25">
        <f>SUMIFS($AK$15:$AK$62,$B$15:$B$62,$A6)</f>
        <v/>
      </c>
      <c r="AL6" s="23">
        <f>SUMIFS($AL$15:$AL$62,$B$15:$B$62,$A6)</f>
        <v/>
      </c>
      <c r="AM6" s="23">
        <f>SUMIFS($AM$15:$AM$62,$B$15:$B$62,$A6)</f>
        <v/>
      </c>
      <c r="AN6" s="23">
        <f>SUMIFS($AN$15:$AN$62,$B$15:$B$62,$A6)</f>
        <v/>
      </c>
      <c r="AP6" s="24">
        <f>SUMIFS($AP$15:$AP$62,$B$15:$B$62,$A6)</f>
        <v/>
      </c>
      <c r="AQ6" s="25">
        <f>SUMIFS($AQ$15:$AQ$62,$B$15:$B$62,$A6)</f>
        <v/>
      </c>
      <c r="AR6" s="23">
        <f>SUMIFS($AR$15:$AR$62,$B$15:$B$62,$A6)</f>
        <v/>
      </c>
      <c r="AS6" s="23">
        <f>SUMIFS($AS$15:$AS$62,$B$15:$B$62,$A6)</f>
        <v/>
      </c>
      <c r="AT6" s="23">
        <f>SUMIFS($AT$15:$AT$62,$B$15:$B$62,$A6)</f>
        <v/>
      </c>
      <c r="AV6" s="24">
        <f>SUMIFS($AV$15:$AV$62,$B$15:$B$62,$A6)</f>
        <v/>
      </c>
      <c r="AW6" s="25">
        <f>SUMIFS($AW$15:$AW$62,$B$15:$B$62,$A6)</f>
        <v/>
      </c>
      <c r="AX6" s="23">
        <f>SUMIFS($AX$15:$AX$62,$B$15:$B$62,$A6)</f>
        <v/>
      </c>
      <c r="AY6" s="23">
        <f>SUMIFS($AY$15:$AY$62,$B$15:$B$62,$A6)</f>
        <v/>
      </c>
      <c r="AZ6" s="23">
        <f>SUMIFS($AZ$15:$AZ$62,$B$15:$B$62,$A6)</f>
        <v/>
      </c>
    </row>
    <row r="7">
      <c r="A7" s="21" t="n">
        <v>2026</v>
      </c>
      <c r="D7" s="22">
        <f>IF(DATE(A7,12,1)&lt;=LastActual,"Actual",IF(DATE(A7,1,1)&gt;LastActual,"Forecast","Blended"))</f>
        <v/>
      </c>
      <c r="E7" s="23">
        <f>SUMIFS($E$15:$E$62,$B$15:$B$62,$A7)</f>
        <v/>
      </c>
      <c r="F7" s="24">
        <f>SUMIFS($F$15:$F$62,$B$15:$B$62,$A7)</f>
        <v/>
      </c>
      <c r="G7" s="25">
        <f>SUMIFS($G$15:$G$62,$B$15:$B$62,$A7)</f>
        <v/>
      </c>
      <c r="H7" s="23">
        <f>SUMIFS($H$15:$H$62,$B$15:$B$62,$A7)</f>
        <v/>
      </c>
      <c r="I7" s="23">
        <f>SUMIFS($I$15:$I$62,$B$15:$B$62,$A7)</f>
        <v/>
      </c>
      <c r="J7" s="23">
        <f>SUMIFS($J$15:$J$62,$B$15:$B$62,$A7)</f>
        <v/>
      </c>
      <c r="K7" s="26">
        <f>IFERROR(F7/G7,0)</f>
        <v/>
      </c>
      <c r="L7" s="27">
        <f>IFERROR(H7/G7,0)</f>
        <v/>
      </c>
      <c r="M7" s="28">
        <f>IFERROR(J7/F7,0)</f>
        <v/>
      </c>
      <c r="N7" s="29">
        <f>IFERROR(J7/E7,0)</f>
        <v/>
      </c>
      <c r="O7" s="29">
        <f>IFERROR(I7/J7,0)</f>
        <v/>
      </c>
      <c r="AJ7" s="24">
        <f>SUMIFS($AJ$15:$AJ$62,$B$15:$B$62,$A7)</f>
        <v/>
      </c>
      <c r="AK7" s="25">
        <f>SUMIFS($AK$15:$AK$62,$B$15:$B$62,$A7)</f>
        <v/>
      </c>
      <c r="AL7" s="23">
        <f>SUMIFS($AL$15:$AL$62,$B$15:$B$62,$A7)</f>
        <v/>
      </c>
      <c r="AM7" s="23">
        <f>SUMIFS($AM$15:$AM$62,$B$15:$B$62,$A7)</f>
        <v/>
      </c>
      <c r="AN7" s="23">
        <f>SUMIFS($AN$15:$AN$62,$B$15:$B$62,$A7)</f>
        <v/>
      </c>
      <c r="AP7" s="24">
        <f>SUMIFS($AP$15:$AP$62,$B$15:$B$62,$A7)</f>
        <v/>
      </c>
      <c r="AQ7" s="25">
        <f>SUMIFS($AQ$15:$AQ$62,$B$15:$B$62,$A7)</f>
        <v/>
      </c>
      <c r="AR7" s="23">
        <f>SUMIFS($AR$15:$AR$62,$B$15:$B$62,$A7)</f>
        <v/>
      </c>
      <c r="AS7" s="23">
        <f>SUMIFS($AS$15:$AS$62,$B$15:$B$62,$A7)</f>
        <v/>
      </c>
      <c r="AT7" s="23">
        <f>SUMIFS($AT$15:$AT$62,$B$15:$B$62,$A7)</f>
        <v/>
      </c>
      <c r="AV7" s="24">
        <f>SUMIFS($AV$15:$AV$62,$B$15:$B$62,$A7)</f>
        <v/>
      </c>
      <c r="AW7" s="25">
        <f>SUMIFS($AW$15:$AW$62,$B$15:$B$62,$A7)</f>
        <v/>
      </c>
      <c r="AX7" s="23">
        <f>SUMIFS($AX$15:$AX$62,$B$15:$B$62,$A7)</f>
        <v/>
      </c>
      <c r="AY7" s="23">
        <f>SUMIFS($AY$15:$AY$62,$B$15:$B$62,$A7)</f>
        <v/>
      </c>
      <c r="AZ7" s="23">
        <f>SUMIFS($AZ$15:$AZ$62,$B$15:$B$62,$A7)</f>
        <v/>
      </c>
    </row>
    <row r="8">
      <c r="A8" s="21" t="n">
        <v>2027</v>
      </c>
      <c r="D8" s="22">
        <f>IF(DATE(A8,12,1)&lt;=LastActual,"Actual",IF(DATE(A8,1,1)&gt;LastActual,"Forecast","Blended"))</f>
        <v/>
      </c>
      <c r="E8" s="23">
        <f>SUMIFS($E$15:$E$62,$B$15:$B$62,$A8)</f>
        <v/>
      </c>
      <c r="F8" s="24">
        <f>SUMIFS($F$15:$F$62,$B$15:$B$62,$A8)</f>
        <v/>
      </c>
      <c r="G8" s="25">
        <f>SUMIFS($G$15:$G$62,$B$15:$B$62,$A8)</f>
        <v/>
      </c>
      <c r="H8" s="23">
        <f>SUMIFS($H$15:$H$62,$B$15:$B$62,$A8)</f>
        <v/>
      </c>
      <c r="I8" s="23">
        <f>SUMIFS($I$15:$I$62,$B$15:$B$62,$A8)</f>
        <v/>
      </c>
      <c r="J8" s="23">
        <f>SUMIFS($J$15:$J$62,$B$15:$B$62,$A8)</f>
        <v/>
      </c>
      <c r="K8" s="26">
        <f>IFERROR(F8/G8,0)</f>
        <v/>
      </c>
      <c r="L8" s="27">
        <f>IFERROR(H8/G8,0)</f>
        <v/>
      </c>
      <c r="M8" s="28">
        <f>IFERROR(J8/F8,0)</f>
        <v/>
      </c>
      <c r="N8" s="29">
        <f>IFERROR(J8/E8,0)</f>
        <v/>
      </c>
      <c r="O8" s="29">
        <f>IFERROR(I8/J8,0)</f>
        <v/>
      </c>
      <c r="AJ8" s="24">
        <f>SUMIFS($AJ$15:$AJ$62,$B$15:$B$62,$A8)</f>
        <v/>
      </c>
      <c r="AK8" s="25">
        <f>SUMIFS($AK$15:$AK$62,$B$15:$B$62,$A8)</f>
        <v/>
      </c>
      <c r="AL8" s="23">
        <f>SUMIFS($AL$15:$AL$62,$B$15:$B$62,$A8)</f>
        <v/>
      </c>
      <c r="AM8" s="23">
        <f>SUMIFS($AM$15:$AM$62,$B$15:$B$62,$A8)</f>
        <v/>
      </c>
      <c r="AN8" s="23">
        <f>SUMIFS($AN$15:$AN$62,$B$15:$B$62,$A8)</f>
        <v/>
      </c>
      <c r="AP8" s="24">
        <f>SUMIFS($AP$15:$AP$62,$B$15:$B$62,$A8)</f>
        <v/>
      </c>
      <c r="AQ8" s="25">
        <f>SUMIFS($AQ$15:$AQ$62,$B$15:$B$62,$A8)</f>
        <v/>
      </c>
      <c r="AR8" s="23">
        <f>SUMIFS($AR$15:$AR$62,$B$15:$B$62,$A8)</f>
        <v/>
      </c>
      <c r="AS8" s="23">
        <f>SUMIFS($AS$15:$AS$62,$B$15:$B$62,$A8)</f>
        <v/>
      </c>
      <c r="AT8" s="23">
        <f>SUMIFS($AT$15:$AT$62,$B$15:$B$62,$A8)</f>
        <v/>
      </c>
      <c r="AV8" s="24">
        <f>SUMIFS($AV$15:$AV$62,$B$15:$B$62,$A8)</f>
        <v/>
      </c>
      <c r="AW8" s="25">
        <f>SUMIFS($AW$15:$AW$62,$B$15:$B$62,$A8)</f>
        <v/>
      </c>
      <c r="AX8" s="23">
        <f>SUMIFS($AX$15:$AX$62,$B$15:$B$62,$A8)</f>
        <v/>
      </c>
      <c r="AY8" s="23">
        <f>SUMIFS($AY$15:$AY$62,$B$15:$B$62,$A8)</f>
        <v/>
      </c>
      <c r="AZ8" s="23">
        <f>SUMIFS($AZ$15:$AZ$62,$B$15:$B$62,$A8)</f>
        <v/>
      </c>
    </row>
    <row r="9">
      <c r="A9" s="21" t="n">
        <v>2028</v>
      </c>
      <c r="D9" s="22">
        <f>IF(DATE(A9,12,1)&lt;=LastActual,"Actual",IF(DATE(A9,1,1)&gt;LastActual,"Forecast","Blended"))</f>
        <v/>
      </c>
      <c r="E9" s="23">
        <f>SUMIFS($E$15:$E$62,$B$15:$B$62,$A9)</f>
        <v/>
      </c>
      <c r="F9" s="24">
        <f>SUMIFS($F$15:$F$62,$B$15:$B$62,$A9)</f>
        <v/>
      </c>
      <c r="G9" s="25">
        <f>SUMIFS($G$15:$G$62,$B$15:$B$62,$A9)</f>
        <v/>
      </c>
      <c r="H9" s="23">
        <f>SUMIFS($H$15:$H$62,$B$15:$B$62,$A9)</f>
        <v/>
      </c>
      <c r="I9" s="23">
        <f>SUMIFS($I$15:$I$62,$B$15:$B$62,$A9)</f>
        <v/>
      </c>
      <c r="J9" s="23">
        <f>SUMIFS($J$15:$J$62,$B$15:$B$62,$A9)</f>
        <v/>
      </c>
      <c r="K9" s="26">
        <f>IFERROR(F9/G9,0)</f>
        <v/>
      </c>
      <c r="L9" s="27">
        <f>IFERROR(H9/G9,0)</f>
        <v/>
      </c>
      <c r="M9" s="28">
        <f>IFERROR(J9/F9,0)</f>
        <v/>
      </c>
      <c r="N9" s="29">
        <f>IFERROR(J9/E9,0)</f>
        <v/>
      </c>
      <c r="O9" s="29">
        <f>IFERROR(I9/J9,0)</f>
        <v/>
      </c>
      <c r="AJ9" s="24">
        <f>SUMIFS($AJ$15:$AJ$62,$B$15:$B$62,$A9)</f>
        <v/>
      </c>
      <c r="AK9" s="25">
        <f>SUMIFS($AK$15:$AK$62,$B$15:$B$62,$A9)</f>
        <v/>
      </c>
      <c r="AL9" s="23">
        <f>SUMIFS($AL$15:$AL$62,$B$15:$B$62,$A9)</f>
        <v/>
      </c>
      <c r="AM9" s="23">
        <f>SUMIFS($AM$15:$AM$62,$B$15:$B$62,$A9)</f>
        <v/>
      </c>
      <c r="AN9" s="23">
        <f>SUMIFS($AN$15:$AN$62,$B$15:$B$62,$A9)</f>
        <v/>
      </c>
      <c r="AP9" s="24">
        <f>SUMIFS($AP$15:$AP$62,$B$15:$B$62,$A9)</f>
        <v/>
      </c>
      <c r="AQ9" s="25">
        <f>SUMIFS($AQ$15:$AQ$62,$B$15:$B$62,$A9)</f>
        <v/>
      </c>
      <c r="AR9" s="23">
        <f>SUMIFS($AR$15:$AR$62,$B$15:$B$62,$A9)</f>
        <v/>
      </c>
      <c r="AS9" s="23">
        <f>SUMIFS($AS$15:$AS$62,$B$15:$B$62,$A9)</f>
        <v/>
      </c>
      <c r="AT9" s="23">
        <f>SUMIFS($AT$15:$AT$62,$B$15:$B$62,$A9)</f>
        <v/>
      </c>
      <c r="AV9" s="24">
        <f>SUMIFS($AV$15:$AV$62,$B$15:$B$62,$A9)</f>
        <v/>
      </c>
      <c r="AW9" s="25">
        <f>SUMIFS($AW$15:$AW$62,$B$15:$B$62,$A9)</f>
        <v/>
      </c>
      <c r="AX9" s="23">
        <f>SUMIFS($AX$15:$AX$62,$B$15:$B$62,$A9)</f>
        <v/>
      </c>
      <c r="AY9" s="23">
        <f>SUMIFS($AY$15:$AY$62,$B$15:$B$62,$A9)</f>
        <v/>
      </c>
      <c r="AZ9" s="23">
        <f>SUMIFS($AZ$15:$AZ$62,$B$15:$B$62,$A9)</f>
        <v/>
      </c>
    </row>
    <row r="10">
      <c r="AJ10" s="1" t="inlineStr">
        <is>
          <t>Chamber split (same CPLH and cost per hour in every chamber; mix from Chamber Weights)</t>
        </is>
      </c>
    </row>
    <row r="11">
      <c r="AJ11" s="6" t="inlineStr">
        <is>
          <t>Case mix</t>
        </is>
      </c>
      <c r="AK11" s="31">
        <f>IFERROR(INDEX('Chamber Weights'!$B$24:$K$26,MATCH($AJ$12,'Chamber Weights'!$A$24:$A$26,0),MATCH($B$2,'Chamber Weights'!$B$23:$K$23,0)),0)</f>
        <v/>
      </c>
      <c r="AP11" s="6" t="inlineStr">
        <is>
          <t>Case mix</t>
        </is>
      </c>
      <c r="AQ11" s="31">
        <f>IFERROR(INDEX('Chamber Weights'!$B$24:$K$26,MATCH($AP$12,'Chamber Weights'!$A$24:$A$26,0),MATCH($B$2,'Chamber Weights'!$B$23:$K$23,0)),0)</f>
        <v/>
      </c>
      <c r="AV11" s="6" t="inlineStr">
        <is>
          <t>Case mix</t>
        </is>
      </c>
      <c r="AW11" s="31">
        <f>IFERROR(INDEX('Chamber Weights'!$B$24:$K$26,MATCH($AV$12,'Chamber Weights'!$A$24:$A$26,0),MATCH($B$2,'Chamber Weights'!$B$23:$K$23,0)),0)</f>
        <v/>
      </c>
    </row>
    <row r="12">
      <c r="E12" s="7" t="inlineStr">
        <is>
          <t>Drivers</t>
        </is>
      </c>
      <c r="K12" s="7" t="inlineStr">
        <is>
          <t>Metrics</t>
        </is>
      </c>
      <c r="R12" s="7" t="inlineStr">
        <is>
          <t>Helper calculations (actuals, plan, same-month-last-year rates)</t>
        </is>
      </c>
      <c r="AJ12" s="20" t="inlineStr">
        <is>
          <t>Ambient</t>
        </is>
      </c>
      <c r="AP12" s="20" t="inlineStr">
        <is>
          <t>Chiller</t>
        </is>
      </c>
      <c r="AV12" s="20" t="inlineStr">
        <is>
          <t>Freezer</t>
        </is>
      </c>
    </row>
    <row r="13" ht="60" customHeight="1">
      <c r="A13" s="7" t="inlineStr">
        <is>
          <t>Month</t>
        </is>
      </c>
      <c r="B13" s="7" t="inlineStr">
        <is>
          <t>Year</t>
        </is>
      </c>
      <c r="C13" s="7" t="inlineStr">
        <is>
          <t>Mth</t>
        </is>
      </c>
      <c r="D13" s="7" t="inlineStr">
        <is>
          <t>Status</t>
        </is>
      </c>
      <c r="E13" s="7" t="inlineStr">
        <is>
          <t>Sales</t>
        </is>
      </c>
      <c r="F13" s="7" t="inlineStr">
        <is>
          <t>Cases picked</t>
        </is>
      </c>
      <c r="G13" s="7" t="inlineStr">
        <is>
          <t>WH hours worked</t>
        </is>
      </c>
      <c r="H13" s="7" t="inlineStr">
        <is>
          <t>Staff payroll</t>
        </is>
      </c>
      <c r="I13" s="7" t="inlineStr">
        <is>
          <t>Leadership payroll</t>
        </is>
      </c>
      <c r="J13" s="7" t="inlineStr">
        <is>
          <t>Total payroll</t>
        </is>
      </c>
      <c r="K13" s="7" t="inlineStr">
        <is>
          <t>CPLH (cases / hr)</t>
        </is>
      </c>
      <c r="L13" s="7" t="inlineStr">
        <is>
          <t>Cost per hour (staff)</t>
        </is>
      </c>
      <c r="M13" s="7" t="inlineStr">
        <is>
          <t>Cost per case (total payroll)</t>
        </is>
      </c>
      <c r="N13" s="7" t="inlineStr">
        <is>
          <t>Total payroll % sales</t>
        </is>
      </c>
      <c r="O13" s="7" t="inlineStr">
        <is>
          <t>Leadership % of total payroll</t>
        </is>
      </c>
      <c r="R13" s="51" t="inlineStr">
        <is>
          <t>Act sales</t>
        </is>
      </c>
      <c r="S13" s="51" t="inlineStr">
        <is>
          <t>Act cases</t>
        </is>
      </c>
      <c r="T13" s="51" t="inlineStr">
        <is>
          <t>Act hours</t>
        </is>
      </c>
      <c r="U13" s="51" t="inlineStr">
        <is>
          <t>Act staff $</t>
        </is>
      </c>
      <c r="V13" s="51" t="inlineStr">
        <is>
          <t>Act leadership $</t>
        </is>
      </c>
      <c r="W13" s="51" t="inlineStr">
        <is>
          <t>Plan sales</t>
        </is>
      </c>
      <c r="X13" s="51" t="inlineStr">
        <is>
          <t>CPLH run rate (actual, else same month LY)</t>
        </is>
      </c>
      <c r="Y13" s="51" t="inlineStr">
        <is>
          <t>Volume driver sales</t>
        </is>
      </c>
      <c r="Z13" s="51" t="inlineStr">
        <is>
          <t>PH factor</t>
        </is>
      </c>
      <c r="AA13" s="51" t="inlineStr">
        <is>
          <t>Wage index</t>
        </is>
      </c>
      <c r="AB13" s="51" t="inlineStr">
        <is>
          <t>Cases per $ (actual, else same month LY)</t>
        </is>
      </c>
      <c r="AC13" s="51" t="inlineStr">
        <is>
          <t>Cost per hour ex PH &amp; wage (actual, else same month LY)</t>
        </is>
      </c>
      <c r="AD13" s="51" t="inlineStr">
        <is>
          <t>Leadership share of total payroll (actual, else last actual month)</t>
        </is>
      </c>
      <c r="AE13" s="51" t="inlineStr">
        <is>
          <t>Fcst cost per hour (AC x PH x wage)</t>
        </is>
      </c>
      <c r="AF13" s="51" t="inlineStr">
        <is>
          <t>LY CPLH (same month, as used)</t>
        </is>
      </c>
      <c r="AG13" s="51" t="inlineStr">
        <is>
          <t>Fcst CPLH vs LY</t>
        </is>
      </c>
      <c r="AH13" s="51" t="inlineStr">
        <is>
          <t>Plan CPLH (Plan_Inputs or CPLH_Breakdown)</t>
        </is>
      </c>
      <c r="AJ13" s="20" t="inlineStr">
        <is>
          <t>Cases picked</t>
        </is>
      </c>
      <c r="AK13" s="20" t="inlineStr">
        <is>
          <t>WH hours worked</t>
        </is>
      </c>
      <c r="AL13" s="20" t="inlineStr">
        <is>
          <t>Staff payroll</t>
        </is>
      </c>
      <c r="AM13" s="20" t="inlineStr">
        <is>
          <t>Leadership payroll</t>
        </is>
      </c>
      <c r="AN13" s="20" t="inlineStr">
        <is>
          <t>Total payroll</t>
        </is>
      </c>
      <c r="AP13" s="20" t="inlineStr">
        <is>
          <t>Cases picked</t>
        </is>
      </c>
      <c r="AQ13" s="20" t="inlineStr">
        <is>
          <t>WH hours worked</t>
        </is>
      </c>
      <c r="AR13" s="20" t="inlineStr">
        <is>
          <t>Staff payroll</t>
        </is>
      </c>
      <c r="AS13" s="20" t="inlineStr">
        <is>
          <t>Leadership payroll</t>
        </is>
      </c>
      <c r="AT13" s="20" t="inlineStr">
        <is>
          <t>Total payroll</t>
        </is>
      </c>
      <c r="AV13" s="20" t="inlineStr">
        <is>
          <t>Cases picked</t>
        </is>
      </c>
      <c r="AW13" s="20" t="inlineStr">
        <is>
          <t>WH hours worked</t>
        </is>
      </c>
      <c r="AX13" s="20" t="inlineStr">
        <is>
          <t>Staff payroll</t>
        </is>
      </c>
      <c r="AY13" s="20" t="inlineStr">
        <is>
          <t>Leadership payroll</t>
        </is>
      </c>
      <c r="AZ13" s="20" t="inlineStr">
        <is>
          <t>Total payroll</t>
        </is>
      </c>
    </row>
    <row r="14">
      <c r="E14" s="32" t="inlineStr">
        <is>
          <t>$m</t>
        </is>
      </c>
      <c r="F14" s="32" t="inlineStr">
        <is>
          <t>m</t>
        </is>
      </c>
      <c r="G14" s="32" t="inlineStr">
        <is>
          <t>#</t>
        </is>
      </c>
      <c r="H14" s="32" t="inlineStr">
        <is>
          <t>$m</t>
        </is>
      </c>
      <c r="I14" s="32" t="inlineStr">
        <is>
          <t>$m</t>
        </is>
      </c>
      <c r="J14" s="32" t="inlineStr">
        <is>
          <t>$m</t>
        </is>
      </c>
      <c r="K14" s="32" t="inlineStr">
        <is>
          <t>#</t>
        </is>
      </c>
      <c r="L14" s="32" t="inlineStr">
        <is>
          <t>$</t>
        </is>
      </c>
      <c r="M14" s="32" t="inlineStr">
        <is>
          <t>$</t>
        </is>
      </c>
      <c r="N14" s="32" t="inlineStr">
        <is>
          <t>%</t>
        </is>
      </c>
      <c r="O14" s="32" t="inlineStr">
        <is>
          <t>%</t>
        </is>
      </c>
      <c r="AJ14" s="32" t="inlineStr">
        <is>
          <t>m</t>
        </is>
      </c>
      <c r="AK14" s="32" t="inlineStr">
        <is>
          <t>#</t>
        </is>
      </c>
      <c r="AL14" s="32" t="inlineStr">
        <is>
          <t>$m</t>
        </is>
      </c>
      <c r="AM14" s="32" t="inlineStr">
        <is>
          <t>$m</t>
        </is>
      </c>
      <c r="AN14" s="32" t="inlineStr">
        <is>
          <t>$m</t>
        </is>
      </c>
      <c r="AP14" s="32" t="inlineStr">
        <is>
          <t>m</t>
        </is>
      </c>
      <c r="AQ14" s="32" t="inlineStr">
        <is>
          <t>#</t>
        </is>
      </c>
      <c r="AR14" s="32" t="inlineStr">
        <is>
          <t>$m</t>
        </is>
      </c>
      <c r="AS14" s="32" t="inlineStr">
        <is>
          <t>$m</t>
        </is>
      </c>
      <c r="AT14" s="32" t="inlineStr">
        <is>
          <t>$m</t>
        </is>
      </c>
      <c r="AV14" s="32" t="inlineStr">
        <is>
          <t>m</t>
        </is>
      </c>
      <c r="AW14" s="32" t="inlineStr">
        <is>
          <t>#</t>
        </is>
      </c>
      <c r="AX14" s="32" t="inlineStr">
        <is>
          <t>$m</t>
        </is>
      </c>
      <c r="AY14" s="32" t="inlineStr">
        <is>
          <t>$m</t>
        </is>
      </c>
      <c r="AZ14" s="32" t="inlineStr">
        <is>
          <t>$m</t>
        </is>
      </c>
    </row>
    <row r="15">
      <c r="A15" s="8" t="n">
        <v>45658</v>
      </c>
      <c r="B15" s="33">
        <f>YEAR(A15)</f>
        <v/>
      </c>
      <c r="C15" s="33">
        <f>MONTH(A15)</f>
        <v/>
      </c>
      <c r="D15">
        <f>IF(A15&lt;=LastActual,"Actual","Forecast")</f>
        <v/>
      </c>
      <c r="E15" s="30">
        <f>IF($D15="Actual",R15,W15)</f>
        <v/>
      </c>
      <c r="F15" s="15">
        <f>IF($D15="Actual",S15,Cases_Forecast!AJ8)</f>
        <v/>
      </c>
      <c r="G15" s="9">
        <f>IF($D15="Actual",T15,IFERROR(F15/K15,0))</f>
        <v/>
      </c>
      <c r="H15" s="30">
        <f>IF($D15="Actual",U15,G15*L15)</f>
        <v/>
      </c>
      <c r="I15" s="30">
        <f>IF($D15="Actual",V15,J15-H15)</f>
        <v/>
      </c>
      <c r="J15" s="30">
        <f>IF($D15="Actual",U15+V15,IFERROR(H15/(1-AD15),0))</f>
        <v/>
      </c>
      <c r="K15" s="10">
        <f>IF($D15="Actual",IFERROR(S15/T15,0),CPLH_Forecast!AJ8)</f>
        <v/>
      </c>
      <c r="L15" s="34">
        <f>IF($D15="Actual",IFERROR(U15/T15,0),N(AE15))</f>
        <v/>
      </c>
      <c r="M15" s="35">
        <f>IFERROR(J15/F15,0)</f>
        <v/>
      </c>
      <c r="N15" s="36">
        <f>IFERROR(J15/E15,0)</f>
        <v/>
      </c>
      <c r="O15" s="36">
        <f>IFERROR(I15/J15,0)</f>
        <v/>
      </c>
      <c r="R15" s="52">
        <f>IF($D15="Actual",SUMIFS(Data_Actuals!$C$2:$C$5000,Data_Actuals!$A$2:$A$5000,$A15,Data_Actuals!$B$2:$B$5000,$B$2),"")</f>
        <v/>
      </c>
      <c r="S15" s="52">
        <f>IF($D15="Actual",SUMIFS(Data_Actuals!$D$2:$D$5000,Data_Actuals!$A$2:$A$5000,$A15,Data_Actuals!$B$2:$B$5000,$B$2),"")</f>
        <v/>
      </c>
      <c r="T15" s="52">
        <f>IF($D15="Actual",SUMIFS(Data_Actuals!$E$2:$E$5000,Data_Actuals!$A$2:$A$5000,$A15,Data_Actuals!$B$2:$B$5000,$B$2),"")</f>
        <v/>
      </c>
      <c r="U15" s="52">
        <f>IF($D15="Actual",SUMIFS(Data_Actuals!$F$2:$F$5000,Data_Actuals!$A$2:$A$5000,$A15,Data_Actuals!$B$2:$B$5000,$B$2),"")</f>
        <v/>
      </c>
      <c r="V15" s="52">
        <f>IF($D15="Actual",SUMIFS(Data_Actuals!$G$2:$G$5000,Data_Actuals!$A$2:$A$5000,$A15,Data_Actuals!$B$2:$B$5000,$B$2),"")</f>
        <v/>
      </c>
      <c r="W15" s="52">
        <f>SUMIFS(Plan_Inputs!$C$2:$C$5000,Plan_Inputs!$A$2:$A$5000,$A15,Plan_Inputs!$B$2:$B$5000,$B$2)</f>
        <v/>
      </c>
      <c r="X15" s="53">
        <f>IF($D15="Actual",IFERROR(S15/T15,""),"")</f>
        <v/>
      </c>
      <c r="Y15" s="52">
        <f>E15</f>
        <v/>
      </c>
      <c r="Z15" s="54">
        <f>INDEX(Calendar!$H$5:$L$52,MATCH($A15,Calendar!$A$5:$A$52,0),MATCH($D$2,Calendar!$H$4:$L$4,0))</f>
        <v/>
      </c>
      <c r="AA15" s="54">
        <f>INDEX(Calendar!$M$5:$M$52,MATCH($A15,Calendar!$A$5:$A$52,0))</f>
        <v/>
      </c>
      <c r="AB15" s="55">
        <f>IF($D15="Actual",IFERROR(S15/Y15,""),"")</f>
        <v/>
      </c>
      <c r="AC15" s="56">
        <f>IF($D15="Actual",IFERROR(U15/T15/Z15/AA15,""),"")</f>
        <v/>
      </c>
      <c r="AD15" s="57">
        <f>IF($D15="Actual",IFERROR(V15/(U15+V15),""),$K$2)</f>
        <v/>
      </c>
      <c r="AE15" s="56">
        <f>IFERROR(AC15*Z15*AA15,"")</f>
        <v/>
      </c>
      <c r="AF15" s="53" t="n"/>
      <c r="AG15" s="57">
        <f>IF($D15="Forecast",IFERROR(K15/AF15-1,""),"")</f>
        <v/>
      </c>
      <c r="AH15" s="53">
        <f>IF(CPLHSource="National breakdown",CPLH_Breakdown!AK20,SUMIFS(Plan_Inputs!$D$2:$D$5000,Plan_Inputs!$A$2:$A$5000,$A15,Plan_Inputs!$B$2:$B$5000,$B$2))</f>
        <v/>
      </c>
      <c r="AJ15" s="15">
        <f>F15*$AK$11</f>
        <v/>
      </c>
      <c r="AK15" s="9">
        <f>G15*$AK$11</f>
        <v/>
      </c>
      <c r="AL15" s="30">
        <f>H15*$AK$11</f>
        <v/>
      </c>
      <c r="AM15" s="30">
        <f>I15*$AK$11</f>
        <v/>
      </c>
      <c r="AN15" s="30">
        <f>J15*$AK$11</f>
        <v/>
      </c>
      <c r="AP15" s="15">
        <f>F15*$AQ$11</f>
        <v/>
      </c>
      <c r="AQ15" s="9">
        <f>G15*$AQ$11</f>
        <v/>
      </c>
      <c r="AR15" s="30">
        <f>H15*$AQ$11</f>
        <v/>
      </c>
      <c r="AS15" s="30">
        <f>I15*$AQ$11</f>
        <v/>
      </c>
      <c r="AT15" s="30">
        <f>J15*$AQ$11</f>
        <v/>
      </c>
      <c r="AV15" s="15">
        <f>F15*$AW$11</f>
        <v/>
      </c>
      <c r="AW15" s="9">
        <f>G15*$AW$11</f>
        <v/>
      </c>
      <c r="AX15" s="30">
        <f>H15*$AW$11</f>
        <v/>
      </c>
      <c r="AY15" s="30">
        <f>I15*$AW$11</f>
        <v/>
      </c>
      <c r="AZ15" s="30">
        <f>J15*$AW$11</f>
        <v/>
      </c>
    </row>
    <row r="16">
      <c r="A16" s="8" t="n">
        <v>45689</v>
      </c>
      <c r="B16" s="33">
        <f>YEAR(A16)</f>
        <v/>
      </c>
      <c r="C16" s="33">
        <f>MONTH(A16)</f>
        <v/>
      </c>
      <c r="D16">
        <f>IF(A16&lt;=LastActual,"Actual","Forecast")</f>
        <v/>
      </c>
      <c r="E16" s="30">
        <f>IF($D16="Actual",R16,W16)</f>
        <v/>
      </c>
      <c r="F16" s="15">
        <f>IF($D16="Actual",S16,Cases_Forecast!AJ9)</f>
        <v/>
      </c>
      <c r="G16" s="9">
        <f>IF($D16="Actual",T16,IFERROR(F16/K16,0))</f>
        <v/>
      </c>
      <c r="H16" s="30">
        <f>IF($D16="Actual",U16,G16*L16)</f>
        <v/>
      </c>
      <c r="I16" s="30">
        <f>IF($D16="Actual",V16,J16-H16)</f>
        <v/>
      </c>
      <c r="J16" s="30">
        <f>IF($D16="Actual",U16+V16,IFERROR(H16/(1-AD16),0))</f>
        <v/>
      </c>
      <c r="K16" s="10">
        <f>IF($D16="Actual",IFERROR(S16/T16,0),CPLH_Forecast!AJ9)</f>
        <v/>
      </c>
      <c r="L16" s="34">
        <f>IF($D16="Actual",IFERROR(U16/T16,0),N(AE16))</f>
        <v/>
      </c>
      <c r="M16" s="35">
        <f>IFERROR(J16/F16,0)</f>
        <v/>
      </c>
      <c r="N16" s="36">
        <f>IFERROR(J16/E16,0)</f>
        <v/>
      </c>
      <c r="O16" s="36">
        <f>IFERROR(I16/J16,0)</f>
        <v/>
      </c>
      <c r="R16" s="52">
        <f>IF($D16="Actual",SUMIFS(Data_Actuals!$C$2:$C$5000,Data_Actuals!$A$2:$A$5000,$A16,Data_Actuals!$B$2:$B$5000,$B$2),"")</f>
        <v/>
      </c>
      <c r="S16" s="52">
        <f>IF($D16="Actual",SUMIFS(Data_Actuals!$D$2:$D$5000,Data_Actuals!$A$2:$A$5000,$A16,Data_Actuals!$B$2:$B$5000,$B$2),"")</f>
        <v/>
      </c>
      <c r="T16" s="52">
        <f>IF($D16="Actual",SUMIFS(Data_Actuals!$E$2:$E$5000,Data_Actuals!$A$2:$A$5000,$A16,Data_Actuals!$B$2:$B$5000,$B$2),"")</f>
        <v/>
      </c>
      <c r="U16" s="52">
        <f>IF($D16="Actual",SUMIFS(Data_Actuals!$F$2:$F$5000,Data_Actuals!$A$2:$A$5000,$A16,Data_Actuals!$B$2:$B$5000,$B$2),"")</f>
        <v/>
      </c>
      <c r="V16" s="52">
        <f>IF($D16="Actual",SUMIFS(Data_Actuals!$G$2:$G$5000,Data_Actuals!$A$2:$A$5000,$A16,Data_Actuals!$B$2:$B$5000,$B$2),"")</f>
        <v/>
      </c>
      <c r="W16" s="52">
        <f>SUMIFS(Plan_Inputs!$C$2:$C$5000,Plan_Inputs!$A$2:$A$5000,$A16,Plan_Inputs!$B$2:$B$5000,$B$2)</f>
        <v/>
      </c>
      <c r="X16" s="53">
        <f>IF($D16="Actual",IFERROR(S16/T16,""),"")</f>
        <v/>
      </c>
      <c r="Y16" s="52">
        <f>E16</f>
        <v/>
      </c>
      <c r="Z16" s="54">
        <f>INDEX(Calendar!$H$5:$L$52,MATCH($A16,Calendar!$A$5:$A$52,0),MATCH($D$2,Calendar!$H$4:$L$4,0))</f>
        <v/>
      </c>
      <c r="AA16" s="54">
        <f>INDEX(Calendar!$M$5:$M$52,MATCH($A16,Calendar!$A$5:$A$52,0))</f>
        <v/>
      </c>
      <c r="AB16" s="55">
        <f>IF($D16="Actual",IFERROR(S16/Y16,""),"")</f>
        <v/>
      </c>
      <c r="AC16" s="56">
        <f>IF($D16="Actual",IFERROR(U16/T16/Z16/AA16,""),"")</f>
        <v/>
      </c>
      <c r="AD16" s="57">
        <f>IF($D16="Actual",IFERROR(V16/(U16+V16),""),$K$2)</f>
        <v/>
      </c>
      <c r="AE16" s="56">
        <f>IFERROR(AC16*Z16*AA16,"")</f>
        <v/>
      </c>
      <c r="AF16" s="53" t="n"/>
      <c r="AG16" s="57">
        <f>IF($D16="Forecast",IFERROR(K16/AF16-1,""),"")</f>
        <v/>
      </c>
      <c r="AH16" s="53">
        <f>IF(CPLHSource="National breakdown",CPLH_Breakdown!AK21,SUMIFS(Plan_Inputs!$D$2:$D$5000,Plan_Inputs!$A$2:$A$5000,$A16,Plan_Inputs!$B$2:$B$5000,$B$2))</f>
        <v/>
      </c>
      <c r="AJ16" s="15">
        <f>F16*$AK$11</f>
        <v/>
      </c>
      <c r="AK16" s="9">
        <f>G16*$AK$11</f>
        <v/>
      </c>
      <c r="AL16" s="30">
        <f>H16*$AK$11</f>
        <v/>
      </c>
      <c r="AM16" s="30">
        <f>I16*$AK$11</f>
        <v/>
      </c>
      <c r="AN16" s="30">
        <f>J16*$AK$11</f>
        <v/>
      </c>
      <c r="AP16" s="15">
        <f>F16*$AQ$11</f>
        <v/>
      </c>
      <c r="AQ16" s="9">
        <f>G16*$AQ$11</f>
        <v/>
      </c>
      <c r="AR16" s="30">
        <f>H16*$AQ$11</f>
        <v/>
      </c>
      <c r="AS16" s="30">
        <f>I16*$AQ$11</f>
        <v/>
      </c>
      <c r="AT16" s="30">
        <f>J16*$AQ$11</f>
        <v/>
      </c>
      <c r="AV16" s="15">
        <f>F16*$AW$11</f>
        <v/>
      </c>
      <c r="AW16" s="9">
        <f>G16*$AW$11</f>
        <v/>
      </c>
      <c r="AX16" s="30">
        <f>H16*$AW$11</f>
        <v/>
      </c>
      <c r="AY16" s="30">
        <f>I16*$AW$11</f>
        <v/>
      </c>
      <c r="AZ16" s="30">
        <f>J16*$AW$11</f>
        <v/>
      </c>
    </row>
    <row r="17">
      <c r="A17" s="8" t="n">
        <v>45717</v>
      </c>
      <c r="B17" s="33">
        <f>YEAR(A17)</f>
        <v/>
      </c>
      <c r="C17" s="33">
        <f>MONTH(A17)</f>
        <v/>
      </c>
      <c r="D17">
        <f>IF(A17&lt;=LastActual,"Actual","Forecast")</f>
        <v/>
      </c>
      <c r="E17" s="30">
        <f>IF($D17="Actual",R17,W17)</f>
        <v/>
      </c>
      <c r="F17" s="15">
        <f>IF($D17="Actual",S17,Cases_Forecast!AJ10)</f>
        <v/>
      </c>
      <c r="G17" s="9">
        <f>IF($D17="Actual",T17,IFERROR(F17/K17,0))</f>
        <v/>
      </c>
      <c r="H17" s="30">
        <f>IF($D17="Actual",U17,G17*L17)</f>
        <v/>
      </c>
      <c r="I17" s="30">
        <f>IF($D17="Actual",V17,J17-H17)</f>
        <v/>
      </c>
      <c r="J17" s="30">
        <f>IF($D17="Actual",U17+V17,IFERROR(H17/(1-AD17),0))</f>
        <v/>
      </c>
      <c r="K17" s="10">
        <f>IF($D17="Actual",IFERROR(S17/T17,0),CPLH_Forecast!AJ10)</f>
        <v/>
      </c>
      <c r="L17" s="34">
        <f>IF($D17="Actual",IFERROR(U17/T17,0),N(AE17))</f>
        <v/>
      </c>
      <c r="M17" s="35">
        <f>IFERROR(J17/F17,0)</f>
        <v/>
      </c>
      <c r="N17" s="36">
        <f>IFERROR(J17/E17,0)</f>
        <v/>
      </c>
      <c r="O17" s="36">
        <f>IFERROR(I17/J17,0)</f>
        <v/>
      </c>
      <c r="R17" s="52">
        <f>IF($D17="Actual",SUMIFS(Data_Actuals!$C$2:$C$5000,Data_Actuals!$A$2:$A$5000,$A17,Data_Actuals!$B$2:$B$5000,$B$2),"")</f>
        <v/>
      </c>
      <c r="S17" s="52">
        <f>IF($D17="Actual",SUMIFS(Data_Actuals!$D$2:$D$5000,Data_Actuals!$A$2:$A$5000,$A17,Data_Actuals!$B$2:$B$5000,$B$2),"")</f>
        <v/>
      </c>
      <c r="T17" s="52">
        <f>IF($D17="Actual",SUMIFS(Data_Actuals!$E$2:$E$5000,Data_Actuals!$A$2:$A$5000,$A17,Data_Actuals!$B$2:$B$5000,$B$2),"")</f>
        <v/>
      </c>
      <c r="U17" s="52">
        <f>IF($D17="Actual",SUMIFS(Data_Actuals!$F$2:$F$5000,Data_Actuals!$A$2:$A$5000,$A17,Data_Actuals!$B$2:$B$5000,$B$2),"")</f>
        <v/>
      </c>
      <c r="V17" s="52">
        <f>IF($D17="Actual",SUMIFS(Data_Actuals!$G$2:$G$5000,Data_Actuals!$A$2:$A$5000,$A17,Data_Actuals!$B$2:$B$5000,$B$2),"")</f>
        <v/>
      </c>
      <c r="W17" s="52">
        <f>SUMIFS(Plan_Inputs!$C$2:$C$5000,Plan_Inputs!$A$2:$A$5000,$A17,Plan_Inputs!$B$2:$B$5000,$B$2)</f>
        <v/>
      </c>
      <c r="X17" s="53">
        <f>IF($D17="Actual",IFERROR(S17/T17,""),"")</f>
        <v/>
      </c>
      <c r="Y17" s="52">
        <f>E17</f>
        <v/>
      </c>
      <c r="Z17" s="54">
        <f>INDEX(Calendar!$H$5:$L$52,MATCH($A17,Calendar!$A$5:$A$52,0),MATCH($D$2,Calendar!$H$4:$L$4,0))</f>
        <v/>
      </c>
      <c r="AA17" s="54">
        <f>INDEX(Calendar!$M$5:$M$52,MATCH($A17,Calendar!$A$5:$A$52,0))</f>
        <v/>
      </c>
      <c r="AB17" s="55">
        <f>IF($D17="Actual",IFERROR(S17/Y17,""),"")</f>
        <v/>
      </c>
      <c r="AC17" s="56">
        <f>IF($D17="Actual",IFERROR(U17/T17/Z17/AA17,""),"")</f>
        <v/>
      </c>
      <c r="AD17" s="57">
        <f>IF($D17="Actual",IFERROR(V17/(U17+V17),""),$K$2)</f>
        <v/>
      </c>
      <c r="AE17" s="56">
        <f>IFERROR(AC17*Z17*AA17,"")</f>
        <v/>
      </c>
      <c r="AF17" s="53" t="n"/>
      <c r="AG17" s="57">
        <f>IF($D17="Forecast",IFERROR(K17/AF17-1,""),"")</f>
        <v/>
      </c>
      <c r="AH17" s="53">
        <f>IF(CPLHSource="National breakdown",CPLH_Breakdown!AK22,SUMIFS(Plan_Inputs!$D$2:$D$5000,Plan_Inputs!$A$2:$A$5000,$A17,Plan_Inputs!$B$2:$B$5000,$B$2))</f>
        <v/>
      </c>
      <c r="AJ17" s="15">
        <f>F17*$AK$11</f>
        <v/>
      </c>
      <c r="AK17" s="9">
        <f>G17*$AK$11</f>
        <v/>
      </c>
      <c r="AL17" s="30">
        <f>H17*$AK$11</f>
        <v/>
      </c>
      <c r="AM17" s="30">
        <f>I17*$AK$11</f>
        <v/>
      </c>
      <c r="AN17" s="30">
        <f>J17*$AK$11</f>
        <v/>
      </c>
      <c r="AP17" s="15">
        <f>F17*$AQ$11</f>
        <v/>
      </c>
      <c r="AQ17" s="9">
        <f>G17*$AQ$11</f>
        <v/>
      </c>
      <c r="AR17" s="30">
        <f>H17*$AQ$11</f>
        <v/>
      </c>
      <c r="AS17" s="30">
        <f>I17*$AQ$11</f>
        <v/>
      </c>
      <c r="AT17" s="30">
        <f>J17*$AQ$11</f>
        <v/>
      </c>
      <c r="AV17" s="15">
        <f>F17*$AW$11</f>
        <v/>
      </c>
      <c r="AW17" s="9">
        <f>G17*$AW$11</f>
        <v/>
      </c>
      <c r="AX17" s="30">
        <f>H17*$AW$11</f>
        <v/>
      </c>
      <c r="AY17" s="30">
        <f>I17*$AW$11</f>
        <v/>
      </c>
      <c r="AZ17" s="30">
        <f>J17*$AW$11</f>
        <v/>
      </c>
    </row>
    <row r="18">
      <c r="A18" s="8" t="n">
        <v>45748</v>
      </c>
      <c r="B18" s="33">
        <f>YEAR(A18)</f>
        <v/>
      </c>
      <c r="C18" s="33">
        <f>MONTH(A18)</f>
        <v/>
      </c>
      <c r="D18">
        <f>IF(A18&lt;=LastActual,"Actual","Forecast")</f>
        <v/>
      </c>
      <c r="E18" s="30">
        <f>IF($D18="Actual",R18,W18)</f>
        <v/>
      </c>
      <c r="F18" s="15">
        <f>IF($D18="Actual",S18,Cases_Forecast!AJ11)</f>
        <v/>
      </c>
      <c r="G18" s="9">
        <f>IF($D18="Actual",T18,IFERROR(F18/K18,0))</f>
        <v/>
      </c>
      <c r="H18" s="30">
        <f>IF($D18="Actual",U18,G18*L18)</f>
        <v/>
      </c>
      <c r="I18" s="30">
        <f>IF($D18="Actual",V18,J18-H18)</f>
        <v/>
      </c>
      <c r="J18" s="30">
        <f>IF($D18="Actual",U18+V18,IFERROR(H18/(1-AD18),0))</f>
        <v/>
      </c>
      <c r="K18" s="10">
        <f>IF($D18="Actual",IFERROR(S18/T18,0),CPLH_Forecast!AJ11)</f>
        <v/>
      </c>
      <c r="L18" s="34">
        <f>IF($D18="Actual",IFERROR(U18/T18,0),N(AE18))</f>
        <v/>
      </c>
      <c r="M18" s="35">
        <f>IFERROR(J18/F18,0)</f>
        <v/>
      </c>
      <c r="N18" s="36">
        <f>IFERROR(J18/E18,0)</f>
        <v/>
      </c>
      <c r="O18" s="36">
        <f>IFERROR(I18/J18,0)</f>
        <v/>
      </c>
      <c r="R18" s="52">
        <f>IF($D18="Actual",SUMIFS(Data_Actuals!$C$2:$C$5000,Data_Actuals!$A$2:$A$5000,$A18,Data_Actuals!$B$2:$B$5000,$B$2),"")</f>
        <v/>
      </c>
      <c r="S18" s="52">
        <f>IF($D18="Actual",SUMIFS(Data_Actuals!$D$2:$D$5000,Data_Actuals!$A$2:$A$5000,$A18,Data_Actuals!$B$2:$B$5000,$B$2),"")</f>
        <v/>
      </c>
      <c r="T18" s="52">
        <f>IF($D18="Actual",SUMIFS(Data_Actuals!$E$2:$E$5000,Data_Actuals!$A$2:$A$5000,$A18,Data_Actuals!$B$2:$B$5000,$B$2),"")</f>
        <v/>
      </c>
      <c r="U18" s="52">
        <f>IF($D18="Actual",SUMIFS(Data_Actuals!$F$2:$F$5000,Data_Actuals!$A$2:$A$5000,$A18,Data_Actuals!$B$2:$B$5000,$B$2),"")</f>
        <v/>
      </c>
      <c r="V18" s="52">
        <f>IF($D18="Actual",SUMIFS(Data_Actuals!$G$2:$G$5000,Data_Actuals!$A$2:$A$5000,$A18,Data_Actuals!$B$2:$B$5000,$B$2),"")</f>
        <v/>
      </c>
      <c r="W18" s="52">
        <f>SUMIFS(Plan_Inputs!$C$2:$C$5000,Plan_Inputs!$A$2:$A$5000,$A18,Plan_Inputs!$B$2:$B$5000,$B$2)</f>
        <v/>
      </c>
      <c r="X18" s="53">
        <f>IF($D18="Actual",IFERROR(S18/T18,""),"")</f>
        <v/>
      </c>
      <c r="Y18" s="52">
        <f>E18</f>
        <v/>
      </c>
      <c r="Z18" s="54">
        <f>INDEX(Calendar!$H$5:$L$52,MATCH($A18,Calendar!$A$5:$A$52,0),MATCH($D$2,Calendar!$H$4:$L$4,0))</f>
        <v/>
      </c>
      <c r="AA18" s="54">
        <f>INDEX(Calendar!$M$5:$M$52,MATCH($A18,Calendar!$A$5:$A$52,0))</f>
        <v/>
      </c>
      <c r="AB18" s="55">
        <f>IF($D18="Actual",IFERROR(S18/Y18,""),"")</f>
        <v/>
      </c>
      <c r="AC18" s="56">
        <f>IF($D18="Actual",IFERROR(U18/T18/Z18/AA18,""),"")</f>
        <v/>
      </c>
      <c r="AD18" s="57">
        <f>IF($D18="Actual",IFERROR(V18/(U18+V18),""),$K$2)</f>
        <v/>
      </c>
      <c r="AE18" s="56">
        <f>IFERROR(AC18*Z18*AA18,"")</f>
        <v/>
      </c>
      <c r="AF18" s="53" t="n"/>
      <c r="AG18" s="57">
        <f>IF($D18="Forecast",IFERROR(K18/AF18-1,""),"")</f>
        <v/>
      </c>
      <c r="AH18" s="53">
        <f>IF(CPLHSource="National breakdown",CPLH_Breakdown!AK23,SUMIFS(Plan_Inputs!$D$2:$D$5000,Plan_Inputs!$A$2:$A$5000,$A18,Plan_Inputs!$B$2:$B$5000,$B$2))</f>
        <v/>
      </c>
      <c r="AJ18" s="15">
        <f>F18*$AK$11</f>
        <v/>
      </c>
      <c r="AK18" s="9">
        <f>G18*$AK$11</f>
        <v/>
      </c>
      <c r="AL18" s="30">
        <f>H18*$AK$11</f>
        <v/>
      </c>
      <c r="AM18" s="30">
        <f>I18*$AK$11</f>
        <v/>
      </c>
      <c r="AN18" s="30">
        <f>J18*$AK$11</f>
        <v/>
      </c>
      <c r="AP18" s="15">
        <f>F18*$AQ$11</f>
        <v/>
      </c>
      <c r="AQ18" s="9">
        <f>G18*$AQ$11</f>
        <v/>
      </c>
      <c r="AR18" s="30">
        <f>H18*$AQ$11</f>
        <v/>
      </c>
      <c r="AS18" s="30">
        <f>I18*$AQ$11</f>
        <v/>
      </c>
      <c r="AT18" s="30">
        <f>J18*$AQ$11</f>
        <v/>
      </c>
      <c r="AV18" s="15">
        <f>F18*$AW$11</f>
        <v/>
      </c>
      <c r="AW18" s="9">
        <f>G18*$AW$11</f>
        <v/>
      </c>
      <c r="AX18" s="30">
        <f>H18*$AW$11</f>
        <v/>
      </c>
      <c r="AY18" s="30">
        <f>I18*$AW$11</f>
        <v/>
      </c>
      <c r="AZ18" s="30">
        <f>J18*$AW$11</f>
        <v/>
      </c>
    </row>
    <row r="19">
      <c r="A19" s="8" t="n">
        <v>45778</v>
      </c>
      <c r="B19" s="33">
        <f>YEAR(A19)</f>
        <v/>
      </c>
      <c r="C19" s="33">
        <f>MONTH(A19)</f>
        <v/>
      </c>
      <c r="D19">
        <f>IF(A19&lt;=LastActual,"Actual","Forecast")</f>
        <v/>
      </c>
      <c r="E19" s="30">
        <f>IF($D19="Actual",R19,W19)</f>
        <v/>
      </c>
      <c r="F19" s="15">
        <f>IF($D19="Actual",S19,Cases_Forecast!AJ12)</f>
        <v/>
      </c>
      <c r="G19" s="9">
        <f>IF($D19="Actual",T19,IFERROR(F19/K19,0))</f>
        <v/>
      </c>
      <c r="H19" s="30">
        <f>IF($D19="Actual",U19,G19*L19)</f>
        <v/>
      </c>
      <c r="I19" s="30">
        <f>IF($D19="Actual",V19,J19-H19)</f>
        <v/>
      </c>
      <c r="J19" s="30">
        <f>IF($D19="Actual",U19+V19,IFERROR(H19/(1-AD19),0))</f>
        <v/>
      </c>
      <c r="K19" s="10">
        <f>IF($D19="Actual",IFERROR(S19/T19,0),CPLH_Forecast!AJ12)</f>
        <v/>
      </c>
      <c r="L19" s="34">
        <f>IF($D19="Actual",IFERROR(U19/T19,0),N(AE19))</f>
        <v/>
      </c>
      <c r="M19" s="35">
        <f>IFERROR(J19/F19,0)</f>
        <v/>
      </c>
      <c r="N19" s="36">
        <f>IFERROR(J19/E19,0)</f>
        <v/>
      </c>
      <c r="O19" s="36">
        <f>IFERROR(I19/J19,0)</f>
        <v/>
      </c>
      <c r="R19" s="52">
        <f>IF($D19="Actual",SUMIFS(Data_Actuals!$C$2:$C$5000,Data_Actuals!$A$2:$A$5000,$A19,Data_Actuals!$B$2:$B$5000,$B$2),"")</f>
        <v/>
      </c>
      <c r="S19" s="52">
        <f>IF($D19="Actual",SUMIFS(Data_Actuals!$D$2:$D$5000,Data_Actuals!$A$2:$A$5000,$A19,Data_Actuals!$B$2:$B$5000,$B$2),"")</f>
        <v/>
      </c>
      <c r="T19" s="52">
        <f>IF($D19="Actual",SUMIFS(Data_Actuals!$E$2:$E$5000,Data_Actuals!$A$2:$A$5000,$A19,Data_Actuals!$B$2:$B$5000,$B$2),"")</f>
        <v/>
      </c>
      <c r="U19" s="52">
        <f>IF($D19="Actual",SUMIFS(Data_Actuals!$F$2:$F$5000,Data_Actuals!$A$2:$A$5000,$A19,Data_Actuals!$B$2:$B$5000,$B$2),"")</f>
        <v/>
      </c>
      <c r="V19" s="52">
        <f>IF($D19="Actual",SUMIFS(Data_Actuals!$G$2:$G$5000,Data_Actuals!$A$2:$A$5000,$A19,Data_Actuals!$B$2:$B$5000,$B$2),"")</f>
        <v/>
      </c>
      <c r="W19" s="52">
        <f>SUMIFS(Plan_Inputs!$C$2:$C$5000,Plan_Inputs!$A$2:$A$5000,$A19,Plan_Inputs!$B$2:$B$5000,$B$2)</f>
        <v/>
      </c>
      <c r="X19" s="53">
        <f>IF($D19="Actual",IFERROR(S19/T19,""),"")</f>
        <v/>
      </c>
      <c r="Y19" s="52">
        <f>E19</f>
        <v/>
      </c>
      <c r="Z19" s="54">
        <f>INDEX(Calendar!$H$5:$L$52,MATCH($A19,Calendar!$A$5:$A$52,0),MATCH($D$2,Calendar!$H$4:$L$4,0))</f>
        <v/>
      </c>
      <c r="AA19" s="54">
        <f>INDEX(Calendar!$M$5:$M$52,MATCH($A19,Calendar!$A$5:$A$52,0))</f>
        <v/>
      </c>
      <c r="AB19" s="55">
        <f>IF($D19="Actual",IFERROR(S19/Y19,""),"")</f>
        <v/>
      </c>
      <c r="AC19" s="56">
        <f>IF($D19="Actual",IFERROR(U19/T19/Z19/AA19,""),"")</f>
        <v/>
      </c>
      <c r="AD19" s="57">
        <f>IF($D19="Actual",IFERROR(V19/(U19+V19),""),$K$2)</f>
        <v/>
      </c>
      <c r="AE19" s="56">
        <f>IFERROR(AC19*Z19*AA19,"")</f>
        <v/>
      </c>
      <c r="AF19" s="53" t="n"/>
      <c r="AG19" s="57">
        <f>IF($D19="Forecast",IFERROR(K19/AF19-1,""),"")</f>
        <v/>
      </c>
      <c r="AH19" s="53">
        <f>IF(CPLHSource="National breakdown",CPLH_Breakdown!AK24,SUMIFS(Plan_Inputs!$D$2:$D$5000,Plan_Inputs!$A$2:$A$5000,$A19,Plan_Inputs!$B$2:$B$5000,$B$2))</f>
        <v/>
      </c>
      <c r="AJ19" s="15">
        <f>F19*$AK$11</f>
        <v/>
      </c>
      <c r="AK19" s="9">
        <f>G19*$AK$11</f>
        <v/>
      </c>
      <c r="AL19" s="30">
        <f>H19*$AK$11</f>
        <v/>
      </c>
      <c r="AM19" s="30">
        <f>I19*$AK$11</f>
        <v/>
      </c>
      <c r="AN19" s="30">
        <f>J19*$AK$11</f>
        <v/>
      </c>
      <c r="AP19" s="15">
        <f>F19*$AQ$11</f>
        <v/>
      </c>
      <c r="AQ19" s="9">
        <f>G19*$AQ$11</f>
        <v/>
      </c>
      <c r="AR19" s="30">
        <f>H19*$AQ$11</f>
        <v/>
      </c>
      <c r="AS19" s="30">
        <f>I19*$AQ$11</f>
        <v/>
      </c>
      <c r="AT19" s="30">
        <f>J19*$AQ$11</f>
        <v/>
      </c>
      <c r="AV19" s="15">
        <f>F19*$AW$11</f>
        <v/>
      </c>
      <c r="AW19" s="9">
        <f>G19*$AW$11</f>
        <v/>
      </c>
      <c r="AX19" s="30">
        <f>H19*$AW$11</f>
        <v/>
      </c>
      <c r="AY19" s="30">
        <f>I19*$AW$11</f>
        <v/>
      </c>
      <c r="AZ19" s="30">
        <f>J19*$AW$11</f>
        <v/>
      </c>
    </row>
    <row r="20">
      <c r="A20" s="8" t="n">
        <v>45809</v>
      </c>
      <c r="B20" s="33">
        <f>YEAR(A20)</f>
        <v/>
      </c>
      <c r="C20" s="33">
        <f>MONTH(A20)</f>
        <v/>
      </c>
      <c r="D20">
        <f>IF(A20&lt;=LastActual,"Actual","Forecast")</f>
        <v/>
      </c>
      <c r="E20" s="30">
        <f>IF($D20="Actual",R20,W20)</f>
        <v/>
      </c>
      <c r="F20" s="15">
        <f>IF($D20="Actual",S20,Cases_Forecast!AJ13)</f>
        <v/>
      </c>
      <c r="G20" s="9">
        <f>IF($D20="Actual",T20,IFERROR(F20/K20,0))</f>
        <v/>
      </c>
      <c r="H20" s="30">
        <f>IF($D20="Actual",U20,G20*L20)</f>
        <v/>
      </c>
      <c r="I20" s="30">
        <f>IF($D20="Actual",V20,J20-H20)</f>
        <v/>
      </c>
      <c r="J20" s="30">
        <f>IF($D20="Actual",U20+V20,IFERROR(H20/(1-AD20),0))</f>
        <v/>
      </c>
      <c r="K20" s="10">
        <f>IF($D20="Actual",IFERROR(S20/T20,0),CPLH_Forecast!AJ13)</f>
        <v/>
      </c>
      <c r="L20" s="34">
        <f>IF($D20="Actual",IFERROR(U20/T20,0),N(AE20))</f>
        <v/>
      </c>
      <c r="M20" s="35">
        <f>IFERROR(J20/F20,0)</f>
        <v/>
      </c>
      <c r="N20" s="36">
        <f>IFERROR(J20/E20,0)</f>
        <v/>
      </c>
      <c r="O20" s="36">
        <f>IFERROR(I20/J20,0)</f>
        <v/>
      </c>
      <c r="R20" s="52">
        <f>IF($D20="Actual",SUMIFS(Data_Actuals!$C$2:$C$5000,Data_Actuals!$A$2:$A$5000,$A20,Data_Actuals!$B$2:$B$5000,$B$2),"")</f>
        <v/>
      </c>
      <c r="S20" s="52">
        <f>IF($D20="Actual",SUMIFS(Data_Actuals!$D$2:$D$5000,Data_Actuals!$A$2:$A$5000,$A20,Data_Actuals!$B$2:$B$5000,$B$2),"")</f>
        <v/>
      </c>
      <c r="T20" s="52">
        <f>IF($D20="Actual",SUMIFS(Data_Actuals!$E$2:$E$5000,Data_Actuals!$A$2:$A$5000,$A20,Data_Actuals!$B$2:$B$5000,$B$2),"")</f>
        <v/>
      </c>
      <c r="U20" s="52">
        <f>IF($D20="Actual",SUMIFS(Data_Actuals!$F$2:$F$5000,Data_Actuals!$A$2:$A$5000,$A20,Data_Actuals!$B$2:$B$5000,$B$2),"")</f>
        <v/>
      </c>
      <c r="V20" s="52">
        <f>IF($D20="Actual",SUMIFS(Data_Actuals!$G$2:$G$5000,Data_Actuals!$A$2:$A$5000,$A20,Data_Actuals!$B$2:$B$5000,$B$2),"")</f>
        <v/>
      </c>
      <c r="W20" s="52">
        <f>SUMIFS(Plan_Inputs!$C$2:$C$5000,Plan_Inputs!$A$2:$A$5000,$A20,Plan_Inputs!$B$2:$B$5000,$B$2)</f>
        <v/>
      </c>
      <c r="X20" s="53">
        <f>IF($D20="Actual",IFERROR(S20/T20,""),"")</f>
        <v/>
      </c>
      <c r="Y20" s="52">
        <f>E20</f>
        <v/>
      </c>
      <c r="Z20" s="54">
        <f>INDEX(Calendar!$H$5:$L$52,MATCH($A20,Calendar!$A$5:$A$52,0),MATCH($D$2,Calendar!$H$4:$L$4,0))</f>
        <v/>
      </c>
      <c r="AA20" s="54">
        <f>INDEX(Calendar!$M$5:$M$52,MATCH($A20,Calendar!$A$5:$A$52,0))</f>
        <v/>
      </c>
      <c r="AB20" s="55">
        <f>IF($D20="Actual",IFERROR(S20/Y20,""),"")</f>
        <v/>
      </c>
      <c r="AC20" s="56">
        <f>IF($D20="Actual",IFERROR(U20/T20/Z20/AA20,""),"")</f>
        <v/>
      </c>
      <c r="AD20" s="57">
        <f>IF($D20="Actual",IFERROR(V20/(U20+V20),""),$K$2)</f>
        <v/>
      </c>
      <c r="AE20" s="56">
        <f>IFERROR(AC20*Z20*AA20,"")</f>
        <v/>
      </c>
      <c r="AF20" s="53" t="n"/>
      <c r="AG20" s="57">
        <f>IF($D20="Forecast",IFERROR(K20/AF20-1,""),"")</f>
        <v/>
      </c>
      <c r="AH20" s="53">
        <f>IF(CPLHSource="National breakdown",CPLH_Breakdown!AK25,SUMIFS(Plan_Inputs!$D$2:$D$5000,Plan_Inputs!$A$2:$A$5000,$A20,Plan_Inputs!$B$2:$B$5000,$B$2))</f>
        <v/>
      </c>
      <c r="AJ20" s="15">
        <f>F20*$AK$11</f>
        <v/>
      </c>
      <c r="AK20" s="9">
        <f>G20*$AK$11</f>
        <v/>
      </c>
      <c r="AL20" s="30">
        <f>H20*$AK$11</f>
        <v/>
      </c>
      <c r="AM20" s="30">
        <f>I20*$AK$11</f>
        <v/>
      </c>
      <c r="AN20" s="30">
        <f>J20*$AK$11</f>
        <v/>
      </c>
      <c r="AP20" s="15">
        <f>F20*$AQ$11</f>
        <v/>
      </c>
      <c r="AQ20" s="9">
        <f>G20*$AQ$11</f>
        <v/>
      </c>
      <c r="AR20" s="30">
        <f>H20*$AQ$11</f>
        <v/>
      </c>
      <c r="AS20" s="30">
        <f>I20*$AQ$11</f>
        <v/>
      </c>
      <c r="AT20" s="30">
        <f>J20*$AQ$11</f>
        <v/>
      </c>
      <c r="AV20" s="15">
        <f>F20*$AW$11</f>
        <v/>
      </c>
      <c r="AW20" s="9">
        <f>G20*$AW$11</f>
        <v/>
      </c>
      <c r="AX20" s="30">
        <f>H20*$AW$11</f>
        <v/>
      </c>
      <c r="AY20" s="30">
        <f>I20*$AW$11</f>
        <v/>
      </c>
      <c r="AZ20" s="30">
        <f>J20*$AW$11</f>
        <v/>
      </c>
    </row>
    <row r="21">
      <c r="A21" s="8" t="n">
        <v>45839</v>
      </c>
      <c r="B21" s="33">
        <f>YEAR(A21)</f>
        <v/>
      </c>
      <c r="C21" s="33">
        <f>MONTH(A21)</f>
        <v/>
      </c>
      <c r="D21">
        <f>IF(A21&lt;=LastActual,"Actual","Forecast")</f>
        <v/>
      </c>
      <c r="E21" s="30">
        <f>IF($D21="Actual",R21,W21)</f>
        <v/>
      </c>
      <c r="F21" s="15">
        <f>IF($D21="Actual",S21,Cases_Forecast!AJ14)</f>
        <v/>
      </c>
      <c r="G21" s="9">
        <f>IF($D21="Actual",T21,IFERROR(F21/K21,0))</f>
        <v/>
      </c>
      <c r="H21" s="30">
        <f>IF($D21="Actual",U21,G21*L21)</f>
        <v/>
      </c>
      <c r="I21" s="30">
        <f>IF($D21="Actual",V21,J21-H21)</f>
        <v/>
      </c>
      <c r="J21" s="30">
        <f>IF($D21="Actual",U21+V21,IFERROR(H21/(1-AD21),0))</f>
        <v/>
      </c>
      <c r="K21" s="10">
        <f>IF($D21="Actual",IFERROR(S21/T21,0),CPLH_Forecast!AJ14)</f>
        <v/>
      </c>
      <c r="L21" s="34">
        <f>IF($D21="Actual",IFERROR(U21/T21,0),N(AE21))</f>
        <v/>
      </c>
      <c r="M21" s="35">
        <f>IFERROR(J21/F21,0)</f>
        <v/>
      </c>
      <c r="N21" s="36">
        <f>IFERROR(J21/E21,0)</f>
        <v/>
      </c>
      <c r="O21" s="36">
        <f>IFERROR(I21/J21,0)</f>
        <v/>
      </c>
      <c r="R21" s="52">
        <f>IF($D21="Actual",SUMIFS(Data_Actuals!$C$2:$C$5000,Data_Actuals!$A$2:$A$5000,$A21,Data_Actuals!$B$2:$B$5000,$B$2),"")</f>
        <v/>
      </c>
      <c r="S21" s="52">
        <f>IF($D21="Actual",SUMIFS(Data_Actuals!$D$2:$D$5000,Data_Actuals!$A$2:$A$5000,$A21,Data_Actuals!$B$2:$B$5000,$B$2),"")</f>
        <v/>
      </c>
      <c r="T21" s="52">
        <f>IF($D21="Actual",SUMIFS(Data_Actuals!$E$2:$E$5000,Data_Actuals!$A$2:$A$5000,$A21,Data_Actuals!$B$2:$B$5000,$B$2),"")</f>
        <v/>
      </c>
      <c r="U21" s="52">
        <f>IF($D21="Actual",SUMIFS(Data_Actuals!$F$2:$F$5000,Data_Actuals!$A$2:$A$5000,$A21,Data_Actuals!$B$2:$B$5000,$B$2),"")</f>
        <v/>
      </c>
      <c r="V21" s="52">
        <f>IF($D21="Actual",SUMIFS(Data_Actuals!$G$2:$G$5000,Data_Actuals!$A$2:$A$5000,$A21,Data_Actuals!$B$2:$B$5000,$B$2),"")</f>
        <v/>
      </c>
      <c r="W21" s="52">
        <f>SUMIFS(Plan_Inputs!$C$2:$C$5000,Plan_Inputs!$A$2:$A$5000,$A21,Plan_Inputs!$B$2:$B$5000,$B$2)</f>
        <v/>
      </c>
      <c r="X21" s="53">
        <f>IF($D21="Actual",IFERROR(S21/T21,""),"")</f>
        <v/>
      </c>
      <c r="Y21" s="52">
        <f>E21</f>
        <v/>
      </c>
      <c r="Z21" s="54">
        <f>INDEX(Calendar!$H$5:$L$52,MATCH($A21,Calendar!$A$5:$A$52,0),MATCH($D$2,Calendar!$H$4:$L$4,0))</f>
        <v/>
      </c>
      <c r="AA21" s="54">
        <f>INDEX(Calendar!$M$5:$M$52,MATCH($A21,Calendar!$A$5:$A$52,0))</f>
        <v/>
      </c>
      <c r="AB21" s="55">
        <f>IF($D21="Actual",IFERROR(S21/Y21,""),"")</f>
        <v/>
      </c>
      <c r="AC21" s="56">
        <f>IF($D21="Actual",IFERROR(U21/T21/Z21/AA21,""),"")</f>
        <v/>
      </c>
      <c r="AD21" s="57">
        <f>IF($D21="Actual",IFERROR(V21/(U21+V21),""),$K$2)</f>
        <v/>
      </c>
      <c r="AE21" s="56">
        <f>IFERROR(AC21*Z21*AA21,"")</f>
        <v/>
      </c>
      <c r="AF21" s="53" t="n"/>
      <c r="AG21" s="57">
        <f>IF($D21="Forecast",IFERROR(K21/AF21-1,""),"")</f>
        <v/>
      </c>
      <c r="AH21" s="53">
        <f>IF(CPLHSource="National breakdown",CPLH_Breakdown!AK26,SUMIFS(Plan_Inputs!$D$2:$D$5000,Plan_Inputs!$A$2:$A$5000,$A21,Plan_Inputs!$B$2:$B$5000,$B$2))</f>
        <v/>
      </c>
      <c r="AJ21" s="15">
        <f>F21*$AK$11</f>
        <v/>
      </c>
      <c r="AK21" s="9">
        <f>G21*$AK$11</f>
        <v/>
      </c>
      <c r="AL21" s="30">
        <f>H21*$AK$11</f>
        <v/>
      </c>
      <c r="AM21" s="30">
        <f>I21*$AK$11</f>
        <v/>
      </c>
      <c r="AN21" s="30">
        <f>J21*$AK$11</f>
        <v/>
      </c>
      <c r="AP21" s="15">
        <f>F21*$AQ$11</f>
        <v/>
      </c>
      <c r="AQ21" s="9">
        <f>G21*$AQ$11</f>
        <v/>
      </c>
      <c r="AR21" s="30">
        <f>H21*$AQ$11</f>
        <v/>
      </c>
      <c r="AS21" s="30">
        <f>I21*$AQ$11</f>
        <v/>
      </c>
      <c r="AT21" s="30">
        <f>J21*$AQ$11</f>
        <v/>
      </c>
      <c r="AV21" s="15">
        <f>F21*$AW$11</f>
        <v/>
      </c>
      <c r="AW21" s="9">
        <f>G21*$AW$11</f>
        <v/>
      </c>
      <c r="AX21" s="30">
        <f>H21*$AW$11</f>
        <v/>
      </c>
      <c r="AY21" s="30">
        <f>I21*$AW$11</f>
        <v/>
      </c>
      <c r="AZ21" s="30">
        <f>J21*$AW$11</f>
        <v/>
      </c>
    </row>
    <row r="22">
      <c r="A22" s="8" t="n">
        <v>45870</v>
      </c>
      <c r="B22" s="33">
        <f>YEAR(A22)</f>
        <v/>
      </c>
      <c r="C22" s="33">
        <f>MONTH(A22)</f>
        <v/>
      </c>
      <c r="D22">
        <f>IF(A22&lt;=LastActual,"Actual","Forecast")</f>
        <v/>
      </c>
      <c r="E22" s="30">
        <f>IF($D22="Actual",R22,W22)</f>
        <v/>
      </c>
      <c r="F22" s="15">
        <f>IF($D22="Actual",S22,Cases_Forecast!AJ15)</f>
        <v/>
      </c>
      <c r="G22" s="9">
        <f>IF($D22="Actual",T22,IFERROR(F22/K22,0))</f>
        <v/>
      </c>
      <c r="H22" s="30">
        <f>IF($D22="Actual",U22,G22*L22)</f>
        <v/>
      </c>
      <c r="I22" s="30">
        <f>IF($D22="Actual",V22,J22-H22)</f>
        <v/>
      </c>
      <c r="J22" s="30">
        <f>IF($D22="Actual",U22+V22,IFERROR(H22/(1-AD22),0))</f>
        <v/>
      </c>
      <c r="K22" s="10">
        <f>IF($D22="Actual",IFERROR(S22/T22,0),CPLH_Forecast!AJ15)</f>
        <v/>
      </c>
      <c r="L22" s="34">
        <f>IF($D22="Actual",IFERROR(U22/T22,0),N(AE22))</f>
        <v/>
      </c>
      <c r="M22" s="35">
        <f>IFERROR(J22/F22,0)</f>
        <v/>
      </c>
      <c r="N22" s="36">
        <f>IFERROR(J22/E22,0)</f>
        <v/>
      </c>
      <c r="O22" s="36">
        <f>IFERROR(I22/J22,0)</f>
        <v/>
      </c>
      <c r="R22" s="52">
        <f>IF($D22="Actual",SUMIFS(Data_Actuals!$C$2:$C$5000,Data_Actuals!$A$2:$A$5000,$A22,Data_Actuals!$B$2:$B$5000,$B$2),"")</f>
        <v/>
      </c>
      <c r="S22" s="52">
        <f>IF($D22="Actual",SUMIFS(Data_Actuals!$D$2:$D$5000,Data_Actuals!$A$2:$A$5000,$A22,Data_Actuals!$B$2:$B$5000,$B$2),"")</f>
        <v/>
      </c>
      <c r="T22" s="52">
        <f>IF($D22="Actual",SUMIFS(Data_Actuals!$E$2:$E$5000,Data_Actuals!$A$2:$A$5000,$A22,Data_Actuals!$B$2:$B$5000,$B$2),"")</f>
        <v/>
      </c>
      <c r="U22" s="52">
        <f>IF($D22="Actual",SUMIFS(Data_Actuals!$F$2:$F$5000,Data_Actuals!$A$2:$A$5000,$A22,Data_Actuals!$B$2:$B$5000,$B$2),"")</f>
        <v/>
      </c>
      <c r="V22" s="52">
        <f>IF($D22="Actual",SUMIFS(Data_Actuals!$G$2:$G$5000,Data_Actuals!$A$2:$A$5000,$A22,Data_Actuals!$B$2:$B$5000,$B$2),"")</f>
        <v/>
      </c>
      <c r="W22" s="52">
        <f>SUMIFS(Plan_Inputs!$C$2:$C$5000,Plan_Inputs!$A$2:$A$5000,$A22,Plan_Inputs!$B$2:$B$5000,$B$2)</f>
        <v/>
      </c>
      <c r="X22" s="53">
        <f>IF($D22="Actual",IFERROR(S22/T22,""),"")</f>
        <v/>
      </c>
      <c r="Y22" s="52">
        <f>E22</f>
        <v/>
      </c>
      <c r="Z22" s="54">
        <f>INDEX(Calendar!$H$5:$L$52,MATCH($A22,Calendar!$A$5:$A$52,0),MATCH($D$2,Calendar!$H$4:$L$4,0))</f>
        <v/>
      </c>
      <c r="AA22" s="54">
        <f>INDEX(Calendar!$M$5:$M$52,MATCH($A22,Calendar!$A$5:$A$52,0))</f>
        <v/>
      </c>
      <c r="AB22" s="55">
        <f>IF($D22="Actual",IFERROR(S22/Y22,""),"")</f>
        <v/>
      </c>
      <c r="AC22" s="56">
        <f>IF($D22="Actual",IFERROR(U22/T22/Z22/AA22,""),"")</f>
        <v/>
      </c>
      <c r="AD22" s="57">
        <f>IF($D22="Actual",IFERROR(V22/(U22+V22),""),$K$2)</f>
        <v/>
      </c>
      <c r="AE22" s="56">
        <f>IFERROR(AC22*Z22*AA22,"")</f>
        <v/>
      </c>
      <c r="AF22" s="53" t="n"/>
      <c r="AG22" s="57">
        <f>IF($D22="Forecast",IFERROR(K22/AF22-1,""),"")</f>
        <v/>
      </c>
      <c r="AH22" s="53">
        <f>IF(CPLHSource="National breakdown",CPLH_Breakdown!AK27,SUMIFS(Plan_Inputs!$D$2:$D$5000,Plan_Inputs!$A$2:$A$5000,$A22,Plan_Inputs!$B$2:$B$5000,$B$2))</f>
        <v/>
      </c>
      <c r="AJ22" s="15">
        <f>F22*$AK$11</f>
        <v/>
      </c>
      <c r="AK22" s="9">
        <f>G22*$AK$11</f>
        <v/>
      </c>
      <c r="AL22" s="30">
        <f>H22*$AK$11</f>
        <v/>
      </c>
      <c r="AM22" s="30">
        <f>I22*$AK$11</f>
        <v/>
      </c>
      <c r="AN22" s="30">
        <f>J22*$AK$11</f>
        <v/>
      </c>
      <c r="AP22" s="15">
        <f>F22*$AQ$11</f>
        <v/>
      </c>
      <c r="AQ22" s="9">
        <f>G22*$AQ$11</f>
        <v/>
      </c>
      <c r="AR22" s="30">
        <f>H22*$AQ$11</f>
        <v/>
      </c>
      <c r="AS22" s="30">
        <f>I22*$AQ$11</f>
        <v/>
      </c>
      <c r="AT22" s="30">
        <f>J22*$AQ$11</f>
        <v/>
      </c>
      <c r="AV22" s="15">
        <f>F22*$AW$11</f>
        <v/>
      </c>
      <c r="AW22" s="9">
        <f>G22*$AW$11</f>
        <v/>
      </c>
      <c r="AX22" s="30">
        <f>H22*$AW$11</f>
        <v/>
      </c>
      <c r="AY22" s="30">
        <f>I22*$AW$11</f>
        <v/>
      </c>
      <c r="AZ22" s="30">
        <f>J22*$AW$11</f>
        <v/>
      </c>
    </row>
    <row r="23">
      <c r="A23" s="8" t="n">
        <v>45901</v>
      </c>
      <c r="B23" s="33">
        <f>YEAR(A23)</f>
        <v/>
      </c>
      <c r="C23" s="33">
        <f>MONTH(A23)</f>
        <v/>
      </c>
      <c r="D23">
        <f>IF(A23&lt;=LastActual,"Actual","Forecast")</f>
        <v/>
      </c>
      <c r="E23" s="30">
        <f>IF($D23="Actual",R23,W23)</f>
        <v/>
      </c>
      <c r="F23" s="15">
        <f>IF($D23="Actual",S23,Cases_Forecast!AJ16)</f>
        <v/>
      </c>
      <c r="G23" s="9">
        <f>IF($D23="Actual",T23,IFERROR(F23/K23,0))</f>
        <v/>
      </c>
      <c r="H23" s="30">
        <f>IF($D23="Actual",U23,G23*L23)</f>
        <v/>
      </c>
      <c r="I23" s="30">
        <f>IF($D23="Actual",V23,J23-H23)</f>
        <v/>
      </c>
      <c r="J23" s="30">
        <f>IF($D23="Actual",U23+V23,IFERROR(H23/(1-AD23),0))</f>
        <v/>
      </c>
      <c r="K23" s="10">
        <f>IF($D23="Actual",IFERROR(S23/T23,0),CPLH_Forecast!AJ16)</f>
        <v/>
      </c>
      <c r="L23" s="34">
        <f>IF($D23="Actual",IFERROR(U23/T23,0),N(AE23))</f>
        <v/>
      </c>
      <c r="M23" s="35">
        <f>IFERROR(J23/F23,0)</f>
        <v/>
      </c>
      <c r="N23" s="36">
        <f>IFERROR(J23/E23,0)</f>
        <v/>
      </c>
      <c r="O23" s="36">
        <f>IFERROR(I23/J23,0)</f>
        <v/>
      </c>
      <c r="R23" s="52">
        <f>IF($D23="Actual",SUMIFS(Data_Actuals!$C$2:$C$5000,Data_Actuals!$A$2:$A$5000,$A23,Data_Actuals!$B$2:$B$5000,$B$2),"")</f>
        <v/>
      </c>
      <c r="S23" s="52">
        <f>IF($D23="Actual",SUMIFS(Data_Actuals!$D$2:$D$5000,Data_Actuals!$A$2:$A$5000,$A23,Data_Actuals!$B$2:$B$5000,$B$2),"")</f>
        <v/>
      </c>
      <c r="T23" s="52">
        <f>IF($D23="Actual",SUMIFS(Data_Actuals!$E$2:$E$5000,Data_Actuals!$A$2:$A$5000,$A23,Data_Actuals!$B$2:$B$5000,$B$2),"")</f>
        <v/>
      </c>
      <c r="U23" s="52">
        <f>IF($D23="Actual",SUMIFS(Data_Actuals!$F$2:$F$5000,Data_Actuals!$A$2:$A$5000,$A23,Data_Actuals!$B$2:$B$5000,$B$2),"")</f>
        <v/>
      </c>
      <c r="V23" s="52">
        <f>IF($D23="Actual",SUMIFS(Data_Actuals!$G$2:$G$5000,Data_Actuals!$A$2:$A$5000,$A23,Data_Actuals!$B$2:$B$5000,$B$2),"")</f>
        <v/>
      </c>
      <c r="W23" s="52">
        <f>SUMIFS(Plan_Inputs!$C$2:$C$5000,Plan_Inputs!$A$2:$A$5000,$A23,Plan_Inputs!$B$2:$B$5000,$B$2)</f>
        <v/>
      </c>
      <c r="X23" s="53">
        <f>IF($D23="Actual",IFERROR(S23/T23,""),"")</f>
        <v/>
      </c>
      <c r="Y23" s="52">
        <f>E23</f>
        <v/>
      </c>
      <c r="Z23" s="54">
        <f>INDEX(Calendar!$H$5:$L$52,MATCH($A23,Calendar!$A$5:$A$52,0),MATCH($D$2,Calendar!$H$4:$L$4,0))</f>
        <v/>
      </c>
      <c r="AA23" s="54">
        <f>INDEX(Calendar!$M$5:$M$52,MATCH($A23,Calendar!$A$5:$A$52,0))</f>
        <v/>
      </c>
      <c r="AB23" s="55">
        <f>IF($D23="Actual",IFERROR(S23/Y23,""),"")</f>
        <v/>
      </c>
      <c r="AC23" s="56">
        <f>IF($D23="Actual",IFERROR(U23/T23/Z23/AA23,""),"")</f>
        <v/>
      </c>
      <c r="AD23" s="57">
        <f>IF($D23="Actual",IFERROR(V23/(U23+V23),""),$K$2)</f>
        <v/>
      </c>
      <c r="AE23" s="56">
        <f>IFERROR(AC23*Z23*AA23,"")</f>
        <v/>
      </c>
      <c r="AF23" s="53" t="n"/>
      <c r="AG23" s="57">
        <f>IF($D23="Forecast",IFERROR(K23/AF23-1,""),"")</f>
        <v/>
      </c>
      <c r="AH23" s="53">
        <f>IF(CPLHSource="National breakdown",CPLH_Breakdown!AK28,SUMIFS(Plan_Inputs!$D$2:$D$5000,Plan_Inputs!$A$2:$A$5000,$A23,Plan_Inputs!$B$2:$B$5000,$B$2))</f>
        <v/>
      </c>
      <c r="AJ23" s="15">
        <f>F23*$AK$11</f>
        <v/>
      </c>
      <c r="AK23" s="9">
        <f>G23*$AK$11</f>
        <v/>
      </c>
      <c r="AL23" s="30">
        <f>H23*$AK$11</f>
        <v/>
      </c>
      <c r="AM23" s="30">
        <f>I23*$AK$11</f>
        <v/>
      </c>
      <c r="AN23" s="30">
        <f>J23*$AK$11</f>
        <v/>
      </c>
      <c r="AP23" s="15">
        <f>F23*$AQ$11</f>
        <v/>
      </c>
      <c r="AQ23" s="9">
        <f>G23*$AQ$11</f>
        <v/>
      </c>
      <c r="AR23" s="30">
        <f>H23*$AQ$11</f>
        <v/>
      </c>
      <c r="AS23" s="30">
        <f>I23*$AQ$11</f>
        <v/>
      </c>
      <c r="AT23" s="30">
        <f>J23*$AQ$11</f>
        <v/>
      </c>
      <c r="AV23" s="15">
        <f>F23*$AW$11</f>
        <v/>
      </c>
      <c r="AW23" s="9">
        <f>G23*$AW$11</f>
        <v/>
      </c>
      <c r="AX23" s="30">
        <f>H23*$AW$11</f>
        <v/>
      </c>
      <c r="AY23" s="30">
        <f>I23*$AW$11</f>
        <v/>
      </c>
      <c r="AZ23" s="30">
        <f>J23*$AW$11</f>
        <v/>
      </c>
    </row>
    <row r="24">
      <c r="A24" s="8" t="n">
        <v>45931</v>
      </c>
      <c r="B24" s="33">
        <f>YEAR(A24)</f>
        <v/>
      </c>
      <c r="C24" s="33">
        <f>MONTH(A24)</f>
        <v/>
      </c>
      <c r="D24">
        <f>IF(A24&lt;=LastActual,"Actual","Forecast")</f>
        <v/>
      </c>
      <c r="E24" s="30">
        <f>IF($D24="Actual",R24,W24)</f>
        <v/>
      </c>
      <c r="F24" s="15">
        <f>IF($D24="Actual",S24,Cases_Forecast!AJ17)</f>
        <v/>
      </c>
      <c r="G24" s="9">
        <f>IF($D24="Actual",T24,IFERROR(F24/K24,0))</f>
        <v/>
      </c>
      <c r="H24" s="30">
        <f>IF($D24="Actual",U24,G24*L24)</f>
        <v/>
      </c>
      <c r="I24" s="30">
        <f>IF($D24="Actual",V24,J24-H24)</f>
        <v/>
      </c>
      <c r="J24" s="30">
        <f>IF($D24="Actual",U24+V24,IFERROR(H24/(1-AD24),0))</f>
        <v/>
      </c>
      <c r="K24" s="10">
        <f>IF($D24="Actual",IFERROR(S24/T24,0),CPLH_Forecast!AJ17)</f>
        <v/>
      </c>
      <c r="L24" s="34">
        <f>IF($D24="Actual",IFERROR(U24/T24,0),N(AE24))</f>
        <v/>
      </c>
      <c r="M24" s="35">
        <f>IFERROR(J24/F24,0)</f>
        <v/>
      </c>
      <c r="N24" s="36">
        <f>IFERROR(J24/E24,0)</f>
        <v/>
      </c>
      <c r="O24" s="36">
        <f>IFERROR(I24/J24,0)</f>
        <v/>
      </c>
      <c r="R24" s="52">
        <f>IF($D24="Actual",SUMIFS(Data_Actuals!$C$2:$C$5000,Data_Actuals!$A$2:$A$5000,$A24,Data_Actuals!$B$2:$B$5000,$B$2),"")</f>
        <v/>
      </c>
      <c r="S24" s="52">
        <f>IF($D24="Actual",SUMIFS(Data_Actuals!$D$2:$D$5000,Data_Actuals!$A$2:$A$5000,$A24,Data_Actuals!$B$2:$B$5000,$B$2),"")</f>
        <v/>
      </c>
      <c r="T24" s="52">
        <f>IF($D24="Actual",SUMIFS(Data_Actuals!$E$2:$E$5000,Data_Actuals!$A$2:$A$5000,$A24,Data_Actuals!$B$2:$B$5000,$B$2),"")</f>
        <v/>
      </c>
      <c r="U24" s="52">
        <f>IF($D24="Actual",SUMIFS(Data_Actuals!$F$2:$F$5000,Data_Actuals!$A$2:$A$5000,$A24,Data_Actuals!$B$2:$B$5000,$B$2),"")</f>
        <v/>
      </c>
      <c r="V24" s="52">
        <f>IF($D24="Actual",SUMIFS(Data_Actuals!$G$2:$G$5000,Data_Actuals!$A$2:$A$5000,$A24,Data_Actuals!$B$2:$B$5000,$B$2),"")</f>
        <v/>
      </c>
      <c r="W24" s="52">
        <f>SUMIFS(Plan_Inputs!$C$2:$C$5000,Plan_Inputs!$A$2:$A$5000,$A24,Plan_Inputs!$B$2:$B$5000,$B$2)</f>
        <v/>
      </c>
      <c r="X24" s="53">
        <f>IF($D24="Actual",IFERROR(S24/T24,""),"")</f>
        <v/>
      </c>
      <c r="Y24" s="52">
        <f>E24</f>
        <v/>
      </c>
      <c r="Z24" s="54">
        <f>INDEX(Calendar!$H$5:$L$52,MATCH($A24,Calendar!$A$5:$A$52,0),MATCH($D$2,Calendar!$H$4:$L$4,0))</f>
        <v/>
      </c>
      <c r="AA24" s="54">
        <f>INDEX(Calendar!$M$5:$M$52,MATCH($A24,Calendar!$A$5:$A$52,0))</f>
        <v/>
      </c>
      <c r="AB24" s="55">
        <f>IF($D24="Actual",IFERROR(S24/Y24,""),"")</f>
        <v/>
      </c>
      <c r="AC24" s="56">
        <f>IF($D24="Actual",IFERROR(U24/T24/Z24/AA24,""),"")</f>
        <v/>
      </c>
      <c r="AD24" s="57">
        <f>IF($D24="Actual",IFERROR(V24/(U24+V24),""),$K$2)</f>
        <v/>
      </c>
      <c r="AE24" s="56">
        <f>IFERROR(AC24*Z24*AA24,"")</f>
        <v/>
      </c>
      <c r="AF24" s="53" t="n"/>
      <c r="AG24" s="57">
        <f>IF($D24="Forecast",IFERROR(K24/AF24-1,""),"")</f>
        <v/>
      </c>
      <c r="AH24" s="53">
        <f>IF(CPLHSource="National breakdown",CPLH_Breakdown!AK29,SUMIFS(Plan_Inputs!$D$2:$D$5000,Plan_Inputs!$A$2:$A$5000,$A24,Plan_Inputs!$B$2:$B$5000,$B$2))</f>
        <v/>
      </c>
      <c r="AJ24" s="15">
        <f>F24*$AK$11</f>
        <v/>
      </c>
      <c r="AK24" s="9">
        <f>G24*$AK$11</f>
        <v/>
      </c>
      <c r="AL24" s="30">
        <f>H24*$AK$11</f>
        <v/>
      </c>
      <c r="AM24" s="30">
        <f>I24*$AK$11</f>
        <v/>
      </c>
      <c r="AN24" s="30">
        <f>J24*$AK$11</f>
        <v/>
      </c>
      <c r="AP24" s="15">
        <f>F24*$AQ$11</f>
        <v/>
      </c>
      <c r="AQ24" s="9">
        <f>G24*$AQ$11</f>
        <v/>
      </c>
      <c r="AR24" s="30">
        <f>H24*$AQ$11</f>
        <v/>
      </c>
      <c r="AS24" s="30">
        <f>I24*$AQ$11</f>
        <v/>
      </c>
      <c r="AT24" s="30">
        <f>J24*$AQ$11</f>
        <v/>
      </c>
      <c r="AV24" s="15">
        <f>F24*$AW$11</f>
        <v/>
      </c>
      <c r="AW24" s="9">
        <f>G24*$AW$11</f>
        <v/>
      </c>
      <c r="AX24" s="30">
        <f>H24*$AW$11</f>
        <v/>
      </c>
      <c r="AY24" s="30">
        <f>I24*$AW$11</f>
        <v/>
      </c>
      <c r="AZ24" s="30">
        <f>J24*$AW$11</f>
        <v/>
      </c>
    </row>
    <row r="25">
      <c r="A25" s="8" t="n">
        <v>45962</v>
      </c>
      <c r="B25" s="33">
        <f>YEAR(A25)</f>
        <v/>
      </c>
      <c r="C25" s="33">
        <f>MONTH(A25)</f>
        <v/>
      </c>
      <c r="D25">
        <f>IF(A25&lt;=LastActual,"Actual","Forecast")</f>
        <v/>
      </c>
      <c r="E25" s="30">
        <f>IF($D25="Actual",R25,W25)</f>
        <v/>
      </c>
      <c r="F25" s="15">
        <f>IF($D25="Actual",S25,Cases_Forecast!AJ18)</f>
        <v/>
      </c>
      <c r="G25" s="9">
        <f>IF($D25="Actual",T25,IFERROR(F25/K25,0))</f>
        <v/>
      </c>
      <c r="H25" s="30">
        <f>IF($D25="Actual",U25,G25*L25)</f>
        <v/>
      </c>
      <c r="I25" s="30">
        <f>IF($D25="Actual",V25,J25-H25)</f>
        <v/>
      </c>
      <c r="J25" s="30">
        <f>IF($D25="Actual",U25+V25,IFERROR(H25/(1-AD25),0))</f>
        <v/>
      </c>
      <c r="K25" s="10">
        <f>IF($D25="Actual",IFERROR(S25/T25,0),CPLH_Forecast!AJ18)</f>
        <v/>
      </c>
      <c r="L25" s="34">
        <f>IF($D25="Actual",IFERROR(U25/T25,0),N(AE25))</f>
        <v/>
      </c>
      <c r="M25" s="35">
        <f>IFERROR(J25/F25,0)</f>
        <v/>
      </c>
      <c r="N25" s="36">
        <f>IFERROR(J25/E25,0)</f>
        <v/>
      </c>
      <c r="O25" s="36">
        <f>IFERROR(I25/J25,0)</f>
        <v/>
      </c>
      <c r="R25" s="52">
        <f>IF($D25="Actual",SUMIFS(Data_Actuals!$C$2:$C$5000,Data_Actuals!$A$2:$A$5000,$A25,Data_Actuals!$B$2:$B$5000,$B$2),"")</f>
        <v/>
      </c>
      <c r="S25" s="52">
        <f>IF($D25="Actual",SUMIFS(Data_Actuals!$D$2:$D$5000,Data_Actuals!$A$2:$A$5000,$A25,Data_Actuals!$B$2:$B$5000,$B$2),"")</f>
        <v/>
      </c>
      <c r="T25" s="52">
        <f>IF($D25="Actual",SUMIFS(Data_Actuals!$E$2:$E$5000,Data_Actuals!$A$2:$A$5000,$A25,Data_Actuals!$B$2:$B$5000,$B$2),"")</f>
        <v/>
      </c>
      <c r="U25" s="52">
        <f>IF($D25="Actual",SUMIFS(Data_Actuals!$F$2:$F$5000,Data_Actuals!$A$2:$A$5000,$A25,Data_Actuals!$B$2:$B$5000,$B$2),"")</f>
        <v/>
      </c>
      <c r="V25" s="52">
        <f>IF($D25="Actual",SUMIFS(Data_Actuals!$G$2:$G$5000,Data_Actuals!$A$2:$A$5000,$A25,Data_Actuals!$B$2:$B$5000,$B$2),"")</f>
        <v/>
      </c>
      <c r="W25" s="52">
        <f>SUMIFS(Plan_Inputs!$C$2:$C$5000,Plan_Inputs!$A$2:$A$5000,$A25,Plan_Inputs!$B$2:$B$5000,$B$2)</f>
        <v/>
      </c>
      <c r="X25" s="53">
        <f>IF($D25="Actual",IFERROR(S25/T25,""),"")</f>
        <v/>
      </c>
      <c r="Y25" s="52">
        <f>E25</f>
        <v/>
      </c>
      <c r="Z25" s="54">
        <f>INDEX(Calendar!$H$5:$L$52,MATCH($A25,Calendar!$A$5:$A$52,0),MATCH($D$2,Calendar!$H$4:$L$4,0))</f>
        <v/>
      </c>
      <c r="AA25" s="54">
        <f>INDEX(Calendar!$M$5:$M$52,MATCH($A25,Calendar!$A$5:$A$52,0))</f>
        <v/>
      </c>
      <c r="AB25" s="55">
        <f>IF($D25="Actual",IFERROR(S25/Y25,""),"")</f>
        <v/>
      </c>
      <c r="AC25" s="56">
        <f>IF($D25="Actual",IFERROR(U25/T25/Z25/AA25,""),"")</f>
        <v/>
      </c>
      <c r="AD25" s="57">
        <f>IF($D25="Actual",IFERROR(V25/(U25+V25),""),$K$2)</f>
        <v/>
      </c>
      <c r="AE25" s="56">
        <f>IFERROR(AC25*Z25*AA25,"")</f>
        <v/>
      </c>
      <c r="AF25" s="53" t="n"/>
      <c r="AG25" s="57">
        <f>IF($D25="Forecast",IFERROR(K25/AF25-1,""),"")</f>
        <v/>
      </c>
      <c r="AH25" s="53">
        <f>IF(CPLHSource="National breakdown",CPLH_Breakdown!AK30,SUMIFS(Plan_Inputs!$D$2:$D$5000,Plan_Inputs!$A$2:$A$5000,$A25,Plan_Inputs!$B$2:$B$5000,$B$2))</f>
        <v/>
      </c>
      <c r="AJ25" s="15">
        <f>F25*$AK$11</f>
        <v/>
      </c>
      <c r="AK25" s="9">
        <f>G25*$AK$11</f>
        <v/>
      </c>
      <c r="AL25" s="30">
        <f>H25*$AK$11</f>
        <v/>
      </c>
      <c r="AM25" s="30">
        <f>I25*$AK$11</f>
        <v/>
      </c>
      <c r="AN25" s="30">
        <f>J25*$AK$11</f>
        <v/>
      </c>
      <c r="AP25" s="15">
        <f>F25*$AQ$11</f>
        <v/>
      </c>
      <c r="AQ25" s="9">
        <f>G25*$AQ$11</f>
        <v/>
      </c>
      <c r="AR25" s="30">
        <f>H25*$AQ$11</f>
        <v/>
      </c>
      <c r="AS25" s="30">
        <f>I25*$AQ$11</f>
        <v/>
      </c>
      <c r="AT25" s="30">
        <f>J25*$AQ$11</f>
        <v/>
      </c>
      <c r="AV25" s="15">
        <f>F25*$AW$11</f>
        <v/>
      </c>
      <c r="AW25" s="9">
        <f>G25*$AW$11</f>
        <v/>
      </c>
      <c r="AX25" s="30">
        <f>H25*$AW$11</f>
        <v/>
      </c>
      <c r="AY25" s="30">
        <f>I25*$AW$11</f>
        <v/>
      </c>
      <c r="AZ25" s="30">
        <f>J25*$AW$11</f>
        <v/>
      </c>
    </row>
    <row r="26">
      <c r="A26" s="37" t="n">
        <v>45992</v>
      </c>
      <c r="B26" s="38">
        <f>YEAR(A26)</f>
        <v/>
      </c>
      <c r="C26" s="38">
        <f>MONTH(A26)</f>
        <v/>
      </c>
      <c r="D26" s="39">
        <f>IF(A26&lt;=LastActual,"Actual","Forecast")</f>
        <v/>
      </c>
      <c r="E26" s="40">
        <f>IF($D26="Actual",R26,W26)</f>
        <v/>
      </c>
      <c r="F26" s="41">
        <f>IF($D26="Actual",S26,Cases_Forecast!AJ19)</f>
        <v/>
      </c>
      <c r="G26" s="42">
        <f>IF($D26="Actual",T26,IFERROR(F26/K26,0))</f>
        <v/>
      </c>
      <c r="H26" s="40">
        <f>IF($D26="Actual",U26,G26*L26)</f>
        <v/>
      </c>
      <c r="I26" s="40">
        <f>IF($D26="Actual",V26,J26-H26)</f>
        <v/>
      </c>
      <c r="J26" s="40">
        <f>IF($D26="Actual",U26+V26,IFERROR(H26/(1-AD26),0))</f>
        <v/>
      </c>
      <c r="K26" s="43">
        <f>IF($D26="Actual",IFERROR(S26/T26,0),CPLH_Forecast!AJ19)</f>
        <v/>
      </c>
      <c r="L26" s="44">
        <f>IF($D26="Actual",IFERROR(U26/T26,0),N(AE26))</f>
        <v/>
      </c>
      <c r="M26" s="45">
        <f>IFERROR(J26/F26,0)</f>
        <v/>
      </c>
      <c r="N26" s="46">
        <f>IFERROR(J26/E26,0)</f>
        <v/>
      </c>
      <c r="O26" s="46">
        <f>IFERROR(I26/J26,0)</f>
        <v/>
      </c>
      <c r="R26" s="52">
        <f>IF($D26="Actual",SUMIFS(Data_Actuals!$C$2:$C$5000,Data_Actuals!$A$2:$A$5000,$A26,Data_Actuals!$B$2:$B$5000,$B$2),"")</f>
        <v/>
      </c>
      <c r="S26" s="52">
        <f>IF($D26="Actual",SUMIFS(Data_Actuals!$D$2:$D$5000,Data_Actuals!$A$2:$A$5000,$A26,Data_Actuals!$B$2:$B$5000,$B$2),"")</f>
        <v/>
      </c>
      <c r="T26" s="52">
        <f>IF($D26="Actual",SUMIFS(Data_Actuals!$E$2:$E$5000,Data_Actuals!$A$2:$A$5000,$A26,Data_Actuals!$B$2:$B$5000,$B$2),"")</f>
        <v/>
      </c>
      <c r="U26" s="52">
        <f>IF($D26="Actual",SUMIFS(Data_Actuals!$F$2:$F$5000,Data_Actuals!$A$2:$A$5000,$A26,Data_Actuals!$B$2:$B$5000,$B$2),"")</f>
        <v/>
      </c>
      <c r="V26" s="52">
        <f>IF($D26="Actual",SUMIFS(Data_Actuals!$G$2:$G$5000,Data_Actuals!$A$2:$A$5000,$A26,Data_Actuals!$B$2:$B$5000,$B$2),"")</f>
        <v/>
      </c>
      <c r="W26" s="52">
        <f>SUMIFS(Plan_Inputs!$C$2:$C$5000,Plan_Inputs!$A$2:$A$5000,$A26,Plan_Inputs!$B$2:$B$5000,$B$2)</f>
        <v/>
      </c>
      <c r="X26" s="53">
        <f>IF($D26="Actual",IFERROR(S26/T26,""),"")</f>
        <v/>
      </c>
      <c r="Y26" s="52">
        <f>E26</f>
        <v/>
      </c>
      <c r="Z26" s="54">
        <f>INDEX(Calendar!$H$5:$L$52,MATCH($A26,Calendar!$A$5:$A$52,0),MATCH($D$2,Calendar!$H$4:$L$4,0))</f>
        <v/>
      </c>
      <c r="AA26" s="54">
        <f>INDEX(Calendar!$M$5:$M$52,MATCH($A26,Calendar!$A$5:$A$52,0))</f>
        <v/>
      </c>
      <c r="AB26" s="55">
        <f>IF($D26="Actual",IFERROR(S26/Y26,""),"")</f>
        <v/>
      </c>
      <c r="AC26" s="56">
        <f>IF($D26="Actual",IFERROR(U26/T26/Z26/AA26,""),"")</f>
        <v/>
      </c>
      <c r="AD26" s="57">
        <f>IF($D26="Actual",IFERROR(V26/(U26+V26),""),$K$2)</f>
        <v/>
      </c>
      <c r="AE26" s="56">
        <f>IFERROR(AC26*Z26*AA26,"")</f>
        <v/>
      </c>
      <c r="AF26" s="53" t="n"/>
      <c r="AG26" s="57">
        <f>IF($D26="Forecast",IFERROR(K26/AF26-1,""),"")</f>
        <v/>
      </c>
      <c r="AH26" s="53">
        <f>IF(CPLHSource="National breakdown",CPLH_Breakdown!AK31,SUMIFS(Plan_Inputs!$D$2:$D$5000,Plan_Inputs!$A$2:$A$5000,$A26,Plan_Inputs!$B$2:$B$5000,$B$2))</f>
        <v/>
      </c>
      <c r="AJ26" s="41">
        <f>F26*$AK$11</f>
        <v/>
      </c>
      <c r="AK26" s="42">
        <f>G26*$AK$11</f>
        <v/>
      </c>
      <c r="AL26" s="40">
        <f>H26*$AK$11</f>
        <v/>
      </c>
      <c r="AM26" s="40">
        <f>I26*$AK$11</f>
        <v/>
      </c>
      <c r="AN26" s="40">
        <f>J26*$AK$11</f>
        <v/>
      </c>
      <c r="AP26" s="41">
        <f>F26*$AQ$11</f>
        <v/>
      </c>
      <c r="AQ26" s="42">
        <f>G26*$AQ$11</f>
        <v/>
      </c>
      <c r="AR26" s="40">
        <f>H26*$AQ$11</f>
        <v/>
      </c>
      <c r="AS26" s="40">
        <f>I26*$AQ$11</f>
        <v/>
      </c>
      <c r="AT26" s="40">
        <f>J26*$AQ$11</f>
        <v/>
      </c>
      <c r="AV26" s="41">
        <f>F26*$AW$11</f>
        <v/>
      </c>
      <c r="AW26" s="42">
        <f>G26*$AW$11</f>
        <v/>
      </c>
      <c r="AX26" s="40">
        <f>H26*$AW$11</f>
        <v/>
      </c>
      <c r="AY26" s="40">
        <f>I26*$AW$11</f>
        <v/>
      </c>
      <c r="AZ26" s="40">
        <f>J26*$AW$11</f>
        <v/>
      </c>
    </row>
    <row r="27">
      <c r="A27" s="8" t="n">
        <v>46023</v>
      </c>
      <c r="B27" s="33">
        <f>YEAR(A27)</f>
        <v/>
      </c>
      <c r="C27" s="33">
        <f>MONTH(A27)</f>
        <v/>
      </c>
      <c r="D27">
        <f>IF(A27&lt;=LastActual,"Actual","Forecast")</f>
        <v/>
      </c>
      <c r="E27" s="30">
        <f>IF($D27="Actual",R27,W27)</f>
        <v/>
      </c>
      <c r="F27" s="15">
        <f>IF($D27="Actual",S27,Cases_Forecast!AJ20)</f>
        <v/>
      </c>
      <c r="G27" s="9">
        <f>IF($D27="Actual",T27,IFERROR(F27/K27,0))</f>
        <v/>
      </c>
      <c r="H27" s="30">
        <f>IF($D27="Actual",U27,G27*L27)</f>
        <v/>
      </c>
      <c r="I27" s="30">
        <f>IF($D27="Actual",V27,J27-H27)</f>
        <v/>
      </c>
      <c r="J27" s="30">
        <f>IF($D27="Actual",U27+V27,IFERROR(H27/(1-AD27),0))</f>
        <v/>
      </c>
      <c r="K27" s="10">
        <f>IF($D27="Actual",IFERROR(S27/T27,0),CPLH_Forecast!AJ20)</f>
        <v/>
      </c>
      <c r="L27" s="34">
        <f>IF($D27="Actual",IFERROR(U27/T27,0),N(AE27))</f>
        <v/>
      </c>
      <c r="M27" s="35">
        <f>IFERROR(J27/F27,0)</f>
        <v/>
      </c>
      <c r="N27" s="36">
        <f>IFERROR(J27/E27,0)</f>
        <v/>
      </c>
      <c r="O27" s="36">
        <f>IFERROR(I27/J27,0)</f>
        <v/>
      </c>
      <c r="R27" s="52">
        <f>IF($D27="Actual",SUMIFS(Data_Actuals!$C$2:$C$5000,Data_Actuals!$A$2:$A$5000,$A27,Data_Actuals!$B$2:$B$5000,$B$2),"")</f>
        <v/>
      </c>
      <c r="S27" s="52">
        <f>IF($D27="Actual",SUMIFS(Data_Actuals!$D$2:$D$5000,Data_Actuals!$A$2:$A$5000,$A27,Data_Actuals!$B$2:$B$5000,$B$2),"")</f>
        <v/>
      </c>
      <c r="T27" s="52">
        <f>IF($D27="Actual",SUMIFS(Data_Actuals!$E$2:$E$5000,Data_Actuals!$A$2:$A$5000,$A27,Data_Actuals!$B$2:$B$5000,$B$2),"")</f>
        <v/>
      </c>
      <c r="U27" s="52">
        <f>IF($D27="Actual",SUMIFS(Data_Actuals!$F$2:$F$5000,Data_Actuals!$A$2:$A$5000,$A27,Data_Actuals!$B$2:$B$5000,$B$2),"")</f>
        <v/>
      </c>
      <c r="V27" s="52">
        <f>IF($D27="Actual",SUMIFS(Data_Actuals!$G$2:$G$5000,Data_Actuals!$A$2:$A$5000,$A27,Data_Actuals!$B$2:$B$5000,$B$2),"")</f>
        <v/>
      </c>
      <c r="W27" s="52">
        <f>SUMIFS(Plan_Inputs!$C$2:$C$5000,Plan_Inputs!$A$2:$A$5000,$A27,Plan_Inputs!$B$2:$B$5000,$B$2)</f>
        <v/>
      </c>
      <c r="X27" s="53">
        <f>IF($D27="Actual",IFERROR(S27/T27,""),X15)</f>
        <v/>
      </c>
      <c r="Y27" s="52">
        <f>E27</f>
        <v/>
      </c>
      <c r="Z27" s="54">
        <f>INDEX(Calendar!$H$5:$L$52,MATCH($A27,Calendar!$A$5:$A$52,0),MATCH($D$2,Calendar!$H$4:$L$4,0))</f>
        <v/>
      </c>
      <c r="AA27" s="54">
        <f>INDEX(Calendar!$M$5:$M$52,MATCH($A27,Calendar!$A$5:$A$52,0))</f>
        <v/>
      </c>
      <c r="AB27" s="55">
        <f>IF($D27="Actual",IFERROR(S27/Y27,""),AB15)</f>
        <v/>
      </c>
      <c r="AC27" s="56">
        <f>IF($D27="Actual",IFERROR(U27/T27/Z27/AA27,""),AC15)</f>
        <v/>
      </c>
      <c r="AD27" s="57">
        <f>IF($D27="Actual",IFERROR(V27/(U27+V27),""),$K$2)</f>
        <v/>
      </c>
      <c r="AE27" s="56">
        <f>IFERROR(AC27*Z27*AA27,"")</f>
        <v/>
      </c>
      <c r="AF27" s="53">
        <f>K15</f>
        <v/>
      </c>
      <c r="AG27" s="57">
        <f>IF($D27="Forecast",IFERROR(K27/AF27-1,""),"")</f>
        <v/>
      </c>
      <c r="AH27" s="53">
        <f>IF(CPLHSource="National breakdown",CPLH_Breakdown!AK32,SUMIFS(Plan_Inputs!$D$2:$D$5000,Plan_Inputs!$A$2:$A$5000,$A27,Plan_Inputs!$B$2:$B$5000,$B$2))</f>
        <v/>
      </c>
      <c r="AJ27" s="15">
        <f>F27*$AK$11</f>
        <v/>
      </c>
      <c r="AK27" s="9">
        <f>G27*$AK$11</f>
        <v/>
      </c>
      <c r="AL27" s="30">
        <f>H27*$AK$11</f>
        <v/>
      </c>
      <c r="AM27" s="30">
        <f>I27*$AK$11</f>
        <v/>
      </c>
      <c r="AN27" s="30">
        <f>J27*$AK$11</f>
        <v/>
      </c>
      <c r="AP27" s="15">
        <f>F27*$AQ$11</f>
        <v/>
      </c>
      <c r="AQ27" s="9">
        <f>G27*$AQ$11</f>
        <v/>
      </c>
      <c r="AR27" s="30">
        <f>H27*$AQ$11</f>
        <v/>
      </c>
      <c r="AS27" s="30">
        <f>I27*$AQ$11</f>
        <v/>
      </c>
      <c r="AT27" s="30">
        <f>J27*$AQ$11</f>
        <v/>
      </c>
      <c r="AV27" s="15">
        <f>F27*$AW$11</f>
        <v/>
      </c>
      <c r="AW27" s="9">
        <f>G27*$AW$11</f>
        <v/>
      </c>
      <c r="AX27" s="30">
        <f>H27*$AW$11</f>
        <v/>
      </c>
      <c r="AY27" s="30">
        <f>I27*$AW$11</f>
        <v/>
      </c>
      <c r="AZ27" s="30">
        <f>J27*$AW$11</f>
        <v/>
      </c>
    </row>
    <row r="28">
      <c r="A28" s="8" t="n">
        <v>46054</v>
      </c>
      <c r="B28" s="33">
        <f>YEAR(A28)</f>
        <v/>
      </c>
      <c r="C28" s="33">
        <f>MONTH(A28)</f>
        <v/>
      </c>
      <c r="D28">
        <f>IF(A28&lt;=LastActual,"Actual","Forecast")</f>
        <v/>
      </c>
      <c r="E28" s="30">
        <f>IF($D28="Actual",R28,W28)</f>
        <v/>
      </c>
      <c r="F28" s="15">
        <f>IF($D28="Actual",S28,Cases_Forecast!AJ21)</f>
        <v/>
      </c>
      <c r="G28" s="9">
        <f>IF($D28="Actual",T28,IFERROR(F28/K28,0))</f>
        <v/>
      </c>
      <c r="H28" s="30">
        <f>IF($D28="Actual",U28,G28*L28)</f>
        <v/>
      </c>
      <c r="I28" s="30">
        <f>IF($D28="Actual",V28,J28-H28)</f>
        <v/>
      </c>
      <c r="J28" s="30">
        <f>IF($D28="Actual",U28+V28,IFERROR(H28/(1-AD28),0))</f>
        <v/>
      </c>
      <c r="K28" s="10">
        <f>IF($D28="Actual",IFERROR(S28/T28,0),CPLH_Forecast!AJ21)</f>
        <v/>
      </c>
      <c r="L28" s="34">
        <f>IF($D28="Actual",IFERROR(U28/T28,0),N(AE28))</f>
        <v/>
      </c>
      <c r="M28" s="35">
        <f>IFERROR(J28/F28,0)</f>
        <v/>
      </c>
      <c r="N28" s="36">
        <f>IFERROR(J28/E28,0)</f>
        <v/>
      </c>
      <c r="O28" s="36">
        <f>IFERROR(I28/J28,0)</f>
        <v/>
      </c>
      <c r="R28" s="52">
        <f>IF($D28="Actual",SUMIFS(Data_Actuals!$C$2:$C$5000,Data_Actuals!$A$2:$A$5000,$A28,Data_Actuals!$B$2:$B$5000,$B$2),"")</f>
        <v/>
      </c>
      <c r="S28" s="52">
        <f>IF($D28="Actual",SUMIFS(Data_Actuals!$D$2:$D$5000,Data_Actuals!$A$2:$A$5000,$A28,Data_Actuals!$B$2:$B$5000,$B$2),"")</f>
        <v/>
      </c>
      <c r="T28" s="52">
        <f>IF($D28="Actual",SUMIFS(Data_Actuals!$E$2:$E$5000,Data_Actuals!$A$2:$A$5000,$A28,Data_Actuals!$B$2:$B$5000,$B$2),"")</f>
        <v/>
      </c>
      <c r="U28" s="52">
        <f>IF($D28="Actual",SUMIFS(Data_Actuals!$F$2:$F$5000,Data_Actuals!$A$2:$A$5000,$A28,Data_Actuals!$B$2:$B$5000,$B$2),"")</f>
        <v/>
      </c>
      <c r="V28" s="52">
        <f>IF($D28="Actual",SUMIFS(Data_Actuals!$G$2:$G$5000,Data_Actuals!$A$2:$A$5000,$A28,Data_Actuals!$B$2:$B$5000,$B$2),"")</f>
        <v/>
      </c>
      <c r="W28" s="52">
        <f>SUMIFS(Plan_Inputs!$C$2:$C$5000,Plan_Inputs!$A$2:$A$5000,$A28,Plan_Inputs!$B$2:$B$5000,$B$2)</f>
        <v/>
      </c>
      <c r="X28" s="53">
        <f>IF($D28="Actual",IFERROR(S28/T28,""),X16)</f>
        <v/>
      </c>
      <c r="Y28" s="52">
        <f>E28</f>
        <v/>
      </c>
      <c r="Z28" s="54">
        <f>INDEX(Calendar!$H$5:$L$52,MATCH($A28,Calendar!$A$5:$A$52,0),MATCH($D$2,Calendar!$H$4:$L$4,0))</f>
        <v/>
      </c>
      <c r="AA28" s="54">
        <f>INDEX(Calendar!$M$5:$M$52,MATCH($A28,Calendar!$A$5:$A$52,0))</f>
        <v/>
      </c>
      <c r="AB28" s="55">
        <f>IF($D28="Actual",IFERROR(S28/Y28,""),AB16)</f>
        <v/>
      </c>
      <c r="AC28" s="56">
        <f>IF($D28="Actual",IFERROR(U28/T28/Z28/AA28,""),AC16)</f>
        <v/>
      </c>
      <c r="AD28" s="57">
        <f>IF($D28="Actual",IFERROR(V28/(U28+V28),""),$K$2)</f>
        <v/>
      </c>
      <c r="AE28" s="56">
        <f>IFERROR(AC28*Z28*AA28,"")</f>
        <v/>
      </c>
      <c r="AF28" s="53">
        <f>K16</f>
        <v/>
      </c>
      <c r="AG28" s="57">
        <f>IF($D28="Forecast",IFERROR(K28/AF28-1,""),"")</f>
        <v/>
      </c>
      <c r="AH28" s="53">
        <f>IF(CPLHSource="National breakdown",CPLH_Breakdown!AK33,SUMIFS(Plan_Inputs!$D$2:$D$5000,Plan_Inputs!$A$2:$A$5000,$A28,Plan_Inputs!$B$2:$B$5000,$B$2))</f>
        <v/>
      </c>
      <c r="AJ28" s="15">
        <f>F28*$AK$11</f>
        <v/>
      </c>
      <c r="AK28" s="9">
        <f>G28*$AK$11</f>
        <v/>
      </c>
      <c r="AL28" s="30">
        <f>H28*$AK$11</f>
        <v/>
      </c>
      <c r="AM28" s="30">
        <f>I28*$AK$11</f>
        <v/>
      </c>
      <c r="AN28" s="30">
        <f>J28*$AK$11</f>
        <v/>
      </c>
      <c r="AP28" s="15">
        <f>F28*$AQ$11</f>
        <v/>
      </c>
      <c r="AQ28" s="9">
        <f>G28*$AQ$11</f>
        <v/>
      </c>
      <c r="AR28" s="30">
        <f>H28*$AQ$11</f>
        <v/>
      </c>
      <c r="AS28" s="30">
        <f>I28*$AQ$11</f>
        <v/>
      </c>
      <c r="AT28" s="30">
        <f>J28*$AQ$11</f>
        <v/>
      </c>
      <c r="AV28" s="15">
        <f>F28*$AW$11</f>
        <v/>
      </c>
      <c r="AW28" s="9">
        <f>G28*$AW$11</f>
        <v/>
      </c>
      <c r="AX28" s="30">
        <f>H28*$AW$11</f>
        <v/>
      </c>
      <c r="AY28" s="30">
        <f>I28*$AW$11</f>
        <v/>
      </c>
      <c r="AZ28" s="30">
        <f>J28*$AW$11</f>
        <v/>
      </c>
    </row>
    <row r="29">
      <c r="A29" s="8" t="n">
        <v>46082</v>
      </c>
      <c r="B29" s="33">
        <f>YEAR(A29)</f>
        <v/>
      </c>
      <c r="C29" s="33">
        <f>MONTH(A29)</f>
        <v/>
      </c>
      <c r="D29">
        <f>IF(A29&lt;=LastActual,"Actual","Forecast")</f>
        <v/>
      </c>
      <c r="E29" s="30">
        <f>IF($D29="Actual",R29,W29)</f>
        <v/>
      </c>
      <c r="F29" s="15">
        <f>IF($D29="Actual",S29,Cases_Forecast!AJ22)</f>
        <v/>
      </c>
      <c r="G29" s="9">
        <f>IF($D29="Actual",T29,IFERROR(F29/K29,0))</f>
        <v/>
      </c>
      <c r="H29" s="30">
        <f>IF($D29="Actual",U29,G29*L29)</f>
        <v/>
      </c>
      <c r="I29" s="30">
        <f>IF($D29="Actual",V29,J29-H29)</f>
        <v/>
      </c>
      <c r="J29" s="30">
        <f>IF($D29="Actual",U29+V29,IFERROR(H29/(1-AD29),0))</f>
        <v/>
      </c>
      <c r="K29" s="10">
        <f>IF($D29="Actual",IFERROR(S29/T29,0),CPLH_Forecast!AJ22)</f>
        <v/>
      </c>
      <c r="L29" s="34">
        <f>IF($D29="Actual",IFERROR(U29/T29,0),N(AE29))</f>
        <v/>
      </c>
      <c r="M29" s="35">
        <f>IFERROR(J29/F29,0)</f>
        <v/>
      </c>
      <c r="N29" s="36">
        <f>IFERROR(J29/E29,0)</f>
        <v/>
      </c>
      <c r="O29" s="36">
        <f>IFERROR(I29/J29,0)</f>
        <v/>
      </c>
      <c r="R29" s="52">
        <f>IF($D29="Actual",SUMIFS(Data_Actuals!$C$2:$C$5000,Data_Actuals!$A$2:$A$5000,$A29,Data_Actuals!$B$2:$B$5000,$B$2),"")</f>
        <v/>
      </c>
      <c r="S29" s="52">
        <f>IF($D29="Actual",SUMIFS(Data_Actuals!$D$2:$D$5000,Data_Actuals!$A$2:$A$5000,$A29,Data_Actuals!$B$2:$B$5000,$B$2),"")</f>
        <v/>
      </c>
      <c r="T29" s="52">
        <f>IF($D29="Actual",SUMIFS(Data_Actuals!$E$2:$E$5000,Data_Actuals!$A$2:$A$5000,$A29,Data_Actuals!$B$2:$B$5000,$B$2),"")</f>
        <v/>
      </c>
      <c r="U29" s="52">
        <f>IF($D29="Actual",SUMIFS(Data_Actuals!$F$2:$F$5000,Data_Actuals!$A$2:$A$5000,$A29,Data_Actuals!$B$2:$B$5000,$B$2),"")</f>
        <v/>
      </c>
      <c r="V29" s="52">
        <f>IF($D29="Actual",SUMIFS(Data_Actuals!$G$2:$G$5000,Data_Actuals!$A$2:$A$5000,$A29,Data_Actuals!$B$2:$B$5000,$B$2),"")</f>
        <v/>
      </c>
      <c r="W29" s="52">
        <f>SUMIFS(Plan_Inputs!$C$2:$C$5000,Plan_Inputs!$A$2:$A$5000,$A29,Plan_Inputs!$B$2:$B$5000,$B$2)</f>
        <v/>
      </c>
      <c r="X29" s="53">
        <f>IF($D29="Actual",IFERROR(S29/T29,""),X17)</f>
        <v/>
      </c>
      <c r="Y29" s="52">
        <f>E29</f>
        <v/>
      </c>
      <c r="Z29" s="54">
        <f>INDEX(Calendar!$H$5:$L$52,MATCH($A29,Calendar!$A$5:$A$52,0),MATCH($D$2,Calendar!$H$4:$L$4,0))</f>
        <v/>
      </c>
      <c r="AA29" s="54">
        <f>INDEX(Calendar!$M$5:$M$52,MATCH($A29,Calendar!$A$5:$A$52,0))</f>
        <v/>
      </c>
      <c r="AB29" s="55">
        <f>IF($D29="Actual",IFERROR(S29/Y29,""),AB17)</f>
        <v/>
      </c>
      <c r="AC29" s="56">
        <f>IF($D29="Actual",IFERROR(U29/T29/Z29/AA29,""),AC17)</f>
        <v/>
      </c>
      <c r="AD29" s="57">
        <f>IF($D29="Actual",IFERROR(V29/(U29+V29),""),$K$2)</f>
        <v/>
      </c>
      <c r="AE29" s="56">
        <f>IFERROR(AC29*Z29*AA29,"")</f>
        <v/>
      </c>
      <c r="AF29" s="53">
        <f>K17</f>
        <v/>
      </c>
      <c r="AG29" s="57">
        <f>IF($D29="Forecast",IFERROR(K29/AF29-1,""),"")</f>
        <v/>
      </c>
      <c r="AH29" s="53">
        <f>IF(CPLHSource="National breakdown",CPLH_Breakdown!AK34,SUMIFS(Plan_Inputs!$D$2:$D$5000,Plan_Inputs!$A$2:$A$5000,$A29,Plan_Inputs!$B$2:$B$5000,$B$2))</f>
        <v/>
      </c>
      <c r="AJ29" s="15">
        <f>F29*$AK$11</f>
        <v/>
      </c>
      <c r="AK29" s="9">
        <f>G29*$AK$11</f>
        <v/>
      </c>
      <c r="AL29" s="30">
        <f>H29*$AK$11</f>
        <v/>
      </c>
      <c r="AM29" s="30">
        <f>I29*$AK$11</f>
        <v/>
      </c>
      <c r="AN29" s="30">
        <f>J29*$AK$11</f>
        <v/>
      </c>
      <c r="AP29" s="15">
        <f>F29*$AQ$11</f>
        <v/>
      </c>
      <c r="AQ29" s="9">
        <f>G29*$AQ$11</f>
        <v/>
      </c>
      <c r="AR29" s="30">
        <f>H29*$AQ$11</f>
        <v/>
      </c>
      <c r="AS29" s="30">
        <f>I29*$AQ$11</f>
        <v/>
      </c>
      <c r="AT29" s="30">
        <f>J29*$AQ$11</f>
        <v/>
      </c>
      <c r="AV29" s="15">
        <f>F29*$AW$11</f>
        <v/>
      </c>
      <c r="AW29" s="9">
        <f>G29*$AW$11</f>
        <v/>
      </c>
      <c r="AX29" s="30">
        <f>H29*$AW$11</f>
        <v/>
      </c>
      <c r="AY29" s="30">
        <f>I29*$AW$11</f>
        <v/>
      </c>
      <c r="AZ29" s="30">
        <f>J29*$AW$11</f>
        <v/>
      </c>
    </row>
    <row r="30">
      <c r="A30" s="8" t="n">
        <v>46113</v>
      </c>
      <c r="B30" s="33">
        <f>YEAR(A30)</f>
        <v/>
      </c>
      <c r="C30" s="33">
        <f>MONTH(A30)</f>
        <v/>
      </c>
      <c r="D30">
        <f>IF(A30&lt;=LastActual,"Actual","Forecast")</f>
        <v/>
      </c>
      <c r="E30" s="30">
        <f>IF($D30="Actual",R30,W30)</f>
        <v/>
      </c>
      <c r="F30" s="15">
        <f>IF($D30="Actual",S30,Cases_Forecast!AJ23)</f>
        <v/>
      </c>
      <c r="G30" s="9">
        <f>IF($D30="Actual",T30,IFERROR(F30/K30,0))</f>
        <v/>
      </c>
      <c r="H30" s="30">
        <f>IF($D30="Actual",U30,G30*L30)</f>
        <v/>
      </c>
      <c r="I30" s="30">
        <f>IF($D30="Actual",V30,J30-H30)</f>
        <v/>
      </c>
      <c r="J30" s="30">
        <f>IF($D30="Actual",U30+V30,IFERROR(H30/(1-AD30),0))</f>
        <v/>
      </c>
      <c r="K30" s="10">
        <f>IF($D30="Actual",IFERROR(S30/T30,0),CPLH_Forecast!AJ23)</f>
        <v/>
      </c>
      <c r="L30" s="34">
        <f>IF($D30="Actual",IFERROR(U30/T30,0),N(AE30))</f>
        <v/>
      </c>
      <c r="M30" s="35">
        <f>IFERROR(J30/F30,0)</f>
        <v/>
      </c>
      <c r="N30" s="36">
        <f>IFERROR(J30/E30,0)</f>
        <v/>
      </c>
      <c r="O30" s="36">
        <f>IFERROR(I30/J30,0)</f>
        <v/>
      </c>
      <c r="R30" s="52">
        <f>IF($D30="Actual",SUMIFS(Data_Actuals!$C$2:$C$5000,Data_Actuals!$A$2:$A$5000,$A30,Data_Actuals!$B$2:$B$5000,$B$2),"")</f>
        <v/>
      </c>
      <c r="S30" s="52">
        <f>IF($D30="Actual",SUMIFS(Data_Actuals!$D$2:$D$5000,Data_Actuals!$A$2:$A$5000,$A30,Data_Actuals!$B$2:$B$5000,$B$2),"")</f>
        <v/>
      </c>
      <c r="T30" s="52">
        <f>IF($D30="Actual",SUMIFS(Data_Actuals!$E$2:$E$5000,Data_Actuals!$A$2:$A$5000,$A30,Data_Actuals!$B$2:$B$5000,$B$2),"")</f>
        <v/>
      </c>
      <c r="U30" s="52">
        <f>IF($D30="Actual",SUMIFS(Data_Actuals!$F$2:$F$5000,Data_Actuals!$A$2:$A$5000,$A30,Data_Actuals!$B$2:$B$5000,$B$2),"")</f>
        <v/>
      </c>
      <c r="V30" s="52">
        <f>IF($D30="Actual",SUMIFS(Data_Actuals!$G$2:$G$5000,Data_Actuals!$A$2:$A$5000,$A30,Data_Actuals!$B$2:$B$5000,$B$2),"")</f>
        <v/>
      </c>
      <c r="W30" s="52">
        <f>SUMIFS(Plan_Inputs!$C$2:$C$5000,Plan_Inputs!$A$2:$A$5000,$A30,Plan_Inputs!$B$2:$B$5000,$B$2)</f>
        <v/>
      </c>
      <c r="X30" s="53">
        <f>IF($D30="Actual",IFERROR(S30/T30,""),X18)</f>
        <v/>
      </c>
      <c r="Y30" s="52">
        <f>E30</f>
        <v/>
      </c>
      <c r="Z30" s="54">
        <f>INDEX(Calendar!$H$5:$L$52,MATCH($A30,Calendar!$A$5:$A$52,0),MATCH($D$2,Calendar!$H$4:$L$4,0))</f>
        <v/>
      </c>
      <c r="AA30" s="54">
        <f>INDEX(Calendar!$M$5:$M$52,MATCH($A30,Calendar!$A$5:$A$52,0))</f>
        <v/>
      </c>
      <c r="AB30" s="55">
        <f>IF($D30="Actual",IFERROR(S30/Y30,""),AB18)</f>
        <v/>
      </c>
      <c r="AC30" s="56">
        <f>IF($D30="Actual",IFERROR(U30/T30/Z30/AA30,""),AC18)</f>
        <v/>
      </c>
      <c r="AD30" s="57">
        <f>IF($D30="Actual",IFERROR(V30/(U30+V30),""),$K$2)</f>
        <v/>
      </c>
      <c r="AE30" s="56">
        <f>IFERROR(AC30*Z30*AA30,"")</f>
        <v/>
      </c>
      <c r="AF30" s="53">
        <f>K18</f>
        <v/>
      </c>
      <c r="AG30" s="57">
        <f>IF($D30="Forecast",IFERROR(K30/AF30-1,""),"")</f>
        <v/>
      </c>
      <c r="AH30" s="53">
        <f>IF(CPLHSource="National breakdown",CPLH_Breakdown!AK35,SUMIFS(Plan_Inputs!$D$2:$D$5000,Plan_Inputs!$A$2:$A$5000,$A30,Plan_Inputs!$B$2:$B$5000,$B$2))</f>
        <v/>
      </c>
      <c r="AJ30" s="15">
        <f>F30*$AK$11</f>
        <v/>
      </c>
      <c r="AK30" s="9">
        <f>G30*$AK$11</f>
        <v/>
      </c>
      <c r="AL30" s="30">
        <f>H30*$AK$11</f>
        <v/>
      </c>
      <c r="AM30" s="30">
        <f>I30*$AK$11</f>
        <v/>
      </c>
      <c r="AN30" s="30">
        <f>J30*$AK$11</f>
        <v/>
      </c>
      <c r="AP30" s="15">
        <f>F30*$AQ$11</f>
        <v/>
      </c>
      <c r="AQ30" s="9">
        <f>G30*$AQ$11</f>
        <v/>
      </c>
      <c r="AR30" s="30">
        <f>H30*$AQ$11</f>
        <v/>
      </c>
      <c r="AS30" s="30">
        <f>I30*$AQ$11</f>
        <v/>
      </c>
      <c r="AT30" s="30">
        <f>J30*$AQ$11</f>
        <v/>
      </c>
      <c r="AV30" s="15">
        <f>F30*$AW$11</f>
        <v/>
      </c>
      <c r="AW30" s="9">
        <f>G30*$AW$11</f>
        <v/>
      </c>
      <c r="AX30" s="30">
        <f>H30*$AW$11</f>
        <v/>
      </c>
      <c r="AY30" s="30">
        <f>I30*$AW$11</f>
        <v/>
      </c>
      <c r="AZ30" s="30">
        <f>J30*$AW$11</f>
        <v/>
      </c>
    </row>
    <row r="31">
      <c r="A31" s="8" t="n">
        <v>46143</v>
      </c>
      <c r="B31" s="33">
        <f>YEAR(A31)</f>
        <v/>
      </c>
      <c r="C31" s="33">
        <f>MONTH(A31)</f>
        <v/>
      </c>
      <c r="D31">
        <f>IF(A31&lt;=LastActual,"Actual","Forecast")</f>
        <v/>
      </c>
      <c r="E31" s="30">
        <f>IF($D31="Actual",R31,W31)</f>
        <v/>
      </c>
      <c r="F31" s="15">
        <f>IF($D31="Actual",S31,Cases_Forecast!AJ24)</f>
        <v/>
      </c>
      <c r="G31" s="9">
        <f>IF($D31="Actual",T31,IFERROR(F31/K31,0))</f>
        <v/>
      </c>
      <c r="H31" s="30">
        <f>IF($D31="Actual",U31,G31*L31)</f>
        <v/>
      </c>
      <c r="I31" s="30">
        <f>IF($D31="Actual",V31,J31-H31)</f>
        <v/>
      </c>
      <c r="J31" s="30">
        <f>IF($D31="Actual",U31+V31,IFERROR(H31/(1-AD31),0))</f>
        <v/>
      </c>
      <c r="K31" s="10">
        <f>IF($D31="Actual",IFERROR(S31/T31,0),CPLH_Forecast!AJ24)</f>
        <v/>
      </c>
      <c r="L31" s="34">
        <f>IF($D31="Actual",IFERROR(U31/T31,0),N(AE31))</f>
        <v/>
      </c>
      <c r="M31" s="35">
        <f>IFERROR(J31/F31,0)</f>
        <v/>
      </c>
      <c r="N31" s="36">
        <f>IFERROR(J31/E31,0)</f>
        <v/>
      </c>
      <c r="O31" s="36">
        <f>IFERROR(I31/J31,0)</f>
        <v/>
      </c>
      <c r="R31" s="52">
        <f>IF($D31="Actual",SUMIFS(Data_Actuals!$C$2:$C$5000,Data_Actuals!$A$2:$A$5000,$A31,Data_Actuals!$B$2:$B$5000,$B$2),"")</f>
        <v/>
      </c>
      <c r="S31" s="52">
        <f>IF($D31="Actual",SUMIFS(Data_Actuals!$D$2:$D$5000,Data_Actuals!$A$2:$A$5000,$A31,Data_Actuals!$B$2:$B$5000,$B$2),"")</f>
        <v/>
      </c>
      <c r="T31" s="52">
        <f>IF($D31="Actual",SUMIFS(Data_Actuals!$E$2:$E$5000,Data_Actuals!$A$2:$A$5000,$A31,Data_Actuals!$B$2:$B$5000,$B$2),"")</f>
        <v/>
      </c>
      <c r="U31" s="52">
        <f>IF($D31="Actual",SUMIFS(Data_Actuals!$F$2:$F$5000,Data_Actuals!$A$2:$A$5000,$A31,Data_Actuals!$B$2:$B$5000,$B$2),"")</f>
        <v/>
      </c>
      <c r="V31" s="52">
        <f>IF($D31="Actual",SUMIFS(Data_Actuals!$G$2:$G$5000,Data_Actuals!$A$2:$A$5000,$A31,Data_Actuals!$B$2:$B$5000,$B$2),"")</f>
        <v/>
      </c>
      <c r="W31" s="52">
        <f>SUMIFS(Plan_Inputs!$C$2:$C$5000,Plan_Inputs!$A$2:$A$5000,$A31,Plan_Inputs!$B$2:$B$5000,$B$2)</f>
        <v/>
      </c>
      <c r="X31" s="53">
        <f>IF($D31="Actual",IFERROR(S31/T31,""),X19)</f>
        <v/>
      </c>
      <c r="Y31" s="52">
        <f>E31</f>
        <v/>
      </c>
      <c r="Z31" s="54">
        <f>INDEX(Calendar!$H$5:$L$52,MATCH($A31,Calendar!$A$5:$A$52,0),MATCH($D$2,Calendar!$H$4:$L$4,0))</f>
        <v/>
      </c>
      <c r="AA31" s="54">
        <f>INDEX(Calendar!$M$5:$M$52,MATCH($A31,Calendar!$A$5:$A$52,0))</f>
        <v/>
      </c>
      <c r="AB31" s="55">
        <f>IF($D31="Actual",IFERROR(S31/Y31,""),AB19)</f>
        <v/>
      </c>
      <c r="AC31" s="56">
        <f>IF($D31="Actual",IFERROR(U31/T31/Z31/AA31,""),AC19)</f>
        <v/>
      </c>
      <c r="AD31" s="57">
        <f>IF($D31="Actual",IFERROR(V31/(U31+V31),""),$K$2)</f>
        <v/>
      </c>
      <c r="AE31" s="56">
        <f>IFERROR(AC31*Z31*AA31,"")</f>
        <v/>
      </c>
      <c r="AF31" s="53">
        <f>K19</f>
        <v/>
      </c>
      <c r="AG31" s="57">
        <f>IF($D31="Forecast",IFERROR(K31/AF31-1,""),"")</f>
        <v/>
      </c>
      <c r="AH31" s="53">
        <f>IF(CPLHSource="National breakdown",CPLH_Breakdown!AK36,SUMIFS(Plan_Inputs!$D$2:$D$5000,Plan_Inputs!$A$2:$A$5000,$A31,Plan_Inputs!$B$2:$B$5000,$B$2))</f>
        <v/>
      </c>
      <c r="AJ31" s="15">
        <f>F31*$AK$11</f>
        <v/>
      </c>
      <c r="AK31" s="9">
        <f>G31*$AK$11</f>
        <v/>
      </c>
      <c r="AL31" s="30">
        <f>H31*$AK$11</f>
        <v/>
      </c>
      <c r="AM31" s="30">
        <f>I31*$AK$11</f>
        <v/>
      </c>
      <c r="AN31" s="30">
        <f>J31*$AK$11</f>
        <v/>
      </c>
      <c r="AP31" s="15">
        <f>F31*$AQ$11</f>
        <v/>
      </c>
      <c r="AQ31" s="9">
        <f>G31*$AQ$11</f>
        <v/>
      </c>
      <c r="AR31" s="30">
        <f>H31*$AQ$11</f>
        <v/>
      </c>
      <c r="AS31" s="30">
        <f>I31*$AQ$11</f>
        <v/>
      </c>
      <c r="AT31" s="30">
        <f>J31*$AQ$11</f>
        <v/>
      </c>
      <c r="AV31" s="15">
        <f>F31*$AW$11</f>
        <v/>
      </c>
      <c r="AW31" s="9">
        <f>G31*$AW$11</f>
        <v/>
      </c>
      <c r="AX31" s="30">
        <f>H31*$AW$11</f>
        <v/>
      </c>
      <c r="AY31" s="30">
        <f>I31*$AW$11</f>
        <v/>
      </c>
      <c r="AZ31" s="30">
        <f>J31*$AW$11</f>
        <v/>
      </c>
    </row>
    <row r="32">
      <c r="A32" s="8" t="n">
        <v>46174</v>
      </c>
      <c r="B32" s="33">
        <f>YEAR(A32)</f>
        <v/>
      </c>
      <c r="C32" s="33">
        <f>MONTH(A32)</f>
        <v/>
      </c>
      <c r="D32">
        <f>IF(A32&lt;=LastActual,"Actual","Forecast")</f>
        <v/>
      </c>
      <c r="E32" s="30">
        <f>IF($D32="Actual",R32,W32)</f>
        <v/>
      </c>
      <c r="F32" s="15">
        <f>IF($D32="Actual",S32,Cases_Forecast!AJ25)</f>
        <v/>
      </c>
      <c r="G32" s="9">
        <f>IF($D32="Actual",T32,IFERROR(F32/K32,0))</f>
        <v/>
      </c>
      <c r="H32" s="30">
        <f>IF($D32="Actual",U32,G32*L32)</f>
        <v/>
      </c>
      <c r="I32" s="30">
        <f>IF($D32="Actual",V32,J32-H32)</f>
        <v/>
      </c>
      <c r="J32" s="30">
        <f>IF($D32="Actual",U32+V32,IFERROR(H32/(1-AD32),0))</f>
        <v/>
      </c>
      <c r="K32" s="10">
        <f>IF($D32="Actual",IFERROR(S32/T32,0),CPLH_Forecast!AJ25)</f>
        <v/>
      </c>
      <c r="L32" s="34">
        <f>IF($D32="Actual",IFERROR(U32/T32,0),N(AE32))</f>
        <v/>
      </c>
      <c r="M32" s="35">
        <f>IFERROR(J32/F32,0)</f>
        <v/>
      </c>
      <c r="N32" s="36">
        <f>IFERROR(J32/E32,0)</f>
        <v/>
      </c>
      <c r="O32" s="36">
        <f>IFERROR(I32/J32,0)</f>
        <v/>
      </c>
      <c r="R32" s="52">
        <f>IF($D32="Actual",SUMIFS(Data_Actuals!$C$2:$C$5000,Data_Actuals!$A$2:$A$5000,$A32,Data_Actuals!$B$2:$B$5000,$B$2),"")</f>
        <v/>
      </c>
      <c r="S32" s="52">
        <f>IF($D32="Actual",SUMIFS(Data_Actuals!$D$2:$D$5000,Data_Actuals!$A$2:$A$5000,$A32,Data_Actuals!$B$2:$B$5000,$B$2),"")</f>
        <v/>
      </c>
      <c r="T32" s="52">
        <f>IF($D32="Actual",SUMIFS(Data_Actuals!$E$2:$E$5000,Data_Actuals!$A$2:$A$5000,$A32,Data_Actuals!$B$2:$B$5000,$B$2),"")</f>
        <v/>
      </c>
      <c r="U32" s="52">
        <f>IF($D32="Actual",SUMIFS(Data_Actuals!$F$2:$F$5000,Data_Actuals!$A$2:$A$5000,$A32,Data_Actuals!$B$2:$B$5000,$B$2),"")</f>
        <v/>
      </c>
      <c r="V32" s="52">
        <f>IF($D32="Actual",SUMIFS(Data_Actuals!$G$2:$G$5000,Data_Actuals!$A$2:$A$5000,$A32,Data_Actuals!$B$2:$B$5000,$B$2),"")</f>
        <v/>
      </c>
      <c r="W32" s="52">
        <f>SUMIFS(Plan_Inputs!$C$2:$C$5000,Plan_Inputs!$A$2:$A$5000,$A32,Plan_Inputs!$B$2:$B$5000,$B$2)</f>
        <v/>
      </c>
      <c r="X32" s="53">
        <f>IF($D32="Actual",IFERROR(S32/T32,""),X20)</f>
        <v/>
      </c>
      <c r="Y32" s="52">
        <f>E32</f>
        <v/>
      </c>
      <c r="Z32" s="54">
        <f>INDEX(Calendar!$H$5:$L$52,MATCH($A32,Calendar!$A$5:$A$52,0),MATCH($D$2,Calendar!$H$4:$L$4,0))</f>
        <v/>
      </c>
      <c r="AA32" s="54">
        <f>INDEX(Calendar!$M$5:$M$52,MATCH($A32,Calendar!$A$5:$A$52,0))</f>
        <v/>
      </c>
      <c r="AB32" s="55">
        <f>IF($D32="Actual",IFERROR(S32/Y32,""),AB20)</f>
        <v/>
      </c>
      <c r="AC32" s="56">
        <f>IF($D32="Actual",IFERROR(U32/T32/Z32/AA32,""),AC20)</f>
        <v/>
      </c>
      <c r="AD32" s="57">
        <f>IF($D32="Actual",IFERROR(V32/(U32+V32),""),$K$2)</f>
        <v/>
      </c>
      <c r="AE32" s="56">
        <f>IFERROR(AC32*Z32*AA32,"")</f>
        <v/>
      </c>
      <c r="AF32" s="53">
        <f>K20</f>
        <v/>
      </c>
      <c r="AG32" s="57">
        <f>IF($D32="Forecast",IFERROR(K32/AF32-1,""),"")</f>
        <v/>
      </c>
      <c r="AH32" s="53">
        <f>IF(CPLHSource="National breakdown",CPLH_Breakdown!AK37,SUMIFS(Plan_Inputs!$D$2:$D$5000,Plan_Inputs!$A$2:$A$5000,$A32,Plan_Inputs!$B$2:$B$5000,$B$2))</f>
        <v/>
      </c>
      <c r="AJ32" s="15">
        <f>F32*$AK$11</f>
        <v/>
      </c>
      <c r="AK32" s="9">
        <f>G32*$AK$11</f>
        <v/>
      </c>
      <c r="AL32" s="30">
        <f>H32*$AK$11</f>
        <v/>
      </c>
      <c r="AM32" s="30">
        <f>I32*$AK$11</f>
        <v/>
      </c>
      <c r="AN32" s="30">
        <f>J32*$AK$11</f>
        <v/>
      </c>
      <c r="AP32" s="15">
        <f>F32*$AQ$11</f>
        <v/>
      </c>
      <c r="AQ32" s="9">
        <f>G32*$AQ$11</f>
        <v/>
      </c>
      <c r="AR32" s="30">
        <f>H32*$AQ$11</f>
        <v/>
      </c>
      <c r="AS32" s="30">
        <f>I32*$AQ$11</f>
        <v/>
      </c>
      <c r="AT32" s="30">
        <f>J32*$AQ$11</f>
        <v/>
      </c>
      <c r="AV32" s="15">
        <f>F32*$AW$11</f>
        <v/>
      </c>
      <c r="AW32" s="9">
        <f>G32*$AW$11</f>
        <v/>
      </c>
      <c r="AX32" s="30">
        <f>H32*$AW$11</f>
        <v/>
      </c>
      <c r="AY32" s="30">
        <f>I32*$AW$11</f>
        <v/>
      </c>
      <c r="AZ32" s="30">
        <f>J32*$AW$11</f>
        <v/>
      </c>
    </row>
    <row r="33">
      <c r="A33" s="8" t="n">
        <v>46204</v>
      </c>
      <c r="B33" s="33">
        <f>YEAR(A33)</f>
        <v/>
      </c>
      <c r="C33" s="33">
        <f>MONTH(A33)</f>
        <v/>
      </c>
      <c r="D33">
        <f>IF(A33&lt;=LastActual,"Actual","Forecast")</f>
        <v/>
      </c>
      <c r="E33" s="30">
        <f>IF($D33="Actual",R33,W33)</f>
        <v/>
      </c>
      <c r="F33" s="15">
        <f>IF($D33="Actual",S33,Cases_Forecast!AJ26)</f>
        <v/>
      </c>
      <c r="G33" s="9">
        <f>IF($D33="Actual",T33,IFERROR(F33/K33,0))</f>
        <v/>
      </c>
      <c r="H33" s="30">
        <f>IF($D33="Actual",U33,G33*L33)</f>
        <v/>
      </c>
      <c r="I33" s="30">
        <f>IF($D33="Actual",V33,J33-H33)</f>
        <v/>
      </c>
      <c r="J33" s="30">
        <f>IF($D33="Actual",U33+V33,IFERROR(H33/(1-AD33),0))</f>
        <v/>
      </c>
      <c r="K33" s="10">
        <f>IF($D33="Actual",IFERROR(S33/T33,0),CPLH_Forecast!AJ26)</f>
        <v/>
      </c>
      <c r="L33" s="34">
        <f>IF($D33="Actual",IFERROR(U33/T33,0),N(AE33))</f>
        <v/>
      </c>
      <c r="M33" s="35">
        <f>IFERROR(J33/F33,0)</f>
        <v/>
      </c>
      <c r="N33" s="36">
        <f>IFERROR(J33/E33,0)</f>
        <v/>
      </c>
      <c r="O33" s="36">
        <f>IFERROR(I33/J33,0)</f>
        <v/>
      </c>
      <c r="R33" s="52">
        <f>IF($D33="Actual",SUMIFS(Data_Actuals!$C$2:$C$5000,Data_Actuals!$A$2:$A$5000,$A33,Data_Actuals!$B$2:$B$5000,$B$2),"")</f>
        <v/>
      </c>
      <c r="S33" s="52">
        <f>IF($D33="Actual",SUMIFS(Data_Actuals!$D$2:$D$5000,Data_Actuals!$A$2:$A$5000,$A33,Data_Actuals!$B$2:$B$5000,$B$2),"")</f>
        <v/>
      </c>
      <c r="T33" s="52">
        <f>IF($D33="Actual",SUMIFS(Data_Actuals!$E$2:$E$5000,Data_Actuals!$A$2:$A$5000,$A33,Data_Actuals!$B$2:$B$5000,$B$2),"")</f>
        <v/>
      </c>
      <c r="U33" s="52">
        <f>IF($D33="Actual",SUMIFS(Data_Actuals!$F$2:$F$5000,Data_Actuals!$A$2:$A$5000,$A33,Data_Actuals!$B$2:$B$5000,$B$2),"")</f>
        <v/>
      </c>
      <c r="V33" s="52">
        <f>IF($D33="Actual",SUMIFS(Data_Actuals!$G$2:$G$5000,Data_Actuals!$A$2:$A$5000,$A33,Data_Actuals!$B$2:$B$5000,$B$2),"")</f>
        <v/>
      </c>
      <c r="W33" s="52">
        <f>SUMIFS(Plan_Inputs!$C$2:$C$5000,Plan_Inputs!$A$2:$A$5000,$A33,Plan_Inputs!$B$2:$B$5000,$B$2)</f>
        <v/>
      </c>
      <c r="X33" s="53">
        <f>IF($D33="Actual",IFERROR(S33/T33,""),X21)</f>
        <v/>
      </c>
      <c r="Y33" s="52">
        <f>E33</f>
        <v/>
      </c>
      <c r="Z33" s="54">
        <f>INDEX(Calendar!$H$5:$L$52,MATCH($A33,Calendar!$A$5:$A$52,0),MATCH($D$2,Calendar!$H$4:$L$4,0))</f>
        <v/>
      </c>
      <c r="AA33" s="54">
        <f>INDEX(Calendar!$M$5:$M$52,MATCH($A33,Calendar!$A$5:$A$52,0))</f>
        <v/>
      </c>
      <c r="AB33" s="55">
        <f>IF($D33="Actual",IFERROR(S33/Y33,""),AB21)</f>
        <v/>
      </c>
      <c r="AC33" s="56">
        <f>IF($D33="Actual",IFERROR(U33/T33/Z33/AA33,""),AC21)</f>
        <v/>
      </c>
      <c r="AD33" s="57">
        <f>IF($D33="Actual",IFERROR(V33/(U33+V33),""),$K$2)</f>
        <v/>
      </c>
      <c r="AE33" s="56">
        <f>IFERROR(AC33*Z33*AA33,"")</f>
        <v/>
      </c>
      <c r="AF33" s="53">
        <f>K21</f>
        <v/>
      </c>
      <c r="AG33" s="57">
        <f>IF($D33="Forecast",IFERROR(K33/AF33-1,""),"")</f>
        <v/>
      </c>
      <c r="AH33" s="53">
        <f>IF(CPLHSource="National breakdown",CPLH_Breakdown!AK38,SUMIFS(Plan_Inputs!$D$2:$D$5000,Plan_Inputs!$A$2:$A$5000,$A33,Plan_Inputs!$B$2:$B$5000,$B$2))</f>
        <v/>
      </c>
      <c r="AJ33" s="15">
        <f>F33*$AK$11</f>
        <v/>
      </c>
      <c r="AK33" s="9">
        <f>G33*$AK$11</f>
        <v/>
      </c>
      <c r="AL33" s="30">
        <f>H33*$AK$11</f>
        <v/>
      </c>
      <c r="AM33" s="30">
        <f>I33*$AK$11</f>
        <v/>
      </c>
      <c r="AN33" s="30">
        <f>J33*$AK$11</f>
        <v/>
      </c>
      <c r="AP33" s="15">
        <f>F33*$AQ$11</f>
        <v/>
      </c>
      <c r="AQ33" s="9">
        <f>G33*$AQ$11</f>
        <v/>
      </c>
      <c r="AR33" s="30">
        <f>H33*$AQ$11</f>
        <v/>
      </c>
      <c r="AS33" s="30">
        <f>I33*$AQ$11</f>
        <v/>
      </c>
      <c r="AT33" s="30">
        <f>J33*$AQ$11</f>
        <v/>
      </c>
      <c r="AV33" s="15">
        <f>F33*$AW$11</f>
        <v/>
      </c>
      <c r="AW33" s="9">
        <f>G33*$AW$11</f>
        <v/>
      </c>
      <c r="AX33" s="30">
        <f>H33*$AW$11</f>
        <v/>
      </c>
      <c r="AY33" s="30">
        <f>I33*$AW$11</f>
        <v/>
      </c>
      <c r="AZ33" s="30">
        <f>J33*$AW$11</f>
        <v/>
      </c>
    </row>
    <row r="34">
      <c r="A34" s="8" t="n">
        <v>46235</v>
      </c>
      <c r="B34" s="33">
        <f>YEAR(A34)</f>
        <v/>
      </c>
      <c r="C34" s="33">
        <f>MONTH(A34)</f>
        <v/>
      </c>
      <c r="D34">
        <f>IF(A34&lt;=LastActual,"Actual","Forecast")</f>
        <v/>
      </c>
      <c r="E34" s="30">
        <f>IF($D34="Actual",R34,W34)</f>
        <v/>
      </c>
      <c r="F34" s="15">
        <f>IF($D34="Actual",S34,Cases_Forecast!AJ27)</f>
        <v/>
      </c>
      <c r="G34" s="9">
        <f>IF($D34="Actual",T34,IFERROR(F34/K34,0))</f>
        <v/>
      </c>
      <c r="H34" s="30">
        <f>IF($D34="Actual",U34,G34*L34)</f>
        <v/>
      </c>
      <c r="I34" s="30">
        <f>IF($D34="Actual",V34,J34-H34)</f>
        <v/>
      </c>
      <c r="J34" s="30">
        <f>IF($D34="Actual",U34+V34,IFERROR(H34/(1-AD34),0))</f>
        <v/>
      </c>
      <c r="K34" s="10">
        <f>IF($D34="Actual",IFERROR(S34/T34,0),CPLH_Forecast!AJ27)</f>
        <v/>
      </c>
      <c r="L34" s="34">
        <f>IF($D34="Actual",IFERROR(U34/T34,0),N(AE34))</f>
        <v/>
      </c>
      <c r="M34" s="35">
        <f>IFERROR(J34/F34,0)</f>
        <v/>
      </c>
      <c r="N34" s="36">
        <f>IFERROR(J34/E34,0)</f>
        <v/>
      </c>
      <c r="O34" s="36">
        <f>IFERROR(I34/J34,0)</f>
        <v/>
      </c>
      <c r="R34" s="52">
        <f>IF($D34="Actual",SUMIFS(Data_Actuals!$C$2:$C$5000,Data_Actuals!$A$2:$A$5000,$A34,Data_Actuals!$B$2:$B$5000,$B$2),"")</f>
        <v/>
      </c>
      <c r="S34" s="52">
        <f>IF($D34="Actual",SUMIFS(Data_Actuals!$D$2:$D$5000,Data_Actuals!$A$2:$A$5000,$A34,Data_Actuals!$B$2:$B$5000,$B$2),"")</f>
        <v/>
      </c>
      <c r="T34" s="52">
        <f>IF($D34="Actual",SUMIFS(Data_Actuals!$E$2:$E$5000,Data_Actuals!$A$2:$A$5000,$A34,Data_Actuals!$B$2:$B$5000,$B$2),"")</f>
        <v/>
      </c>
      <c r="U34" s="52">
        <f>IF($D34="Actual",SUMIFS(Data_Actuals!$F$2:$F$5000,Data_Actuals!$A$2:$A$5000,$A34,Data_Actuals!$B$2:$B$5000,$B$2),"")</f>
        <v/>
      </c>
      <c r="V34" s="52">
        <f>IF($D34="Actual",SUMIFS(Data_Actuals!$G$2:$G$5000,Data_Actuals!$A$2:$A$5000,$A34,Data_Actuals!$B$2:$B$5000,$B$2),"")</f>
        <v/>
      </c>
      <c r="W34" s="52">
        <f>SUMIFS(Plan_Inputs!$C$2:$C$5000,Plan_Inputs!$A$2:$A$5000,$A34,Plan_Inputs!$B$2:$B$5000,$B$2)</f>
        <v/>
      </c>
      <c r="X34" s="53">
        <f>IF($D34="Actual",IFERROR(S34/T34,""),X22)</f>
        <v/>
      </c>
      <c r="Y34" s="52">
        <f>E34</f>
        <v/>
      </c>
      <c r="Z34" s="54">
        <f>INDEX(Calendar!$H$5:$L$52,MATCH($A34,Calendar!$A$5:$A$52,0),MATCH($D$2,Calendar!$H$4:$L$4,0))</f>
        <v/>
      </c>
      <c r="AA34" s="54">
        <f>INDEX(Calendar!$M$5:$M$52,MATCH($A34,Calendar!$A$5:$A$52,0))</f>
        <v/>
      </c>
      <c r="AB34" s="55">
        <f>IF($D34="Actual",IFERROR(S34/Y34,""),AB22)</f>
        <v/>
      </c>
      <c r="AC34" s="56">
        <f>IF($D34="Actual",IFERROR(U34/T34/Z34/AA34,""),AC22)</f>
        <v/>
      </c>
      <c r="AD34" s="57">
        <f>IF($D34="Actual",IFERROR(V34/(U34+V34),""),$K$2)</f>
        <v/>
      </c>
      <c r="AE34" s="56">
        <f>IFERROR(AC34*Z34*AA34,"")</f>
        <v/>
      </c>
      <c r="AF34" s="53">
        <f>K22</f>
        <v/>
      </c>
      <c r="AG34" s="57">
        <f>IF($D34="Forecast",IFERROR(K34/AF34-1,""),"")</f>
        <v/>
      </c>
      <c r="AH34" s="53">
        <f>IF(CPLHSource="National breakdown",CPLH_Breakdown!AK39,SUMIFS(Plan_Inputs!$D$2:$D$5000,Plan_Inputs!$A$2:$A$5000,$A34,Plan_Inputs!$B$2:$B$5000,$B$2))</f>
        <v/>
      </c>
      <c r="AJ34" s="15">
        <f>F34*$AK$11</f>
        <v/>
      </c>
      <c r="AK34" s="9">
        <f>G34*$AK$11</f>
        <v/>
      </c>
      <c r="AL34" s="30">
        <f>H34*$AK$11</f>
        <v/>
      </c>
      <c r="AM34" s="30">
        <f>I34*$AK$11</f>
        <v/>
      </c>
      <c r="AN34" s="30">
        <f>J34*$AK$11</f>
        <v/>
      </c>
      <c r="AP34" s="15">
        <f>F34*$AQ$11</f>
        <v/>
      </c>
      <c r="AQ34" s="9">
        <f>G34*$AQ$11</f>
        <v/>
      </c>
      <c r="AR34" s="30">
        <f>H34*$AQ$11</f>
        <v/>
      </c>
      <c r="AS34" s="30">
        <f>I34*$AQ$11</f>
        <v/>
      </c>
      <c r="AT34" s="30">
        <f>J34*$AQ$11</f>
        <v/>
      </c>
      <c r="AV34" s="15">
        <f>F34*$AW$11</f>
        <v/>
      </c>
      <c r="AW34" s="9">
        <f>G34*$AW$11</f>
        <v/>
      </c>
      <c r="AX34" s="30">
        <f>H34*$AW$11</f>
        <v/>
      </c>
      <c r="AY34" s="30">
        <f>I34*$AW$11</f>
        <v/>
      </c>
      <c r="AZ34" s="30">
        <f>J34*$AW$11</f>
        <v/>
      </c>
    </row>
    <row r="35">
      <c r="A35" s="8" t="n">
        <v>46266</v>
      </c>
      <c r="B35" s="33">
        <f>YEAR(A35)</f>
        <v/>
      </c>
      <c r="C35" s="33">
        <f>MONTH(A35)</f>
        <v/>
      </c>
      <c r="D35">
        <f>IF(A35&lt;=LastActual,"Actual","Forecast")</f>
        <v/>
      </c>
      <c r="E35" s="30">
        <f>IF($D35="Actual",R35,W35)</f>
        <v/>
      </c>
      <c r="F35" s="15">
        <f>IF($D35="Actual",S35,Cases_Forecast!AJ28)</f>
        <v/>
      </c>
      <c r="G35" s="9">
        <f>IF($D35="Actual",T35,IFERROR(F35/K35,0))</f>
        <v/>
      </c>
      <c r="H35" s="30">
        <f>IF($D35="Actual",U35,G35*L35)</f>
        <v/>
      </c>
      <c r="I35" s="30">
        <f>IF($D35="Actual",V35,J35-H35)</f>
        <v/>
      </c>
      <c r="J35" s="30">
        <f>IF($D35="Actual",U35+V35,IFERROR(H35/(1-AD35),0))</f>
        <v/>
      </c>
      <c r="K35" s="10">
        <f>IF($D35="Actual",IFERROR(S35/T35,0),CPLH_Forecast!AJ28)</f>
        <v/>
      </c>
      <c r="L35" s="34">
        <f>IF($D35="Actual",IFERROR(U35/T35,0),N(AE35))</f>
        <v/>
      </c>
      <c r="M35" s="35">
        <f>IFERROR(J35/F35,0)</f>
        <v/>
      </c>
      <c r="N35" s="36">
        <f>IFERROR(J35/E35,0)</f>
        <v/>
      </c>
      <c r="O35" s="36">
        <f>IFERROR(I35/J35,0)</f>
        <v/>
      </c>
      <c r="R35" s="52">
        <f>IF($D35="Actual",SUMIFS(Data_Actuals!$C$2:$C$5000,Data_Actuals!$A$2:$A$5000,$A35,Data_Actuals!$B$2:$B$5000,$B$2),"")</f>
        <v/>
      </c>
      <c r="S35" s="52">
        <f>IF($D35="Actual",SUMIFS(Data_Actuals!$D$2:$D$5000,Data_Actuals!$A$2:$A$5000,$A35,Data_Actuals!$B$2:$B$5000,$B$2),"")</f>
        <v/>
      </c>
      <c r="T35" s="52">
        <f>IF($D35="Actual",SUMIFS(Data_Actuals!$E$2:$E$5000,Data_Actuals!$A$2:$A$5000,$A35,Data_Actuals!$B$2:$B$5000,$B$2),"")</f>
        <v/>
      </c>
      <c r="U35" s="52">
        <f>IF($D35="Actual",SUMIFS(Data_Actuals!$F$2:$F$5000,Data_Actuals!$A$2:$A$5000,$A35,Data_Actuals!$B$2:$B$5000,$B$2),"")</f>
        <v/>
      </c>
      <c r="V35" s="52">
        <f>IF($D35="Actual",SUMIFS(Data_Actuals!$G$2:$G$5000,Data_Actuals!$A$2:$A$5000,$A35,Data_Actuals!$B$2:$B$5000,$B$2),"")</f>
        <v/>
      </c>
      <c r="W35" s="52">
        <f>SUMIFS(Plan_Inputs!$C$2:$C$5000,Plan_Inputs!$A$2:$A$5000,$A35,Plan_Inputs!$B$2:$B$5000,$B$2)</f>
        <v/>
      </c>
      <c r="X35" s="53">
        <f>IF($D35="Actual",IFERROR(S35/T35,""),X23)</f>
        <v/>
      </c>
      <c r="Y35" s="52">
        <f>E35</f>
        <v/>
      </c>
      <c r="Z35" s="54">
        <f>INDEX(Calendar!$H$5:$L$52,MATCH($A35,Calendar!$A$5:$A$52,0),MATCH($D$2,Calendar!$H$4:$L$4,0))</f>
        <v/>
      </c>
      <c r="AA35" s="54">
        <f>INDEX(Calendar!$M$5:$M$52,MATCH($A35,Calendar!$A$5:$A$52,0))</f>
        <v/>
      </c>
      <c r="AB35" s="55">
        <f>IF($D35="Actual",IFERROR(S35/Y35,""),AB23)</f>
        <v/>
      </c>
      <c r="AC35" s="56">
        <f>IF($D35="Actual",IFERROR(U35/T35/Z35/AA35,""),AC23)</f>
        <v/>
      </c>
      <c r="AD35" s="57">
        <f>IF($D35="Actual",IFERROR(V35/(U35+V35),""),$K$2)</f>
        <v/>
      </c>
      <c r="AE35" s="56">
        <f>IFERROR(AC35*Z35*AA35,"")</f>
        <v/>
      </c>
      <c r="AF35" s="53">
        <f>K23</f>
        <v/>
      </c>
      <c r="AG35" s="57">
        <f>IF($D35="Forecast",IFERROR(K35/AF35-1,""),"")</f>
        <v/>
      </c>
      <c r="AH35" s="53">
        <f>IF(CPLHSource="National breakdown",CPLH_Breakdown!AK40,SUMIFS(Plan_Inputs!$D$2:$D$5000,Plan_Inputs!$A$2:$A$5000,$A35,Plan_Inputs!$B$2:$B$5000,$B$2))</f>
        <v/>
      </c>
      <c r="AJ35" s="15">
        <f>F35*$AK$11</f>
        <v/>
      </c>
      <c r="AK35" s="9">
        <f>G35*$AK$11</f>
        <v/>
      </c>
      <c r="AL35" s="30">
        <f>H35*$AK$11</f>
        <v/>
      </c>
      <c r="AM35" s="30">
        <f>I35*$AK$11</f>
        <v/>
      </c>
      <c r="AN35" s="30">
        <f>J35*$AK$11</f>
        <v/>
      </c>
      <c r="AP35" s="15">
        <f>F35*$AQ$11</f>
        <v/>
      </c>
      <c r="AQ35" s="9">
        <f>G35*$AQ$11</f>
        <v/>
      </c>
      <c r="AR35" s="30">
        <f>H35*$AQ$11</f>
        <v/>
      </c>
      <c r="AS35" s="30">
        <f>I35*$AQ$11</f>
        <v/>
      </c>
      <c r="AT35" s="30">
        <f>J35*$AQ$11</f>
        <v/>
      </c>
      <c r="AV35" s="15">
        <f>F35*$AW$11</f>
        <v/>
      </c>
      <c r="AW35" s="9">
        <f>G35*$AW$11</f>
        <v/>
      </c>
      <c r="AX35" s="30">
        <f>H35*$AW$11</f>
        <v/>
      </c>
      <c r="AY35" s="30">
        <f>I35*$AW$11</f>
        <v/>
      </c>
      <c r="AZ35" s="30">
        <f>J35*$AW$11</f>
        <v/>
      </c>
    </row>
    <row r="36">
      <c r="A36" s="8" t="n">
        <v>46296</v>
      </c>
      <c r="B36" s="33">
        <f>YEAR(A36)</f>
        <v/>
      </c>
      <c r="C36" s="33">
        <f>MONTH(A36)</f>
        <v/>
      </c>
      <c r="D36">
        <f>IF(A36&lt;=LastActual,"Actual","Forecast")</f>
        <v/>
      </c>
      <c r="E36" s="30">
        <f>IF($D36="Actual",R36,W36)</f>
        <v/>
      </c>
      <c r="F36" s="15">
        <f>IF($D36="Actual",S36,Cases_Forecast!AJ29)</f>
        <v/>
      </c>
      <c r="G36" s="9">
        <f>IF($D36="Actual",T36,IFERROR(F36/K36,0))</f>
        <v/>
      </c>
      <c r="H36" s="30">
        <f>IF($D36="Actual",U36,G36*L36)</f>
        <v/>
      </c>
      <c r="I36" s="30">
        <f>IF($D36="Actual",V36,J36-H36)</f>
        <v/>
      </c>
      <c r="J36" s="30">
        <f>IF($D36="Actual",U36+V36,IFERROR(H36/(1-AD36),0))</f>
        <v/>
      </c>
      <c r="K36" s="10">
        <f>IF($D36="Actual",IFERROR(S36/T36,0),CPLH_Forecast!AJ29)</f>
        <v/>
      </c>
      <c r="L36" s="34">
        <f>IF($D36="Actual",IFERROR(U36/T36,0),N(AE36))</f>
        <v/>
      </c>
      <c r="M36" s="35">
        <f>IFERROR(J36/F36,0)</f>
        <v/>
      </c>
      <c r="N36" s="36">
        <f>IFERROR(J36/E36,0)</f>
        <v/>
      </c>
      <c r="O36" s="36">
        <f>IFERROR(I36/J36,0)</f>
        <v/>
      </c>
      <c r="R36" s="52">
        <f>IF($D36="Actual",SUMIFS(Data_Actuals!$C$2:$C$5000,Data_Actuals!$A$2:$A$5000,$A36,Data_Actuals!$B$2:$B$5000,$B$2),"")</f>
        <v/>
      </c>
      <c r="S36" s="52">
        <f>IF($D36="Actual",SUMIFS(Data_Actuals!$D$2:$D$5000,Data_Actuals!$A$2:$A$5000,$A36,Data_Actuals!$B$2:$B$5000,$B$2),"")</f>
        <v/>
      </c>
      <c r="T36" s="52">
        <f>IF($D36="Actual",SUMIFS(Data_Actuals!$E$2:$E$5000,Data_Actuals!$A$2:$A$5000,$A36,Data_Actuals!$B$2:$B$5000,$B$2),"")</f>
        <v/>
      </c>
      <c r="U36" s="52">
        <f>IF($D36="Actual",SUMIFS(Data_Actuals!$F$2:$F$5000,Data_Actuals!$A$2:$A$5000,$A36,Data_Actuals!$B$2:$B$5000,$B$2),"")</f>
        <v/>
      </c>
      <c r="V36" s="52">
        <f>IF($D36="Actual",SUMIFS(Data_Actuals!$G$2:$G$5000,Data_Actuals!$A$2:$A$5000,$A36,Data_Actuals!$B$2:$B$5000,$B$2),"")</f>
        <v/>
      </c>
      <c r="W36" s="52">
        <f>SUMIFS(Plan_Inputs!$C$2:$C$5000,Plan_Inputs!$A$2:$A$5000,$A36,Plan_Inputs!$B$2:$B$5000,$B$2)</f>
        <v/>
      </c>
      <c r="X36" s="53">
        <f>IF($D36="Actual",IFERROR(S36/T36,""),X24)</f>
        <v/>
      </c>
      <c r="Y36" s="52">
        <f>E36</f>
        <v/>
      </c>
      <c r="Z36" s="54">
        <f>INDEX(Calendar!$H$5:$L$52,MATCH($A36,Calendar!$A$5:$A$52,0),MATCH($D$2,Calendar!$H$4:$L$4,0))</f>
        <v/>
      </c>
      <c r="AA36" s="54">
        <f>INDEX(Calendar!$M$5:$M$52,MATCH($A36,Calendar!$A$5:$A$52,0))</f>
        <v/>
      </c>
      <c r="AB36" s="55">
        <f>IF($D36="Actual",IFERROR(S36/Y36,""),AB24)</f>
        <v/>
      </c>
      <c r="AC36" s="56">
        <f>IF($D36="Actual",IFERROR(U36/T36/Z36/AA36,""),AC24)</f>
        <v/>
      </c>
      <c r="AD36" s="57">
        <f>IF($D36="Actual",IFERROR(V36/(U36+V36),""),$K$2)</f>
        <v/>
      </c>
      <c r="AE36" s="56">
        <f>IFERROR(AC36*Z36*AA36,"")</f>
        <v/>
      </c>
      <c r="AF36" s="53">
        <f>K24</f>
        <v/>
      </c>
      <c r="AG36" s="57">
        <f>IF($D36="Forecast",IFERROR(K36/AF36-1,""),"")</f>
        <v/>
      </c>
      <c r="AH36" s="53">
        <f>IF(CPLHSource="National breakdown",CPLH_Breakdown!AK41,SUMIFS(Plan_Inputs!$D$2:$D$5000,Plan_Inputs!$A$2:$A$5000,$A36,Plan_Inputs!$B$2:$B$5000,$B$2))</f>
        <v/>
      </c>
      <c r="AJ36" s="15">
        <f>F36*$AK$11</f>
        <v/>
      </c>
      <c r="AK36" s="9">
        <f>G36*$AK$11</f>
        <v/>
      </c>
      <c r="AL36" s="30">
        <f>H36*$AK$11</f>
        <v/>
      </c>
      <c r="AM36" s="30">
        <f>I36*$AK$11</f>
        <v/>
      </c>
      <c r="AN36" s="30">
        <f>J36*$AK$11</f>
        <v/>
      </c>
      <c r="AP36" s="15">
        <f>F36*$AQ$11</f>
        <v/>
      </c>
      <c r="AQ36" s="9">
        <f>G36*$AQ$11</f>
        <v/>
      </c>
      <c r="AR36" s="30">
        <f>H36*$AQ$11</f>
        <v/>
      </c>
      <c r="AS36" s="30">
        <f>I36*$AQ$11</f>
        <v/>
      </c>
      <c r="AT36" s="30">
        <f>J36*$AQ$11</f>
        <v/>
      </c>
      <c r="AV36" s="15">
        <f>F36*$AW$11</f>
        <v/>
      </c>
      <c r="AW36" s="9">
        <f>G36*$AW$11</f>
        <v/>
      </c>
      <c r="AX36" s="30">
        <f>H36*$AW$11</f>
        <v/>
      </c>
      <c r="AY36" s="30">
        <f>I36*$AW$11</f>
        <v/>
      </c>
      <c r="AZ36" s="30">
        <f>J36*$AW$11</f>
        <v/>
      </c>
    </row>
    <row r="37">
      <c r="A37" s="8" t="n">
        <v>46327</v>
      </c>
      <c r="B37" s="33">
        <f>YEAR(A37)</f>
        <v/>
      </c>
      <c r="C37" s="33">
        <f>MONTH(A37)</f>
        <v/>
      </c>
      <c r="D37">
        <f>IF(A37&lt;=LastActual,"Actual","Forecast")</f>
        <v/>
      </c>
      <c r="E37" s="30">
        <f>IF($D37="Actual",R37,W37)</f>
        <v/>
      </c>
      <c r="F37" s="15">
        <f>IF($D37="Actual",S37,Cases_Forecast!AJ30)</f>
        <v/>
      </c>
      <c r="G37" s="9">
        <f>IF($D37="Actual",T37,IFERROR(F37/K37,0))</f>
        <v/>
      </c>
      <c r="H37" s="30">
        <f>IF($D37="Actual",U37,G37*L37)</f>
        <v/>
      </c>
      <c r="I37" s="30">
        <f>IF($D37="Actual",V37,J37-H37)</f>
        <v/>
      </c>
      <c r="J37" s="30">
        <f>IF($D37="Actual",U37+V37,IFERROR(H37/(1-AD37),0))</f>
        <v/>
      </c>
      <c r="K37" s="10">
        <f>IF($D37="Actual",IFERROR(S37/T37,0),CPLH_Forecast!AJ30)</f>
        <v/>
      </c>
      <c r="L37" s="34">
        <f>IF($D37="Actual",IFERROR(U37/T37,0),N(AE37))</f>
        <v/>
      </c>
      <c r="M37" s="35">
        <f>IFERROR(J37/F37,0)</f>
        <v/>
      </c>
      <c r="N37" s="36">
        <f>IFERROR(J37/E37,0)</f>
        <v/>
      </c>
      <c r="O37" s="36">
        <f>IFERROR(I37/J37,0)</f>
        <v/>
      </c>
      <c r="R37" s="52">
        <f>IF($D37="Actual",SUMIFS(Data_Actuals!$C$2:$C$5000,Data_Actuals!$A$2:$A$5000,$A37,Data_Actuals!$B$2:$B$5000,$B$2),"")</f>
        <v/>
      </c>
      <c r="S37" s="52">
        <f>IF($D37="Actual",SUMIFS(Data_Actuals!$D$2:$D$5000,Data_Actuals!$A$2:$A$5000,$A37,Data_Actuals!$B$2:$B$5000,$B$2),"")</f>
        <v/>
      </c>
      <c r="T37" s="52">
        <f>IF($D37="Actual",SUMIFS(Data_Actuals!$E$2:$E$5000,Data_Actuals!$A$2:$A$5000,$A37,Data_Actuals!$B$2:$B$5000,$B$2),"")</f>
        <v/>
      </c>
      <c r="U37" s="52">
        <f>IF($D37="Actual",SUMIFS(Data_Actuals!$F$2:$F$5000,Data_Actuals!$A$2:$A$5000,$A37,Data_Actuals!$B$2:$B$5000,$B$2),"")</f>
        <v/>
      </c>
      <c r="V37" s="52">
        <f>IF($D37="Actual",SUMIFS(Data_Actuals!$G$2:$G$5000,Data_Actuals!$A$2:$A$5000,$A37,Data_Actuals!$B$2:$B$5000,$B$2),"")</f>
        <v/>
      </c>
      <c r="W37" s="52">
        <f>SUMIFS(Plan_Inputs!$C$2:$C$5000,Plan_Inputs!$A$2:$A$5000,$A37,Plan_Inputs!$B$2:$B$5000,$B$2)</f>
        <v/>
      </c>
      <c r="X37" s="53">
        <f>IF($D37="Actual",IFERROR(S37/T37,""),X25)</f>
        <v/>
      </c>
      <c r="Y37" s="52">
        <f>E37</f>
        <v/>
      </c>
      <c r="Z37" s="54">
        <f>INDEX(Calendar!$H$5:$L$52,MATCH($A37,Calendar!$A$5:$A$52,0),MATCH($D$2,Calendar!$H$4:$L$4,0))</f>
        <v/>
      </c>
      <c r="AA37" s="54">
        <f>INDEX(Calendar!$M$5:$M$52,MATCH($A37,Calendar!$A$5:$A$52,0))</f>
        <v/>
      </c>
      <c r="AB37" s="55">
        <f>IF($D37="Actual",IFERROR(S37/Y37,""),AB25)</f>
        <v/>
      </c>
      <c r="AC37" s="56">
        <f>IF($D37="Actual",IFERROR(U37/T37/Z37/AA37,""),AC25)</f>
        <v/>
      </c>
      <c r="AD37" s="57">
        <f>IF($D37="Actual",IFERROR(V37/(U37+V37),""),$K$2)</f>
        <v/>
      </c>
      <c r="AE37" s="56">
        <f>IFERROR(AC37*Z37*AA37,"")</f>
        <v/>
      </c>
      <c r="AF37" s="53">
        <f>K25</f>
        <v/>
      </c>
      <c r="AG37" s="57">
        <f>IF($D37="Forecast",IFERROR(K37/AF37-1,""),"")</f>
        <v/>
      </c>
      <c r="AH37" s="53">
        <f>IF(CPLHSource="National breakdown",CPLH_Breakdown!AK42,SUMIFS(Plan_Inputs!$D$2:$D$5000,Plan_Inputs!$A$2:$A$5000,$A37,Plan_Inputs!$B$2:$B$5000,$B$2))</f>
        <v/>
      </c>
      <c r="AJ37" s="15">
        <f>F37*$AK$11</f>
        <v/>
      </c>
      <c r="AK37" s="9">
        <f>G37*$AK$11</f>
        <v/>
      </c>
      <c r="AL37" s="30">
        <f>H37*$AK$11</f>
        <v/>
      </c>
      <c r="AM37" s="30">
        <f>I37*$AK$11</f>
        <v/>
      </c>
      <c r="AN37" s="30">
        <f>J37*$AK$11</f>
        <v/>
      </c>
      <c r="AP37" s="15">
        <f>F37*$AQ$11</f>
        <v/>
      </c>
      <c r="AQ37" s="9">
        <f>G37*$AQ$11</f>
        <v/>
      </c>
      <c r="AR37" s="30">
        <f>H37*$AQ$11</f>
        <v/>
      </c>
      <c r="AS37" s="30">
        <f>I37*$AQ$11</f>
        <v/>
      </c>
      <c r="AT37" s="30">
        <f>J37*$AQ$11</f>
        <v/>
      </c>
      <c r="AV37" s="15">
        <f>F37*$AW$11</f>
        <v/>
      </c>
      <c r="AW37" s="9">
        <f>G37*$AW$11</f>
        <v/>
      </c>
      <c r="AX37" s="30">
        <f>H37*$AW$11</f>
        <v/>
      </c>
      <c r="AY37" s="30">
        <f>I37*$AW$11</f>
        <v/>
      </c>
      <c r="AZ37" s="30">
        <f>J37*$AW$11</f>
        <v/>
      </c>
    </row>
    <row r="38">
      <c r="A38" s="37" t="n">
        <v>46357</v>
      </c>
      <c r="B38" s="38">
        <f>YEAR(A38)</f>
        <v/>
      </c>
      <c r="C38" s="38">
        <f>MONTH(A38)</f>
        <v/>
      </c>
      <c r="D38" s="39">
        <f>IF(A38&lt;=LastActual,"Actual","Forecast")</f>
        <v/>
      </c>
      <c r="E38" s="40">
        <f>IF($D38="Actual",R38,W38)</f>
        <v/>
      </c>
      <c r="F38" s="41">
        <f>IF($D38="Actual",S38,Cases_Forecast!AJ31)</f>
        <v/>
      </c>
      <c r="G38" s="42">
        <f>IF($D38="Actual",T38,IFERROR(F38/K38,0))</f>
        <v/>
      </c>
      <c r="H38" s="40">
        <f>IF($D38="Actual",U38,G38*L38)</f>
        <v/>
      </c>
      <c r="I38" s="40">
        <f>IF($D38="Actual",V38,J38-H38)</f>
        <v/>
      </c>
      <c r="J38" s="40">
        <f>IF($D38="Actual",U38+V38,IFERROR(H38/(1-AD38),0))</f>
        <v/>
      </c>
      <c r="K38" s="43">
        <f>IF($D38="Actual",IFERROR(S38/T38,0),CPLH_Forecast!AJ31)</f>
        <v/>
      </c>
      <c r="L38" s="44">
        <f>IF($D38="Actual",IFERROR(U38/T38,0),N(AE38))</f>
        <v/>
      </c>
      <c r="M38" s="45">
        <f>IFERROR(J38/F38,0)</f>
        <v/>
      </c>
      <c r="N38" s="46">
        <f>IFERROR(J38/E38,0)</f>
        <v/>
      </c>
      <c r="O38" s="46">
        <f>IFERROR(I38/J38,0)</f>
        <v/>
      </c>
      <c r="R38" s="52">
        <f>IF($D38="Actual",SUMIFS(Data_Actuals!$C$2:$C$5000,Data_Actuals!$A$2:$A$5000,$A38,Data_Actuals!$B$2:$B$5000,$B$2),"")</f>
        <v/>
      </c>
      <c r="S38" s="52">
        <f>IF($D38="Actual",SUMIFS(Data_Actuals!$D$2:$D$5000,Data_Actuals!$A$2:$A$5000,$A38,Data_Actuals!$B$2:$B$5000,$B$2),"")</f>
        <v/>
      </c>
      <c r="T38" s="52">
        <f>IF($D38="Actual",SUMIFS(Data_Actuals!$E$2:$E$5000,Data_Actuals!$A$2:$A$5000,$A38,Data_Actuals!$B$2:$B$5000,$B$2),"")</f>
        <v/>
      </c>
      <c r="U38" s="52">
        <f>IF($D38="Actual",SUMIFS(Data_Actuals!$F$2:$F$5000,Data_Actuals!$A$2:$A$5000,$A38,Data_Actuals!$B$2:$B$5000,$B$2),"")</f>
        <v/>
      </c>
      <c r="V38" s="52">
        <f>IF($D38="Actual",SUMIFS(Data_Actuals!$G$2:$G$5000,Data_Actuals!$A$2:$A$5000,$A38,Data_Actuals!$B$2:$B$5000,$B$2),"")</f>
        <v/>
      </c>
      <c r="W38" s="52">
        <f>SUMIFS(Plan_Inputs!$C$2:$C$5000,Plan_Inputs!$A$2:$A$5000,$A38,Plan_Inputs!$B$2:$B$5000,$B$2)</f>
        <v/>
      </c>
      <c r="X38" s="53">
        <f>IF($D38="Actual",IFERROR(S38/T38,""),X26)</f>
        <v/>
      </c>
      <c r="Y38" s="52">
        <f>E38</f>
        <v/>
      </c>
      <c r="Z38" s="54">
        <f>INDEX(Calendar!$H$5:$L$52,MATCH($A38,Calendar!$A$5:$A$52,0),MATCH($D$2,Calendar!$H$4:$L$4,0))</f>
        <v/>
      </c>
      <c r="AA38" s="54">
        <f>INDEX(Calendar!$M$5:$M$52,MATCH($A38,Calendar!$A$5:$A$52,0))</f>
        <v/>
      </c>
      <c r="AB38" s="55">
        <f>IF($D38="Actual",IFERROR(S38/Y38,""),AB26)</f>
        <v/>
      </c>
      <c r="AC38" s="56">
        <f>IF($D38="Actual",IFERROR(U38/T38/Z38/AA38,""),AC26)</f>
        <v/>
      </c>
      <c r="AD38" s="57">
        <f>IF($D38="Actual",IFERROR(V38/(U38+V38),""),$K$2)</f>
        <v/>
      </c>
      <c r="AE38" s="56">
        <f>IFERROR(AC38*Z38*AA38,"")</f>
        <v/>
      </c>
      <c r="AF38" s="53">
        <f>K26</f>
        <v/>
      </c>
      <c r="AG38" s="57">
        <f>IF($D38="Forecast",IFERROR(K38/AF38-1,""),"")</f>
        <v/>
      </c>
      <c r="AH38" s="53">
        <f>IF(CPLHSource="National breakdown",CPLH_Breakdown!AK43,SUMIFS(Plan_Inputs!$D$2:$D$5000,Plan_Inputs!$A$2:$A$5000,$A38,Plan_Inputs!$B$2:$B$5000,$B$2))</f>
        <v/>
      </c>
      <c r="AJ38" s="41">
        <f>F38*$AK$11</f>
        <v/>
      </c>
      <c r="AK38" s="42">
        <f>G38*$AK$11</f>
        <v/>
      </c>
      <c r="AL38" s="40">
        <f>H38*$AK$11</f>
        <v/>
      </c>
      <c r="AM38" s="40">
        <f>I38*$AK$11</f>
        <v/>
      </c>
      <c r="AN38" s="40">
        <f>J38*$AK$11</f>
        <v/>
      </c>
      <c r="AP38" s="41">
        <f>F38*$AQ$11</f>
        <v/>
      </c>
      <c r="AQ38" s="42">
        <f>G38*$AQ$11</f>
        <v/>
      </c>
      <c r="AR38" s="40">
        <f>H38*$AQ$11</f>
        <v/>
      </c>
      <c r="AS38" s="40">
        <f>I38*$AQ$11</f>
        <v/>
      </c>
      <c r="AT38" s="40">
        <f>J38*$AQ$11</f>
        <v/>
      </c>
      <c r="AV38" s="41">
        <f>F38*$AW$11</f>
        <v/>
      </c>
      <c r="AW38" s="42">
        <f>G38*$AW$11</f>
        <v/>
      </c>
      <c r="AX38" s="40">
        <f>H38*$AW$11</f>
        <v/>
      </c>
      <c r="AY38" s="40">
        <f>I38*$AW$11</f>
        <v/>
      </c>
      <c r="AZ38" s="40">
        <f>J38*$AW$11</f>
        <v/>
      </c>
    </row>
    <row r="39">
      <c r="A39" s="8" t="n">
        <v>46388</v>
      </c>
      <c r="B39" s="33">
        <f>YEAR(A39)</f>
        <v/>
      </c>
      <c r="C39" s="33">
        <f>MONTH(A39)</f>
        <v/>
      </c>
      <c r="D39">
        <f>IF(A39&lt;=LastActual,"Actual","Forecast")</f>
        <v/>
      </c>
      <c r="E39" s="30">
        <f>IF($D39="Actual",R39,W39)</f>
        <v/>
      </c>
      <c r="F39" s="15">
        <f>IF($D39="Actual",S39,Cases_Forecast!AJ32)</f>
        <v/>
      </c>
      <c r="G39" s="9">
        <f>IF($D39="Actual",T39,IFERROR(F39/K39,0))</f>
        <v/>
      </c>
      <c r="H39" s="30">
        <f>IF($D39="Actual",U39,G39*L39)</f>
        <v/>
      </c>
      <c r="I39" s="30">
        <f>IF($D39="Actual",V39,J39-H39)</f>
        <v/>
      </c>
      <c r="J39" s="30">
        <f>IF($D39="Actual",U39+V39,IFERROR(H39/(1-AD39),0))</f>
        <v/>
      </c>
      <c r="K39" s="10">
        <f>IF($D39="Actual",IFERROR(S39/T39,0),CPLH_Forecast!AJ32)</f>
        <v/>
      </c>
      <c r="L39" s="34">
        <f>IF($D39="Actual",IFERROR(U39/T39,0),N(AE39))</f>
        <v/>
      </c>
      <c r="M39" s="35">
        <f>IFERROR(J39/F39,0)</f>
        <v/>
      </c>
      <c r="N39" s="36">
        <f>IFERROR(J39/E39,0)</f>
        <v/>
      </c>
      <c r="O39" s="36">
        <f>IFERROR(I39/J39,0)</f>
        <v/>
      </c>
      <c r="R39" s="52">
        <f>IF($D39="Actual",SUMIFS(Data_Actuals!$C$2:$C$5000,Data_Actuals!$A$2:$A$5000,$A39,Data_Actuals!$B$2:$B$5000,$B$2),"")</f>
        <v/>
      </c>
      <c r="S39" s="52">
        <f>IF($D39="Actual",SUMIFS(Data_Actuals!$D$2:$D$5000,Data_Actuals!$A$2:$A$5000,$A39,Data_Actuals!$B$2:$B$5000,$B$2),"")</f>
        <v/>
      </c>
      <c r="T39" s="52">
        <f>IF($D39="Actual",SUMIFS(Data_Actuals!$E$2:$E$5000,Data_Actuals!$A$2:$A$5000,$A39,Data_Actuals!$B$2:$B$5000,$B$2),"")</f>
        <v/>
      </c>
      <c r="U39" s="52">
        <f>IF($D39="Actual",SUMIFS(Data_Actuals!$F$2:$F$5000,Data_Actuals!$A$2:$A$5000,$A39,Data_Actuals!$B$2:$B$5000,$B$2),"")</f>
        <v/>
      </c>
      <c r="V39" s="52">
        <f>IF($D39="Actual",SUMIFS(Data_Actuals!$G$2:$G$5000,Data_Actuals!$A$2:$A$5000,$A39,Data_Actuals!$B$2:$B$5000,$B$2),"")</f>
        <v/>
      </c>
      <c r="W39" s="52">
        <f>SUMIFS(Plan_Inputs!$C$2:$C$5000,Plan_Inputs!$A$2:$A$5000,$A39,Plan_Inputs!$B$2:$B$5000,$B$2)</f>
        <v/>
      </c>
      <c r="X39" s="53">
        <f>IF($D39="Actual",IFERROR(S39/T39,""),X27)</f>
        <v/>
      </c>
      <c r="Y39" s="52">
        <f>E39</f>
        <v/>
      </c>
      <c r="Z39" s="54">
        <f>INDEX(Calendar!$H$5:$L$52,MATCH($A39,Calendar!$A$5:$A$52,0),MATCH($D$2,Calendar!$H$4:$L$4,0))</f>
        <v/>
      </c>
      <c r="AA39" s="54">
        <f>INDEX(Calendar!$M$5:$M$52,MATCH($A39,Calendar!$A$5:$A$52,0))</f>
        <v/>
      </c>
      <c r="AB39" s="55">
        <f>IF($D39="Actual",IFERROR(S39/Y39,""),AB27)</f>
        <v/>
      </c>
      <c r="AC39" s="56">
        <f>IF($D39="Actual",IFERROR(U39/T39/Z39/AA39,""),AC27)</f>
        <v/>
      </c>
      <c r="AD39" s="57">
        <f>IF($D39="Actual",IFERROR(V39/(U39+V39),""),$K$2)</f>
        <v/>
      </c>
      <c r="AE39" s="56">
        <f>IFERROR(AC39*Z39*AA39,"")</f>
        <v/>
      </c>
      <c r="AF39" s="53">
        <f>K27</f>
        <v/>
      </c>
      <c r="AG39" s="57">
        <f>IF($D39="Forecast",IFERROR(K39/AF39-1,""),"")</f>
        <v/>
      </c>
      <c r="AH39" s="53">
        <f>IF(CPLHSource="National breakdown",CPLH_Breakdown!AK44,SUMIFS(Plan_Inputs!$D$2:$D$5000,Plan_Inputs!$A$2:$A$5000,$A39,Plan_Inputs!$B$2:$B$5000,$B$2))</f>
        <v/>
      </c>
      <c r="AJ39" s="15">
        <f>F39*$AK$11</f>
        <v/>
      </c>
      <c r="AK39" s="9">
        <f>G39*$AK$11</f>
        <v/>
      </c>
      <c r="AL39" s="30">
        <f>H39*$AK$11</f>
        <v/>
      </c>
      <c r="AM39" s="30">
        <f>I39*$AK$11</f>
        <v/>
      </c>
      <c r="AN39" s="30">
        <f>J39*$AK$11</f>
        <v/>
      </c>
      <c r="AP39" s="15">
        <f>F39*$AQ$11</f>
        <v/>
      </c>
      <c r="AQ39" s="9">
        <f>G39*$AQ$11</f>
        <v/>
      </c>
      <c r="AR39" s="30">
        <f>H39*$AQ$11</f>
        <v/>
      </c>
      <c r="AS39" s="30">
        <f>I39*$AQ$11</f>
        <v/>
      </c>
      <c r="AT39" s="30">
        <f>J39*$AQ$11</f>
        <v/>
      </c>
      <c r="AV39" s="15">
        <f>F39*$AW$11</f>
        <v/>
      </c>
      <c r="AW39" s="9">
        <f>G39*$AW$11</f>
        <v/>
      </c>
      <c r="AX39" s="30">
        <f>H39*$AW$11</f>
        <v/>
      </c>
      <c r="AY39" s="30">
        <f>I39*$AW$11</f>
        <v/>
      </c>
      <c r="AZ39" s="30">
        <f>J39*$AW$11</f>
        <v/>
      </c>
    </row>
    <row r="40">
      <c r="A40" s="8" t="n">
        <v>46419</v>
      </c>
      <c r="B40" s="33">
        <f>YEAR(A40)</f>
        <v/>
      </c>
      <c r="C40" s="33">
        <f>MONTH(A40)</f>
        <v/>
      </c>
      <c r="D40">
        <f>IF(A40&lt;=LastActual,"Actual","Forecast")</f>
        <v/>
      </c>
      <c r="E40" s="30">
        <f>IF($D40="Actual",R40,W40)</f>
        <v/>
      </c>
      <c r="F40" s="15">
        <f>IF($D40="Actual",S40,Cases_Forecast!AJ33)</f>
        <v/>
      </c>
      <c r="G40" s="9">
        <f>IF($D40="Actual",T40,IFERROR(F40/K40,0))</f>
        <v/>
      </c>
      <c r="H40" s="30">
        <f>IF($D40="Actual",U40,G40*L40)</f>
        <v/>
      </c>
      <c r="I40" s="30">
        <f>IF($D40="Actual",V40,J40-H40)</f>
        <v/>
      </c>
      <c r="J40" s="30">
        <f>IF($D40="Actual",U40+V40,IFERROR(H40/(1-AD40),0))</f>
        <v/>
      </c>
      <c r="K40" s="10">
        <f>IF($D40="Actual",IFERROR(S40/T40,0),CPLH_Forecast!AJ33)</f>
        <v/>
      </c>
      <c r="L40" s="34">
        <f>IF($D40="Actual",IFERROR(U40/T40,0),N(AE40))</f>
        <v/>
      </c>
      <c r="M40" s="35">
        <f>IFERROR(J40/F40,0)</f>
        <v/>
      </c>
      <c r="N40" s="36">
        <f>IFERROR(J40/E40,0)</f>
        <v/>
      </c>
      <c r="O40" s="36">
        <f>IFERROR(I40/J40,0)</f>
        <v/>
      </c>
      <c r="R40" s="52">
        <f>IF($D40="Actual",SUMIFS(Data_Actuals!$C$2:$C$5000,Data_Actuals!$A$2:$A$5000,$A40,Data_Actuals!$B$2:$B$5000,$B$2),"")</f>
        <v/>
      </c>
      <c r="S40" s="52">
        <f>IF($D40="Actual",SUMIFS(Data_Actuals!$D$2:$D$5000,Data_Actuals!$A$2:$A$5000,$A40,Data_Actuals!$B$2:$B$5000,$B$2),"")</f>
        <v/>
      </c>
      <c r="T40" s="52">
        <f>IF($D40="Actual",SUMIFS(Data_Actuals!$E$2:$E$5000,Data_Actuals!$A$2:$A$5000,$A40,Data_Actuals!$B$2:$B$5000,$B$2),"")</f>
        <v/>
      </c>
      <c r="U40" s="52">
        <f>IF($D40="Actual",SUMIFS(Data_Actuals!$F$2:$F$5000,Data_Actuals!$A$2:$A$5000,$A40,Data_Actuals!$B$2:$B$5000,$B$2),"")</f>
        <v/>
      </c>
      <c r="V40" s="52">
        <f>IF($D40="Actual",SUMIFS(Data_Actuals!$G$2:$G$5000,Data_Actuals!$A$2:$A$5000,$A40,Data_Actuals!$B$2:$B$5000,$B$2),"")</f>
        <v/>
      </c>
      <c r="W40" s="52">
        <f>SUMIFS(Plan_Inputs!$C$2:$C$5000,Plan_Inputs!$A$2:$A$5000,$A40,Plan_Inputs!$B$2:$B$5000,$B$2)</f>
        <v/>
      </c>
      <c r="X40" s="53">
        <f>IF($D40="Actual",IFERROR(S40/T40,""),X28)</f>
        <v/>
      </c>
      <c r="Y40" s="52">
        <f>E40</f>
        <v/>
      </c>
      <c r="Z40" s="54">
        <f>INDEX(Calendar!$H$5:$L$52,MATCH($A40,Calendar!$A$5:$A$52,0),MATCH($D$2,Calendar!$H$4:$L$4,0))</f>
        <v/>
      </c>
      <c r="AA40" s="54">
        <f>INDEX(Calendar!$M$5:$M$52,MATCH($A40,Calendar!$A$5:$A$52,0))</f>
        <v/>
      </c>
      <c r="AB40" s="55">
        <f>IF($D40="Actual",IFERROR(S40/Y40,""),AB28)</f>
        <v/>
      </c>
      <c r="AC40" s="56">
        <f>IF($D40="Actual",IFERROR(U40/T40/Z40/AA40,""),AC28)</f>
        <v/>
      </c>
      <c r="AD40" s="57">
        <f>IF($D40="Actual",IFERROR(V40/(U40+V40),""),$K$2)</f>
        <v/>
      </c>
      <c r="AE40" s="56">
        <f>IFERROR(AC40*Z40*AA40,"")</f>
        <v/>
      </c>
      <c r="AF40" s="53">
        <f>K28</f>
        <v/>
      </c>
      <c r="AG40" s="57">
        <f>IF($D40="Forecast",IFERROR(K40/AF40-1,""),"")</f>
        <v/>
      </c>
      <c r="AH40" s="53">
        <f>IF(CPLHSource="National breakdown",CPLH_Breakdown!AK45,SUMIFS(Plan_Inputs!$D$2:$D$5000,Plan_Inputs!$A$2:$A$5000,$A40,Plan_Inputs!$B$2:$B$5000,$B$2))</f>
        <v/>
      </c>
      <c r="AJ40" s="15">
        <f>F40*$AK$11</f>
        <v/>
      </c>
      <c r="AK40" s="9">
        <f>G40*$AK$11</f>
        <v/>
      </c>
      <c r="AL40" s="30">
        <f>H40*$AK$11</f>
        <v/>
      </c>
      <c r="AM40" s="30">
        <f>I40*$AK$11</f>
        <v/>
      </c>
      <c r="AN40" s="30">
        <f>J40*$AK$11</f>
        <v/>
      </c>
      <c r="AP40" s="15">
        <f>F40*$AQ$11</f>
        <v/>
      </c>
      <c r="AQ40" s="9">
        <f>G40*$AQ$11</f>
        <v/>
      </c>
      <c r="AR40" s="30">
        <f>H40*$AQ$11</f>
        <v/>
      </c>
      <c r="AS40" s="30">
        <f>I40*$AQ$11</f>
        <v/>
      </c>
      <c r="AT40" s="30">
        <f>J40*$AQ$11</f>
        <v/>
      </c>
      <c r="AV40" s="15">
        <f>F40*$AW$11</f>
        <v/>
      </c>
      <c r="AW40" s="9">
        <f>G40*$AW$11</f>
        <v/>
      </c>
      <c r="AX40" s="30">
        <f>H40*$AW$11</f>
        <v/>
      </c>
      <c r="AY40" s="30">
        <f>I40*$AW$11</f>
        <v/>
      </c>
      <c r="AZ40" s="30">
        <f>J40*$AW$11</f>
        <v/>
      </c>
    </row>
    <row r="41">
      <c r="A41" s="8" t="n">
        <v>46447</v>
      </c>
      <c r="B41" s="33">
        <f>YEAR(A41)</f>
        <v/>
      </c>
      <c r="C41" s="33">
        <f>MONTH(A41)</f>
        <v/>
      </c>
      <c r="D41">
        <f>IF(A41&lt;=LastActual,"Actual","Forecast")</f>
        <v/>
      </c>
      <c r="E41" s="30">
        <f>IF($D41="Actual",R41,W41)</f>
        <v/>
      </c>
      <c r="F41" s="15">
        <f>IF($D41="Actual",S41,Cases_Forecast!AJ34)</f>
        <v/>
      </c>
      <c r="G41" s="9">
        <f>IF($D41="Actual",T41,IFERROR(F41/K41,0))</f>
        <v/>
      </c>
      <c r="H41" s="30">
        <f>IF($D41="Actual",U41,G41*L41)</f>
        <v/>
      </c>
      <c r="I41" s="30">
        <f>IF($D41="Actual",V41,J41-H41)</f>
        <v/>
      </c>
      <c r="J41" s="30">
        <f>IF($D41="Actual",U41+V41,IFERROR(H41/(1-AD41),0))</f>
        <v/>
      </c>
      <c r="K41" s="10">
        <f>IF($D41="Actual",IFERROR(S41/T41,0),CPLH_Forecast!AJ34)</f>
        <v/>
      </c>
      <c r="L41" s="34">
        <f>IF($D41="Actual",IFERROR(U41/T41,0),N(AE41))</f>
        <v/>
      </c>
      <c r="M41" s="35">
        <f>IFERROR(J41/F41,0)</f>
        <v/>
      </c>
      <c r="N41" s="36">
        <f>IFERROR(J41/E41,0)</f>
        <v/>
      </c>
      <c r="O41" s="36">
        <f>IFERROR(I41/J41,0)</f>
        <v/>
      </c>
      <c r="R41" s="52">
        <f>IF($D41="Actual",SUMIFS(Data_Actuals!$C$2:$C$5000,Data_Actuals!$A$2:$A$5000,$A41,Data_Actuals!$B$2:$B$5000,$B$2),"")</f>
        <v/>
      </c>
      <c r="S41" s="52">
        <f>IF($D41="Actual",SUMIFS(Data_Actuals!$D$2:$D$5000,Data_Actuals!$A$2:$A$5000,$A41,Data_Actuals!$B$2:$B$5000,$B$2),"")</f>
        <v/>
      </c>
      <c r="T41" s="52">
        <f>IF($D41="Actual",SUMIFS(Data_Actuals!$E$2:$E$5000,Data_Actuals!$A$2:$A$5000,$A41,Data_Actuals!$B$2:$B$5000,$B$2),"")</f>
        <v/>
      </c>
      <c r="U41" s="52">
        <f>IF($D41="Actual",SUMIFS(Data_Actuals!$F$2:$F$5000,Data_Actuals!$A$2:$A$5000,$A41,Data_Actuals!$B$2:$B$5000,$B$2),"")</f>
        <v/>
      </c>
      <c r="V41" s="52">
        <f>IF($D41="Actual",SUMIFS(Data_Actuals!$G$2:$G$5000,Data_Actuals!$A$2:$A$5000,$A41,Data_Actuals!$B$2:$B$5000,$B$2),"")</f>
        <v/>
      </c>
      <c r="W41" s="52">
        <f>SUMIFS(Plan_Inputs!$C$2:$C$5000,Plan_Inputs!$A$2:$A$5000,$A41,Plan_Inputs!$B$2:$B$5000,$B$2)</f>
        <v/>
      </c>
      <c r="X41" s="53">
        <f>IF($D41="Actual",IFERROR(S41/T41,""),X29)</f>
        <v/>
      </c>
      <c r="Y41" s="52">
        <f>E41</f>
        <v/>
      </c>
      <c r="Z41" s="54">
        <f>INDEX(Calendar!$H$5:$L$52,MATCH($A41,Calendar!$A$5:$A$52,0),MATCH($D$2,Calendar!$H$4:$L$4,0))</f>
        <v/>
      </c>
      <c r="AA41" s="54">
        <f>INDEX(Calendar!$M$5:$M$52,MATCH($A41,Calendar!$A$5:$A$52,0))</f>
        <v/>
      </c>
      <c r="AB41" s="55">
        <f>IF($D41="Actual",IFERROR(S41/Y41,""),AB29)</f>
        <v/>
      </c>
      <c r="AC41" s="56">
        <f>IF($D41="Actual",IFERROR(U41/T41/Z41/AA41,""),AC29)</f>
        <v/>
      </c>
      <c r="AD41" s="57">
        <f>IF($D41="Actual",IFERROR(V41/(U41+V41),""),$K$2)</f>
        <v/>
      </c>
      <c r="AE41" s="56">
        <f>IFERROR(AC41*Z41*AA41,"")</f>
        <v/>
      </c>
      <c r="AF41" s="53">
        <f>K29</f>
        <v/>
      </c>
      <c r="AG41" s="57">
        <f>IF($D41="Forecast",IFERROR(K41/AF41-1,""),"")</f>
        <v/>
      </c>
      <c r="AH41" s="53">
        <f>IF(CPLHSource="National breakdown",CPLH_Breakdown!AK46,SUMIFS(Plan_Inputs!$D$2:$D$5000,Plan_Inputs!$A$2:$A$5000,$A41,Plan_Inputs!$B$2:$B$5000,$B$2))</f>
        <v/>
      </c>
      <c r="AJ41" s="15">
        <f>F41*$AK$11</f>
        <v/>
      </c>
      <c r="AK41" s="9">
        <f>G41*$AK$11</f>
        <v/>
      </c>
      <c r="AL41" s="30">
        <f>H41*$AK$11</f>
        <v/>
      </c>
      <c r="AM41" s="30">
        <f>I41*$AK$11</f>
        <v/>
      </c>
      <c r="AN41" s="30">
        <f>J41*$AK$11</f>
        <v/>
      </c>
      <c r="AP41" s="15">
        <f>F41*$AQ$11</f>
        <v/>
      </c>
      <c r="AQ41" s="9">
        <f>G41*$AQ$11</f>
        <v/>
      </c>
      <c r="AR41" s="30">
        <f>H41*$AQ$11</f>
        <v/>
      </c>
      <c r="AS41" s="30">
        <f>I41*$AQ$11</f>
        <v/>
      </c>
      <c r="AT41" s="30">
        <f>J41*$AQ$11</f>
        <v/>
      </c>
      <c r="AV41" s="15">
        <f>F41*$AW$11</f>
        <v/>
      </c>
      <c r="AW41" s="9">
        <f>G41*$AW$11</f>
        <v/>
      </c>
      <c r="AX41" s="30">
        <f>H41*$AW$11</f>
        <v/>
      </c>
      <c r="AY41" s="30">
        <f>I41*$AW$11</f>
        <v/>
      </c>
      <c r="AZ41" s="30">
        <f>J41*$AW$11</f>
        <v/>
      </c>
    </row>
    <row r="42">
      <c r="A42" s="8" t="n">
        <v>46478</v>
      </c>
      <c r="B42" s="33">
        <f>YEAR(A42)</f>
        <v/>
      </c>
      <c r="C42" s="33">
        <f>MONTH(A42)</f>
        <v/>
      </c>
      <c r="D42">
        <f>IF(A42&lt;=LastActual,"Actual","Forecast")</f>
        <v/>
      </c>
      <c r="E42" s="30">
        <f>IF($D42="Actual",R42,W42)</f>
        <v/>
      </c>
      <c r="F42" s="15">
        <f>IF($D42="Actual",S42,Cases_Forecast!AJ35)</f>
        <v/>
      </c>
      <c r="G42" s="9">
        <f>IF($D42="Actual",T42,IFERROR(F42/K42,0))</f>
        <v/>
      </c>
      <c r="H42" s="30">
        <f>IF($D42="Actual",U42,G42*L42)</f>
        <v/>
      </c>
      <c r="I42" s="30">
        <f>IF($D42="Actual",V42,J42-H42)</f>
        <v/>
      </c>
      <c r="J42" s="30">
        <f>IF($D42="Actual",U42+V42,IFERROR(H42/(1-AD42),0))</f>
        <v/>
      </c>
      <c r="K42" s="10">
        <f>IF($D42="Actual",IFERROR(S42/T42,0),CPLH_Forecast!AJ35)</f>
        <v/>
      </c>
      <c r="L42" s="34">
        <f>IF($D42="Actual",IFERROR(U42/T42,0),N(AE42))</f>
        <v/>
      </c>
      <c r="M42" s="35">
        <f>IFERROR(J42/F42,0)</f>
        <v/>
      </c>
      <c r="N42" s="36">
        <f>IFERROR(J42/E42,0)</f>
        <v/>
      </c>
      <c r="O42" s="36">
        <f>IFERROR(I42/J42,0)</f>
        <v/>
      </c>
      <c r="R42" s="52">
        <f>IF($D42="Actual",SUMIFS(Data_Actuals!$C$2:$C$5000,Data_Actuals!$A$2:$A$5000,$A42,Data_Actuals!$B$2:$B$5000,$B$2),"")</f>
        <v/>
      </c>
      <c r="S42" s="52">
        <f>IF($D42="Actual",SUMIFS(Data_Actuals!$D$2:$D$5000,Data_Actuals!$A$2:$A$5000,$A42,Data_Actuals!$B$2:$B$5000,$B$2),"")</f>
        <v/>
      </c>
      <c r="T42" s="52">
        <f>IF($D42="Actual",SUMIFS(Data_Actuals!$E$2:$E$5000,Data_Actuals!$A$2:$A$5000,$A42,Data_Actuals!$B$2:$B$5000,$B$2),"")</f>
        <v/>
      </c>
      <c r="U42" s="52">
        <f>IF($D42="Actual",SUMIFS(Data_Actuals!$F$2:$F$5000,Data_Actuals!$A$2:$A$5000,$A42,Data_Actuals!$B$2:$B$5000,$B$2),"")</f>
        <v/>
      </c>
      <c r="V42" s="52">
        <f>IF($D42="Actual",SUMIFS(Data_Actuals!$G$2:$G$5000,Data_Actuals!$A$2:$A$5000,$A42,Data_Actuals!$B$2:$B$5000,$B$2),"")</f>
        <v/>
      </c>
      <c r="W42" s="52">
        <f>SUMIFS(Plan_Inputs!$C$2:$C$5000,Plan_Inputs!$A$2:$A$5000,$A42,Plan_Inputs!$B$2:$B$5000,$B$2)</f>
        <v/>
      </c>
      <c r="X42" s="53">
        <f>IF($D42="Actual",IFERROR(S42/T42,""),X30)</f>
        <v/>
      </c>
      <c r="Y42" s="52">
        <f>E42</f>
        <v/>
      </c>
      <c r="Z42" s="54">
        <f>INDEX(Calendar!$H$5:$L$52,MATCH($A42,Calendar!$A$5:$A$52,0),MATCH($D$2,Calendar!$H$4:$L$4,0))</f>
        <v/>
      </c>
      <c r="AA42" s="54">
        <f>INDEX(Calendar!$M$5:$M$52,MATCH($A42,Calendar!$A$5:$A$52,0))</f>
        <v/>
      </c>
      <c r="AB42" s="55">
        <f>IF($D42="Actual",IFERROR(S42/Y42,""),AB30)</f>
        <v/>
      </c>
      <c r="AC42" s="56">
        <f>IF($D42="Actual",IFERROR(U42/T42/Z42/AA42,""),AC30)</f>
        <v/>
      </c>
      <c r="AD42" s="57">
        <f>IF($D42="Actual",IFERROR(V42/(U42+V42),""),$K$2)</f>
        <v/>
      </c>
      <c r="AE42" s="56">
        <f>IFERROR(AC42*Z42*AA42,"")</f>
        <v/>
      </c>
      <c r="AF42" s="53">
        <f>K30</f>
        <v/>
      </c>
      <c r="AG42" s="57">
        <f>IF($D42="Forecast",IFERROR(K42/AF42-1,""),"")</f>
        <v/>
      </c>
      <c r="AH42" s="53">
        <f>IF(CPLHSource="National breakdown",CPLH_Breakdown!AK47,SUMIFS(Plan_Inputs!$D$2:$D$5000,Plan_Inputs!$A$2:$A$5000,$A42,Plan_Inputs!$B$2:$B$5000,$B$2))</f>
        <v/>
      </c>
      <c r="AJ42" s="15">
        <f>F42*$AK$11</f>
        <v/>
      </c>
      <c r="AK42" s="9">
        <f>G42*$AK$11</f>
        <v/>
      </c>
      <c r="AL42" s="30">
        <f>H42*$AK$11</f>
        <v/>
      </c>
      <c r="AM42" s="30">
        <f>I42*$AK$11</f>
        <v/>
      </c>
      <c r="AN42" s="30">
        <f>J42*$AK$11</f>
        <v/>
      </c>
      <c r="AP42" s="15">
        <f>F42*$AQ$11</f>
        <v/>
      </c>
      <c r="AQ42" s="9">
        <f>G42*$AQ$11</f>
        <v/>
      </c>
      <c r="AR42" s="30">
        <f>H42*$AQ$11</f>
        <v/>
      </c>
      <c r="AS42" s="30">
        <f>I42*$AQ$11</f>
        <v/>
      </c>
      <c r="AT42" s="30">
        <f>J42*$AQ$11</f>
        <v/>
      </c>
      <c r="AV42" s="15">
        <f>F42*$AW$11</f>
        <v/>
      </c>
      <c r="AW42" s="9">
        <f>G42*$AW$11</f>
        <v/>
      </c>
      <c r="AX42" s="30">
        <f>H42*$AW$11</f>
        <v/>
      </c>
      <c r="AY42" s="30">
        <f>I42*$AW$11</f>
        <v/>
      </c>
      <c r="AZ42" s="30">
        <f>J42*$AW$11</f>
        <v/>
      </c>
    </row>
    <row r="43">
      <c r="A43" s="8" t="n">
        <v>46508</v>
      </c>
      <c r="B43" s="33">
        <f>YEAR(A43)</f>
        <v/>
      </c>
      <c r="C43" s="33">
        <f>MONTH(A43)</f>
        <v/>
      </c>
      <c r="D43">
        <f>IF(A43&lt;=LastActual,"Actual","Forecast")</f>
        <v/>
      </c>
      <c r="E43" s="30">
        <f>IF($D43="Actual",R43,W43)</f>
        <v/>
      </c>
      <c r="F43" s="15">
        <f>IF($D43="Actual",S43,Cases_Forecast!AJ36)</f>
        <v/>
      </c>
      <c r="G43" s="9">
        <f>IF($D43="Actual",T43,IFERROR(F43/K43,0))</f>
        <v/>
      </c>
      <c r="H43" s="30">
        <f>IF($D43="Actual",U43,G43*L43)</f>
        <v/>
      </c>
      <c r="I43" s="30">
        <f>IF($D43="Actual",V43,J43-H43)</f>
        <v/>
      </c>
      <c r="J43" s="30">
        <f>IF($D43="Actual",U43+V43,IFERROR(H43/(1-AD43),0))</f>
        <v/>
      </c>
      <c r="K43" s="10">
        <f>IF($D43="Actual",IFERROR(S43/T43,0),CPLH_Forecast!AJ36)</f>
        <v/>
      </c>
      <c r="L43" s="34">
        <f>IF($D43="Actual",IFERROR(U43/T43,0),N(AE43))</f>
        <v/>
      </c>
      <c r="M43" s="35">
        <f>IFERROR(J43/F43,0)</f>
        <v/>
      </c>
      <c r="N43" s="36">
        <f>IFERROR(J43/E43,0)</f>
        <v/>
      </c>
      <c r="O43" s="36">
        <f>IFERROR(I43/J43,0)</f>
        <v/>
      </c>
      <c r="R43" s="52">
        <f>IF($D43="Actual",SUMIFS(Data_Actuals!$C$2:$C$5000,Data_Actuals!$A$2:$A$5000,$A43,Data_Actuals!$B$2:$B$5000,$B$2),"")</f>
        <v/>
      </c>
      <c r="S43" s="52">
        <f>IF($D43="Actual",SUMIFS(Data_Actuals!$D$2:$D$5000,Data_Actuals!$A$2:$A$5000,$A43,Data_Actuals!$B$2:$B$5000,$B$2),"")</f>
        <v/>
      </c>
      <c r="T43" s="52">
        <f>IF($D43="Actual",SUMIFS(Data_Actuals!$E$2:$E$5000,Data_Actuals!$A$2:$A$5000,$A43,Data_Actuals!$B$2:$B$5000,$B$2),"")</f>
        <v/>
      </c>
      <c r="U43" s="52">
        <f>IF($D43="Actual",SUMIFS(Data_Actuals!$F$2:$F$5000,Data_Actuals!$A$2:$A$5000,$A43,Data_Actuals!$B$2:$B$5000,$B$2),"")</f>
        <v/>
      </c>
      <c r="V43" s="52">
        <f>IF($D43="Actual",SUMIFS(Data_Actuals!$G$2:$G$5000,Data_Actuals!$A$2:$A$5000,$A43,Data_Actuals!$B$2:$B$5000,$B$2),"")</f>
        <v/>
      </c>
      <c r="W43" s="52">
        <f>SUMIFS(Plan_Inputs!$C$2:$C$5000,Plan_Inputs!$A$2:$A$5000,$A43,Plan_Inputs!$B$2:$B$5000,$B$2)</f>
        <v/>
      </c>
      <c r="X43" s="53">
        <f>IF($D43="Actual",IFERROR(S43/T43,""),X31)</f>
        <v/>
      </c>
      <c r="Y43" s="52">
        <f>E43</f>
        <v/>
      </c>
      <c r="Z43" s="54">
        <f>INDEX(Calendar!$H$5:$L$52,MATCH($A43,Calendar!$A$5:$A$52,0),MATCH($D$2,Calendar!$H$4:$L$4,0))</f>
        <v/>
      </c>
      <c r="AA43" s="54">
        <f>INDEX(Calendar!$M$5:$M$52,MATCH($A43,Calendar!$A$5:$A$52,0))</f>
        <v/>
      </c>
      <c r="AB43" s="55">
        <f>IF($D43="Actual",IFERROR(S43/Y43,""),AB31)</f>
        <v/>
      </c>
      <c r="AC43" s="56">
        <f>IF($D43="Actual",IFERROR(U43/T43/Z43/AA43,""),AC31)</f>
        <v/>
      </c>
      <c r="AD43" s="57">
        <f>IF($D43="Actual",IFERROR(V43/(U43+V43),""),$K$2)</f>
        <v/>
      </c>
      <c r="AE43" s="56">
        <f>IFERROR(AC43*Z43*AA43,"")</f>
        <v/>
      </c>
      <c r="AF43" s="53">
        <f>K31</f>
        <v/>
      </c>
      <c r="AG43" s="57">
        <f>IF($D43="Forecast",IFERROR(K43/AF43-1,""),"")</f>
        <v/>
      </c>
      <c r="AH43" s="53">
        <f>IF(CPLHSource="National breakdown",CPLH_Breakdown!AK48,SUMIFS(Plan_Inputs!$D$2:$D$5000,Plan_Inputs!$A$2:$A$5000,$A43,Plan_Inputs!$B$2:$B$5000,$B$2))</f>
        <v/>
      </c>
      <c r="AJ43" s="15">
        <f>F43*$AK$11</f>
        <v/>
      </c>
      <c r="AK43" s="9">
        <f>G43*$AK$11</f>
        <v/>
      </c>
      <c r="AL43" s="30">
        <f>H43*$AK$11</f>
        <v/>
      </c>
      <c r="AM43" s="30">
        <f>I43*$AK$11</f>
        <v/>
      </c>
      <c r="AN43" s="30">
        <f>J43*$AK$11</f>
        <v/>
      </c>
      <c r="AP43" s="15">
        <f>F43*$AQ$11</f>
        <v/>
      </c>
      <c r="AQ43" s="9">
        <f>G43*$AQ$11</f>
        <v/>
      </c>
      <c r="AR43" s="30">
        <f>H43*$AQ$11</f>
        <v/>
      </c>
      <c r="AS43" s="30">
        <f>I43*$AQ$11</f>
        <v/>
      </c>
      <c r="AT43" s="30">
        <f>J43*$AQ$11</f>
        <v/>
      </c>
      <c r="AV43" s="15">
        <f>F43*$AW$11</f>
        <v/>
      </c>
      <c r="AW43" s="9">
        <f>G43*$AW$11</f>
        <v/>
      </c>
      <c r="AX43" s="30">
        <f>H43*$AW$11</f>
        <v/>
      </c>
      <c r="AY43" s="30">
        <f>I43*$AW$11</f>
        <v/>
      </c>
      <c r="AZ43" s="30">
        <f>J43*$AW$11</f>
        <v/>
      </c>
    </row>
    <row r="44">
      <c r="A44" s="8" t="n">
        <v>46539</v>
      </c>
      <c r="B44" s="33">
        <f>YEAR(A44)</f>
        <v/>
      </c>
      <c r="C44" s="33">
        <f>MONTH(A44)</f>
        <v/>
      </c>
      <c r="D44">
        <f>IF(A44&lt;=LastActual,"Actual","Forecast")</f>
        <v/>
      </c>
      <c r="E44" s="30">
        <f>IF($D44="Actual",R44,W44)</f>
        <v/>
      </c>
      <c r="F44" s="15">
        <f>IF($D44="Actual",S44,Cases_Forecast!AJ37)</f>
        <v/>
      </c>
      <c r="G44" s="9">
        <f>IF($D44="Actual",T44,IFERROR(F44/K44,0))</f>
        <v/>
      </c>
      <c r="H44" s="30">
        <f>IF($D44="Actual",U44,G44*L44)</f>
        <v/>
      </c>
      <c r="I44" s="30">
        <f>IF($D44="Actual",V44,J44-H44)</f>
        <v/>
      </c>
      <c r="J44" s="30">
        <f>IF($D44="Actual",U44+V44,IFERROR(H44/(1-AD44),0))</f>
        <v/>
      </c>
      <c r="K44" s="10">
        <f>IF($D44="Actual",IFERROR(S44/T44,0),CPLH_Forecast!AJ37)</f>
        <v/>
      </c>
      <c r="L44" s="34">
        <f>IF($D44="Actual",IFERROR(U44/T44,0),N(AE44))</f>
        <v/>
      </c>
      <c r="M44" s="35">
        <f>IFERROR(J44/F44,0)</f>
        <v/>
      </c>
      <c r="N44" s="36">
        <f>IFERROR(J44/E44,0)</f>
        <v/>
      </c>
      <c r="O44" s="36">
        <f>IFERROR(I44/J44,0)</f>
        <v/>
      </c>
      <c r="R44" s="52">
        <f>IF($D44="Actual",SUMIFS(Data_Actuals!$C$2:$C$5000,Data_Actuals!$A$2:$A$5000,$A44,Data_Actuals!$B$2:$B$5000,$B$2),"")</f>
        <v/>
      </c>
      <c r="S44" s="52">
        <f>IF($D44="Actual",SUMIFS(Data_Actuals!$D$2:$D$5000,Data_Actuals!$A$2:$A$5000,$A44,Data_Actuals!$B$2:$B$5000,$B$2),"")</f>
        <v/>
      </c>
      <c r="T44" s="52">
        <f>IF($D44="Actual",SUMIFS(Data_Actuals!$E$2:$E$5000,Data_Actuals!$A$2:$A$5000,$A44,Data_Actuals!$B$2:$B$5000,$B$2),"")</f>
        <v/>
      </c>
      <c r="U44" s="52">
        <f>IF($D44="Actual",SUMIFS(Data_Actuals!$F$2:$F$5000,Data_Actuals!$A$2:$A$5000,$A44,Data_Actuals!$B$2:$B$5000,$B$2),"")</f>
        <v/>
      </c>
      <c r="V44" s="52">
        <f>IF($D44="Actual",SUMIFS(Data_Actuals!$G$2:$G$5000,Data_Actuals!$A$2:$A$5000,$A44,Data_Actuals!$B$2:$B$5000,$B$2),"")</f>
        <v/>
      </c>
      <c r="W44" s="52">
        <f>SUMIFS(Plan_Inputs!$C$2:$C$5000,Plan_Inputs!$A$2:$A$5000,$A44,Plan_Inputs!$B$2:$B$5000,$B$2)</f>
        <v/>
      </c>
      <c r="X44" s="53">
        <f>IF($D44="Actual",IFERROR(S44/T44,""),X32)</f>
        <v/>
      </c>
      <c r="Y44" s="52">
        <f>E44</f>
        <v/>
      </c>
      <c r="Z44" s="54">
        <f>INDEX(Calendar!$H$5:$L$52,MATCH($A44,Calendar!$A$5:$A$52,0),MATCH($D$2,Calendar!$H$4:$L$4,0))</f>
        <v/>
      </c>
      <c r="AA44" s="54">
        <f>INDEX(Calendar!$M$5:$M$52,MATCH($A44,Calendar!$A$5:$A$52,0))</f>
        <v/>
      </c>
      <c r="AB44" s="55">
        <f>IF($D44="Actual",IFERROR(S44/Y44,""),AB32)</f>
        <v/>
      </c>
      <c r="AC44" s="56">
        <f>IF($D44="Actual",IFERROR(U44/T44/Z44/AA44,""),AC32)</f>
        <v/>
      </c>
      <c r="AD44" s="57">
        <f>IF($D44="Actual",IFERROR(V44/(U44+V44),""),$K$2)</f>
        <v/>
      </c>
      <c r="AE44" s="56">
        <f>IFERROR(AC44*Z44*AA44,"")</f>
        <v/>
      </c>
      <c r="AF44" s="53">
        <f>K32</f>
        <v/>
      </c>
      <c r="AG44" s="57">
        <f>IF($D44="Forecast",IFERROR(K44/AF44-1,""),"")</f>
        <v/>
      </c>
      <c r="AH44" s="53">
        <f>IF(CPLHSource="National breakdown",CPLH_Breakdown!AK49,SUMIFS(Plan_Inputs!$D$2:$D$5000,Plan_Inputs!$A$2:$A$5000,$A44,Plan_Inputs!$B$2:$B$5000,$B$2))</f>
        <v/>
      </c>
      <c r="AJ44" s="15">
        <f>F44*$AK$11</f>
        <v/>
      </c>
      <c r="AK44" s="9">
        <f>G44*$AK$11</f>
        <v/>
      </c>
      <c r="AL44" s="30">
        <f>H44*$AK$11</f>
        <v/>
      </c>
      <c r="AM44" s="30">
        <f>I44*$AK$11</f>
        <v/>
      </c>
      <c r="AN44" s="30">
        <f>J44*$AK$11</f>
        <v/>
      </c>
      <c r="AP44" s="15">
        <f>F44*$AQ$11</f>
        <v/>
      </c>
      <c r="AQ44" s="9">
        <f>G44*$AQ$11</f>
        <v/>
      </c>
      <c r="AR44" s="30">
        <f>H44*$AQ$11</f>
        <v/>
      </c>
      <c r="AS44" s="30">
        <f>I44*$AQ$11</f>
        <v/>
      </c>
      <c r="AT44" s="30">
        <f>J44*$AQ$11</f>
        <v/>
      </c>
      <c r="AV44" s="15">
        <f>F44*$AW$11</f>
        <v/>
      </c>
      <c r="AW44" s="9">
        <f>G44*$AW$11</f>
        <v/>
      </c>
      <c r="AX44" s="30">
        <f>H44*$AW$11</f>
        <v/>
      </c>
      <c r="AY44" s="30">
        <f>I44*$AW$11</f>
        <v/>
      </c>
      <c r="AZ44" s="30">
        <f>J44*$AW$11</f>
        <v/>
      </c>
    </row>
    <row r="45">
      <c r="A45" s="8" t="n">
        <v>46569</v>
      </c>
      <c r="B45" s="33">
        <f>YEAR(A45)</f>
        <v/>
      </c>
      <c r="C45" s="33">
        <f>MONTH(A45)</f>
        <v/>
      </c>
      <c r="D45">
        <f>IF(A45&lt;=LastActual,"Actual","Forecast")</f>
        <v/>
      </c>
      <c r="E45" s="30">
        <f>IF($D45="Actual",R45,W45)</f>
        <v/>
      </c>
      <c r="F45" s="15">
        <f>IF($D45="Actual",S45,Cases_Forecast!AJ38)</f>
        <v/>
      </c>
      <c r="G45" s="9">
        <f>IF($D45="Actual",T45,IFERROR(F45/K45,0))</f>
        <v/>
      </c>
      <c r="H45" s="30">
        <f>IF($D45="Actual",U45,G45*L45)</f>
        <v/>
      </c>
      <c r="I45" s="30">
        <f>IF($D45="Actual",V45,J45-H45)</f>
        <v/>
      </c>
      <c r="J45" s="30">
        <f>IF($D45="Actual",U45+V45,IFERROR(H45/(1-AD45),0))</f>
        <v/>
      </c>
      <c r="K45" s="10">
        <f>IF($D45="Actual",IFERROR(S45/T45,0),CPLH_Forecast!AJ38)</f>
        <v/>
      </c>
      <c r="L45" s="34">
        <f>IF($D45="Actual",IFERROR(U45/T45,0),N(AE45))</f>
        <v/>
      </c>
      <c r="M45" s="35">
        <f>IFERROR(J45/F45,0)</f>
        <v/>
      </c>
      <c r="N45" s="36">
        <f>IFERROR(J45/E45,0)</f>
        <v/>
      </c>
      <c r="O45" s="36">
        <f>IFERROR(I45/J45,0)</f>
        <v/>
      </c>
      <c r="R45" s="52">
        <f>IF($D45="Actual",SUMIFS(Data_Actuals!$C$2:$C$5000,Data_Actuals!$A$2:$A$5000,$A45,Data_Actuals!$B$2:$B$5000,$B$2),"")</f>
        <v/>
      </c>
      <c r="S45" s="52">
        <f>IF($D45="Actual",SUMIFS(Data_Actuals!$D$2:$D$5000,Data_Actuals!$A$2:$A$5000,$A45,Data_Actuals!$B$2:$B$5000,$B$2),"")</f>
        <v/>
      </c>
      <c r="T45" s="52">
        <f>IF($D45="Actual",SUMIFS(Data_Actuals!$E$2:$E$5000,Data_Actuals!$A$2:$A$5000,$A45,Data_Actuals!$B$2:$B$5000,$B$2),"")</f>
        <v/>
      </c>
      <c r="U45" s="52">
        <f>IF($D45="Actual",SUMIFS(Data_Actuals!$F$2:$F$5000,Data_Actuals!$A$2:$A$5000,$A45,Data_Actuals!$B$2:$B$5000,$B$2),"")</f>
        <v/>
      </c>
      <c r="V45" s="52">
        <f>IF($D45="Actual",SUMIFS(Data_Actuals!$G$2:$G$5000,Data_Actuals!$A$2:$A$5000,$A45,Data_Actuals!$B$2:$B$5000,$B$2),"")</f>
        <v/>
      </c>
      <c r="W45" s="52">
        <f>SUMIFS(Plan_Inputs!$C$2:$C$5000,Plan_Inputs!$A$2:$A$5000,$A45,Plan_Inputs!$B$2:$B$5000,$B$2)</f>
        <v/>
      </c>
      <c r="X45" s="53">
        <f>IF($D45="Actual",IFERROR(S45/T45,""),X33)</f>
        <v/>
      </c>
      <c r="Y45" s="52">
        <f>E45</f>
        <v/>
      </c>
      <c r="Z45" s="54">
        <f>INDEX(Calendar!$H$5:$L$52,MATCH($A45,Calendar!$A$5:$A$52,0),MATCH($D$2,Calendar!$H$4:$L$4,0))</f>
        <v/>
      </c>
      <c r="AA45" s="54">
        <f>INDEX(Calendar!$M$5:$M$52,MATCH($A45,Calendar!$A$5:$A$52,0))</f>
        <v/>
      </c>
      <c r="AB45" s="55">
        <f>IF($D45="Actual",IFERROR(S45/Y45,""),AB33)</f>
        <v/>
      </c>
      <c r="AC45" s="56">
        <f>IF($D45="Actual",IFERROR(U45/T45/Z45/AA45,""),AC33)</f>
        <v/>
      </c>
      <c r="AD45" s="57">
        <f>IF($D45="Actual",IFERROR(V45/(U45+V45),""),$K$2)</f>
        <v/>
      </c>
      <c r="AE45" s="56">
        <f>IFERROR(AC45*Z45*AA45,"")</f>
        <v/>
      </c>
      <c r="AF45" s="53">
        <f>K33</f>
        <v/>
      </c>
      <c r="AG45" s="57">
        <f>IF($D45="Forecast",IFERROR(K45/AF45-1,""),"")</f>
        <v/>
      </c>
      <c r="AH45" s="53">
        <f>IF(CPLHSource="National breakdown",CPLH_Breakdown!AK50,SUMIFS(Plan_Inputs!$D$2:$D$5000,Plan_Inputs!$A$2:$A$5000,$A45,Plan_Inputs!$B$2:$B$5000,$B$2))</f>
        <v/>
      </c>
      <c r="AJ45" s="15">
        <f>F45*$AK$11</f>
        <v/>
      </c>
      <c r="AK45" s="9">
        <f>G45*$AK$11</f>
        <v/>
      </c>
      <c r="AL45" s="30">
        <f>H45*$AK$11</f>
        <v/>
      </c>
      <c r="AM45" s="30">
        <f>I45*$AK$11</f>
        <v/>
      </c>
      <c r="AN45" s="30">
        <f>J45*$AK$11</f>
        <v/>
      </c>
      <c r="AP45" s="15">
        <f>F45*$AQ$11</f>
        <v/>
      </c>
      <c r="AQ45" s="9">
        <f>G45*$AQ$11</f>
        <v/>
      </c>
      <c r="AR45" s="30">
        <f>H45*$AQ$11</f>
        <v/>
      </c>
      <c r="AS45" s="30">
        <f>I45*$AQ$11</f>
        <v/>
      </c>
      <c r="AT45" s="30">
        <f>J45*$AQ$11</f>
        <v/>
      </c>
      <c r="AV45" s="15">
        <f>F45*$AW$11</f>
        <v/>
      </c>
      <c r="AW45" s="9">
        <f>G45*$AW$11</f>
        <v/>
      </c>
      <c r="AX45" s="30">
        <f>H45*$AW$11</f>
        <v/>
      </c>
      <c r="AY45" s="30">
        <f>I45*$AW$11</f>
        <v/>
      </c>
      <c r="AZ45" s="30">
        <f>J45*$AW$11</f>
        <v/>
      </c>
    </row>
    <row r="46">
      <c r="A46" s="8" t="n">
        <v>46600</v>
      </c>
      <c r="B46" s="33">
        <f>YEAR(A46)</f>
        <v/>
      </c>
      <c r="C46" s="33">
        <f>MONTH(A46)</f>
        <v/>
      </c>
      <c r="D46">
        <f>IF(A46&lt;=LastActual,"Actual","Forecast")</f>
        <v/>
      </c>
      <c r="E46" s="30">
        <f>IF($D46="Actual",R46,W46)</f>
        <v/>
      </c>
      <c r="F46" s="15">
        <f>IF($D46="Actual",S46,Cases_Forecast!AJ39)</f>
        <v/>
      </c>
      <c r="G46" s="9">
        <f>IF($D46="Actual",T46,IFERROR(F46/K46,0))</f>
        <v/>
      </c>
      <c r="H46" s="30">
        <f>IF($D46="Actual",U46,G46*L46)</f>
        <v/>
      </c>
      <c r="I46" s="30">
        <f>IF($D46="Actual",V46,J46-H46)</f>
        <v/>
      </c>
      <c r="J46" s="30">
        <f>IF($D46="Actual",U46+V46,IFERROR(H46/(1-AD46),0))</f>
        <v/>
      </c>
      <c r="K46" s="10">
        <f>IF($D46="Actual",IFERROR(S46/T46,0),CPLH_Forecast!AJ39)</f>
        <v/>
      </c>
      <c r="L46" s="34">
        <f>IF($D46="Actual",IFERROR(U46/T46,0),N(AE46))</f>
        <v/>
      </c>
      <c r="M46" s="35">
        <f>IFERROR(J46/F46,0)</f>
        <v/>
      </c>
      <c r="N46" s="36">
        <f>IFERROR(J46/E46,0)</f>
        <v/>
      </c>
      <c r="O46" s="36">
        <f>IFERROR(I46/J46,0)</f>
        <v/>
      </c>
      <c r="R46" s="52">
        <f>IF($D46="Actual",SUMIFS(Data_Actuals!$C$2:$C$5000,Data_Actuals!$A$2:$A$5000,$A46,Data_Actuals!$B$2:$B$5000,$B$2),"")</f>
        <v/>
      </c>
      <c r="S46" s="52">
        <f>IF($D46="Actual",SUMIFS(Data_Actuals!$D$2:$D$5000,Data_Actuals!$A$2:$A$5000,$A46,Data_Actuals!$B$2:$B$5000,$B$2),"")</f>
        <v/>
      </c>
      <c r="T46" s="52">
        <f>IF($D46="Actual",SUMIFS(Data_Actuals!$E$2:$E$5000,Data_Actuals!$A$2:$A$5000,$A46,Data_Actuals!$B$2:$B$5000,$B$2),"")</f>
        <v/>
      </c>
      <c r="U46" s="52">
        <f>IF($D46="Actual",SUMIFS(Data_Actuals!$F$2:$F$5000,Data_Actuals!$A$2:$A$5000,$A46,Data_Actuals!$B$2:$B$5000,$B$2),"")</f>
        <v/>
      </c>
      <c r="V46" s="52">
        <f>IF($D46="Actual",SUMIFS(Data_Actuals!$G$2:$G$5000,Data_Actuals!$A$2:$A$5000,$A46,Data_Actuals!$B$2:$B$5000,$B$2),"")</f>
        <v/>
      </c>
      <c r="W46" s="52">
        <f>SUMIFS(Plan_Inputs!$C$2:$C$5000,Plan_Inputs!$A$2:$A$5000,$A46,Plan_Inputs!$B$2:$B$5000,$B$2)</f>
        <v/>
      </c>
      <c r="X46" s="53">
        <f>IF($D46="Actual",IFERROR(S46/T46,""),X34)</f>
        <v/>
      </c>
      <c r="Y46" s="52">
        <f>E46</f>
        <v/>
      </c>
      <c r="Z46" s="54">
        <f>INDEX(Calendar!$H$5:$L$52,MATCH($A46,Calendar!$A$5:$A$52,0),MATCH($D$2,Calendar!$H$4:$L$4,0))</f>
        <v/>
      </c>
      <c r="AA46" s="54">
        <f>INDEX(Calendar!$M$5:$M$52,MATCH($A46,Calendar!$A$5:$A$52,0))</f>
        <v/>
      </c>
      <c r="AB46" s="55">
        <f>IF($D46="Actual",IFERROR(S46/Y46,""),AB34)</f>
        <v/>
      </c>
      <c r="AC46" s="56">
        <f>IF($D46="Actual",IFERROR(U46/T46/Z46/AA46,""),AC34)</f>
        <v/>
      </c>
      <c r="AD46" s="57">
        <f>IF($D46="Actual",IFERROR(V46/(U46+V46),""),$K$2)</f>
        <v/>
      </c>
      <c r="AE46" s="56">
        <f>IFERROR(AC46*Z46*AA46,"")</f>
        <v/>
      </c>
      <c r="AF46" s="53">
        <f>K34</f>
        <v/>
      </c>
      <c r="AG46" s="57">
        <f>IF($D46="Forecast",IFERROR(K46/AF46-1,""),"")</f>
        <v/>
      </c>
      <c r="AH46" s="53">
        <f>IF(CPLHSource="National breakdown",CPLH_Breakdown!AK51,SUMIFS(Plan_Inputs!$D$2:$D$5000,Plan_Inputs!$A$2:$A$5000,$A46,Plan_Inputs!$B$2:$B$5000,$B$2))</f>
        <v/>
      </c>
      <c r="AJ46" s="15">
        <f>F46*$AK$11</f>
        <v/>
      </c>
      <c r="AK46" s="9">
        <f>G46*$AK$11</f>
        <v/>
      </c>
      <c r="AL46" s="30">
        <f>H46*$AK$11</f>
        <v/>
      </c>
      <c r="AM46" s="30">
        <f>I46*$AK$11</f>
        <v/>
      </c>
      <c r="AN46" s="30">
        <f>J46*$AK$11</f>
        <v/>
      </c>
      <c r="AP46" s="15">
        <f>F46*$AQ$11</f>
        <v/>
      </c>
      <c r="AQ46" s="9">
        <f>G46*$AQ$11</f>
        <v/>
      </c>
      <c r="AR46" s="30">
        <f>H46*$AQ$11</f>
        <v/>
      </c>
      <c r="AS46" s="30">
        <f>I46*$AQ$11</f>
        <v/>
      </c>
      <c r="AT46" s="30">
        <f>J46*$AQ$11</f>
        <v/>
      </c>
      <c r="AV46" s="15">
        <f>F46*$AW$11</f>
        <v/>
      </c>
      <c r="AW46" s="9">
        <f>G46*$AW$11</f>
        <v/>
      </c>
      <c r="AX46" s="30">
        <f>H46*$AW$11</f>
        <v/>
      </c>
      <c r="AY46" s="30">
        <f>I46*$AW$11</f>
        <v/>
      </c>
      <c r="AZ46" s="30">
        <f>J46*$AW$11</f>
        <v/>
      </c>
    </row>
    <row r="47">
      <c r="A47" s="8" t="n">
        <v>46631</v>
      </c>
      <c r="B47" s="33">
        <f>YEAR(A47)</f>
        <v/>
      </c>
      <c r="C47" s="33">
        <f>MONTH(A47)</f>
        <v/>
      </c>
      <c r="D47">
        <f>IF(A47&lt;=LastActual,"Actual","Forecast")</f>
        <v/>
      </c>
      <c r="E47" s="30">
        <f>IF($D47="Actual",R47,W47)</f>
        <v/>
      </c>
      <c r="F47" s="15">
        <f>IF($D47="Actual",S47,Cases_Forecast!AJ40)</f>
        <v/>
      </c>
      <c r="G47" s="9">
        <f>IF($D47="Actual",T47,IFERROR(F47/K47,0))</f>
        <v/>
      </c>
      <c r="H47" s="30">
        <f>IF($D47="Actual",U47,G47*L47)</f>
        <v/>
      </c>
      <c r="I47" s="30">
        <f>IF($D47="Actual",V47,J47-H47)</f>
        <v/>
      </c>
      <c r="J47" s="30">
        <f>IF($D47="Actual",U47+V47,IFERROR(H47/(1-AD47),0))</f>
        <v/>
      </c>
      <c r="K47" s="10">
        <f>IF($D47="Actual",IFERROR(S47/T47,0),CPLH_Forecast!AJ40)</f>
        <v/>
      </c>
      <c r="L47" s="34">
        <f>IF($D47="Actual",IFERROR(U47/T47,0),N(AE47))</f>
        <v/>
      </c>
      <c r="M47" s="35">
        <f>IFERROR(J47/F47,0)</f>
        <v/>
      </c>
      <c r="N47" s="36">
        <f>IFERROR(J47/E47,0)</f>
        <v/>
      </c>
      <c r="O47" s="36">
        <f>IFERROR(I47/J47,0)</f>
        <v/>
      </c>
      <c r="R47" s="52">
        <f>IF($D47="Actual",SUMIFS(Data_Actuals!$C$2:$C$5000,Data_Actuals!$A$2:$A$5000,$A47,Data_Actuals!$B$2:$B$5000,$B$2),"")</f>
        <v/>
      </c>
      <c r="S47" s="52">
        <f>IF($D47="Actual",SUMIFS(Data_Actuals!$D$2:$D$5000,Data_Actuals!$A$2:$A$5000,$A47,Data_Actuals!$B$2:$B$5000,$B$2),"")</f>
        <v/>
      </c>
      <c r="T47" s="52">
        <f>IF($D47="Actual",SUMIFS(Data_Actuals!$E$2:$E$5000,Data_Actuals!$A$2:$A$5000,$A47,Data_Actuals!$B$2:$B$5000,$B$2),"")</f>
        <v/>
      </c>
      <c r="U47" s="52">
        <f>IF($D47="Actual",SUMIFS(Data_Actuals!$F$2:$F$5000,Data_Actuals!$A$2:$A$5000,$A47,Data_Actuals!$B$2:$B$5000,$B$2),"")</f>
        <v/>
      </c>
      <c r="V47" s="52">
        <f>IF($D47="Actual",SUMIFS(Data_Actuals!$G$2:$G$5000,Data_Actuals!$A$2:$A$5000,$A47,Data_Actuals!$B$2:$B$5000,$B$2),"")</f>
        <v/>
      </c>
      <c r="W47" s="52">
        <f>SUMIFS(Plan_Inputs!$C$2:$C$5000,Plan_Inputs!$A$2:$A$5000,$A47,Plan_Inputs!$B$2:$B$5000,$B$2)</f>
        <v/>
      </c>
      <c r="X47" s="53">
        <f>IF($D47="Actual",IFERROR(S47/T47,""),X35)</f>
        <v/>
      </c>
      <c r="Y47" s="52">
        <f>E47</f>
        <v/>
      </c>
      <c r="Z47" s="54">
        <f>INDEX(Calendar!$H$5:$L$52,MATCH($A47,Calendar!$A$5:$A$52,0),MATCH($D$2,Calendar!$H$4:$L$4,0))</f>
        <v/>
      </c>
      <c r="AA47" s="54">
        <f>INDEX(Calendar!$M$5:$M$52,MATCH($A47,Calendar!$A$5:$A$52,0))</f>
        <v/>
      </c>
      <c r="AB47" s="55">
        <f>IF($D47="Actual",IFERROR(S47/Y47,""),AB35)</f>
        <v/>
      </c>
      <c r="AC47" s="56">
        <f>IF($D47="Actual",IFERROR(U47/T47/Z47/AA47,""),AC35)</f>
        <v/>
      </c>
      <c r="AD47" s="57">
        <f>IF($D47="Actual",IFERROR(V47/(U47+V47),""),$K$2)</f>
        <v/>
      </c>
      <c r="AE47" s="56">
        <f>IFERROR(AC47*Z47*AA47,"")</f>
        <v/>
      </c>
      <c r="AF47" s="53">
        <f>K35</f>
        <v/>
      </c>
      <c r="AG47" s="57">
        <f>IF($D47="Forecast",IFERROR(K47/AF47-1,""),"")</f>
        <v/>
      </c>
      <c r="AH47" s="53">
        <f>IF(CPLHSource="National breakdown",CPLH_Breakdown!AK52,SUMIFS(Plan_Inputs!$D$2:$D$5000,Plan_Inputs!$A$2:$A$5000,$A47,Plan_Inputs!$B$2:$B$5000,$B$2))</f>
        <v/>
      </c>
      <c r="AJ47" s="15">
        <f>F47*$AK$11</f>
        <v/>
      </c>
      <c r="AK47" s="9">
        <f>G47*$AK$11</f>
        <v/>
      </c>
      <c r="AL47" s="30">
        <f>H47*$AK$11</f>
        <v/>
      </c>
      <c r="AM47" s="30">
        <f>I47*$AK$11</f>
        <v/>
      </c>
      <c r="AN47" s="30">
        <f>J47*$AK$11</f>
        <v/>
      </c>
      <c r="AP47" s="15">
        <f>F47*$AQ$11</f>
        <v/>
      </c>
      <c r="AQ47" s="9">
        <f>G47*$AQ$11</f>
        <v/>
      </c>
      <c r="AR47" s="30">
        <f>H47*$AQ$11</f>
        <v/>
      </c>
      <c r="AS47" s="30">
        <f>I47*$AQ$11</f>
        <v/>
      </c>
      <c r="AT47" s="30">
        <f>J47*$AQ$11</f>
        <v/>
      </c>
      <c r="AV47" s="15">
        <f>F47*$AW$11</f>
        <v/>
      </c>
      <c r="AW47" s="9">
        <f>G47*$AW$11</f>
        <v/>
      </c>
      <c r="AX47" s="30">
        <f>H47*$AW$11</f>
        <v/>
      </c>
      <c r="AY47" s="30">
        <f>I47*$AW$11</f>
        <v/>
      </c>
      <c r="AZ47" s="30">
        <f>J47*$AW$11</f>
        <v/>
      </c>
    </row>
    <row r="48">
      <c r="A48" s="8" t="n">
        <v>46661</v>
      </c>
      <c r="B48" s="33">
        <f>YEAR(A48)</f>
        <v/>
      </c>
      <c r="C48" s="33">
        <f>MONTH(A48)</f>
        <v/>
      </c>
      <c r="D48">
        <f>IF(A48&lt;=LastActual,"Actual","Forecast")</f>
        <v/>
      </c>
      <c r="E48" s="30">
        <f>IF($D48="Actual",R48,W48)</f>
        <v/>
      </c>
      <c r="F48" s="15">
        <f>IF($D48="Actual",S48,Cases_Forecast!AJ41)</f>
        <v/>
      </c>
      <c r="G48" s="9">
        <f>IF($D48="Actual",T48,IFERROR(F48/K48,0))</f>
        <v/>
      </c>
      <c r="H48" s="30">
        <f>IF($D48="Actual",U48,G48*L48)</f>
        <v/>
      </c>
      <c r="I48" s="30">
        <f>IF($D48="Actual",V48,J48-H48)</f>
        <v/>
      </c>
      <c r="J48" s="30">
        <f>IF($D48="Actual",U48+V48,IFERROR(H48/(1-AD48),0))</f>
        <v/>
      </c>
      <c r="K48" s="10">
        <f>IF($D48="Actual",IFERROR(S48/T48,0),CPLH_Forecast!AJ41)</f>
        <v/>
      </c>
      <c r="L48" s="34">
        <f>IF($D48="Actual",IFERROR(U48/T48,0),N(AE48))</f>
        <v/>
      </c>
      <c r="M48" s="35">
        <f>IFERROR(J48/F48,0)</f>
        <v/>
      </c>
      <c r="N48" s="36">
        <f>IFERROR(J48/E48,0)</f>
        <v/>
      </c>
      <c r="O48" s="36">
        <f>IFERROR(I48/J48,0)</f>
        <v/>
      </c>
      <c r="R48" s="52">
        <f>IF($D48="Actual",SUMIFS(Data_Actuals!$C$2:$C$5000,Data_Actuals!$A$2:$A$5000,$A48,Data_Actuals!$B$2:$B$5000,$B$2),"")</f>
        <v/>
      </c>
      <c r="S48" s="52">
        <f>IF($D48="Actual",SUMIFS(Data_Actuals!$D$2:$D$5000,Data_Actuals!$A$2:$A$5000,$A48,Data_Actuals!$B$2:$B$5000,$B$2),"")</f>
        <v/>
      </c>
      <c r="T48" s="52">
        <f>IF($D48="Actual",SUMIFS(Data_Actuals!$E$2:$E$5000,Data_Actuals!$A$2:$A$5000,$A48,Data_Actuals!$B$2:$B$5000,$B$2),"")</f>
        <v/>
      </c>
      <c r="U48" s="52">
        <f>IF($D48="Actual",SUMIFS(Data_Actuals!$F$2:$F$5000,Data_Actuals!$A$2:$A$5000,$A48,Data_Actuals!$B$2:$B$5000,$B$2),"")</f>
        <v/>
      </c>
      <c r="V48" s="52">
        <f>IF($D48="Actual",SUMIFS(Data_Actuals!$G$2:$G$5000,Data_Actuals!$A$2:$A$5000,$A48,Data_Actuals!$B$2:$B$5000,$B$2),"")</f>
        <v/>
      </c>
      <c r="W48" s="52">
        <f>SUMIFS(Plan_Inputs!$C$2:$C$5000,Plan_Inputs!$A$2:$A$5000,$A48,Plan_Inputs!$B$2:$B$5000,$B$2)</f>
        <v/>
      </c>
      <c r="X48" s="53">
        <f>IF($D48="Actual",IFERROR(S48/T48,""),X36)</f>
        <v/>
      </c>
      <c r="Y48" s="52">
        <f>E48</f>
        <v/>
      </c>
      <c r="Z48" s="54">
        <f>INDEX(Calendar!$H$5:$L$52,MATCH($A48,Calendar!$A$5:$A$52,0),MATCH($D$2,Calendar!$H$4:$L$4,0))</f>
        <v/>
      </c>
      <c r="AA48" s="54">
        <f>INDEX(Calendar!$M$5:$M$52,MATCH($A48,Calendar!$A$5:$A$52,0))</f>
        <v/>
      </c>
      <c r="AB48" s="55">
        <f>IF($D48="Actual",IFERROR(S48/Y48,""),AB36)</f>
        <v/>
      </c>
      <c r="AC48" s="56">
        <f>IF($D48="Actual",IFERROR(U48/T48/Z48/AA48,""),AC36)</f>
        <v/>
      </c>
      <c r="AD48" s="57">
        <f>IF($D48="Actual",IFERROR(V48/(U48+V48),""),$K$2)</f>
        <v/>
      </c>
      <c r="AE48" s="56">
        <f>IFERROR(AC48*Z48*AA48,"")</f>
        <v/>
      </c>
      <c r="AF48" s="53">
        <f>K36</f>
        <v/>
      </c>
      <c r="AG48" s="57">
        <f>IF($D48="Forecast",IFERROR(K48/AF48-1,""),"")</f>
        <v/>
      </c>
      <c r="AH48" s="53">
        <f>IF(CPLHSource="National breakdown",CPLH_Breakdown!AK53,SUMIFS(Plan_Inputs!$D$2:$D$5000,Plan_Inputs!$A$2:$A$5000,$A48,Plan_Inputs!$B$2:$B$5000,$B$2))</f>
        <v/>
      </c>
      <c r="AJ48" s="15">
        <f>F48*$AK$11</f>
        <v/>
      </c>
      <c r="AK48" s="9">
        <f>G48*$AK$11</f>
        <v/>
      </c>
      <c r="AL48" s="30">
        <f>H48*$AK$11</f>
        <v/>
      </c>
      <c r="AM48" s="30">
        <f>I48*$AK$11</f>
        <v/>
      </c>
      <c r="AN48" s="30">
        <f>J48*$AK$11</f>
        <v/>
      </c>
      <c r="AP48" s="15">
        <f>F48*$AQ$11</f>
        <v/>
      </c>
      <c r="AQ48" s="9">
        <f>G48*$AQ$11</f>
        <v/>
      </c>
      <c r="AR48" s="30">
        <f>H48*$AQ$11</f>
        <v/>
      </c>
      <c r="AS48" s="30">
        <f>I48*$AQ$11</f>
        <v/>
      </c>
      <c r="AT48" s="30">
        <f>J48*$AQ$11</f>
        <v/>
      </c>
      <c r="AV48" s="15">
        <f>F48*$AW$11</f>
        <v/>
      </c>
      <c r="AW48" s="9">
        <f>G48*$AW$11</f>
        <v/>
      </c>
      <c r="AX48" s="30">
        <f>H48*$AW$11</f>
        <v/>
      </c>
      <c r="AY48" s="30">
        <f>I48*$AW$11</f>
        <v/>
      </c>
      <c r="AZ48" s="30">
        <f>J48*$AW$11</f>
        <v/>
      </c>
    </row>
    <row r="49">
      <c r="A49" s="8" t="n">
        <v>46692</v>
      </c>
      <c r="B49" s="33">
        <f>YEAR(A49)</f>
        <v/>
      </c>
      <c r="C49" s="33">
        <f>MONTH(A49)</f>
        <v/>
      </c>
      <c r="D49">
        <f>IF(A49&lt;=LastActual,"Actual","Forecast")</f>
        <v/>
      </c>
      <c r="E49" s="30">
        <f>IF($D49="Actual",R49,W49)</f>
        <v/>
      </c>
      <c r="F49" s="15">
        <f>IF($D49="Actual",S49,Cases_Forecast!AJ42)</f>
        <v/>
      </c>
      <c r="G49" s="9">
        <f>IF($D49="Actual",T49,IFERROR(F49/K49,0))</f>
        <v/>
      </c>
      <c r="H49" s="30">
        <f>IF($D49="Actual",U49,G49*L49)</f>
        <v/>
      </c>
      <c r="I49" s="30">
        <f>IF($D49="Actual",V49,J49-H49)</f>
        <v/>
      </c>
      <c r="J49" s="30">
        <f>IF($D49="Actual",U49+V49,IFERROR(H49/(1-AD49),0))</f>
        <v/>
      </c>
      <c r="K49" s="10">
        <f>IF($D49="Actual",IFERROR(S49/T49,0),CPLH_Forecast!AJ42)</f>
        <v/>
      </c>
      <c r="L49" s="34">
        <f>IF($D49="Actual",IFERROR(U49/T49,0),N(AE49))</f>
        <v/>
      </c>
      <c r="M49" s="35">
        <f>IFERROR(J49/F49,0)</f>
        <v/>
      </c>
      <c r="N49" s="36">
        <f>IFERROR(J49/E49,0)</f>
        <v/>
      </c>
      <c r="O49" s="36">
        <f>IFERROR(I49/J49,0)</f>
        <v/>
      </c>
      <c r="R49" s="52">
        <f>IF($D49="Actual",SUMIFS(Data_Actuals!$C$2:$C$5000,Data_Actuals!$A$2:$A$5000,$A49,Data_Actuals!$B$2:$B$5000,$B$2),"")</f>
        <v/>
      </c>
      <c r="S49" s="52">
        <f>IF($D49="Actual",SUMIFS(Data_Actuals!$D$2:$D$5000,Data_Actuals!$A$2:$A$5000,$A49,Data_Actuals!$B$2:$B$5000,$B$2),"")</f>
        <v/>
      </c>
      <c r="T49" s="52">
        <f>IF($D49="Actual",SUMIFS(Data_Actuals!$E$2:$E$5000,Data_Actuals!$A$2:$A$5000,$A49,Data_Actuals!$B$2:$B$5000,$B$2),"")</f>
        <v/>
      </c>
      <c r="U49" s="52">
        <f>IF($D49="Actual",SUMIFS(Data_Actuals!$F$2:$F$5000,Data_Actuals!$A$2:$A$5000,$A49,Data_Actuals!$B$2:$B$5000,$B$2),"")</f>
        <v/>
      </c>
      <c r="V49" s="52">
        <f>IF($D49="Actual",SUMIFS(Data_Actuals!$G$2:$G$5000,Data_Actuals!$A$2:$A$5000,$A49,Data_Actuals!$B$2:$B$5000,$B$2),"")</f>
        <v/>
      </c>
      <c r="W49" s="52">
        <f>SUMIFS(Plan_Inputs!$C$2:$C$5000,Plan_Inputs!$A$2:$A$5000,$A49,Plan_Inputs!$B$2:$B$5000,$B$2)</f>
        <v/>
      </c>
      <c r="X49" s="53">
        <f>IF($D49="Actual",IFERROR(S49/T49,""),X37)</f>
        <v/>
      </c>
      <c r="Y49" s="52">
        <f>E49</f>
        <v/>
      </c>
      <c r="Z49" s="54">
        <f>INDEX(Calendar!$H$5:$L$52,MATCH($A49,Calendar!$A$5:$A$52,0),MATCH($D$2,Calendar!$H$4:$L$4,0))</f>
        <v/>
      </c>
      <c r="AA49" s="54">
        <f>INDEX(Calendar!$M$5:$M$52,MATCH($A49,Calendar!$A$5:$A$52,0))</f>
        <v/>
      </c>
      <c r="AB49" s="55">
        <f>IF($D49="Actual",IFERROR(S49/Y49,""),AB37)</f>
        <v/>
      </c>
      <c r="AC49" s="56">
        <f>IF($D49="Actual",IFERROR(U49/T49/Z49/AA49,""),AC37)</f>
        <v/>
      </c>
      <c r="AD49" s="57">
        <f>IF($D49="Actual",IFERROR(V49/(U49+V49),""),$K$2)</f>
        <v/>
      </c>
      <c r="AE49" s="56">
        <f>IFERROR(AC49*Z49*AA49,"")</f>
        <v/>
      </c>
      <c r="AF49" s="53">
        <f>K37</f>
        <v/>
      </c>
      <c r="AG49" s="57">
        <f>IF($D49="Forecast",IFERROR(K49/AF49-1,""),"")</f>
        <v/>
      </c>
      <c r="AH49" s="53">
        <f>IF(CPLHSource="National breakdown",CPLH_Breakdown!AK54,SUMIFS(Plan_Inputs!$D$2:$D$5000,Plan_Inputs!$A$2:$A$5000,$A49,Plan_Inputs!$B$2:$B$5000,$B$2))</f>
        <v/>
      </c>
      <c r="AJ49" s="15">
        <f>F49*$AK$11</f>
        <v/>
      </c>
      <c r="AK49" s="9">
        <f>G49*$AK$11</f>
        <v/>
      </c>
      <c r="AL49" s="30">
        <f>H49*$AK$11</f>
        <v/>
      </c>
      <c r="AM49" s="30">
        <f>I49*$AK$11</f>
        <v/>
      </c>
      <c r="AN49" s="30">
        <f>J49*$AK$11</f>
        <v/>
      </c>
      <c r="AP49" s="15">
        <f>F49*$AQ$11</f>
        <v/>
      </c>
      <c r="AQ49" s="9">
        <f>G49*$AQ$11</f>
        <v/>
      </c>
      <c r="AR49" s="30">
        <f>H49*$AQ$11</f>
        <v/>
      </c>
      <c r="AS49" s="30">
        <f>I49*$AQ$11</f>
        <v/>
      </c>
      <c r="AT49" s="30">
        <f>J49*$AQ$11</f>
        <v/>
      </c>
      <c r="AV49" s="15">
        <f>F49*$AW$11</f>
        <v/>
      </c>
      <c r="AW49" s="9">
        <f>G49*$AW$11</f>
        <v/>
      </c>
      <c r="AX49" s="30">
        <f>H49*$AW$11</f>
        <v/>
      </c>
      <c r="AY49" s="30">
        <f>I49*$AW$11</f>
        <v/>
      </c>
      <c r="AZ49" s="30">
        <f>J49*$AW$11</f>
        <v/>
      </c>
    </row>
    <row r="50">
      <c r="A50" s="37" t="n">
        <v>46722</v>
      </c>
      <c r="B50" s="38">
        <f>YEAR(A50)</f>
        <v/>
      </c>
      <c r="C50" s="38">
        <f>MONTH(A50)</f>
        <v/>
      </c>
      <c r="D50" s="39">
        <f>IF(A50&lt;=LastActual,"Actual","Forecast")</f>
        <v/>
      </c>
      <c r="E50" s="40">
        <f>IF($D50="Actual",R50,W50)</f>
        <v/>
      </c>
      <c r="F50" s="41">
        <f>IF($D50="Actual",S50,Cases_Forecast!AJ43)</f>
        <v/>
      </c>
      <c r="G50" s="42">
        <f>IF($D50="Actual",T50,IFERROR(F50/K50,0))</f>
        <v/>
      </c>
      <c r="H50" s="40">
        <f>IF($D50="Actual",U50,G50*L50)</f>
        <v/>
      </c>
      <c r="I50" s="40">
        <f>IF($D50="Actual",V50,J50-H50)</f>
        <v/>
      </c>
      <c r="J50" s="40">
        <f>IF($D50="Actual",U50+V50,IFERROR(H50/(1-AD50),0))</f>
        <v/>
      </c>
      <c r="K50" s="43">
        <f>IF($D50="Actual",IFERROR(S50/T50,0),CPLH_Forecast!AJ43)</f>
        <v/>
      </c>
      <c r="L50" s="44">
        <f>IF($D50="Actual",IFERROR(U50/T50,0),N(AE50))</f>
        <v/>
      </c>
      <c r="M50" s="45">
        <f>IFERROR(J50/F50,0)</f>
        <v/>
      </c>
      <c r="N50" s="46">
        <f>IFERROR(J50/E50,0)</f>
        <v/>
      </c>
      <c r="O50" s="46">
        <f>IFERROR(I50/J50,0)</f>
        <v/>
      </c>
      <c r="R50" s="52">
        <f>IF($D50="Actual",SUMIFS(Data_Actuals!$C$2:$C$5000,Data_Actuals!$A$2:$A$5000,$A50,Data_Actuals!$B$2:$B$5000,$B$2),"")</f>
        <v/>
      </c>
      <c r="S50" s="52">
        <f>IF($D50="Actual",SUMIFS(Data_Actuals!$D$2:$D$5000,Data_Actuals!$A$2:$A$5000,$A50,Data_Actuals!$B$2:$B$5000,$B$2),"")</f>
        <v/>
      </c>
      <c r="T50" s="52">
        <f>IF($D50="Actual",SUMIFS(Data_Actuals!$E$2:$E$5000,Data_Actuals!$A$2:$A$5000,$A50,Data_Actuals!$B$2:$B$5000,$B$2),"")</f>
        <v/>
      </c>
      <c r="U50" s="52">
        <f>IF($D50="Actual",SUMIFS(Data_Actuals!$F$2:$F$5000,Data_Actuals!$A$2:$A$5000,$A50,Data_Actuals!$B$2:$B$5000,$B$2),"")</f>
        <v/>
      </c>
      <c r="V50" s="52">
        <f>IF($D50="Actual",SUMIFS(Data_Actuals!$G$2:$G$5000,Data_Actuals!$A$2:$A$5000,$A50,Data_Actuals!$B$2:$B$5000,$B$2),"")</f>
        <v/>
      </c>
      <c r="W50" s="52">
        <f>SUMIFS(Plan_Inputs!$C$2:$C$5000,Plan_Inputs!$A$2:$A$5000,$A50,Plan_Inputs!$B$2:$B$5000,$B$2)</f>
        <v/>
      </c>
      <c r="X50" s="53">
        <f>IF($D50="Actual",IFERROR(S50/T50,""),X38)</f>
        <v/>
      </c>
      <c r="Y50" s="52">
        <f>E50</f>
        <v/>
      </c>
      <c r="Z50" s="54">
        <f>INDEX(Calendar!$H$5:$L$52,MATCH($A50,Calendar!$A$5:$A$52,0),MATCH($D$2,Calendar!$H$4:$L$4,0))</f>
        <v/>
      </c>
      <c r="AA50" s="54">
        <f>INDEX(Calendar!$M$5:$M$52,MATCH($A50,Calendar!$A$5:$A$52,0))</f>
        <v/>
      </c>
      <c r="AB50" s="55">
        <f>IF($D50="Actual",IFERROR(S50/Y50,""),AB38)</f>
        <v/>
      </c>
      <c r="AC50" s="56">
        <f>IF($D50="Actual",IFERROR(U50/T50/Z50/AA50,""),AC38)</f>
        <v/>
      </c>
      <c r="AD50" s="57">
        <f>IF($D50="Actual",IFERROR(V50/(U50+V50),""),$K$2)</f>
        <v/>
      </c>
      <c r="AE50" s="56">
        <f>IFERROR(AC50*Z50*AA50,"")</f>
        <v/>
      </c>
      <c r="AF50" s="53">
        <f>K38</f>
        <v/>
      </c>
      <c r="AG50" s="57">
        <f>IF($D50="Forecast",IFERROR(K50/AF50-1,""),"")</f>
        <v/>
      </c>
      <c r="AH50" s="53">
        <f>IF(CPLHSource="National breakdown",CPLH_Breakdown!AK55,SUMIFS(Plan_Inputs!$D$2:$D$5000,Plan_Inputs!$A$2:$A$5000,$A50,Plan_Inputs!$B$2:$B$5000,$B$2))</f>
        <v/>
      </c>
      <c r="AJ50" s="41">
        <f>F50*$AK$11</f>
        <v/>
      </c>
      <c r="AK50" s="42">
        <f>G50*$AK$11</f>
        <v/>
      </c>
      <c r="AL50" s="40">
        <f>H50*$AK$11</f>
        <v/>
      </c>
      <c r="AM50" s="40">
        <f>I50*$AK$11</f>
        <v/>
      </c>
      <c r="AN50" s="40">
        <f>J50*$AK$11</f>
        <v/>
      </c>
      <c r="AP50" s="41">
        <f>F50*$AQ$11</f>
        <v/>
      </c>
      <c r="AQ50" s="42">
        <f>G50*$AQ$11</f>
        <v/>
      </c>
      <c r="AR50" s="40">
        <f>H50*$AQ$11</f>
        <v/>
      </c>
      <c r="AS50" s="40">
        <f>I50*$AQ$11</f>
        <v/>
      </c>
      <c r="AT50" s="40">
        <f>J50*$AQ$11</f>
        <v/>
      </c>
      <c r="AV50" s="41">
        <f>F50*$AW$11</f>
        <v/>
      </c>
      <c r="AW50" s="42">
        <f>G50*$AW$11</f>
        <v/>
      </c>
      <c r="AX50" s="40">
        <f>H50*$AW$11</f>
        <v/>
      </c>
      <c r="AY50" s="40">
        <f>I50*$AW$11</f>
        <v/>
      </c>
      <c r="AZ50" s="40">
        <f>J50*$AW$11</f>
        <v/>
      </c>
    </row>
    <row r="51">
      <c r="A51" s="8" t="n">
        <v>46753</v>
      </c>
      <c r="B51" s="33">
        <f>YEAR(A51)</f>
        <v/>
      </c>
      <c r="C51" s="33">
        <f>MONTH(A51)</f>
        <v/>
      </c>
      <c r="D51">
        <f>IF(A51&lt;=LastActual,"Actual","Forecast")</f>
        <v/>
      </c>
      <c r="E51" s="30">
        <f>IF($D51="Actual",R51,W51)</f>
        <v/>
      </c>
      <c r="F51" s="15">
        <f>IF($D51="Actual",S51,Cases_Forecast!AJ44)</f>
        <v/>
      </c>
      <c r="G51" s="9">
        <f>IF($D51="Actual",T51,IFERROR(F51/K51,0))</f>
        <v/>
      </c>
      <c r="H51" s="30">
        <f>IF($D51="Actual",U51,G51*L51)</f>
        <v/>
      </c>
      <c r="I51" s="30">
        <f>IF($D51="Actual",V51,J51-H51)</f>
        <v/>
      </c>
      <c r="J51" s="30">
        <f>IF($D51="Actual",U51+V51,IFERROR(H51/(1-AD51),0))</f>
        <v/>
      </c>
      <c r="K51" s="10">
        <f>IF($D51="Actual",IFERROR(S51/T51,0),CPLH_Forecast!AJ44)</f>
        <v/>
      </c>
      <c r="L51" s="34">
        <f>IF($D51="Actual",IFERROR(U51/T51,0),N(AE51))</f>
        <v/>
      </c>
      <c r="M51" s="35">
        <f>IFERROR(J51/F51,0)</f>
        <v/>
      </c>
      <c r="N51" s="36">
        <f>IFERROR(J51/E51,0)</f>
        <v/>
      </c>
      <c r="O51" s="36">
        <f>IFERROR(I51/J51,0)</f>
        <v/>
      </c>
      <c r="R51" s="52">
        <f>IF($D51="Actual",SUMIFS(Data_Actuals!$C$2:$C$5000,Data_Actuals!$A$2:$A$5000,$A51,Data_Actuals!$B$2:$B$5000,$B$2),"")</f>
        <v/>
      </c>
      <c r="S51" s="52">
        <f>IF($D51="Actual",SUMIFS(Data_Actuals!$D$2:$D$5000,Data_Actuals!$A$2:$A$5000,$A51,Data_Actuals!$B$2:$B$5000,$B$2),"")</f>
        <v/>
      </c>
      <c r="T51" s="52">
        <f>IF($D51="Actual",SUMIFS(Data_Actuals!$E$2:$E$5000,Data_Actuals!$A$2:$A$5000,$A51,Data_Actuals!$B$2:$B$5000,$B$2),"")</f>
        <v/>
      </c>
      <c r="U51" s="52">
        <f>IF($D51="Actual",SUMIFS(Data_Actuals!$F$2:$F$5000,Data_Actuals!$A$2:$A$5000,$A51,Data_Actuals!$B$2:$B$5000,$B$2),"")</f>
        <v/>
      </c>
      <c r="V51" s="52">
        <f>IF($D51="Actual",SUMIFS(Data_Actuals!$G$2:$G$5000,Data_Actuals!$A$2:$A$5000,$A51,Data_Actuals!$B$2:$B$5000,$B$2),"")</f>
        <v/>
      </c>
      <c r="W51" s="52">
        <f>SUMIFS(Plan_Inputs!$C$2:$C$5000,Plan_Inputs!$A$2:$A$5000,$A51,Plan_Inputs!$B$2:$B$5000,$B$2)</f>
        <v/>
      </c>
      <c r="X51" s="53">
        <f>IF($D51="Actual",IFERROR(S51/T51,""),X39)</f>
        <v/>
      </c>
      <c r="Y51" s="52">
        <f>E51</f>
        <v/>
      </c>
      <c r="Z51" s="54">
        <f>INDEX(Calendar!$H$5:$L$52,MATCH($A51,Calendar!$A$5:$A$52,0),MATCH($D$2,Calendar!$H$4:$L$4,0))</f>
        <v/>
      </c>
      <c r="AA51" s="54">
        <f>INDEX(Calendar!$M$5:$M$52,MATCH($A51,Calendar!$A$5:$A$52,0))</f>
        <v/>
      </c>
      <c r="AB51" s="55">
        <f>IF($D51="Actual",IFERROR(S51/Y51,""),AB39)</f>
        <v/>
      </c>
      <c r="AC51" s="56">
        <f>IF($D51="Actual",IFERROR(U51/T51/Z51/AA51,""),AC39)</f>
        <v/>
      </c>
      <c r="AD51" s="57">
        <f>IF($D51="Actual",IFERROR(V51/(U51+V51),""),$K$2)</f>
        <v/>
      </c>
      <c r="AE51" s="56">
        <f>IFERROR(AC51*Z51*AA51,"")</f>
        <v/>
      </c>
      <c r="AF51" s="53">
        <f>K39</f>
        <v/>
      </c>
      <c r="AG51" s="57">
        <f>IF($D51="Forecast",IFERROR(K51/AF51-1,""),"")</f>
        <v/>
      </c>
      <c r="AH51" s="53">
        <f>IF(CPLHSource="National breakdown",CPLH_Breakdown!AK56,SUMIFS(Plan_Inputs!$D$2:$D$5000,Plan_Inputs!$A$2:$A$5000,$A51,Plan_Inputs!$B$2:$B$5000,$B$2))</f>
        <v/>
      </c>
      <c r="AJ51" s="15">
        <f>F51*$AK$11</f>
        <v/>
      </c>
      <c r="AK51" s="9">
        <f>G51*$AK$11</f>
        <v/>
      </c>
      <c r="AL51" s="30">
        <f>H51*$AK$11</f>
        <v/>
      </c>
      <c r="AM51" s="30">
        <f>I51*$AK$11</f>
        <v/>
      </c>
      <c r="AN51" s="30">
        <f>J51*$AK$11</f>
        <v/>
      </c>
      <c r="AP51" s="15">
        <f>F51*$AQ$11</f>
        <v/>
      </c>
      <c r="AQ51" s="9">
        <f>G51*$AQ$11</f>
        <v/>
      </c>
      <c r="AR51" s="30">
        <f>H51*$AQ$11</f>
        <v/>
      </c>
      <c r="AS51" s="30">
        <f>I51*$AQ$11</f>
        <v/>
      </c>
      <c r="AT51" s="30">
        <f>J51*$AQ$11</f>
        <v/>
      </c>
      <c r="AV51" s="15">
        <f>F51*$AW$11</f>
        <v/>
      </c>
      <c r="AW51" s="9">
        <f>G51*$AW$11</f>
        <v/>
      </c>
      <c r="AX51" s="30">
        <f>H51*$AW$11</f>
        <v/>
      </c>
      <c r="AY51" s="30">
        <f>I51*$AW$11</f>
        <v/>
      </c>
      <c r="AZ51" s="30">
        <f>J51*$AW$11</f>
        <v/>
      </c>
    </row>
    <row r="52">
      <c r="A52" s="8" t="n">
        <v>46784</v>
      </c>
      <c r="B52" s="33">
        <f>YEAR(A52)</f>
        <v/>
      </c>
      <c r="C52" s="33">
        <f>MONTH(A52)</f>
        <v/>
      </c>
      <c r="D52">
        <f>IF(A52&lt;=LastActual,"Actual","Forecast")</f>
        <v/>
      </c>
      <c r="E52" s="30">
        <f>IF($D52="Actual",R52,W52)</f>
        <v/>
      </c>
      <c r="F52" s="15">
        <f>IF($D52="Actual",S52,Cases_Forecast!AJ45)</f>
        <v/>
      </c>
      <c r="G52" s="9">
        <f>IF($D52="Actual",T52,IFERROR(F52/K52,0))</f>
        <v/>
      </c>
      <c r="H52" s="30">
        <f>IF($D52="Actual",U52,G52*L52)</f>
        <v/>
      </c>
      <c r="I52" s="30">
        <f>IF($D52="Actual",V52,J52-H52)</f>
        <v/>
      </c>
      <c r="J52" s="30">
        <f>IF($D52="Actual",U52+V52,IFERROR(H52/(1-AD52),0))</f>
        <v/>
      </c>
      <c r="K52" s="10">
        <f>IF($D52="Actual",IFERROR(S52/T52,0),CPLH_Forecast!AJ45)</f>
        <v/>
      </c>
      <c r="L52" s="34">
        <f>IF($D52="Actual",IFERROR(U52/T52,0),N(AE52))</f>
        <v/>
      </c>
      <c r="M52" s="35">
        <f>IFERROR(J52/F52,0)</f>
        <v/>
      </c>
      <c r="N52" s="36">
        <f>IFERROR(J52/E52,0)</f>
        <v/>
      </c>
      <c r="O52" s="36">
        <f>IFERROR(I52/J52,0)</f>
        <v/>
      </c>
      <c r="R52" s="52">
        <f>IF($D52="Actual",SUMIFS(Data_Actuals!$C$2:$C$5000,Data_Actuals!$A$2:$A$5000,$A52,Data_Actuals!$B$2:$B$5000,$B$2),"")</f>
        <v/>
      </c>
      <c r="S52" s="52">
        <f>IF($D52="Actual",SUMIFS(Data_Actuals!$D$2:$D$5000,Data_Actuals!$A$2:$A$5000,$A52,Data_Actuals!$B$2:$B$5000,$B$2),"")</f>
        <v/>
      </c>
      <c r="T52" s="52">
        <f>IF($D52="Actual",SUMIFS(Data_Actuals!$E$2:$E$5000,Data_Actuals!$A$2:$A$5000,$A52,Data_Actuals!$B$2:$B$5000,$B$2),"")</f>
        <v/>
      </c>
      <c r="U52" s="52">
        <f>IF($D52="Actual",SUMIFS(Data_Actuals!$F$2:$F$5000,Data_Actuals!$A$2:$A$5000,$A52,Data_Actuals!$B$2:$B$5000,$B$2),"")</f>
        <v/>
      </c>
      <c r="V52" s="52">
        <f>IF($D52="Actual",SUMIFS(Data_Actuals!$G$2:$G$5000,Data_Actuals!$A$2:$A$5000,$A52,Data_Actuals!$B$2:$B$5000,$B$2),"")</f>
        <v/>
      </c>
      <c r="W52" s="52">
        <f>SUMIFS(Plan_Inputs!$C$2:$C$5000,Plan_Inputs!$A$2:$A$5000,$A52,Plan_Inputs!$B$2:$B$5000,$B$2)</f>
        <v/>
      </c>
      <c r="X52" s="53">
        <f>IF($D52="Actual",IFERROR(S52/T52,""),X40)</f>
        <v/>
      </c>
      <c r="Y52" s="52">
        <f>E52</f>
        <v/>
      </c>
      <c r="Z52" s="54">
        <f>INDEX(Calendar!$H$5:$L$52,MATCH($A52,Calendar!$A$5:$A$52,0),MATCH($D$2,Calendar!$H$4:$L$4,0))</f>
        <v/>
      </c>
      <c r="AA52" s="54">
        <f>INDEX(Calendar!$M$5:$M$52,MATCH($A52,Calendar!$A$5:$A$52,0))</f>
        <v/>
      </c>
      <c r="AB52" s="55">
        <f>IF($D52="Actual",IFERROR(S52/Y52,""),AB40)</f>
        <v/>
      </c>
      <c r="AC52" s="56">
        <f>IF($D52="Actual",IFERROR(U52/T52/Z52/AA52,""),AC40)</f>
        <v/>
      </c>
      <c r="AD52" s="57">
        <f>IF($D52="Actual",IFERROR(V52/(U52+V52),""),$K$2)</f>
        <v/>
      </c>
      <c r="AE52" s="56">
        <f>IFERROR(AC52*Z52*AA52,"")</f>
        <v/>
      </c>
      <c r="AF52" s="53">
        <f>K40</f>
        <v/>
      </c>
      <c r="AG52" s="57">
        <f>IF($D52="Forecast",IFERROR(K52/AF52-1,""),"")</f>
        <v/>
      </c>
      <c r="AH52" s="53">
        <f>IF(CPLHSource="National breakdown",CPLH_Breakdown!AK57,SUMIFS(Plan_Inputs!$D$2:$D$5000,Plan_Inputs!$A$2:$A$5000,$A52,Plan_Inputs!$B$2:$B$5000,$B$2))</f>
        <v/>
      </c>
      <c r="AJ52" s="15">
        <f>F52*$AK$11</f>
        <v/>
      </c>
      <c r="AK52" s="9">
        <f>G52*$AK$11</f>
        <v/>
      </c>
      <c r="AL52" s="30">
        <f>H52*$AK$11</f>
        <v/>
      </c>
      <c r="AM52" s="30">
        <f>I52*$AK$11</f>
        <v/>
      </c>
      <c r="AN52" s="30">
        <f>J52*$AK$11</f>
        <v/>
      </c>
      <c r="AP52" s="15">
        <f>F52*$AQ$11</f>
        <v/>
      </c>
      <c r="AQ52" s="9">
        <f>G52*$AQ$11</f>
        <v/>
      </c>
      <c r="AR52" s="30">
        <f>H52*$AQ$11</f>
        <v/>
      </c>
      <c r="AS52" s="30">
        <f>I52*$AQ$11</f>
        <v/>
      </c>
      <c r="AT52" s="30">
        <f>J52*$AQ$11</f>
        <v/>
      </c>
      <c r="AV52" s="15">
        <f>F52*$AW$11</f>
        <v/>
      </c>
      <c r="AW52" s="9">
        <f>G52*$AW$11</f>
        <v/>
      </c>
      <c r="AX52" s="30">
        <f>H52*$AW$11</f>
        <v/>
      </c>
      <c r="AY52" s="30">
        <f>I52*$AW$11</f>
        <v/>
      </c>
      <c r="AZ52" s="30">
        <f>J52*$AW$11</f>
        <v/>
      </c>
    </row>
    <row r="53">
      <c r="A53" s="8" t="n">
        <v>46813</v>
      </c>
      <c r="B53" s="33">
        <f>YEAR(A53)</f>
        <v/>
      </c>
      <c r="C53" s="33">
        <f>MONTH(A53)</f>
        <v/>
      </c>
      <c r="D53">
        <f>IF(A53&lt;=LastActual,"Actual","Forecast")</f>
        <v/>
      </c>
      <c r="E53" s="30">
        <f>IF($D53="Actual",R53,W53)</f>
        <v/>
      </c>
      <c r="F53" s="15">
        <f>IF($D53="Actual",S53,Cases_Forecast!AJ46)</f>
        <v/>
      </c>
      <c r="G53" s="9">
        <f>IF($D53="Actual",T53,IFERROR(F53/K53,0))</f>
        <v/>
      </c>
      <c r="H53" s="30">
        <f>IF($D53="Actual",U53,G53*L53)</f>
        <v/>
      </c>
      <c r="I53" s="30">
        <f>IF($D53="Actual",V53,J53-H53)</f>
        <v/>
      </c>
      <c r="J53" s="30">
        <f>IF($D53="Actual",U53+V53,IFERROR(H53/(1-AD53),0))</f>
        <v/>
      </c>
      <c r="K53" s="10">
        <f>IF($D53="Actual",IFERROR(S53/T53,0),CPLH_Forecast!AJ46)</f>
        <v/>
      </c>
      <c r="L53" s="34">
        <f>IF($D53="Actual",IFERROR(U53/T53,0),N(AE53))</f>
        <v/>
      </c>
      <c r="M53" s="35">
        <f>IFERROR(J53/F53,0)</f>
        <v/>
      </c>
      <c r="N53" s="36">
        <f>IFERROR(J53/E53,0)</f>
        <v/>
      </c>
      <c r="O53" s="36">
        <f>IFERROR(I53/J53,0)</f>
        <v/>
      </c>
      <c r="R53" s="52">
        <f>IF($D53="Actual",SUMIFS(Data_Actuals!$C$2:$C$5000,Data_Actuals!$A$2:$A$5000,$A53,Data_Actuals!$B$2:$B$5000,$B$2),"")</f>
        <v/>
      </c>
      <c r="S53" s="52">
        <f>IF($D53="Actual",SUMIFS(Data_Actuals!$D$2:$D$5000,Data_Actuals!$A$2:$A$5000,$A53,Data_Actuals!$B$2:$B$5000,$B$2),"")</f>
        <v/>
      </c>
      <c r="T53" s="52">
        <f>IF($D53="Actual",SUMIFS(Data_Actuals!$E$2:$E$5000,Data_Actuals!$A$2:$A$5000,$A53,Data_Actuals!$B$2:$B$5000,$B$2),"")</f>
        <v/>
      </c>
      <c r="U53" s="52">
        <f>IF($D53="Actual",SUMIFS(Data_Actuals!$F$2:$F$5000,Data_Actuals!$A$2:$A$5000,$A53,Data_Actuals!$B$2:$B$5000,$B$2),"")</f>
        <v/>
      </c>
      <c r="V53" s="52">
        <f>IF($D53="Actual",SUMIFS(Data_Actuals!$G$2:$G$5000,Data_Actuals!$A$2:$A$5000,$A53,Data_Actuals!$B$2:$B$5000,$B$2),"")</f>
        <v/>
      </c>
      <c r="W53" s="52">
        <f>SUMIFS(Plan_Inputs!$C$2:$C$5000,Plan_Inputs!$A$2:$A$5000,$A53,Plan_Inputs!$B$2:$B$5000,$B$2)</f>
        <v/>
      </c>
      <c r="X53" s="53">
        <f>IF($D53="Actual",IFERROR(S53/T53,""),X41)</f>
        <v/>
      </c>
      <c r="Y53" s="52">
        <f>E53</f>
        <v/>
      </c>
      <c r="Z53" s="54">
        <f>INDEX(Calendar!$H$5:$L$52,MATCH($A53,Calendar!$A$5:$A$52,0),MATCH($D$2,Calendar!$H$4:$L$4,0))</f>
        <v/>
      </c>
      <c r="AA53" s="54">
        <f>INDEX(Calendar!$M$5:$M$52,MATCH($A53,Calendar!$A$5:$A$52,0))</f>
        <v/>
      </c>
      <c r="AB53" s="55">
        <f>IF($D53="Actual",IFERROR(S53/Y53,""),AB41)</f>
        <v/>
      </c>
      <c r="AC53" s="56">
        <f>IF($D53="Actual",IFERROR(U53/T53/Z53/AA53,""),AC41)</f>
        <v/>
      </c>
      <c r="AD53" s="57">
        <f>IF($D53="Actual",IFERROR(V53/(U53+V53),""),$K$2)</f>
        <v/>
      </c>
      <c r="AE53" s="56">
        <f>IFERROR(AC53*Z53*AA53,"")</f>
        <v/>
      </c>
      <c r="AF53" s="53">
        <f>K41</f>
        <v/>
      </c>
      <c r="AG53" s="57">
        <f>IF($D53="Forecast",IFERROR(K53/AF53-1,""),"")</f>
        <v/>
      </c>
      <c r="AH53" s="53">
        <f>IF(CPLHSource="National breakdown",CPLH_Breakdown!AK58,SUMIFS(Plan_Inputs!$D$2:$D$5000,Plan_Inputs!$A$2:$A$5000,$A53,Plan_Inputs!$B$2:$B$5000,$B$2))</f>
        <v/>
      </c>
      <c r="AJ53" s="15">
        <f>F53*$AK$11</f>
        <v/>
      </c>
      <c r="AK53" s="9">
        <f>G53*$AK$11</f>
        <v/>
      </c>
      <c r="AL53" s="30">
        <f>H53*$AK$11</f>
        <v/>
      </c>
      <c r="AM53" s="30">
        <f>I53*$AK$11</f>
        <v/>
      </c>
      <c r="AN53" s="30">
        <f>J53*$AK$11</f>
        <v/>
      </c>
      <c r="AP53" s="15">
        <f>F53*$AQ$11</f>
        <v/>
      </c>
      <c r="AQ53" s="9">
        <f>G53*$AQ$11</f>
        <v/>
      </c>
      <c r="AR53" s="30">
        <f>H53*$AQ$11</f>
        <v/>
      </c>
      <c r="AS53" s="30">
        <f>I53*$AQ$11</f>
        <v/>
      </c>
      <c r="AT53" s="30">
        <f>J53*$AQ$11</f>
        <v/>
      </c>
      <c r="AV53" s="15">
        <f>F53*$AW$11</f>
        <v/>
      </c>
      <c r="AW53" s="9">
        <f>G53*$AW$11</f>
        <v/>
      </c>
      <c r="AX53" s="30">
        <f>H53*$AW$11</f>
        <v/>
      </c>
      <c r="AY53" s="30">
        <f>I53*$AW$11</f>
        <v/>
      </c>
      <c r="AZ53" s="30">
        <f>J53*$AW$11</f>
        <v/>
      </c>
    </row>
    <row r="54">
      <c r="A54" s="8" t="n">
        <v>46844</v>
      </c>
      <c r="B54" s="33">
        <f>YEAR(A54)</f>
        <v/>
      </c>
      <c r="C54" s="33">
        <f>MONTH(A54)</f>
        <v/>
      </c>
      <c r="D54">
        <f>IF(A54&lt;=LastActual,"Actual","Forecast")</f>
        <v/>
      </c>
      <c r="E54" s="30">
        <f>IF($D54="Actual",R54,W54)</f>
        <v/>
      </c>
      <c r="F54" s="15">
        <f>IF($D54="Actual",S54,Cases_Forecast!AJ47)</f>
        <v/>
      </c>
      <c r="G54" s="9">
        <f>IF($D54="Actual",T54,IFERROR(F54/K54,0))</f>
        <v/>
      </c>
      <c r="H54" s="30">
        <f>IF($D54="Actual",U54,G54*L54)</f>
        <v/>
      </c>
      <c r="I54" s="30">
        <f>IF($D54="Actual",V54,J54-H54)</f>
        <v/>
      </c>
      <c r="J54" s="30">
        <f>IF($D54="Actual",U54+V54,IFERROR(H54/(1-AD54),0))</f>
        <v/>
      </c>
      <c r="K54" s="10">
        <f>IF($D54="Actual",IFERROR(S54/T54,0),CPLH_Forecast!AJ47)</f>
        <v/>
      </c>
      <c r="L54" s="34">
        <f>IF($D54="Actual",IFERROR(U54/T54,0),N(AE54))</f>
        <v/>
      </c>
      <c r="M54" s="35">
        <f>IFERROR(J54/F54,0)</f>
        <v/>
      </c>
      <c r="N54" s="36">
        <f>IFERROR(J54/E54,0)</f>
        <v/>
      </c>
      <c r="O54" s="36">
        <f>IFERROR(I54/J54,0)</f>
        <v/>
      </c>
      <c r="R54" s="52">
        <f>IF($D54="Actual",SUMIFS(Data_Actuals!$C$2:$C$5000,Data_Actuals!$A$2:$A$5000,$A54,Data_Actuals!$B$2:$B$5000,$B$2),"")</f>
        <v/>
      </c>
      <c r="S54" s="52">
        <f>IF($D54="Actual",SUMIFS(Data_Actuals!$D$2:$D$5000,Data_Actuals!$A$2:$A$5000,$A54,Data_Actuals!$B$2:$B$5000,$B$2),"")</f>
        <v/>
      </c>
      <c r="T54" s="52">
        <f>IF($D54="Actual",SUMIFS(Data_Actuals!$E$2:$E$5000,Data_Actuals!$A$2:$A$5000,$A54,Data_Actuals!$B$2:$B$5000,$B$2),"")</f>
        <v/>
      </c>
      <c r="U54" s="52">
        <f>IF($D54="Actual",SUMIFS(Data_Actuals!$F$2:$F$5000,Data_Actuals!$A$2:$A$5000,$A54,Data_Actuals!$B$2:$B$5000,$B$2),"")</f>
        <v/>
      </c>
      <c r="V54" s="52">
        <f>IF($D54="Actual",SUMIFS(Data_Actuals!$G$2:$G$5000,Data_Actuals!$A$2:$A$5000,$A54,Data_Actuals!$B$2:$B$5000,$B$2),"")</f>
        <v/>
      </c>
      <c r="W54" s="52">
        <f>SUMIFS(Plan_Inputs!$C$2:$C$5000,Plan_Inputs!$A$2:$A$5000,$A54,Plan_Inputs!$B$2:$B$5000,$B$2)</f>
        <v/>
      </c>
      <c r="X54" s="53">
        <f>IF($D54="Actual",IFERROR(S54/T54,""),X42)</f>
        <v/>
      </c>
      <c r="Y54" s="52">
        <f>E54</f>
        <v/>
      </c>
      <c r="Z54" s="54">
        <f>INDEX(Calendar!$H$5:$L$52,MATCH($A54,Calendar!$A$5:$A$52,0),MATCH($D$2,Calendar!$H$4:$L$4,0))</f>
        <v/>
      </c>
      <c r="AA54" s="54">
        <f>INDEX(Calendar!$M$5:$M$52,MATCH($A54,Calendar!$A$5:$A$52,0))</f>
        <v/>
      </c>
      <c r="AB54" s="55">
        <f>IF($D54="Actual",IFERROR(S54/Y54,""),AB42)</f>
        <v/>
      </c>
      <c r="AC54" s="56">
        <f>IF($D54="Actual",IFERROR(U54/T54/Z54/AA54,""),AC42)</f>
        <v/>
      </c>
      <c r="AD54" s="57">
        <f>IF($D54="Actual",IFERROR(V54/(U54+V54),""),$K$2)</f>
        <v/>
      </c>
      <c r="AE54" s="56">
        <f>IFERROR(AC54*Z54*AA54,"")</f>
        <v/>
      </c>
      <c r="AF54" s="53">
        <f>K42</f>
        <v/>
      </c>
      <c r="AG54" s="57">
        <f>IF($D54="Forecast",IFERROR(K54/AF54-1,""),"")</f>
        <v/>
      </c>
      <c r="AH54" s="53">
        <f>IF(CPLHSource="National breakdown",CPLH_Breakdown!AK59,SUMIFS(Plan_Inputs!$D$2:$D$5000,Plan_Inputs!$A$2:$A$5000,$A54,Plan_Inputs!$B$2:$B$5000,$B$2))</f>
        <v/>
      </c>
      <c r="AJ54" s="15">
        <f>F54*$AK$11</f>
        <v/>
      </c>
      <c r="AK54" s="9">
        <f>G54*$AK$11</f>
        <v/>
      </c>
      <c r="AL54" s="30">
        <f>H54*$AK$11</f>
        <v/>
      </c>
      <c r="AM54" s="30">
        <f>I54*$AK$11</f>
        <v/>
      </c>
      <c r="AN54" s="30">
        <f>J54*$AK$11</f>
        <v/>
      </c>
      <c r="AP54" s="15">
        <f>F54*$AQ$11</f>
        <v/>
      </c>
      <c r="AQ54" s="9">
        <f>G54*$AQ$11</f>
        <v/>
      </c>
      <c r="AR54" s="30">
        <f>H54*$AQ$11</f>
        <v/>
      </c>
      <c r="AS54" s="30">
        <f>I54*$AQ$11</f>
        <v/>
      </c>
      <c r="AT54" s="30">
        <f>J54*$AQ$11</f>
        <v/>
      </c>
      <c r="AV54" s="15">
        <f>F54*$AW$11</f>
        <v/>
      </c>
      <c r="AW54" s="9">
        <f>G54*$AW$11</f>
        <v/>
      </c>
      <c r="AX54" s="30">
        <f>H54*$AW$11</f>
        <v/>
      </c>
      <c r="AY54" s="30">
        <f>I54*$AW$11</f>
        <v/>
      </c>
      <c r="AZ54" s="30">
        <f>J54*$AW$11</f>
        <v/>
      </c>
    </row>
    <row r="55">
      <c r="A55" s="8" t="n">
        <v>46874</v>
      </c>
      <c r="B55" s="33">
        <f>YEAR(A55)</f>
        <v/>
      </c>
      <c r="C55" s="33">
        <f>MONTH(A55)</f>
        <v/>
      </c>
      <c r="D55">
        <f>IF(A55&lt;=LastActual,"Actual","Forecast")</f>
        <v/>
      </c>
      <c r="E55" s="30">
        <f>IF($D55="Actual",R55,W55)</f>
        <v/>
      </c>
      <c r="F55" s="15">
        <f>IF($D55="Actual",S55,Cases_Forecast!AJ48)</f>
        <v/>
      </c>
      <c r="G55" s="9">
        <f>IF($D55="Actual",T55,IFERROR(F55/K55,0))</f>
        <v/>
      </c>
      <c r="H55" s="30">
        <f>IF($D55="Actual",U55,G55*L55)</f>
        <v/>
      </c>
      <c r="I55" s="30">
        <f>IF($D55="Actual",V55,J55-H55)</f>
        <v/>
      </c>
      <c r="J55" s="30">
        <f>IF($D55="Actual",U55+V55,IFERROR(H55/(1-AD55),0))</f>
        <v/>
      </c>
      <c r="K55" s="10">
        <f>IF($D55="Actual",IFERROR(S55/T55,0),CPLH_Forecast!AJ48)</f>
        <v/>
      </c>
      <c r="L55" s="34">
        <f>IF($D55="Actual",IFERROR(U55/T55,0),N(AE55))</f>
        <v/>
      </c>
      <c r="M55" s="35">
        <f>IFERROR(J55/F55,0)</f>
        <v/>
      </c>
      <c r="N55" s="36">
        <f>IFERROR(J55/E55,0)</f>
        <v/>
      </c>
      <c r="O55" s="36">
        <f>IFERROR(I55/J55,0)</f>
        <v/>
      </c>
      <c r="R55" s="52">
        <f>IF($D55="Actual",SUMIFS(Data_Actuals!$C$2:$C$5000,Data_Actuals!$A$2:$A$5000,$A55,Data_Actuals!$B$2:$B$5000,$B$2),"")</f>
        <v/>
      </c>
      <c r="S55" s="52">
        <f>IF($D55="Actual",SUMIFS(Data_Actuals!$D$2:$D$5000,Data_Actuals!$A$2:$A$5000,$A55,Data_Actuals!$B$2:$B$5000,$B$2),"")</f>
        <v/>
      </c>
      <c r="T55" s="52">
        <f>IF($D55="Actual",SUMIFS(Data_Actuals!$E$2:$E$5000,Data_Actuals!$A$2:$A$5000,$A55,Data_Actuals!$B$2:$B$5000,$B$2),"")</f>
        <v/>
      </c>
      <c r="U55" s="52">
        <f>IF($D55="Actual",SUMIFS(Data_Actuals!$F$2:$F$5000,Data_Actuals!$A$2:$A$5000,$A55,Data_Actuals!$B$2:$B$5000,$B$2),"")</f>
        <v/>
      </c>
      <c r="V55" s="52">
        <f>IF($D55="Actual",SUMIFS(Data_Actuals!$G$2:$G$5000,Data_Actuals!$A$2:$A$5000,$A55,Data_Actuals!$B$2:$B$5000,$B$2),"")</f>
        <v/>
      </c>
      <c r="W55" s="52">
        <f>SUMIFS(Plan_Inputs!$C$2:$C$5000,Plan_Inputs!$A$2:$A$5000,$A55,Plan_Inputs!$B$2:$B$5000,$B$2)</f>
        <v/>
      </c>
      <c r="X55" s="53">
        <f>IF($D55="Actual",IFERROR(S55/T55,""),X43)</f>
        <v/>
      </c>
      <c r="Y55" s="52">
        <f>E55</f>
        <v/>
      </c>
      <c r="Z55" s="54">
        <f>INDEX(Calendar!$H$5:$L$52,MATCH($A55,Calendar!$A$5:$A$52,0),MATCH($D$2,Calendar!$H$4:$L$4,0))</f>
        <v/>
      </c>
      <c r="AA55" s="54">
        <f>INDEX(Calendar!$M$5:$M$52,MATCH($A55,Calendar!$A$5:$A$52,0))</f>
        <v/>
      </c>
      <c r="AB55" s="55">
        <f>IF($D55="Actual",IFERROR(S55/Y55,""),AB43)</f>
        <v/>
      </c>
      <c r="AC55" s="56">
        <f>IF($D55="Actual",IFERROR(U55/T55/Z55/AA55,""),AC43)</f>
        <v/>
      </c>
      <c r="AD55" s="57">
        <f>IF($D55="Actual",IFERROR(V55/(U55+V55),""),$K$2)</f>
        <v/>
      </c>
      <c r="AE55" s="56">
        <f>IFERROR(AC55*Z55*AA55,"")</f>
        <v/>
      </c>
      <c r="AF55" s="53">
        <f>K43</f>
        <v/>
      </c>
      <c r="AG55" s="57">
        <f>IF($D55="Forecast",IFERROR(K55/AF55-1,""),"")</f>
        <v/>
      </c>
      <c r="AH55" s="53">
        <f>IF(CPLHSource="National breakdown",CPLH_Breakdown!AK60,SUMIFS(Plan_Inputs!$D$2:$D$5000,Plan_Inputs!$A$2:$A$5000,$A55,Plan_Inputs!$B$2:$B$5000,$B$2))</f>
        <v/>
      </c>
      <c r="AJ55" s="15">
        <f>F55*$AK$11</f>
        <v/>
      </c>
      <c r="AK55" s="9">
        <f>G55*$AK$11</f>
        <v/>
      </c>
      <c r="AL55" s="30">
        <f>H55*$AK$11</f>
        <v/>
      </c>
      <c r="AM55" s="30">
        <f>I55*$AK$11</f>
        <v/>
      </c>
      <c r="AN55" s="30">
        <f>J55*$AK$11</f>
        <v/>
      </c>
      <c r="AP55" s="15">
        <f>F55*$AQ$11</f>
        <v/>
      </c>
      <c r="AQ55" s="9">
        <f>G55*$AQ$11</f>
        <v/>
      </c>
      <c r="AR55" s="30">
        <f>H55*$AQ$11</f>
        <v/>
      </c>
      <c r="AS55" s="30">
        <f>I55*$AQ$11</f>
        <v/>
      </c>
      <c r="AT55" s="30">
        <f>J55*$AQ$11</f>
        <v/>
      </c>
      <c r="AV55" s="15">
        <f>F55*$AW$11</f>
        <v/>
      </c>
      <c r="AW55" s="9">
        <f>G55*$AW$11</f>
        <v/>
      </c>
      <c r="AX55" s="30">
        <f>H55*$AW$11</f>
        <v/>
      </c>
      <c r="AY55" s="30">
        <f>I55*$AW$11</f>
        <v/>
      </c>
      <c r="AZ55" s="30">
        <f>J55*$AW$11</f>
        <v/>
      </c>
    </row>
    <row r="56">
      <c r="A56" s="8" t="n">
        <v>46905</v>
      </c>
      <c r="B56" s="33">
        <f>YEAR(A56)</f>
        <v/>
      </c>
      <c r="C56" s="33">
        <f>MONTH(A56)</f>
        <v/>
      </c>
      <c r="D56">
        <f>IF(A56&lt;=LastActual,"Actual","Forecast")</f>
        <v/>
      </c>
      <c r="E56" s="30">
        <f>IF($D56="Actual",R56,W56)</f>
        <v/>
      </c>
      <c r="F56" s="15">
        <f>IF($D56="Actual",S56,Cases_Forecast!AJ49)</f>
        <v/>
      </c>
      <c r="G56" s="9">
        <f>IF($D56="Actual",T56,IFERROR(F56/K56,0))</f>
        <v/>
      </c>
      <c r="H56" s="30">
        <f>IF($D56="Actual",U56,G56*L56)</f>
        <v/>
      </c>
      <c r="I56" s="30">
        <f>IF($D56="Actual",V56,J56-H56)</f>
        <v/>
      </c>
      <c r="J56" s="30">
        <f>IF($D56="Actual",U56+V56,IFERROR(H56/(1-AD56),0))</f>
        <v/>
      </c>
      <c r="K56" s="10">
        <f>IF($D56="Actual",IFERROR(S56/T56,0),CPLH_Forecast!AJ49)</f>
        <v/>
      </c>
      <c r="L56" s="34">
        <f>IF($D56="Actual",IFERROR(U56/T56,0),N(AE56))</f>
        <v/>
      </c>
      <c r="M56" s="35">
        <f>IFERROR(J56/F56,0)</f>
        <v/>
      </c>
      <c r="N56" s="36">
        <f>IFERROR(J56/E56,0)</f>
        <v/>
      </c>
      <c r="O56" s="36">
        <f>IFERROR(I56/J56,0)</f>
        <v/>
      </c>
      <c r="R56" s="52">
        <f>IF($D56="Actual",SUMIFS(Data_Actuals!$C$2:$C$5000,Data_Actuals!$A$2:$A$5000,$A56,Data_Actuals!$B$2:$B$5000,$B$2),"")</f>
        <v/>
      </c>
      <c r="S56" s="52">
        <f>IF($D56="Actual",SUMIFS(Data_Actuals!$D$2:$D$5000,Data_Actuals!$A$2:$A$5000,$A56,Data_Actuals!$B$2:$B$5000,$B$2),"")</f>
        <v/>
      </c>
      <c r="T56" s="52">
        <f>IF($D56="Actual",SUMIFS(Data_Actuals!$E$2:$E$5000,Data_Actuals!$A$2:$A$5000,$A56,Data_Actuals!$B$2:$B$5000,$B$2),"")</f>
        <v/>
      </c>
      <c r="U56" s="52">
        <f>IF($D56="Actual",SUMIFS(Data_Actuals!$F$2:$F$5000,Data_Actuals!$A$2:$A$5000,$A56,Data_Actuals!$B$2:$B$5000,$B$2),"")</f>
        <v/>
      </c>
      <c r="V56" s="52">
        <f>IF($D56="Actual",SUMIFS(Data_Actuals!$G$2:$G$5000,Data_Actuals!$A$2:$A$5000,$A56,Data_Actuals!$B$2:$B$5000,$B$2),"")</f>
        <v/>
      </c>
      <c r="W56" s="52">
        <f>SUMIFS(Plan_Inputs!$C$2:$C$5000,Plan_Inputs!$A$2:$A$5000,$A56,Plan_Inputs!$B$2:$B$5000,$B$2)</f>
        <v/>
      </c>
      <c r="X56" s="53">
        <f>IF($D56="Actual",IFERROR(S56/T56,""),X44)</f>
        <v/>
      </c>
      <c r="Y56" s="52">
        <f>E56</f>
        <v/>
      </c>
      <c r="Z56" s="54">
        <f>INDEX(Calendar!$H$5:$L$52,MATCH($A56,Calendar!$A$5:$A$52,0),MATCH($D$2,Calendar!$H$4:$L$4,0))</f>
        <v/>
      </c>
      <c r="AA56" s="54">
        <f>INDEX(Calendar!$M$5:$M$52,MATCH($A56,Calendar!$A$5:$A$52,0))</f>
        <v/>
      </c>
      <c r="AB56" s="55">
        <f>IF($D56="Actual",IFERROR(S56/Y56,""),AB44)</f>
        <v/>
      </c>
      <c r="AC56" s="56">
        <f>IF($D56="Actual",IFERROR(U56/T56/Z56/AA56,""),AC44)</f>
        <v/>
      </c>
      <c r="AD56" s="57">
        <f>IF($D56="Actual",IFERROR(V56/(U56+V56),""),$K$2)</f>
        <v/>
      </c>
      <c r="AE56" s="56">
        <f>IFERROR(AC56*Z56*AA56,"")</f>
        <v/>
      </c>
      <c r="AF56" s="53">
        <f>K44</f>
        <v/>
      </c>
      <c r="AG56" s="57">
        <f>IF($D56="Forecast",IFERROR(K56/AF56-1,""),"")</f>
        <v/>
      </c>
      <c r="AH56" s="53">
        <f>IF(CPLHSource="National breakdown",CPLH_Breakdown!AK61,SUMIFS(Plan_Inputs!$D$2:$D$5000,Plan_Inputs!$A$2:$A$5000,$A56,Plan_Inputs!$B$2:$B$5000,$B$2))</f>
        <v/>
      </c>
      <c r="AJ56" s="15">
        <f>F56*$AK$11</f>
        <v/>
      </c>
      <c r="AK56" s="9">
        <f>G56*$AK$11</f>
        <v/>
      </c>
      <c r="AL56" s="30">
        <f>H56*$AK$11</f>
        <v/>
      </c>
      <c r="AM56" s="30">
        <f>I56*$AK$11</f>
        <v/>
      </c>
      <c r="AN56" s="30">
        <f>J56*$AK$11</f>
        <v/>
      </c>
      <c r="AP56" s="15">
        <f>F56*$AQ$11</f>
        <v/>
      </c>
      <c r="AQ56" s="9">
        <f>G56*$AQ$11</f>
        <v/>
      </c>
      <c r="AR56" s="30">
        <f>H56*$AQ$11</f>
        <v/>
      </c>
      <c r="AS56" s="30">
        <f>I56*$AQ$11</f>
        <v/>
      </c>
      <c r="AT56" s="30">
        <f>J56*$AQ$11</f>
        <v/>
      </c>
      <c r="AV56" s="15">
        <f>F56*$AW$11</f>
        <v/>
      </c>
      <c r="AW56" s="9">
        <f>G56*$AW$11</f>
        <v/>
      </c>
      <c r="AX56" s="30">
        <f>H56*$AW$11</f>
        <v/>
      </c>
      <c r="AY56" s="30">
        <f>I56*$AW$11</f>
        <v/>
      </c>
      <c r="AZ56" s="30">
        <f>J56*$AW$11</f>
        <v/>
      </c>
    </row>
    <row r="57">
      <c r="A57" s="8" t="n">
        <v>46935</v>
      </c>
      <c r="B57" s="33">
        <f>YEAR(A57)</f>
        <v/>
      </c>
      <c r="C57" s="33">
        <f>MONTH(A57)</f>
        <v/>
      </c>
      <c r="D57">
        <f>IF(A57&lt;=LastActual,"Actual","Forecast")</f>
        <v/>
      </c>
      <c r="E57" s="30">
        <f>IF($D57="Actual",R57,W57)</f>
        <v/>
      </c>
      <c r="F57" s="15">
        <f>IF($D57="Actual",S57,Cases_Forecast!AJ50)</f>
        <v/>
      </c>
      <c r="G57" s="9">
        <f>IF($D57="Actual",T57,IFERROR(F57/K57,0))</f>
        <v/>
      </c>
      <c r="H57" s="30">
        <f>IF($D57="Actual",U57,G57*L57)</f>
        <v/>
      </c>
      <c r="I57" s="30">
        <f>IF($D57="Actual",V57,J57-H57)</f>
        <v/>
      </c>
      <c r="J57" s="30">
        <f>IF($D57="Actual",U57+V57,IFERROR(H57/(1-AD57),0))</f>
        <v/>
      </c>
      <c r="K57" s="10">
        <f>IF($D57="Actual",IFERROR(S57/T57,0),CPLH_Forecast!AJ50)</f>
        <v/>
      </c>
      <c r="L57" s="34">
        <f>IF($D57="Actual",IFERROR(U57/T57,0),N(AE57))</f>
        <v/>
      </c>
      <c r="M57" s="35">
        <f>IFERROR(J57/F57,0)</f>
        <v/>
      </c>
      <c r="N57" s="36">
        <f>IFERROR(J57/E57,0)</f>
        <v/>
      </c>
      <c r="O57" s="36">
        <f>IFERROR(I57/J57,0)</f>
        <v/>
      </c>
      <c r="R57" s="52">
        <f>IF($D57="Actual",SUMIFS(Data_Actuals!$C$2:$C$5000,Data_Actuals!$A$2:$A$5000,$A57,Data_Actuals!$B$2:$B$5000,$B$2),"")</f>
        <v/>
      </c>
      <c r="S57" s="52">
        <f>IF($D57="Actual",SUMIFS(Data_Actuals!$D$2:$D$5000,Data_Actuals!$A$2:$A$5000,$A57,Data_Actuals!$B$2:$B$5000,$B$2),"")</f>
        <v/>
      </c>
      <c r="T57" s="52">
        <f>IF($D57="Actual",SUMIFS(Data_Actuals!$E$2:$E$5000,Data_Actuals!$A$2:$A$5000,$A57,Data_Actuals!$B$2:$B$5000,$B$2),"")</f>
        <v/>
      </c>
      <c r="U57" s="52">
        <f>IF($D57="Actual",SUMIFS(Data_Actuals!$F$2:$F$5000,Data_Actuals!$A$2:$A$5000,$A57,Data_Actuals!$B$2:$B$5000,$B$2),"")</f>
        <v/>
      </c>
      <c r="V57" s="52">
        <f>IF($D57="Actual",SUMIFS(Data_Actuals!$G$2:$G$5000,Data_Actuals!$A$2:$A$5000,$A57,Data_Actuals!$B$2:$B$5000,$B$2),"")</f>
        <v/>
      </c>
      <c r="W57" s="52">
        <f>SUMIFS(Plan_Inputs!$C$2:$C$5000,Plan_Inputs!$A$2:$A$5000,$A57,Plan_Inputs!$B$2:$B$5000,$B$2)</f>
        <v/>
      </c>
      <c r="X57" s="53">
        <f>IF($D57="Actual",IFERROR(S57/T57,""),X45)</f>
        <v/>
      </c>
      <c r="Y57" s="52">
        <f>E57</f>
        <v/>
      </c>
      <c r="Z57" s="54">
        <f>INDEX(Calendar!$H$5:$L$52,MATCH($A57,Calendar!$A$5:$A$52,0),MATCH($D$2,Calendar!$H$4:$L$4,0))</f>
        <v/>
      </c>
      <c r="AA57" s="54">
        <f>INDEX(Calendar!$M$5:$M$52,MATCH($A57,Calendar!$A$5:$A$52,0))</f>
        <v/>
      </c>
      <c r="AB57" s="55">
        <f>IF($D57="Actual",IFERROR(S57/Y57,""),AB45)</f>
        <v/>
      </c>
      <c r="AC57" s="56">
        <f>IF($D57="Actual",IFERROR(U57/T57/Z57/AA57,""),AC45)</f>
        <v/>
      </c>
      <c r="AD57" s="57">
        <f>IF($D57="Actual",IFERROR(V57/(U57+V57),""),$K$2)</f>
        <v/>
      </c>
      <c r="AE57" s="56">
        <f>IFERROR(AC57*Z57*AA57,"")</f>
        <v/>
      </c>
      <c r="AF57" s="53">
        <f>K45</f>
        <v/>
      </c>
      <c r="AG57" s="57">
        <f>IF($D57="Forecast",IFERROR(K57/AF57-1,""),"")</f>
        <v/>
      </c>
      <c r="AH57" s="53">
        <f>IF(CPLHSource="National breakdown",CPLH_Breakdown!AK62,SUMIFS(Plan_Inputs!$D$2:$D$5000,Plan_Inputs!$A$2:$A$5000,$A57,Plan_Inputs!$B$2:$B$5000,$B$2))</f>
        <v/>
      </c>
      <c r="AJ57" s="15">
        <f>F57*$AK$11</f>
        <v/>
      </c>
      <c r="AK57" s="9">
        <f>G57*$AK$11</f>
        <v/>
      </c>
      <c r="AL57" s="30">
        <f>H57*$AK$11</f>
        <v/>
      </c>
      <c r="AM57" s="30">
        <f>I57*$AK$11</f>
        <v/>
      </c>
      <c r="AN57" s="30">
        <f>J57*$AK$11</f>
        <v/>
      </c>
      <c r="AP57" s="15">
        <f>F57*$AQ$11</f>
        <v/>
      </c>
      <c r="AQ57" s="9">
        <f>G57*$AQ$11</f>
        <v/>
      </c>
      <c r="AR57" s="30">
        <f>H57*$AQ$11</f>
        <v/>
      </c>
      <c r="AS57" s="30">
        <f>I57*$AQ$11</f>
        <v/>
      </c>
      <c r="AT57" s="30">
        <f>J57*$AQ$11</f>
        <v/>
      </c>
      <c r="AV57" s="15">
        <f>F57*$AW$11</f>
        <v/>
      </c>
      <c r="AW57" s="9">
        <f>G57*$AW$11</f>
        <v/>
      </c>
      <c r="AX57" s="30">
        <f>H57*$AW$11</f>
        <v/>
      </c>
      <c r="AY57" s="30">
        <f>I57*$AW$11</f>
        <v/>
      </c>
      <c r="AZ57" s="30">
        <f>J57*$AW$11</f>
        <v/>
      </c>
    </row>
    <row r="58">
      <c r="A58" s="8" t="n">
        <v>46966</v>
      </c>
      <c r="B58" s="33">
        <f>YEAR(A58)</f>
        <v/>
      </c>
      <c r="C58" s="33">
        <f>MONTH(A58)</f>
        <v/>
      </c>
      <c r="D58">
        <f>IF(A58&lt;=LastActual,"Actual","Forecast")</f>
        <v/>
      </c>
      <c r="E58" s="30">
        <f>IF($D58="Actual",R58,W58)</f>
        <v/>
      </c>
      <c r="F58" s="15">
        <f>IF($D58="Actual",S58,Cases_Forecast!AJ51)</f>
        <v/>
      </c>
      <c r="G58" s="9">
        <f>IF($D58="Actual",T58,IFERROR(F58/K58,0))</f>
        <v/>
      </c>
      <c r="H58" s="30">
        <f>IF($D58="Actual",U58,G58*L58)</f>
        <v/>
      </c>
      <c r="I58" s="30">
        <f>IF($D58="Actual",V58,J58-H58)</f>
        <v/>
      </c>
      <c r="J58" s="30">
        <f>IF($D58="Actual",U58+V58,IFERROR(H58/(1-AD58),0))</f>
        <v/>
      </c>
      <c r="K58" s="10">
        <f>IF($D58="Actual",IFERROR(S58/T58,0),CPLH_Forecast!AJ51)</f>
        <v/>
      </c>
      <c r="L58" s="34">
        <f>IF($D58="Actual",IFERROR(U58/T58,0),N(AE58))</f>
        <v/>
      </c>
      <c r="M58" s="35">
        <f>IFERROR(J58/F58,0)</f>
        <v/>
      </c>
      <c r="N58" s="36">
        <f>IFERROR(J58/E58,0)</f>
        <v/>
      </c>
      <c r="O58" s="36">
        <f>IFERROR(I58/J58,0)</f>
        <v/>
      </c>
      <c r="R58" s="52">
        <f>IF($D58="Actual",SUMIFS(Data_Actuals!$C$2:$C$5000,Data_Actuals!$A$2:$A$5000,$A58,Data_Actuals!$B$2:$B$5000,$B$2),"")</f>
        <v/>
      </c>
      <c r="S58" s="52">
        <f>IF($D58="Actual",SUMIFS(Data_Actuals!$D$2:$D$5000,Data_Actuals!$A$2:$A$5000,$A58,Data_Actuals!$B$2:$B$5000,$B$2),"")</f>
        <v/>
      </c>
      <c r="T58" s="52">
        <f>IF($D58="Actual",SUMIFS(Data_Actuals!$E$2:$E$5000,Data_Actuals!$A$2:$A$5000,$A58,Data_Actuals!$B$2:$B$5000,$B$2),"")</f>
        <v/>
      </c>
      <c r="U58" s="52">
        <f>IF($D58="Actual",SUMIFS(Data_Actuals!$F$2:$F$5000,Data_Actuals!$A$2:$A$5000,$A58,Data_Actuals!$B$2:$B$5000,$B$2),"")</f>
        <v/>
      </c>
      <c r="V58" s="52">
        <f>IF($D58="Actual",SUMIFS(Data_Actuals!$G$2:$G$5000,Data_Actuals!$A$2:$A$5000,$A58,Data_Actuals!$B$2:$B$5000,$B$2),"")</f>
        <v/>
      </c>
      <c r="W58" s="52">
        <f>SUMIFS(Plan_Inputs!$C$2:$C$5000,Plan_Inputs!$A$2:$A$5000,$A58,Plan_Inputs!$B$2:$B$5000,$B$2)</f>
        <v/>
      </c>
      <c r="X58" s="53">
        <f>IF($D58="Actual",IFERROR(S58/T58,""),X46)</f>
        <v/>
      </c>
      <c r="Y58" s="52">
        <f>E58</f>
        <v/>
      </c>
      <c r="Z58" s="54">
        <f>INDEX(Calendar!$H$5:$L$52,MATCH($A58,Calendar!$A$5:$A$52,0),MATCH($D$2,Calendar!$H$4:$L$4,0))</f>
        <v/>
      </c>
      <c r="AA58" s="54">
        <f>INDEX(Calendar!$M$5:$M$52,MATCH($A58,Calendar!$A$5:$A$52,0))</f>
        <v/>
      </c>
      <c r="AB58" s="55">
        <f>IF($D58="Actual",IFERROR(S58/Y58,""),AB46)</f>
        <v/>
      </c>
      <c r="AC58" s="56">
        <f>IF($D58="Actual",IFERROR(U58/T58/Z58/AA58,""),AC46)</f>
        <v/>
      </c>
      <c r="AD58" s="57">
        <f>IF($D58="Actual",IFERROR(V58/(U58+V58),""),$K$2)</f>
        <v/>
      </c>
      <c r="AE58" s="56">
        <f>IFERROR(AC58*Z58*AA58,"")</f>
        <v/>
      </c>
      <c r="AF58" s="53">
        <f>K46</f>
        <v/>
      </c>
      <c r="AG58" s="57">
        <f>IF($D58="Forecast",IFERROR(K58/AF58-1,""),"")</f>
        <v/>
      </c>
      <c r="AH58" s="53">
        <f>IF(CPLHSource="National breakdown",CPLH_Breakdown!AK63,SUMIFS(Plan_Inputs!$D$2:$D$5000,Plan_Inputs!$A$2:$A$5000,$A58,Plan_Inputs!$B$2:$B$5000,$B$2))</f>
        <v/>
      </c>
      <c r="AJ58" s="15">
        <f>F58*$AK$11</f>
        <v/>
      </c>
      <c r="AK58" s="9">
        <f>G58*$AK$11</f>
        <v/>
      </c>
      <c r="AL58" s="30">
        <f>H58*$AK$11</f>
        <v/>
      </c>
      <c r="AM58" s="30">
        <f>I58*$AK$11</f>
        <v/>
      </c>
      <c r="AN58" s="30">
        <f>J58*$AK$11</f>
        <v/>
      </c>
      <c r="AP58" s="15">
        <f>F58*$AQ$11</f>
        <v/>
      </c>
      <c r="AQ58" s="9">
        <f>G58*$AQ$11</f>
        <v/>
      </c>
      <c r="AR58" s="30">
        <f>H58*$AQ$11</f>
        <v/>
      </c>
      <c r="AS58" s="30">
        <f>I58*$AQ$11</f>
        <v/>
      </c>
      <c r="AT58" s="30">
        <f>J58*$AQ$11</f>
        <v/>
      </c>
      <c r="AV58" s="15">
        <f>F58*$AW$11</f>
        <v/>
      </c>
      <c r="AW58" s="9">
        <f>G58*$AW$11</f>
        <v/>
      </c>
      <c r="AX58" s="30">
        <f>H58*$AW$11</f>
        <v/>
      </c>
      <c r="AY58" s="30">
        <f>I58*$AW$11</f>
        <v/>
      </c>
      <c r="AZ58" s="30">
        <f>J58*$AW$11</f>
        <v/>
      </c>
    </row>
    <row r="59">
      <c r="A59" s="8" t="n">
        <v>46997</v>
      </c>
      <c r="B59" s="33">
        <f>YEAR(A59)</f>
        <v/>
      </c>
      <c r="C59" s="33">
        <f>MONTH(A59)</f>
        <v/>
      </c>
      <c r="D59">
        <f>IF(A59&lt;=LastActual,"Actual","Forecast")</f>
        <v/>
      </c>
      <c r="E59" s="30">
        <f>IF($D59="Actual",R59,W59)</f>
        <v/>
      </c>
      <c r="F59" s="15">
        <f>IF($D59="Actual",S59,Cases_Forecast!AJ52)</f>
        <v/>
      </c>
      <c r="G59" s="9">
        <f>IF($D59="Actual",T59,IFERROR(F59/K59,0))</f>
        <v/>
      </c>
      <c r="H59" s="30">
        <f>IF($D59="Actual",U59,G59*L59)</f>
        <v/>
      </c>
      <c r="I59" s="30">
        <f>IF($D59="Actual",V59,J59-H59)</f>
        <v/>
      </c>
      <c r="J59" s="30">
        <f>IF($D59="Actual",U59+V59,IFERROR(H59/(1-AD59),0))</f>
        <v/>
      </c>
      <c r="K59" s="10">
        <f>IF($D59="Actual",IFERROR(S59/T59,0),CPLH_Forecast!AJ52)</f>
        <v/>
      </c>
      <c r="L59" s="34">
        <f>IF($D59="Actual",IFERROR(U59/T59,0),N(AE59))</f>
        <v/>
      </c>
      <c r="M59" s="35">
        <f>IFERROR(J59/F59,0)</f>
        <v/>
      </c>
      <c r="N59" s="36">
        <f>IFERROR(J59/E59,0)</f>
        <v/>
      </c>
      <c r="O59" s="36">
        <f>IFERROR(I59/J59,0)</f>
        <v/>
      </c>
      <c r="R59" s="52">
        <f>IF($D59="Actual",SUMIFS(Data_Actuals!$C$2:$C$5000,Data_Actuals!$A$2:$A$5000,$A59,Data_Actuals!$B$2:$B$5000,$B$2),"")</f>
        <v/>
      </c>
      <c r="S59" s="52">
        <f>IF($D59="Actual",SUMIFS(Data_Actuals!$D$2:$D$5000,Data_Actuals!$A$2:$A$5000,$A59,Data_Actuals!$B$2:$B$5000,$B$2),"")</f>
        <v/>
      </c>
      <c r="T59" s="52">
        <f>IF($D59="Actual",SUMIFS(Data_Actuals!$E$2:$E$5000,Data_Actuals!$A$2:$A$5000,$A59,Data_Actuals!$B$2:$B$5000,$B$2),"")</f>
        <v/>
      </c>
      <c r="U59" s="52">
        <f>IF($D59="Actual",SUMIFS(Data_Actuals!$F$2:$F$5000,Data_Actuals!$A$2:$A$5000,$A59,Data_Actuals!$B$2:$B$5000,$B$2),"")</f>
        <v/>
      </c>
      <c r="V59" s="52">
        <f>IF($D59="Actual",SUMIFS(Data_Actuals!$G$2:$G$5000,Data_Actuals!$A$2:$A$5000,$A59,Data_Actuals!$B$2:$B$5000,$B$2),"")</f>
        <v/>
      </c>
      <c r="W59" s="52">
        <f>SUMIFS(Plan_Inputs!$C$2:$C$5000,Plan_Inputs!$A$2:$A$5000,$A59,Plan_Inputs!$B$2:$B$5000,$B$2)</f>
        <v/>
      </c>
      <c r="X59" s="53">
        <f>IF($D59="Actual",IFERROR(S59/T59,""),X47)</f>
        <v/>
      </c>
      <c r="Y59" s="52">
        <f>E59</f>
        <v/>
      </c>
      <c r="Z59" s="54">
        <f>INDEX(Calendar!$H$5:$L$52,MATCH($A59,Calendar!$A$5:$A$52,0),MATCH($D$2,Calendar!$H$4:$L$4,0))</f>
        <v/>
      </c>
      <c r="AA59" s="54">
        <f>INDEX(Calendar!$M$5:$M$52,MATCH($A59,Calendar!$A$5:$A$52,0))</f>
        <v/>
      </c>
      <c r="AB59" s="55">
        <f>IF($D59="Actual",IFERROR(S59/Y59,""),AB47)</f>
        <v/>
      </c>
      <c r="AC59" s="56">
        <f>IF($D59="Actual",IFERROR(U59/T59/Z59/AA59,""),AC47)</f>
        <v/>
      </c>
      <c r="AD59" s="57">
        <f>IF($D59="Actual",IFERROR(V59/(U59+V59),""),$K$2)</f>
        <v/>
      </c>
      <c r="AE59" s="56">
        <f>IFERROR(AC59*Z59*AA59,"")</f>
        <v/>
      </c>
      <c r="AF59" s="53">
        <f>K47</f>
        <v/>
      </c>
      <c r="AG59" s="57">
        <f>IF($D59="Forecast",IFERROR(K59/AF59-1,""),"")</f>
        <v/>
      </c>
      <c r="AH59" s="53">
        <f>IF(CPLHSource="National breakdown",CPLH_Breakdown!AK64,SUMIFS(Plan_Inputs!$D$2:$D$5000,Plan_Inputs!$A$2:$A$5000,$A59,Plan_Inputs!$B$2:$B$5000,$B$2))</f>
        <v/>
      </c>
      <c r="AJ59" s="15">
        <f>F59*$AK$11</f>
        <v/>
      </c>
      <c r="AK59" s="9">
        <f>G59*$AK$11</f>
        <v/>
      </c>
      <c r="AL59" s="30">
        <f>H59*$AK$11</f>
        <v/>
      </c>
      <c r="AM59" s="30">
        <f>I59*$AK$11</f>
        <v/>
      </c>
      <c r="AN59" s="30">
        <f>J59*$AK$11</f>
        <v/>
      </c>
      <c r="AP59" s="15">
        <f>F59*$AQ$11</f>
        <v/>
      </c>
      <c r="AQ59" s="9">
        <f>G59*$AQ$11</f>
        <v/>
      </c>
      <c r="AR59" s="30">
        <f>H59*$AQ$11</f>
        <v/>
      </c>
      <c r="AS59" s="30">
        <f>I59*$AQ$11</f>
        <v/>
      </c>
      <c r="AT59" s="30">
        <f>J59*$AQ$11</f>
        <v/>
      </c>
      <c r="AV59" s="15">
        <f>F59*$AW$11</f>
        <v/>
      </c>
      <c r="AW59" s="9">
        <f>G59*$AW$11</f>
        <v/>
      </c>
      <c r="AX59" s="30">
        <f>H59*$AW$11</f>
        <v/>
      </c>
      <c r="AY59" s="30">
        <f>I59*$AW$11</f>
        <v/>
      </c>
      <c r="AZ59" s="30">
        <f>J59*$AW$11</f>
        <v/>
      </c>
    </row>
    <row r="60">
      <c r="A60" s="8" t="n">
        <v>47027</v>
      </c>
      <c r="B60" s="33">
        <f>YEAR(A60)</f>
        <v/>
      </c>
      <c r="C60" s="33">
        <f>MONTH(A60)</f>
        <v/>
      </c>
      <c r="D60">
        <f>IF(A60&lt;=LastActual,"Actual","Forecast")</f>
        <v/>
      </c>
      <c r="E60" s="30">
        <f>IF($D60="Actual",R60,W60)</f>
        <v/>
      </c>
      <c r="F60" s="15">
        <f>IF($D60="Actual",S60,Cases_Forecast!AJ53)</f>
        <v/>
      </c>
      <c r="G60" s="9">
        <f>IF($D60="Actual",T60,IFERROR(F60/K60,0))</f>
        <v/>
      </c>
      <c r="H60" s="30">
        <f>IF($D60="Actual",U60,G60*L60)</f>
        <v/>
      </c>
      <c r="I60" s="30">
        <f>IF($D60="Actual",V60,J60-H60)</f>
        <v/>
      </c>
      <c r="J60" s="30">
        <f>IF($D60="Actual",U60+V60,IFERROR(H60/(1-AD60),0))</f>
        <v/>
      </c>
      <c r="K60" s="10">
        <f>IF($D60="Actual",IFERROR(S60/T60,0),CPLH_Forecast!AJ53)</f>
        <v/>
      </c>
      <c r="L60" s="34">
        <f>IF($D60="Actual",IFERROR(U60/T60,0),N(AE60))</f>
        <v/>
      </c>
      <c r="M60" s="35">
        <f>IFERROR(J60/F60,0)</f>
        <v/>
      </c>
      <c r="N60" s="36">
        <f>IFERROR(J60/E60,0)</f>
        <v/>
      </c>
      <c r="O60" s="36">
        <f>IFERROR(I60/J60,0)</f>
        <v/>
      </c>
      <c r="R60" s="52">
        <f>IF($D60="Actual",SUMIFS(Data_Actuals!$C$2:$C$5000,Data_Actuals!$A$2:$A$5000,$A60,Data_Actuals!$B$2:$B$5000,$B$2),"")</f>
        <v/>
      </c>
      <c r="S60" s="52">
        <f>IF($D60="Actual",SUMIFS(Data_Actuals!$D$2:$D$5000,Data_Actuals!$A$2:$A$5000,$A60,Data_Actuals!$B$2:$B$5000,$B$2),"")</f>
        <v/>
      </c>
      <c r="T60" s="52">
        <f>IF($D60="Actual",SUMIFS(Data_Actuals!$E$2:$E$5000,Data_Actuals!$A$2:$A$5000,$A60,Data_Actuals!$B$2:$B$5000,$B$2),"")</f>
        <v/>
      </c>
      <c r="U60" s="52">
        <f>IF($D60="Actual",SUMIFS(Data_Actuals!$F$2:$F$5000,Data_Actuals!$A$2:$A$5000,$A60,Data_Actuals!$B$2:$B$5000,$B$2),"")</f>
        <v/>
      </c>
      <c r="V60" s="52">
        <f>IF($D60="Actual",SUMIFS(Data_Actuals!$G$2:$G$5000,Data_Actuals!$A$2:$A$5000,$A60,Data_Actuals!$B$2:$B$5000,$B$2),"")</f>
        <v/>
      </c>
      <c r="W60" s="52">
        <f>SUMIFS(Plan_Inputs!$C$2:$C$5000,Plan_Inputs!$A$2:$A$5000,$A60,Plan_Inputs!$B$2:$B$5000,$B$2)</f>
        <v/>
      </c>
      <c r="X60" s="53">
        <f>IF($D60="Actual",IFERROR(S60/T60,""),X48)</f>
        <v/>
      </c>
      <c r="Y60" s="52">
        <f>E60</f>
        <v/>
      </c>
      <c r="Z60" s="54">
        <f>INDEX(Calendar!$H$5:$L$52,MATCH($A60,Calendar!$A$5:$A$52,0),MATCH($D$2,Calendar!$H$4:$L$4,0))</f>
        <v/>
      </c>
      <c r="AA60" s="54">
        <f>INDEX(Calendar!$M$5:$M$52,MATCH($A60,Calendar!$A$5:$A$52,0))</f>
        <v/>
      </c>
      <c r="AB60" s="55">
        <f>IF($D60="Actual",IFERROR(S60/Y60,""),AB48)</f>
        <v/>
      </c>
      <c r="AC60" s="56">
        <f>IF($D60="Actual",IFERROR(U60/T60/Z60/AA60,""),AC48)</f>
        <v/>
      </c>
      <c r="AD60" s="57">
        <f>IF($D60="Actual",IFERROR(V60/(U60+V60),""),$K$2)</f>
        <v/>
      </c>
      <c r="AE60" s="56">
        <f>IFERROR(AC60*Z60*AA60,"")</f>
        <v/>
      </c>
      <c r="AF60" s="53">
        <f>K48</f>
        <v/>
      </c>
      <c r="AG60" s="57">
        <f>IF($D60="Forecast",IFERROR(K60/AF60-1,""),"")</f>
        <v/>
      </c>
      <c r="AH60" s="53">
        <f>IF(CPLHSource="National breakdown",CPLH_Breakdown!AK65,SUMIFS(Plan_Inputs!$D$2:$D$5000,Plan_Inputs!$A$2:$A$5000,$A60,Plan_Inputs!$B$2:$B$5000,$B$2))</f>
        <v/>
      </c>
      <c r="AJ60" s="15">
        <f>F60*$AK$11</f>
        <v/>
      </c>
      <c r="AK60" s="9">
        <f>G60*$AK$11</f>
        <v/>
      </c>
      <c r="AL60" s="30">
        <f>H60*$AK$11</f>
        <v/>
      </c>
      <c r="AM60" s="30">
        <f>I60*$AK$11</f>
        <v/>
      </c>
      <c r="AN60" s="30">
        <f>J60*$AK$11</f>
        <v/>
      </c>
      <c r="AP60" s="15">
        <f>F60*$AQ$11</f>
        <v/>
      </c>
      <c r="AQ60" s="9">
        <f>G60*$AQ$11</f>
        <v/>
      </c>
      <c r="AR60" s="30">
        <f>H60*$AQ$11</f>
        <v/>
      </c>
      <c r="AS60" s="30">
        <f>I60*$AQ$11</f>
        <v/>
      </c>
      <c r="AT60" s="30">
        <f>J60*$AQ$11</f>
        <v/>
      </c>
      <c r="AV60" s="15">
        <f>F60*$AW$11</f>
        <v/>
      </c>
      <c r="AW60" s="9">
        <f>G60*$AW$11</f>
        <v/>
      </c>
      <c r="AX60" s="30">
        <f>H60*$AW$11</f>
        <v/>
      </c>
      <c r="AY60" s="30">
        <f>I60*$AW$11</f>
        <v/>
      </c>
      <c r="AZ60" s="30">
        <f>J60*$AW$11</f>
        <v/>
      </c>
    </row>
    <row r="61">
      <c r="A61" s="8" t="n">
        <v>47058</v>
      </c>
      <c r="B61" s="33">
        <f>YEAR(A61)</f>
        <v/>
      </c>
      <c r="C61" s="33">
        <f>MONTH(A61)</f>
        <v/>
      </c>
      <c r="D61">
        <f>IF(A61&lt;=LastActual,"Actual","Forecast")</f>
        <v/>
      </c>
      <c r="E61" s="30">
        <f>IF($D61="Actual",R61,W61)</f>
        <v/>
      </c>
      <c r="F61" s="15">
        <f>IF($D61="Actual",S61,Cases_Forecast!AJ54)</f>
        <v/>
      </c>
      <c r="G61" s="9">
        <f>IF($D61="Actual",T61,IFERROR(F61/K61,0))</f>
        <v/>
      </c>
      <c r="H61" s="30">
        <f>IF($D61="Actual",U61,G61*L61)</f>
        <v/>
      </c>
      <c r="I61" s="30">
        <f>IF($D61="Actual",V61,J61-H61)</f>
        <v/>
      </c>
      <c r="J61" s="30">
        <f>IF($D61="Actual",U61+V61,IFERROR(H61/(1-AD61),0))</f>
        <v/>
      </c>
      <c r="K61" s="10">
        <f>IF($D61="Actual",IFERROR(S61/T61,0),CPLH_Forecast!AJ54)</f>
        <v/>
      </c>
      <c r="L61" s="34">
        <f>IF($D61="Actual",IFERROR(U61/T61,0),N(AE61))</f>
        <v/>
      </c>
      <c r="M61" s="35">
        <f>IFERROR(J61/F61,0)</f>
        <v/>
      </c>
      <c r="N61" s="36">
        <f>IFERROR(J61/E61,0)</f>
        <v/>
      </c>
      <c r="O61" s="36">
        <f>IFERROR(I61/J61,0)</f>
        <v/>
      </c>
      <c r="R61" s="52">
        <f>IF($D61="Actual",SUMIFS(Data_Actuals!$C$2:$C$5000,Data_Actuals!$A$2:$A$5000,$A61,Data_Actuals!$B$2:$B$5000,$B$2),"")</f>
        <v/>
      </c>
      <c r="S61" s="52">
        <f>IF($D61="Actual",SUMIFS(Data_Actuals!$D$2:$D$5000,Data_Actuals!$A$2:$A$5000,$A61,Data_Actuals!$B$2:$B$5000,$B$2),"")</f>
        <v/>
      </c>
      <c r="T61" s="52">
        <f>IF($D61="Actual",SUMIFS(Data_Actuals!$E$2:$E$5000,Data_Actuals!$A$2:$A$5000,$A61,Data_Actuals!$B$2:$B$5000,$B$2),"")</f>
        <v/>
      </c>
      <c r="U61" s="52">
        <f>IF($D61="Actual",SUMIFS(Data_Actuals!$F$2:$F$5000,Data_Actuals!$A$2:$A$5000,$A61,Data_Actuals!$B$2:$B$5000,$B$2),"")</f>
        <v/>
      </c>
      <c r="V61" s="52">
        <f>IF($D61="Actual",SUMIFS(Data_Actuals!$G$2:$G$5000,Data_Actuals!$A$2:$A$5000,$A61,Data_Actuals!$B$2:$B$5000,$B$2),"")</f>
        <v/>
      </c>
      <c r="W61" s="52">
        <f>SUMIFS(Plan_Inputs!$C$2:$C$5000,Plan_Inputs!$A$2:$A$5000,$A61,Plan_Inputs!$B$2:$B$5000,$B$2)</f>
        <v/>
      </c>
      <c r="X61" s="53">
        <f>IF($D61="Actual",IFERROR(S61/T61,""),X49)</f>
        <v/>
      </c>
      <c r="Y61" s="52">
        <f>E61</f>
        <v/>
      </c>
      <c r="Z61" s="54">
        <f>INDEX(Calendar!$H$5:$L$52,MATCH($A61,Calendar!$A$5:$A$52,0),MATCH($D$2,Calendar!$H$4:$L$4,0))</f>
        <v/>
      </c>
      <c r="AA61" s="54">
        <f>INDEX(Calendar!$M$5:$M$52,MATCH($A61,Calendar!$A$5:$A$52,0))</f>
        <v/>
      </c>
      <c r="AB61" s="55">
        <f>IF($D61="Actual",IFERROR(S61/Y61,""),AB49)</f>
        <v/>
      </c>
      <c r="AC61" s="56">
        <f>IF($D61="Actual",IFERROR(U61/T61/Z61/AA61,""),AC49)</f>
        <v/>
      </c>
      <c r="AD61" s="57">
        <f>IF($D61="Actual",IFERROR(V61/(U61+V61),""),$K$2)</f>
        <v/>
      </c>
      <c r="AE61" s="56">
        <f>IFERROR(AC61*Z61*AA61,"")</f>
        <v/>
      </c>
      <c r="AF61" s="53">
        <f>K49</f>
        <v/>
      </c>
      <c r="AG61" s="57">
        <f>IF($D61="Forecast",IFERROR(K61/AF61-1,""),"")</f>
        <v/>
      </c>
      <c r="AH61" s="53">
        <f>IF(CPLHSource="National breakdown",CPLH_Breakdown!AK66,SUMIFS(Plan_Inputs!$D$2:$D$5000,Plan_Inputs!$A$2:$A$5000,$A61,Plan_Inputs!$B$2:$B$5000,$B$2))</f>
        <v/>
      </c>
      <c r="AJ61" s="15">
        <f>F61*$AK$11</f>
        <v/>
      </c>
      <c r="AK61" s="9">
        <f>G61*$AK$11</f>
        <v/>
      </c>
      <c r="AL61" s="30">
        <f>H61*$AK$11</f>
        <v/>
      </c>
      <c r="AM61" s="30">
        <f>I61*$AK$11</f>
        <v/>
      </c>
      <c r="AN61" s="30">
        <f>J61*$AK$11</f>
        <v/>
      </c>
      <c r="AP61" s="15">
        <f>F61*$AQ$11</f>
        <v/>
      </c>
      <c r="AQ61" s="9">
        <f>G61*$AQ$11</f>
        <v/>
      </c>
      <c r="AR61" s="30">
        <f>H61*$AQ$11</f>
        <v/>
      </c>
      <c r="AS61" s="30">
        <f>I61*$AQ$11</f>
        <v/>
      </c>
      <c r="AT61" s="30">
        <f>J61*$AQ$11</f>
        <v/>
      </c>
      <c r="AV61" s="15">
        <f>F61*$AW$11</f>
        <v/>
      </c>
      <c r="AW61" s="9">
        <f>G61*$AW$11</f>
        <v/>
      </c>
      <c r="AX61" s="30">
        <f>H61*$AW$11</f>
        <v/>
      </c>
      <c r="AY61" s="30">
        <f>I61*$AW$11</f>
        <v/>
      </c>
      <c r="AZ61" s="30">
        <f>J61*$AW$11</f>
        <v/>
      </c>
    </row>
    <row r="62">
      <c r="A62" s="37" t="n">
        <v>47088</v>
      </c>
      <c r="B62" s="38">
        <f>YEAR(A62)</f>
        <v/>
      </c>
      <c r="C62" s="38">
        <f>MONTH(A62)</f>
        <v/>
      </c>
      <c r="D62" s="39">
        <f>IF(A62&lt;=LastActual,"Actual","Forecast")</f>
        <v/>
      </c>
      <c r="E62" s="40">
        <f>IF($D62="Actual",R62,W62)</f>
        <v/>
      </c>
      <c r="F62" s="41">
        <f>IF($D62="Actual",S62,Cases_Forecast!AJ55)</f>
        <v/>
      </c>
      <c r="G62" s="42">
        <f>IF($D62="Actual",T62,IFERROR(F62/K62,0))</f>
        <v/>
      </c>
      <c r="H62" s="40">
        <f>IF($D62="Actual",U62,G62*L62)</f>
        <v/>
      </c>
      <c r="I62" s="40">
        <f>IF($D62="Actual",V62,J62-H62)</f>
        <v/>
      </c>
      <c r="J62" s="40">
        <f>IF($D62="Actual",U62+V62,IFERROR(H62/(1-AD62),0))</f>
        <v/>
      </c>
      <c r="K62" s="43">
        <f>IF($D62="Actual",IFERROR(S62/T62,0),CPLH_Forecast!AJ55)</f>
        <v/>
      </c>
      <c r="L62" s="44">
        <f>IF($D62="Actual",IFERROR(U62/T62,0),N(AE62))</f>
        <v/>
      </c>
      <c r="M62" s="45">
        <f>IFERROR(J62/F62,0)</f>
        <v/>
      </c>
      <c r="N62" s="46">
        <f>IFERROR(J62/E62,0)</f>
        <v/>
      </c>
      <c r="O62" s="46">
        <f>IFERROR(I62/J62,0)</f>
        <v/>
      </c>
      <c r="R62" s="52">
        <f>IF($D62="Actual",SUMIFS(Data_Actuals!$C$2:$C$5000,Data_Actuals!$A$2:$A$5000,$A62,Data_Actuals!$B$2:$B$5000,$B$2),"")</f>
        <v/>
      </c>
      <c r="S62" s="52">
        <f>IF($D62="Actual",SUMIFS(Data_Actuals!$D$2:$D$5000,Data_Actuals!$A$2:$A$5000,$A62,Data_Actuals!$B$2:$B$5000,$B$2),"")</f>
        <v/>
      </c>
      <c r="T62" s="52">
        <f>IF($D62="Actual",SUMIFS(Data_Actuals!$E$2:$E$5000,Data_Actuals!$A$2:$A$5000,$A62,Data_Actuals!$B$2:$B$5000,$B$2),"")</f>
        <v/>
      </c>
      <c r="U62" s="52">
        <f>IF($D62="Actual",SUMIFS(Data_Actuals!$F$2:$F$5000,Data_Actuals!$A$2:$A$5000,$A62,Data_Actuals!$B$2:$B$5000,$B$2),"")</f>
        <v/>
      </c>
      <c r="V62" s="52">
        <f>IF($D62="Actual",SUMIFS(Data_Actuals!$G$2:$G$5000,Data_Actuals!$A$2:$A$5000,$A62,Data_Actuals!$B$2:$B$5000,$B$2),"")</f>
        <v/>
      </c>
      <c r="W62" s="52">
        <f>SUMIFS(Plan_Inputs!$C$2:$C$5000,Plan_Inputs!$A$2:$A$5000,$A62,Plan_Inputs!$B$2:$B$5000,$B$2)</f>
        <v/>
      </c>
      <c r="X62" s="53">
        <f>IF($D62="Actual",IFERROR(S62/T62,""),X50)</f>
        <v/>
      </c>
      <c r="Y62" s="52">
        <f>E62</f>
        <v/>
      </c>
      <c r="Z62" s="54">
        <f>INDEX(Calendar!$H$5:$L$52,MATCH($A62,Calendar!$A$5:$A$52,0),MATCH($D$2,Calendar!$H$4:$L$4,0))</f>
        <v/>
      </c>
      <c r="AA62" s="54">
        <f>INDEX(Calendar!$M$5:$M$52,MATCH($A62,Calendar!$A$5:$A$52,0))</f>
        <v/>
      </c>
      <c r="AB62" s="55">
        <f>IF($D62="Actual",IFERROR(S62/Y62,""),AB50)</f>
        <v/>
      </c>
      <c r="AC62" s="56">
        <f>IF($D62="Actual",IFERROR(U62/T62/Z62/AA62,""),AC50)</f>
        <v/>
      </c>
      <c r="AD62" s="57">
        <f>IF($D62="Actual",IFERROR(V62/(U62+V62),""),$K$2)</f>
        <v/>
      </c>
      <c r="AE62" s="56">
        <f>IFERROR(AC62*Z62*AA62,"")</f>
        <v/>
      </c>
      <c r="AF62" s="53">
        <f>K50</f>
        <v/>
      </c>
      <c r="AG62" s="57">
        <f>IF($D62="Forecast",IFERROR(K62/AF62-1,""),"")</f>
        <v/>
      </c>
      <c r="AH62" s="53">
        <f>IF(CPLHSource="National breakdown",CPLH_Breakdown!AK67,SUMIFS(Plan_Inputs!$D$2:$D$5000,Plan_Inputs!$A$2:$A$5000,$A62,Plan_Inputs!$B$2:$B$5000,$B$2))</f>
        <v/>
      </c>
      <c r="AJ62" s="41">
        <f>F62*$AK$11</f>
        <v/>
      </c>
      <c r="AK62" s="42">
        <f>G62*$AK$11</f>
        <v/>
      </c>
      <c r="AL62" s="40">
        <f>H62*$AK$11</f>
        <v/>
      </c>
      <c r="AM62" s="40">
        <f>I62*$AK$11</f>
        <v/>
      </c>
      <c r="AN62" s="40">
        <f>J62*$AK$11</f>
        <v/>
      </c>
      <c r="AP62" s="41">
        <f>F62*$AQ$11</f>
        <v/>
      </c>
      <c r="AQ62" s="42">
        <f>G62*$AQ$11</f>
        <v/>
      </c>
      <c r="AR62" s="40">
        <f>H62*$AQ$11</f>
        <v/>
      </c>
      <c r="AS62" s="40">
        <f>I62*$AQ$11</f>
        <v/>
      </c>
      <c r="AT62" s="40">
        <f>J62*$AQ$11</f>
        <v/>
      </c>
      <c r="AV62" s="41">
        <f>F62*$AW$11</f>
        <v/>
      </c>
      <c r="AW62" s="42">
        <f>G62*$AW$11</f>
        <v/>
      </c>
      <c r="AX62" s="40">
        <f>H62*$AW$11</f>
        <v/>
      </c>
      <c r="AY62" s="40">
        <f>I62*$AW$11</f>
        <v/>
      </c>
      <c r="AZ62" s="40">
        <f>J62*$AW$11</f>
        <v/>
      </c>
    </row>
  </sheetData>
  <mergeCells count="6">
    <mergeCell ref="K12:O12"/>
    <mergeCell ref="AV12:AZ12"/>
    <mergeCell ref="AJ12:AN12"/>
    <mergeCell ref="AP12:AT12"/>
    <mergeCell ref="R12:AH12"/>
    <mergeCell ref="E12:J12"/>
  </mergeCells>
  <conditionalFormatting sqref="A15:O62">
    <cfRule type="expression" priority="1" dxfId="4">
      <formula>$D15="Forecast"</formula>
    </cfRule>
  </conditionalFormatting>
  <conditionalFormatting sqref="AJ15:AZ62">
    <cfRule type="expression" priority="2" dxfId="4">
      <formula>$D15="Forecast"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F3864"/>
    <outlinePr summaryBelow="1" summaryRight="1"/>
    <pageSetUpPr/>
  </sheetPr>
  <dimension ref="A1:AZ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  <col width="10" customWidth="1" min="34" max="34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2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2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2" customWidth="1" min="53" max="53"/>
  </cols>
  <sheetData>
    <row r="1">
      <c r="A1" s="2">
        <f>$B$2&amp;"  |  Region  |  VIC"</f>
        <v/>
      </c>
    </row>
    <row r="2">
      <c r="A2" t="inlineStr">
        <is>
          <t>Code</t>
        </is>
      </c>
      <c r="B2" s="1">
        <f>Inputs!$A$37</f>
        <v/>
      </c>
      <c r="C2" t="inlineStr">
        <is>
          <t>State</t>
        </is>
      </c>
      <c r="D2" s="1" t="inlineStr">
        <is>
          <t>VIC</t>
        </is>
      </c>
      <c r="F2" t="inlineStr">
        <is>
          <t>Leadership share of total payroll, last actual month</t>
        </is>
      </c>
      <c r="K2" s="50">
        <f>IFERROR(INDEX($V$15:$V$62,MATCH(LastActual,$A$15:$A$62,0))/(INDEX($U$15:$U$62,MATCH(LastActual,$A$15:$A$62,0))+INDEX($V$15:$V$62,MATCH(LastActual,$A$15:$A$62,0))),0)</f>
        <v/>
      </c>
    </row>
    <row r="5" ht="45" customHeight="1">
      <c r="A5" s="7" t="inlineStr">
        <is>
          <t>FY</t>
        </is>
      </c>
      <c r="D5" s="7" t="inlineStr">
        <is>
          <t>Status</t>
        </is>
      </c>
      <c r="E5" s="7" t="inlineStr">
        <is>
          <t>Sales</t>
        </is>
      </c>
      <c r="F5" s="7" t="inlineStr">
        <is>
          <t>Cases picked</t>
        </is>
      </c>
      <c r="G5" s="7" t="inlineStr">
        <is>
          <t>WH hours worked</t>
        </is>
      </c>
      <c r="H5" s="7" t="inlineStr">
        <is>
          <t>Staff payroll</t>
        </is>
      </c>
      <c r="I5" s="7" t="inlineStr">
        <is>
          <t>Leadership payroll</t>
        </is>
      </c>
      <c r="J5" s="7" t="inlineStr">
        <is>
          <t>Total payroll</t>
        </is>
      </c>
      <c r="K5" s="7" t="inlineStr">
        <is>
          <t>CPLH (cases / hr)</t>
        </is>
      </c>
      <c r="L5" s="7" t="inlineStr">
        <is>
          <t>Cost per hour (staff)</t>
        </is>
      </c>
      <c r="M5" s="7" t="inlineStr">
        <is>
          <t>Cost per case (total payroll)</t>
        </is>
      </c>
      <c r="N5" s="7" t="inlineStr">
        <is>
          <t>Total payroll % sales</t>
        </is>
      </c>
      <c r="O5" s="7" t="inlineStr">
        <is>
          <t>Leadership % of total payroll</t>
        </is>
      </c>
      <c r="AJ5" s="20" t="inlineStr">
        <is>
          <t>Cases picked</t>
        </is>
      </c>
      <c r="AK5" s="20" t="inlineStr">
        <is>
          <t>WH hours worked</t>
        </is>
      </c>
      <c r="AL5" s="20" t="inlineStr">
        <is>
          <t>Staff payroll</t>
        </is>
      </c>
      <c r="AM5" s="20" t="inlineStr">
        <is>
          <t>Leadership payroll</t>
        </is>
      </c>
      <c r="AN5" s="20" t="inlineStr">
        <is>
          <t>Total payroll</t>
        </is>
      </c>
      <c r="AP5" s="20" t="inlineStr">
        <is>
          <t>Cases picked</t>
        </is>
      </c>
      <c r="AQ5" s="20" t="inlineStr">
        <is>
          <t>WH hours worked</t>
        </is>
      </c>
      <c r="AR5" s="20" t="inlineStr">
        <is>
          <t>Staff payroll</t>
        </is>
      </c>
      <c r="AS5" s="20" t="inlineStr">
        <is>
          <t>Leadership payroll</t>
        </is>
      </c>
      <c r="AT5" s="20" t="inlineStr">
        <is>
          <t>Total payroll</t>
        </is>
      </c>
      <c r="AV5" s="20" t="inlineStr">
        <is>
          <t>Cases picked</t>
        </is>
      </c>
      <c r="AW5" s="20" t="inlineStr">
        <is>
          <t>WH hours worked</t>
        </is>
      </c>
      <c r="AX5" s="20" t="inlineStr">
        <is>
          <t>Staff payroll</t>
        </is>
      </c>
      <c r="AY5" s="20" t="inlineStr">
        <is>
          <t>Leadership payroll</t>
        </is>
      </c>
      <c r="AZ5" s="20" t="inlineStr">
        <is>
          <t>Total payroll</t>
        </is>
      </c>
    </row>
    <row r="6">
      <c r="A6" s="21" t="n">
        <v>2025</v>
      </c>
      <c r="D6" s="22">
        <f>IF(DATE(A6,12,1)&lt;=LastActual,"Actual",IF(DATE(A6,1,1)&gt;LastActual,"Forecast","Blended"))</f>
        <v/>
      </c>
      <c r="E6" s="23">
        <f>SUMIFS($E$15:$E$62,$B$15:$B$62,$A6)</f>
        <v/>
      </c>
      <c r="F6" s="24">
        <f>SUMIFS($F$15:$F$62,$B$15:$B$62,$A6)</f>
        <v/>
      </c>
      <c r="G6" s="25">
        <f>SUMIFS($G$15:$G$62,$B$15:$B$62,$A6)</f>
        <v/>
      </c>
      <c r="H6" s="23">
        <f>SUMIFS($H$15:$H$62,$B$15:$B$62,$A6)</f>
        <v/>
      </c>
      <c r="I6" s="23">
        <f>SUMIFS($I$15:$I$62,$B$15:$B$62,$A6)</f>
        <v/>
      </c>
      <c r="J6" s="23">
        <f>SUMIFS($J$15:$J$62,$B$15:$B$62,$A6)</f>
        <v/>
      </c>
      <c r="K6" s="26">
        <f>IFERROR(F6/G6,0)</f>
        <v/>
      </c>
      <c r="L6" s="27">
        <f>IFERROR(H6/G6,0)</f>
        <v/>
      </c>
      <c r="M6" s="28">
        <f>IFERROR(J6/F6,0)</f>
        <v/>
      </c>
      <c r="N6" s="29">
        <f>IFERROR(J6/E6,0)</f>
        <v/>
      </c>
      <c r="O6" s="29">
        <f>IFERROR(I6/J6,0)</f>
        <v/>
      </c>
      <c r="AJ6" s="24">
        <f>SUMIFS($AJ$15:$AJ$62,$B$15:$B$62,$A6)</f>
        <v/>
      </c>
      <c r="AK6" s="25">
        <f>SUMIFS($AK$15:$AK$62,$B$15:$B$62,$A6)</f>
        <v/>
      </c>
      <c r="AL6" s="23">
        <f>SUMIFS($AL$15:$AL$62,$B$15:$B$62,$A6)</f>
        <v/>
      </c>
      <c r="AM6" s="23">
        <f>SUMIFS($AM$15:$AM$62,$B$15:$B$62,$A6)</f>
        <v/>
      </c>
      <c r="AN6" s="23">
        <f>SUMIFS($AN$15:$AN$62,$B$15:$B$62,$A6)</f>
        <v/>
      </c>
      <c r="AP6" s="24">
        <f>SUMIFS($AP$15:$AP$62,$B$15:$B$62,$A6)</f>
        <v/>
      </c>
      <c r="AQ6" s="25">
        <f>SUMIFS($AQ$15:$AQ$62,$B$15:$B$62,$A6)</f>
        <v/>
      </c>
      <c r="AR6" s="23">
        <f>SUMIFS($AR$15:$AR$62,$B$15:$B$62,$A6)</f>
        <v/>
      </c>
      <c r="AS6" s="23">
        <f>SUMIFS($AS$15:$AS$62,$B$15:$B$62,$A6)</f>
        <v/>
      </c>
      <c r="AT6" s="23">
        <f>SUMIFS($AT$15:$AT$62,$B$15:$B$62,$A6)</f>
        <v/>
      </c>
      <c r="AV6" s="24">
        <f>SUMIFS($AV$15:$AV$62,$B$15:$B$62,$A6)</f>
        <v/>
      </c>
      <c r="AW6" s="25">
        <f>SUMIFS($AW$15:$AW$62,$B$15:$B$62,$A6)</f>
        <v/>
      </c>
      <c r="AX6" s="23">
        <f>SUMIFS($AX$15:$AX$62,$B$15:$B$62,$A6)</f>
        <v/>
      </c>
      <c r="AY6" s="23">
        <f>SUMIFS($AY$15:$AY$62,$B$15:$B$62,$A6)</f>
        <v/>
      </c>
      <c r="AZ6" s="23">
        <f>SUMIFS($AZ$15:$AZ$62,$B$15:$B$62,$A6)</f>
        <v/>
      </c>
    </row>
    <row r="7">
      <c r="A7" s="21" t="n">
        <v>2026</v>
      </c>
      <c r="D7" s="22">
        <f>IF(DATE(A7,12,1)&lt;=LastActual,"Actual",IF(DATE(A7,1,1)&gt;LastActual,"Forecast","Blended"))</f>
        <v/>
      </c>
      <c r="E7" s="23">
        <f>SUMIFS($E$15:$E$62,$B$15:$B$62,$A7)</f>
        <v/>
      </c>
      <c r="F7" s="24">
        <f>SUMIFS($F$15:$F$62,$B$15:$B$62,$A7)</f>
        <v/>
      </c>
      <c r="G7" s="25">
        <f>SUMIFS($G$15:$G$62,$B$15:$B$62,$A7)</f>
        <v/>
      </c>
      <c r="H7" s="23">
        <f>SUMIFS($H$15:$H$62,$B$15:$B$62,$A7)</f>
        <v/>
      </c>
      <c r="I7" s="23">
        <f>SUMIFS($I$15:$I$62,$B$15:$B$62,$A7)</f>
        <v/>
      </c>
      <c r="J7" s="23">
        <f>SUMIFS($J$15:$J$62,$B$15:$B$62,$A7)</f>
        <v/>
      </c>
      <c r="K7" s="26">
        <f>IFERROR(F7/G7,0)</f>
        <v/>
      </c>
      <c r="L7" s="27">
        <f>IFERROR(H7/G7,0)</f>
        <v/>
      </c>
      <c r="M7" s="28">
        <f>IFERROR(J7/F7,0)</f>
        <v/>
      </c>
      <c r="N7" s="29">
        <f>IFERROR(J7/E7,0)</f>
        <v/>
      </c>
      <c r="O7" s="29">
        <f>IFERROR(I7/J7,0)</f>
        <v/>
      </c>
      <c r="AJ7" s="24">
        <f>SUMIFS($AJ$15:$AJ$62,$B$15:$B$62,$A7)</f>
        <v/>
      </c>
      <c r="AK7" s="25">
        <f>SUMIFS($AK$15:$AK$62,$B$15:$B$62,$A7)</f>
        <v/>
      </c>
      <c r="AL7" s="23">
        <f>SUMIFS($AL$15:$AL$62,$B$15:$B$62,$A7)</f>
        <v/>
      </c>
      <c r="AM7" s="23">
        <f>SUMIFS($AM$15:$AM$62,$B$15:$B$62,$A7)</f>
        <v/>
      </c>
      <c r="AN7" s="23">
        <f>SUMIFS($AN$15:$AN$62,$B$15:$B$62,$A7)</f>
        <v/>
      </c>
      <c r="AP7" s="24">
        <f>SUMIFS($AP$15:$AP$62,$B$15:$B$62,$A7)</f>
        <v/>
      </c>
      <c r="AQ7" s="25">
        <f>SUMIFS($AQ$15:$AQ$62,$B$15:$B$62,$A7)</f>
        <v/>
      </c>
      <c r="AR7" s="23">
        <f>SUMIFS($AR$15:$AR$62,$B$15:$B$62,$A7)</f>
        <v/>
      </c>
      <c r="AS7" s="23">
        <f>SUMIFS($AS$15:$AS$62,$B$15:$B$62,$A7)</f>
        <v/>
      </c>
      <c r="AT7" s="23">
        <f>SUMIFS($AT$15:$AT$62,$B$15:$B$62,$A7)</f>
        <v/>
      </c>
      <c r="AV7" s="24">
        <f>SUMIFS($AV$15:$AV$62,$B$15:$B$62,$A7)</f>
        <v/>
      </c>
      <c r="AW7" s="25">
        <f>SUMIFS($AW$15:$AW$62,$B$15:$B$62,$A7)</f>
        <v/>
      </c>
      <c r="AX7" s="23">
        <f>SUMIFS($AX$15:$AX$62,$B$15:$B$62,$A7)</f>
        <v/>
      </c>
      <c r="AY7" s="23">
        <f>SUMIFS($AY$15:$AY$62,$B$15:$B$62,$A7)</f>
        <v/>
      </c>
      <c r="AZ7" s="23">
        <f>SUMIFS($AZ$15:$AZ$62,$B$15:$B$62,$A7)</f>
        <v/>
      </c>
    </row>
    <row r="8">
      <c r="A8" s="21" t="n">
        <v>2027</v>
      </c>
      <c r="D8" s="22">
        <f>IF(DATE(A8,12,1)&lt;=LastActual,"Actual",IF(DATE(A8,1,1)&gt;LastActual,"Forecast","Blended"))</f>
        <v/>
      </c>
      <c r="E8" s="23">
        <f>SUMIFS($E$15:$E$62,$B$15:$B$62,$A8)</f>
        <v/>
      </c>
      <c r="F8" s="24">
        <f>SUMIFS($F$15:$F$62,$B$15:$B$62,$A8)</f>
        <v/>
      </c>
      <c r="G8" s="25">
        <f>SUMIFS($G$15:$G$62,$B$15:$B$62,$A8)</f>
        <v/>
      </c>
      <c r="H8" s="23">
        <f>SUMIFS($H$15:$H$62,$B$15:$B$62,$A8)</f>
        <v/>
      </c>
      <c r="I8" s="23">
        <f>SUMIFS($I$15:$I$62,$B$15:$B$62,$A8)</f>
        <v/>
      </c>
      <c r="J8" s="23">
        <f>SUMIFS($J$15:$J$62,$B$15:$B$62,$A8)</f>
        <v/>
      </c>
      <c r="K8" s="26">
        <f>IFERROR(F8/G8,0)</f>
        <v/>
      </c>
      <c r="L8" s="27">
        <f>IFERROR(H8/G8,0)</f>
        <v/>
      </c>
      <c r="M8" s="28">
        <f>IFERROR(J8/F8,0)</f>
        <v/>
      </c>
      <c r="N8" s="29">
        <f>IFERROR(J8/E8,0)</f>
        <v/>
      </c>
      <c r="O8" s="29">
        <f>IFERROR(I8/J8,0)</f>
        <v/>
      </c>
      <c r="AJ8" s="24">
        <f>SUMIFS($AJ$15:$AJ$62,$B$15:$B$62,$A8)</f>
        <v/>
      </c>
      <c r="AK8" s="25">
        <f>SUMIFS($AK$15:$AK$62,$B$15:$B$62,$A8)</f>
        <v/>
      </c>
      <c r="AL8" s="23">
        <f>SUMIFS($AL$15:$AL$62,$B$15:$B$62,$A8)</f>
        <v/>
      </c>
      <c r="AM8" s="23">
        <f>SUMIFS($AM$15:$AM$62,$B$15:$B$62,$A8)</f>
        <v/>
      </c>
      <c r="AN8" s="23">
        <f>SUMIFS($AN$15:$AN$62,$B$15:$B$62,$A8)</f>
        <v/>
      </c>
      <c r="AP8" s="24">
        <f>SUMIFS($AP$15:$AP$62,$B$15:$B$62,$A8)</f>
        <v/>
      </c>
      <c r="AQ8" s="25">
        <f>SUMIFS($AQ$15:$AQ$62,$B$15:$B$62,$A8)</f>
        <v/>
      </c>
      <c r="AR8" s="23">
        <f>SUMIFS($AR$15:$AR$62,$B$15:$B$62,$A8)</f>
        <v/>
      </c>
      <c r="AS8" s="23">
        <f>SUMIFS($AS$15:$AS$62,$B$15:$B$62,$A8)</f>
        <v/>
      </c>
      <c r="AT8" s="23">
        <f>SUMIFS($AT$15:$AT$62,$B$15:$B$62,$A8)</f>
        <v/>
      </c>
      <c r="AV8" s="24">
        <f>SUMIFS($AV$15:$AV$62,$B$15:$B$62,$A8)</f>
        <v/>
      </c>
      <c r="AW8" s="25">
        <f>SUMIFS($AW$15:$AW$62,$B$15:$B$62,$A8)</f>
        <v/>
      </c>
      <c r="AX8" s="23">
        <f>SUMIFS($AX$15:$AX$62,$B$15:$B$62,$A8)</f>
        <v/>
      </c>
      <c r="AY8" s="23">
        <f>SUMIFS($AY$15:$AY$62,$B$15:$B$62,$A8)</f>
        <v/>
      </c>
      <c r="AZ8" s="23">
        <f>SUMIFS($AZ$15:$AZ$62,$B$15:$B$62,$A8)</f>
        <v/>
      </c>
    </row>
    <row r="9">
      <c r="A9" s="21" t="n">
        <v>2028</v>
      </c>
      <c r="D9" s="22">
        <f>IF(DATE(A9,12,1)&lt;=LastActual,"Actual",IF(DATE(A9,1,1)&gt;LastActual,"Forecast","Blended"))</f>
        <v/>
      </c>
      <c r="E9" s="23">
        <f>SUMIFS($E$15:$E$62,$B$15:$B$62,$A9)</f>
        <v/>
      </c>
      <c r="F9" s="24">
        <f>SUMIFS($F$15:$F$62,$B$15:$B$62,$A9)</f>
        <v/>
      </c>
      <c r="G9" s="25">
        <f>SUMIFS($G$15:$G$62,$B$15:$B$62,$A9)</f>
        <v/>
      </c>
      <c r="H9" s="23">
        <f>SUMIFS($H$15:$H$62,$B$15:$B$62,$A9)</f>
        <v/>
      </c>
      <c r="I9" s="23">
        <f>SUMIFS($I$15:$I$62,$B$15:$B$62,$A9)</f>
        <v/>
      </c>
      <c r="J9" s="23">
        <f>SUMIFS($J$15:$J$62,$B$15:$B$62,$A9)</f>
        <v/>
      </c>
      <c r="K9" s="26">
        <f>IFERROR(F9/G9,0)</f>
        <v/>
      </c>
      <c r="L9" s="27">
        <f>IFERROR(H9/G9,0)</f>
        <v/>
      </c>
      <c r="M9" s="28">
        <f>IFERROR(J9/F9,0)</f>
        <v/>
      </c>
      <c r="N9" s="29">
        <f>IFERROR(J9/E9,0)</f>
        <v/>
      </c>
      <c r="O9" s="29">
        <f>IFERROR(I9/J9,0)</f>
        <v/>
      </c>
      <c r="AJ9" s="24">
        <f>SUMIFS($AJ$15:$AJ$62,$B$15:$B$62,$A9)</f>
        <v/>
      </c>
      <c r="AK9" s="25">
        <f>SUMIFS($AK$15:$AK$62,$B$15:$B$62,$A9)</f>
        <v/>
      </c>
      <c r="AL9" s="23">
        <f>SUMIFS($AL$15:$AL$62,$B$15:$B$62,$A9)</f>
        <v/>
      </c>
      <c r="AM9" s="23">
        <f>SUMIFS($AM$15:$AM$62,$B$15:$B$62,$A9)</f>
        <v/>
      </c>
      <c r="AN9" s="23">
        <f>SUMIFS($AN$15:$AN$62,$B$15:$B$62,$A9)</f>
        <v/>
      </c>
      <c r="AP9" s="24">
        <f>SUMIFS($AP$15:$AP$62,$B$15:$B$62,$A9)</f>
        <v/>
      </c>
      <c r="AQ9" s="25">
        <f>SUMIFS($AQ$15:$AQ$62,$B$15:$B$62,$A9)</f>
        <v/>
      </c>
      <c r="AR9" s="23">
        <f>SUMIFS($AR$15:$AR$62,$B$15:$B$62,$A9)</f>
        <v/>
      </c>
      <c r="AS9" s="23">
        <f>SUMIFS($AS$15:$AS$62,$B$15:$B$62,$A9)</f>
        <v/>
      </c>
      <c r="AT9" s="23">
        <f>SUMIFS($AT$15:$AT$62,$B$15:$B$62,$A9)</f>
        <v/>
      </c>
      <c r="AV9" s="24">
        <f>SUMIFS($AV$15:$AV$62,$B$15:$B$62,$A9)</f>
        <v/>
      </c>
      <c r="AW9" s="25">
        <f>SUMIFS($AW$15:$AW$62,$B$15:$B$62,$A9)</f>
        <v/>
      </c>
      <c r="AX9" s="23">
        <f>SUMIFS($AX$15:$AX$62,$B$15:$B$62,$A9)</f>
        <v/>
      </c>
      <c r="AY9" s="23">
        <f>SUMIFS($AY$15:$AY$62,$B$15:$B$62,$A9)</f>
        <v/>
      </c>
      <c r="AZ9" s="23">
        <f>SUMIFS($AZ$15:$AZ$62,$B$15:$B$62,$A9)</f>
        <v/>
      </c>
    </row>
    <row r="10">
      <c r="AJ10" s="1" t="inlineStr">
        <is>
          <t>Chamber split (same CPLH and cost per hour in every chamber; mix from Chamber Weights)</t>
        </is>
      </c>
    </row>
    <row r="11">
      <c r="AJ11" s="6" t="inlineStr">
        <is>
          <t>Case mix</t>
        </is>
      </c>
      <c r="AK11" s="31">
        <f>IFERROR(INDEX('Chamber Weights'!$B$24:$K$26,MATCH($AJ$12,'Chamber Weights'!$A$24:$A$26,0),MATCH($B$2,'Chamber Weights'!$B$23:$K$23,0)),0)</f>
        <v/>
      </c>
      <c r="AP11" s="6" t="inlineStr">
        <is>
          <t>Case mix</t>
        </is>
      </c>
      <c r="AQ11" s="31">
        <f>IFERROR(INDEX('Chamber Weights'!$B$24:$K$26,MATCH($AP$12,'Chamber Weights'!$A$24:$A$26,0),MATCH($B$2,'Chamber Weights'!$B$23:$K$23,0)),0)</f>
        <v/>
      </c>
      <c r="AV11" s="6" t="inlineStr">
        <is>
          <t>Case mix</t>
        </is>
      </c>
      <c r="AW11" s="31">
        <f>IFERROR(INDEX('Chamber Weights'!$B$24:$K$26,MATCH($AV$12,'Chamber Weights'!$A$24:$A$26,0),MATCH($B$2,'Chamber Weights'!$B$23:$K$23,0)),0)</f>
        <v/>
      </c>
    </row>
    <row r="12">
      <c r="E12" s="7" t="inlineStr">
        <is>
          <t>Drivers</t>
        </is>
      </c>
      <c r="K12" s="7" t="inlineStr">
        <is>
          <t>Metrics</t>
        </is>
      </c>
      <c r="R12" s="7" t="inlineStr">
        <is>
          <t>Helper calculations (actuals, plan, same-month-last-year rates)</t>
        </is>
      </c>
      <c r="AJ12" s="20" t="inlineStr">
        <is>
          <t>Ambient</t>
        </is>
      </c>
      <c r="AP12" s="20" t="inlineStr">
        <is>
          <t>Chiller</t>
        </is>
      </c>
      <c r="AV12" s="20" t="inlineStr">
        <is>
          <t>Freezer</t>
        </is>
      </c>
    </row>
    <row r="13" ht="60" customHeight="1">
      <c r="A13" s="7" t="inlineStr">
        <is>
          <t>Month</t>
        </is>
      </c>
      <c r="B13" s="7" t="inlineStr">
        <is>
          <t>Year</t>
        </is>
      </c>
      <c r="C13" s="7" t="inlineStr">
        <is>
          <t>Mth</t>
        </is>
      </c>
      <c r="D13" s="7" t="inlineStr">
        <is>
          <t>Status</t>
        </is>
      </c>
      <c r="E13" s="7" t="inlineStr">
        <is>
          <t>Sales</t>
        </is>
      </c>
      <c r="F13" s="7" t="inlineStr">
        <is>
          <t>Cases picked</t>
        </is>
      </c>
      <c r="G13" s="7" t="inlineStr">
        <is>
          <t>WH hours worked</t>
        </is>
      </c>
      <c r="H13" s="7" t="inlineStr">
        <is>
          <t>Staff payroll</t>
        </is>
      </c>
      <c r="I13" s="7" t="inlineStr">
        <is>
          <t>Leadership payroll</t>
        </is>
      </c>
      <c r="J13" s="7" t="inlineStr">
        <is>
          <t>Total payroll</t>
        </is>
      </c>
      <c r="K13" s="7" t="inlineStr">
        <is>
          <t>CPLH (cases / hr)</t>
        </is>
      </c>
      <c r="L13" s="7" t="inlineStr">
        <is>
          <t>Cost per hour (staff)</t>
        </is>
      </c>
      <c r="M13" s="7" t="inlineStr">
        <is>
          <t>Cost per case (total payroll)</t>
        </is>
      </c>
      <c r="N13" s="7" t="inlineStr">
        <is>
          <t>Total payroll % sales</t>
        </is>
      </c>
      <c r="O13" s="7" t="inlineStr">
        <is>
          <t>Leadership % of total payroll</t>
        </is>
      </c>
      <c r="R13" s="51" t="inlineStr">
        <is>
          <t>Act sales</t>
        </is>
      </c>
      <c r="S13" s="51" t="inlineStr">
        <is>
          <t>Act cases</t>
        </is>
      </c>
      <c r="T13" s="51" t="inlineStr">
        <is>
          <t>Act hours</t>
        </is>
      </c>
      <c r="U13" s="51" t="inlineStr">
        <is>
          <t>Act staff $</t>
        </is>
      </c>
      <c r="V13" s="51" t="inlineStr">
        <is>
          <t>Act leadership $</t>
        </is>
      </c>
      <c r="W13" s="51" t="inlineStr">
        <is>
          <t>Plan sales</t>
        </is>
      </c>
      <c r="X13" s="51" t="inlineStr">
        <is>
          <t>CPLH run rate (actual, else same month LY)</t>
        </is>
      </c>
      <c r="Y13" s="51" t="inlineStr">
        <is>
          <t>Volume driver sales</t>
        </is>
      </c>
      <c r="Z13" s="51" t="inlineStr">
        <is>
          <t>PH factor</t>
        </is>
      </c>
      <c r="AA13" s="51" t="inlineStr">
        <is>
          <t>Wage index</t>
        </is>
      </c>
      <c r="AB13" s="51" t="inlineStr">
        <is>
          <t>Cases per $ (actual, else same month LY)</t>
        </is>
      </c>
      <c r="AC13" s="51" t="inlineStr">
        <is>
          <t>Cost per hour ex PH &amp; wage (actual, else same month LY)</t>
        </is>
      </c>
      <c r="AD13" s="51" t="inlineStr">
        <is>
          <t>Leadership share of total payroll (actual, else last actual month)</t>
        </is>
      </c>
      <c r="AE13" s="51" t="inlineStr">
        <is>
          <t>Fcst cost per hour (AC x PH x wage)</t>
        </is>
      </c>
      <c r="AF13" s="51" t="inlineStr">
        <is>
          <t>LY CPLH (same month, as used)</t>
        </is>
      </c>
      <c r="AG13" s="51" t="inlineStr">
        <is>
          <t>Fcst CPLH vs LY</t>
        </is>
      </c>
      <c r="AH13" s="51" t="inlineStr">
        <is>
          <t>Plan CPLH (Plan_Inputs or CPLH_Breakdown)</t>
        </is>
      </c>
      <c r="AJ13" s="20" t="inlineStr">
        <is>
          <t>Cases picked</t>
        </is>
      </c>
      <c r="AK13" s="20" t="inlineStr">
        <is>
          <t>WH hours worked</t>
        </is>
      </c>
      <c r="AL13" s="20" t="inlineStr">
        <is>
          <t>Staff payroll</t>
        </is>
      </c>
      <c r="AM13" s="20" t="inlineStr">
        <is>
          <t>Leadership payroll</t>
        </is>
      </c>
      <c r="AN13" s="20" t="inlineStr">
        <is>
          <t>Total payroll</t>
        </is>
      </c>
      <c r="AP13" s="20" t="inlineStr">
        <is>
          <t>Cases picked</t>
        </is>
      </c>
      <c r="AQ13" s="20" t="inlineStr">
        <is>
          <t>WH hours worked</t>
        </is>
      </c>
      <c r="AR13" s="20" t="inlineStr">
        <is>
          <t>Staff payroll</t>
        </is>
      </c>
      <c r="AS13" s="20" t="inlineStr">
        <is>
          <t>Leadership payroll</t>
        </is>
      </c>
      <c r="AT13" s="20" t="inlineStr">
        <is>
          <t>Total payroll</t>
        </is>
      </c>
      <c r="AV13" s="20" t="inlineStr">
        <is>
          <t>Cases picked</t>
        </is>
      </c>
      <c r="AW13" s="20" t="inlineStr">
        <is>
          <t>WH hours worked</t>
        </is>
      </c>
      <c r="AX13" s="20" t="inlineStr">
        <is>
          <t>Staff payroll</t>
        </is>
      </c>
      <c r="AY13" s="20" t="inlineStr">
        <is>
          <t>Leadership payroll</t>
        </is>
      </c>
      <c r="AZ13" s="20" t="inlineStr">
        <is>
          <t>Total payroll</t>
        </is>
      </c>
    </row>
    <row r="14">
      <c r="E14" s="32" t="inlineStr">
        <is>
          <t>$m</t>
        </is>
      </c>
      <c r="F14" s="32" t="inlineStr">
        <is>
          <t>m</t>
        </is>
      </c>
      <c r="G14" s="32" t="inlineStr">
        <is>
          <t>#</t>
        </is>
      </c>
      <c r="H14" s="32" t="inlineStr">
        <is>
          <t>$m</t>
        </is>
      </c>
      <c r="I14" s="32" t="inlineStr">
        <is>
          <t>$m</t>
        </is>
      </c>
      <c r="J14" s="32" t="inlineStr">
        <is>
          <t>$m</t>
        </is>
      </c>
      <c r="K14" s="32" t="inlineStr">
        <is>
          <t>#</t>
        </is>
      </c>
      <c r="L14" s="32" t="inlineStr">
        <is>
          <t>$</t>
        </is>
      </c>
      <c r="M14" s="32" t="inlineStr">
        <is>
          <t>$</t>
        </is>
      </c>
      <c r="N14" s="32" t="inlineStr">
        <is>
          <t>%</t>
        </is>
      </c>
      <c r="O14" s="32" t="inlineStr">
        <is>
          <t>%</t>
        </is>
      </c>
      <c r="AJ14" s="32" t="inlineStr">
        <is>
          <t>m</t>
        </is>
      </c>
      <c r="AK14" s="32" t="inlineStr">
        <is>
          <t>#</t>
        </is>
      </c>
      <c r="AL14" s="32" t="inlineStr">
        <is>
          <t>$m</t>
        </is>
      </c>
      <c r="AM14" s="32" t="inlineStr">
        <is>
          <t>$m</t>
        </is>
      </c>
      <c r="AN14" s="32" t="inlineStr">
        <is>
          <t>$m</t>
        </is>
      </c>
      <c r="AP14" s="32" t="inlineStr">
        <is>
          <t>m</t>
        </is>
      </c>
      <c r="AQ14" s="32" t="inlineStr">
        <is>
          <t>#</t>
        </is>
      </c>
      <c r="AR14" s="32" t="inlineStr">
        <is>
          <t>$m</t>
        </is>
      </c>
      <c r="AS14" s="32" t="inlineStr">
        <is>
          <t>$m</t>
        </is>
      </c>
      <c r="AT14" s="32" t="inlineStr">
        <is>
          <t>$m</t>
        </is>
      </c>
      <c r="AV14" s="32" t="inlineStr">
        <is>
          <t>m</t>
        </is>
      </c>
      <c r="AW14" s="32" t="inlineStr">
        <is>
          <t>#</t>
        </is>
      </c>
      <c r="AX14" s="32" t="inlineStr">
        <is>
          <t>$m</t>
        </is>
      </c>
      <c r="AY14" s="32" t="inlineStr">
        <is>
          <t>$m</t>
        </is>
      </c>
      <c r="AZ14" s="32" t="inlineStr">
        <is>
          <t>$m</t>
        </is>
      </c>
    </row>
    <row r="15">
      <c r="A15" s="8" t="n">
        <v>45658</v>
      </c>
      <c r="B15" s="33">
        <f>YEAR(A15)</f>
        <v/>
      </c>
      <c r="C15" s="33">
        <f>MONTH(A15)</f>
        <v/>
      </c>
      <c r="D15">
        <f>IF(A15&lt;=LastActual,"Actual","Forecast")</f>
        <v/>
      </c>
      <c r="E15" s="30">
        <f>IF($D15="Actual",R15,W15)</f>
        <v/>
      </c>
      <c r="F15" s="15">
        <f>IF($D15="Actual",S15,Cases_Forecast!AK8)</f>
        <v/>
      </c>
      <c r="G15" s="9">
        <f>IF($D15="Actual",T15,IFERROR(F15/K15,0))</f>
        <v/>
      </c>
      <c r="H15" s="30">
        <f>IF($D15="Actual",U15,G15*L15)</f>
        <v/>
      </c>
      <c r="I15" s="30">
        <f>IF($D15="Actual",V15,J15-H15)</f>
        <v/>
      </c>
      <c r="J15" s="30">
        <f>IF($D15="Actual",U15+V15,IFERROR(H15/(1-AD15),0))</f>
        <v/>
      </c>
      <c r="K15" s="10">
        <f>IF($D15="Actual",IFERROR(S15/T15,0),CPLH_Forecast!AK8)</f>
        <v/>
      </c>
      <c r="L15" s="34">
        <f>IF($D15="Actual",IFERROR(U15/T15,0),N(AE15))</f>
        <v/>
      </c>
      <c r="M15" s="35">
        <f>IFERROR(J15/F15,0)</f>
        <v/>
      </c>
      <c r="N15" s="36">
        <f>IFERROR(J15/E15,0)</f>
        <v/>
      </c>
      <c r="O15" s="36">
        <f>IFERROR(I15/J15,0)</f>
        <v/>
      </c>
      <c r="R15" s="52">
        <f>IF($D15="Actual",SUMIFS(Data_Actuals!$C$2:$C$5000,Data_Actuals!$A$2:$A$5000,$A15,Data_Actuals!$B$2:$B$5000,$B$2),"")</f>
        <v/>
      </c>
      <c r="S15" s="52">
        <f>IF($D15="Actual",SUMIFS(Data_Actuals!$D$2:$D$5000,Data_Actuals!$A$2:$A$5000,$A15,Data_Actuals!$B$2:$B$5000,$B$2),"")</f>
        <v/>
      </c>
      <c r="T15" s="52">
        <f>IF($D15="Actual",SUMIFS(Data_Actuals!$E$2:$E$5000,Data_Actuals!$A$2:$A$5000,$A15,Data_Actuals!$B$2:$B$5000,$B$2),"")</f>
        <v/>
      </c>
      <c r="U15" s="52">
        <f>IF($D15="Actual",SUMIFS(Data_Actuals!$F$2:$F$5000,Data_Actuals!$A$2:$A$5000,$A15,Data_Actuals!$B$2:$B$5000,$B$2),"")</f>
        <v/>
      </c>
      <c r="V15" s="52">
        <f>IF($D15="Actual",SUMIFS(Data_Actuals!$G$2:$G$5000,Data_Actuals!$A$2:$A$5000,$A15,Data_Actuals!$B$2:$B$5000,$B$2),"")</f>
        <v/>
      </c>
      <c r="W15" s="52">
        <f>SUMIFS(Plan_Inputs!$C$2:$C$5000,Plan_Inputs!$A$2:$A$5000,$A15,Plan_Inputs!$B$2:$B$5000,$B$2)</f>
        <v/>
      </c>
      <c r="X15" s="53">
        <f>IF($D15="Actual",IFERROR(S15/T15,""),"")</f>
        <v/>
      </c>
      <c r="Y15" s="52">
        <f>E15</f>
        <v/>
      </c>
      <c r="Z15" s="54">
        <f>INDEX(Calendar!$H$5:$L$52,MATCH($A15,Calendar!$A$5:$A$52,0),MATCH($D$2,Calendar!$H$4:$L$4,0))</f>
        <v/>
      </c>
      <c r="AA15" s="54">
        <f>INDEX(Calendar!$M$5:$M$52,MATCH($A15,Calendar!$A$5:$A$52,0))</f>
        <v/>
      </c>
      <c r="AB15" s="55">
        <f>IF($D15="Actual",IFERROR(S15/Y15,""),"")</f>
        <v/>
      </c>
      <c r="AC15" s="56">
        <f>IF($D15="Actual",IFERROR(U15/T15/Z15/AA15,""),"")</f>
        <v/>
      </c>
      <c r="AD15" s="57">
        <f>IF($D15="Actual",IFERROR(V15/(U15+V15),""),$K$2)</f>
        <v/>
      </c>
      <c r="AE15" s="56">
        <f>IFERROR(AC15*Z15*AA15,"")</f>
        <v/>
      </c>
      <c r="AF15" s="53" t="n"/>
      <c r="AG15" s="57">
        <f>IF($D15="Forecast",IFERROR(K15/AF15-1,""),"")</f>
        <v/>
      </c>
      <c r="AH15" s="53">
        <f>IF(CPLHSource="National breakdown",CPLH_Breakdown!AL20,SUMIFS(Plan_Inputs!$D$2:$D$5000,Plan_Inputs!$A$2:$A$5000,$A15,Plan_Inputs!$B$2:$B$5000,$B$2))</f>
        <v/>
      </c>
      <c r="AJ15" s="15">
        <f>F15*$AK$11</f>
        <v/>
      </c>
      <c r="AK15" s="9">
        <f>G15*$AK$11</f>
        <v/>
      </c>
      <c r="AL15" s="30">
        <f>H15*$AK$11</f>
        <v/>
      </c>
      <c r="AM15" s="30">
        <f>I15*$AK$11</f>
        <v/>
      </c>
      <c r="AN15" s="30">
        <f>J15*$AK$11</f>
        <v/>
      </c>
      <c r="AP15" s="15">
        <f>F15*$AQ$11</f>
        <v/>
      </c>
      <c r="AQ15" s="9">
        <f>G15*$AQ$11</f>
        <v/>
      </c>
      <c r="AR15" s="30">
        <f>H15*$AQ$11</f>
        <v/>
      </c>
      <c r="AS15" s="30">
        <f>I15*$AQ$11</f>
        <v/>
      </c>
      <c r="AT15" s="30">
        <f>J15*$AQ$11</f>
        <v/>
      </c>
      <c r="AV15" s="15">
        <f>F15*$AW$11</f>
        <v/>
      </c>
      <c r="AW15" s="9">
        <f>G15*$AW$11</f>
        <v/>
      </c>
      <c r="AX15" s="30">
        <f>H15*$AW$11</f>
        <v/>
      </c>
      <c r="AY15" s="30">
        <f>I15*$AW$11</f>
        <v/>
      </c>
      <c r="AZ15" s="30">
        <f>J15*$AW$11</f>
        <v/>
      </c>
    </row>
    <row r="16">
      <c r="A16" s="8" t="n">
        <v>45689</v>
      </c>
      <c r="B16" s="33">
        <f>YEAR(A16)</f>
        <v/>
      </c>
      <c r="C16" s="33">
        <f>MONTH(A16)</f>
        <v/>
      </c>
      <c r="D16">
        <f>IF(A16&lt;=LastActual,"Actual","Forecast")</f>
        <v/>
      </c>
      <c r="E16" s="30">
        <f>IF($D16="Actual",R16,W16)</f>
        <v/>
      </c>
      <c r="F16" s="15">
        <f>IF($D16="Actual",S16,Cases_Forecast!AK9)</f>
        <v/>
      </c>
      <c r="G16" s="9">
        <f>IF($D16="Actual",T16,IFERROR(F16/K16,0))</f>
        <v/>
      </c>
      <c r="H16" s="30">
        <f>IF($D16="Actual",U16,G16*L16)</f>
        <v/>
      </c>
      <c r="I16" s="30">
        <f>IF($D16="Actual",V16,J16-H16)</f>
        <v/>
      </c>
      <c r="J16" s="30">
        <f>IF($D16="Actual",U16+V16,IFERROR(H16/(1-AD16),0))</f>
        <v/>
      </c>
      <c r="K16" s="10">
        <f>IF($D16="Actual",IFERROR(S16/T16,0),CPLH_Forecast!AK9)</f>
        <v/>
      </c>
      <c r="L16" s="34">
        <f>IF($D16="Actual",IFERROR(U16/T16,0),N(AE16))</f>
        <v/>
      </c>
      <c r="M16" s="35">
        <f>IFERROR(J16/F16,0)</f>
        <v/>
      </c>
      <c r="N16" s="36">
        <f>IFERROR(J16/E16,0)</f>
        <v/>
      </c>
      <c r="O16" s="36">
        <f>IFERROR(I16/J16,0)</f>
        <v/>
      </c>
      <c r="R16" s="52">
        <f>IF($D16="Actual",SUMIFS(Data_Actuals!$C$2:$C$5000,Data_Actuals!$A$2:$A$5000,$A16,Data_Actuals!$B$2:$B$5000,$B$2),"")</f>
        <v/>
      </c>
      <c r="S16" s="52">
        <f>IF($D16="Actual",SUMIFS(Data_Actuals!$D$2:$D$5000,Data_Actuals!$A$2:$A$5000,$A16,Data_Actuals!$B$2:$B$5000,$B$2),"")</f>
        <v/>
      </c>
      <c r="T16" s="52">
        <f>IF($D16="Actual",SUMIFS(Data_Actuals!$E$2:$E$5000,Data_Actuals!$A$2:$A$5000,$A16,Data_Actuals!$B$2:$B$5000,$B$2),"")</f>
        <v/>
      </c>
      <c r="U16" s="52">
        <f>IF($D16="Actual",SUMIFS(Data_Actuals!$F$2:$F$5000,Data_Actuals!$A$2:$A$5000,$A16,Data_Actuals!$B$2:$B$5000,$B$2),"")</f>
        <v/>
      </c>
      <c r="V16" s="52">
        <f>IF($D16="Actual",SUMIFS(Data_Actuals!$G$2:$G$5000,Data_Actuals!$A$2:$A$5000,$A16,Data_Actuals!$B$2:$B$5000,$B$2),"")</f>
        <v/>
      </c>
      <c r="W16" s="52">
        <f>SUMIFS(Plan_Inputs!$C$2:$C$5000,Plan_Inputs!$A$2:$A$5000,$A16,Plan_Inputs!$B$2:$B$5000,$B$2)</f>
        <v/>
      </c>
      <c r="X16" s="53">
        <f>IF($D16="Actual",IFERROR(S16/T16,""),"")</f>
        <v/>
      </c>
      <c r="Y16" s="52">
        <f>E16</f>
        <v/>
      </c>
      <c r="Z16" s="54">
        <f>INDEX(Calendar!$H$5:$L$52,MATCH($A16,Calendar!$A$5:$A$52,0),MATCH($D$2,Calendar!$H$4:$L$4,0))</f>
        <v/>
      </c>
      <c r="AA16" s="54">
        <f>INDEX(Calendar!$M$5:$M$52,MATCH($A16,Calendar!$A$5:$A$52,0))</f>
        <v/>
      </c>
      <c r="AB16" s="55">
        <f>IF($D16="Actual",IFERROR(S16/Y16,""),"")</f>
        <v/>
      </c>
      <c r="AC16" s="56">
        <f>IF($D16="Actual",IFERROR(U16/T16/Z16/AA16,""),"")</f>
        <v/>
      </c>
      <c r="AD16" s="57">
        <f>IF($D16="Actual",IFERROR(V16/(U16+V16),""),$K$2)</f>
        <v/>
      </c>
      <c r="AE16" s="56">
        <f>IFERROR(AC16*Z16*AA16,"")</f>
        <v/>
      </c>
      <c r="AF16" s="53" t="n"/>
      <c r="AG16" s="57">
        <f>IF($D16="Forecast",IFERROR(K16/AF16-1,""),"")</f>
        <v/>
      </c>
      <c r="AH16" s="53">
        <f>IF(CPLHSource="National breakdown",CPLH_Breakdown!AL21,SUMIFS(Plan_Inputs!$D$2:$D$5000,Plan_Inputs!$A$2:$A$5000,$A16,Plan_Inputs!$B$2:$B$5000,$B$2))</f>
        <v/>
      </c>
      <c r="AJ16" s="15">
        <f>F16*$AK$11</f>
        <v/>
      </c>
      <c r="AK16" s="9">
        <f>G16*$AK$11</f>
        <v/>
      </c>
      <c r="AL16" s="30">
        <f>H16*$AK$11</f>
        <v/>
      </c>
      <c r="AM16" s="30">
        <f>I16*$AK$11</f>
        <v/>
      </c>
      <c r="AN16" s="30">
        <f>J16*$AK$11</f>
        <v/>
      </c>
      <c r="AP16" s="15">
        <f>F16*$AQ$11</f>
        <v/>
      </c>
      <c r="AQ16" s="9">
        <f>G16*$AQ$11</f>
        <v/>
      </c>
      <c r="AR16" s="30">
        <f>H16*$AQ$11</f>
        <v/>
      </c>
      <c r="AS16" s="30">
        <f>I16*$AQ$11</f>
        <v/>
      </c>
      <c r="AT16" s="30">
        <f>J16*$AQ$11</f>
        <v/>
      </c>
      <c r="AV16" s="15">
        <f>F16*$AW$11</f>
        <v/>
      </c>
      <c r="AW16" s="9">
        <f>G16*$AW$11</f>
        <v/>
      </c>
      <c r="AX16" s="30">
        <f>H16*$AW$11</f>
        <v/>
      </c>
      <c r="AY16" s="30">
        <f>I16*$AW$11</f>
        <v/>
      </c>
      <c r="AZ16" s="30">
        <f>J16*$AW$11</f>
        <v/>
      </c>
    </row>
    <row r="17">
      <c r="A17" s="8" t="n">
        <v>45717</v>
      </c>
      <c r="B17" s="33">
        <f>YEAR(A17)</f>
        <v/>
      </c>
      <c r="C17" s="33">
        <f>MONTH(A17)</f>
        <v/>
      </c>
      <c r="D17">
        <f>IF(A17&lt;=LastActual,"Actual","Forecast")</f>
        <v/>
      </c>
      <c r="E17" s="30">
        <f>IF($D17="Actual",R17,W17)</f>
        <v/>
      </c>
      <c r="F17" s="15">
        <f>IF($D17="Actual",S17,Cases_Forecast!AK10)</f>
        <v/>
      </c>
      <c r="G17" s="9">
        <f>IF($D17="Actual",T17,IFERROR(F17/K17,0))</f>
        <v/>
      </c>
      <c r="H17" s="30">
        <f>IF($D17="Actual",U17,G17*L17)</f>
        <v/>
      </c>
      <c r="I17" s="30">
        <f>IF($D17="Actual",V17,J17-H17)</f>
        <v/>
      </c>
      <c r="J17" s="30">
        <f>IF($D17="Actual",U17+V17,IFERROR(H17/(1-AD17),0))</f>
        <v/>
      </c>
      <c r="K17" s="10">
        <f>IF($D17="Actual",IFERROR(S17/T17,0),CPLH_Forecast!AK10)</f>
        <v/>
      </c>
      <c r="L17" s="34">
        <f>IF($D17="Actual",IFERROR(U17/T17,0),N(AE17))</f>
        <v/>
      </c>
      <c r="M17" s="35">
        <f>IFERROR(J17/F17,0)</f>
        <v/>
      </c>
      <c r="N17" s="36">
        <f>IFERROR(J17/E17,0)</f>
        <v/>
      </c>
      <c r="O17" s="36">
        <f>IFERROR(I17/J17,0)</f>
        <v/>
      </c>
      <c r="R17" s="52">
        <f>IF($D17="Actual",SUMIFS(Data_Actuals!$C$2:$C$5000,Data_Actuals!$A$2:$A$5000,$A17,Data_Actuals!$B$2:$B$5000,$B$2),"")</f>
        <v/>
      </c>
      <c r="S17" s="52">
        <f>IF($D17="Actual",SUMIFS(Data_Actuals!$D$2:$D$5000,Data_Actuals!$A$2:$A$5000,$A17,Data_Actuals!$B$2:$B$5000,$B$2),"")</f>
        <v/>
      </c>
      <c r="T17" s="52">
        <f>IF($D17="Actual",SUMIFS(Data_Actuals!$E$2:$E$5000,Data_Actuals!$A$2:$A$5000,$A17,Data_Actuals!$B$2:$B$5000,$B$2),"")</f>
        <v/>
      </c>
      <c r="U17" s="52">
        <f>IF($D17="Actual",SUMIFS(Data_Actuals!$F$2:$F$5000,Data_Actuals!$A$2:$A$5000,$A17,Data_Actuals!$B$2:$B$5000,$B$2),"")</f>
        <v/>
      </c>
      <c r="V17" s="52">
        <f>IF($D17="Actual",SUMIFS(Data_Actuals!$G$2:$G$5000,Data_Actuals!$A$2:$A$5000,$A17,Data_Actuals!$B$2:$B$5000,$B$2),"")</f>
        <v/>
      </c>
      <c r="W17" s="52">
        <f>SUMIFS(Plan_Inputs!$C$2:$C$5000,Plan_Inputs!$A$2:$A$5000,$A17,Plan_Inputs!$B$2:$B$5000,$B$2)</f>
        <v/>
      </c>
      <c r="X17" s="53">
        <f>IF($D17="Actual",IFERROR(S17/T17,""),"")</f>
        <v/>
      </c>
      <c r="Y17" s="52">
        <f>E17</f>
        <v/>
      </c>
      <c r="Z17" s="54">
        <f>INDEX(Calendar!$H$5:$L$52,MATCH($A17,Calendar!$A$5:$A$52,0),MATCH($D$2,Calendar!$H$4:$L$4,0))</f>
        <v/>
      </c>
      <c r="AA17" s="54">
        <f>INDEX(Calendar!$M$5:$M$52,MATCH($A17,Calendar!$A$5:$A$52,0))</f>
        <v/>
      </c>
      <c r="AB17" s="55">
        <f>IF($D17="Actual",IFERROR(S17/Y17,""),"")</f>
        <v/>
      </c>
      <c r="AC17" s="56">
        <f>IF($D17="Actual",IFERROR(U17/T17/Z17/AA17,""),"")</f>
        <v/>
      </c>
      <c r="AD17" s="57">
        <f>IF($D17="Actual",IFERROR(V17/(U17+V17),""),$K$2)</f>
        <v/>
      </c>
      <c r="AE17" s="56">
        <f>IFERROR(AC17*Z17*AA17,"")</f>
        <v/>
      </c>
      <c r="AF17" s="53" t="n"/>
      <c r="AG17" s="57">
        <f>IF($D17="Forecast",IFERROR(K17/AF17-1,""),"")</f>
        <v/>
      </c>
      <c r="AH17" s="53">
        <f>IF(CPLHSource="National breakdown",CPLH_Breakdown!AL22,SUMIFS(Plan_Inputs!$D$2:$D$5000,Plan_Inputs!$A$2:$A$5000,$A17,Plan_Inputs!$B$2:$B$5000,$B$2))</f>
        <v/>
      </c>
      <c r="AJ17" s="15">
        <f>F17*$AK$11</f>
        <v/>
      </c>
      <c r="AK17" s="9">
        <f>G17*$AK$11</f>
        <v/>
      </c>
      <c r="AL17" s="30">
        <f>H17*$AK$11</f>
        <v/>
      </c>
      <c r="AM17" s="30">
        <f>I17*$AK$11</f>
        <v/>
      </c>
      <c r="AN17" s="30">
        <f>J17*$AK$11</f>
        <v/>
      </c>
      <c r="AP17" s="15">
        <f>F17*$AQ$11</f>
        <v/>
      </c>
      <c r="AQ17" s="9">
        <f>G17*$AQ$11</f>
        <v/>
      </c>
      <c r="AR17" s="30">
        <f>H17*$AQ$11</f>
        <v/>
      </c>
      <c r="AS17" s="30">
        <f>I17*$AQ$11</f>
        <v/>
      </c>
      <c r="AT17" s="30">
        <f>J17*$AQ$11</f>
        <v/>
      </c>
      <c r="AV17" s="15">
        <f>F17*$AW$11</f>
        <v/>
      </c>
      <c r="AW17" s="9">
        <f>G17*$AW$11</f>
        <v/>
      </c>
      <c r="AX17" s="30">
        <f>H17*$AW$11</f>
        <v/>
      </c>
      <c r="AY17" s="30">
        <f>I17*$AW$11</f>
        <v/>
      </c>
      <c r="AZ17" s="30">
        <f>J17*$AW$11</f>
        <v/>
      </c>
    </row>
    <row r="18">
      <c r="A18" s="8" t="n">
        <v>45748</v>
      </c>
      <c r="B18" s="33">
        <f>YEAR(A18)</f>
        <v/>
      </c>
      <c r="C18" s="33">
        <f>MONTH(A18)</f>
        <v/>
      </c>
      <c r="D18">
        <f>IF(A18&lt;=LastActual,"Actual","Forecast")</f>
        <v/>
      </c>
      <c r="E18" s="30">
        <f>IF($D18="Actual",R18,W18)</f>
        <v/>
      </c>
      <c r="F18" s="15">
        <f>IF($D18="Actual",S18,Cases_Forecast!AK11)</f>
        <v/>
      </c>
      <c r="G18" s="9">
        <f>IF($D18="Actual",T18,IFERROR(F18/K18,0))</f>
        <v/>
      </c>
      <c r="H18" s="30">
        <f>IF($D18="Actual",U18,G18*L18)</f>
        <v/>
      </c>
      <c r="I18" s="30">
        <f>IF($D18="Actual",V18,J18-H18)</f>
        <v/>
      </c>
      <c r="J18" s="30">
        <f>IF($D18="Actual",U18+V18,IFERROR(H18/(1-AD18),0))</f>
        <v/>
      </c>
      <c r="K18" s="10">
        <f>IF($D18="Actual",IFERROR(S18/T18,0),CPLH_Forecast!AK11)</f>
        <v/>
      </c>
      <c r="L18" s="34">
        <f>IF($D18="Actual",IFERROR(U18/T18,0),N(AE18))</f>
        <v/>
      </c>
      <c r="M18" s="35">
        <f>IFERROR(J18/F18,0)</f>
        <v/>
      </c>
      <c r="N18" s="36">
        <f>IFERROR(J18/E18,0)</f>
        <v/>
      </c>
      <c r="O18" s="36">
        <f>IFERROR(I18/J18,0)</f>
        <v/>
      </c>
      <c r="R18" s="52">
        <f>IF($D18="Actual",SUMIFS(Data_Actuals!$C$2:$C$5000,Data_Actuals!$A$2:$A$5000,$A18,Data_Actuals!$B$2:$B$5000,$B$2),"")</f>
        <v/>
      </c>
      <c r="S18" s="52">
        <f>IF($D18="Actual",SUMIFS(Data_Actuals!$D$2:$D$5000,Data_Actuals!$A$2:$A$5000,$A18,Data_Actuals!$B$2:$B$5000,$B$2),"")</f>
        <v/>
      </c>
      <c r="T18" s="52">
        <f>IF($D18="Actual",SUMIFS(Data_Actuals!$E$2:$E$5000,Data_Actuals!$A$2:$A$5000,$A18,Data_Actuals!$B$2:$B$5000,$B$2),"")</f>
        <v/>
      </c>
      <c r="U18" s="52">
        <f>IF($D18="Actual",SUMIFS(Data_Actuals!$F$2:$F$5000,Data_Actuals!$A$2:$A$5000,$A18,Data_Actuals!$B$2:$B$5000,$B$2),"")</f>
        <v/>
      </c>
      <c r="V18" s="52">
        <f>IF($D18="Actual",SUMIFS(Data_Actuals!$G$2:$G$5000,Data_Actuals!$A$2:$A$5000,$A18,Data_Actuals!$B$2:$B$5000,$B$2),"")</f>
        <v/>
      </c>
      <c r="W18" s="52">
        <f>SUMIFS(Plan_Inputs!$C$2:$C$5000,Plan_Inputs!$A$2:$A$5000,$A18,Plan_Inputs!$B$2:$B$5000,$B$2)</f>
        <v/>
      </c>
      <c r="X18" s="53">
        <f>IF($D18="Actual",IFERROR(S18/T18,""),"")</f>
        <v/>
      </c>
      <c r="Y18" s="52">
        <f>E18</f>
        <v/>
      </c>
      <c r="Z18" s="54">
        <f>INDEX(Calendar!$H$5:$L$52,MATCH($A18,Calendar!$A$5:$A$52,0),MATCH($D$2,Calendar!$H$4:$L$4,0))</f>
        <v/>
      </c>
      <c r="AA18" s="54">
        <f>INDEX(Calendar!$M$5:$M$52,MATCH($A18,Calendar!$A$5:$A$52,0))</f>
        <v/>
      </c>
      <c r="AB18" s="55">
        <f>IF($D18="Actual",IFERROR(S18/Y18,""),"")</f>
        <v/>
      </c>
      <c r="AC18" s="56">
        <f>IF($D18="Actual",IFERROR(U18/T18/Z18/AA18,""),"")</f>
        <v/>
      </c>
      <c r="AD18" s="57">
        <f>IF($D18="Actual",IFERROR(V18/(U18+V18),""),$K$2)</f>
        <v/>
      </c>
      <c r="AE18" s="56">
        <f>IFERROR(AC18*Z18*AA18,"")</f>
        <v/>
      </c>
      <c r="AF18" s="53" t="n"/>
      <c r="AG18" s="57">
        <f>IF($D18="Forecast",IFERROR(K18/AF18-1,""),"")</f>
        <v/>
      </c>
      <c r="AH18" s="53">
        <f>IF(CPLHSource="National breakdown",CPLH_Breakdown!AL23,SUMIFS(Plan_Inputs!$D$2:$D$5000,Plan_Inputs!$A$2:$A$5000,$A18,Plan_Inputs!$B$2:$B$5000,$B$2))</f>
        <v/>
      </c>
      <c r="AJ18" s="15">
        <f>F18*$AK$11</f>
        <v/>
      </c>
      <c r="AK18" s="9">
        <f>G18*$AK$11</f>
        <v/>
      </c>
      <c r="AL18" s="30">
        <f>H18*$AK$11</f>
        <v/>
      </c>
      <c r="AM18" s="30">
        <f>I18*$AK$11</f>
        <v/>
      </c>
      <c r="AN18" s="30">
        <f>J18*$AK$11</f>
        <v/>
      </c>
      <c r="AP18" s="15">
        <f>F18*$AQ$11</f>
        <v/>
      </c>
      <c r="AQ18" s="9">
        <f>G18*$AQ$11</f>
        <v/>
      </c>
      <c r="AR18" s="30">
        <f>H18*$AQ$11</f>
        <v/>
      </c>
      <c r="AS18" s="30">
        <f>I18*$AQ$11</f>
        <v/>
      </c>
      <c r="AT18" s="30">
        <f>J18*$AQ$11</f>
        <v/>
      </c>
      <c r="AV18" s="15">
        <f>F18*$AW$11</f>
        <v/>
      </c>
      <c r="AW18" s="9">
        <f>G18*$AW$11</f>
        <v/>
      </c>
      <c r="AX18" s="30">
        <f>H18*$AW$11</f>
        <v/>
      </c>
      <c r="AY18" s="30">
        <f>I18*$AW$11</f>
        <v/>
      </c>
      <c r="AZ18" s="30">
        <f>J18*$AW$11</f>
        <v/>
      </c>
    </row>
    <row r="19">
      <c r="A19" s="8" t="n">
        <v>45778</v>
      </c>
      <c r="B19" s="33">
        <f>YEAR(A19)</f>
        <v/>
      </c>
      <c r="C19" s="33">
        <f>MONTH(A19)</f>
        <v/>
      </c>
      <c r="D19">
        <f>IF(A19&lt;=LastActual,"Actual","Forecast")</f>
        <v/>
      </c>
      <c r="E19" s="30">
        <f>IF($D19="Actual",R19,W19)</f>
        <v/>
      </c>
      <c r="F19" s="15">
        <f>IF($D19="Actual",S19,Cases_Forecast!AK12)</f>
        <v/>
      </c>
      <c r="G19" s="9">
        <f>IF($D19="Actual",T19,IFERROR(F19/K19,0))</f>
        <v/>
      </c>
      <c r="H19" s="30">
        <f>IF($D19="Actual",U19,G19*L19)</f>
        <v/>
      </c>
      <c r="I19" s="30">
        <f>IF($D19="Actual",V19,J19-H19)</f>
        <v/>
      </c>
      <c r="J19" s="30">
        <f>IF($D19="Actual",U19+V19,IFERROR(H19/(1-AD19),0))</f>
        <v/>
      </c>
      <c r="K19" s="10">
        <f>IF($D19="Actual",IFERROR(S19/T19,0),CPLH_Forecast!AK12)</f>
        <v/>
      </c>
      <c r="L19" s="34">
        <f>IF($D19="Actual",IFERROR(U19/T19,0),N(AE19))</f>
        <v/>
      </c>
      <c r="M19" s="35">
        <f>IFERROR(J19/F19,0)</f>
        <v/>
      </c>
      <c r="N19" s="36">
        <f>IFERROR(J19/E19,0)</f>
        <v/>
      </c>
      <c r="O19" s="36">
        <f>IFERROR(I19/J19,0)</f>
        <v/>
      </c>
      <c r="R19" s="52">
        <f>IF($D19="Actual",SUMIFS(Data_Actuals!$C$2:$C$5000,Data_Actuals!$A$2:$A$5000,$A19,Data_Actuals!$B$2:$B$5000,$B$2),"")</f>
        <v/>
      </c>
      <c r="S19" s="52">
        <f>IF($D19="Actual",SUMIFS(Data_Actuals!$D$2:$D$5000,Data_Actuals!$A$2:$A$5000,$A19,Data_Actuals!$B$2:$B$5000,$B$2),"")</f>
        <v/>
      </c>
      <c r="T19" s="52">
        <f>IF($D19="Actual",SUMIFS(Data_Actuals!$E$2:$E$5000,Data_Actuals!$A$2:$A$5000,$A19,Data_Actuals!$B$2:$B$5000,$B$2),"")</f>
        <v/>
      </c>
      <c r="U19" s="52">
        <f>IF($D19="Actual",SUMIFS(Data_Actuals!$F$2:$F$5000,Data_Actuals!$A$2:$A$5000,$A19,Data_Actuals!$B$2:$B$5000,$B$2),"")</f>
        <v/>
      </c>
      <c r="V19" s="52">
        <f>IF($D19="Actual",SUMIFS(Data_Actuals!$G$2:$G$5000,Data_Actuals!$A$2:$A$5000,$A19,Data_Actuals!$B$2:$B$5000,$B$2),"")</f>
        <v/>
      </c>
      <c r="W19" s="52">
        <f>SUMIFS(Plan_Inputs!$C$2:$C$5000,Plan_Inputs!$A$2:$A$5000,$A19,Plan_Inputs!$B$2:$B$5000,$B$2)</f>
        <v/>
      </c>
      <c r="X19" s="53">
        <f>IF($D19="Actual",IFERROR(S19/T19,""),"")</f>
        <v/>
      </c>
      <c r="Y19" s="52">
        <f>E19</f>
        <v/>
      </c>
      <c r="Z19" s="54">
        <f>INDEX(Calendar!$H$5:$L$52,MATCH($A19,Calendar!$A$5:$A$52,0),MATCH($D$2,Calendar!$H$4:$L$4,0))</f>
        <v/>
      </c>
      <c r="AA19" s="54">
        <f>INDEX(Calendar!$M$5:$M$52,MATCH($A19,Calendar!$A$5:$A$52,0))</f>
        <v/>
      </c>
      <c r="AB19" s="55">
        <f>IF($D19="Actual",IFERROR(S19/Y19,""),"")</f>
        <v/>
      </c>
      <c r="AC19" s="56">
        <f>IF($D19="Actual",IFERROR(U19/T19/Z19/AA19,""),"")</f>
        <v/>
      </c>
      <c r="AD19" s="57">
        <f>IF($D19="Actual",IFERROR(V19/(U19+V19),""),$K$2)</f>
        <v/>
      </c>
      <c r="AE19" s="56">
        <f>IFERROR(AC19*Z19*AA19,"")</f>
        <v/>
      </c>
      <c r="AF19" s="53" t="n"/>
      <c r="AG19" s="57">
        <f>IF($D19="Forecast",IFERROR(K19/AF19-1,""),"")</f>
        <v/>
      </c>
      <c r="AH19" s="53">
        <f>IF(CPLHSource="National breakdown",CPLH_Breakdown!AL24,SUMIFS(Plan_Inputs!$D$2:$D$5000,Plan_Inputs!$A$2:$A$5000,$A19,Plan_Inputs!$B$2:$B$5000,$B$2))</f>
        <v/>
      </c>
      <c r="AJ19" s="15">
        <f>F19*$AK$11</f>
        <v/>
      </c>
      <c r="AK19" s="9">
        <f>G19*$AK$11</f>
        <v/>
      </c>
      <c r="AL19" s="30">
        <f>H19*$AK$11</f>
        <v/>
      </c>
      <c r="AM19" s="30">
        <f>I19*$AK$11</f>
        <v/>
      </c>
      <c r="AN19" s="30">
        <f>J19*$AK$11</f>
        <v/>
      </c>
      <c r="AP19" s="15">
        <f>F19*$AQ$11</f>
        <v/>
      </c>
      <c r="AQ19" s="9">
        <f>G19*$AQ$11</f>
        <v/>
      </c>
      <c r="AR19" s="30">
        <f>H19*$AQ$11</f>
        <v/>
      </c>
      <c r="AS19" s="30">
        <f>I19*$AQ$11</f>
        <v/>
      </c>
      <c r="AT19" s="30">
        <f>J19*$AQ$11</f>
        <v/>
      </c>
      <c r="AV19" s="15">
        <f>F19*$AW$11</f>
        <v/>
      </c>
      <c r="AW19" s="9">
        <f>G19*$AW$11</f>
        <v/>
      </c>
      <c r="AX19" s="30">
        <f>H19*$AW$11</f>
        <v/>
      </c>
      <c r="AY19" s="30">
        <f>I19*$AW$11</f>
        <v/>
      </c>
      <c r="AZ19" s="30">
        <f>J19*$AW$11</f>
        <v/>
      </c>
    </row>
    <row r="20">
      <c r="A20" s="8" t="n">
        <v>45809</v>
      </c>
      <c r="B20" s="33">
        <f>YEAR(A20)</f>
        <v/>
      </c>
      <c r="C20" s="33">
        <f>MONTH(A20)</f>
        <v/>
      </c>
      <c r="D20">
        <f>IF(A20&lt;=LastActual,"Actual","Forecast")</f>
        <v/>
      </c>
      <c r="E20" s="30">
        <f>IF($D20="Actual",R20,W20)</f>
        <v/>
      </c>
      <c r="F20" s="15">
        <f>IF($D20="Actual",S20,Cases_Forecast!AK13)</f>
        <v/>
      </c>
      <c r="G20" s="9">
        <f>IF($D20="Actual",T20,IFERROR(F20/K20,0))</f>
        <v/>
      </c>
      <c r="H20" s="30">
        <f>IF($D20="Actual",U20,G20*L20)</f>
        <v/>
      </c>
      <c r="I20" s="30">
        <f>IF($D20="Actual",V20,J20-H20)</f>
        <v/>
      </c>
      <c r="J20" s="30">
        <f>IF($D20="Actual",U20+V20,IFERROR(H20/(1-AD20),0))</f>
        <v/>
      </c>
      <c r="K20" s="10">
        <f>IF($D20="Actual",IFERROR(S20/T20,0),CPLH_Forecast!AK13)</f>
        <v/>
      </c>
      <c r="L20" s="34">
        <f>IF($D20="Actual",IFERROR(U20/T20,0),N(AE20))</f>
        <v/>
      </c>
      <c r="M20" s="35">
        <f>IFERROR(J20/F20,0)</f>
        <v/>
      </c>
      <c r="N20" s="36">
        <f>IFERROR(J20/E20,0)</f>
        <v/>
      </c>
      <c r="O20" s="36">
        <f>IFERROR(I20/J20,0)</f>
        <v/>
      </c>
      <c r="R20" s="52">
        <f>IF($D20="Actual",SUMIFS(Data_Actuals!$C$2:$C$5000,Data_Actuals!$A$2:$A$5000,$A20,Data_Actuals!$B$2:$B$5000,$B$2),"")</f>
        <v/>
      </c>
      <c r="S20" s="52">
        <f>IF($D20="Actual",SUMIFS(Data_Actuals!$D$2:$D$5000,Data_Actuals!$A$2:$A$5000,$A20,Data_Actuals!$B$2:$B$5000,$B$2),"")</f>
        <v/>
      </c>
      <c r="T20" s="52">
        <f>IF($D20="Actual",SUMIFS(Data_Actuals!$E$2:$E$5000,Data_Actuals!$A$2:$A$5000,$A20,Data_Actuals!$B$2:$B$5000,$B$2),"")</f>
        <v/>
      </c>
      <c r="U20" s="52">
        <f>IF($D20="Actual",SUMIFS(Data_Actuals!$F$2:$F$5000,Data_Actuals!$A$2:$A$5000,$A20,Data_Actuals!$B$2:$B$5000,$B$2),"")</f>
        <v/>
      </c>
      <c r="V20" s="52">
        <f>IF($D20="Actual",SUMIFS(Data_Actuals!$G$2:$G$5000,Data_Actuals!$A$2:$A$5000,$A20,Data_Actuals!$B$2:$B$5000,$B$2),"")</f>
        <v/>
      </c>
      <c r="W20" s="52">
        <f>SUMIFS(Plan_Inputs!$C$2:$C$5000,Plan_Inputs!$A$2:$A$5000,$A20,Plan_Inputs!$B$2:$B$5000,$B$2)</f>
        <v/>
      </c>
      <c r="X20" s="53">
        <f>IF($D20="Actual",IFERROR(S20/T20,""),"")</f>
        <v/>
      </c>
      <c r="Y20" s="52">
        <f>E20</f>
        <v/>
      </c>
      <c r="Z20" s="54">
        <f>INDEX(Calendar!$H$5:$L$52,MATCH($A20,Calendar!$A$5:$A$52,0),MATCH($D$2,Calendar!$H$4:$L$4,0))</f>
        <v/>
      </c>
      <c r="AA20" s="54">
        <f>INDEX(Calendar!$M$5:$M$52,MATCH($A20,Calendar!$A$5:$A$52,0))</f>
        <v/>
      </c>
      <c r="AB20" s="55">
        <f>IF($D20="Actual",IFERROR(S20/Y20,""),"")</f>
        <v/>
      </c>
      <c r="AC20" s="56">
        <f>IF($D20="Actual",IFERROR(U20/T20/Z20/AA20,""),"")</f>
        <v/>
      </c>
      <c r="AD20" s="57">
        <f>IF($D20="Actual",IFERROR(V20/(U20+V20),""),$K$2)</f>
        <v/>
      </c>
      <c r="AE20" s="56">
        <f>IFERROR(AC20*Z20*AA20,"")</f>
        <v/>
      </c>
      <c r="AF20" s="53" t="n"/>
      <c r="AG20" s="57">
        <f>IF($D20="Forecast",IFERROR(K20/AF20-1,""),"")</f>
        <v/>
      </c>
      <c r="AH20" s="53">
        <f>IF(CPLHSource="National breakdown",CPLH_Breakdown!AL25,SUMIFS(Plan_Inputs!$D$2:$D$5000,Plan_Inputs!$A$2:$A$5000,$A20,Plan_Inputs!$B$2:$B$5000,$B$2))</f>
        <v/>
      </c>
      <c r="AJ20" s="15">
        <f>F20*$AK$11</f>
        <v/>
      </c>
      <c r="AK20" s="9">
        <f>G20*$AK$11</f>
        <v/>
      </c>
      <c r="AL20" s="30">
        <f>H20*$AK$11</f>
        <v/>
      </c>
      <c r="AM20" s="30">
        <f>I20*$AK$11</f>
        <v/>
      </c>
      <c r="AN20" s="30">
        <f>J20*$AK$11</f>
        <v/>
      </c>
      <c r="AP20" s="15">
        <f>F20*$AQ$11</f>
        <v/>
      </c>
      <c r="AQ20" s="9">
        <f>G20*$AQ$11</f>
        <v/>
      </c>
      <c r="AR20" s="30">
        <f>H20*$AQ$11</f>
        <v/>
      </c>
      <c r="AS20" s="30">
        <f>I20*$AQ$11</f>
        <v/>
      </c>
      <c r="AT20" s="30">
        <f>J20*$AQ$11</f>
        <v/>
      </c>
      <c r="AV20" s="15">
        <f>F20*$AW$11</f>
        <v/>
      </c>
      <c r="AW20" s="9">
        <f>G20*$AW$11</f>
        <v/>
      </c>
      <c r="AX20" s="30">
        <f>H20*$AW$11</f>
        <v/>
      </c>
      <c r="AY20" s="30">
        <f>I20*$AW$11</f>
        <v/>
      </c>
      <c r="AZ20" s="30">
        <f>J20*$AW$11</f>
        <v/>
      </c>
    </row>
    <row r="21">
      <c r="A21" s="8" t="n">
        <v>45839</v>
      </c>
      <c r="B21" s="33">
        <f>YEAR(A21)</f>
        <v/>
      </c>
      <c r="C21" s="33">
        <f>MONTH(A21)</f>
        <v/>
      </c>
      <c r="D21">
        <f>IF(A21&lt;=LastActual,"Actual","Forecast")</f>
        <v/>
      </c>
      <c r="E21" s="30">
        <f>IF($D21="Actual",R21,W21)</f>
        <v/>
      </c>
      <c r="F21" s="15">
        <f>IF($D21="Actual",S21,Cases_Forecast!AK14)</f>
        <v/>
      </c>
      <c r="G21" s="9">
        <f>IF($D21="Actual",T21,IFERROR(F21/K21,0))</f>
        <v/>
      </c>
      <c r="H21" s="30">
        <f>IF($D21="Actual",U21,G21*L21)</f>
        <v/>
      </c>
      <c r="I21" s="30">
        <f>IF($D21="Actual",V21,J21-H21)</f>
        <v/>
      </c>
      <c r="J21" s="30">
        <f>IF($D21="Actual",U21+V21,IFERROR(H21/(1-AD21),0))</f>
        <v/>
      </c>
      <c r="K21" s="10">
        <f>IF($D21="Actual",IFERROR(S21/T21,0),CPLH_Forecast!AK14)</f>
        <v/>
      </c>
      <c r="L21" s="34">
        <f>IF($D21="Actual",IFERROR(U21/T21,0),N(AE21))</f>
        <v/>
      </c>
      <c r="M21" s="35">
        <f>IFERROR(J21/F21,0)</f>
        <v/>
      </c>
      <c r="N21" s="36">
        <f>IFERROR(J21/E21,0)</f>
        <v/>
      </c>
      <c r="O21" s="36">
        <f>IFERROR(I21/J21,0)</f>
        <v/>
      </c>
      <c r="R21" s="52">
        <f>IF($D21="Actual",SUMIFS(Data_Actuals!$C$2:$C$5000,Data_Actuals!$A$2:$A$5000,$A21,Data_Actuals!$B$2:$B$5000,$B$2),"")</f>
        <v/>
      </c>
      <c r="S21" s="52">
        <f>IF($D21="Actual",SUMIFS(Data_Actuals!$D$2:$D$5000,Data_Actuals!$A$2:$A$5000,$A21,Data_Actuals!$B$2:$B$5000,$B$2),"")</f>
        <v/>
      </c>
      <c r="T21" s="52">
        <f>IF($D21="Actual",SUMIFS(Data_Actuals!$E$2:$E$5000,Data_Actuals!$A$2:$A$5000,$A21,Data_Actuals!$B$2:$B$5000,$B$2),"")</f>
        <v/>
      </c>
      <c r="U21" s="52">
        <f>IF($D21="Actual",SUMIFS(Data_Actuals!$F$2:$F$5000,Data_Actuals!$A$2:$A$5000,$A21,Data_Actuals!$B$2:$B$5000,$B$2),"")</f>
        <v/>
      </c>
      <c r="V21" s="52">
        <f>IF($D21="Actual",SUMIFS(Data_Actuals!$G$2:$G$5000,Data_Actuals!$A$2:$A$5000,$A21,Data_Actuals!$B$2:$B$5000,$B$2),"")</f>
        <v/>
      </c>
      <c r="W21" s="52">
        <f>SUMIFS(Plan_Inputs!$C$2:$C$5000,Plan_Inputs!$A$2:$A$5000,$A21,Plan_Inputs!$B$2:$B$5000,$B$2)</f>
        <v/>
      </c>
      <c r="X21" s="53">
        <f>IF($D21="Actual",IFERROR(S21/T21,""),"")</f>
        <v/>
      </c>
      <c r="Y21" s="52">
        <f>E21</f>
        <v/>
      </c>
      <c r="Z21" s="54">
        <f>INDEX(Calendar!$H$5:$L$52,MATCH($A21,Calendar!$A$5:$A$52,0),MATCH($D$2,Calendar!$H$4:$L$4,0))</f>
        <v/>
      </c>
      <c r="AA21" s="54">
        <f>INDEX(Calendar!$M$5:$M$52,MATCH($A21,Calendar!$A$5:$A$52,0))</f>
        <v/>
      </c>
      <c r="AB21" s="55">
        <f>IF($D21="Actual",IFERROR(S21/Y21,""),"")</f>
        <v/>
      </c>
      <c r="AC21" s="56">
        <f>IF($D21="Actual",IFERROR(U21/T21/Z21/AA21,""),"")</f>
        <v/>
      </c>
      <c r="AD21" s="57">
        <f>IF($D21="Actual",IFERROR(V21/(U21+V21),""),$K$2)</f>
        <v/>
      </c>
      <c r="AE21" s="56">
        <f>IFERROR(AC21*Z21*AA21,"")</f>
        <v/>
      </c>
      <c r="AF21" s="53" t="n"/>
      <c r="AG21" s="57">
        <f>IF($D21="Forecast",IFERROR(K21/AF21-1,""),"")</f>
        <v/>
      </c>
      <c r="AH21" s="53">
        <f>IF(CPLHSource="National breakdown",CPLH_Breakdown!AL26,SUMIFS(Plan_Inputs!$D$2:$D$5000,Plan_Inputs!$A$2:$A$5000,$A21,Plan_Inputs!$B$2:$B$5000,$B$2))</f>
        <v/>
      </c>
      <c r="AJ21" s="15">
        <f>F21*$AK$11</f>
        <v/>
      </c>
      <c r="AK21" s="9">
        <f>G21*$AK$11</f>
        <v/>
      </c>
      <c r="AL21" s="30">
        <f>H21*$AK$11</f>
        <v/>
      </c>
      <c r="AM21" s="30">
        <f>I21*$AK$11</f>
        <v/>
      </c>
      <c r="AN21" s="30">
        <f>J21*$AK$11</f>
        <v/>
      </c>
      <c r="AP21" s="15">
        <f>F21*$AQ$11</f>
        <v/>
      </c>
      <c r="AQ21" s="9">
        <f>G21*$AQ$11</f>
        <v/>
      </c>
      <c r="AR21" s="30">
        <f>H21*$AQ$11</f>
        <v/>
      </c>
      <c r="AS21" s="30">
        <f>I21*$AQ$11</f>
        <v/>
      </c>
      <c r="AT21" s="30">
        <f>J21*$AQ$11</f>
        <v/>
      </c>
      <c r="AV21" s="15">
        <f>F21*$AW$11</f>
        <v/>
      </c>
      <c r="AW21" s="9">
        <f>G21*$AW$11</f>
        <v/>
      </c>
      <c r="AX21" s="30">
        <f>H21*$AW$11</f>
        <v/>
      </c>
      <c r="AY21" s="30">
        <f>I21*$AW$11</f>
        <v/>
      </c>
      <c r="AZ21" s="30">
        <f>J21*$AW$11</f>
        <v/>
      </c>
    </row>
    <row r="22">
      <c r="A22" s="8" t="n">
        <v>45870</v>
      </c>
      <c r="B22" s="33">
        <f>YEAR(A22)</f>
        <v/>
      </c>
      <c r="C22" s="33">
        <f>MONTH(A22)</f>
        <v/>
      </c>
      <c r="D22">
        <f>IF(A22&lt;=LastActual,"Actual","Forecast")</f>
        <v/>
      </c>
      <c r="E22" s="30">
        <f>IF($D22="Actual",R22,W22)</f>
        <v/>
      </c>
      <c r="F22" s="15">
        <f>IF($D22="Actual",S22,Cases_Forecast!AK15)</f>
        <v/>
      </c>
      <c r="G22" s="9">
        <f>IF($D22="Actual",T22,IFERROR(F22/K22,0))</f>
        <v/>
      </c>
      <c r="H22" s="30">
        <f>IF($D22="Actual",U22,G22*L22)</f>
        <v/>
      </c>
      <c r="I22" s="30">
        <f>IF($D22="Actual",V22,J22-H22)</f>
        <v/>
      </c>
      <c r="J22" s="30">
        <f>IF($D22="Actual",U22+V22,IFERROR(H22/(1-AD22),0))</f>
        <v/>
      </c>
      <c r="K22" s="10">
        <f>IF($D22="Actual",IFERROR(S22/T22,0),CPLH_Forecast!AK15)</f>
        <v/>
      </c>
      <c r="L22" s="34">
        <f>IF($D22="Actual",IFERROR(U22/T22,0),N(AE22))</f>
        <v/>
      </c>
      <c r="M22" s="35">
        <f>IFERROR(J22/F22,0)</f>
        <v/>
      </c>
      <c r="N22" s="36">
        <f>IFERROR(J22/E22,0)</f>
        <v/>
      </c>
      <c r="O22" s="36">
        <f>IFERROR(I22/J22,0)</f>
        <v/>
      </c>
      <c r="R22" s="52">
        <f>IF($D22="Actual",SUMIFS(Data_Actuals!$C$2:$C$5000,Data_Actuals!$A$2:$A$5000,$A22,Data_Actuals!$B$2:$B$5000,$B$2),"")</f>
        <v/>
      </c>
      <c r="S22" s="52">
        <f>IF($D22="Actual",SUMIFS(Data_Actuals!$D$2:$D$5000,Data_Actuals!$A$2:$A$5000,$A22,Data_Actuals!$B$2:$B$5000,$B$2),"")</f>
        <v/>
      </c>
      <c r="T22" s="52">
        <f>IF($D22="Actual",SUMIFS(Data_Actuals!$E$2:$E$5000,Data_Actuals!$A$2:$A$5000,$A22,Data_Actuals!$B$2:$B$5000,$B$2),"")</f>
        <v/>
      </c>
      <c r="U22" s="52">
        <f>IF($D22="Actual",SUMIFS(Data_Actuals!$F$2:$F$5000,Data_Actuals!$A$2:$A$5000,$A22,Data_Actuals!$B$2:$B$5000,$B$2),"")</f>
        <v/>
      </c>
      <c r="V22" s="52">
        <f>IF($D22="Actual",SUMIFS(Data_Actuals!$G$2:$G$5000,Data_Actuals!$A$2:$A$5000,$A22,Data_Actuals!$B$2:$B$5000,$B$2),"")</f>
        <v/>
      </c>
      <c r="W22" s="52">
        <f>SUMIFS(Plan_Inputs!$C$2:$C$5000,Plan_Inputs!$A$2:$A$5000,$A22,Plan_Inputs!$B$2:$B$5000,$B$2)</f>
        <v/>
      </c>
      <c r="X22" s="53">
        <f>IF($D22="Actual",IFERROR(S22/T22,""),"")</f>
        <v/>
      </c>
      <c r="Y22" s="52">
        <f>E22</f>
        <v/>
      </c>
      <c r="Z22" s="54">
        <f>INDEX(Calendar!$H$5:$L$52,MATCH($A22,Calendar!$A$5:$A$52,0),MATCH($D$2,Calendar!$H$4:$L$4,0))</f>
        <v/>
      </c>
      <c r="AA22" s="54">
        <f>INDEX(Calendar!$M$5:$M$52,MATCH($A22,Calendar!$A$5:$A$52,0))</f>
        <v/>
      </c>
      <c r="AB22" s="55">
        <f>IF($D22="Actual",IFERROR(S22/Y22,""),"")</f>
        <v/>
      </c>
      <c r="AC22" s="56">
        <f>IF($D22="Actual",IFERROR(U22/T22/Z22/AA22,""),"")</f>
        <v/>
      </c>
      <c r="AD22" s="57">
        <f>IF($D22="Actual",IFERROR(V22/(U22+V22),""),$K$2)</f>
        <v/>
      </c>
      <c r="AE22" s="56">
        <f>IFERROR(AC22*Z22*AA22,"")</f>
        <v/>
      </c>
      <c r="AF22" s="53" t="n"/>
      <c r="AG22" s="57">
        <f>IF($D22="Forecast",IFERROR(K22/AF22-1,""),"")</f>
        <v/>
      </c>
      <c r="AH22" s="53">
        <f>IF(CPLHSource="National breakdown",CPLH_Breakdown!AL27,SUMIFS(Plan_Inputs!$D$2:$D$5000,Plan_Inputs!$A$2:$A$5000,$A22,Plan_Inputs!$B$2:$B$5000,$B$2))</f>
        <v/>
      </c>
      <c r="AJ22" s="15">
        <f>F22*$AK$11</f>
        <v/>
      </c>
      <c r="AK22" s="9">
        <f>G22*$AK$11</f>
        <v/>
      </c>
      <c r="AL22" s="30">
        <f>H22*$AK$11</f>
        <v/>
      </c>
      <c r="AM22" s="30">
        <f>I22*$AK$11</f>
        <v/>
      </c>
      <c r="AN22" s="30">
        <f>J22*$AK$11</f>
        <v/>
      </c>
      <c r="AP22" s="15">
        <f>F22*$AQ$11</f>
        <v/>
      </c>
      <c r="AQ22" s="9">
        <f>G22*$AQ$11</f>
        <v/>
      </c>
      <c r="AR22" s="30">
        <f>H22*$AQ$11</f>
        <v/>
      </c>
      <c r="AS22" s="30">
        <f>I22*$AQ$11</f>
        <v/>
      </c>
      <c r="AT22" s="30">
        <f>J22*$AQ$11</f>
        <v/>
      </c>
      <c r="AV22" s="15">
        <f>F22*$AW$11</f>
        <v/>
      </c>
      <c r="AW22" s="9">
        <f>G22*$AW$11</f>
        <v/>
      </c>
      <c r="AX22" s="30">
        <f>H22*$AW$11</f>
        <v/>
      </c>
      <c r="AY22" s="30">
        <f>I22*$AW$11</f>
        <v/>
      </c>
      <c r="AZ22" s="30">
        <f>J22*$AW$11</f>
        <v/>
      </c>
    </row>
    <row r="23">
      <c r="A23" s="8" t="n">
        <v>45901</v>
      </c>
      <c r="B23" s="33">
        <f>YEAR(A23)</f>
        <v/>
      </c>
      <c r="C23" s="33">
        <f>MONTH(A23)</f>
        <v/>
      </c>
      <c r="D23">
        <f>IF(A23&lt;=LastActual,"Actual","Forecast")</f>
        <v/>
      </c>
      <c r="E23" s="30">
        <f>IF($D23="Actual",R23,W23)</f>
        <v/>
      </c>
      <c r="F23" s="15">
        <f>IF($D23="Actual",S23,Cases_Forecast!AK16)</f>
        <v/>
      </c>
      <c r="G23" s="9">
        <f>IF($D23="Actual",T23,IFERROR(F23/K23,0))</f>
        <v/>
      </c>
      <c r="H23" s="30">
        <f>IF($D23="Actual",U23,G23*L23)</f>
        <v/>
      </c>
      <c r="I23" s="30">
        <f>IF($D23="Actual",V23,J23-H23)</f>
        <v/>
      </c>
      <c r="J23" s="30">
        <f>IF($D23="Actual",U23+V23,IFERROR(H23/(1-AD23),0))</f>
        <v/>
      </c>
      <c r="K23" s="10">
        <f>IF($D23="Actual",IFERROR(S23/T23,0),CPLH_Forecast!AK16)</f>
        <v/>
      </c>
      <c r="L23" s="34">
        <f>IF($D23="Actual",IFERROR(U23/T23,0),N(AE23))</f>
        <v/>
      </c>
      <c r="M23" s="35">
        <f>IFERROR(J23/F23,0)</f>
        <v/>
      </c>
      <c r="N23" s="36">
        <f>IFERROR(J23/E23,0)</f>
        <v/>
      </c>
      <c r="O23" s="36">
        <f>IFERROR(I23/J23,0)</f>
        <v/>
      </c>
      <c r="R23" s="52">
        <f>IF($D23="Actual",SUMIFS(Data_Actuals!$C$2:$C$5000,Data_Actuals!$A$2:$A$5000,$A23,Data_Actuals!$B$2:$B$5000,$B$2),"")</f>
        <v/>
      </c>
      <c r="S23" s="52">
        <f>IF($D23="Actual",SUMIFS(Data_Actuals!$D$2:$D$5000,Data_Actuals!$A$2:$A$5000,$A23,Data_Actuals!$B$2:$B$5000,$B$2),"")</f>
        <v/>
      </c>
      <c r="T23" s="52">
        <f>IF($D23="Actual",SUMIFS(Data_Actuals!$E$2:$E$5000,Data_Actuals!$A$2:$A$5000,$A23,Data_Actuals!$B$2:$B$5000,$B$2),"")</f>
        <v/>
      </c>
      <c r="U23" s="52">
        <f>IF($D23="Actual",SUMIFS(Data_Actuals!$F$2:$F$5000,Data_Actuals!$A$2:$A$5000,$A23,Data_Actuals!$B$2:$B$5000,$B$2),"")</f>
        <v/>
      </c>
      <c r="V23" s="52">
        <f>IF($D23="Actual",SUMIFS(Data_Actuals!$G$2:$G$5000,Data_Actuals!$A$2:$A$5000,$A23,Data_Actuals!$B$2:$B$5000,$B$2),"")</f>
        <v/>
      </c>
      <c r="W23" s="52">
        <f>SUMIFS(Plan_Inputs!$C$2:$C$5000,Plan_Inputs!$A$2:$A$5000,$A23,Plan_Inputs!$B$2:$B$5000,$B$2)</f>
        <v/>
      </c>
      <c r="X23" s="53">
        <f>IF($D23="Actual",IFERROR(S23/T23,""),"")</f>
        <v/>
      </c>
      <c r="Y23" s="52">
        <f>E23</f>
        <v/>
      </c>
      <c r="Z23" s="54">
        <f>INDEX(Calendar!$H$5:$L$52,MATCH($A23,Calendar!$A$5:$A$52,0),MATCH($D$2,Calendar!$H$4:$L$4,0))</f>
        <v/>
      </c>
      <c r="AA23" s="54">
        <f>INDEX(Calendar!$M$5:$M$52,MATCH($A23,Calendar!$A$5:$A$52,0))</f>
        <v/>
      </c>
      <c r="AB23" s="55">
        <f>IF($D23="Actual",IFERROR(S23/Y23,""),"")</f>
        <v/>
      </c>
      <c r="AC23" s="56">
        <f>IF($D23="Actual",IFERROR(U23/T23/Z23/AA23,""),"")</f>
        <v/>
      </c>
      <c r="AD23" s="57">
        <f>IF($D23="Actual",IFERROR(V23/(U23+V23),""),$K$2)</f>
        <v/>
      </c>
      <c r="AE23" s="56">
        <f>IFERROR(AC23*Z23*AA23,"")</f>
        <v/>
      </c>
      <c r="AF23" s="53" t="n"/>
      <c r="AG23" s="57">
        <f>IF($D23="Forecast",IFERROR(K23/AF23-1,""),"")</f>
        <v/>
      </c>
      <c r="AH23" s="53">
        <f>IF(CPLHSource="National breakdown",CPLH_Breakdown!AL28,SUMIFS(Plan_Inputs!$D$2:$D$5000,Plan_Inputs!$A$2:$A$5000,$A23,Plan_Inputs!$B$2:$B$5000,$B$2))</f>
        <v/>
      </c>
      <c r="AJ23" s="15">
        <f>F23*$AK$11</f>
        <v/>
      </c>
      <c r="AK23" s="9">
        <f>G23*$AK$11</f>
        <v/>
      </c>
      <c r="AL23" s="30">
        <f>H23*$AK$11</f>
        <v/>
      </c>
      <c r="AM23" s="30">
        <f>I23*$AK$11</f>
        <v/>
      </c>
      <c r="AN23" s="30">
        <f>J23*$AK$11</f>
        <v/>
      </c>
      <c r="AP23" s="15">
        <f>F23*$AQ$11</f>
        <v/>
      </c>
      <c r="AQ23" s="9">
        <f>G23*$AQ$11</f>
        <v/>
      </c>
      <c r="AR23" s="30">
        <f>H23*$AQ$11</f>
        <v/>
      </c>
      <c r="AS23" s="30">
        <f>I23*$AQ$11</f>
        <v/>
      </c>
      <c r="AT23" s="30">
        <f>J23*$AQ$11</f>
        <v/>
      </c>
      <c r="AV23" s="15">
        <f>F23*$AW$11</f>
        <v/>
      </c>
      <c r="AW23" s="9">
        <f>G23*$AW$11</f>
        <v/>
      </c>
      <c r="AX23" s="30">
        <f>H23*$AW$11</f>
        <v/>
      </c>
      <c r="AY23" s="30">
        <f>I23*$AW$11</f>
        <v/>
      </c>
      <c r="AZ23" s="30">
        <f>J23*$AW$11</f>
        <v/>
      </c>
    </row>
    <row r="24">
      <c r="A24" s="8" t="n">
        <v>45931</v>
      </c>
      <c r="B24" s="33">
        <f>YEAR(A24)</f>
        <v/>
      </c>
      <c r="C24" s="33">
        <f>MONTH(A24)</f>
        <v/>
      </c>
      <c r="D24">
        <f>IF(A24&lt;=LastActual,"Actual","Forecast")</f>
        <v/>
      </c>
      <c r="E24" s="30">
        <f>IF($D24="Actual",R24,W24)</f>
        <v/>
      </c>
      <c r="F24" s="15">
        <f>IF($D24="Actual",S24,Cases_Forecast!AK17)</f>
        <v/>
      </c>
      <c r="G24" s="9">
        <f>IF($D24="Actual",T24,IFERROR(F24/K24,0))</f>
        <v/>
      </c>
      <c r="H24" s="30">
        <f>IF($D24="Actual",U24,G24*L24)</f>
        <v/>
      </c>
      <c r="I24" s="30">
        <f>IF($D24="Actual",V24,J24-H24)</f>
        <v/>
      </c>
      <c r="J24" s="30">
        <f>IF($D24="Actual",U24+V24,IFERROR(H24/(1-AD24),0))</f>
        <v/>
      </c>
      <c r="K24" s="10">
        <f>IF($D24="Actual",IFERROR(S24/T24,0),CPLH_Forecast!AK17)</f>
        <v/>
      </c>
      <c r="L24" s="34">
        <f>IF($D24="Actual",IFERROR(U24/T24,0),N(AE24))</f>
        <v/>
      </c>
      <c r="M24" s="35">
        <f>IFERROR(J24/F24,0)</f>
        <v/>
      </c>
      <c r="N24" s="36">
        <f>IFERROR(J24/E24,0)</f>
        <v/>
      </c>
      <c r="O24" s="36">
        <f>IFERROR(I24/J24,0)</f>
        <v/>
      </c>
      <c r="R24" s="52">
        <f>IF($D24="Actual",SUMIFS(Data_Actuals!$C$2:$C$5000,Data_Actuals!$A$2:$A$5000,$A24,Data_Actuals!$B$2:$B$5000,$B$2),"")</f>
        <v/>
      </c>
      <c r="S24" s="52">
        <f>IF($D24="Actual",SUMIFS(Data_Actuals!$D$2:$D$5000,Data_Actuals!$A$2:$A$5000,$A24,Data_Actuals!$B$2:$B$5000,$B$2),"")</f>
        <v/>
      </c>
      <c r="T24" s="52">
        <f>IF($D24="Actual",SUMIFS(Data_Actuals!$E$2:$E$5000,Data_Actuals!$A$2:$A$5000,$A24,Data_Actuals!$B$2:$B$5000,$B$2),"")</f>
        <v/>
      </c>
      <c r="U24" s="52">
        <f>IF($D24="Actual",SUMIFS(Data_Actuals!$F$2:$F$5000,Data_Actuals!$A$2:$A$5000,$A24,Data_Actuals!$B$2:$B$5000,$B$2),"")</f>
        <v/>
      </c>
      <c r="V24" s="52">
        <f>IF($D24="Actual",SUMIFS(Data_Actuals!$G$2:$G$5000,Data_Actuals!$A$2:$A$5000,$A24,Data_Actuals!$B$2:$B$5000,$B$2),"")</f>
        <v/>
      </c>
      <c r="W24" s="52">
        <f>SUMIFS(Plan_Inputs!$C$2:$C$5000,Plan_Inputs!$A$2:$A$5000,$A24,Plan_Inputs!$B$2:$B$5000,$B$2)</f>
        <v/>
      </c>
      <c r="X24" s="53">
        <f>IF($D24="Actual",IFERROR(S24/T24,""),"")</f>
        <v/>
      </c>
      <c r="Y24" s="52">
        <f>E24</f>
        <v/>
      </c>
      <c r="Z24" s="54">
        <f>INDEX(Calendar!$H$5:$L$52,MATCH($A24,Calendar!$A$5:$A$52,0),MATCH($D$2,Calendar!$H$4:$L$4,0))</f>
        <v/>
      </c>
      <c r="AA24" s="54">
        <f>INDEX(Calendar!$M$5:$M$52,MATCH($A24,Calendar!$A$5:$A$52,0))</f>
        <v/>
      </c>
      <c r="AB24" s="55">
        <f>IF($D24="Actual",IFERROR(S24/Y24,""),"")</f>
        <v/>
      </c>
      <c r="AC24" s="56">
        <f>IF($D24="Actual",IFERROR(U24/T24/Z24/AA24,""),"")</f>
        <v/>
      </c>
      <c r="AD24" s="57">
        <f>IF($D24="Actual",IFERROR(V24/(U24+V24),""),$K$2)</f>
        <v/>
      </c>
      <c r="AE24" s="56">
        <f>IFERROR(AC24*Z24*AA24,"")</f>
        <v/>
      </c>
      <c r="AF24" s="53" t="n"/>
      <c r="AG24" s="57">
        <f>IF($D24="Forecast",IFERROR(K24/AF24-1,""),"")</f>
        <v/>
      </c>
      <c r="AH24" s="53">
        <f>IF(CPLHSource="National breakdown",CPLH_Breakdown!AL29,SUMIFS(Plan_Inputs!$D$2:$D$5000,Plan_Inputs!$A$2:$A$5000,$A24,Plan_Inputs!$B$2:$B$5000,$B$2))</f>
        <v/>
      </c>
      <c r="AJ24" s="15">
        <f>F24*$AK$11</f>
        <v/>
      </c>
      <c r="AK24" s="9">
        <f>G24*$AK$11</f>
        <v/>
      </c>
      <c r="AL24" s="30">
        <f>H24*$AK$11</f>
        <v/>
      </c>
      <c r="AM24" s="30">
        <f>I24*$AK$11</f>
        <v/>
      </c>
      <c r="AN24" s="30">
        <f>J24*$AK$11</f>
        <v/>
      </c>
      <c r="AP24" s="15">
        <f>F24*$AQ$11</f>
        <v/>
      </c>
      <c r="AQ24" s="9">
        <f>G24*$AQ$11</f>
        <v/>
      </c>
      <c r="AR24" s="30">
        <f>H24*$AQ$11</f>
        <v/>
      </c>
      <c r="AS24" s="30">
        <f>I24*$AQ$11</f>
        <v/>
      </c>
      <c r="AT24" s="30">
        <f>J24*$AQ$11</f>
        <v/>
      </c>
      <c r="AV24" s="15">
        <f>F24*$AW$11</f>
        <v/>
      </c>
      <c r="AW24" s="9">
        <f>G24*$AW$11</f>
        <v/>
      </c>
      <c r="AX24" s="30">
        <f>H24*$AW$11</f>
        <v/>
      </c>
      <c r="AY24" s="30">
        <f>I24*$AW$11</f>
        <v/>
      </c>
      <c r="AZ24" s="30">
        <f>J24*$AW$11</f>
        <v/>
      </c>
    </row>
    <row r="25">
      <c r="A25" s="8" t="n">
        <v>45962</v>
      </c>
      <c r="B25" s="33">
        <f>YEAR(A25)</f>
        <v/>
      </c>
      <c r="C25" s="33">
        <f>MONTH(A25)</f>
        <v/>
      </c>
      <c r="D25">
        <f>IF(A25&lt;=LastActual,"Actual","Forecast")</f>
        <v/>
      </c>
      <c r="E25" s="30">
        <f>IF($D25="Actual",R25,W25)</f>
        <v/>
      </c>
      <c r="F25" s="15">
        <f>IF($D25="Actual",S25,Cases_Forecast!AK18)</f>
        <v/>
      </c>
      <c r="G25" s="9">
        <f>IF($D25="Actual",T25,IFERROR(F25/K25,0))</f>
        <v/>
      </c>
      <c r="H25" s="30">
        <f>IF($D25="Actual",U25,G25*L25)</f>
        <v/>
      </c>
      <c r="I25" s="30">
        <f>IF($D25="Actual",V25,J25-H25)</f>
        <v/>
      </c>
      <c r="J25" s="30">
        <f>IF($D25="Actual",U25+V25,IFERROR(H25/(1-AD25),0))</f>
        <v/>
      </c>
      <c r="K25" s="10">
        <f>IF($D25="Actual",IFERROR(S25/T25,0),CPLH_Forecast!AK18)</f>
        <v/>
      </c>
      <c r="L25" s="34">
        <f>IF($D25="Actual",IFERROR(U25/T25,0),N(AE25))</f>
        <v/>
      </c>
      <c r="M25" s="35">
        <f>IFERROR(J25/F25,0)</f>
        <v/>
      </c>
      <c r="N25" s="36">
        <f>IFERROR(J25/E25,0)</f>
        <v/>
      </c>
      <c r="O25" s="36">
        <f>IFERROR(I25/J25,0)</f>
        <v/>
      </c>
      <c r="R25" s="52">
        <f>IF($D25="Actual",SUMIFS(Data_Actuals!$C$2:$C$5000,Data_Actuals!$A$2:$A$5000,$A25,Data_Actuals!$B$2:$B$5000,$B$2),"")</f>
        <v/>
      </c>
      <c r="S25" s="52">
        <f>IF($D25="Actual",SUMIFS(Data_Actuals!$D$2:$D$5000,Data_Actuals!$A$2:$A$5000,$A25,Data_Actuals!$B$2:$B$5000,$B$2),"")</f>
        <v/>
      </c>
      <c r="T25" s="52">
        <f>IF($D25="Actual",SUMIFS(Data_Actuals!$E$2:$E$5000,Data_Actuals!$A$2:$A$5000,$A25,Data_Actuals!$B$2:$B$5000,$B$2),"")</f>
        <v/>
      </c>
      <c r="U25" s="52">
        <f>IF($D25="Actual",SUMIFS(Data_Actuals!$F$2:$F$5000,Data_Actuals!$A$2:$A$5000,$A25,Data_Actuals!$B$2:$B$5000,$B$2),"")</f>
        <v/>
      </c>
      <c r="V25" s="52">
        <f>IF($D25="Actual",SUMIFS(Data_Actuals!$G$2:$G$5000,Data_Actuals!$A$2:$A$5000,$A25,Data_Actuals!$B$2:$B$5000,$B$2),"")</f>
        <v/>
      </c>
      <c r="W25" s="52">
        <f>SUMIFS(Plan_Inputs!$C$2:$C$5000,Plan_Inputs!$A$2:$A$5000,$A25,Plan_Inputs!$B$2:$B$5000,$B$2)</f>
        <v/>
      </c>
      <c r="X25" s="53">
        <f>IF($D25="Actual",IFERROR(S25/T25,""),"")</f>
        <v/>
      </c>
      <c r="Y25" s="52">
        <f>E25</f>
        <v/>
      </c>
      <c r="Z25" s="54">
        <f>INDEX(Calendar!$H$5:$L$52,MATCH($A25,Calendar!$A$5:$A$52,0),MATCH($D$2,Calendar!$H$4:$L$4,0))</f>
        <v/>
      </c>
      <c r="AA25" s="54">
        <f>INDEX(Calendar!$M$5:$M$52,MATCH($A25,Calendar!$A$5:$A$52,0))</f>
        <v/>
      </c>
      <c r="AB25" s="55">
        <f>IF($D25="Actual",IFERROR(S25/Y25,""),"")</f>
        <v/>
      </c>
      <c r="AC25" s="56">
        <f>IF($D25="Actual",IFERROR(U25/T25/Z25/AA25,""),"")</f>
        <v/>
      </c>
      <c r="AD25" s="57">
        <f>IF($D25="Actual",IFERROR(V25/(U25+V25),""),$K$2)</f>
        <v/>
      </c>
      <c r="AE25" s="56">
        <f>IFERROR(AC25*Z25*AA25,"")</f>
        <v/>
      </c>
      <c r="AF25" s="53" t="n"/>
      <c r="AG25" s="57">
        <f>IF($D25="Forecast",IFERROR(K25/AF25-1,""),"")</f>
        <v/>
      </c>
      <c r="AH25" s="53">
        <f>IF(CPLHSource="National breakdown",CPLH_Breakdown!AL30,SUMIFS(Plan_Inputs!$D$2:$D$5000,Plan_Inputs!$A$2:$A$5000,$A25,Plan_Inputs!$B$2:$B$5000,$B$2))</f>
        <v/>
      </c>
      <c r="AJ25" s="15">
        <f>F25*$AK$11</f>
        <v/>
      </c>
      <c r="AK25" s="9">
        <f>G25*$AK$11</f>
        <v/>
      </c>
      <c r="AL25" s="30">
        <f>H25*$AK$11</f>
        <v/>
      </c>
      <c r="AM25" s="30">
        <f>I25*$AK$11</f>
        <v/>
      </c>
      <c r="AN25" s="30">
        <f>J25*$AK$11</f>
        <v/>
      </c>
      <c r="AP25" s="15">
        <f>F25*$AQ$11</f>
        <v/>
      </c>
      <c r="AQ25" s="9">
        <f>G25*$AQ$11</f>
        <v/>
      </c>
      <c r="AR25" s="30">
        <f>H25*$AQ$11</f>
        <v/>
      </c>
      <c r="AS25" s="30">
        <f>I25*$AQ$11</f>
        <v/>
      </c>
      <c r="AT25" s="30">
        <f>J25*$AQ$11</f>
        <v/>
      </c>
      <c r="AV25" s="15">
        <f>F25*$AW$11</f>
        <v/>
      </c>
      <c r="AW25" s="9">
        <f>G25*$AW$11</f>
        <v/>
      </c>
      <c r="AX25" s="30">
        <f>H25*$AW$11</f>
        <v/>
      </c>
      <c r="AY25" s="30">
        <f>I25*$AW$11</f>
        <v/>
      </c>
      <c r="AZ25" s="30">
        <f>J25*$AW$11</f>
        <v/>
      </c>
    </row>
    <row r="26">
      <c r="A26" s="37" t="n">
        <v>45992</v>
      </c>
      <c r="B26" s="38">
        <f>YEAR(A26)</f>
        <v/>
      </c>
      <c r="C26" s="38">
        <f>MONTH(A26)</f>
        <v/>
      </c>
      <c r="D26" s="39">
        <f>IF(A26&lt;=LastActual,"Actual","Forecast")</f>
        <v/>
      </c>
      <c r="E26" s="40">
        <f>IF($D26="Actual",R26,W26)</f>
        <v/>
      </c>
      <c r="F26" s="41">
        <f>IF($D26="Actual",S26,Cases_Forecast!AK19)</f>
        <v/>
      </c>
      <c r="G26" s="42">
        <f>IF($D26="Actual",T26,IFERROR(F26/K26,0))</f>
        <v/>
      </c>
      <c r="H26" s="40">
        <f>IF($D26="Actual",U26,G26*L26)</f>
        <v/>
      </c>
      <c r="I26" s="40">
        <f>IF($D26="Actual",V26,J26-H26)</f>
        <v/>
      </c>
      <c r="J26" s="40">
        <f>IF($D26="Actual",U26+V26,IFERROR(H26/(1-AD26),0))</f>
        <v/>
      </c>
      <c r="K26" s="43">
        <f>IF($D26="Actual",IFERROR(S26/T26,0),CPLH_Forecast!AK19)</f>
        <v/>
      </c>
      <c r="L26" s="44">
        <f>IF($D26="Actual",IFERROR(U26/T26,0),N(AE26))</f>
        <v/>
      </c>
      <c r="M26" s="45">
        <f>IFERROR(J26/F26,0)</f>
        <v/>
      </c>
      <c r="N26" s="46">
        <f>IFERROR(J26/E26,0)</f>
        <v/>
      </c>
      <c r="O26" s="46">
        <f>IFERROR(I26/J26,0)</f>
        <v/>
      </c>
      <c r="R26" s="52">
        <f>IF($D26="Actual",SUMIFS(Data_Actuals!$C$2:$C$5000,Data_Actuals!$A$2:$A$5000,$A26,Data_Actuals!$B$2:$B$5000,$B$2),"")</f>
        <v/>
      </c>
      <c r="S26" s="52">
        <f>IF($D26="Actual",SUMIFS(Data_Actuals!$D$2:$D$5000,Data_Actuals!$A$2:$A$5000,$A26,Data_Actuals!$B$2:$B$5000,$B$2),"")</f>
        <v/>
      </c>
      <c r="T26" s="52">
        <f>IF($D26="Actual",SUMIFS(Data_Actuals!$E$2:$E$5000,Data_Actuals!$A$2:$A$5000,$A26,Data_Actuals!$B$2:$B$5000,$B$2),"")</f>
        <v/>
      </c>
      <c r="U26" s="52">
        <f>IF($D26="Actual",SUMIFS(Data_Actuals!$F$2:$F$5000,Data_Actuals!$A$2:$A$5000,$A26,Data_Actuals!$B$2:$B$5000,$B$2),"")</f>
        <v/>
      </c>
      <c r="V26" s="52">
        <f>IF($D26="Actual",SUMIFS(Data_Actuals!$G$2:$G$5000,Data_Actuals!$A$2:$A$5000,$A26,Data_Actuals!$B$2:$B$5000,$B$2),"")</f>
        <v/>
      </c>
      <c r="W26" s="52">
        <f>SUMIFS(Plan_Inputs!$C$2:$C$5000,Plan_Inputs!$A$2:$A$5000,$A26,Plan_Inputs!$B$2:$B$5000,$B$2)</f>
        <v/>
      </c>
      <c r="X26" s="53">
        <f>IF($D26="Actual",IFERROR(S26/T26,""),"")</f>
        <v/>
      </c>
      <c r="Y26" s="52">
        <f>E26</f>
        <v/>
      </c>
      <c r="Z26" s="54">
        <f>INDEX(Calendar!$H$5:$L$52,MATCH($A26,Calendar!$A$5:$A$52,0),MATCH($D$2,Calendar!$H$4:$L$4,0))</f>
        <v/>
      </c>
      <c r="AA26" s="54">
        <f>INDEX(Calendar!$M$5:$M$52,MATCH($A26,Calendar!$A$5:$A$52,0))</f>
        <v/>
      </c>
      <c r="AB26" s="55">
        <f>IF($D26="Actual",IFERROR(S26/Y26,""),"")</f>
        <v/>
      </c>
      <c r="AC26" s="56">
        <f>IF($D26="Actual",IFERROR(U26/T26/Z26/AA26,""),"")</f>
        <v/>
      </c>
      <c r="AD26" s="57">
        <f>IF($D26="Actual",IFERROR(V26/(U26+V26),""),$K$2)</f>
        <v/>
      </c>
      <c r="AE26" s="56">
        <f>IFERROR(AC26*Z26*AA26,"")</f>
        <v/>
      </c>
      <c r="AF26" s="53" t="n"/>
      <c r="AG26" s="57">
        <f>IF($D26="Forecast",IFERROR(K26/AF26-1,""),"")</f>
        <v/>
      </c>
      <c r="AH26" s="53">
        <f>IF(CPLHSource="National breakdown",CPLH_Breakdown!AL31,SUMIFS(Plan_Inputs!$D$2:$D$5000,Plan_Inputs!$A$2:$A$5000,$A26,Plan_Inputs!$B$2:$B$5000,$B$2))</f>
        <v/>
      </c>
      <c r="AJ26" s="41">
        <f>F26*$AK$11</f>
        <v/>
      </c>
      <c r="AK26" s="42">
        <f>G26*$AK$11</f>
        <v/>
      </c>
      <c r="AL26" s="40">
        <f>H26*$AK$11</f>
        <v/>
      </c>
      <c r="AM26" s="40">
        <f>I26*$AK$11</f>
        <v/>
      </c>
      <c r="AN26" s="40">
        <f>J26*$AK$11</f>
        <v/>
      </c>
      <c r="AP26" s="41">
        <f>F26*$AQ$11</f>
        <v/>
      </c>
      <c r="AQ26" s="42">
        <f>G26*$AQ$11</f>
        <v/>
      </c>
      <c r="AR26" s="40">
        <f>H26*$AQ$11</f>
        <v/>
      </c>
      <c r="AS26" s="40">
        <f>I26*$AQ$11</f>
        <v/>
      </c>
      <c r="AT26" s="40">
        <f>J26*$AQ$11</f>
        <v/>
      </c>
      <c r="AV26" s="41">
        <f>F26*$AW$11</f>
        <v/>
      </c>
      <c r="AW26" s="42">
        <f>G26*$AW$11</f>
        <v/>
      </c>
      <c r="AX26" s="40">
        <f>H26*$AW$11</f>
        <v/>
      </c>
      <c r="AY26" s="40">
        <f>I26*$AW$11</f>
        <v/>
      </c>
      <c r="AZ26" s="40">
        <f>J26*$AW$11</f>
        <v/>
      </c>
    </row>
    <row r="27">
      <c r="A27" s="8" t="n">
        <v>46023</v>
      </c>
      <c r="B27" s="33">
        <f>YEAR(A27)</f>
        <v/>
      </c>
      <c r="C27" s="33">
        <f>MONTH(A27)</f>
        <v/>
      </c>
      <c r="D27">
        <f>IF(A27&lt;=LastActual,"Actual","Forecast")</f>
        <v/>
      </c>
      <c r="E27" s="30">
        <f>IF($D27="Actual",R27,W27)</f>
        <v/>
      </c>
      <c r="F27" s="15">
        <f>IF($D27="Actual",S27,Cases_Forecast!AK20)</f>
        <v/>
      </c>
      <c r="G27" s="9">
        <f>IF($D27="Actual",T27,IFERROR(F27/K27,0))</f>
        <v/>
      </c>
      <c r="H27" s="30">
        <f>IF($D27="Actual",U27,G27*L27)</f>
        <v/>
      </c>
      <c r="I27" s="30">
        <f>IF($D27="Actual",V27,J27-H27)</f>
        <v/>
      </c>
      <c r="J27" s="30">
        <f>IF($D27="Actual",U27+V27,IFERROR(H27/(1-AD27),0))</f>
        <v/>
      </c>
      <c r="K27" s="10">
        <f>IF($D27="Actual",IFERROR(S27/T27,0),CPLH_Forecast!AK20)</f>
        <v/>
      </c>
      <c r="L27" s="34">
        <f>IF($D27="Actual",IFERROR(U27/T27,0),N(AE27))</f>
        <v/>
      </c>
      <c r="M27" s="35">
        <f>IFERROR(J27/F27,0)</f>
        <v/>
      </c>
      <c r="N27" s="36">
        <f>IFERROR(J27/E27,0)</f>
        <v/>
      </c>
      <c r="O27" s="36">
        <f>IFERROR(I27/J27,0)</f>
        <v/>
      </c>
      <c r="R27" s="52">
        <f>IF($D27="Actual",SUMIFS(Data_Actuals!$C$2:$C$5000,Data_Actuals!$A$2:$A$5000,$A27,Data_Actuals!$B$2:$B$5000,$B$2),"")</f>
        <v/>
      </c>
      <c r="S27" s="52">
        <f>IF($D27="Actual",SUMIFS(Data_Actuals!$D$2:$D$5000,Data_Actuals!$A$2:$A$5000,$A27,Data_Actuals!$B$2:$B$5000,$B$2),"")</f>
        <v/>
      </c>
      <c r="T27" s="52">
        <f>IF($D27="Actual",SUMIFS(Data_Actuals!$E$2:$E$5000,Data_Actuals!$A$2:$A$5000,$A27,Data_Actuals!$B$2:$B$5000,$B$2),"")</f>
        <v/>
      </c>
      <c r="U27" s="52">
        <f>IF($D27="Actual",SUMIFS(Data_Actuals!$F$2:$F$5000,Data_Actuals!$A$2:$A$5000,$A27,Data_Actuals!$B$2:$B$5000,$B$2),"")</f>
        <v/>
      </c>
      <c r="V27" s="52">
        <f>IF($D27="Actual",SUMIFS(Data_Actuals!$G$2:$G$5000,Data_Actuals!$A$2:$A$5000,$A27,Data_Actuals!$B$2:$B$5000,$B$2),"")</f>
        <v/>
      </c>
      <c r="W27" s="52">
        <f>SUMIFS(Plan_Inputs!$C$2:$C$5000,Plan_Inputs!$A$2:$A$5000,$A27,Plan_Inputs!$B$2:$B$5000,$B$2)</f>
        <v/>
      </c>
      <c r="X27" s="53">
        <f>IF($D27="Actual",IFERROR(S27/T27,""),X15)</f>
        <v/>
      </c>
      <c r="Y27" s="52">
        <f>E27</f>
        <v/>
      </c>
      <c r="Z27" s="54">
        <f>INDEX(Calendar!$H$5:$L$52,MATCH($A27,Calendar!$A$5:$A$52,0),MATCH($D$2,Calendar!$H$4:$L$4,0))</f>
        <v/>
      </c>
      <c r="AA27" s="54">
        <f>INDEX(Calendar!$M$5:$M$52,MATCH($A27,Calendar!$A$5:$A$52,0))</f>
        <v/>
      </c>
      <c r="AB27" s="55">
        <f>IF($D27="Actual",IFERROR(S27/Y27,""),AB15)</f>
        <v/>
      </c>
      <c r="AC27" s="56">
        <f>IF($D27="Actual",IFERROR(U27/T27/Z27/AA27,""),AC15)</f>
        <v/>
      </c>
      <c r="AD27" s="57">
        <f>IF($D27="Actual",IFERROR(V27/(U27+V27),""),$K$2)</f>
        <v/>
      </c>
      <c r="AE27" s="56">
        <f>IFERROR(AC27*Z27*AA27,"")</f>
        <v/>
      </c>
      <c r="AF27" s="53">
        <f>K15</f>
        <v/>
      </c>
      <c r="AG27" s="57">
        <f>IF($D27="Forecast",IFERROR(K27/AF27-1,""),"")</f>
        <v/>
      </c>
      <c r="AH27" s="53">
        <f>IF(CPLHSource="National breakdown",CPLH_Breakdown!AL32,SUMIFS(Plan_Inputs!$D$2:$D$5000,Plan_Inputs!$A$2:$A$5000,$A27,Plan_Inputs!$B$2:$B$5000,$B$2))</f>
        <v/>
      </c>
      <c r="AJ27" s="15">
        <f>F27*$AK$11</f>
        <v/>
      </c>
      <c r="AK27" s="9">
        <f>G27*$AK$11</f>
        <v/>
      </c>
      <c r="AL27" s="30">
        <f>H27*$AK$11</f>
        <v/>
      </c>
      <c r="AM27" s="30">
        <f>I27*$AK$11</f>
        <v/>
      </c>
      <c r="AN27" s="30">
        <f>J27*$AK$11</f>
        <v/>
      </c>
      <c r="AP27" s="15">
        <f>F27*$AQ$11</f>
        <v/>
      </c>
      <c r="AQ27" s="9">
        <f>G27*$AQ$11</f>
        <v/>
      </c>
      <c r="AR27" s="30">
        <f>H27*$AQ$11</f>
        <v/>
      </c>
      <c r="AS27" s="30">
        <f>I27*$AQ$11</f>
        <v/>
      </c>
      <c r="AT27" s="30">
        <f>J27*$AQ$11</f>
        <v/>
      </c>
      <c r="AV27" s="15">
        <f>F27*$AW$11</f>
        <v/>
      </c>
      <c r="AW27" s="9">
        <f>G27*$AW$11</f>
        <v/>
      </c>
      <c r="AX27" s="30">
        <f>H27*$AW$11</f>
        <v/>
      </c>
      <c r="AY27" s="30">
        <f>I27*$AW$11</f>
        <v/>
      </c>
      <c r="AZ27" s="30">
        <f>J27*$AW$11</f>
        <v/>
      </c>
    </row>
    <row r="28">
      <c r="A28" s="8" t="n">
        <v>46054</v>
      </c>
      <c r="B28" s="33">
        <f>YEAR(A28)</f>
        <v/>
      </c>
      <c r="C28" s="33">
        <f>MONTH(A28)</f>
        <v/>
      </c>
      <c r="D28">
        <f>IF(A28&lt;=LastActual,"Actual","Forecast")</f>
        <v/>
      </c>
      <c r="E28" s="30">
        <f>IF($D28="Actual",R28,W28)</f>
        <v/>
      </c>
      <c r="F28" s="15">
        <f>IF($D28="Actual",S28,Cases_Forecast!AK21)</f>
        <v/>
      </c>
      <c r="G28" s="9">
        <f>IF($D28="Actual",T28,IFERROR(F28/K28,0))</f>
        <v/>
      </c>
      <c r="H28" s="30">
        <f>IF($D28="Actual",U28,G28*L28)</f>
        <v/>
      </c>
      <c r="I28" s="30">
        <f>IF($D28="Actual",V28,J28-H28)</f>
        <v/>
      </c>
      <c r="J28" s="30">
        <f>IF($D28="Actual",U28+V28,IFERROR(H28/(1-AD28),0))</f>
        <v/>
      </c>
      <c r="K28" s="10">
        <f>IF($D28="Actual",IFERROR(S28/T28,0),CPLH_Forecast!AK21)</f>
        <v/>
      </c>
      <c r="L28" s="34">
        <f>IF($D28="Actual",IFERROR(U28/T28,0),N(AE28))</f>
        <v/>
      </c>
      <c r="M28" s="35">
        <f>IFERROR(J28/F28,0)</f>
        <v/>
      </c>
      <c r="N28" s="36">
        <f>IFERROR(J28/E28,0)</f>
        <v/>
      </c>
      <c r="O28" s="36">
        <f>IFERROR(I28/J28,0)</f>
        <v/>
      </c>
      <c r="R28" s="52">
        <f>IF($D28="Actual",SUMIFS(Data_Actuals!$C$2:$C$5000,Data_Actuals!$A$2:$A$5000,$A28,Data_Actuals!$B$2:$B$5000,$B$2),"")</f>
        <v/>
      </c>
      <c r="S28" s="52">
        <f>IF($D28="Actual",SUMIFS(Data_Actuals!$D$2:$D$5000,Data_Actuals!$A$2:$A$5000,$A28,Data_Actuals!$B$2:$B$5000,$B$2),"")</f>
        <v/>
      </c>
      <c r="T28" s="52">
        <f>IF($D28="Actual",SUMIFS(Data_Actuals!$E$2:$E$5000,Data_Actuals!$A$2:$A$5000,$A28,Data_Actuals!$B$2:$B$5000,$B$2),"")</f>
        <v/>
      </c>
      <c r="U28" s="52">
        <f>IF($D28="Actual",SUMIFS(Data_Actuals!$F$2:$F$5000,Data_Actuals!$A$2:$A$5000,$A28,Data_Actuals!$B$2:$B$5000,$B$2),"")</f>
        <v/>
      </c>
      <c r="V28" s="52">
        <f>IF($D28="Actual",SUMIFS(Data_Actuals!$G$2:$G$5000,Data_Actuals!$A$2:$A$5000,$A28,Data_Actuals!$B$2:$B$5000,$B$2),"")</f>
        <v/>
      </c>
      <c r="W28" s="52">
        <f>SUMIFS(Plan_Inputs!$C$2:$C$5000,Plan_Inputs!$A$2:$A$5000,$A28,Plan_Inputs!$B$2:$B$5000,$B$2)</f>
        <v/>
      </c>
      <c r="X28" s="53">
        <f>IF($D28="Actual",IFERROR(S28/T28,""),X16)</f>
        <v/>
      </c>
      <c r="Y28" s="52">
        <f>E28</f>
        <v/>
      </c>
      <c r="Z28" s="54">
        <f>INDEX(Calendar!$H$5:$L$52,MATCH($A28,Calendar!$A$5:$A$52,0),MATCH($D$2,Calendar!$H$4:$L$4,0))</f>
        <v/>
      </c>
      <c r="AA28" s="54">
        <f>INDEX(Calendar!$M$5:$M$52,MATCH($A28,Calendar!$A$5:$A$52,0))</f>
        <v/>
      </c>
      <c r="AB28" s="55">
        <f>IF($D28="Actual",IFERROR(S28/Y28,""),AB16)</f>
        <v/>
      </c>
      <c r="AC28" s="56">
        <f>IF($D28="Actual",IFERROR(U28/T28/Z28/AA28,""),AC16)</f>
        <v/>
      </c>
      <c r="AD28" s="57">
        <f>IF($D28="Actual",IFERROR(V28/(U28+V28),""),$K$2)</f>
        <v/>
      </c>
      <c r="AE28" s="56">
        <f>IFERROR(AC28*Z28*AA28,"")</f>
        <v/>
      </c>
      <c r="AF28" s="53">
        <f>K16</f>
        <v/>
      </c>
      <c r="AG28" s="57">
        <f>IF($D28="Forecast",IFERROR(K28/AF28-1,""),"")</f>
        <v/>
      </c>
      <c r="AH28" s="53">
        <f>IF(CPLHSource="National breakdown",CPLH_Breakdown!AL33,SUMIFS(Plan_Inputs!$D$2:$D$5000,Plan_Inputs!$A$2:$A$5000,$A28,Plan_Inputs!$B$2:$B$5000,$B$2))</f>
        <v/>
      </c>
      <c r="AJ28" s="15">
        <f>F28*$AK$11</f>
        <v/>
      </c>
      <c r="AK28" s="9">
        <f>G28*$AK$11</f>
        <v/>
      </c>
      <c r="AL28" s="30">
        <f>H28*$AK$11</f>
        <v/>
      </c>
      <c r="AM28" s="30">
        <f>I28*$AK$11</f>
        <v/>
      </c>
      <c r="AN28" s="30">
        <f>J28*$AK$11</f>
        <v/>
      </c>
      <c r="AP28" s="15">
        <f>F28*$AQ$11</f>
        <v/>
      </c>
      <c r="AQ28" s="9">
        <f>G28*$AQ$11</f>
        <v/>
      </c>
      <c r="AR28" s="30">
        <f>H28*$AQ$11</f>
        <v/>
      </c>
      <c r="AS28" s="30">
        <f>I28*$AQ$11</f>
        <v/>
      </c>
      <c r="AT28" s="30">
        <f>J28*$AQ$11</f>
        <v/>
      </c>
      <c r="AV28" s="15">
        <f>F28*$AW$11</f>
        <v/>
      </c>
      <c r="AW28" s="9">
        <f>G28*$AW$11</f>
        <v/>
      </c>
      <c r="AX28" s="30">
        <f>H28*$AW$11</f>
        <v/>
      </c>
      <c r="AY28" s="30">
        <f>I28*$AW$11</f>
        <v/>
      </c>
      <c r="AZ28" s="30">
        <f>J28*$AW$11</f>
        <v/>
      </c>
    </row>
    <row r="29">
      <c r="A29" s="8" t="n">
        <v>46082</v>
      </c>
      <c r="B29" s="33">
        <f>YEAR(A29)</f>
        <v/>
      </c>
      <c r="C29" s="33">
        <f>MONTH(A29)</f>
        <v/>
      </c>
      <c r="D29">
        <f>IF(A29&lt;=LastActual,"Actual","Forecast")</f>
        <v/>
      </c>
      <c r="E29" s="30">
        <f>IF($D29="Actual",R29,W29)</f>
        <v/>
      </c>
      <c r="F29" s="15">
        <f>IF($D29="Actual",S29,Cases_Forecast!AK22)</f>
        <v/>
      </c>
      <c r="G29" s="9">
        <f>IF($D29="Actual",T29,IFERROR(F29/K29,0))</f>
        <v/>
      </c>
      <c r="H29" s="30">
        <f>IF($D29="Actual",U29,G29*L29)</f>
        <v/>
      </c>
      <c r="I29" s="30">
        <f>IF($D29="Actual",V29,J29-H29)</f>
        <v/>
      </c>
      <c r="J29" s="30">
        <f>IF($D29="Actual",U29+V29,IFERROR(H29/(1-AD29),0))</f>
        <v/>
      </c>
      <c r="K29" s="10">
        <f>IF($D29="Actual",IFERROR(S29/T29,0),CPLH_Forecast!AK22)</f>
        <v/>
      </c>
      <c r="L29" s="34">
        <f>IF($D29="Actual",IFERROR(U29/T29,0),N(AE29))</f>
        <v/>
      </c>
      <c r="M29" s="35">
        <f>IFERROR(J29/F29,0)</f>
        <v/>
      </c>
      <c r="N29" s="36">
        <f>IFERROR(J29/E29,0)</f>
        <v/>
      </c>
      <c r="O29" s="36">
        <f>IFERROR(I29/J29,0)</f>
        <v/>
      </c>
      <c r="R29" s="52">
        <f>IF($D29="Actual",SUMIFS(Data_Actuals!$C$2:$C$5000,Data_Actuals!$A$2:$A$5000,$A29,Data_Actuals!$B$2:$B$5000,$B$2),"")</f>
        <v/>
      </c>
      <c r="S29" s="52">
        <f>IF($D29="Actual",SUMIFS(Data_Actuals!$D$2:$D$5000,Data_Actuals!$A$2:$A$5000,$A29,Data_Actuals!$B$2:$B$5000,$B$2),"")</f>
        <v/>
      </c>
      <c r="T29" s="52">
        <f>IF($D29="Actual",SUMIFS(Data_Actuals!$E$2:$E$5000,Data_Actuals!$A$2:$A$5000,$A29,Data_Actuals!$B$2:$B$5000,$B$2),"")</f>
        <v/>
      </c>
      <c r="U29" s="52">
        <f>IF($D29="Actual",SUMIFS(Data_Actuals!$F$2:$F$5000,Data_Actuals!$A$2:$A$5000,$A29,Data_Actuals!$B$2:$B$5000,$B$2),"")</f>
        <v/>
      </c>
      <c r="V29" s="52">
        <f>IF($D29="Actual",SUMIFS(Data_Actuals!$G$2:$G$5000,Data_Actuals!$A$2:$A$5000,$A29,Data_Actuals!$B$2:$B$5000,$B$2),"")</f>
        <v/>
      </c>
      <c r="W29" s="52">
        <f>SUMIFS(Plan_Inputs!$C$2:$C$5000,Plan_Inputs!$A$2:$A$5000,$A29,Plan_Inputs!$B$2:$B$5000,$B$2)</f>
        <v/>
      </c>
      <c r="X29" s="53">
        <f>IF($D29="Actual",IFERROR(S29/T29,""),X17)</f>
        <v/>
      </c>
      <c r="Y29" s="52">
        <f>E29</f>
        <v/>
      </c>
      <c r="Z29" s="54">
        <f>INDEX(Calendar!$H$5:$L$52,MATCH($A29,Calendar!$A$5:$A$52,0),MATCH($D$2,Calendar!$H$4:$L$4,0))</f>
        <v/>
      </c>
      <c r="AA29" s="54">
        <f>INDEX(Calendar!$M$5:$M$52,MATCH($A29,Calendar!$A$5:$A$52,0))</f>
        <v/>
      </c>
      <c r="AB29" s="55">
        <f>IF($D29="Actual",IFERROR(S29/Y29,""),AB17)</f>
        <v/>
      </c>
      <c r="AC29" s="56">
        <f>IF($D29="Actual",IFERROR(U29/T29/Z29/AA29,""),AC17)</f>
        <v/>
      </c>
      <c r="AD29" s="57">
        <f>IF($D29="Actual",IFERROR(V29/(U29+V29),""),$K$2)</f>
        <v/>
      </c>
      <c r="AE29" s="56">
        <f>IFERROR(AC29*Z29*AA29,"")</f>
        <v/>
      </c>
      <c r="AF29" s="53">
        <f>K17</f>
        <v/>
      </c>
      <c r="AG29" s="57">
        <f>IF($D29="Forecast",IFERROR(K29/AF29-1,""),"")</f>
        <v/>
      </c>
      <c r="AH29" s="53">
        <f>IF(CPLHSource="National breakdown",CPLH_Breakdown!AL34,SUMIFS(Plan_Inputs!$D$2:$D$5000,Plan_Inputs!$A$2:$A$5000,$A29,Plan_Inputs!$B$2:$B$5000,$B$2))</f>
        <v/>
      </c>
      <c r="AJ29" s="15">
        <f>F29*$AK$11</f>
        <v/>
      </c>
      <c r="AK29" s="9">
        <f>G29*$AK$11</f>
        <v/>
      </c>
      <c r="AL29" s="30">
        <f>H29*$AK$11</f>
        <v/>
      </c>
      <c r="AM29" s="30">
        <f>I29*$AK$11</f>
        <v/>
      </c>
      <c r="AN29" s="30">
        <f>J29*$AK$11</f>
        <v/>
      </c>
      <c r="AP29" s="15">
        <f>F29*$AQ$11</f>
        <v/>
      </c>
      <c r="AQ29" s="9">
        <f>G29*$AQ$11</f>
        <v/>
      </c>
      <c r="AR29" s="30">
        <f>H29*$AQ$11</f>
        <v/>
      </c>
      <c r="AS29" s="30">
        <f>I29*$AQ$11</f>
        <v/>
      </c>
      <c r="AT29" s="30">
        <f>J29*$AQ$11</f>
        <v/>
      </c>
      <c r="AV29" s="15">
        <f>F29*$AW$11</f>
        <v/>
      </c>
      <c r="AW29" s="9">
        <f>G29*$AW$11</f>
        <v/>
      </c>
      <c r="AX29" s="30">
        <f>H29*$AW$11</f>
        <v/>
      </c>
      <c r="AY29" s="30">
        <f>I29*$AW$11</f>
        <v/>
      </c>
      <c r="AZ29" s="30">
        <f>J29*$AW$11</f>
        <v/>
      </c>
    </row>
    <row r="30">
      <c r="A30" s="8" t="n">
        <v>46113</v>
      </c>
      <c r="B30" s="33">
        <f>YEAR(A30)</f>
        <v/>
      </c>
      <c r="C30" s="33">
        <f>MONTH(A30)</f>
        <v/>
      </c>
      <c r="D30">
        <f>IF(A30&lt;=LastActual,"Actual","Forecast")</f>
        <v/>
      </c>
      <c r="E30" s="30">
        <f>IF($D30="Actual",R30,W30)</f>
        <v/>
      </c>
      <c r="F30" s="15">
        <f>IF($D30="Actual",S30,Cases_Forecast!AK23)</f>
        <v/>
      </c>
      <c r="G30" s="9">
        <f>IF($D30="Actual",T30,IFERROR(F30/K30,0))</f>
        <v/>
      </c>
      <c r="H30" s="30">
        <f>IF($D30="Actual",U30,G30*L30)</f>
        <v/>
      </c>
      <c r="I30" s="30">
        <f>IF($D30="Actual",V30,J30-H30)</f>
        <v/>
      </c>
      <c r="J30" s="30">
        <f>IF($D30="Actual",U30+V30,IFERROR(H30/(1-AD30),0))</f>
        <v/>
      </c>
      <c r="K30" s="10">
        <f>IF($D30="Actual",IFERROR(S30/T30,0),CPLH_Forecast!AK23)</f>
        <v/>
      </c>
      <c r="L30" s="34">
        <f>IF($D30="Actual",IFERROR(U30/T30,0),N(AE30))</f>
        <v/>
      </c>
      <c r="M30" s="35">
        <f>IFERROR(J30/F30,0)</f>
        <v/>
      </c>
      <c r="N30" s="36">
        <f>IFERROR(J30/E30,0)</f>
        <v/>
      </c>
      <c r="O30" s="36">
        <f>IFERROR(I30/J30,0)</f>
        <v/>
      </c>
      <c r="R30" s="52">
        <f>IF($D30="Actual",SUMIFS(Data_Actuals!$C$2:$C$5000,Data_Actuals!$A$2:$A$5000,$A30,Data_Actuals!$B$2:$B$5000,$B$2),"")</f>
        <v/>
      </c>
      <c r="S30" s="52">
        <f>IF($D30="Actual",SUMIFS(Data_Actuals!$D$2:$D$5000,Data_Actuals!$A$2:$A$5000,$A30,Data_Actuals!$B$2:$B$5000,$B$2),"")</f>
        <v/>
      </c>
      <c r="T30" s="52">
        <f>IF($D30="Actual",SUMIFS(Data_Actuals!$E$2:$E$5000,Data_Actuals!$A$2:$A$5000,$A30,Data_Actuals!$B$2:$B$5000,$B$2),"")</f>
        <v/>
      </c>
      <c r="U30" s="52">
        <f>IF($D30="Actual",SUMIFS(Data_Actuals!$F$2:$F$5000,Data_Actuals!$A$2:$A$5000,$A30,Data_Actuals!$B$2:$B$5000,$B$2),"")</f>
        <v/>
      </c>
      <c r="V30" s="52">
        <f>IF($D30="Actual",SUMIFS(Data_Actuals!$G$2:$G$5000,Data_Actuals!$A$2:$A$5000,$A30,Data_Actuals!$B$2:$B$5000,$B$2),"")</f>
        <v/>
      </c>
      <c r="W30" s="52">
        <f>SUMIFS(Plan_Inputs!$C$2:$C$5000,Plan_Inputs!$A$2:$A$5000,$A30,Plan_Inputs!$B$2:$B$5000,$B$2)</f>
        <v/>
      </c>
      <c r="X30" s="53">
        <f>IF($D30="Actual",IFERROR(S30/T30,""),X18)</f>
        <v/>
      </c>
      <c r="Y30" s="52">
        <f>E30</f>
        <v/>
      </c>
      <c r="Z30" s="54">
        <f>INDEX(Calendar!$H$5:$L$52,MATCH($A30,Calendar!$A$5:$A$52,0),MATCH($D$2,Calendar!$H$4:$L$4,0))</f>
        <v/>
      </c>
      <c r="AA30" s="54">
        <f>INDEX(Calendar!$M$5:$M$52,MATCH($A30,Calendar!$A$5:$A$52,0))</f>
        <v/>
      </c>
      <c r="AB30" s="55">
        <f>IF($D30="Actual",IFERROR(S30/Y30,""),AB18)</f>
        <v/>
      </c>
      <c r="AC30" s="56">
        <f>IF($D30="Actual",IFERROR(U30/T30/Z30/AA30,""),AC18)</f>
        <v/>
      </c>
      <c r="AD30" s="57">
        <f>IF($D30="Actual",IFERROR(V30/(U30+V30),""),$K$2)</f>
        <v/>
      </c>
      <c r="AE30" s="56">
        <f>IFERROR(AC30*Z30*AA30,"")</f>
        <v/>
      </c>
      <c r="AF30" s="53">
        <f>K18</f>
        <v/>
      </c>
      <c r="AG30" s="57">
        <f>IF($D30="Forecast",IFERROR(K30/AF30-1,""),"")</f>
        <v/>
      </c>
      <c r="AH30" s="53">
        <f>IF(CPLHSource="National breakdown",CPLH_Breakdown!AL35,SUMIFS(Plan_Inputs!$D$2:$D$5000,Plan_Inputs!$A$2:$A$5000,$A30,Plan_Inputs!$B$2:$B$5000,$B$2))</f>
        <v/>
      </c>
      <c r="AJ30" s="15">
        <f>F30*$AK$11</f>
        <v/>
      </c>
      <c r="AK30" s="9">
        <f>G30*$AK$11</f>
        <v/>
      </c>
      <c r="AL30" s="30">
        <f>H30*$AK$11</f>
        <v/>
      </c>
      <c r="AM30" s="30">
        <f>I30*$AK$11</f>
        <v/>
      </c>
      <c r="AN30" s="30">
        <f>J30*$AK$11</f>
        <v/>
      </c>
      <c r="AP30" s="15">
        <f>F30*$AQ$11</f>
        <v/>
      </c>
      <c r="AQ30" s="9">
        <f>G30*$AQ$11</f>
        <v/>
      </c>
      <c r="AR30" s="30">
        <f>H30*$AQ$11</f>
        <v/>
      </c>
      <c r="AS30" s="30">
        <f>I30*$AQ$11</f>
        <v/>
      </c>
      <c r="AT30" s="30">
        <f>J30*$AQ$11</f>
        <v/>
      </c>
      <c r="AV30" s="15">
        <f>F30*$AW$11</f>
        <v/>
      </c>
      <c r="AW30" s="9">
        <f>G30*$AW$11</f>
        <v/>
      </c>
      <c r="AX30" s="30">
        <f>H30*$AW$11</f>
        <v/>
      </c>
      <c r="AY30" s="30">
        <f>I30*$AW$11</f>
        <v/>
      </c>
      <c r="AZ30" s="30">
        <f>J30*$AW$11</f>
        <v/>
      </c>
    </row>
    <row r="31">
      <c r="A31" s="8" t="n">
        <v>46143</v>
      </c>
      <c r="B31" s="33">
        <f>YEAR(A31)</f>
        <v/>
      </c>
      <c r="C31" s="33">
        <f>MONTH(A31)</f>
        <v/>
      </c>
      <c r="D31">
        <f>IF(A31&lt;=LastActual,"Actual","Forecast")</f>
        <v/>
      </c>
      <c r="E31" s="30">
        <f>IF($D31="Actual",R31,W31)</f>
        <v/>
      </c>
      <c r="F31" s="15">
        <f>IF($D31="Actual",S31,Cases_Forecast!AK24)</f>
        <v/>
      </c>
      <c r="G31" s="9">
        <f>IF($D31="Actual",T31,IFERROR(F31/K31,0))</f>
        <v/>
      </c>
      <c r="H31" s="30">
        <f>IF($D31="Actual",U31,G31*L31)</f>
        <v/>
      </c>
      <c r="I31" s="30">
        <f>IF($D31="Actual",V31,J31-H31)</f>
        <v/>
      </c>
      <c r="J31" s="30">
        <f>IF($D31="Actual",U31+V31,IFERROR(H31/(1-AD31),0))</f>
        <v/>
      </c>
      <c r="K31" s="10">
        <f>IF($D31="Actual",IFERROR(S31/T31,0),CPLH_Forecast!AK24)</f>
        <v/>
      </c>
      <c r="L31" s="34">
        <f>IF($D31="Actual",IFERROR(U31/T31,0),N(AE31))</f>
        <v/>
      </c>
      <c r="M31" s="35">
        <f>IFERROR(J31/F31,0)</f>
        <v/>
      </c>
      <c r="N31" s="36">
        <f>IFERROR(J31/E31,0)</f>
        <v/>
      </c>
      <c r="O31" s="36">
        <f>IFERROR(I31/J31,0)</f>
        <v/>
      </c>
      <c r="R31" s="52">
        <f>IF($D31="Actual",SUMIFS(Data_Actuals!$C$2:$C$5000,Data_Actuals!$A$2:$A$5000,$A31,Data_Actuals!$B$2:$B$5000,$B$2),"")</f>
        <v/>
      </c>
      <c r="S31" s="52">
        <f>IF($D31="Actual",SUMIFS(Data_Actuals!$D$2:$D$5000,Data_Actuals!$A$2:$A$5000,$A31,Data_Actuals!$B$2:$B$5000,$B$2),"")</f>
        <v/>
      </c>
      <c r="T31" s="52">
        <f>IF($D31="Actual",SUMIFS(Data_Actuals!$E$2:$E$5000,Data_Actuals!$A$2:$A$5000,$A31,Data_Actuals!$B$2:$B$5000,$B$2),"")</f>
        <v/>
      </c>
      <c r="U31" s="52">
        <f>IF($D31="Actual",SUMIFS(Data_Actuals!$F$2:$F$5000,Data_Actuals!$A$2:$A$5000,$A31,Data_Actuals!$B$2:$B$5000,$B$2),"")</f>
        <v/>
      </c>
      <c r="V31" s="52">
        <f>IF($D31="Actual",SUMIFS(Data_Actuals!$G$2:$G$5000,Data_Actuals!$A$2:$A$5000,$A31,Data_Actuals!$B$2:$B$5000,$B$2),"")</f>
        <v/>
      </c>
      <c r="W31" s="52">
        <f>SUMIFS(Plan_Inputs!$C$2:$C$5000,Plan_Inputs!$A$2:$A$5000,$A31,Plan_Inputs!$B$2:$B$5000,$B$2)</f>
        <v/>
      </c>
      <c r="X31" s="53">
        <f>IF($D31="Actual",IFERROR(S31/T31,""),X19)</f>
        <v/>
      </c>
      <c r="Y31" s="52">
        <f>E31</f>
        <v/>
      </c>
      <c r="Z31" s="54">
        <f>INDEX(Calendar!$H$5:$L$52,MATCH($A31,Calendar!$A$5:$A$52,0),MATCH($D$2,Calendar!$H$4:$L$4,0))</f>
        <v/>
      </c>
      <c r="AA31" s="54">
        <f>INDEX(Calendar!$M$5:$M$52,MATCH($A31,Calendar!$A$5:$A$52,0))</f>
        <v/>
      </c>
      <c r="AB31" s="55">
        <f>IF($D31="Actual",IFERROR(S31/Y31,""),AB19)</f>
        <v/>
      </c>
      <c r="AC31" s="56">
        <f>IF($D31="Actual",IFERROR(U31/T31/Z31/AA31,""),AC19)</f>
        <v/>
      </c>
      <c r="AD31" s="57">
        <f>IF($D31="Actual",IFERROR(V31/(U31+V31),""),$K$2)</f>
        <v/>
      </c>
      <c r="AE31" s="56">
        <f>IFERROR(AC31*Z31*AA31,"")</f>
        <v/>
      </c>
      <c r="AF31" s="53">
        <f>K19</f>
        <v/>
      </c>
      <c r="AG31" s="57">
        <f>IF($D31="Forecast",IFERROR(K31/AF31-1,""),"")</f>
        <v/>
      </c>
      <c r="AH31" s="53">
        <f>IF(CPLHSource="National breakdown",CPLH_Breakdown!AL36,SUMIFS(Plan_Inputs!$D$2:$D$5000,Plan_Inputs!$A$2:$A$5000,$A31,Plan_Inputs!$B$2:$B$5000,$B$2))</f>
        <v/>
      </c>
      <c r="AJ31" s="15">
        <f>F31*$AK$11</f>
        <v/>
      </c>
      <c r="AK31" s="9">
        <f>G31*$AK$11</f>
        <v/>
      </c>
      <c r="AL31" s="30">
        <f>H31*$AK$11</f>
        <v/>
      </c>
      <c r="AM31" s="30">
        <f>I31*$AK$11</f>
        <v/>
      </c>
      <c r="AN31" s="30">
        <f>J31*$AK$11</f>
        <v/>
      </c>
      <c r="AP31" s="15">
        <f>F31*$AQ$11</f>
        <v/>
      </c>
      <c r="AQ31" s="9">
        <f>G31*$AQ$11</f>
        <v/>
      </c>
      <c r="AR31" s="30">
        <f>H31*$AQ$11</f>
        <v/>
      </c>
      <c r="AS31" s="30">
        <f>I31*$AQ$11</f>
        <v/>
      </c>
      <c r="AT31" s="30">
        <f>J31*$AQ$11</f>
        <v/>
      </c>
      <c r="AV31" s="15">
        <f>F31*$AW$11</f>
        <v/>
      </c>
      <c r="AW31" s="9">
        <f>G31*$AW$11</f>
        <v/>
      </c>
      <c r="AX31" s="30">
        <f>H31*$AW$11</f>
        <v/>
      </c>
      <c r="AY31" s="30">
        <f>I31*$AW$11</f>
        <v/>
      </c>
      <c r="AZ31" s="30">
        <f>J31*$AW$11</f>
        <v/>
      </c>
    </row>
    <row r="32">
      <c r="A32" s="8" t="n">
        <v>46174</v>
      </c>
      <c r="B32" s="33">
        <f>YEAR(A32)</f>
        <v/>
      </c>
      <c r="C32" s="33">
        <f>MONTH(A32)</f>
        <v/>
      </c>
      <c r="D32">
        <f>IF(A32&lt;=LastActual,"Actual","Forecast")</f>
        <v/>
      </c>
      <c r="E32" s="30">
        <f>IF($D32="Actual",R32,W32)</f>
        <v/>
      </c>
      <c r="F32" s="15">
        <f>IF($D32="Actual",S32,Cases_Forecast!AK25)</f>
        <v/>
      </c>
      <c r="G32" s="9">
        <f>IF($D32="Actual",T32,IFERROR(F32/K32,0))</f>
        <v/>
      </c>
      <c r="H32" s="30">
        <f>IF($D32="Actual",U32,G32*L32)</f>
        <v/>
      </c>
      <c r="I32" s="30">
        <f>IF($D32="Actual",V32,J32-H32)</f>
        <v/>
      </c>
      <c r="J32" s="30">
        <f>IF($D32="Actual",U32+V32,IFERROR(H32/(1-AD32),0))</f>
        <v/>
      </c>
      <c r="K32" s="10">
        <f>IF($D32="Actual",IFERROR(S32/T32,0),CPLH_Forecast!AK25)</f>
        <v/>
      </c>
      <c r="L32" s="34">
        <f>IF($D32="Actual",IFERROR(U32/T32,0),N(AE32))</f>
        <v/>
      </c>
      <c r="M32" s="35">
        <f>IFERROR(J32/F32,0)</f>
        <v/>
      </c>
      <c r="N32" s="36">
        <f>IFERROR(J32/E32,0)</f>
        <v/>
      </c>
      <c r="O32" s="36">
        <f>IFERROR(I32/J32,0)</f>
        <v/>
      </c>
      <c r="R32" s="52">
        <f>IF($D32="Actual",SUMIFS(Data_Actuals!$C$2:$C$5000,Data_Actuals!$A$2:$A$5000,$A32,Data_Actuals!$B$2:$B$5000,$B$2),"")</f>
        <v/>
      </c>
      <c r="S32" s="52">
        <f>IF($D32="Actual",SUMIFS(Data_Actuals!$D$2:$D$5000,Data_Actuals!$A$2:$A$5000,$A32,Data_Actuals!$B$2:$B$5000,$B$2),"")</f>
        <v/>
      </c>
      <c r="T32" s="52">
        <f>IF($D32="Actual",SUMIFS(Data_Actuals!$E$2:$E$5000,Data_Actuals!$A$2:$A$5000,$A32,Data_Actuals!$B$2:$B$5000,$B$2),"")</f>
        <v/>
      </c>
      <c r="U32" s="52">
        <f>IF($D32="Actual",SUMIFS(Data_Actuals!$F$2:$F$5000,Data_Actuals!$A$2:$A$5000,$A32,Data_Actuals!$B$2:$B$5000,$B$2),"")</f>
        <v/>
      </c>
      <c r="V32" s="52">
        <f>IF($D32="Actual",SUMIFS(Data_Actuals!$G$2:$G$5000,Data_Actuals!$A$2:$A$5000,$A32,Data_Actuals!$B$2:$B$5000,$B$2),"")</f>
        <v/>
      </c>
      <c r="W32" s="52">
        <f>SUMIFS(Plan_Inputs!$C$2:$C$5000,Plan_Inputs!$A$2:$A$5000,$A32,Plan_Inputs!$B$2:$B$5000,$B$2)</f>
        <v/>
      </c>
      <c r="X32" s="53">
        <f>IF($D32="Actual",IFERROR(S32/T32,""),X20)</f>
        <v/>
      </c>
      <c r="Y32" s="52">
        <f>E32</f>
        <v/>
      </c>
      <c r="Z32" s="54">
        <f>INDEX(Calendar!$H$5:$L$52,MATCH($A32,Calendar!$A$5:$A$52,0),MATCH($D$2,Calendar!$H$4:$L$4,0))</f>
        <v/>
      </c>
      <c r="AA32" s="54">
        <f>INDEX(Calendar!$M$5:$M$52,MATCH($A32,Calendar!$A$5:$A$52,0))</f>
        <v/>
      </c>
      <c r="AB32" s="55">
        <f>IF($D32="Actual",IFERROR(S32/Y32,""),AB20)</f>
        <v/>
      </c>
      <c r="AC32" s="56">
        <f>IF($D32="Actual",IFERROR(U32/T32/Z32/AA32,""),AC20)</f>
        <v/>
      </c>
      <c r="AD32" s="57">
        <f>IF($D32="Actual",IFERROR(V32/(U32+V32),""),$K$2)</f>
        <v/>
      </c>
      <c r="AE32" s="56">
        <f>IFERROR(AC32*Z32*AA32,"")</f>
        <v/>
      </c>
      <c r="AF32" s="53">
        <f>K20</f>
        <v/>
      </c>
      <c r="AG32" s="57">
        <f>IF($D32="Forecast",IFERROR(K32/AF32-1,""),"")</f>
        <v/>
      </c>
      <c r="AH32" s="53">
        <f>IF(CPLHSource="National breakdown",CPLH_Breakdown!AL37,SUMIFS(Plan_Inputs!$D$2:$D$5000,Plan_Inputs!$A$2:$A$5000,$A32,Plan_Inputs!$B$2:$B$5000,$B$2))</f>
        <v/>
      </c>
      <c r="AJ32" s="15">
        <f>F32*$AK$11</f>
        <v/>
      </c>
      <c r="AK32" s="9">
        <f>G32*$AK$11</f>
        <v/>
      </c>
      <c r="AL32" s="30">
        <f>H32*$AK$11</f>
        <v/>
      </c>
      <c r="AM32" s="30">
        <f>I32*$AK$11</f>
        <v/>
      </c>
      <c r="AN32" s="30">
        <f>J32*$AK$11</f>
        <v/>
      </c>
      <c r="AP32" s="15">
        <f>F32*$AQ$11</f>
        <v/>
      </c>
      <c r="AQ32" s="9">
        <f>G32*$AQ$11</f>
        <v/>
      </c>
      <c r="AR32" s="30">
        <f>H32*$AQ$11</f>
        <v/>
      </c>
      <c r="AS32" s="30">
        <f>I32*$AQ$11</f>
        <v/>
      </c>
      <c r="AT32" s="30">
        <f>J32*$AQ$11</f>
        <v/>
      </c>
      <c r="AV32" s="15">
        <f>F32*$AW$11</f>
        <v/>
      </c>
      <c r="AW32" s="9">
        <f>G32*$AW$11</f>
        <v/>
      </c>
      <c r="AX32" s="30">
        <f>H32*$AW$11</f>
        <v/>
      </c>
      <c r="AY32" s="30">
        <f>I32*$AW$11</f>
        <v/>
      </c>
      <c r="AZ32" s="30">
        <f>J32*$AW$11</f>
        <v/>
      </c>
    </row>
    <row r="33">
      <c r="A33" s="8" t="n">
        <v>46204</v>
      </c>
      <c r="B33" s="33">
        <f>YEAR(A33)</f>
        <v/>
      </c>
      <c r="C33" s="33">
        <f>MONTH(A33)</f>
        <v/>
      </c>
      <c r="D33">
        <f>IF(A33&lt;=LastActual,"Actual","Forecast")</f>
        <v/>
      </c>
      <c r="E33" s="30">
        <f>IF($D33="Actual",R33,W33)</f>
        <v/>
      </c>
      <c r="F33" s="15">
        <f>IF($D33="Actual",S33,Cases_Forecast!AK26)</f>
        <v/>
      </c>
      <c r="G33" s="9">
        <f>IF($D33="Actual",T33,IFERROR(F33/K33,0))</f>
        <v/>
      </c>
      <c r="H33" s="30">
        <f>IF($D33="Actual",U33,G33*L33)</f>
        <v/>
      </c>
      <c r="I33" s="30">
        <f>IF($D33="Actual",V33,J33-H33)</f>
        <v/>
      </c>
      <c r="J33" s="30">
        <f>IF($D33="Actual",U33+V33,IFERROR(H33/(1-AD33),0))</f>
        <v/>
      </c>
      <c r="K33" s="10">
        <f>IF($D33="Actual",IFERROR(S33/T33,0),CPLH_Forecast!AK26)</f>
        <v/>
      </c>
      <c r="L33" s="34">
        <f>IF($D33="Actual",IFERROR(U33/T33,0),N(AE33))</f>
        <v/>
      </c>
      <c r="M33" s="35">
        <f>IFERROR(J33/F33,0)</f>
        <v/>
      </c>
      <c r="N33" s="36">
        <f>IFERROR(J33/E33,0)</f>
        <v/>
      </c>
      <c r="O33" s="36">
        <f>IFERROR(I33/J33,0)</f>
        <v/>
      </c>
      <c r="R33" s="52">
        <f>IF($D33="Actual",SUMIFS(Data_Actuals!$C$2:$C$5000,Data_Actuals!$A$2:$A$5000,$A33,Data_Actuals!$B$2:$B$5000,$B$2),"")</f>
        <v/>
      </c>
      <c r="S33" s="52">
        <f>IF($D33="Actual",SUMIFS(Data_Actuals!$D$2:$D$5000,Data_Actuals!$A$2:$A$5000,$A33,Data_Actuals!$B$2:$B$5000,$B$2),"")</f>
        <v/>
      </c>
      <c r="T33" s="52">
        <f>IF($D33="Actual",SUMIFS(Data_Actuals!$E$2:$E$5000,Data_Actuals!$A$2:$A$5000,$A33,Data_Actuals!$B$2:$B$5000,$B$2),"")</f>
        <v/>
      </c>
      <c r="U33" s="52">
        <f>IF($D33="Actual",SUMIFS(Data_Actuals!$F$2:$F$5000,Data_Actuals!$A$2:$A$5000,$A33,Data_Actuals!$B$2:$B$5000,$B$2),"")</f>
        <v/>
      </c>
      <c r="V33" s="52">
        <f>IF($D33="Actual",SUMIFS(Data_Actuals!$G$2:$G$5000,Data_Actuals!$A$2:$A$5000,$A33,Data_Actuals!$B$2:$B$5000,$B$2),"")</f>
        <v/>
      </c>
      <c r="W33" s="52">
        <f>SUMIFS(Plan_Inputs!$C$2:$C$5000,Plan_Inputs!$A$2:$A$5000,$A33,Plan_Inputs!$B$2:$B$5000,$B$2)</f>
        <v/>
      </c>
      <c r="X33" s="53">
        <f>IF($D33="Actual",IFERROR(S33/T33,""),X21)</f>
        <v/>
      </c>
      <c r="Y33" s="52">
        <f>E33</f>
        <v/>
      </c>
      <c r="Z33" s="54">
        <f>INDEX(Calendar!$H$5:$L$52,MATCH($A33,Calendar!$A$5:$A$52,0),MATCH($D$2,Calendar!$H$4:$L$4,0))</f>
        <v/>
      </c>
      <c r="AA33" s="54">
        <f>INDEX(Calendar!$M$5:$M$52,MATCH($A33,Calendar!$A$5:$A$52,0))</f>
        <v/>
      </c>
      <c r="AB33" s="55">
        <f>IF($D33="Actual",IFERROR(S33/Y33,""),AB21)</f>
        <v/>
      </c>
      <c r="AC33" s="56">
        <f>IF($D33="Actual",IFERROR(U33/T33/Z33/AA33,""),AC21)</f>
        <v/>
      </c>
      <c r="AD33" s="57">
        <f>IF($D33="Actual",IFERROR(V33/(U33+V33),""),$K$2)</f>
        <v/>
      </c>
      <c r="AE33" s="56">
        <f>IFERROR(AC33*Z33*AA33,"")</f>
        <v/>
      </c>
      <c r="AF33" s="53">
        <f>K21</f>
        <v/>
      </c>
      <c r="AG33" s="57">
        <f>IF($D33="Forecast",IFERROR(K33/AF33-1,""),"")</f>
        <v/>
      </c>
      <c r="AH33" s="53">
        <f>IF(CPLHSource="National breakdown",CPLH_Breakdown!AL38,SUMIFS(Plan_Inputs!$D$2:$D$5000,Plan_Inputs!$A$2:$A$5000,$A33,Plan_Inputs!$B$2:$B$5000,$B$2))</f>
        <v/>
      </c>
      <c r="AJ33" s="15">
        <f>F33*$AK$11</f>
        <v/>
      </c>
      <c r="AK33" s="9">
        <f>G33*$AK$11</f>
        <v/>
      </c>
      <c r="AL33" s="30">
        <f>H33*$AK$11</f>
        <v/>
      </c>
      <c r="AM33" s="30">
        <f>I33*$AK$11</f>
        <v/>
      </c>
      <c r="AN33" s="30">
        <f>J33*$AK$11</f>
        <v/>
      </c>
      <c r="AP33" s="15">
        <f>F33*$AQ$11</f>
        <v/>
      </c>
      <c r="AQ33" s="9">
        <f>G33*$AQ$11</f>
        <v/>
      </c>
      <c r="AR33" s="30">
        <f>H33*$AQ$11</f>
        <v/>
      </c>
      <c r="AS33" s="30">
        <f>I33*$AQ$11</f>
        <v/>
      </c>
      <c r="AT33" s="30">
        <f>J33*$AQ$11</f>
        <v/>
      </c>
      <c r="AV33" s="15">
        <f>F33*$AW$11</f>
        <v/>
      </c>
      <c r="AW33" s="9">
        <f>G33*$AW$11</f>
        <v/>
      </c>
      <c r="AX33" s="30">
        <f>H33*$AW$11</f>
        <v/>
      </c>
      <c r="AY33" s="30">
        <f>I33*$AW$11</f>
        <v/>
      </c>
      <c r="AZ33" s="30">
        <f>J33*$AW$11</f>
        <v/>
      </c>
    </row>
    <row r="34">
      <c r="A34" s="8" t="n">
        <v>46235</v>
      </c>
      <c r="B34" s="33">
        <f>YEAR(A34)</f>
        <v/>
      </c>
      <c r="C34" s="33">
        <f>MONTH(A34)</f>
        <v/>
      </c>
      <c r="D34">
        <f>IF(A34&lt;=LastActual,"Actual","Forecast")</f>
        <v/>
      </c>
      <c r="E34" s="30">
        <f>IF($D34="Actual",R34,W34)</f>
        <v/>
      </c>
      <c r="F34" s="15">
        <f>IF($D34="Actual",S34,Cases_Forecast!AK27)</f>
        <v/>
      </c>
      <c r="G34" s="9">
        <f>IF($D34="Actual",T34,IFERROR(F34/K34,0))</f>
        <v/>
      </c>
      <c r="H34" s="30">
        <f>IF($D34="Actual",U34,G34*L34)</f>
        <v/>
      </c>
      <c r="I34" s="30">
        <f>IF($D34="Actual",V34,J34-H34)</f>
        <v/>
      </c>
      <c r="J34" s="30">
        <f>IF($D34="Actual",U34+V34,IFERROR(H34/(1-AD34),0))</f>
        <v/>
      </c>
      <c r="K34" s="10">
        <f>IF($D34="Actual",IFERROR(S34/T34,0),CPLH_Forecast!AK27)</f>
        <v/>
      </c>
      <c r="L34" s="34">
        <f>IF($D34="Actual",IFERROR(U34/T34,0),N(AE34))</f>
        <v/>
      </c>
      <c r="M34" s="35">
        <f>IFERROR(J34/F34,0)</f>
        <v/>
      </c>
      <c r="N34" s="36">
        <f>IFERROR(J34/E34,0)</f>
        <v/>
      </c>
      <c r="O34" s="36">
        <f>IFERROR(I34/J34,0)</f>
        <v/>
      </c>
      <c r="R34" s="52">
        <f>IF($D34="Actual",SUMIFS(Data_Actuals!$C$2:$C$5000,Data_Actuals!$A$2:$A$5000,$A34,Data_Actuals!$B$2:$B$5000,$B$2),"")</f>
        <v/>
      </c>
      <c r="S34" s="52">
        <f>IF($D34="Actual",SUMIFS(Data_Actuals!$D$2:$D$5000,Data_Actuals!$A$2:$A$5000,$A34,Data_Actuals!$B$2:$B$5000,$B$2),"")</f>
        <v/>
      </c>
      <c r="T34" s="52">
        <f>IF($D34="Actual",SUMIFS(Data_Actuals!$E$2:$E$5000,Data_Actuals!$A$2:$A$5000,$A34,Data_Actuals!$B$2:$B$5000,$B$2),"")</f>
        <v/>
      </c>
      <c r="U34" s="52">
        <f>IF($D34="Actual",SUMIFS(Data_Actuals!$F$2:$F$5000,Data_Actuals!$A$2:$A$5000,$A34,Data_Actuals!$B$2:$B$5000,$B$2),"")</f>
        <v/>
      </c>
      <c r="V34" s="52">
        <f>IF($D34="Actual",SUMIFS(Data_Actuals!$G$2:$G$5000,Data_Actuals!$A$2:$A$5000,$A34,Data_Actuals!$B$2:$B$5000,$B$2),"")</f>
        <v/>
      </c>
      <c r="W34" s="52">
        <f>SUMIFS(Plan_Inputs!$C$2:$C$5000,Plan_Inputs!$A$2:$A$5000,$A34,Plan_Inputs!$B$2:$B$5000,$B$2)</f>
        <v/>
      </c>
      <c r="X34" s="53">
        <f>IF($D34="Actual",IFERROR(S34/T34,""),X22)</f>
        <v/>
      </c>
      <c r="Y34" s="52">
        <f>E34</f>
        <v/>
      </c>
      <c r="Z34" s="54">
        <f>INDEX(Calendar!$H$5:$L$52,MATCH($A34,Calendar!$A$5:$A$52,0),MATCH($D$2,Calendar!$H$4:$L$4,0))</f>
        <v/>
      </c>
      <c r="AA34" s="54">
        <f>INDEX(Calendar!$M$5:$M$52,MATCH($A34,Calendar!$A$5:$A$52,0))</f>
        <v/>
      </c>
      <c r="AB34" s="55">
        <f>IF($D34="Actual",IFERROR(S34/Y34,""),AB22)</f>
        <v/>
      </c>
      <c r="AC34" s="56">
        <f>IF($D34="Actual",IFERROR(U34/T34/Z34/AA34,""),AC22)</f>
        <v/>
      </c>
      <c r="AD34" s="57">
        <f>IF($D34="Actual",IFERROR(V34/(U34+V34),""),$K$2)</f>
        <v/>
      </c>
      <c r="AE34" s="56">
        <f>IFERROR(AC34*Z34*AA34,"")</f>
        <v/>
      </c>
      <c r="AF34" s="53">
        <f>K22</f>
        <v/>
      </c>
      <c r="AG34" s="57">
        <f>IF($D34="Forecast",IFERROR(K34/AF34-1,""),"")</f>
        <v/>
      </c>
      <c r="AH34" s="53">
        <f>IF(CPLHSource="National breakdown",CPLH_Breakdown!AL39,SUMIFS(Plan_Inputs!$D$2:$D$5000,Plan_Inputs!$A$2:$A$5000,$A34,Plan_Inputs!$B$2:$B$5000,$B$2))</f>
        <v/>
      </c>
      <c r="AJ34" s="15">
        <f>F34*$AK$11</f>
        <v/>
      </c>
      <c r="AK34" s="9">
        <f>G34*$AK$11</f>
        <v/>
      </c>
      <c r="AL34" s="30">
        <f>H34*$AK$11</f>
        <v/>
      </c>
      <c r="AM34" s="30">
        <f>I34*$AK$11</f>
        <v/>
      </c>
      <c r="AN34" s="30">
        <f>J34*$AK$11</f>
        <v/>
      </c>
      <c r="AP34" s="15">
        <f>F34*$AQ$11</f>
        <v/>
      </c>
      <c r="AQ34" s="9">
        <f>G34*$AQ$11</f>
        <v/>
      </c>
      <c r="AR34" s="30">
        <f>H34*$AQ$11</f>
        <v/>
      </c>
      <c r="AS34" s="30">
        <f>I34*$AQ$11</f>
        <v/>
      </c>
      <c r="AT34" s="30">
        <f>J34*$AQ$11</f>
        <v/>
      </c>
      <c r="AV34" s="15">
        <f>F34*$AW$11</f>
        <v/>
      </c>
      <c r="AW34" s="9">
        <f>G34*$AW$11</f>
        <v/>
      </c>
      <c r="AX34" s="30">
        <f>H34*$AW$11</f>
        <v/>
      </c>
      <c r="AY34" s="30">
        <f>I34*$AW$11</f>
        <v/>
      </c>
      <c r="AZ34" s="30">
        <f>J34*$AW$11</f>
        <v/>
      </c>
    </row>
    <row r="35">
      <c r="A35" s="8" t="n">
        <v>46266</v>
      </c>
      <c r="B35" s="33">
        <f>YEAR(A35)</f>
        <v/>
      </c>
      <c r="C35" s="33">
        <f>MONTH(A35)</f>
        <v/>
      </c>
      <c r="D35">
        <f>IF(A35&lt;=LastActual,"Actual","Forecast")</f>
        <v/>
      </c>
      <c r="E35" s="30">
        <f>IF($D35="Actual",R35,W35)</f>
        <v/>
      </c>
      <c r="F35" s="15">
        <f>IF($D35="Actual",S35,Cases_Forecast!AK28)</f>
        <v/>
      </c>
      <c r="G35" s="9">
        <f>IF($D35="Actual",T35,IFERROR(F35/K35,0))</f>
        <v/>
      </c>
      <c r="H35" s="30">
        <f>IF($D35="Actual",U35,G35*L35)</f>
        <v/>
      </c>
      <c r="I35" s="30">
        <f>IF($D35="Actual",V35,J35-H35)</f>
        <v/>
      </c>
      <c r="J35" s="30">
        <f>IF($D35="Actual",U35+V35,IFERROR(H35/(1-AD35),0))</f>
        <v/>
      </c>
      <c r="K35" s="10">
        <f>IF($D35="Actual",IFERROR(S35/T35,0),CPLH_Forecast!AK28)</f>
        <v/>
      </c>
      <c r="L35" s="34">
        <f>IF($D35="Actual",IFERROR(U35/T35,0),N(AE35))</f>
        <v/>
      </c>
      <c r="M35" s="35">
        <f>IFERROR(J35/F35,0)</f>
        <v/>
      </c>
      <c r="N35" s="36">
        <f>IFERROR(J35/E35,0)</f>
        <v/>
      </c>
      <c r="O35" s="36">
        <f>IFERROR(I35/J35,0)</f>
        <v/>
      </c>
      <c r="R35" s="52">
        <f>IF($D35="Actual",SUMIFS(Data_Actuals!$C$2:$C$5000,Data_Actuals!$A$2:$A$5000,$A35,Data_Actuals!$B$2:$B$5000,$B$2),"")</f>
        <v/>
      </c>
      <c r="S35" s="52">
        <f>IF($D35="Actual",SUMIFS(Data_Actuals!$D$2:$D$5000,Data_Actuals!$A$2:$A$5000,$A35,Data_Actuals!$B$2:$B$5000,$B$2),"")</f>
        <v/>
      </c>
      <c r="T35" s="52">
        <f>IF($D35="Actual",SUMIFS(Data_Actuals!$E$2:$E$5000,Data_Actuals!$A$2:$A$5000,$A35,Data_Actuals!$B$2:$B$5000,$B$2),"")</f>
        <v/>
      </c>
      <c r="U35" s="52">
        <f>IF($D35="Actual",SUMIFS(Data_Actuals!$F$2:$F$5000,Data_Actuals!$A$2:$A$5000,$A35,Data_Actuals!$B$2:$B$5000,$B$2),"")</f>
        <v/>
      </c>
      <c r="V35" s="52">
        <f>IF($D35="Actual",SUMIFS(Data_Actuals!$G$2:$G$5000,Data_Actuals!$A$2:$A$5000,$A35,Data_Actuals!$B$2:$B$5000,$B$2),"")</f>
        <v/>
      </c>
      <c r="W35" s="52">
        <f>SUMIFS(Plan_Inputs!$C$2:$C$5000,Plan_Inputs!$A$2:$A$5000,$A35,Plan_Inputs!$B$2:$B$5000,$B$2)</f>
        <v/>
      </c>
      <c r="X35" s="53">
        <f>IF($D35="Actual",IFERROR(S35/T35,""),X23)</f>
        <v/>
      </c>
      <c r="Y35" s="52">
        <f>E35</f>
        <v/>
      </c>
      <c r="Z35" s="54">
        <f>INDEX(Calendar!$H$5:$L$52,MATCH($A35,Calendar!$A$5:$A$52,0),MATCH($D$2,Calendar!$H$4:$L$4,0))</f>
        <v/>
      </c>
      <c r="AA35" s="54">
        <f>INDEX(Calendar!$M$5:$M$52,MATCH($A35,Calendar!$A$5:$A$52,0))</f>
        <v/>
      </c>
      <c r="AB35" s="55">
        <f>IF($D35="Actual",IFERROR(S35/Y35,""),AB23)</f>
        <v/>
      </c>
      <c r="AC35" s="56">
        <f>IF($D35="Actual",IFERROR(U35/T35/Z35/AA35,""),AC23)</f>
        <v/>
      </c>
      <c r="AD35" s="57">
        <f>IF($D35="Actual",IFERROR(V35/(U35+V35),""),$K$2)</f>
        <v/>
      </c>
      <c r="AE35" s="56">
        <f>IFERROR(AC35*Z35*AA35,"")</f>
        <v/>
      </c>
      <c r="AF35" s="53">
        <f>K23</f>
        <v/>
      </c>
      <c r="AG35" s="57">
        <f>IF($D35="Forecast",IFERROR(K35/AF35-1,""),"")</f>
        <v/>
      </c>
      <c r="AH35" s="53">
        <f>IF(CPLHSource="National breakdown",CPLH_Breakdown!AL40,SUMIFS(Plan_Inputs!$D$2:$D$5000,Plan_Inputs!$A$2:$A$5000,$A35,Plan_Inputs!$B$2:$B$5000,$B$2))</f>
        <v/>
      </c>
      <c r="AJ35" s="15">
        <f>F35*$AK$11</f>
        <v/>
      </c>
      <c r="AK35" s="9">
        <f>G35*$AK$11</f>
        <v/>
      </c>
      <c r="AL35" s="30">
        <f>H35*$AK$11</f>
        <v/>
      </c>
      <c r="AM35" s="30">
        <f>I35*$AK$11</f>
        <v/>
      </c>
      <c r="AN35" s="30">
        <f>J35*$AK$11</f>
        <v/>
      </c>
      <c r="AP35" s="15">
        <f>F35*$AQ$11</f>
        <v/>
      </c>
      <c r="AQ35" s="9">
        <f>G35*$AQ$11</f>
        <v/>
      </c>
      <c r="AR35" s="30">
        <f>H35*$AQ$11</f>
        <v/>
      </c>
      <c r="AS35" s="30">
        <f>I35*$AQ$11</f>
        <v/>
      </c>
      <c r="AT35" s="30">
        <f>J35*$AQ$11</f>
        <v/>
      </c>
      <c r="AV35" s="15">
        <f>F35*$AW$11</f>
        <v/>
      </c>
      <c r="AW35" s="9">
        <f>G35*$AW$11</f>
        <v/>
      </c>
      <c r="AX35" s="30">
        <f>H35*$AW$11</f>
        <v/>
      </c>
      <c r="AY35" s="30">
        <f>I35*$AW$11</f>
        <v/>
      </c>
      <c r="AZ35" s="30">
        <f>J35*$AW$11</f>
        <v/>
      </c>
    </row>
    <row r="36">
      <c r="A36" s="8" t="n">
        <v>46296</v>
      </c>
      <c r="B36" s="33">
        <f>YEAR(A36)</f>
        <v/>
      </c>
      <c r="C36" s="33">
        <f>MONTH(A36)</f>
        <v/>
      </c>
      <c r="D36">
        <f>IF(A36&lt;=LastActual,"Actual","Forecast")</f>
        <v/>
      </c>
      <c r="E36" s="30">
        <f>IF($D36="Actual",R36,W36)</f>
        <v/>
      </c>
      <c r="F36" s="15">
        <f>IF($D36="Actual",S36,Cases_Forecast!AK29)</f>
        <v/>
      </c>
      <c r="G36" s="9">
        <f>IF($D36="Actual",T36,IFERROR(F36/K36,0))</f>
        <v/>
      </c>
      <c r="H36" s="30">
        <f>IF($D36="Actual",U36,G36*L36)</f>
        <v/>
      </c>
      <c r="I36" s="30">
        <f>IF($D36="Actual",V36,J36-H36)</f>
        <v/>
      </c>
      <c r="J36" s="30">
        <f>IF($D36="Actual",U36+V36,IFERROR(H36/(1-AD36),0))</f>
        <v/>
      </c>
      <c r="K36" s="10">
        <f>IF($D36="Actual",IFERROR(S36/T36,0),CPLH_Forecast!AK29)</f>
        <v/>
      </c>
      <c r="L36" s="34">
        <f>IF($D36="Actual",IFERROR(U36/T36,0),N(AE36))</f>
        <v/>
      </c>
      <c r="M36" s="35">
        <f>IFERROR(J36/F36,0)</f>
        <v/>
      </c>
      <c r="N36" s="36">
        <f>IFERROR(J36/E36,0)</f>
        <v/>
      </c>
      <c r="O36" s="36">
        <f>IFERROR(I36/J36,0)</f>
        <v/>
      </c>
      <c r="R36" s="52">
        <f>IF($D36="Actual",SUMIFS(Data_Actuals!$C$2:$C$5000,Data_Actuals!$A$2:$A$5000,$A36,Data_Actuals!$B$2:$B$5000,$B$2),"")</f>
        <v/>
      </c>
      <c r="S36" s="52">
        <f>IF($D36="Actual",SUMIFS(Data_Actuals!$D$2:$D$5000,Data_Actuals!$A$2:$A$5000,$A36,Data_Actuals!$B$2:$B$5000,$B$2),"")</f>
        <v/>
      </c>
      <c r="T36" s="52">
        <f>IF($D36="Actual",SUMIFS(Data_Actuals!$E$2:$E$5000,Data_Actuals!$A$2:$A$5000,$A36,Data_Actuals!$B$2:$B$5000,$B$2),"")</f>
        <v/>
      </c>
      <c r="U36" s="52">
        <f>IF($D36="Actual",SUMIFS(Data_Actuals!$F$2:$F$5000,Data_Actuals!$A$2:$A$5000,$A36,Data_Actuals!$B$2:$B$5000,$B$2),"")</f>
        <v/>
      </c>
      <c r="V36" s="52">
        <f>IF($D36="Actual",SUMIFS(Data_Actuals!$G$2:$G$5000,Data_Actuals!$A$2:$A$5000,$A36,Data_Actuals!$B$2:$B$5000,$B$2),"")</f>
        <v/>
      </c>
      <c r="W36" s="52">
        <f>SUMIFS(Plan_Inputs!$C$2:$C$5000,Plan_Inputs!$A$2:$A$5000,$A36,Plan_Inputs!$B$2:$B$5000,$B$2)</f>
        <v/>
      </c>
      <c r="X36" s="53">
        <f>IF($D36="Actual",IFERROR(S36/T36,""),X24)</f>
        <v/>
      </c>
      <c r="Y36" s="52">
        <f>E36</f>
        <v/>
      </c>
      <c r="Z36" s="54">
        <f>INDEX(Calendar!$H$5:$L$52,MATCH($A36,Calendar!$A$5:$A$52,0),MATCH($D$2,Calendar!$H$4:$L$4,0))</f>
        <v/>
      </c>
      <c r="AA36" s="54">
        <f>INDEX(Calendar!$M$5:$M$52,MATCH($A36,Calendar!$A$5:$A$52,0))</f>
        <v/>
      </c>
      <c r="AB36" s="55">
        <f>IF($D36="Actual",IFERROR(S36/Y36,""),AB24)</f>
        <v/>
      </c>
      <c r="AC36" s="56">
        <f>IF($D36="Actual",IFERROR(U36/T36/Z36/AA36,""),AC24)</f>
        <v/>
      </c>
      <c r="AD36" s="57">
        <f>IF($D36="Actual",IFERROR(V36/(U36+V36),""),$K$2)</f>
        <v/>
      </c>
      <c r="AE36" s="56">
        <f>IFERROR(AC36*Z36*AA36,"")</f>
        <v/>
      </c>
      <c r="AF36" s="53">
        <f>K24</f>
        <v/>
      </c>
      <c r="AG36" s="57">
        <f>IF($D36="Forecast",IFERROR(K36/AF36-1,""),"")</f>
        <v/>
      </c>
      <c r="AH36" s="53">
        <f>IF(CPLHSource="National breakdown",CPLH_Breakdown!AL41,SUMIFS(Plan_Inputs!$D$2:$D$5000,Plan_Inputs!$A$2:$A$5000,$A36,Plan_Inputs!$B$2:$B$5000,$B$2))</f>
        <v/>
      </c>
      <c r="AJ36" s="15">
        <f>F36*$AK$11</f>
        <v/>
      </c>
      <c r="AK36" s="9">
        <f>G36*$AK$11</f>
        <v/>
      </c>
      <c r="AL36" s="30">
        <f>H36*$AK$11</f>
        <v/>
      </c>
      <c r="AM36" s="30">
        <f>I36*$AK$11</f>
        <v/>
      </c>
      <c r="AN36" s="30">
        <f>J36*$AK$11</f>
        <v/>
      </c>
      <c r="AP36" s="15">
        <f>F36*$AQ$11</f>
        <v/>
      </c>
      <c r="AQ36" s="9">
        <f>G36*$AQ$11</f>
        <v/>
      </c>
      <c r="AR36" s="30">
        <f>H36*$AQ$11</f>
        <v/>
      </c>
      <c r="AS36" s="30">
        <f>I36*$AQ$11</f>
        <v/>
      </c>
      <c r="AT36" s="30">
        <f>J36*$AQ$11</f>
        <v/>
      </c>
      <c r="AV36" s="15">
        <f>F36*$AW$11</f>
        <v/>
      </c>
      <c r="AW36" s="9">
        <f>G36*$AW$11</f>
        <v/>
      </c>
      <c r="AX36" s="30">
        <f>H36*$AW$11</f>
        <v/>
      </c>
      <c r="AY36" s="30">
        <f>I36*$AW$11</f>
        <v/>
      </c>
      <c r="AZ36" s="30">
        <f>J36*$AW$11</f>
        <v/>
      </c>
    </row>
    <row r="37">
      <c r="A37" s="8" t="n">
        <v>46327</v>
      </c>
      <c r="B37" s="33">
        <f>YEAR(A37)</f>
        <v/>
      </c>
      <c r="C37" s="33">
        <f>MONTH(A37)</f>
        <v/>
      </c>
      <c r="D37">
        <f>IF(A37&lt;=LastActual,"Actual","Forecast")</f>
        <v/>
      </c>
      <c r="E37" s="30">
        <f>IF($D37="Actual",R37,W37)</f>
        <v/>
      </c>
      <c r="F37" s="15">
        <f>IF($D37="Actual",S37,Cases_Forecast!AK30)</f>
        <v/>
      </c>
      <c r="G37" s="9">
        <f>IF($D37="Actual",T37,IFERROR(F37/K37,0))</f>
        <v/>
      </c>
      <c r="H37" s="30">
        <f>IF($D37="Actual",U37,G37*L37)</f>
        <v/>
      </c>
      <c r="I37" s="30">
        <f>IF($D37="Actual",V37,J37-H37)</f>
        <v/>
      </c>
      <c r="J37" s="30">
        <f>IF($D37="Actual",U37+V37,IFERROR(H37/(1-AD37),0))</f>
        <v/>
      </c>
      <c r="K37" s="10">
        <f>IF($D37="Actual",IFERROR(S37/T37,0),CPLH_Forecast!AK30)</f>
        <v/>
      </c>
      <c r="L37" s="34">
        <f>IF($D37="Actual",IFERROR(U37/T37,0),N(AE37))</f>
        <v/>
      </c>
      <c r="M37" s="35">
        <f>IFERROR(J37/F37,0)</f>
        <v/>
      </c>
      <c r="N37" s="36">
        <f>IFERROR(J37/E37,0)</f>
        <v/>
      </c>
      <c r="O37" s="36">
        <f>IFERROR(I37/J37,0)</f>
        <v/>
      </c>
      <c r="R37" s="52">
        <f>IF($D37="Actual",SUMIFS(Data_Actuals!$C$2:$C$5000,Data_Actuals!$A$2:$A$5000,$A37,Data_Actuals!$B$2:$B$5000,$B$2),"")</f>
        <v/>
      </c>
      <c r="S37" s="52">
        <f>IF($D37="Actual",SUMIFS(Data_Actuals!$D$2:$D$5000,Data_Actuals!$A$2:$A$5000,$A37,Data_Actuals!$B$2:$B$5000,$B$2),"")</f>
        <v/>
      </c>
      <c r="T37" s="52">
        <f>IF($D37="Actual",SUMIFS(Data_Actuals!$E$2:$E$5000,Data_Actuals!$A$2:$A$5000,$A37,Data_Actuals!$B$2:$B$5000,$B$2),"")</f>
        <v/>
      </c>
      <c r="U37" s="52">
        <f>IF($D37="Actual",SUMIFS(Data_Actuals!$F$2:$F$5000,Data_Actuals!$A$2:$A$5000,$A37,Data_Actuals!$B$2:$B$5000,$B$2),"")</f>
        <v/>
      </c>
      <c r="V37" s="52">
        <f>IF($D37="Actual",SUMIFS(Data_Actuals!$G$2:$G$5000,Data_Actuals!$A$2:$A$5000,$A37,Data_Actuals!$B$2:$B$5000,$B$2),"")</f>
        <v/>
      </c>
      <c r="W37" s="52">
        <f>SUMIFS(Plan_Inputs!$C$2:$C$5000,Plan_Inputs!$A$2:$A$5000,$A37,Plan_Inputs!$B$2:$B$5000,$B$2)</f>
        <v/>
      </c>
      <c r="X37" s="53">
        <f>IF($D37="Actual",IFERROR(S37/T37,""),X25)</f>
        <v/>
      </c>
      <c r="Y37" s="52">
        <f>E37</f>
        <v/>
      </c>
      <c r="Z37" s="54">
        <f>INDEX(Calendar!$H$5:$L$52,MATCH($A37,Calendar!$A$5:$A$52,0),MATCH($D$2,Calendar!$H$4:$L$4,0))</f>
        <v/>
      </c>
      <c r="AA37" s="54">
        <f>INDEX(Calendar!$M$5:$M$52,MATCH($A37,Calendar!$A$5:$A$52,0))</f>
        <v/>
      </c>
      <c r="AB37" s="55">
        <f>IF($D37="Actual",IFERROR(S37/Y37,""),AB25)</f>
        <v/>
      </c>
      <c r="AC37" s="56">
        <f>IF($D37="Actual",IFERROR(U37/T37/Z37/AA37,""),AC25)</f>
        <v/>
      </c>
      <c r="AD37" s="57">
        <f>IF($D37="Actual",IFERROR(V37/(U37+V37),""),$K$2)</f>
        <v/>
      </c>
      <c r="AE37" s="56">
        <f>IFERROR(AC37*Z37*AA37,"")</f>
        <v/>
      </c>
      <c r="AF37" s="53">
        <f>K25</f>
        <v/>
      </c>
      <c r="AG37" s="57">
        <f>IF($D37="Forecast",IFERROR(K37/AF37-1,""),"")</f>
        <v/>
      </c>
      <c r="AH37" s="53">
        <f>IF(CPLHSource="National breakdown",CPLH_Breakdown!AL42,SUMIFS(Plan_Inputs!$D$2:$D$5000,Plan_Inputs!$A$2:$A$5000,$A37,Plan_Inputs!$B$2:$B$5000,$B$2))</f>
        <v/>
      </c>
      <c r="AJ37" s="15">
        <f>F37*$AK$11</f>
        <v/>
      </c>
      <c r="AK37" s="9">
        <f>G37*$AK$11</f>
        <v/>
      </c>
      <c r="AL37" s="30">
        <f>H37*$AK$11</f>
        <v/>
      </c>
      <c r="AM37" s="30">
        <f>I37*$AK$11</f>
        <v/>
      </c>
      <c r="AN37" s="30">
        <f>J37*$AK$11</f>
        <v/>
      </c>
      <c r="AP37" s="15">
        <f>F37*$AQ$11</f>
        <v/>
      </c>
      <c r="AQ37" s="9">
        <f>G37*$AQ$11</f>
        <v/>
      </c>
      <c r="AR37" s="30">
        <f>H37*$AQ$11</f>
        <v/>
      </c>
      <c r="AS37" s="30">
        <f>I37*$AQ$11</f>
        <v/>
      </c>
      <c r="AT37" s="30">
        <f>J37*$AQ$11</f>
        <v/>
      </c>
      <c r="AV37" s="15">
        <f>F37*$AW$11</f>
        <v/>
      </c>
      <c r="AW37" s="9">
        <f>G37*$AW$11</f>
        <v/>
      </c>
      <c r="AX37" s="30">
        <f>H37*$AW$11</f>
        <v/>
      </c>
      <c r="AY37" s="30">
        <f>I37*$AW$11</f>
        <v/>
      </c>
      <c r="AZ37" s="30">
        <f>J37*$AW$11</f>
        <v/>
      </c>
    </row>
    <row r="38">
      <c r="A38" s="37" t="n">
        <v>46357</v>
      </c>
      <c r="B38" s="38">
        <f>YEAR(A38)</f>
        <v/>
      </c>
      <c r="C38" s="38">
        <f>MONTH(A38)</f>
        <v/>
      </c>
      <c r="D38" s="39">
        <f>IF(A38&lt;=LastActual,"Actual","Forecast")</f>
        <v/>
      </c>
      <c r="E38" s="40">
        <f>IF($D38="Actual",R38,W38)</f>
        <v/>
      </c>
      <c r="F38" s="41">
        <f>IF($D38="Actual",S38,Cases_Forecast!AK31)</f>
        <v/>
      </c>
      <c r="G38" s="42">
        <f>IF($D38="Actual",T38,IFERROR(F38/K38,0))</f>
        <v/>
      </c>
      <c r="H38" s="40">
        <f>IF($D38="Actual",U38,G38*L38)</f>
        <v/>
      </c>
      <c r="I38" s="40">
        <f>IF($D38="Actual",V38,J38-H38)</f>
        <v/>
      </c>
      <c r="J38" s="40">
        <f>IF($D38="Actual",U38+V38,IFERROR(H38/(1-AD38),0))</f>
        <v/>
      </c>
      <c r="K38" s="43">
        <f>IF($D38="Actual",IFERROR(S38/T38,0),CPLH_Forecast!AK31)</f>
        <v/>
      </c>
      <c r="L38" s="44">
        <f>IF($D38="Actual",IFERROR(U38/T38,0),N(AE38))</f>
        <v/>
      </c>
      <c r="M38" s="45">
        <f>IFERROR(J38/F38,0)</f>
        <v/>
      </c>
      <c r="N38" s="46">
        <f>IFERROR(J38/E38,0)</f>
        <v/>
      </c>
      <c r="O38" s="46">
        <f>IFERROR(I38/J38,0)</f>
        <v/>
      </c>
      <c r="R38" s="52">
        <f>IF($D38="Actual",SUMIFS(Data_Actuals!$C$2:$C$5000,Data_Actuals!$A$2:$A$5000,$A38,Data_Actuals!$B$2:$B$5000,$B$2),"")</f>
        <v/>
      </c>
      <c r="S38" s="52">
        <f>IF($D38="Actual",SUMIFS(Data_Actuals!$D$2:$D$5000,Data_Actuals!$A$2:$A$5000,$A38,Data_Actuals!$B$2:$B$5000,$B$2),"")</f>
        <v/>
      </c>
      <c r="T38" s="52">
        <f>IF($D38="Actual",SUMIFS(Data_Actuals!$E$2:$E$5000,Data_Actuals!$A$2:$A$5000,$A38,Data_Actuals!$B$2:$B$5000,$B$2),"")</f>
        <v/>
      </c>
      <c r="U38" s="52">
        <f>IF($D38="Actual",SUMIFS(Data_Actuals!$F$2:$F$5000,Data_Actuals!$A$2:$A$5000,$A38,Data_Actuals!$B$2:$B$5000,$B$2),"")</f>
        <v/>
      </c>
      <c r="V38" s="52">
        <f>IF($D38="Actual",SUMIFS(Data_Actuals!$G$2:$G$5000,Data_Actuals!$A$2:$A$5000,$A38,Data_Actuals!$B$2:$B$5000,$B$2),"")</f>
        <v/>
      </c>
      <c r="W38" s="52">
        <f>SUMIFS(Plan_Inputs!$C$2:$C$5000,Plan_Inputs!$A$2:$A$5000,$A38,Plan_Inputs!$B$2:$B$5000,$B$2)</f>
        <v/>
      </c>
      <c r="X38" s="53">
        <f>IF($D38="Actual",IFERROR(S38/T38,""),X26)</f>
        <v/>
      </c>
      <c r="Y38" s="52">
        <f>E38</f>
        <v/>
      </c>
      <c r="Z38" s="54">
        <f>INDEX(Calendar!$H$5:$L$52,MATCH($A38,Calendar!$A$5:$A$52,0),MATCH($D$2,Calendar!$H$4:$L$4,0))</f>
        <v/>
      </c>
      <c r="AA38" s="54">
        <f>INDEX(Calendar!$M$5:$M$52,MATCH($A38,Calendar!$A$5:$A$52,0))</f>
        <v/>
      </c>
      <c r="AB38" s="55">
        <f>IF($D38="Actual",IFERROR(S38/Y38,""),AB26)</f>
        <v/>
      </c>
      <c r="AC38" s="56">
        <f>IF($D38="Actual",IFERROR(U38/T38/Z38/AA38,""),AC26)</f>
        <v/>
      </c>
      <c r="AD38" s="57">
        <f>IF($D38="Actual",IFERROR(V38/(U38+V38),""),$K$2)</f>
        <v/>
      </c>
      <c r="AE38" s="56">
        <f>IFERROR(AC38*Z38*AA38,"")</f>
        <v/>
      </c>
      <c r="AF38" s="53">
        <f>K26</f>
        <v/>
      </c>
      <c r="AG38" s="57">
        <f>IF($D38="Forecast",IFERROR(K38/AF38-1,""),"")</f>
        <v/>
      </c>
      <c r="AH38" s="53">
        <f>IF(CPLHSource="National breakdown",CPLH_Breakdown!AL43,SUMIFS(Plan_Inputs!$D$2:$D$5000,Plan_Inputs!$A$2:$A$5000,$A38,Plan_Inputs!$B$2:$B$5000,$B$2))</f>
        <v/>
      </c>
      <c r="AJ38" s="41">
        <f>F38*$AK$11</f>
        <v/>
      </c>
      <c r="AK38" s="42">
        <f>G38*$AK$11</f>
        <v/>
      </c>
      <c r="AL38" s="40">
        <f>H38*$AK$11</f>
        <v/>
      </c>
      <c r="AM38" s="40">
        <f>I38*$AK$11</f>
        <v/>
      </c>
      <c r="AN38" s="40">
        <f>J38*$AK$11</f>
        <v/>
      </c>
      <c r="AP38" s="41">
        <f>F38*$AQ$11</f>
        <v/>
      </c>
      <c r="AQ38" s="42">
        <f>G38*$AQ$11</f>
        <v/>
      </c>
      <c r="AR38" s="40">
        <f>H38*$AQ$11</f>
        <v/>
      </c>
      <c r="AS38" s="40">
        <f>I38*$AQ$11</f>
        <v/>
      </c>
      <c r="AT38" s="40">
        <f>J38*$AQ$11</f>
        <v/>
      </c>
      <c r="AV38" s="41">
        <f>F38*$AW$11</f>
        <v/>
      </c>
      <c r="AW38" s="42">
        <f>G38*$AW$11</f>
        <v/>
      </c>
      <c r="AX38" s="40">
        <f>H38*$AW$11</f>
        <v/>
      </c>
      <c r="AY38" s="40">
        <f>I38*$AW$11</f>
        <v/>
      </c>
      <c r="AZ38" s="40">
        <f>J38*$AW$11</f>
        <v/>
      </c>
    </row>
    <row r="39">
      <c r="A39" s="8" t="n">
        <v>46388</v>
      </c>
      <c r="B39" s="33">
        <f>YEAR(A39)</f>
        <v/>
      </c>
      <c r="C39" s="33">
        <f>MONTH(A39)</f>
        <v/>
      </c>
      <c r="D39">
        <f>IF(A39&lt;=LastActual,"Actual","Forecast")</f>
        <v/>
      </c>
      <c r="E39" s="30">
        <f>IF($D39="Actual",R39,W39)</f>
        <v/>
      </c>
      <c r="F39" s="15">
        <f>IF($D39="Actual",S39,Cases_Forecast!AK32)</f>
        <v/>
      </c>
      <c r="G39" s="9">
        <f>IF($D39="Actual",T39,IFERROR(F39/K39,0))</f>
        <v/>
      </c>
      <c r="H39" s="30">
        <f>IF($D39="Actual",U39,G39*L39)</f>
        <v/>
      </c>
      <c r="I39" s="30">
        <f>IF($D39="Actual",V39,J39-H39)</f>
        <v/>
      </c>
      <c r="J39" s="30">
        <f>IF($D39="Actual",U39+V39,IFERROR(H39/(1-AD39),0))</f>
        <v/>
      </c>
      <c r="K39" s="10">
        <f>IF($D39="Actual",IFERROR(S39/T39,0),CPLH_Forecast!AK32)</f>
        <v/>
      </c>
      <c r="L39" s="34">
        <f>IF($D39="Actual",IFERROR(U39/T39,0),N(AE39))</f>
        <v/>
      </c>
      <c r="M39" s="35">
        <f>IFERROR(J39/F39,0)</f>
        <v/>
      </c>
      <c r="N39" s="36">
        <f>IFERROR(J39/E39,0)</f>
        <v/>
      </c>
      <c r="O39" s="36">
        <f>IFERROR(I39/J39,0)</f>
        <v/>
      </c>
      <c r="R39" s="52">
        <f>IF($D39="Actual",SUMIFS(Data_Actuals!$C$2:$C$5000,Data_Actuals!$A$2:$A$5000,$A39,Data_Actuals!$B$2:$B$5000,$B$2),"")</f>
        <v/>
      </c>
      <c r="S39" s="52">
        <f>IF($D39="Actual",SUMIFS(Data_Actuals!$D$2:$D$5000,Data_Actuals!$A$2:$A$5000,$A39,Data_Actuals!$B$2:$B$5000,$B$2),"")</f>
        <v/>
      </c>
      <c r="T39" s="52">
        <f>IF($D39="Actual",SUMIFS(Data_Actuals!$E$2:$E$5000,Data_Actuals!$A$2:$A$5000,$A39,Data_Actuals!$B$2:$B$5000,$B$2),"")</f>
        <v/>
      </c>
      <c r="U39" s="52">
        <f>IF($D39="Actual",SUMIFS(Data_Actuals!$F$2:$F$5000,Data_Actuals!$A$2:$A$5000,$A39,Data_Actuals!$B$2:$B$5000,$B$2),"")</f>
        <v/>
      </c>
      <c r="V39" s="52">
        <f>IF($D39="Actual",SUMIFS(Data_Actuals!$G$2:$G$5000,Data_Actuals!$A$2:$A$5000,$A39,Data_Actuals!$B$2:$B$5000,$B$2),"")</f>
        <v/>
      </c>
      <c r="W39" s="52">
        <f>SUMIFS(Plan_Inputs!$C$2:$C$5000,Plan_Inputs!$A$2:$A$5000,$A39,Plan_Inputs!$B$2:$B$5000,$B$2)</f>
        <v/>
      </c>
      <c r="X39" s="53">
        <f>IF($D39="Actual",IFERROR(S39/T39,""),X27)</f>
        <v/>
      </c>
      <c r="Y39" s="52">
        <f>E39</f>
        <v/>
      </c>
      <c r="Z39" s="54">
        <f>INDEX(Calendar!$H$5:$L$52,MATCH($A39,Calendar!$A$5:$A$52,0),MATCH($D$2,Calendar!$H$4:$L$4,0))</f>
        <v/>
      </c>
      <c r="AA39" s="54">
        <f>INDEX(Calendar!$M$5:$M$52,MATCH($A39,Calendar!$A$5:$A$52,0))</f>
        <v/>
      </c>
      <c r="AB39" s="55">
        <f>IF($D39="Actual",IFERROR(S39/Y39,""),AB27)</f>
        <v/>
      </c>
      <c r="AC39" s="56">
        <f>IF($D39="Actual",IFERROR(U39/T39/Z39/AA39,""),AC27)</f>
        <v/>
      </c>
      <c r="AD39" s="57">
        <f>IF($D39="Actual",IFERROR(V39/(U39+V39),""),$K$2)</f>
        <v/>
      </c>
      <c r="AE39" s="56">
        <f>IFERROR(AC39*Z39*AA39,"")</f>
        <v/>
      </c>
      <c r="AF39" s="53">
        <f>K27</f>
        <v/>
      </c>
      <c r="AG39" s="57">
        <f>IF($D39="Forecast",IFERROR(K39/AF39-1,""),"")</f>
        <v/>
      </c>
      <c r="AH39" s="53">
        <f>IF(CPLHSource="National breakdown",CPLH_Breakdown!AL44,SUMIFS(Plan_Inputs!$D$2:$D$5000,Plan_Inputs!$A$2:$A$5000,$A39,Plan_Inputs!$B$2:$B$5000,$B$2))</f>
        <v/>
      </c>
      <c r="AJ39" s="15">
        <f>F39*$AK$11</f>
        <v/>
      </c>
      <c r="AK39" s="9">
        <f>G39*$AK$11</f>
        <v/>
      </c>
      <c r="AL39" s="30">
        <f>H39*$AK$11</f>
        <v/>
      </c>
      <c r="AM39" s="30">
        <f>I39*$AK$11</f>
        <v/>
      </c>
      <c r="AN39" s="30">
        <f>J39*$AK$11</f>
        <v/>
      </c>
      <c r="AP39" s="15">
        <f>F39*$AQ$11</f>
        <v/>
      </c>
      <c r="AQ39" s="9">
        <f>G39*$AQ$11</f>
        <v/>
      </c>
      <c r="AR39" s="30">
        <f>H39*$AQ$11</f>
        <v/>
      </c>
      <c r="AS39" s="30">
        <f>I39*$AQ$11</f>
        <v/>
      </c>
      <c r="AT39" s="30">
        <f>J39*$AQ$11</f>
        <v/>
      </c>
      <c r="AV39" s="15">
        <f>F39*$AW$11</f>
        <v/>
      </c>
      <c r="AW39" s="9">
        <f>G39*$AW$11</f>
        <v/>
      </c>
      <c r="AX39" s="30">
        <f>H39*$AW$11</f>
        <v/>
      </c>
      <c r="AY39" s="30">
        <f>I39*$AW$11</f>
        <v/>
      </c>
      <c r="AZ39" s="30">
        <f>J39*$AW$11</f>
        <v/>
      </c>
    </row>
    <row r="40">
      <c r="A40" s="8" t="n">
        <v>46419</v>
      </c>
      <c r="B40" s="33">
        <f>YEAR(A40)</f>
        <v/>
      </c>
      <c r="C40" s="33">
        <f>MONTH(A40)</f>
        <v/>
      </c>
      <c r="D40">
        <f>IF(A40&lt;=LastActual,"Actual","Forecast")</f>
        <v/>
      </c>
      <c r="E40" s="30">
        <f>IF($D40="Actual",R40,W40)</f>
        <v/>
      </c>
      <c r="F40" s="15">
        <f>IF($D40="Actual",S40,Cases_Forecast!AK33)</f>
        <v/>
      </c>
      <c r="G40" s="9">
        <f>IF($D40="Actual",T40,IFERROR(F40/K40,0))</f>
        <v/>
      </c>
      <c r="H40" s="30">
        <f>IF($D40="Actual",U40,G40*L40)</f>
        <v/>
      </c>
      <c r="I40" s="30">
        <f>IF($D40="Actual",V40,J40-H40)</f>
        <v/>
      </c>
      <c r="J40" s="30">
        <f>IF($D40="Actual",U40+V40,IFERROR(H40/(1-AD40),0))</f>
        <v/>
      </c>
      <c r="K40" s="10">
        <f>IF($D40="Actual",IFERROR(S40/T40,0),CPLH_Forecast!AK33)</f>
        <v/>
      </c>
      <c r="L40" s="34">
        <f>IF($D40="Actual",IFERROR(U40/T40,0),N(AE40))</f>
        <v/>
      </c>
      <c r="M40" s="35">
        <f>IFERROR(J40/F40,0)</f>
        <v/>
      </c>
      <c r="N40" s="36">
        <f>IFERROR(J40/E40,0)</f>
        <v/>
      </c>
      <c r="O40" s="36">
        <f>IFERROR(I40/J40,0)</f>
        <v/>
      </c>
      <c r="R40" s="52">
        <f>IF($D40="Actual",SUMIFS(Data_Actuals!$C$2:$C$5000,Data_Actuals!$A$2:$A$5000,$A40,Data_Actuals!$B$2:$B$5000,$B$2),"")</f>
        <v/>
      </c>
      <c r="S40" s="52">
        <f>IF($D40="Actual",SUMIFS(Data_Actuals!$D$2:$D$5000,Data_Actuals!$A$2:$A$5000,$A40,Data_Actuals!$B$2:$B$5000,$B$2),"")</f>
        <v/>
      </c>
      <c r="T40" s="52">
        <f>IF($D40="Actual",SUMIFS(Data_Actuals!$E$2:$E$5000,Data_Actuals!$A$2:$A$5000,$A40,Data_Actuals!$B$2:$B$5000,$B$2),"")</f>
        <v/>
      </c>
      <c r="U40" s="52">
        <f>IF($D40="Actual",SUMIFS(Data_Actuals!$F$2:$F$5000,Data_Actuals!$A$2:$A$5000,$A40,Data_Actuals!$B$2:$B$5000,$B$2),"")</f>
        <v/>
      </c>
      <c r="V40" s="52">
        <f>IF($D40="Actual",SUMIFS(Data_Actuals!$G$2:$G$5000,Data_Actuals!$A$2:$A$5000,$A40,Data_Actuals!$B$2:$B$5000,$B$2),"")</f>
        <v/>
      </c>
      <c r="W40" s="52">
        <f>SUMIFS(Plan_Inputs!$C$2:$C$5000,Plan_Inputs!$A$2:$A$5000,$A40,Plan_Inputs!$B$2:$B$5000,$B$2)</f>
        <v/>
      </c>
      <c r="X40" s="53">
        <f>IF($D40="Actual",IFERROR(S40/T40,""),X28)</f>
        <v/>
      </c>
      <c r="Y40" s="52">
        <f>E40</f>
        <v/>
      </c>
      <c r="Z40" s="54">
        <f>INDEX(Calendar!$H$5:$L$52,MATCH($A40,Calendar!$A$5:$A$52,0),MATCH($D$2,Calendar!$H$4:$L$4,0))</f>
        <v/>
      </c>
      <c r="AA40" s="54">
        <f>INDEX(Calendar!$M$5:$M$52,MATCH($A40,Calendar!$A$5:$A$52,0))</f>
        <v/>
      </c>
      <c r="AB40" s="55">
        <f>IF($D40="Actual",IFERROR(S40/Y40,""),AB28)</f>
        <v/>
      </c>
      <c r="AC40" s="56">
        <f>IF($D40="Actual",IFERROR(U40/T40/Z40/AA40,""),AC28)</f>
        <v/>
      </c>
      <c r="AD40" s="57">
        <f>IF($D40="Actual",IFERROR(V40/(U40+V40),""),$K$2)</f>
        <v/>
      </c>
      <c r="AE40" s="56">
        <f>IFERROR(AC40*Z40*AA40,"")</f>
        <v/>
      </c>
      <c r="AF40" s="53">
        <f>K28</f>
        <v/>
      </c>
      <c r="AG40" s="57">
        <f>IF($D40="Forecast",IFERROR(K40/AF40-1,""),"")</f>
        <v/>
      </c>
      <c r="AH40" s="53">
        <f>IF(CPLHSource="National breakdown",CPLH_Breakdown!AL45,SUMIFS(Plan_Inputs!$D$2:$D$5000,Plan_Inputs!$A$2:$A$5000,$A40,Plan_Inputs!$B$2:$B$5000,$B$2))</f>
        <v/>
      </c>
      <c r="AJ40" s="15">
        <f>F40*$AK$11</f>
        <v/>
      </c>
      <c r="AK40" s="9">
        <f>G40*$AK$11</f>
        <v/>
      </c>
      <c r="AL40" s="30">
        <f>H40*$AK$11</f>
        <v/>
      </c>
      <c r="AM40" s="30">
        <f>I40*$AK$11</f>
        <v/>
      </c>
      <c r="AN40" s="30">
        <f>J40*$AK$11</f>
        <v/>
      </c>
      <c r="AP40" s="15">
        <f>F40*$AQ$11</f>
        <v/>
      </c>
      <c r="AQ40" s="9">
        <f>G40*$AQ$11</f>
        <v/>
      </c>
      <c r="AR40" s="30">
        <f>H40*$AQ$11</f>
        <v/>
      </c>
      <c r="AS40" s="30">
        <f>I40*$AQ$11</f>
        <v/>
      </c>
      <c r="AT40" s="30">
        <f>J40*$AQ$11</f>
        <v/>
      </c>
      <c r="AV40" s="15">
        <f>F40*$AW$11</f>
        <v/>
      </c>
      <c r="AW40" s="9">
        <f>G40*$AW$11</f>
        <v/>
      </c>
      <c r="AX40" s="30">
        <f>H40*$AW$11</f>
        <v/>
      </c>
      <c r="AY40" s="30">
        <f>I40*$AW$11</f>
        <v/>
      </c>
      <c r="AZ40" s="30">
        <f>J40*$AW$11</f>
        <v/>
      </c>
    </row>
    <row r="41">
      <c r="A41" s="8" t="n">
        <v>46447</v>
      </c>
      <c r="B41" s="33">
        <f>YEAR(A41)</f>
        <v/>
      </c>
      <c r="C41" s="33">
        <f>MONTH(A41)</f>
        <v/>
      </c>
      <c r="D41">
        <f>IF(A41&lt;=LastActual,"Actual","Forecast")</f>
        <v/>
      </c>
      <c r="E41" s="30">
        <f>IF($D41="Actual",R41,W41)</f>
        <v/>
      </c>
      <c r="F41" s="15">
        <f>IF($D41="Actual",S41,Cases_Forecast!AK34)</f>
        <v/>
      </c>
      <c r="G41" s="9">
        <f>IF($D41="Actual",T41,IFERROR(F41/K41,0))</f>
        <v/>
      </c>
      <c r="H41" s="30">
        <f>IF($D41="Actual",U41,G41*L41)</f>
        <v/>
      </c>
      <c r="I41" s="30">
        <f>IF($D41="Actual",V41,J41-H41)</f>
        <v/>
      </c>
      <c r="J41" s="30">
        <f>IF($D41="Actual",U41+V41,IFERROR(H41/(1-AD41),0))</f>
        <v/>
      </c>
      <c r="K41" s="10">
        <f>IF($D41="Actual",IFERROR(S41/T41,0),CPLH_Forecast!AK34)</f>
        <v/>
      </c>
      <c r="L41" s="34">
        <f>IF($D41="Actual",IFERROR(U41/T41,0),N(AE41))</f>
        <v/>
      </c>
      <c r="M41" s="35">
        <f>IFERROR(J41/F41,0)</f>
        <v/>
      </c>
      <c r="N41" s="36">
        <f>IFERROR(J41/E41,0)</f>
        <v/>
      </c>
      <c r="O41" s="36">
        <f>IFERROR(I41/J41,0)</f>
        <v/>
      </c>
      <c r="R41" s="52">
        <f>IF($D41="Actual",SUMIFS(Data_Actuals!$C$2:$C$5000,Data_Actuals!$A$2:$A$5000,$A41,Data_Actuals!$B$2:$B$5000,$B$2),"")</f>
        <v/>
      </c>
      <c r="S41" s="52">
        <f>IF($D41="Actual",SUMIFS(Data_Actuals!$D$2:$D$5000,Data_Actuals!$A$2:$A$5000,$A41,Data_Actuals!$B$2:$B$5000,$B$2),"")</f>
        <v/>
      </c>
      <c r="T41" s="52">
        <f>IF($D41="Actual",SUMIFS(Data_Actuals!$E$2:$E$5000,Data_Actuals!$A$2:$A$5000,$A41,Data_Actuals!$B$2:$B$5000,$B$2),"")</f>
        <v/>
      </c>
      <c r="U41" s="52">
        <f>IF($D41="Actual",SUMIFS(Data_Actuals!$F$2:$F$5000,Data_Actuals!$A$2:$A$5000,$A41,Data_Actuals!$B$2:$B$5000,$B$2),"")</f>
        <v/>
      </c>
      <c r="V41" s="52">
        <f>IF($D41="Actual",SUMIFS(Data_Actuals!$G$2:$G$5000,Data_Actuals!$A$2:$A$5000,$A41,Data_Actuals!$B$2:$B$5000,$B$2),"")</f>
        <v/>
      </c>
      <c r="W41" s="52">
        <f>SUMIFS(Plan_Inputs!$C$2:$C$5000,Plan_Inputs!$A$2:$A$5000,$A41,Plan_Inputs!$B$2:$B$5000,$B$2)</f>
        <v/>
      </c>
      <c r="X41" s="53">
        <f>IF($D41="Actual",IFERROR(S41/T41,""),X29)</f>
        <v/>
      </c>
      <c r="Y41" s="52">
        <f>E41</f>
        <v/>
      </c>
      <c r="Z41" s="54">
        <f>INDEX(Calendar!$H$5:$L$52,MATCH($A41,Calendar!$A$5:$A$52,0),MATCH($D$2,Calendar!$H$4:$L$4,0))</f>
        <v/>
      </c>
      <c r="AA41" s="54">
        <f>INDEX(Calendar!$M$5:$M$52,MATCH($A41,Calendar!$A$5:$A$52,0))</f>
        <v/>
      </c>
      <c r="AB41" s="55">
        <f>IF($D41="Actual",IFERROR(S41/Y41,""),AB29)</f>
        <v/>
      </c>
      <c r="AC41" s="56">
        <f>IF($D41="Actual",IFERROR(U41/T41/Z41/AA41,""),AC29)</f>
        <v/>
      </c>
      <c r="AD41" s="57">
        <f>IF($D41="Actual",IFERROR(V41/(U41+V41),""),$K$2)</f>
        <v/>
      </c>
      <c r="AE41" s="56">
        <f>IFERROR(AC41*Z41*AA41,"")</f>
        <v/>
      </c>
      <c r="AF41" s="53">
        <f>K29</f>
        <v/>
      </c>
      <c r="AG41" s="57">
        <f>IF($D41="Forecast",IFERROR(K41/AF41-1,""),"")</f>
        <v/>
      </c>
      <c r="AH41" s="53">
        <f>IF(CPLHSource="National breakdown",CPLH_Breakdown!AL46,SUMIFS(Plan_Inputs!$D$2:$D$5000,Plan_Inputs!$A$2:$A$5000,$A41,Plan_Inputs!$B$2:$B$5000,$B$2))</f>
        <v/>
      </c>
      <c r="AJ41" s="15">
        <f>F41*$AK$11</f>
        <v/>
      </c>
      <c r="AK41" s="9">
        <f>G41*$AK$11</f>
        <v/>
      </c>
      <c r="AL41" s="30">
        <f>H41*$AK$11</f>
        <v/>
      </c>
      <c r="AM41" s="30">
        <f>I41*$AK$11</f>
        <v/>
      </c>
      <c r="AN41" s="30">
        <f>J41*$AK$11</f>
        <v/>
      </c>
      <c r="AP41" s="15">
        <f>F41*$AQ$11</f>
        <v/>
      </c>
      <c r="AQ41" s="9">
        <f>G41*$AQ$11</f>
        <v/>
      </c>
      <c r="AR41" s="30">
        <f>H41*$AQ$11</f>
        <v/>
      </c>
      <c r="AS41" s="30">
        <f>I41*$AQ$11</f>
        <v/>
      </c>
      <c r="AT41" s="30">
        <f>J41*$AQ$11</f>
        <v/>
      </c>
      <c r="AV41" s="15">
        <f>F41*$AW$11</f>
        <v/>
      </c>
      <c r="AW41" s="9">
        <f>G41*$AW$11</f>
        <v/>
      </c>
      <c r="AX41" s="30">
        <f>H41*$AW$11</f>
        <v/>
      </c>
      <c r="AY41" s="30">
        <f>I41*$AW$11</f>
        <v/>
      </c>
      <c r="AZ41" s="30">
        <f>J41*$AW$11</f>
        <v/>
      </c>
    </row>
    <row r="42">
      <c r="A42" s="8" t="n">
        <v>46478</v>
      </c>
      <c r="B42" s="33">
        <f>YEAR(A42)</f>
        <v/>
      </c>
      <c r="C42" s="33">
        <f>MONTH(A42)</f>
        <v/>
      </c>
      <c r="D42">
        <f>IF(A42&lt;=LastActual,"Actual","Forecast")</f>
        <v/>
      </c>
      <c r="E42" s="30">
        <f>IF($D42="Actual",R42,W42)</f>
        <v/>
      </c>
      <c r="F42" s="15">
        <f>IF($D42="Actual",S42,Cases_Forecast!AK35)</f>
        <v/>
      </c>
      <c r="G42" s="9">
        <f>IF($D42="Actual",T42,IFERROR(F42/K42,0))</f>
        <v/>
      </c>
      <c r="H42" s="30">
        <f>IF($D42="Actual",U42,G42*L42)</f>
        <v/>
      </c>
      <c r="I42" s="30">
        <f>IF($D42="Actual",V42,J42-H42)</f>
        <v/>
      </c>
      <c r="J42" s="30">
        <f>IF($D42="Actual",U42+V42,IFERROR(H42/(1-AD42),0))</f>
        <v/>
      </c>
      <c r="K42" s="10">
        <f>IF($D42="Actual",IFERROR(S42/T42,0),CPLH_Forecast!AK35)</f>
        <v/>
      </c>
      <c r="L42" s="34">
        <f>IF($D42="Actual",IFERROR(U42/T42,0),N(AE42))</f>
        <v/>
      </c>
      <c r="M42" s="35">
        <f>IFERROR(J42/F42,0)</f>
        <v/>
      </c>
      <c r="N42" s="36">
        <f>IFERROR(J42/E42,0)</f>
        <v/>
      </c>
      <c r="O42" s="36">
        <f>IFERROR(I42/J42,0)</f>
        <v/>
      </c>
      <c r="R42" s="52">
        <f>IF($D42="Actual",SUMIFS(Data_Actuals!$C$2:$C$5000,Data_Actuals!$A$2:$A$5000,$A42,Data_Actuals!$B$2:$B$5000,$B$2),"")</f>
        <v/>
      </c>
      <c r="S42" s="52">
        <f>IF($D42="Actual",SUMIFS(Data_Actuals!$D$2:$D$5000,Data_Actuals!$A$2:$A$5000,$A42,Data_Actuals!$B$2:$B$5000,$B$2),"")</f>
        <v/>
      </c>
      <c r="T42" s="52">
        <f>IF($D42="Actual",SUMIFS(Data_Actuals!$E$2:$E$5000,Data_Actuals!$A$2:$A$5000,$A42,Data_Actuals!$B$2:$B$5000,$B$2),"")</f>
        <v/>
      </c>
      <c r="U42" s="52">
        <f>IF($D42="Actual",SUMIFS(Data_Actuals!$F$2:$F$5000,Data_Actuals!$A$2:$A$5000,$A42,Data_Actuals!$B$2:$B$5000,$B$2),"")</f>
        <v/>
      </c>
      <c r="V42" s="52">
        <f>IF($D42="Actual",SUMIFS(Data_Actuals!$G$2:$G$5000,Data_Actuals!$A$2:$A$5000,$A42,Data_Actuals!$B$2:$B$5000,$B$2),"")</f>
        <v/>
      </c>
      <c r="W42" s="52">
        <f>SUMIFS(Plan_Inputs!$C$2:$C$5000,Plan_Inputs!$A$2:$A$5000,$A42,Plan_Inputs!$B$2:$B$5000,$B$2)</f>
        <v/>
      </c>
      <c r="X42" s="53">
        <f>IF($D42="Actual",IFERROR(S42/T42,""),X30)</f>
        <v/>
      </c>
      <c r="Y42" s="52">
        <f>E42</f>
        <v/>
      </c>
      <c r="Z42" s="54">
        <f>INDEX(Calendar!$H$5:$L$52,MATCH($A42,Calendar!$A$5:$A$52,0),MATCH($D$2,Calendar!$H$4:$L$4,0))</f>
        <v/>
      </c>
      <c r="AA42" s="54">
        <f>INDEX(Calendar!$M$5:$M$52,MATCH($A42,Calendar!$A$5:$A$52,0))</f>
        <v/>
      </c>
      <c r="AB42" s="55">
        <f>IF($D42="Actual",IFERROR(S42/Y42,""),AB30)</f>
        <v/>
      </c>
      <c r="AC42" s="56">
        <f>IF($D42="Actual",IFERROR(U42/T42/Z42/AA42,""),AC30)</f>
        <v/>
      </c>
      <c r="AD42" s="57">
        <f>IF($D42="Actual",IFERROR(V42/(U42+V42),""),$K$2)</f>
        <v/>
      </c>
      <c r="AE42" s="56">
        <f>IFERROR(AC42*Z42*AA42,"")</f>
        <v/>
      </c>
      <c r="AF42" s="53">
        <f>K30</f>
        <v/>
      </c>
      <c r="AG42" s="57">
        <f>IF($D42="Forecast",IFERROR(K42/AF42-1,""),"")</f>
        <v/>
      </c>
      <c r="AH42" s="53">
        <f>IF(CPLHSource="National breakdown",CPLH_Breakdown!AL47,SUMIFS(Plan_Inputs!$D$2:$D$5000,Plan_Inputs!$A$2:$A$5000,$A42,Plan_Inputs!$B$2:$B$5000,$B$2))</f>
        <v/>
      </c>
      <c r="AJ42" s="15">
        <f>F42*$AK$11</f>
        <v/>
      </c>
      <c r="AK42" s="9">
        <f>G42*$AK$11</f>
        <v/>
      </c>
      <c r="AL42" s="30">
        <f>H42*$AK$11</f>
        <v/>
      </c>
      <c r="AM42" s="30">
        <f>I42*$AK$11</f>
        <v/>
      </c>
      <c r="AN42" s="30">
        <f>J42*$AK$11</f>
        <v/>
      </c>
      <c r="AP42" s="15">
        <f>F42*$AQ$11</f>
        <v/>
      </c>
      <c r="AQ42" s="9">
        <f>G42*$AQ$11</f>
        <v/>
      </c>
      <c r="AR42" s="30">
        <f>H42*$AQ$11</f>
        <v/>
      </c>
      <c r="AS42" s="30">
        <f>I42*$AQ$11</f>
        <v/>
      </c>
      <c r="AT42" s="30">
        <f>J42*$AQ$11</f>
        <v/>
      </c>
      <c r="AV42" s="15">
        <f>F42*$AW$11</f>
        <v/>
      </c>
      <c r="AW42" s="9">
        <f>G42*$AW$11</f>
        <v/>
      </c>
      <c r="AX42" s="30">
        <f>H42*$AW$11</f>
        <v/>
      </c>
      <c r="AY42" s="30">
        <f>I42*$AW$11</f>
        <v/>
      </c>
      <c r="AZ42" s="30">
        <f>J42*$AW$11</f>
        <v/>
      </c>
    </row>
    <row r="43">
      <c r="A43" s="8" t="n">
        <v>46508</v>
      </c>
      <c r="B43" s="33">
        <f>YEAR(A43)</f>
        <v/>
      </c>
      <c r="C43" s="33">
        <f>MONTH(A43)</f>
        <v/>
      </c>
      <c r="D43">
        <f>IF(A43&lt;=LastActual,"Actual","Forecast")</f>
        <v/>
      </c>
      <c r="E43" s="30">
        <f>IF($D43="Actual",R43,W43)</f>
        <v/>
      </c>
      <c r="F43" s="15">
        <f>IF($D43="Actual",S43,Cases_Forecast!AK36)</f>
        <v/>
      </c>
      <c r="G43" s="9">
        <f>IF($D43="Actual",T43,IFERROR(F43/K43,0))</f>
        <v/>
      </c>
      <c r="H43" s="30">
        <f>IF($D43="Actual",U43,G43*L43)</f>
        <v/>
      </c>
      <c r="I43" s="30">
        <f>IF($D43="Actual",V43,J43-H43)</f>
        <v/>
      </c>
      <c r="J43" s="30">
        <f>IF($D43="Actual",U43+V43,IFERROR(H43/(1-AD43),0))</f>
        <v/>
      </c>
      <c r="K43" s="10">
        <f>IF($D43="Actual",IFERROR(S43/T43,0),CPLH_Forecast!AK36)</f>
        <v/>
      </c>
      <c r="L43" s="34">
        <f>IF($D43="Actual",IFERROR(U43/T43,0),N(AE43))</f>
        <v/>
      </c>
      <c r="M43" s="35">
        <f>IFERROR(J43/F43,0)</f>
        <v/>
      </c>
      <c r="N43" s="36">
        <f>IFERROR(J43/E43,0)</f>
        <v/>
      </c>
      <c r="O43" s="36">
        <f>IFERROR(I43/J43,0)</f>
        <v/>
      </c>
      <c r="R43" s="52">
        <f>IF($D43="Actual",SUMIFS(Data_Actuals!$C$2:$C$5000,Data_Actuals!$A$2:$A$5000,$A43,Data_Actuals!$B$2:$B$5000,$B$2),"")</f>
        <v/>
      </c>
      <c r="S43" s="52">
        <f>IF($D43="Actual",SUMIFS(Data_Actuals!$D$2:$D$5000,Data_Actuals!$A$2:$A$5000,$A43,Data_Actuals!$B$2:$B$5000,$B$2),"")</f>
        <v/>
      </c>
      <c r="T43" s="52">
        <f>IF($D43="Actual",SUMIFS(Data_Actuals!$E$2:$E$5000,Data_Actuals!$A$2:$A$5000,$A43,Data_Actuals!$B$2:$B$5000,$B$2),"")</f>
        <v/>
      </c>
      <c r="U43" s="52">
        <f>IF($D43="Actual",SUMIFS(Data_Actuals!$F$2:$F$5000,Data_Actuals!$A$2:$A$5000,$A43,Data_Actuals!$B$2:$B$5000,$B$2),"")</f>
        <v/>
      </c>
      <c r="V43" s="52">
        <f>IF($D43="Actual",SUMIFS(Data_Actuals!$G$2:$G$5000,Data_Actuals!$A$2:$A$5000,$A43,Data_Actuals!$B$2:$B$5000,$B$2),"")</f>
        <v/>
      </c>
      <c r="W43" s="52">
        <f>SUMIFS(Plan_Inputs!$C$2:$C$5000,Plan_Inputs!$A$2:$A$5000,$A43,Plan_Inputs!$B$2:$B$5000,$B$2)</f>
        <v/>
      </c>
      <c r="X43" s="53">
        <f>IF($D43="Actual",IFERROR(S43/T43,""),X31)</f>
        <v/>
      </c>
      <c r="Y43" s="52">
        <f>E43</f>
        <v/>
      </c>
      <c r="Z43" s="54">
        <f>INDEX(Calendar!$H$5:$L$52,MATCH($A43,Calendar!$A$5:$A$52,0),MATCH($D$2,Calendar!$H$4:$L$4,0))</f>
        <v/>
      </c>
      <c r="AA43" s="54">
        <f>INDEX(Calendar!$M$5:$M$52,MATCH($A43,Calendar!$A$5:$A$52,0))</f>
        <v/>
      </c>
      <c r="AB43" s="55">
        <f>IF($D43="Actual",IFERROR(S43/Y43,""),AB31)</f>
        <v/>
      </c>
      <c r="AC43" s="56">
        <f>IF($D43="Actual",IFERROR(U43/T43/Z43/AA43,""),AC31)</f>
        <v/>
      </c>
      <c r="AD43" s="57">
        <f>IF($D43="Actual",IFERROR(V43/(U43+V43),""),$K$2)</f>
        <v/>
      </c>
      <c r="AE43" s="56">
        <f>IFERROR(AC43*Z43*AA43,"")</f>
        <v/>
      </c>
      <c r="AF43" s="53">
        <f>K31</f>
        <v/>
      </c>
      <c r="AG43" s="57">
        <f>IF($D43="Forecast",IFERROR(K43/AF43-1,""),"")</f>
        <v/>
      </c>
      <c r="AH43" s="53">
        <f>IF(CPLHSource="National breakdown",CPLH_Breakdown!AL48,SUMIFS(Plan_Inputs!$D$2:$D$5000,Plan_Inputs!$A$2:$A$5000,$A43,Plan_Inputs!$B$2:$B$5000,$B$2))</f>
        <v/>
      </c>
      <c r="AJ43" s="15">
        <f>F43*$AK$11</f>
        <v/>
      </c>
      <c r="AK43" s="9">
        <f>G43*$AK$11</f>
        <v/>
      </c>
      <c r="AL43" s="30">
        <f>H43*$AK$11</f>
        <v/>
      </c>
      <c r="AM43" s="30">
        <f>I43*$AK$11</f>
        <v/>
      </c>
      <c r="AN43" s="30">
        <f>J43*$AK$11</f>
        <v/>
      </c>
      <c r="AP43" s="15">
        <f>F43*$AQ$11</f>
        <v/>
      </c>
      <c r="AQ43" s="9">
        <f>G43*$AQ$11</f>
        <v/>
      </c>
      <c r="AR43" s="30">
        <f>H43*$AQ$11</f>
        <v/>
      </c>
      <c r="AS43" s="30">
        <f>I43*$AQ$11</f>
        <v/>
      </c>
      <c r="AT43" s="30">
        <f>J43*$AQ$11</f>
        <v/>
      </c>
      <c r="AV43" s="15">
        <f>F43*$AW$11</f>
        <v/>
      </c>
      <c r="AW43" s="9">
        <f>G43*$AW$11</f>
        <v/>
      </c>
      <c r="AX43" s="30">
        <f>H43*$AW$11</f>
        <v/>
      </c>
      <c r="AY43" s="30">
        <f>I43*$AW$11</f>
        <v/>
      </c>
      <c r="AZ43" s="30">
        <f>J43*$AW$11</f>
        <v/>
      </c>
    </row>
    <row r="44">
      <c r="A44" s="8" t="n">
        <v>46539</v>
      </c>
      <c r="B44" s="33">
        <f>YEAR(A44)</f>
        <v/>
      </c>
      <c r="C44" s="33">
        <f>MONTH(A44)</f>
        <v/>
      </c>
      <c r="D44">
        <f>IF(A44&lt;=LastActual,"Actual","Forecast")</f>
        <v/>
      </c>
      <c r="E44" s="30">
        <f>IF($D44="Actual",R44,W44)</f>
        <v/>
      </c>
      <c r="F44" s="15">
        <f>IF($D44="Actual",S44,Cases_Forecast!AK37)</f>
        <v/>
      </c>
      <c r="G44" s="9">
        <f>IF($D44="Actual",T44,IFERROR(F44/K44,0))</f>
        <v/>
      </c>
      <c r="H44" s="30">
        <f>IF($D44="Actual",U44,G44*L44)</f>
        <v/>
      </c>
      <c r="I44" s="30">
        <f>IF($D44="Actual",V44,J44-H44)</f>
        <v/>
      </c>
      <c r="J44" s="30">
        <f>IF($D44="Actual",U44+V44,IFERROR(H44/(1-AD44),0))</f>
        <v/>
      </c>
      <c r="K44" s="10">
        <f>IF($D44="Actual",IFERROR(S44/T44,0),CPLH_Forecast!AK37)</f>
        <v/>
      </c>
      <c r="L44" s="34">
        <f>IF($D44="Actual",IFERROR(U44/T44,0),N(AE44))</f>
        <v/>
      </c>
      <c r="M44" s="35">
        <f>IFERROR(J44/F44,0)</f>
        <v/>
      </c>
      <c r="N44" s="36">
        <f>IFERROR(J44/E44,0)</f>
        <v/>
      </c>
      <c r="O44" s="36">
        <f>IFERROR(I44/J44,0)</f>
        <v/>
      </c>
      <c r="R44" s="52">
        <f>IF($D44="Actual",SUMIFS(Data_Actuals!$C$2:$C$5000,Data_Actuals!$A$2:$A$5000,$A44,Data_Actuals!$B$2:$B$5000,$B$2),"")</f>
        <v/>
      </c>
      <c r="S44" s="52">
        <f>IF($D44="Actual",SUMIFS(Data_Actuals!$D$2:$D$5000,Data_Actuals!$A$2:$A$5000,$A44,Data_Actuals!$B$2:$B$5000,$B$2),"")</f>
        <v/>
      </c>
      <c r="T44" s="52">
        <f>IF($D44="Actual",SUMIFS(Data_Actuals!$E$2:$E$5000,Data_Actuals!$A$2:$A$5000,$A44,Data_Actuals!$B$2:$B$5000,$B$2),"")</f>
        <v/>
      </c>
      <c r="U44" s="52">
        <f>IF($D44="Actual",SUMIFS(Data_Actuals!$F$2:$F$5000,Data_Actuals!$A$2:$A$5000,$A44,Data_Actuals!$B$2:$B$5000,$B$2),"")</f>
        <v/>
      </c>
      <c r="V44" s="52">
        <f>IF($D44="Actual",SUMIFS(Data_Actuals!$G$2:$G$5000,Data_Actuals!$A$2:$A$5000,$A44,Data_Actuals!$B$2:$B$5000,$B$2),"")</f>
        <v/>
      </c>
      <c r="W44" s="52">
        <f>SUMIFS(Plan_Inputs!$C$2:$C$5000,Plan_Inputs!$A$2:$A$5000,$A44,Plan_Inputs!$B$2:$B$5000,$B$2)</f>
        <v/>
      </c>
      <c r="X44" s="53">
        <f>IF($D44="Actual",IFERROR(S44/T44,""),X32)</f>
        <v/>
      </c>
      <c r="Y44" s="52">
        <f>E44</f>
        <v/>
      </c>
      <c r="Z44" s="54">
        <f>INDEX(Calendar!$H$5:$L$52,MATCH($A44,Calendar!$A$5:$A$52,0),MATCH($D$2,Calendar!$H$4:$L$4,0))</f>
        <v/>
      </c>
      <c r="AA44" s="54">
        <f>INDEX(Calendar!$M$5:$M$52,MATCH($A44,Calendar!$A$5:$A$52,0))</f>
        <v/>
      </c>
      <c r="AB44" s="55">
        <f>IF($D44="Actual",IFERROR(S44/Y44,""),AB32)</f>
        <v/>
      </c>
      <c r="AC44" s="56">
        <f>IF($D44="Actual",IFERROR(U44/T44/Z44/AA44,""),AC32)</f>
        <v/>
      </c>
      <c r="AD44" s="57">
        <f>IF($D44="Actual",IFERROR(V44/(U44+V44),""),$K$2)</f>
        <v/>
      </c>
      <c r="AE44" s="56">
        <f>IFERROR(AC44*Z44*AA44,"")</f>
        <v/>
      </c>
      <c r="AF44" s="53">
        <f>K32</f>
        <v/>
      </c>
      <c r="AG44" s="57">
        <f>IF($D44="Forecast",IFERROR(K44/AF44-1,""),"")</f>
        <v/>
      </c>
      <c r="AH44" s="53">
        <f>IF(CPLHSource="National breakdown",CPLH_Breakdown!AL49,SUMIFS(Plan_Inputs!$D$2:$D$5000,Plan_Inputs!$A$2:$A$5000,$A44,Plan_Inputs!$B$2:$B$5000,$B$2))</f>
        <v/>
      </c>
      <c r="AJ44" s="15">
        <f>F44*$AK$11</f>
        <v/>
      </c>
      <c r="AK44" s="9">
        <f>G44*$AK$11</f>
        <v/>
      </c>
      <c r="AL44" s="30">
        <f>H44*$AK$11</f>
        <v/>
      </c>
      <c r="AM44" s="30">
        <f>I44*$AK$11</f>
        <v/>
      </c>
      <c r="AN44" s="30">
        <f>J44*$AK$11</f>
        <v/>
      </c>
      <c r="AP44" s="15">
        <f>F44*$AQ$11</f>
        <v/>
      </c>
      <c r="AQ44" s="9">
        <f>G44*$AQ$11</f>
        <v/>
      </c>
      <c r="AR44" s="30">
        <f>H44*$AQ$11</f>
        <v/>
      </c>
      <c r="AS44" s="30">
        <f>I44*$AQ$11</f>
        <v/>
      </c>
      <c r="AT44" s="30">
        <f>J44*$AQ$11</f>
        <v/>
      </c>
      <c r="AV44" s="15">
        <f>F44*$AW$11</f>
        <v/>
      </c>
      <c r="AW44" s="9">
        <f>G44*$AW$11</f>
        <v/>
      </c>
      <c r="AX44" s="30">
        <f>H44*$AW$11</f>
        <v/>
      </c>
      <c r="AY44" s="30">
        <f>I44*$AW$11</f>
        <v/>
      </c>
      <c r="AZ44" s="30">
        <f>J44*$AW$11</f>
        <v/>
      </c>
    </row>
    <row r="45">
      <c r="A45" s="8" t="n">
        <v>46569</v>
      </c>
      <c r="B45" s="33">
        <f>YEAR(A45)</f>
        <v/>
      </c>
      <c r="C45" s="33">
        <f>MONTH(A45)</f>
        <v/>
      </c>
      <c r="D45">
        <f>IF(A45&lt;=LastActual,"Actual","Forecast")</f>
        <v/>
      </c>
      <c r="E45" s="30">
        <f>IF($D45="Actual",R45,W45)</f>
        <v/>
      </c>
      <c r="F45" s="15">
        <f>IF($D45="Actual",S45,Cases_Forecast!AK38)</f>
        <v/>
      </c>
      <c r="G45" s="9">
        <f>IF($D45="Actual",T45,IFERROR(F45/K45,0))</f>
        <v/>
      </c>
      <c r="H45" s="30">
        <f>IF($D45="Actual",U45,G45*L45)</f>
        <v/>
      </c>
      <c r="I45" s="30">
        <f>IF($D45="Actual",V45,J45-H45)</f>
        <v/>
      </c>
      <c r="J45" s="30">
        <f>IF($D45="Actual",U45+V45,IFERROR(H45/(1-AD45),0))</f>
        <v/>
      </c>
      <c r="K45" s="10">
        <f>IF($D45="Actual",IFERROR(S45/T45,0),CPLH_Forecast!AK38)</f>
        <v/>
      </c>
      <c r="L45" s="34">
        <f>IF($D45="Actual",IFERROR(U45/T45,0),N(AE45))</f>
        <v/>
      </c>
      <c r="M45" s="35">
        <f>IFERROR(J45/F45,0)</f>
        <v/>
      </c>
      <c r="N45" s="36">
        <f>IFERROR(J45/E45,0)</f>
        <v/>
      </c>
      <c r="O45" s="36">
        <f>IFERROR(I45/J45,0)</f>
        <v/>
      </c>
      <c r="R45" s="52">
        <f>IF($D45="Actual",SUMIFS(Data_Actuals!$C$2:$C$5000,Data_Actuals!$A$2:$A$5000,$A45,Data_Actuals!$B$2:$B$5000,$B$2),"")</f>
        <v/>
      </c>
      <c r="S45" s="52">
        <f>IF($D45="Actual",SUMIFS(Data_Actuals!$D$2:$D$5000,Data_Actuals!$A$2:$A$5000,$A45,Data_Actuals!$B$2:$B$5000,$B$2),"")</f>
        <v/>
      </c>
      <c r="T45" s="52">
        <f>IF($D45="Actual",SUMIFS(Data_Actuals!$E$2:$E$5000,Data_Actuals!$A$2:$A$5000,$A45,Data_Actuals!$B$2:$B$5000,$B$2),"")</f>
        <v/>
      </c>
      <c r="U45" s="52">
        <f>IF($D45="Actual",SUMIFS(Data_Actuals!$F$2:$F$5000,Data_Actuals!$A$2:$A$5000,$A45,Data_Actuals!$B$2:$B$5000,$B$2),"")</f>
        <v/>
      </c>
      <c r="V45" s="52">
        <f>IF($D45="Actual",SUMIFS(Data_Actuals!$G$2:$G$5000,Data_Actuals!$A$2:$A$5000,$A45,Data_Actuals!$B$2:$B$5000,$B$2),"")</f>
        <v/>
      </c>
      <c r="W45" s="52">
        <f>SUMIFS(Plan_Inputs!$C$2:$C$5000,Plan_Inputs!$A$2:$A$5000,$A45,Plan_Inputs!$B$2:$B$5000,$B$2)</f>
        <v/>
      </c>
      <c r="X45" s="53">
        <f>IF($D45="Actual",IFERROR(S45/T45,""),X33)</f>
        <v/>
      </c>
      <c r="Y45" s="52">
        <f>E45</f>
        <v/>
      </c>
      <c r="Z45" s="54">
        <f>INDEX(Calendar!$H$5:$L$52,MATCH($A45,Calendar!$A$5:$A$52,0),MATCH($D$2,Calendar!$H$4:$L$4,0))</f>
        <v/>
      </c>
      <c r="AA45" s="54">
        <f>INDEX(Calendar!$M$5:$M$52,MATCH($A45,Calendar!$A$5:$A$52,0))</f>
        <v/>
      </c>
      <c r="AB45" s="55">
        <f>IF($D45="Actual",IFERROR(S45/Y45,""),AB33)</f>
        <v/>
      </c>
      <c r="AC45" s="56">
        <f>IF($D45="Actual",IFERROR(U45/T45/Z45/AA45,""),AC33)</f>
        <v/>
      </c>
      <c r="AD45" s="57">
        <f>IF($D45="Actual",IFERROR(V45/(U45+V45),""),$K$2)</f>
        <v/>
      </c>
      <c r="AE45" s="56">
        <f>IFERROR(AC45*Z45*AA45,"")</f>
        <v/>
      </c>
      <c r="AF45" s="53">
        <f>K33</f>
        <v/>
      </c>
      <c r="AG45" s="57">
        <f>IF($D45="Forecast",IFERROR(K45/AF45-1,""),"")</f>
        <v/>
      </c>
      <c r="AH45" s="53">
        <f>IF(CPLHSource="National breakdown",CPLH_Breakdown!AL50,SUMIFS(Plan_Inputs!$D$2:$D$5000,Plan_Inputs!$A$2:$A$5000,$A45,Plan_Inputs!$B$2:$B$5000,$B$2))</f>
        <v/>
      </c>
      <c r="AJ45" s="15">
        <f>F45*$AK$11</f>
        <v/>
      </c>
      <c r="AK45" s="9">
        <f>G45*$AK$11</f>
        <v/>
      </c>
      <c r="AL45" s="30">
        <f>H45*$AK$11</f>
        <v/>
      </c>
      <c r="AM45" s="30">
        <f>I45*$AK$11</f>
        <v/>
      </c>
      <c r="AN45" s="30">
        <f>J45*$AK$11</f>
        <v/>
      </c>
      <c r="AP45" s="15">
        <f>F45*$AQ$11</f>
        <v/>
      </c>
      <c r="AQ45" s="9">
        <f>G45*$AQ$11</f>
        <v/>
      </c>
      <c r="AR45" s="30">
        <f>H45*$AQ$11</f>
        <v/>
      </c>
      <c r="AS45" s="30">
        <f>I45*$AQ$11</f>
        <v/>
      </c>
      <c r="AT45" s="30">
        <f>J45*$AQ$11</f>
        <v/>
      </c>
      <c r="AV45" s="15">
        <f>F45*$AW$11</f>
        <v/>
      </c>
      <c r="AW45" s="9">
        <f>G45*$AW$11</f>
        <v/>
      </c>
      <c r="AX45" s="30">
        <f>H45*$AW$11</f>
        <v/>
      </c>
      <c r="AY45" s="30">
        <f>I45*$AW$11</f>
        <v/>
      </c>
      <c r="AZ45" s="30">
        <f>J45*$AW$11</f>
        <v/>
      </c>
    </row>
    <row r="46">
      <c r="A46" s="8" t="n">
        <v>46600</v>
      </c>
      <c r="B46" s="33">
        <f>YEAR(A46)</f>
        <v/>
      </c>
      <c r="C46" s="33">
        <f>MONTH(A46)</f>
        <v/>
      </c>
      <c r="D46">
        <f>IF(A46&lt;=LastActual,"Actual","Forecast")</f>
        <v/>
      </c>
      <c r="E46" s="30">
        <f>IF($D46="Actual",R46,W46)</f>
        <v/>
      </c>
      <c r="F46" s="15">
        <f>IF($D46="Actual",S46,Cases_Forecast!AK39)</f>
        <v/>
      </c>
      <c r="G46" s="9">
        <f>IF($D46="Actual",T46,IFERROR(F46/K46,0))</f>
        <v/>
      </c>
      <c r="H46" s="30">
        <f>IF($D46="Actual",U46,G46*L46)</f>
        <v/>
      </c>
      <c r="I46" s="30">
        <f>IF($D46="Actual",V46,J46-H46)</f>
        <v/>
      </c>
      <c r="J46" s="30">
        <f>IF($D46="Actual",U46+V46,IFERROR(H46/(1-AD46),0))</f>
        <v/>
      </c>
      <c r="K46" s="10">
        <f>IF($D46="Actual",IFERROR(S46/T46,0),CPLH_Forecast!AK39)</f>
        <v/>
      </c>
      <c r="L46" s="34">
        <f>IF($D46="Actual",IFERROR(U46/T46,0),N(AE46))</f>
        <v/>
      </c>
      <c r="M46" s="35">
        <f>IFERROR(J46/F46,0)</f>
        <v/>
      </c>
      <c r="N46" s="36">
        <f>IFERROR(J46/E46,0)</f>
        <v/>
      </c>
      <c r="O46" s="36">
        <f>IFERROR(I46/J46,0)</f>
        <v/>
      </c>
      <c r="R46" s="52">
        <f>IF($D46="Actual",SUMIFS(Data_Actuals!$C$2:$C$5000,Data_Actuals!$A$2:$A$5000,$A46,Data_Actuals!$B$2:$B$5000,$B$2),"")</f>
        <v/>
      </c>
      <c r="S46" s="52">
        <f>IF($D46="Actual",SUMIFS(Data_Actuals!$D$2:$D$5000,Data_Actuals!$A$2:$A$5000,$A46,Data_Actuals!$B$2:$B$5000,$B$2),"")</f>
        <v/>
      </c>
      <c r="T46" s="52">
        <f>IF($D46="Actual",SUMIFS(Data_Actuals!$E$2:$E$5000,Data_Actuals!$A$2:$A$5000,$A46,Data_Actuals!$B$2:$B$5000,$B$2),"")</f>
        <v/>
      </c>
      <c r="U46" s="52">
        <f>IF($D46="Actual",SUMIFS(Data_Actuals!$F$2:$F$5000,Data_Actuals!$A$2:$A$5000,$A46,Data_Actuals!$B$2:$B$5000,$B$2),"")</f>
        <v/>
      </c>
      <c r="V46" s="52">
        <f>IF($D46="Actual",SUMIFS(Data_Actuals!$G$2:$G$5000,Data_Actuals!$A$2:$A$5000,$A46,Data_Actuals!$B$2:$B$5000,$B$2),"")</f>
        <v/>
      </c>
      <c r="W46" s="52">
        <f>SUMIFS(Plan_Inputs!$C$2:$C$5000,Plan_Inputs!$A$2:$A$5000,$A46,Plan_Inputs!$B$2:$B$5000,$B$2)</f>
        <v/>
      </c>
      <c r="X46" s="53">
        <f>IF($D46="Actual",IFERROR(S46/T46,""),X34)</f>
        <v/>
      </c>
      <c r="Y46" s="52">
        <f>E46</f>
        <v/>
      </c>
      <c r="Z46" s="54">
        <f>INDEX(Calendar!$H$5:$L$52,MATCH($A46,Calendar!$A$5:$A$52,0),MATCH($D$2,Calendar!$H$4:$L$4,0))</f>
        <v/>
      </c>
      <c r="AA46" s="54">
        <f>INDEX(Calendar!$M$5:$M$52,MATCH($A46,Calendar!$A$5:$A$52,0))</f>
        <v/>
      </c>
      <c r="AB46" s="55">
        <f>IF($D46="Actual",IFERROR(S46/Y46,""),AB34)</f>
        <v/>
      </c>
      <c r="AC46" s="56">
        <f>IF($D46="Actual",IFERROR(U46/T46/Z46/AA46,""),AC34)</f>
        <v/>
      </c>
      <c r="AD46" s="57">
        <f>IF($D46="Actual",IFERROR(V46/(U46+V46),""),$K$2)</f>
        <v/>
      </c>
      <c r="AE46" s="56">
        <f>IFERROR(AC46*Z46*AA46,"")</f>
        <v/>
      </c>
      <c r="AF46" s="53">
        <f>K34</f>
        <v/>
      </c>
      <c r="AG46" s="57">
        <f>IF($D46="Forecast",IFERROR(K46/AF46-1,""),"")</f>
        <v/>
      </c>
      <c r="AH46" s="53">
        <f>IF(CPLHSource="National breakdown",CPLH_Breakdown!AL51,SUMIFS(Plan_Inputs!$D$2:$D$5000,Plan_Inputs!$A$2:$A$5000,$A46,Plan_Inputs!$B$2:$B$5000,$B$2))</f>
        <v/>
      </c>
      <c r="AJ46" s="15">
        <f>F46*$AK$11</f>
        <v/>
      </c>
      <c r="AK46" s="9">
        <f>G46*$AK$11</f>
        <v/>
      </c>
      <c r="AL46" s="30">
        <f>H46*$AK$11</f>
        <v/>
      </c>
      <c r="AM46" s="30">
        <f>I46*$AK$11</f>
        <v/>
      </c>
      <c r="AN46" s="30">
        <f>J46*$AK$11</f>
        <v/>
      </c>
      <c r="AP46" s="15">
        <f>F46*$AQ$11</f>
        <v/>
      </c>
      <c r="AQ46" s="9">
        <f>G46*$AQ$11</f>
        <v/>
      </c>
      <c r="AR46" s="30">
        <f>H46*$AQ$11</f>
        <v/>
      </c>
      <c r="AS46" s="30">
        <f>I46*$AQ$11</f>
        <v/>
      </c>
      <c r="AT46" s="30">
        <f>J46*$AQ$11</f>
        <v/>
      </c>
      <c r="AV46" s="15">
        <f>F46*$AW$11</f>
        <v/>
      </c>
      <c r="AW46" s="9">
        <f>G46*$AW$11</f>
        <v/>
      </c>
      <c r="AX46" s="30">
        <f>H46*$AW$11</f>
        <v/>
      </c>
      <c r="AY46" s="30">
        <f>I46*$AW$11</f>
        <v/>
      </c>
      <c r="AZ46" s="30">
        <f>J46*$AW$11</f>
        <v/>
      </c>
    </row>
    <row r="47">
      <c r="A47" s="8" t="n">
        <v>46631</v>
      </c>
      <c r="B47" s="33">
        <f>YEAR(A47)</f>
        <v/>
      </c>
      <c r="C47" s="33">
        <f>MONTH(A47)</f>
        <v/>
      </c>
      <c r="D47">
        <f>IF(A47&lt;=LastActual,"Actual","Forecast")</f>
        <v/>
      </c>
      <c r="E47" s="30">
        <f>IF($D47="Actual",R47,W47)</f>
        <v/>
      </c>
      <c r="F47" s="15">
        <f>IF($D47="Actual",S47,Cases_Forecast!AK40)</f>
        <v/>
      </c>
      <c r="G47" s="9">
        <f>IF($D47="Actual",T47,IFERROR(F47/K47,0))</f>
        <v/>
      </c>
      <c r="H47" s="30">
        <f>IF($D47="Actual",U47,G47*L47)</f>
        <v/>
      </c>
      <c r="I47" s="30">
        <f>IF($D47="Actual",V47,J47-H47)</f>
        <v/>
      </c>
      <c r="J47" s="30">
        <f>IF($D47="Actual",U47+V47,IFERROR(H47/(1-AD47),0))</f>
        <v/>
      </c>
      <c r="K47" s="10">
        <f>IF($D47="Actual",IFERROR(S47/T47,0),CPLH_Forecast!AK40)</f>
        <v/>
      </c>
      <c r="L47" s="34">
        <f>IF($D47="Actual",IFERROR(U47/T47,0),N(AE47))</f>
        <v/>
      </c>
      <c r="M47" s="35">
        <f>IFERROR(J47/F47,0)</f>
        <v/>
      </c>
      <c r="N47" s="36">
        <f>IFERROR(J47/E47,0)</f>
        <v/>
      </c>
      <c r="O47" s="36">
        <f>IFERROR(I47/J47,0)</f>
        <v/>
      </c>
      <c r="R47" s="52">
        <f>IF($D47="Actual",SUMIFS(Data_Actuals!$C$2:$C$5000,Data_Actuals!$A$2:$A$5000,$A47,Data_Actuals!$B$2:$B$5000,$B$2),"")</f>
        <v/>
      </c>
      <c r="S47" s="52">
        <f>IF($D47="Actual",SUMIFS(Data_Actuals!$D$2:$D$5000,Data_Actuals!$A$2:$A$5000,$A47,Data_Actuals!$B$2:$B$5000,$B$2),"")</f>
        <v/>
      </c>
      <c r="T47" s="52">
        <f>IF($D47="Actual",SUMIFS(Data_Actuals!$E$2:$E$5000,Data_Actuals!$A$2:$A$5000,$A47,Data_Actuals!$B$2:$B$5000,$B$2),"")</f>
        <v/>
      </c>
      <c r="U47" s="52">
        <f>IF($D47="Actual",SUMIFS(Data_Actuals!$F$2:$F$5000,Data_Actuals!$A$2:$A$5000,$A47,Data_Actuals!$B$2:$B$5000,$B$2),"")</f>
        <v/>
      </c>
      <c r="V47" s="52">
        <f>IF($D47="Actual",SUMIFS(Data_Actuals!$G$2:$G$5000,Data_Actuals!$A$2:$A$5000,$A47,Data_Actuals!$B$2:$B$5000,$B$2),"")</f>
        <v/>
      </c>
      <c r="W47" s="52">
        <f>SUMIFS(Plan_Inputs!$C$2:$C$5000,Plan_Inputs!$A$2:$A$5000,$A47,Plan_Inputs!$B$2:$B$5000,$B$2)</f>
        <v/>
      </c>
      <c r="X47" s="53">
        <f>IF($D47="Actual",IFERROR(S47/T47,""),X35)</f>
        <v/>
      </c>
      <c r="Y47" s="52">
        <f>E47</f>
        <v/>
      </c>
      <c r="Z47" s="54">
        <f>INDEX(Calendar!$H$5:$L$52,MATCH($A47,Calendar!$A$5:$A$52,0),MATCH($D$2,Calendar!$H$4:$L$4,0))</f>
        <v/>
      </c>
      <c r="AA47" s="54">
        <f>INDEX(Calendar!$M$5:$M$52,MATCH($A47,Calendar!$A$5:$A$52,0))</f>
        <v/>
      </c>
      <c r="AB47" s="55">
        <f>IF($D47="Actual",IFERROR(S47/Y47,""),AB35)</f>
        <v/>
      </c>
      <c r="AC47" s="56">
        <f>IF($D47="Actual",IFERROR(U47/T47/Z47/AA47,""),AC35)</f>
        <v/>
      </c>
      <c r="AD47" s="57">
        <f>IF($D47="Actual",IFERROR(V47/(U47+V47),""),$K$2)</f>
        <v/>
      </c>
      <c r="AE47" s="56">
        <f>IFERROR(AC47*Z47*AA47,"")</f>
        <v/>
      </c>
      <c r="AF47" s="53">
        <f>K35</f>
        <v/>
      </c>
      <c r="AG47" s="57">
        <f>IF($D47="Forecast",IFERROR(K47/AF47-1,""),"")</f>
        <v/>
      </c>
      <c r="AH47" s="53">
        <f>IF(CPLHSource="National breakdown",CPLH_Breakdown!AL52,SUMIFS(Plan_Inputs!$D$2:$D$5000,Plan_Inputs!$A$2:$A$5000,$A47,Plan_Inputs!$B$2:$B$5000,$B$2))</f>
        <v/>
      </c>
      <c r="AJ47" s="15">
        <f>F47*$AK$11</f>
        <v/>
      </c>
      <c r="AK47" s="9">
        <f>G47*$AK$11</f>
        <v/>
      </c>
      <c r="AL47" s="30">
        <f>H47*$AK$11</f>
        <v/>
      </c>
      <c r="AM47" s="30">
        <f>I47*$AK$11</f>
        <v/>
      </c>
      <c r="AN47" s="30">
        <f>J47*$AK$11</f>
        <v/>
      </c>
      <c r="AP47" s="15">
        <f>F47*$AQ$11</f>
        <v/>
      </c>
      <c r="AQ47" s="9">
        <f>G47*$AQ$11</f>
        <v/>
      </c>
      <c r="AR47" s="30">
        <f>H47*$AQ$11</f>
        <v/>
      </c>
      <c r="AS47" s="30">
        <f>I47*$AQ$11</f>
        <v/>
      </c>
      <c r="AT47" s="30">
        <f>J47*$AQ$11</f>
        <v/>
      </c>
      <c r="AV47" s="15">
        <f>F47*$AW$11</f>
        <v/>
      </c>
      <c r="AW47" s="9">
        <f>G47*$AW$11</f>
        <v/>
      </c>
      <c r="AX47" s="30">
        <f>H47*$AW$11</f>
        <v/>
      </c>
      <c r="AY47" s="30">
        <f>I47*$AW$11</f>
        <v/>
      </c>
      <c r="AZ47" s="30">
        <f>J47*$AW$11</f>
        <v/>
      </c>
    </row>
    <row r="48">
      <c r="A48" s="8" t="n">
        <v>46661</v>
      </c>
      <c r="B48" s="33">
        <f>YEAR(A48)</f>
        <v/>
      </c>
      <c r="C48" s="33">
        <f>MONTH(A48)</f>
        <v/>
      </c>
      <c r="D48">
        <f>IF(A48&lt;=LastActual,"Actual","Forecast")</f>
        <v/>
      </c>
      <c r="E48" s="30">
        <f>IF($D48="Actual",R48,W48)</f>
        <v/>
      </c>
      <c r="F48" s="15">
        <f>IF($D48="Actual",S48,Cases_Forecast!AK41)</f>
        <v/>
      </c>
      <c r="G48" s="9">
        <f>IF($D48="Actual",T48,IFERROR(F48/K48,0))</f>
        <v/>
      </c>
      <c r="H48" s="30">
        <f>IF($D48="Actual",U48,G48*L48)</f>
        <v/>
      </c>
      <c r="I48" s="30">
        <f>IF($D48="Actual",V48,J48-H48)</f>
        <v/>
      </c>
      <c r="J48" s="30">
        <f>IF($D48="Actual",U48+V48,IFERROR(H48/(1-AD48),0))</f>
        <v/>
      </c>
      <c r="K48" s="10">
        <f>IF($D48="Actual",IFERROR(S48/T48,0),CPLH_Forecast!AK41)</f>
        <v/>
      </c>
      <c r="L48" s="34">
        <f>IF($D48="Actual",IFERROR(U48/T48,0),N(AE48))</f>
        <v/>
      </c>
      <c r="M48" s="35">
        <f>IFERROR(J48/F48,0)</f>
        <v/>
      </c>
      <c r="N48" s="36">
        <f>IFERROR(J48/E48,0)</f>
        <v/>
      </c>
      <c r="O48" s="36">
        <f>IFERROR(I48/J48,0)</f>
        <v/>
      </c>
      <c r="R48" s="52">
        <f>IF($D48="Actual",SUMIFS(Data_Actuals!$C$2:$C$5000,Data_Actuals!$A$2:$A$5000,$A48,Data_Actuals!$B$2:$B$5000,$B$2),"")</f>
        <v/>
      </c>
      <c r="S48" s="52">
        <f>IF($D48="Actual",SUMIFS(Data_Actuals!$D$2:$D$5000,Data_Actuals!$A$2:$A$5000,$A48,Data_Actuals!$B$2:$B$5000,$B$2),"")</f>
        <v/>
      </c>
      <c r="T48" s="52">
        <f>IF($D48="Actual",SUMIFS(Data_Actuals!$E$2:$E$5000,Data_Actuals!$A$2:$A$5000,$A48,Data_Actuals!$B$2:$B$5000,$B$2),"")</f>
        <v/>
      </c>
      <c r="U48" s="52">
        <f>IF($D48="Actual",SUMIFS(Data_Actuals!$F$2:$F$5000,Data_Actuals!$A$2:$A$5000,$A48,Data_Actuals!$B$2:$B$5000,$B$2),"")</f>
        <v/>
      </c>
      <c r="V48" s="52">
        <f>IF($D48="Actual",SUMIFS(Data_Actuals!$G$2:$G$5000,Data_Actuals!$A$2:$A$5000,$A48,Data_Actuals!$B$2:$B$5000,$B$2),"")</f>
        <v/>
      </c>
      <c r="W48" s="52">
        <f>SUMIFS(Plan_Inputs!$C$2:$C$5000,Plan_Inputs!$A$2:$A$5000,$A48,Plan_Inputs!$B$2:$B$5000,$B$2)</f>
        <v/>
      </c>
      <c r="X48" s="53">
        <f>IF($D48="Actual",IFERROR(S48/T48,""),X36)</f>
        <v/>
      </c>
      <c r="Y48" s="52">
        <f>E48</f>
        <v/>
      </c>
      <c r="Z48" s="54">
        <f>INDEX(Calendar!$H$5:$L$52,MATCH($A48,Calendar!$A$5:$A$52,0),MATCH($D$2,Calendar!$H$4:$L$4,0))</f>
        <v/>
      </c>
      <c r="AA48" s="54">
        <f>INDEX(Calendar!$M$5:$M$52,MATCH($A48,Calendar!$A$5:$A$52,0))</f>
        <v/>
      </c>
      <c r="AB48" s="55">
        <f>IF($D48="Actual",IFERROR(S48/Y48,""),AB36)</f>
        <v/>
      </c>
      <c r="AC48" s="56">
        <f>IF($D48="Actual",IFERROR(U48/T48/Z48/AA48,""),AC36)</f>
        <v/>
      </c>
      <c r="AD48" s="57">
        <f>IF($D48="Actual",IFERROR(V48/(U48+V48),""),$K$2)</f>
        <v/>
      </c>
      <c r="AE48" s="56">
        <f>IFERROR(AC48*Z48*AA48,"")</f>
        <v/>
      </c>
      <c r="AF48" s="53">
        <f>K36</f>
        <v/>
      </c>
      <c r="AG48" s="57">
        <f>IF($D48="Forecast",IFERROR(K48/AF48-1,""),"")</f>
        <v/>
      </c>
      <c r="AH48" s="53">
        <f>IF(CPLHSource="National breakdown",CPLH_Breakdown!AL53,SUMIFS(Plan_Inputs!$D$2:$D$5000,Plan_Inputs!$A$2:$A$5000,$A48,Plan_Inputs!$B$2:$B$5000,$B$2))</f>
        <v/>
      </c>
      <c r="AJ48" s="15">
        <f>F48*$AK$11</f>
        <v/>
      </c>
      <c r="AK48" s="9">
        <f>G48*$AK$11</f>
        <v/>
      </c>
      <c r="AL48" s="30">
        <f>H48*$AK$11</f>
        <v/>
      </c>
      <c r="AM48" s="30">
        <f>I48*$AK$11</f>
        <v/>
      </c>
      <c r="AN48" s="30">
        <f>J48*$AK$11</f>
        <v/>
      </c>
      <c r="AP48" s="15">
        <f>F48*$AQ$11</f>
        <v/>
      </c>
      <c r="AQ48" s="9">
        <f>G48*$AQ$11</f>
        <v/>
      </c>
      <c r="AR48" s="30">
        <f>H48*$AQ$11</f>
        <v/>
      </c>
      <c r="AS48" s="30">
        <f>I48*$AQ$11</f>
        <v/>
      </c>
      <c r="AT48" s="30">
        <f>J48*$AQ$11</f>
        <v/>
      </c>
      <c r="AV48" s="15">
        <f>F48*$AW$11</f>
        <v/>
      </c>
      <c r="AW48" s="9">
        <f>G48*$AW$11</f>
        <v/>
      </c>
      <c r="AX48" s="30">
        <f>H48*$AW$11</f>
        <v/>
      </c>
      <c r="AY48" s="30">
        <f>I48*$AW$11</f>
        <v/>
      </c>
      <c r="AZ48" s="30">
        <f>J48*$AW$11</f>
        <v/>
      </c>
    </row>
    <row r="49">
      <c r="A49" s="8" t="n">
        <v>46692</v>
      </c>
      <c r="B49" s="33">
        <f>YEAR(A49)</f>
        <v/>
      </c>
      <c r="C49" s="33">
        <f>MONTH(A49)</f>
        <v/>
      </c>
      <c r="D49">
        <f>IF(A49&lt;=LastActual,"Actual","Forecast")</f>
        <v/>
      </c>
      <c r="E49" s="30">
        <f>IF($D49="Actual",R49,W49)</f>
        <v/>
      </c>
      <c r="F49" s="15">
        <f>IF($D49="Actual",S49,Cases_Forecast!AK42)</f>
        <v/>
      </c>
      <c r="G49" s="9">
        <f>IF($D49="Actual",T49,IFERROR(F49/K49,0))</f>
        <v/>
      </c>
      <c r="H49" s="30">
        <f>IF($D49="Actual",U49,G49*L49)</f>
        <v/>
      </c>
      <c r="I49" s="30">
        <f>IF($D49="Actual",V49,J49-H49)</f>
        <v/>
      </c>
      <c r="J49" s="30">
        <f>IF($D49="Actual",U49+V49,IFERROR(H49/(1-AD49),0))</f>
        <v/>
      </c>
      <c r="K49" s="10">
        <f>IF($D49="Actual",IFERROR(S49/T49,0),CPLH_Forecast!AK42)</f>
        <v/>
      </c>
      <c r="L49" s="34">
        <f>IF($D49="Actual",IFERROR(U49/T49,0),N(AE49))</f>
        <v/>
      </c>
      <c r="M49" s="35">
        <f>IFERROR(J49/F49,0)</f>
        <v/>
      </c>
      <c r="N49" s="36">
        <f>IFERROR(J49/E49,0)</f>
        <v/>
      </c>
      <c r="O49" s="36">
        <f>IFERROR(I49/J49,0)</f>
        <v/>
      </c>
      <c r="R49" s="52">
        <f>IF($D49="Actual",SUMIFS(Data_Actuals!$C$2:$C$5000,Data_Actuals!$A$2:$A$5000,$A49,Data_Actuals!$B$2:$B$5000,$B$2),"")</f>
        <v/>
      </c>
      <c r="S49" s="52">
        <f>IF($D49="Actual",SUMIFS(Data_Actuals!$D$2:$D$5000,Data_Actuals!$A$2:$A$5000,$A49,Data_Actuals!$B$2:$B$5000,$B$2),"")</f>
        <v/>
      </c>
      <c r="T49" s="52">
        <f>IF($D49="Actual",SUMIFS(Data_Actuals!$E$2:$E$5000,Data_Actuals!$A$2:$A$5000,$A49,Data_Actuals!$B$2:$B$5000,$B$2),"")</f>
        <v/>
      </c>
      <c r="U49" s="52">
        <f>IF($D49="Actual",SUMIFS(Data_Actuals!$F$2:$F$5000,Data_Actuals!$A$2:$A$5000,$A49,Data_Actuals!$B$2:$B$5000,$B$2),"")</f>
        <v/>
      </c>
      <c r="V49" s="52">
        <f>IF($D49="Actual",SUMIFS(Data_Actuals!$G$2:$G$5000,Data_Actuals!$A$2:$A$5000,$A49,Data_Actuals!$B$2:$B$5000,$B$2),"")</f>
        <v/>
      </c>
      <c r="W49" s="52">
        <f>SUMIFS(Plan_Inputs!$C$2:$C$5000,Plan_Inputs!$A$2:$A$5000,$A49,Plan_Inputs!$B$2:$B$5000,$B$2)</f>
        <v/>
      </c>
      <c r="X49" s="53">
        <f>IF($D49="Actual",IFERROR(S49/T49,""),X37)</f>
        <v/>
      </c>
      <c r="Y49" s="52">
        <f>E49</f>
        <v/>
      </c>
      <c r="Z49" s="54">
        <f>INDEX(Calendar!$H$5:$L$52,MATCH($A49,Calendar!$A$5:$A$52,0),MATCH($D$2,Calendar!$H$4:$L$4,0))</f>
        <v/>
      </c>
      <c r="AA49" s="54">
        <f>INDEX(Calendar!$M$5:$M$52,MATCH($A49,Calendar!$A$5:$A$52,0))</f>
        <v/>
      </c>
      <c r="AB49" s="55">
        <f>IF($D49="Actual",IFERROR(S49/Y49,""),AB37)</f>
        <v/>
      </c>
      <c r="AC49" s="56">
        <f>IF($D49="Actual",IFERROR(U49/T49/Z49/AA49,""),AC37)</f>
        <v/>
      </c>
      <c r="AD49" s="57">
        <f>IF($D49="Actual",IFERROR(V49/(U49+V49),""),$K$2)</f>
        <v/>
      </c>
      <c r="AE49" s="56">
        <f>IFERROR(AC49*Z49*AA49,"")</f>
        <v/>
      </c>
      <c r="AF49" s="53">
        <f>K37</f>
        <v/>
      </c>
      <c r="AG49" s="57">
        <f>IF($D49="Forecast",IFERROR(K49/AF49-1,""),"")</f>
        <v/>
      </c>
      <c r="AH49" s="53">
        <f>IF(CPLHSource="National breakdown",CPLH_Breakdown!AL54,SUMIFS(Plan_Inputs!$D$2:$D$5000,Plan_Inputs!$A$2:$A$5000,$A49,Plan_Inputs!$B$2:$B$5000,$B$2))</f>
        <v/>
      </c>
      <c r="AJ49" s="15">
        <f>F49*$AK$11</f>
        <v/>
      </c>
      <c r="AK49" s="9">
        <f>G49*$AK$11</f>
        <v/>
      </c>
      <c r="AL49" s="30">
        <f>H49*$AK$11</f>
        <v/>
      </c>
      <c r="AM49" s="30">
        <f>I49*$AK$11</f>
        <v/>
      </c>
      <c r="AN49" s="30">
        <f>J49*$AK$11</f>
        <v/>
      </c>
      <c r="AP49" s="15">
        <f>F49*$AQ$11</f>
        <v/>
      </c>
      <c r="AQ49" s="9">
        <f>G49*$AQ$11</f>
        <v/>
      </c>
      <c r="AR49" s="30">
        <f>H49*$AQ$11</f>
        <v/>
      </c>
      <c r="AS49" s="30">
        <f>I49*$AQ$11</f>
        <v/>
      </c>
      <c r="AT49" s="30">
        <f>J49*$AQ$11</f>
        <v/>
      </c>
      <c r="AV49" s="15">
        <f>F49*$AW$11</f>
        <v/>
      </c>
      <c r="AW49" s="9">
        <f>G49*$AW$11</f>
        <v/>
      </c>
      <c r="AX49" s="30">
        <f>H49*$AW$11</f>
        <v/>
      </c>
      <c r="AY49" s="30">
        <f>I49*$AW$11</f>
        <v/>
      </c>
      <c r="AZ49" s="30">
        <f>J49*$AW$11</f>
        <v/>
      </c>
    </row>
    <row r="50">
      <c r="A50" s="37" t="n">
        <v>46722</v>
      </c>
      <c r="B50" s="38">
        <f>YEAR(A50)</f>
        <v/>
      </c>
      <c r="C50" s="38">
        <f>MONTH(A50)</f>
        <v/>
      </c>
      <c r="D50" s="39">
        <f>IF(A50&lt;=LastActual,"Actual","Forecast")</f>
        <v/>
      </c>
      <c r="E50" s="40">
        <f>IF($D50="Actual",R50,W50)</f>
        <v/>
      </c>
      <c r="F50" s="41">
        <f>IF($D50="Actual",S50,Cases_Forecast!AK43)</f>
        <v/>
      </c>
      <c r="G50" s="42">
        <f>IF($D50="Actual",T50,IFERROR(F50/K50,0))</f>
        <v/>
      </c>
      <c r="H50" s="40">
        <f>IF($D50="Actual",U50,G50*L50)</f>
        <v/>
      </c>
      <c r="I50" s="40">
        <f>IF($D50="Actual",V50,J50-H50)</f>
        <v/>
      </c>
      <c r="J50" s="40">
        <f>IF($D50="Actual",U50+V50,IFERROR(H50/(1-AD50),0))</f>
        <v/>
      </c>
      <c r="K50" s="43">
        <f>IF($D50="Actual",IFERROR(S50/T50,0),CPLH_Forecast!AK43)</f>
        <v/>
      </c>
      <c r="L50" s="44">
        <f>IF($D50="Actual",IFERROR(U50/T50,0),N(AE50))</f>
        <v/>
      </c>
      <c r="M50" s="45">
        <f>IFERROR(J50/F50,0)</f>
        <v/>
      </c>
      <c r="N50" s="46">
        <f>IFERROR(J50/E50,0)</f>
        <v/>
      </c>
      <c r="O50" s="46">
        <f>IFERROR(I50/J50,0)</f>
        <v/>
      </c>
      <c r="R50" s="52">
        <f>IF($D50="Actual",SUMIFS(Data_Actuals!$C$2:$C$5000,Data_Actuals!$A$2:$A$5000,$A50,Data_Actuals!$B$2:$B$5000,$B$2),"")</f>
        <v/>
      </c>
      <c r="S50" s="52">
        <f>IF($D50="Actual",SUMIFS(Data_Actuals!$D$2:$D$5000,Data_Actuals!$A$2:$A$5000,$A50,Data_Actuals!$B$2:$B$5000,$B$2),"")</f>
        <v/>
      </c>
      <c r="T50" s="52">
        <f>IF($D50="Actual",SUMIFS(Data_Actuals!$E$2:$E$5000,Data_Actuals!$A$2:$A$5000,$A50,Data_Actuals!$B$2:$B$5000,$B$2),"")</f>
        <v/>
      </c>
      <c r="U50" s="52">
        <f>IF($D50="Actual",SUMIFS(Data_Actuals!$F$2:$F$5000,Data_Actuals!$A$2:$A$5000,$A50,Data_Actuals!$B$2:$B$5000,$B$2),"")</f>
        <v/>
      </c>
      <c r="V50" s="52">
        <f>IF($D50="Actual",SUMIFS(Data_Actuals!$G$2:$G$5000,Data_Actuals!$A$2:$A$5000,$A50,Data_Actuals!$B$2:$B$5000,$B$2),"")</f>
        <v/>
      </c>
      <c r="W50" s="52">
        <f>SUMIFS(Plan_Inputs!$C$2:$C$5000,Plan_Inputs!$A$2:$A$5000,$A50,Plan_Inputs!$B$2:$B$5000,$B$2)</f>
        <v/>
      </c>
      <c r="X50" s="53">
        <f>IF($D50="Actual",IFERROR(S50/T50,""),X38)</f>
        <v/>
      </c>
      <c r="Y50" s="52">
        <f>E50</f>
        <v/>
      </c>
      <c r="Z50" s="54">
        <f>INDEX(Calendar!$H$5:$L$52,MATCH($A50,Calendar!$A$5:$A$52,0),MATCH($D$2,Calendar!$H$4:$L$4,0))</f>
        <v/>
      </c>
      <c r="AA50" s="54">
        <f>INDEX(Calendar!$M$5:$M$52,MATCH($A50,Calendar!$A$5:$A$52,0))</f>
        <v/>
      </c>
      <c r="AB50" s="55">
        <f>IF($D50="Actual",IFERROR(S50/Y50,""),AB38)</f>
        <v/>
      </c>
      <c r="AC50" s="56">
        <f>IF($D50="Actual",IFERROR(U50/T50/Z50/AA50,""),AC38)</f>
        <v/>
      </c>
      <c r="AD50" s="57">
        <f>IF($D50="Actual",IFERROR(V50/(U50+V50),""),$K$2)</f>
        <v/>
      </c>
      <c r="AE50" s="56">
        <f>IFERROR(AC50*Z50*AA50,"")</f>
        <v/>
      </c>
      <c r="AF50" s="53">
        <f>K38</f>
        <v/>
      </c>
      <c r="AG50" s="57">
        <f>IF($D50="Forecast",IFERROR(K50/AF50-1,""),"")</f>
        <v/>
      </c>
      <c r="AH50" s="53">
        <f>IF(CPLHSource="National breakdown",CPLH_Breakdown!AL55,SUMIFS(Plan_Inputs!$D$2:$D$5000,Plan_Inputs!$A$2:$A$5000,$A50,Plan_Inputs!$B$2:$B$5000,$B$2))</f>
        <v/>
      </c>
      <c r="AJ50" s="41">
        <f>F50*$AK$11</f>
        <v/>
      </c>
      <c r="AK50" s="42">
        <f>G50*$AK$11</f>
        <v/>
      </c>
      <c r="AL50" s="40">
        <f>H50*$AK$11</f>
        <v/>
      </c>
      <c r="AM50" s="40">
        <f>I50*$AK$11</f>
        <v/>
      </c>
      <c r="AN50" s="40">
        <f>J50*$AK$11</f>
        <v/>
      </c>
      <c r="AP50" s="41">
        <f>F50*$AQ$11</f>
        <v/>
      </c>
      <c r="AQ50" s="42">
        <f>G50*$AQ$11</f>
        <v/>
      </c>
      <c r="AR50" s="40">
        <f>H50*$AQ$11</f>
        <v/>
      </c>
      <c r="AS50" s="40">
        <f>I50*$AQ$11</f>
        <v/>
      </c>
      <c r="AT50" s="40">
        <f>J50*$AQ$11</f>
        <v/>
      </c>
      <c r="AV50" s="41">
        <f>F50*$AW$11</f>
        <v/>
      </c>
      <c r="AW50" s="42">
        <f>G50*$AW$11</f>
        <v/>
      </c>
      <c r="AX50" s="40">
        <f>H50*$AW$11</f>
        <v/>
      </c>
      <c r="AY50" s="40">
        <f>I50*$AW$11</f>
        <v/>
      </c>
      <c r="AZ50" s="40">
        <f>J50*$AW$11</f>
        <v/>
      </c>
    </row>
    <row r="51">
      <c r="A51" s="8" t="n">
        <v>46753</v>
      </c>
      <c r="B51" s="33">
        <f>YEAR(A51)</f>
        <v/>
      </c>
      <c r="C51" s="33">
        <f>MONTH(A51)</f>
        <v/>
      </c>
      <c r="D51">
        <f>IF(A51&lt;=LastActual,"Actual","Forecast")</f>
        <v/>
      </c>
      <c r="E51" s="30">
        <f>IF($D51="Actual",R51,W51)</f>
        <v/>
      </c>
      <c r="F51" s="15">
        <f>IF($D51="Actual",S51,Cases_Forecast!AK44)</f>
        <v/>
      </c>
      <c r="G51" s="9">
        <f>IF($D51="Actual",T51,IFERROR(F51/K51,0))</f>
        <v/>
      </c>
      <c r="H51" s="30">
        <f>IF($D51="Actual",U51,G51*L51)</f>
        <v/>
      </c>
      <c r="I51" s="30">
        <f>IF($D51="Actual",V51,J51-H51)</f>
        <v/>
      </c>
      <c r="J51" s="30">
        <f>IF($D51="Actual",U51+V51,IFERROR(H51/(1-AD51),0))</f>
        <v/>
      </c>
      <c r="K51" s="10">
        <f>IF($D51="Actual",IFERROR(S51/T51,0),CPLH_Forecast!AK44)</f>
        <v/>
      </c>
      <c r="L51" s="34">
        <f>IF($D51="Actual",IFERROR(U51/T51,0),N(AE51))</f>
        <v/>
      </c>
      <c r="M51" s="35">
        <f>IFERROR(J51/F51,0)</f>
        <v/>
      </c>
      <c r="N51" s="36">
        <f>IFERROR(J51/E51,0)</f>
        <v/>
      </c>
      <c r="O51" s="36">
        <f>IFERROR(I51/J51,0)</f>
        <v/>
      </c>
      <c r="R51" s="52">
        <f>IF($D51="Actual",SUMIFS(Data_Actuals!$C$2:$C$5000,Data_Actuals!$A$2:$A$5000,$A51,Data_Actuals!$B$2:$B$5000,$B$2),"")</f>
        <v/>
      </c>
      <c r="S51" s="52">
        <f>IF($D51="Actual",SUMIFS(Data_Actuals!$D$2:$D$5000,Data_Actuals!$A$2:$A$5000,$A51,Data_Actuals!$B$2:$B$5000,$B$2),"")</f>
        <v/>
      </c>
      <c r="T51" s="52">
        <f>IF($D51="Actual",SUMIFS(Data_Actuals!$E$2:$E$5000,Data_Actuals!$A$2:$A$5000,$A51,Data_Actuals!$B$2:$B$5000,$B$2),"")</f>
        <v/>
      </c>
      <c r="U51" s="52">
        <f>IF($D51="Actual",SUMIFS(Data_Actuals!$F$2:$F$5000,Data_Actuals!$A$2:$A$5000,$A51,Data_Actuals!$B$2:$B$5000,$B$2),"")</f>
        <v/>
      </c>
      <c r="V51" s="52">
        <f>IF($D51="Actual",SUMIFS(Data_Actuals!$G$2:$G$5000,Data_Actuals!$A$2:$A$5000,$A51,Data_Actuals!$B$2:$B$5000,$B$2),"")</f>
        <v/>
      </c>
      <c r="W51" s="52">
        <f>SUMIFS(Plan_Inputs!$C$2:$C$5000,Plan_Inputs!$A$2:$A$5000,$A51,Plan_Inputs!$B$2:$B$5000,$B$2)</f>
        <v/>
      </c>
      <c r="X51" s="53">
        <f>IF($D51="Actual",IFERROR(S51/T51,""),X39)</f>
        <v/>
      </c>
      <c r="Y51" s="52">
        <f>E51</f>
        <v/>
      </c>
      <c r="Z51" s="54">
        <f>INDEX(Calendar!$H$5:$L$52,MATCH($A51,Calendar!$A$5:$A$52,0),MATCH($D$2,Calendar!$H$4:$L$4,0))</f>
        <v/>
      </c>
      <c r="AA51" s="54">
        <f>INDEX(Calendar!$M$5:$M$52,MATCH($A51,Calendar!$A$5:$A$52,0))</f>
        <v/>
      </c>
      <c r="AB51" s="55">
        <f>IF($D51="Actual",IFERROR(S51/Y51,""),AB39)</f>
        <v/>
      </c>
      <c r="AC51" s="56">
        <f>IF($D51="Actual",IFERROR(U51/T51/Z51/AA51,""),AC39)</f>
        <v/>
      </c>
      <c r="AD51" s="57">
        <f>IF($D51="Actual",IFERROR(V51/(U51+V51),""),$K$2)</f>
        <v/>
      </c>
      <c r="AE51" s="56">
        <f>IFERROR(AC51*Z51*AA51,"")</f>
        <v/>
      </c>
      <c r="AF51" s="53">
        <f>K39</f>
        <v/>
      </c>
      <c r="AG51" s="57">
        <f>IF($D51="Forecast",IFERROR(K51/AF51-1,""),"")</f>
        <v/>
      </c>
      <c r="AH51" s="53">
        <f>IF(CPLHSource="National breakdown",CPLH_Breakdown!AL56,SUMIFS(Plan_Inputs!$D$2:$D$5000,Plan_Inputs!$A$2:$A$5000,$A51,Plan_Inputs!$B$2:$B$5000,$B$2))</f>
        <v/>
      </c>
      <c r="AJ51" s="15">
        <f>F51*$AK$11</f>
        <v/>
      </c>
      <c r="AK51" s="9">
        <f>G51*$AK$11</f>
        <v/>
      </c>
      <c r="AL51" s="30">
        <f>H51*$AK$11</f>
        <v/>
      </c>
      <c r="AM51" s="30">
        <f>I51*$AK$11</f>
        <v/>
      </c>
      <c r="AN51" s="30">
        <f>J51*$AK$11</f>
        <v/>
      </c>
      <c r="AP51" s="15">
        <f>F51*$AQ$11</f>
        <v/>
      </c>
      <c r="AQ51" s="9">
        <f>G51*$AQ$11</f>
        <v/>
      </c>
      <c r="AR51" s="30">
        <f>H51*$AQ$11</f>
        <v/>
      </c>
      <c r="AS51" s="30">
        <f>I51*$AQ$11</f>
        <v/>
      </c>
      <c r="AT51" s="30">
        <f>J51*$AQ$11</f>
        <v/>
      </c>
      <c r="AV51" s="15">
        <f>F51*$AW$11</f>
        <v/>
      </c>
      <c r="AW51" s="9">
        <f>G51*$AW$11</f>
        <v/>
      </c>
      <c r="AX51" s="30">
        <f>H51*$AW$11</f>
        <v/>
      </c>
      <c r="AY51" s="30">
        <f>I51*$AW$11</f>
        <v/>
      </c>
      <c r="AZ51" s="30">
        <f>J51*$AW$11</f>
        <v/>
      </c>
    </row>
    <row r="52">
      <c r="A52" s="8" t="n">
        <v>46784</v>
      </c>
      <c r="B52" s="33">
        <f>YEAR(A52)</f>
        <v/>
      </c>
      <c r="C52" s="33">
        <f>MONTH(A52)</f>
        <v/>
      </c>
      <c r="D52">
        <f>IF(A52&lt;=LastActual,"Actual","Forecast")</f>
        <v/>
      </c>
      <c r="E52" s="30">
        <f>IF($D52="Actual",R52,W52)</f>
        <v/>
      </c>
      <c r="F52" s="15">
        <f>IF($D52="Actual",S52,Cases_Forecast!AK45)</f>
        <v/>
      </c>
      <c r="G52" s="9">
        <f>IF($D52="Actual",T52,IFERROR(F52/K52,0))</f>
        <v/>
      </c>
      <c r="H52" s="30">
        <f>IF($D52="Actual",U52,G52*L52)</f>
        <v/>
      </c>
      <c r="I52" s="30">
        <f>IF($D52="Actual",V52,J52-H52)</f>
        <v/>
      </c>
      <c r="J52" s="30">
        <f>IF($D52="Actual",U52+V52,IFERROR(H52/(1-AD52),0))</f>
        <v/>
      </c>
      <c r="K52" s="10">
        <f>IF($D52="Actual",IFERROR(S52/T52,0),CPLH_Forecast!AK45)</f>
        <v/>
      </c>
      <c r="L52" s="34">
        <f>IF($D52="Actual",IFERROR(U52/T52,0),N(AE52))</f>
        <v/>
      </c>
      <c r="M52" s="35">
        <f>IFERROR(J52/F52,0)</f>
        <v/>
      </c>
      <c r="N52" s="36">
        <f>IFERROR(J52/E52,0)</f>
        <v/>
      </c>
      <c r="O52" s="36">
        <f>IFERROR(I52/J52,0)</f>
        <v/>
      </c>
      <c r="R52" s="52">
        <f>IF($D52="Actual",SUMIFS(Data_Actuals!$C$2:$C$5000,Data_Actuals!$A$2:$A$5000,$A52,Data_Actuals!$B$2:$B$5000,$B$2),"")</f>
        <v/>
      </c>
      <c r="S52" s="52">
        <f>IF($D52="Actual",SUMIFS(Data_Actuals!$D$2:$D$5000,Data_Actuals!$A$2:$A$5000,$A52,Data_Actuals!$B$2:$B$5000,$B$2),"")</f>
        <v/>
      </c>
      <c r="T52" s="52">
        <f>IF($D52="Actual",SUMIFS(Data_Actuals!$E$2:$E$5000,Data_Actuals!$A$2:$A$5000,$A52,Data_Actuals!$B$2:$B$5000,$B$2),"")</f>
        <v/>
      </c>
      <c r="U52" s="52">
        <f>IF($D52="Actual",SUMIFS(Data_Actuals!$F$2:$F$5000,Data_Actuals!$A$2:$A$5000,$A52,Data_Actuals!$B$2:$B$5000,$B$2),"")</f>
        <v/>
      </c>
      <c r="V52" s="52">
        <f>IF($D52="Actual",SUMIFS(Data_Actuals!$G$2:$G$5000,Data_Actuals!$A$2:$A$5000,$A52,Data_Actuals!$B$2:$B$5000,$B$2),"")</f>
        <v/>
      </c>
      <c r="W52" s="52">
        <f>SUMIFS(Plan_Inputs!$C$2:$C$5000,Plan_Inputs!$A$2:$A$5000,$A52,Plan_Inputs!$B$2:$B$5000,$B$2)</f>
        <v/>
      </c>
      <c r="X52" s="53">
        <f>IF($D52="Actual",IFERROR(S52/T52,""),X40)</f>
        <v/>
      </c>
      <c r="Y52" s="52">
        <f>E52</f>
        <v/>
      </c>
      <c r="Z52" s="54">
        <f>INDEX(Calendar!$H$5:$L$52,MATCH($A52,Calendar!$A$5:$A$52,0),MATCH($D$2,Calendar!$H$4:$L$4,0))</f>
        <v/>
      </c>
      <c r="AA52" s="54">
        <f>INDEX(Calendar!$M$5:$M$52,MATCH($A52,Calendar!$A$5:$A$52,0))</f>
        <v/>
      </c>
      <c r="AB52" s="55">
        <f>IF($D52="Actual",IFERROR(S52/Y52,""),AB40)</f>
        <v/>
      </c>
      <c r="AC52" s="56">
        <f>IF($D52="Actual",IFERROR(U52/T52/Z52/AA52,""),AC40)</f>
        <v/>
      </c>
      <c r="AD52" s="57">
        <f>IF($D52="Actual",IFERROR(V52/(U52+V52),""),$K$2)</f>
        <v/>
      </c>
      <c r="AE52" s="56">
        <f>IFERROR(AC52*Z52*AA52,"")</f>
        <v/>
      </c>
      <c r="AF52" s="53">
        <f>K40</f>
        <v/>
      </c>
      <c r="AG52" s="57">
        <f>IF($D52="Forecast",IFERROR(K52/AF52-1,""),"")</f>
        <v/>
      </c>
      <c r="AH52" s="53">
        <f>IF(CPLHSource="National breakdown",CPLH_Breakdown!AL57,SUMIFS(Plan_Inputs!$D$2:$D$5000,Plan_Inputs!$A$2:$A$5000,$A52,Plan_Inputs!$B$2:$B$5000,$B$2))</f>
        <v/>
      </c>
      <c r="AJ52" s="15">
        <f>F52*$AK$11</f>
        <v/>
      </c>
      <c r="AK52" s="9">
        <f>G52*$AK$11</f>
        <v/>
      </c>
      <c r="AL52" s="30">
        <f>H52*$AK$11</f>
        <v/>
      </c>
      <c r="AM52" s="30">
        <f>I52*$AK$11</f>
        <v/>
      </c>
      <c r="AN52" s="30">
        <f>J52*$AK$11</f>
        <v/>
      </c>
      <c r="AP52" s="15">
        <f>F52*$AQ$11</f>
        <v/>
      </c>
      <c r="AQ52" s="9">
        <f>G52*$AQ$11</f>
        <v/>
      </c>
      <c r="AR52" s="30">
        <f>H52*$AQ$11</f>
        <v/>
      </c>
      <c r="AS52" s="30">
        <f>I52*$AQ$11</f>
        <v/>
      </c>
      <c r="AT52" s="30">
        <f>J52*$AQ$11</f>
        <v/>
      </c>
      <c r="AV52" s="15">
        <f>F52*$AW$11</f>
        <v/>
      </c>
      <c r="AW52" s="9">
        <f>G52*$AW$11</f>
        <v/>
      </c>
      <c r="AX52" s="30">
        <f>H52*$AW$11</f>
        <v/>
      </c>
      <c r="AY52" s="30">
        <f>I52*$AW$11</f>
        <v/>
      </c>
      <c r="AZ52" s="30">
        <f>J52*$AW$11</f>
        <v/>
      </c>
    </row>
    <row r="53">
      <c r="A53" s="8" t="n">
        <v>46813</v>
      </c>
      <c r="B53" s="33">
        <f>YEAR(A53)</f>
        <v/>
      </c>
      <c r="C53" s="33">
        <f>MONTH(A53)</f>
        <v/>
      </c>
      <c r="D53">
        <f>IF(A53&lt;=LastActual,"Actual","Forecast")</f>
        <v/>
      </c>
      <c r="E53" s="30">
        <f>IF($D53="Actual",R53,W53)</f>
        <v/>
      </c>
      <c r="F53" s="15">
        <f>IF($D53="Actual",S53,Cases_Forecast!AK46)</f>
        <v/>
      </c>
      <c r="G53" s="9">
        <f>IF($D53="Actual",T53,IFERROR(F53/K53,0))</f>
        <v/>
      </c>
      <c r="H53" s="30">
        <f>IF($D53="Actual",U53,G53*L53)</f>
        <v/>
      </c>
      <c r="I53" s="30">
        <f>IF($D53="Actual",V53,J53-H53)</f>
        <v/>
      </c>
      <c r="J53" s="30">
        <f>IF($D53="Actual",U53+V53,IFERROR(H53/(1-AD53),0))</f>
        <v/>
      </c>
      <c r="K53" s="10">
        <f>IF($D53="Actual",IFERROR(S53/T53,0),CPLH_Forecast!AK46)</f>
        <v/>
      </c>
      <c r="L53" s="34">
        <f>IF($D53="Actual",IFERROR(U53/T53,0),N(AE53))</f>
        <v/>
      </c>
      <c r="M53" s="35">
        <f>IFERROR(J53/F53,0)</f>
        <v/>
      </c>
      <c r="N53" s="36">
        <f>IFERROR(J53/E53,0)</f>
        <v/>
      </c>
      <c r="O53" s="36">
        <f>IFERROR(I53/J53,0)</f>
        <v/>
      </c>
      <c r="R53" s="52">
        <f>IF($D53="Actual",SUMIFS(Data_Actuals!$C$2:$C$5000,Data_Actuals!$A$2:$A$5000,$A53,Data_Actuals!$B$2:$B$5000,$B$2),"")</f>
        <v/>
      </c>
      <c r="S53" s="52">
        <f>IF($D53="Actual",SUMIFS(Data_Actuals!$D$2:$D$5000,Data_Actuals!$A$2:$A$5000,$A53,Data_Actuals!$B$2:$B$5000,$B$2),"")</f>
        <v/>
      </c>
      <c r="T53" s="52">
        <f>IF($D53="Actual",SUMIFS(Data_Actuals!$E$2:$E$5000,Data_Actuals!$A$2:$A$5000,$A53,Data_Actuals!$B$2:$B$5000,$B$2),"")</f>
        <v/>
      </c>
      <c r="U53" s="52">
        <f>IF($D53="Actual",SUMIFS(Data_Actuals!$F$2:$F$5000,Data_Actuals!$A$2:$A$5000,$A53,Data_Actuals!$B$2:$B$5000,$B$2),"")</f>
        <v/>
      </c>
      <c r="V53" s="52">
        <f>IF($D53="Actual",SUMIFS(Data_Actuals!$G$2:$G$5000,Data_Actuals!$A$2:$A$5000,$A53,Data_Actuals!$B$2:$B$5000,$B$2),"")</f>
        <v/>
      </c>
      <c r="W53" s="52">
        <f>SUMIFS(Plan_Inputs!$C$2:$C$5000,Plan_Inputs!$A$2:$A$5000,$A53,Plan_Inputs!$B$2:$B$5000,$B$2)</f>
        <v/>
      </c>
      <c r="X53" s="53">
        <f>IF($D53="Actual",IFERROR(S53/T53,""),X41)</f>
        <v/>
      </c>
      <c r="Y53" s="52">
        <f>E53</f>
        <v/>
      </c>
      <c r="Z53" s="54">
        <f>INDEX(Calendar!$H$5:$L$52,MATCH($A53,Calendar!$A$5:$A$52,0),MATCH($D$2,Calendar!$H$4:$L$4,0))</f>
        <v/>
      </c>
      <c r="AA53" s="54">
        <f>INDEX(Calendar!$M$5:$M$52,MATCH($A53,Calendar!$A$5:$A$52,0))</f>
        <v/>
      </c>
      <c r="AB53" s="55">
        <f>IF($D53="Actual",IFERROR(S53/Y53,""),AB41)</f>
        <v/>
      </c>
      <c r="AC53" s="56">
        <f>IF($D53="Actual",IFERROR(U53/T53/Z53/AA53,""),AC41)</f>
        <v/>
      </c>
      <c r="AD53" s="57">
        <f>IF($D53="Actual",IFERROR(V53/(U53+V53),""),$K$2)</f>
        <v/>
      </c>
      <c r="AE53" s="56">
        <f>IFERROR(AC53*Z53*AA53,"")</f>
        <v/>
      </c>
      <c r="AF53" s="53">
        <f>K41</f>
        <v/>
      </c>
      <c r="AG53" s="57">
        <f>IF($D53="Forecast",IFERROR(K53/AF53-1,""),"")</f>
        <v/>
      </c>
      <c r="AH53" s="53">
        <f>IF(CPLHSource="National breakdown",CPLH_Breakdown!AL58,SUMIFS(Plan_Inputs!$D$2:$D$5000,Plan_Inputs!$A$2:$A$5000,$A53,Plan_Inputs!$B$2:$B$5000,$B$2))</f>
        <v/>
      </c>
      <c r="AJ53" s="15">
        <f>F53*$AK$11</f>
        <v/>
      </c>
      <c r="AK53" s="9">
        <f>G53*$AK$11</f>
        <v/>
      </c>
      <c r="AL53" s="30">
        <f>H53*$AK$11</f>
        <v/>
      </c>
      <c r="AM53" s="30">
        <f>I53*$AK$11</f>
        <v/>
      </c>
      <c r="AN53" s="30">
        <f>J53*$AK$11</f>
        <v/>
      </c>
      <c r="AP53" s="15">
        <f>F53*$AQ$11</f>
        <v/>
      </c>
      <c r="AQ53" s="9">
        <f>G53*$AQ$11</f>
        <v/>
      </c>
      <c r="AR53" s="30">
        <f>H53*$AQ$11</f>
        <v/>
      </c>
      <c r="AS53" s="30">
        <f>I53*$AQ$11</f>
        <v/>
      </c>
      <c r="AT53" s="30">
        <f>J53*$AQ$11</f>
        <v/>
      </c>
      <c r="AV53" s="15">
        <f>F53*$AW$11</f>
        <v/>
      </c>
      <c r="AW53" s="9">
        <f>G53*$AW$11</f>
        <v/>
      </c>
      <c r="AX53" s="30">
        <f>H53*$AW$11</f>
        <v/>
      </c>
      <c r="AY53" s="30">
        <f>I53*$AW$11</f>
        <v/>
      </c>
      <c r="AZ53" s="30">
        <f>J53*$AW$11</f>
        <v/>
      </c>
    </row>
    <row r="54">
      <c r="A54" s="8" t="n">
        <v>46844</v>
      </c>
      <c r="B54" s="33">
        <f>YEAR(A54)</f>
        <v/>
      </c>
      <c r="C54" s="33">
        <f>MONTH(A54)</f>
        <v/>
      </c>
      <c r="D54">
        <f>IF(A54&lt;=LastActual,"Actual","Forecast")</f>
        <v/>
      </c>
      <c r="E54" s="30">
        <f>IF($D54="Actual",R54,W54)</f>
        <v/>
      </c>
      <c r="F54" s="15">
        <f>IF($D54="Actual",S54,Cases_Forecast!AK47)</f>
        <v/>
      </c>
      <c r="G54" s="9">
        <f>IF($D54="Actual",T54,IFERROR(F54/K54,0))</f>
        <v/>
      </c>
      <c r="H54" s="30">
        <f>IF($D54="Actual",U54,G54*L54)</f>
        <v/>
      </c>
      <c r="I54" s="30">
        <f>IF($D54="Actual",V54,J54-H54)</f>
        <v/>
      </c>
      <c r="J54" s="30">
        <f>IF($D54="Actual",U54+V54,IFERROR(H54/(1-AD54),0))</f>
        <v/>
      </c>
      <c r="K54" s="10">
        <f>IF($D54="Actual",IFERROR(S54/T54,0),CPLH_Forecast!AK47)</f>
        <v/>
      </c>
      <c r="L54" s="34">
        <f>IF($D54="Actual",IFERROR(U54/T54,0),N(AE54))</f>
        <v/>
      </c>
      <c r="M54" s="35">
        <f>IFERROR(J54/F54,0)</f>
        <v/>
      </c>
      <c r="N54" s="36">
        <f>IFERROR(J54/E54,0)</f>
        <v/>
      </c>
      <c r="O54" s="36">
        <f>IFERROR(I54/J54,0)</f>
        <v/>
      </c>
      <c r="R54" s="52">
        <f>IF($D54="Actual",SUMIFS(Data_Actuals!$C$2:$C$5000,Data_Actuals!$A$2:$A$5000,$A54,Data_Actuals!$B$2:$B$5000,$B$2),"")</f>
        <v/>
      </c>
      <c r="S54" s="52">
        <f>IF($D54="Actual",SUMIFS(Data_Actuals!$D$2:$D$5000,Data_Actuals!$A$2:$A$5000,$A54,Data_Actuals!$B$2:$B$5000,$B$2),"")</f>
        <v/>
      </c>
      <c r="T54" s="52">
        <f>IF($D54="Actual",SUMIFS(Data_Actuals!$E$2:$E$5000,Data_Actuals!$A$2:$A$5000,$A54,Data_Actuals!$B$2:$B$5000,$B$2),"")</f>
        <v/>
      </c>
      <c r="U54" s="52">
        <f>IF($D54="Actual",SUMIFS(Data_Actuals!$F$2:$F$5000,Data_Actuals!$A$2:$A$5000,$A54,Data_Actuals!$B$2:$B$5000,$B$2),"")</f>
        <v/>
      </c>
      <c r="V54" s="52">
        <f>IF($D54="Actual",SUMIFS(Data_Actuals!$G$2:$G$5000,Data_Actuals!$A$2:$A$5000,$A54,Data_Actuals!$B$2:$B$5000,$B$2),"")</f>
        <v/>
      </c>
      <c r="W54" s="52">
        <f>SUMIFS(Plan_Inputs!$C$2:$C$5000,Plan_Inputs!$A$2:$A$5000,$A54,Plan_Inputs!$B$2:$B$5000,$B$2)</f>
        <v/>
      </c>
      <c r="X54" s="53">
        <f>IF($D54="Actual",IFERROR(S54/T54,""),X42)</f>
        <v/>
      </c>
      <c r="Y54" s="52">
        <f>E54</f>
        <v/>
      </c>
      <c r="Z54" s="54">
        <f>INDEX(Calendar!$H$5:$L$52,MATCH($A54,Calendar!$A$5:$A$52,0),MATCH($D$2,Calendar!$H$4:$L$4,0))</f>
        <v/>
      </c>
      <c r="AA54" s="54">
        <f>INDEX(Calendar!$M$5:$M$52,MATCH($A54,Calendar!$A$5:$A$52,0))</f>
        <v/>
      </c>
      <c r="AB54" s="55">
        <f>IF($D54="Actual",IFERROR(S54/Y54,""),AB42)</f>
        <v/>
      </c>
      <c r="AC54" s="56">
        <f>IF($D54="Actual",IFERROR(U54/T54/Z54/AA54,""),AC42)</f>
        <v/>
      </c>
      <c r="AD54" s="57">
        <f>IF($D54="Actual",IFERROR(V54/(U54+V54),""),$K$2)</f>
        <v/>
      </c>
      <c r="AE54" s="56">
        <f>IFERROR(AC54*Z54*AA54,"")</f>
        <v/>
      </c>
      <c r="AF54" s="53">
        <f>K42</f>
        <v/>
      </c>
      <c r="AG54" s="57">
        <f>IF($D54="Forecast",IFERROR(K54/AF54-1,""),"")</f>
        <v/>
      </c>
      <c r="AH54" s="53">
        <f>IF(CPLHSource="National breakdown",CPLH_Breakdown!AL59,SUMIFS(Plan_Inputs!$D$2:$D$5000,Plan_Inputs!$A$2:$A$5000,$A54,Plan_Inputs!$B$2:$B$5000,$B$2))</f>
        <v/>
      </c>
      <c r="AJ54" s="15">
        <f>F54*$AK$11</f>
        <v/>
      </c>
      <c r="AK54" s="9">
        <f>G54*$AK$11</f>
        <v/>
      </c>
      <c r="AL54" s="30">
        <f>H54*$AK$11</f>
        <v/>
      </c>
      <c r="AM54" s="30">
        <f>I54*$AK$11</f>
        <v/>
      </c>
      <c r="AN54" s="30">
        <f>J54*$AK$11</f>
        <v/>
      </c>
      <c r="AP54" s="15">
        <f>F54*$AQ$11</f>
        <v/>
      </c>
      <c r="AQ54" s="9">
        <f>G54*$AQ$11</f>
        <v/>
      </c>
      <c r="AR54" s="30">
        <f>H54*$AQ$11</f>
        <v/>
      </c>
      <c r="AS54" s="30">
        <f>I54*$AQ$11</f>
        <v/>
      </c>
      <c r="AT54" s="30">
        <f>J54*$AQ$11</f>
        <v/>
      </c>
      <c r="AV54" s="15">
        <f>F54*$AW$11</f>
        <v/>
      </c>
      <c r="AW54" s="9">
        <f>G54*$AW$11</f>
        <v/>
      </c>
      <c r="AX54" s="30">
        <f>H54*$AW$11</f>
        <v/>
      </c>
      <c r="AY54" s="30">
        <f>I54*$AW$11</f>
        <v/>
      </c>
      <c r="AZ54" s="30">
        <f>J54*$AW$11</f>
        <v/>
      </c>
    </row>
    <row r="55">
      <c r="A55" s="8" t="n">
        <v>46874</v>
      </c>
      <c r="B55" s="33">
        <f>YEAR(A55)</f>
        <v/>
      </c>
      <c r="C55" s="33">
        <f>MONTH(A55)</f>
        <v/>
      </c>
      <c r="D55">
        <f>IF(A55&lt;=LastActual,"Actual","Forecast")</f>
        <v/>
      </c>
      <c r="E55" s="30">
        <f>IF($D55="Actual",R55,W55)</f>
        <v/>
      </c>
      <c r="F55" s="15">
        <f>IF($D55="Actual",S55,Cases_Forecast!AK48)</f>
        <v/>
      </c>
      <c r="G55" s="9">
        <f>IF($D55="Actual",T55,IFERROR(F55/K55,0))</f>
        <v/>
      </c>
      <c r="H55" s="30">
        <f>IF($D55="Actual",U55,G55*L55)</f>
        <v/>
      </c>
      <c r="I55" s="30">
        <f>IF($D55="Actual",V55,J55-H55)</f>
        <v/>
      </c>
      <c r="J55" s="30">
        <f>IF($D55="Actual",U55+V55,IFERROR(H55/(1-AD55),0))</f>
        <v/>
      </c>
      <c r="K55" s="10">
        <f>IF($D55="Actual",IFERROR(S55/T55,0),CPLH_Forecast!AK48)</f>
        <v/>
      </c>
      <c r="L55" s="34">
        <f>IF($D55="Actual",IFERROR(U55/T55,0),N(AE55))</f>
        <v/>
      </c>
      <c r="M55" s="35">
        <f>IFERROR(J55/F55,0)</f>
        <v/>
      </c>
      <c r="N55" s="36">
        <f>IFERROR(J55/E55,0)</f>
        <v/>
      </c>
      <c r="O55" s="36">
        <f>IFERROR(I55/J55,0)</f>
        <v/>
      </c>
      <c r="R55" s="52">
        <f>IF($D55="Actual",SUMIFS(Data_Actuals!$C$2:$C$5000,Data_Actuals!$A$2:$A$5000,$A55,Data_Actuals!$B$2:$B$5000,$B$2),"")</f>
        <v/>
      </c>
      <c r="S55" s="52">
        <f>IF($D55="Actual",SUMIFS(Data_Actuals!$D$2:$D$5000,Data_Actuals!$A$2:$A$5000,$A55,Data_Actuals!$B$2:$B$5000,$B$2),"")</f>
        <v/>
      </c>
      <c r="T55" s="52">
        <f>IF($D55="Actual",SUMIFS(Data_Actuals!$E$2:$E$5000,Data_Actuals!$A$2:$A$5000,$A55,Data_Actuals!$B$2:$B$5000,$B$2),"")</f>
        <v/>
      </c>
      <c r="U55" s="52">
        <f>IF($D55="Actual",SUMIFS(Data_Actuals!$F$2:$F$5000,Data_Actuals!$A$2:$A$5000,$A55,Data_Actuals!$B$2:$B$5000,$B$2),"")</f>
        <v/>
      </c>
      <c r="V55" s="52">
        <f>IF($D55="Actual",SUMIFS(Data_Actuals!$G$2:$G$5000,Data_Actuals!$A$2:$A$5000,$A55,Data_Actuals!$B$2:$B$5000,$B$2),"")</f>
        <v/>
      </c>
      <c r="W55" s="52">
        <f>SUMIFS(Plan_Inputs!$C$2:$C$5000,Plan_Inputs!$A$2:$A$5000,$A55,Plan_Inputs!$B$2:$B$5000,$B$2)</f>
        <v/>
      </c>
      <c r="X55" s="53">
        <f>IF($D55="Actual",IFERROR(S55/T55,""),X43)</f>
        <v/>
      </c>
      <c r="Y55" s="52">
        <f>E55</f>
        <v/>
      </c>
      <c r="Z55" s="54">
        <f>INDEX(Calendar!$H$5:$L$52,MATCH($A55,Calendar!$A$5:$A$52,0),MATCH($D$2,Calendar!$H$4:$L$4,0))</f>
        <v/>
      </c>
      <c r="AA55" s="54">
        <f>INDEX(Calendar!$M$5:$M$52,MATCH($A55,Calendar!$A$5:$A$52,0))</f>
        <v/>
      </c>
      <c r="AB55" s="55">
        <f>IF($D55="Actual",IFERROR(S55/Y55,""),AB43)</f>
        <v/>
      </c>
      <c r="AC55" s="56">
        <f>IF($D55="Actual",IFERROR(U55/T55/Z55/AA55,""),AC43)</f>
        <v/>
      </c>
      <c r="AD55" s="57">
        <f>IF($D55="Actual",IFERROR(V55/(U55+V55),""),$K$2)</f>
        <v/>
      </c>
      <c r="AE55" s="56">
        <f>IFERROR(AC55*Z55*AA55,"")</f>
        <v/>
      </c>
      <c r="AF55" s="53">
        <f>K43</f>
        <v/>
      </c>
      <c r="AG55" s="57">
        <f>IF($D55="Forecast",IFERROR(K55/AF55-1,""),"")</f>
        <v/>
      </c>
      <c r="AH55" s="53">
        <f>IF(CPLHSource="National breakdown",CPLH_Breakdown!AL60,SUMIFS(Plan_Inputs!$D$2:$D$5000,Plan_Inputs!$A$2:$A$5000,$A55,Plan_Inputs!$B$2:$B$5000,$B$2))</f>
        <v/>
      </c>
      <c r="AJ55" s="15">
        <f>F55*$AK$11</f>
        <v/>
      </c>
      <c r="AK55" s="9">
        <f>G55*$AK$11</f>
        <v/>
      </c>
      <c r="AL55" s="30">
        <f>H55*$AK$11</f>
        <v/>
      </c>
      <c r="AM55" s="30">
        <f>I55*$AK$11</f>
        <v/>
      </c>
      <c r="AN55" s="30">
        <f>J55*$AK$11</f>
        <v/>
      </c>
      <c r="AP55" s="15">
        <f>F55*$AQ$11</f>
        <v/>
      </c>
      <c r="AQ55" s="9">
        <f>G55*$AQ$11</f>
        <v/>
      </c>
      <c r="AR55" s="30">
        <f>H55*$AQ$11</f>
        <v/>
      </c>
      <c r="AS55" s="30">
        <f>I55*$AQ$11</f>
        <v/>
      </c>
      <c r="AT55" s="30">
        <f>J55*$AQ$11</f>
        <v/>
      </c>
      <c r="AV55" s="15">
        <f>F55*$AW$11</f>
        <v/>
      </c>
      <c r="AW55" s="9">
        <f>G55*$AW$11</f>
        <v/>
      </c>
      <c r="AX55" s="30">
        <f>H55*$AW$11</f>
        <v/>
      </c>
      <c r="AY55" s="30">
        <f>I55*$AW$11</f>
        <v/>
      </c>
      <c r="AZ55" s="30">
        <f>J55*$AW$11</f>
        <v/>
      </c>
    </row>
    <row r="56">
      <c r="A56" s="8" t="n">
        <v>46905</v>
      </c>
      <c r="B56" s="33">
        <f>YEAR(A56)</f>
        <v/>
      </c>
      <c r="C56" s="33">
        <f>MONTH(A56)</f>
        <v/>
      </c>
      <c r="D56">
        <f>IF(A56&lt;=LastActual,"Actual","Forecast")</f>
        <v/>
      </c>
      <c r="E56" s="30">
        <f>IF($D56="Actual",R56,W56)</f>
        <v/>
      </c>
      <c r="F56" s="15">
        <f>IF($D56="Actual",S56,Cases_Forecast!AK49)</f>
        <v/>
      </c>
      <c r="G56" s="9">
        <f>IF($D56="Actual",T56,IFERROR(F56/K56,0))</f>
        <v/>
      </c>
      <c r="H56" s="30">
        <f>IF($D56="Actual",U56,G56*L56)</f>
        <v/>
      </c>
      <c r="I56" s="30">
        <f>IF($D56="Actual",V56,J56-H56)</f>
        <v/>
      </c>
      <c r="J56" s="30">
        <f>IF($D56="Actual",U56+V56,IFERROR(H56/(1-AD56),0))</f>
        <v/>
      </c>
      <c r="K56" s="10">
        <f>IF($D56="Actual",IFERROR(S56/T56,0),CPLH_Forecast!AK49)</f>
        <v/>
      </c>
      <c r="L56" s="34">
        <f>IF($D56="Actual",IFERROR(U56/T56,0),N(AE56))</f>
        <v/>
      </c>
      <c r="M56" s="35">
        <f>IFERROR(J56/F56,0)</f>
        <v/>
      </c>
      <c r="N56" s="36">
        <f>IFERROR(J56/E56,0)</f>
        <v/>
      </c>
      <c r="O56" s="36">
        <f>IFERROR(I56/J56,0)</f>
        <v/>
      </c>
      <c r="R56" s="52">
        <f>IF($D56="Actual",SUMIFS(Data_Actuals!$C$2:$C$5000,Data_Actuals!$A$2:$A$5000,$A56,Data_Actuals!$B$2:$B$5000,$B$2),"")</f>
        <v/>
      </c>
      <c r="S56" s="52">
        <f>IF($D56="Actual",SUMIFS(Data_Actuals!$D$2:$D$5000,Data_Actuals!$A$2:$A$5000,$A56,Data_Actuals!$B$2:$B$5000,$B$2),"")</f>
        <v/>
      </c>
      <c r="T56" s="52">
        <f>IF($D56="Actual",SUMIFS(Data_Actuals!$E$2:$E$5000,Data_Actuals!$A$2:$A$5000,$A56,Data_Actuals!$B$2:$B$5000,$B$2),"")</f>
        <v/>
      </c>
      <c r="U56" s="52">
        <f>IF($D56="Actual",SUMIFS(Data_Actuals!$F$2:$F$5000,Data_Actuals!$A$2:$A$5000,$A56,Data_Actuals!$B$2:$B$5000,$B$2),"")</f>
        <v/>
      </c>
      <c r="V56" s="52">
        <f>IF($D56="Actual",SUMIFS(Data_Actuals!$G$2:$G$5000,Data_Actuals!$A$2:$A$5000,$A56,Data_Actuals!$B$2:$B$5000,$B$2),"")</f>
        <v/>
      </c>
      <c r="W56" s="52">
        <f>SUMIFS(Plan_Inputs!$C$2:$C$5000,Plan_Inputs!$A$2:$A$5000,$A56,Plan_Inputs!$B$2:$B$5000,$B$2)</f>
        <v/>
      </c>
      <c r="X56" s="53">
        <f>IF($D56="Actual",IFERROR(S56/T56,""),X44)</f>
        <v/>
      </c>
      <c r="Y56" s="52">
        <f>E56</f>
        <v/>
      </c>
      <c r="Z56" s="54">
        <f>INDEX(Calendar!$H$5:$L$52,MATCH($A56,Calendar!$A$5:$A$52,0),MATCH($D$2,Calendar!$H$4:$L$4,0))</f>
        <v/>
      </c>
      <c r="AA56" s="54">
        <f>INDEX(Calendar!$M$5:$M$52,MATCH($A56,Calendar!$A$5:$A$52,0))</f>
        <v/>
      </c>
      <c r="AB56" s="55">
        <f>IF($D56="Actual",IFERROR(S56/Y56,""),AB44)</f>
        <v/>
      </c>
      <c r="AC56" s="56">
        <f>IF($D56="Actual",IFERROR(U56/T56/Z56/AA56,""),AC44)</f>
        <v/>
      </c>
      <c r="AD56" s="57">
        <f>IF($D56="Actual",IFERROR(V56/(U56+V56),""),$K$2)</f>
        <v/>
      </c>
      <c r="AE56" s="56">
        <f>IFERROR(AC56*Z56*AA56,"")</f>
        <v/>
      </c>
      <c r="AF56" s="53">
        <f>K44</f>
        <v/>
      </c>
      <c r="AG56" s="57">
        <f>IF($D56="Forecast",IFERROR(K56/AF56-1,""),"")</f>
        <v/>
      </c>
      <c r="AH56" s="53">
        <f>IF(CPLHSource="National breakdown",CPLH_Breakdown!AL61,SUMIFS(Plan_Inputs!$D$2:$D$5000,Plan_Inputs!$A$2:$A$5000,$A56,Plan_Inputs!$B$2:$B$5000,$B$2))</f>
        <v/>
      </c>
      <c r="AJ56" s="15">
        <f>F56*$AK$11</f>
        <v/>
      </c>
      <c r="AK56" s="9">
        <f>G56*$AK$11</f>
        <v/>
      </c>
      <c r="AL56" s="30">
        <f>H56*$AK$11</f>
        <v/>
      </c>
      <c r="AM56" s="30">
        <f>I56*$AK$11</f>
        <v/>
      </c>
      <c r="AN56" s="30">
        <f>J56*$AK$11</f>
        <v/>
      </c>
      <c r="AP56" s="15">
        <f>F56*$AQ$11</f>
        <v/>
      </c>
      <c r="AQ56" s="9">
        <f>G56*$AQ$11</f>
        <v/>
      </c>
      <c r="AR56" s="30">
        <f>H56*$AQ$11</f>
        <v/>
      </c>
      <c r="AS56" s="30">
        <f>I56*$AQ$11</f>
        <v/>
      </c>
      <c r="AT56" s="30">
        <f>J56*$AQ$11</f>
        <v/>
      </c>
      <c r="AV56" s="15">
        <f>F56*$AW$11</f>
        <v/>
      </c>
      <c r="AW56" s="9">
        <f>G56*$AW$11</f>
        <v/>
      </c>
      <c r="AX56" s="30">
        <f>H56*$AW$11</f>
        <v/>
      </c>
      <c r="AY56" s="30">
        <f>I56*$AW$11</f>
        <v/>
      </c>
      <c r="AZ56" s="30">
        <f>J56*$AW$11</f>
        <v/>
      </c>
    </row>
    <row r="57">
      <c r="A57" s="8" t="n">
        <v>46935</v>
      </c>
      <c r="B57" s="33">
        <f>YEAR(A57)</f>
        <v/>
      </c>
      <c r="C57" s="33">
        <f>MONTH(A57)</f>
        <v/>
      </c>
      <c r="D57">
        <f>IF(A57&lt;=LastActual,"Actual","Forecast")</f>
        <v/>
      </c>
      <c r="E57" s="30">
        <f>IF($D57="Actual",R57,W57)</f>
        <v/>
      </c>
      <c r="F57" s="15">
        <f>IF($D57="Actual",S57,Cases_Forecast!AK50)</f>
        <v/>
      </c>
      <c r="G57" s="9">
        <f>IF($D57="Actual",T57,IFERROR(F57/K57,0))</f>
        <v/>
      </c>
      <c r="H57" s="30">
        <f>IF($D57="Actual",U57,G57*L57)</f>
        <v/>
      </c>
      <c r="I57" s="30">
        <f>IF($D57="Actual",V57,J57-H57)</f>
        <v/>
      </c>
      <c r="J57" s="30">
        <f>IF($D57="Actual",U57+V57,IFERROR(H57/(1-AD57),0))</f>
        <v/>
      </c>
      <c r="K57" s="10">
        <f>IF($D57="Actual",IFERROR(S57/T57,0),CPLH_Forecast!AK50)</f>
        <v/>
      </c>
      <c r="L57" s="34">
        <f>IF($D57="Actual",IFERROR(U57/T57,0),N(AE57))</f>
        <v/>
      </c>
      <c r="M57" s="35">
        <f>IFERROR(J57/F57,0)</f>
        <v/>
      </c>
      <c r="N57" s="36">
        <f>IFERROR(J57/E57,0)</f>
        <v/>
      </c>
      <c r="O57" s="36">
        <f>IFERROR(I57/J57,0)</f>
        <v/>
      </c>
      <c r="R57" s="52">
        <f>IF($D57="Actual",SUMIFS(Data_Actuals!$C$2:$C$5000,Data_Actuals!$A$2:$A$5000,$A57,Data_Actuals!$B$2:$B$5000,$B$2),"")</f>
        <v/>
      </c>
      <c r="S57" s="52">
        <f>IF($D57="Actual",SUMIFS(Data_Actuals!$D$2:$D$5000,Data_Actuals!$A$2:$A$5000,$A57,Data_Actuals!$B$2:$B$5000,$B$2),"")</f>
        <v/>
      </c>
      <c r="T57" s="52">
        <f>IF($D57="Actual",SUMIFS(Data_Actuals!$E$2:$E$5000,Data_Actuals!$A$2:$A$5000,$A57,Data_Actuals!$B$2:$B$5000,$B$2),"")</f>
        <v/>
      </c>
      <c r="U57" s="52">
        <f>IF($D57="Actual",SUMIFS(Data_Actuals!$F$2:$F$5000,Data_Actuals!$A$2:$A$5000,$A57,Data_Actuals!$B$2:$B$5000,$B$2),"")</f>
        <v/>
      </c>
      <c r="V57" s="52">
        <f>IF($D57="Actual",SUMIFS(Data_Actuals!$G$2:$G$5000,Data_Actuals!$A$2:$A$5000,$A57,Data_Actuals!$B$2:$B$5000,$B$2),"")</f>
        <v/>
      </c>
      <c r="W57" s="52">
        <f>SUMIFS(Plan_Inputs!$C$2:$C$5000,Plan_Inputs!$A$2:$A$5000,$A57,Plan_Inputs!$B$2:$B$5000,$B$2)</f>
        <v/>
      </c>
      <c r="X57" s="53">
        <f>IF($D57="Actual",IFERROR(S57/T57,""),X45)</f>
        <v/>
      </c>
      <c r="Y57" s="52">
        <f>E57</f>
        <v/>
      </c>
      <c r="Z57" s="54">
        <f>INDEX(Calendar!$H$5:$L$52,MATCH($A57,Calendar!$A$5:$A$52,0),MATCH($D$2,Calendar!$H$4:$L$4,0))</f>
        <v/>
      </c>
      <c r="AA57" s="54">
        <f>INDEX(Calendar!$M$5:$M$52,MATCH($A57,Calendar!$A$5:$A$52,0))</f>
        <v/>
      </c>
      <c r="AB57" s="55">
        <f>IF($D57="Actual",IFERROR(S57/Y57,""),AB45)</f>
        <v/>
      </c>
      <c r="AC57" s="56">
        <f>IF($D57="Actual",IFERROR(U57/T57/Z57/AA57,""),AC45)</f>
        <v/>
      </c>
      <c r="AD57" s="57">
        <f>IF($D57="Actual",IFERROR(V57/(U57+V57),""),$K$2)</f>
        <v/>
      </c>
      <c r="AE57" s="56">
        <f>IFERROR(AC57*Z57*AA57,"")</f>
        <v/>
      </c>
      <c r="AF57" s="53">
        <f>K45</f>
        <v/>
      </c>
      <c r="AG57" s="57">
        <f>IF($D57="Forecast",IFERROR(K57/AF57-1,""),"")</f>
        <v/>
      </c>
      <c r="AH57" s="53">
        <f>IF(CPLHSource="National breakdown",CPLH_Breakdown!AL62,SUMIFS(Plan_Inputs!$D$2:$D$5000,Plan_Inputs!$A$2:$A$5000,$A57,Plan_Inputs!$B$2:$B$5000,$B$2))</f>
        <v/>
      </c>
      <c r="AJ57" s="15">
        <f>F57*$AK$11</f>
        <v/>
      </c>
      <c r="AK57" s="9">
        <f>G57*$AK$11</f>
        <v/>
      </c>
      <c r="AL57" s="30">
        <f>H57*$AK$11</f>
        <v/>
      </c>
      <c r="AM57" s="30">
        <f>I57*$AK$11</f>
        <v/>
      </c>
      <c r="AN57" s="30">
        <f>J57*$AK$11</f>
        <v/>
      </c>
      <c r="AP57" s="15">
        <f>F57*$AQ$11</f>
        <v/>
      </c>
      <c r="AQ57" s="9">
        <f>G57*$AQ$11</f>
        <v/>
      </c>
      <c r="AR57" s="30">
        <f>H57*$AQ$11</f>
        <v/>
      </c>
      <c r="AS57" s="30">
        <f>I57*$AQ$11</f>
        <v/>
      </c>
      <c r="AT57" s="30">
        <f>J57*$AQ$11</f>
        <v/>
      </c>
      <c r="AV57" s="15">
        <f>F57*$AW$11</f>
        <v/>
      </c>
      <c r="AW57" s="9">
        <f>G57*$AW$11</f>
        <v/>
      </c>
      <c r="AX57" s="30">
        <f>H57*$AW$11</f>
        <v/>
      </c>
      <c r="AY57" s="30">
        <f>I57*$AW$11</f>
        <v/>
      </c>
      <c r="AZ57" s="30">
        <f>J57*$AW$11</f>
        <v/>
      </c>
    </row>
    <row r="58">
      <c r="A58" s="8" t="n">
        <v>46966</v>
      </c>
      <c r="B58" s="33">
        <f>YEAR(A58)</f>
        <v/>
      </c>
      <c r="C58" s="33">
        <f>MONTH(A58)</f>
        <v/>
      </c>
      <c r="D58">
        <f>IF(A58&lt;=LastActual,"Actual","Forecast")</f>
        <v/>
      </c>
      <c r="E58" s="30">
        <f>IF($D58="Actual",R58,W58)</f>
        <v/>
      </c>
      <c r="F58" s="15">
        <f>IF($D58="Actual",S58,Cases_Forecast!AK51)</f>
        <v/>
      </c>
      <c r="G58" s="9">
        <f>IF($D58="Actual",T58,IFERROR(F58/K58,0))</f>
        <v/>
      </c>
      <c r="H58" s="30">
        <f>IF($D58="Actual",U58,G58*L58)</f>
        <v/>
      </c>
      <c r="I58" s="30">
        <f>IF($D58="Actual",V58,J58-H58)</f>
        <v/>
      </c>
      <c r="J58" s="30">
        <f>IF($D58="Actual",U58+V58,IFERROR(H58/(1-AD58),0))</f>
        <v/>
      </c>
      <c r="K58" s="10">
        <f>IF($D58="Actual",IFERROR(S58/T58,0),CPLH_Forecast!AK51)</f>
        <v/>
      </c>
      <c r="L58" s="34">
        <f>IF($D58="Actual",IFERROR(U58/T58,0),N(AE58))</f>
        <v/>
      </c>
      <c r="M58" s="35">
        <f>IFERROR(J58/F58,0)</f>
        <v/>
      </c>
      <c r="N58" s="36">
        <f>IFERROR(J58/E58,0)</f>
        <v/>
      </c>
      <c r="O58" s="36">
        <f>IFERROR(I58/J58,0)</f>
        <v/>
      </c>
      <c r="R58" s="52">
        <f>IF($D58="Actual",SUMIFS(Data_Actuals!$C$2:$C$5000,Data_Actuals!$A$2:$A$5000,$A58,Data_Actuals!$B$2:$B$5000,$B$2),"")</f>
        <v/>
      </c>
      <c r="S58" s="52">
        <f>IF($D58="Actual",SUMIFS(Data_Actuals!$D$2:$D$5000,Data_Actuals!$A$2:$A$5000,$A58,Data_Actuals!$B$2:$B$5000,$B$2),"")</f>
        <v/>
      </c>
      <c r="T58" s="52">
        <f>IF($D58="Actual",SUMIFS(Data_Actuals!$E$2:$E$5000,Data_Actuals!$A$2:$A$5000,$A58,Data_Actuals!$B$2:$B$5000,$B$2),"")</f>
        <v/>
      </c>
      <c r="U58" s="52">
        <f>IF($D58="Actual",SUMIFS(Data_Actuals!$F$2:$F$5000,Data_Actuals!$A$2:$A$5000,$A58,Data_Actuals!$B$2:$B$5000,$B$2),"")</f>
        <v/>
      </c>
      <c r="V58" s="52">
        <f>IF($D58="Actual",SUMIFS(Data_Actuals!$G$2:$G$5000,Data_Actuals!$A$2:$A$5000,$A58,Data_Actuals!$B$2:$B$5000,$B$2),"")</f>
        <v/>
      </c>
      <c r="W58" s="52">
        <f>SUMIFS(Plan_Inputs!$C$2:$C$5000,Plan_Inputs!$A$2:$A$5000,$A58,Plan_Inputs!$B$2:$B$5000,$B$2)</f>
        <v/>
      </c>
      <c r="X58" s="53">
        <f>IF($D58="Actual",IFERROR(S58/T58,""),X46)</f>
        <v/>
      </c>
      <c r="Y58" s="52">
        <f>E58</f>
        <v/>
      </c>
      <c r="Z58" s="54">
        <f>INDEX(Calendar!$H$5:$L$52,MATCH($A58,Calendar!$A$5:$A$52,0),MATCH($D$2,Calendar!$H$4:$L$4,0))</f>
        <v/>
      </c>
      <c r="AA58" s="54">
        <f>INDEX(Calendar!$M$5:$M$52,MATCH($A58,Calendar!$A$5:$A$52,0))</f>
        <v/>
      </c>
      <c r="AB58" s="55">
        <f>IF($D58="Actual",IFERROR(S58/Y58,""),AB46)</f>
        <v/>
      </c>
      <c r="AC58" s="56">
        <f>IF($D58="Actual",IFERROR(U58/T58/Z58/AA58,""),AC46)</f>
        <v/>
      </c>
      <c r="AD58" s="57">
        <f>IF($D58="Actual",IFERROR(V58/(U58+V58),""),$K$2)</f>
        <v/>
      </c>
      <c r="AE58" s="56">
        <f>IFERROR(AC58*Z58*AA58,"")</f>
        <v/>
      </c>
      <c r="AF58" s="53">
        <f>K46</f>
        <v/>
      </c>
      <c r="AG58" s="57">
        <f>IF($D58="Forecast",IFERROR(K58/AF58-1,""),"")</f>
        <v/>
      </c>
      <c r="AH58" s="53">
        <f>IF(CPLHSource="National breakdown",CPLH_Breakdown!AL63,SUMIFS(Plan_Inputs!$D$2:$D$5000,Plan_Inputs!$A$2:$A$5000,$A58,Plan_Inputs!$B$2:$B$5000,$B$2))</f>
        <v/>
      </c>
      <c r="AJ58" s="15">
        <f>F58*$AK$11</f>
        <v/>
      </c>
      <c r="AK58" s="9">
        <f>G58*$AK$11</f>
        <v/>
      </c>
      <c r="AL58" s="30">
        <f>H58*$AK$11</f>
        <v/>
      </c>
      <c r="AM58" s="30">
        <f>I58*$AK$11</f>
        <v/>
      </c>
      <c r="AN58" s="30">
        <f>J58*$AK$11</f>
        <v/>
      </c>
      <c r="AP58" s="15">
        <f>F58*$AQ$11</f>
        <v/>
      </c>
      <c r="AQ58" s="9">
        <f>G58*$AQ$11</f>
        <v/>
      </c>
      <c r="AR58" s="30">
        <f>H58*$AQ$11</f>
        <v/>
      </c>
      <c r="AS58" s="30">
        <f>I58*$AQ$11</f>
        <v/>
      </c>
      <c r="AT58" s="30">
        <f>J58*$AQ$11</f>
        <v/>
      </c>
      <c r="AV58" s="15">
        <f>F58*$AW$11</f>
        <v/>
      </c>
      <c r="AW58" s="9">
        <f>G58*$AW$11</f>
        <v/>
      </c>
      <c r="AX58" s="30">
        <f>H58*$AW$11</f>
        <v/>
      </c>
      <c r="AY58" s="30">
        <f>I58*$AW$11</f>
        <v/>
      </c>
      <c r="AZ58" s="30">
        <f>J58*$AW$11</f>
        <v/>
      </c>
    </row>
    <row r="59">
      <c r="A59" s="8" t="n">
        <v>46997</v>
      </c>
      <c r="B59" s="33">
        <f>YEAR(A59)</f>
        <v/>
      </c>
      <c r="C59" s="33">
        <f>MONTH(A59)</f>
        <v/>
      </c>
      <c r="D59">
        <f>IF(A59&lt;=LastActual,"Actual","Forecast")</f>
        <v/>
      </c>
      <c r="E59" s="30">
        <f>IF($D59="Actual",R59,W59)</f>
        <v/>
      </c>
      <c r="F59" s="15">
        <f>IF($D59="Actual",S59,Cases_Forecast!AK52)</f>
        <v/>
      </c>
      <c r="G59" s="9">
        <f>IF($D59="Actual",T59,IFERROR(F59/K59,0))</f>
        <v/>
      </c>
      <c r="H59" s="30">
        <f>IF($D59="Actual",U59,G59*L59)</f>
        <v/>
      </c>
      <c r="I59" s="30">
        <f>IF($D59="Actual",V59,J59-H59)</f>
        <v/>
      </c>
      <c r="J59" s="30">
        <f>IF($D59="Actual",U59+V59,IFERROR(H59/(1-AD59),0))</f>
        <v/>
      </c>
      <c r="K59" s="10">
        <f>IF($D59="Actual",IFERROR(S59/T59,0),CPLH_Forecast!AK52)</f>
        <v/>
      </c>
      <c r="L59" s="34">
        <f>IF($D59="Actual",IFERROR(U59/T59,0),N(AE59))</f>
        <v/>
      </c>
      <c r="M59" s="35">
        <f>IFERROR(J59/F59,0)</f>
        <v/>
      </c>
      <c r="N59" s="36">
        <f>IFERROR(J59/E59,0)</f>
        <v/>
      </c>
      <c r="O59" s="36">
        <f>IFERROR(I59/J59,0)</f>
        <v/>
      </c>
      <c r="R59" s="52">
        <f>IF($D59="Actual",SUMIFS(Data_Actuals!$C$2:$C$5000,Data_Actuals!$A$2:$A$5000,$A59,Data_Actuals!$B$2:$B$5000,$B$2),"")</f>
        <v/>
      </c>
      <c r="S59" s="52">
        <f>IF($D59="Actual",SUMIFS(Data_Actuals!$D$2:$D$5000,Data_Actuals!$A$2:$A$5000,$A59,Data_Actuals!$B$2:$B$5000,$B$2),"")</f>
        <v/>
      </c>
      <c r="T59" s="52">
        <f>IF($D59="Actual",SUMIFS(Data_Actuals!$E$2:$E$5000,Data_Actuals!$A$2:$A$5000,$A59,Data_Actuals!$B$2:$B$5000,$B$2),"")</f>
        <v/>
      </c>
      <c r="U59" s="52">
        <f>IF($D59="Actual",SUMIFS(Data_Actuals!$F$2:$F$5000,Data_Actuals!$A$2:$A$5000,$A59,Data_Actuals!$B$2:$B$5000,$B$2),"")</f>
        <v/>
      </c>
      <c r="V59" s="52">
        <f>IF($D59="Actual",SUMIFS(Data_Actuals!$G$2:$G$5000,Data_Actuals!$A$2:$A$5000,$A59,Data_Actuals!$B$2:$B$5000,$B$2),"")</f>
        <v/>
      </c>
      <c r="W59" s="52">
        <f>SUMIFS(Plan_Inputs!$C$2:$C$5000,Plan_Inputs!$A$2:$A$5000,$A59,Plan_Inputs!$B$2:$B$5000,$B$2)</f>
        <v/>
      </c>
      <c r="X59" s="53">
        <f>IF($D59="Actual",IFERROR(S59/T59,""),X47)</f>
        <v/>
      </c>
      <c r="Y59" s="52">
        <f>E59</f>
        <v/>
      </c>
      <c r="Z59" s="54">
        <f>INDEX(Calendar!$H$5:$L$52,MATCH($A59,Calendar!$A$5:$A$52,0),MATCH($D$2,Calendar!$H$4:$L$4,0))</f>
        <v/>
      </c>
      <c r="AA59" s="54">
        <f>INDEX(Calendar!$M$5:$M$52,MATCH($A59,Calendar!$A$5:$A$52,0))</f>
        <v/>
      </c>
      <c r="AB59" s="55">
        <f>IF($D59="Actual",IFERROR(S59/Y59,""),AB47)</f>
        <v/>
      </c>
      <c r="AC59" s="56">
        <f>IF($D59="Actual",IFERROR(U59/T59/Z59/AA59,""),AC47)</f>
        <v/>
      </c>
      <c r="AD59" s="57">
        <f>IF($D59="Actual",IFERROR(V59/(U59+V59),""),$K$2)</f>
        <v/>
      </c>
      <c r="AE59" s="56">
        <f>IFERROR(AC59*Z59*AA59,"")</f>
        <v/>
      </c>
      <c r="AF59" s="53">
        <f>K47</f>
        <v/>
      </c>
      <c r="AG59" s="57">
        <f>IF($D59="Forecast",IFERROR(K59/AF59-1,""),"")</f>
        <v/>
      </c>
      <c r="AH59" s="53">
        <f>IF(CPLHSource="National breakdown",CPLH_Breakdown!AL64,SUMIFS(Plan_Inputs!$D$2:$D$5000,Plan_Inputs!$A$2:$A$5000,$A59,Plan_Inputs!$B$2:$B$5000,$B$2))</f>
        <v/>
      </c>
      <c r="AJ59" s="15">
        <f>F59*$AK$11</f>
        <v/>
      </c>
      <c r="AK59" s="9">
        <f>G59*$AK$11</f>
        <v/>
      </c>
      <c r="AL59" s="30">
        <f>H59*$AK$11</f>
        <v/>
      </c>
      <c r="AM59" s="30">
        <f>I59*$AK$11</f>
        <v/>
      </c>
      <c r="AN59" s="30">
        <f>J59*$AK$11</f>
        <v/>
      </c>
      <c r="AP59" s="15">
        <f>F59*$AQ$11</f>
        <v/>
      </c>
      <c r="AQ59" s="9">
        <f>G59*$AQ$11</f>
        <v/>
      </c>
      <c r="AR59" s="30">
        <f>H59*$AQ$11</f>
        <v/>
      </c>
      <c r="AS59" s="30">
        <f>I59*$AQ$11</f>
        <v/>
      </c>
      <c r="AT59" s="30">
        <f>J59*$AQ$11</f>
        <v/>
      </c>
      <c r="AV59" s="15">
        <f>F59*$AW$11</f>
        <v/>
      </c>
      <c r="AW59" s="9">
        <f>G59*$AW$11</f>
        <v/>
      </c>
      <c r="AX59" s="30">
        <f>H59*$AW$11</f>
        <v/>
      </c>
      <c r="AY59" s="30">
        <f>I59*$AW$11</f>
        <v/>
      </c>
      <c r="AZ59" s="30">
        <f>J59*$AW$11</f>
        <v/>
      </c>
    </row>
    <row r="60">
      <c r="A60" s="8" t="n">
        <v>47027</v>
      </c>
      <c r="B60" s="33">
        <f>YEAR(A60)</f>
        <v/>
      </c>
      <c r="C60" s="33">
        <f>MONTH(A60)</f>
        <v/>
      </c>
      <c r="D60">
        <f>IF(A60&lt;=LastActual,"Actual","Forecast")</f>
        <v/>
      </c>
      <c r="E60" s="30">
        <f>IF($D60="Actual",R60,W60)</f>
        <v/>
      </c>
      <c r="F60" s="15">
        <f>IF($D60="Actual",S60,Cases_Forecast!AK53)</f>
        <v/>
      </c>
      <c r="G60" s="9">
        <f>IF($D60="Actual",T60,IFERROR(F60/K60,0))</f>
        <v/>
      </c>
      <c r="H60" s="30">
        <f>IF($D60="Actual",U60,G60*L60)</f>
        <v/>
      </c>
      <c r="I60" s="30">
        <f>IF($D60="Actual",V60,J60-H60)</f>
        <v/>
      </c>
      <c r="J60" s="30">
        <f>IF($D60="Actual",U60+V60,IFERROR(H60/(1-AD60),0))</f>
        <v/>
      </c>
      <c r="K60" s="10">
        <f>IF($D60="Actual",IFERROR(S60/T60,0),CPLH_Forecast!AK53)</f>
        <v/>
      </c>
      <c r="L60" s="34">
        <f>IF($D60="Actual",IFERROR(U60/T60,0),N(AE60))</f>
        <v/>
      </c>
      <c r="M60" s="35">
        <f>IFERROR(J60/F60,0)</f>
        <v/>
      </c>
      <c r="N60" s="36">
        <f>IFERROR(J60/E60,0)</f>
        <v/>
      </c>
      <c r="O60" s="36">
        <f>IFERROR(I60/J60,0)</f>
        <v/>
      </c>
      <c r="R60" s="52">
        <f>IF($D60="Actual",SUMIFS(Data_Actuals!$C$2:$C$5000,Data_Actuals!$A$2:$A$5000,$A60,Data_Actuals!$B$2:$B$5000,$B$2),"")</f>
        <v/>
      </c>
      <c r="S60" s="52">
        <f>IF($D60="Actual",SUMIFS(Data_Actuals!$D$2:$D$5000,Data_Actuals!$A$2:$A$5000,$A60,Data_Actuals!$B$2:$B$5000,$B$2),"")</f>
        <v/>
      </c>
      <c r="T60" s="52">
        <f>IF($D60="Actual",SUMIFS(Data_Actuals!$E$2:$E$5000,Data_Actuals!$A$2:$A$5000,$A60,Data_Actuals!$B$2:$B$5000,$B$2),"")</f>
        <v/>
      </c>
      <c r="U60" s="52">
        <f>IF($D60="Actual",SUMIFS(Data_Actuals!$F$2:$F$5000,Data_Actuals!$A$2:$A$5000,$A60,Data_Actuals!$B$2:$B$5000,$B$2),"")</f>
        <v/>
      </c>
      <c r="V60" s="52">
        <f>IF($D60="Actual",SUMIFS(Data_Actuals!$G$2:$G$5000,Data_Actuals!$A$2:$A$5000,$A60,Data_Actuals!$B$2:$B$5000,$B$2),"")</f>
        <v/>
      </c>
      <c r="W60" s="52">
        <f>SUMIFS(Plan_Inputs!$C$2:$C$5000,Plan_Inputs!$A$2:$A$5000,$A60,Plan_Inputs!$B$2:$B$5000,$B$2)</f>
        <v/>
      </c>
      <c r="X60" s="53">
        <f>IF($D60="Actual",IFERROR(S60/T60,""),X48)</f>
        <v/>
      </c>
      <c r="Y60" s="52">
        <f>E60</f>
        <v/>
      </c>
      <c r="Z60" s="54">
        <f>INDEX(Calendar!$H$5:$L$52,MATCH($A60,Calendar!$A$5:$A$52,0),MATCH($D$2,Calendar!$H$4:$L$4,0))</f>
        <v/>
      </c>
      <c r="AA60" s="54">
        <f>INDEX(Calendar!$M$5:$M$52,MATCH($A60,Calendar!$A$5:$A$52,0))</f>
        <v/>
      </c>
      <c r="AB60" s="55">
        <f>IF($D60="Actual",IFERROR(S60/Y60,""),AB48)</f>
        <v/>
      </c>
      <c r="AC60" s="56">
        <f>IF($D60="Actual",IFERROR(U60/T60/Z60/AA60,""),AC48)</f>
        <v/>
      </c>
      <c r="AD60" s="57">
        <f>IF($D60="Actual",IFERROR(V60/(U60+V60),""),$K$2)</f>
        <v/>
      </c>
      <c r="AE60" s="56">
        <f>IFERROR(AC60*Z60*AA60,"")</f>
        <v/>
      </c>
      <c r="AF60" s="53">
        <f>K48</f>
        <v/>
      </c>
      <c r="AG60" s="57">
        <f>IF($D60="Forecast",IFERROR(K60/AF60-1,""),"")</f>
        <v/>
      </c>
      <c r="AH60" s="53">
        <f>IF(CPLHSource="National breakdown",CPLH_Breakdown!AL65,SUMIFS(Plan_Inputs!$D$2:$D$5000,Plan_Inputs!$A$2:$A$5000,$A60,Plan_Inputs!$B$2:$B$5000,$B$2))</f>
        <v/>
      </c>
      <c r="AJ60" s="15">
        <f>F60*$AK$11</f>
        <v/>
      </c>
      <c r="AK60" s="9">
        <f>G60*$AK$11</f>
        <v/>
      </c>
      <c r="AL60" s="30">
        <f>H60*$AK$11</f>
        <v/>
      </c>
      <c r="AM60" s="30">
        <f>I60*$AK$11</f>
        <v/>
      </c>
      <c r="AN60" s="30">
        <f>J60*$AK$11</f>
        <v/>
      </c>
      <c r="AP60" s="15">
        <f>F60*$AQ$11</f>
        <v/>
      </c>
      <c r="AQ60" s="9">
        <f>G60*$AQ$11</f>
        <v/>
      </c>
      <c r="AR60" s="30">
        <f>H60*$AQ$11</f>
        <v/>
      </c>
      <c r="AS60" s="30">
        <f>I60*$AQ$11</f>
        <v/>
      </c>
      <c r="AT60" s="30">
        <f>J60*$AQ$11</f>
        <v/>
      </c>
      <c r="AV60" s="15">
        <f>F60*$AW$11</f>
        <v/>
      </c>
      <c r="AW60" s="9">
        <f>G60*$AW$11</f>
        <v/>
      </c>
      <c r="AX60" s="30">
        <f>H60*$AW$11</f>
        <v/>
      </c>
      <c r="AY60" s="30">
        <f>I60*$AW$11</f>
        <v/>
      </c>
      <c r="AZ60" s="30">
        <f>J60*$AW$11</f>
        <v/>
      </c>
    </row>
    <row r="61">
      <c r="A61" s="8" t="n">
        <v>47058</v>
      </c>
      <c r="B61" s="33">
        <f>YEAR(A61)</f>
        <v/>
      </c>
      <c r="C61" s="33">
        <f>MONTH(A61)</f>
        <v/>
      </c>
      <c r="D61">
        <f>IF(A61&lt;=LastActual,"Actual","Forecast")</f>
        <v/>
      </c>
      <c r="E61" s="30">
        <f>IF($D61="Actual",R61,W61)</f>
        <v/>
      </c>
      <c r="F61" s="15">
        <f>IF($D61="Actual",S61,Cases_Forecast!AK54)</f>
        <v/>
      </c>
      <c r="G61" s="9">
        <f>IF($D61="Actual",T61,IFERROR(F61/K61,0))</f>
        <v/>
      </c>
      <c r="H61" s="30">
        <f>IF($D61="Actual",U61,G61*L61)</f>
        <v/>
      </c>
      <c r="I61" s="30">
        <f>IF($D61="Actual",V61,J61-H61)</f>
        <v/>
      </c>
      <c r="J61" s="30">
        <f>IF($D61="Actual",U61+V61,IFERROR(H61/(1-AD61),0))</f>
        <v/>
      </c>
      <c r="K61" s="10">
        <f>IF($D61="Actual",IFERROR(S61/T61,0),CPLH_Forecast!AK54)</f>
        <v/>
      </c>
      <c r="L61" s="34">
        <f>IF($D61="Actual",IFERROR(U61/T61,0),N(AE61))</f>
        <v/>
      </c>
      <c r="M61" s="35">
        <f>IFERROR(J61/F61,0)</f>
        <v/>
      </c>
      <c r="N61" s="36">
        <f>IFERROR(J61/E61,0)</f>
        <v/>
      </c>
      <c r="O61" s="36">
        <f>IFERROR(I61/J61,0)</f>
        <v/>
      </c>
      <c r="R61" s="52">
        <f>IF($D61="Actual",SUMIFS(Data_Actuals!$C$2:$C$5000,Data_Actuals!$A$2:$A$5000,$A61,Data_Actuals!$B$2:$B$5000,$B$2),"")</f>
        <v/>
      </c>
      <c r="S61" s="52">
        <f>IF($D61="Actual",SUMIFS(Data_Actuals!$D$2:$D$5000,Data_Actuals!$A$2:$A$5000,$A61,Data_Actuals!$B$2:$B$5000,$B$2),"")</f>
        <v/>
      </c>
      <c r="T61" s="52">
        <f>IF($D61="Actual",SUMIFS(Data_Actuals!$E$2:$E$5000,Data_Actuals!$A$2:$A$5000,$A61,Data_Actuals!$B$2:$B$5000,$B$2),"")</f>
        <v/>
      </c>
      <c r="U61" s="52">
        <f>IF($D61="Actual",SUMIFS(Data_Actuals!$F$2:$F$5000,Data_Actuals!$A$2:$A$5000,$A61,Data_Actuals!$B$2:$B$5000,$B$2),"")</f>
        <v/>
      </c>
      <c r="V61" s="52">
        <f>IF($D61="Actual",SUMIFS(Data_Actuals!$G$2:$G$5000,Data_Actuals!$A$2:$A$5000,$A61,Data_Actuals!$B$2:$B$5000,$B$2),"")</f>
        <v/>
      </c>
      <c r="W61" s="52">
        <f>SUMIFS(Plan_Inputs!$C$2:$C$5000,Plan_Inputs!$A$2:$A$5000,$A61,Plan_Inputs!$B$2:$B$5000,$B$2)</f>
        <v/>
      </c>
      <c r="X61" s="53">
        <f>IF($D61="Actual",IFERROR(S61/T61,""),X49)</f>
        <v/>
      </c>
      <c r="Y61" s="52">
        <f>E61</f>
        <v/>
      </c>
      <c r="Z61" s="54">
        <f>INDEX(Calendar!$H$5:$L$52,MATCH($A61,Calendar!$A$5:$A$52,0),MATCH($D$2,Calendar!$H$4:$L$4,0))</f>
        <v/>
      </c>
      <c r="AA61" s="54">
        <f>INDEX(Calendar!$M$5:$M$52,MATCH($A61,Calendar!$A$5:$A$52,0))</f>
        <v/>
      </c>
      <c r="AB61" s="55">
        <f>IF($D61="Actual",IFERROR(S61/Y61,""),AB49)</f>
        <v/>
      </c>
      <c r="AC61" s="56">
        <f>IF($D61="Actual",IFERROR(U61/T61/Z61/AA61,""),AC49)</f>
        <v/>
      </c>
      <c r="AD61" s="57">
        <f>IF($D61="Actual",IFERROR(V61/(U61+V61),""),$K$2)</f>
        <v/>
      </c>
      <c r="AE61" s="56">
        <f>IFERROR(AC61*Z61*AA61,"")</f>
        <v/>
      </c>
      <c r="AF61" s="53">
        <f>K49</f>
        <v/>
      </c>
      <c r="AG61" s="57">
        <f>IF($D61="Forecast",IFERROR(K61/AF61-1,""),"")</f>
        <v/>
      </c>
      <c r="AH61" s="53">
        <f>IF(CPLHSource="National breakdown",CPLH_Breakdown!AL66,SUMIFS(Plan_Inputs!$D$2:$D$5000,Plan_Inputs!$A$2:$A$5000,$A61,Plan_Inputs!$B$2:$B$5000,$B$2))</f>
        <v/>
      </c>
      <c r="AJ61" s="15">
        <f>F61*$AK$11</f>
        <v/>
      </c>
      <c r="AK61" s="9">
        <f>G61*$AK$11</f>
        <v/>
      </c>
      <c r="AL61" s="30">
        <f>H61*$AK$11</f>
        <v/>
      </c>
      <c r="AM61" s="30">
        <f>I61*$AK$11</f>
        <v/>
      </c>
      <c r="AN61" s="30">
        <f>J61*$AK$11</f>
        <v/>
      </c>
      <c r="AP61" s="15">
        <f>F61*$AQ$11</f>
        <v/>
      </c>
      <c r="AQ61" s="9">
        <f>G61*$AQ$11</f>
        <v/>
      </c>
      <c r="AR61" s="30">
        <f>H61*$AQ$11</f>
        <v/>
      </c>
      <c r="AS61" s="30">
        <f>I61*$AQ$11</f>
        <v/>
      </c>
      <c r="AT61" s="30">
        <f>J61*$AQ$11</f>
        <v/>
      </c>
      <c r="AV61" s="15">
        <f>F61*$AW$11</f>
        <v/>
      </c>
      <c r="AW61" s="9">
        <f>G61*$AW$11</f>
        <v/>
      </c>
      <c r="AX61" s="30">
        <f>H61*$AW$11</f>
        <v/>
      </c>
      <c r="AY61" s="30">
        <f>I61*$AW$11</f>
        <v/>
      </c>
      <c r="AZ61" s="30">
        <f>J61*$AW$11</f>
        <v/>
      </c>
    </row>
    <row r="62">
      <c r="A62" s="37" t="n">
        <v>47088</v>
      </c>
      <c r="B62" s="38">
        <f>YEAR(A62)</f>
        <v/>
      </c>
      <c r="C62" s="38">
        <f>MONTH(A62)</f>
        <v/>
      </c>
      <c r="D62" s="39">
        <f>IF(A62&lt;=LastActual,"Actual","Forecast")</f>
        <v/>
      </c>
      <c r="E62" s="40">
        <f>IF($D62="Actual",R62,W62)</f>
        <v/>
      </c>
      <c r="F62" s="41">
        <f>IF($D62="Actual",S62,Cases_Forecast!AK55)</f>
        <v/>
      </c>
      <c r="G62" s="42">
        <f>IF($D62="Actual",T62,IFERROR(F62/K62,0))</f>
        <v/>
      </c>
      <c r="H62" s="40">
        <f>IF($D62="Actual",U62,G62*L62)</f>
        <v/>
      </c>
      <c r="I62" s="40">
        <f>IF($D62="Actual",V62,J62-H62)</f>
        <v/>
      </c>
      <c r="J62" s="40">
        <f>IF($D62="Actual",U62+V62,IFERROR(H62/(1-AD62),0))</f>
        <v/>
      </c>
      <c r="K62" s="43">
        <f>IF($D62="Actual",IFERROR(S62/T62,0),CPLH_Forecast!AK55)</f>
        <v/>
      </c>
      <c r="L62" s="44">
        <f>IF($D62="Actual",IFERROR(U62/T62,0),N(AE62))</f>
        <v/>
      </c>
      <c r="M62" s="45">
        <f>IFERROR(J62/F62,0)</f>
        <v/>
      </c>
      <c r="N62" s="46">
        <f>IFERROR(J62/E62,0)</f>
        <v/>
      </c>
      <c r="O62" s="46">
        <f>IFERROR(I62/J62,0)</f>
        <v/>
      </c>
      <c r="R62" s="52">
        <f>IF($D62="Actual",SUMIFS(Data_Actuals!$C$2:$C$5000,Data_Actuals!$A$2:$A$5000,$A62,Data_Actuals!$B$2:$B$5000,$B$2),"")</f>
        <v/>
      </c>
      <c r="S62" s="52">
        <f>IF($D62="Actual",SUMIFS(Data_Actuals!$D$2:$D$5000,Data_Actuals!$A$2:$A$5000,$A62,Data_Actuals!$B$2:$B$5000,$B$2),"")</f>
        <v/>
      </c>
      <c r="T62" s="52">
        <f>IF($D62="Actual",SUMIFS(Data_Actuals!$E$2:$E$5000,Data_Actuals!$A$2:$A$5000,$A62,Data_Actuals!$B$2:$B$5000,$B$2),"")</f>
        <v/>
      </c>
      <c r="U62" s="52">
        <f>IF($D62="Actual",SUMIFS(Data_Actuals!$F$2:$F$5000,Data_Actuals!$A$2:$A$5000,$A62,Data_Actuals!$B$2:$B$5000,$B$2),"")</f>
        <v/>
      </c>
      <c r="V62" s="52">
        <f>IF($D62="Actual",SUMIFS(Data_Actuals!$G$2:$G$5000,Data_Actuals!$A$2:$A$5000,$A62,Data_Actuals!$B$2:$B$5000,$B$2),"")</f>
        <v/>
      </c>
      <c r="W62" s="52">
        <f>SUMIFS(Plan_Inputs!$C$2:$C$5000,Plan_Inputs!$A$2:$A$5000,$A62,Plan_Inputs!$B$2:$B$5000,$B$2)</f>
        <v/>
      </c>
      <c r="X62" s="53">
        <f>IF($D62="Actual",IFERROR(S62/T62,""),X50)</f>
        <v/>
      </c>
      <c r="Y62" s="52">
        <f>E62</f>
        <v/>
      </c>
      <c r="Z62" s="54">
        <f>INDEX(Calendar!$H$5:$L$52,MATCH($A62,Calendar!$A$5:$A$52,0),MATCH($D$2,Calendar!$H$4:$L$4,0))</f>
        <v/>
      </c>
      <c r="AA62" s="54">
        <f>INDEX(Calendar!$M$5:$M$52,MATCH($A62,Calendar!$A$5:$A$52,0))</f>
        <v/>
      </c>
      <c r="AB62" s="55">
        <f>IF($D62="Actual",IFERROR(S62/Y62,""),AB50)</f>
        <v/>
      </c>
      <c r="AC62" s="56">
        <f>IF($D62="Actual",IFERROR(U62/T62/Z62/AA62,""),AC50)</f>
        <v/>
      </c>
      <c r="AD62" s="57">
        <f>IF($D62="Actual",IFERROR(V62/(U62+V62),""),$K$2)</f>
        <v/>
      </c>
      <c r="AE62" s="56">
        <f>IFERROR(AC62*Z62*AA62,"")</f>
        <v/>
      </c>
      <c r="AF62" s="53">
        <f>K50</f>
        <v/>
      </c>
      <c r="AG62" s="57">
        <f>IF($D62="Forecast",IFERROR(K62/AF62-1,""),"")</f>
        <v/>
      </c>
      <c r="AH62" s="53">
        <f>IF(CPLHSource="National breakdown",CPLH_Breakdown!AL67,SUMIFS(Plan_Inputs!$D$2:$D$5000,Plan_Inputs!$A$2:$A$5000,$A62,Plan_Inputs!$B$2:$B$5000,$B$2))</f>
        <v/>
      </c>
      <c r="AJ62" s="41">
        <f>F62*$AK$11</f>
        <v/>
      </c>
      <c r="AK62" s="42">
        <f>G62*$AK$11</f>
        <v/>
      </c>
      <c r="AL62" s="40">
        <f>H62*$AK$11</f>
        <v/>
      </c>
      <c r="AM62" s="40">
        <f>I62*$AK$11</f>
        <v/>
      </c>
      <c r="AN62" s="40">
        <f>J62*$AK$11</f>
        <v/>
      </c>
      <c r="AP62" s="41">
        <f>F62*$AQ$11</f>
        <v/>
      </c>
      <c r="AQ62" s="42">
        <f>G62*$AQ$11</f>
        <v/>
      </c>
      <c r="AR62" s="40">
        <f>H62*$AQ$11</f>
        <v/>
      </c>
      <c r="AS62" s="40">
        <f>I62*$AQ$11</f>
        <v/>
      </c>
      <c r="AT62" s="40">
        <f>J62*$AQ$11</f>
        <v/>
      </c>
      <c r="AV62" s="41">
        <f>F62*$AW$11</f>
        <v/>
      </c>
      <c r="AW62" s="42">
        <f>G62*$AW$11</f>
        <v/>
      </c>
      <c r="AX62" s="40">
        <f>H62*$AW$11</f>
        <v/>
      </c>
      <c r="AY62" s="40">
        <f>I62*$AW$11</f>
        <v/>
      </c>
      <c r="AZ62" s="40">
        <f>J62*$AW$11</f>
        <v/>
      </c>
    </row>
  </sheetData>
  <mergeCells count="6">
    <mergeCell ref="K12:O12"/>
    <mergeCell ref="AV12:AZ12"/>
    <mergeCell ref="AJ12:AN12"/>
    <mergeCell ref="AP12:AT12"/>
    <mergeCell ref="R12:AH12"/>
    <mergeCell ref="E12:J12"/>
  </mergeCells>
  <conditionalFormatting sqref="A15:O62">
    <cfRule type="expression" priority="1" dxfId="4">
      <formula>$D15="Forecast"</formula>
    </cfRule>
  </conditionalFormatting>
  <conditionalFormatting sqref="AJ15:AZ62">
    <cfRule type="expression" priority="2" dxfId="4">
      <formula>$D15="Forecast"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F3864"/>
    <outlinePr summaryBelow="1" summaryRight="1"/>
    <pageSetUpPr/>
  </sheetPr>
  <dimension ref="A1:AZ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  <col width="10" customWidth="1" min="34" max="34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2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2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2" customWidth="1" min="53" max="53"/>
  </cols>
  <sheetData>
    <row r="1">
      <c r="A1" s="2">
        <f>$B$2&amp;"  |  Region  |  QLD"</f>
        <v/>
      </c>
    </row>
    <row r="2">
      <c r="A2" t="inlineStr">
        <is>
          <t>Code</t>
        </is>
      </c>
      <c r="B2" s="1">
        <f>Inputs!$A$38</f>
        <v/>
      </c>
      <c r="C2" t="inlineStr">
        <is>
          <t>State</t>
        </is>
      </c>
      <c r="D2" s="1" t="inlineStr">
        <is>
          <t>QLD</t>
        </is>
      </c>
      <c r="F2" t="inlineStr">
        <is>
          <t>Leadership share of total payroll, last actual month</t>
        </is>
      </c>
      <c r="K2" s="50">
        <f>IFERROR(INDEX($V$15:$V$62,MATCH(LastActual,$A$15:$A$62,0))/(INDEX($U$15:$U$62,MATCH(LastActual,$A$15:$A$62,0))+INDEX($V$15:$V$62,MATCH(LastActual,$A$15:$A$62,0))),0)</f>
        <v/>
      </c>
    </row>
    <row r="5" ht="45" customHeight="1">
      <c r="A5" s="7" t="inlineStr">
        <is>
          <t>FY</t>
        </is>
      </c>
      <c r="D5" s="7" t="inlineStr">
        <is>
          <t>Status</t>
        </is>
      </c>
      <c r="E5" s="7" t="inlineStr">
        <is>
          <t>Sales</t>
        </is>
      </c>
      <c r="F5" s="7" t="inlineStr">
        <is>
          <t>Cases picked</t>
        </is>
      </c>
      <c r="G5" s="7" t="inlineStr">
        <is>
          <t>WH hours worked</t>
        </is>
      </c>
      <c r="H5" s="7" t="inlineStr">
        <is>
          <t>Staff payroll</t>
        </is>
      </c>
      <c r="I5" s="7" t="inlineStr">
        <is>
          <t>Leadership payroll</t>
        </is>
      </c>
      <c r="J5" s="7" t="inlineStr">
        <is>
          <t>Total payroll</t>
        </is>
      </c>
      <c r="K5" s="7" t="inlineStr">
        <is>
          <t>CPLH (cases / hr)</t>
        </is>
      </c>
      <c r="L5" s="7" t="inlineStr">
        <is>
          <t>Cost per hour (staff)</t>
        </is>
      </c>
      <c r="M5" s="7" t="inlineStr">
        <is>
          <t>Cost per case (total payroll)</t>
        </is>
      </c>
      <c r="N5" s="7" t="inlineStr">
        <is>
          <t>Total payroll % sales</t>
        </is>
      </c>
      <c r="O5" s="7" t="inlineStr">
        <is>
          <t>Leadership % of total payroll</t>
        </is>
      </c>
      <c r="AJ5" s="20" t="inlineStr">
        <is>
          <t>Cases picked</t>
        </is>
      </c>
      <c r="AK5" s="20" t="inlineStr">
        <is>
          <t>WH hours worked</t>
        </is>
      </c>
      <c r="AL5" s="20" t="inlineStr">
        <is>
          <t>Staff payroll</t>
        </is>
      </c>
      <c r="AM5" s="20" t="inlineStr">
        <is>
          <t>Leadership payroll</t>
        </is>
      </c>
      <c r="AN5" s="20" t="inlineStr">
        <is>
          <t>Total payroll</t>
        </is>
      </c>
      <c r="AP5" s="20" t="inlineStr">
        <is>
          <t>Cases picked</t>
        </is>
      </c>
      <c r="AQ5" s="20" t="inlineStr">
        <is>
          <t>WH hours worked</t>
        </is>
      </c>
      <c r="AR5" s="20" t="inlineStr">
        <is>
          <t>Staff payroll</t>
        </is>
      </c>
      <c r="AS5" s="20" t="inlineStr">
        <is>
          <t>Leadership payroll</t>
        </is>
      </c>
      <c r="AT5" s="20" t="inlineStr">
        <is>
          <t>Total payroll</t>
        </is>
      </c>
      <c r="AV5" s="20" t="inlineStr">
        <is>
          <t>Cases picked</t>
        </is>
      </c>
      <c r="AW5" s="20" t="inlineStr">
        <is>
          <t>WH hours worked</t>
        </is>
      </c>
      <c r="AX5" s="20" t="inlineStr">
        <is>
          <t>Staff payroll</t>
        </is>
      </c>
      <c r="AY5" s="20" t="inlineStr">
        <is>
          <t>Leadership payroll</t>
        </is>
      </c>
      <c r="AZ5" s="20" t="inlineStr">
        <is>
          <t>Total payroll</t>
        </is>
      </c>
    </row>
    <row r="6">
      <c r="A6" s="21" t="n">
        <v>2025</v>
      </c>
      <c r="D6" s="22">
        <f>IF(DATE(A6,12,1)&lt;=LastActual,"Actual",IF(DATE(A6,1,1)&gt;LastActual,"Forecast","Blended"))</f>
        <v/>
      </c>
      <c r="E6" s="23">
        <f>SUMIFS($E$15:$E$62,$B$15:$B$62,$A6)</f>
        <v/>
      </c>
      <c r="F6" s="24">
        <f>SUMIFS($F$15:$F$62,$B$15:$B$62,$A6)</f>
        <v/>
      </c>
      <c r="G6" s="25">
        <f>SUMIFS($G$15:$G$62,$B$15:$B$62,$A6)</f>
        <v/>
      </c>
      <c r="H6" s="23">
        <f>SUMIFS($H$15:$H$62,$B$15:$B$62,$A6)</f>
        <v/>
      </c>
      <c r="I6" s="23">
        <f>SUMIFS($I$15:$I$62,$B$15:$B$62,$A6)</f>
        <v/>
      </c>
      <c r="J6" s="23">
        <f>SUMIFS($J$15:$J$62,$B$15:$B$62,$A6)</f>
        <v/>
      </c>
      <c r="K6" s="26">
        <f>IFERROR(F6/G6,0)</f>
        <v/>
      </c>
      <c r="L6" s="27">
        <f>IFERROR(H6/G6,0)</f>
        <v/>
      </c>
      <c r="M6" s="28">
        <f>IFERROR(J6/F6,0)</f>
        <v/>
      </c>
      <c r="N6" s="29">
        <f>IFERROR(J6/E6,0)</f>
        <v/>
      </c>
      <c r="O6" s="29">
        <f>IFERROR(I6/J6,0)</f>
        <v/>
      </c>
      <c r="AJ6" s="24">
        <f>SUMIFS($AJ$15:$AJ$62,$B$15:$B$62,$A6)</f>
        <v/>
      </c>
      <c r="AK6" s="25">
        <f>SUMIFS($AK$15:$AK$62,$B$15:$B$62,$A6)</f>
        <v/>
      </c>
      <c r="AL6" s="23">
        <f>SUMIFS($AL$15:$AL$62,$B$15:$B$62,$A6)</f>
        <v/>
      </c>
      <c r="AM6" s="23">
        <f>SUMIFS($AM$15:$AM$62,$B$15:$B$62,$A6)</f>
        <v/>
      </c>
      <c r="AN6" s="23">
        <f>SUMIFS($AN$15:$AN$62,$B$15:$B$62,$A6)</f>
        <v/>
      </c>
      <c r="AP6" s="24">
        <f>SUMIFS($AP$15:$AP$62,$B$15:$B$62,$A6)</f>
        <v/>
      </c>
      <c r="AQ6" s="25">
        <f>SUMIFS($AQ$15:$AQ$62,$B$15:$B$62,$A6)</f>
        <v/>
      </c>
      <c r="AR6" s="23">
        <f>SUMIFS($AR$15:$AR$62,$B$15:$B$62,$A6)</f>
        <v/>
      </c>
      <c r="AS6" s="23">
        <f>SUMIFS($AS$15:$AS$62,$B$15:$B$62,$A6)</f>
        <v/>
      </c>
      <c r="AT6" s="23">
        <f>SUMIFS($AT$15:$AT$62,$B$15:$B$62,$A6)</f>
        <v/>
      </c>
      <c r="AV6" s="24">
        <f>SUMIFS($AV$15:$AV$62,$B$15:$B$62,$A6)</f>
        <v/>
      </c>
      <c r="AW6" s="25">
        <f>SUMIFS($AW$15:$AW$62,$B$15:$B$62,$A6)</f>
        <v/>
      </c>
      <c r="AX6" s="23">
        <f>SUMIFS($AX$15:$AX$62,$B$15:$B$62,$A6)</f>
        <v/>
      </c>
      <c r="AY6" s="23">
        <f>SUMIFS($AY$15:$AY$62,$B$15:$B$62,$A6)</f>
        <v/>
      </c>
      <c r="AZ6" s="23">
        <f>SUMIFS($AZ$15:$AZ$62,$B$15:$B$62,$A6)</f>
        <v/>
      </c>
    </row>
    <row r="7">
      <c r="A7" s="21" t="n">
        <v>2026</v>
      </c>
      <c r="D7" s="22">
        <f>IF(DATE(A7,12,1)&lt;=LastActual,"Actual",IF(DATE(A7,1,1)&gt;LastActual,"Forecast","Blended"))</f>
        <v/>
      </c>
      <c r="E7" s="23">
        <f>SUMIFS($E$15:$E$62,$B$15:$B$62,$A7)</f>
        <v/>
      </c>
      <c r="F7" s="24">
        <f>SUMIFS($F$15:$F$62,$B$15:$B$62,$A7)</f>
        <v/>
      </c>
      <c r="G7" s="25">
        <f>SUMIFS($G$15:$G$62,$B$15:$B$62,$A7)</f>
        <v/>
      </c>
      <c r="H7" s="23">
        <f>SUMIFS($H$15:$H$62,$B$15:$B$62,$A7)</f>
        <v/>
      </c>
      <c r="I7" s="23">
        <f>SUMIFS($I$15:$I$62,$B$15:$B$62,$A7)</f>
        <v/>
      </c>
      <c r="J7" s="23">
        <f>SUMIFS($J$15:$J$62,$B$15:$B$62,$A7)</f>
        <v/>
      </c>
      <c r="K7" s="26">
        <f>IFERROR(F7/G7,0)</f>
        <v/>
      </c>
      <c r="L7" s="27">
        <f>IFERROR(H7/G7,0)</f>
        <v/>
      </c>
      <c r="M7" s="28">
        <f>IFERROR(J7/F7,0)</f>
        <v/>
      </c>
      <c r="N7" s="29">
        <f>IFERROR(J7/E7,0)</f>
        <v/>
      </c>
      <c r="O7" s="29">
        <f>IFERROR(I7/J7,0)</f>
        <v/>
      </c>
      <c r="AJ7" s="24">
        <f>SUMIFS($AJ$15:$AJ$62,$B$15:$B$62,$A7)</f>
        <v/>
      </c>
      <c r="AK7" s="25">
        <f>SUMIFS($AK$15:$AK$62,$B$15:$B$62,$A7)</f>
        <v/>
      </c>
      <c r="AL7" s="23">
        <f>SUMIFS($AL$15:$AL$62,$B$15:$B$62,$A7)</f>
        <v/>
      </c>
      <c r="AM7" s="23">
        <f>SUMIFS($AM$15:$AM$62,$B$15:$B$62,$A7)</f>
        <v/>
      </c>
      <c r="AN7" s="23">
        <f>SUMIFS($AN$15:$AN$62,$B$15:$B$62,$A7)</f>
        <v/>
      </c>
      <c r="AP7" s="24">
        <f>SUMIFS($AP$15:$AP$62,$B$15:$B$62,$A7)</f>
        <v/>
      </c>
      <c r="AQ7" s="25">
        <f>SUMIFS($AQ$15:$AQ$62,$B$15:$B$62,$A7)</f>
        <v/>
      </c>
      <c r="AR7" s="23">
        <f>SUMIFS($AR$15:$AR$62,$B$15:$B$62,$A7)</f>
        <v/>
      </c>
      <c r="AS7" s="23">
        <f>SUMIFS($AS$15:$AS$62,$B$15:$B$62,$A7)</f>
        <v/>
      </c>
      <c r="AT7" s="23">
        <f>SUMIFS($AT$15:$AT$62,$B$15:$B$62,$A7)</f>
        <v/>
      </c>
      <c r="AV7" s="24">
        <f>SUMIFS($AV$15:$AV$62,$B$15:$B$62,$A7)</f>
        <v/>
      </c>
      <c r="AW7" s="25">
        <f>SUMIFS($AW$15:$AW$62,$B$15:$B$62,$A7)</f>
        <v/>
      </c>
      <c r="AX7" s="23">
        <f>SUMIFS($AX$15:$AX$62,$B$15:$B$62,$A7)</f>
        <v/>
      </c>
      <c r="AY7" s="23">
        <f>SUMIFS($AY$15:$AY$62,$B$15:$B$62,$A7)</f>
        <v/>
      </c>
      <c r="AZ7" s="23">
        <f>SUMIFS($AZ$15:$AZ$62,$B$15:$B$62,$A7)</f>
        <v/>
      </c>
    </row>
    <row r="8">
      <c r="A8" s="21" t="n">
        <v>2027</v>
      </c>
      <c r="D8" s="22">
        <f>IF(DATE(A8,12,1)&lt;=LastActual,"Actual",IF(DATE(A8,1,1)&gt;LastActual,"Forecast","Blended"))</f>
        <v/>
      </c>
      <c r="E8" s="23">
        <f>SUMIFS($E$15:$E$62,$B$15:$B$62,$A8)</f>
        <v/>
      </c>
      <c r="F8" s="24">
        <f>SUMIFS($F$15:$F$62,$B$15:$B$62,$A8)</f>
        <v/>
      </c>
      <c r="G8" s="25">
        <f>SUMIFS($G$15:$G$62,$B$15:$B$62,$A8)</f>
        <v/>
      </c>
      <c r="H8" s="23">
        <f>SUMIFS($H$15:$H$62,$B$15:$B$62,$A8)</f>
        <v/>
      </c>
      <c r="I8" s="23">
        <f>SUMIFS($I$15:$I$62,$B$15:$B$62,$A8)</f>
        <v/>
      </c>
      <c r="J8" s="23">
        <f>SUMIFS($J$15:$J$62,$B$15:$B$62,$A8)</f>
        <v/>
      </c>
      <c r="K8" s="26">
        <f>IFERROR(F8/G8,0)</f>
        <v/>
      </c>
      <c r="L8" s="27">
        <f>IFERROR(H8/G8,0)</f>
        <v/>
      </c>
      <c r="M8" s="28">
        <f>IFERROR(J8/F8,0)</f>
        <v/>
      </c>
      <c r="N8" s="29">
        <f>IFERROR(J8/E8,0)</f>
        <v/>
      </c>
      <c r="O8" s="29">
        <f>IFERROR(I8/J8,0)</f>
        <v/>
      </c>
      <c r="AJ8" s="24">
        <f>SUMIFS($AJ$15:$AJ$62,$B$15:$B$62,$A8)</f>
        <v/>
      </c>
      <c r="AK8" s="25">
        <f>SUMIFS($AK$15:$AK$62,$B$15:$B$62,$A8)</f>
        <v/>
      </c>
      <c r="AL8" s="23">
        <f>SUMIFS($AL$15:$AL$62,$B$15:$B$62,$A8)</f>
        <v/>
      </c>
      <c r="AM8" s="23">
        <f>SUMIFS($AM$15:$AM$62,$B$15:$B$62,$A8)</f>
        <v/>
      </c>
      <c r="AN8" s="23">
        <f>SUMIFS($AN$15:$AN$62,$B$15:$B$62,$A8)</f>
        <v/>
      </c>
      <c r="AP8" s="24">
        <f>SUMIFS($AP$15:$AP$62,$B$15:$B$62,$A8)</f>
        <v/>
      </c>
      <c r="AQ8" s="25">
        <f>SUMIFS($AQ$15:$AQ$62,$B$15:$B$62,$A8)</f>
        <v/>
      </c>
      <c r="AR8" s="23">
        <f>SUMIFS($AR$15:$AR$62,$B$15:$B$62,$A8)</f>
        <v/>
      </c>
      <c r="AS8" s="23">
        <f>SUMIFS($AS$15:$AS$62,$B$15:$B$62,$A8)</f>
        <v/>
      </c>
      <c r="AT8" s="23">
        <f>SUMIFS($AT$15:$AT$62,$B$15:$B$62,$A8)</f>
        <v/>
      </c>
      <c r="AV8" s="24">
        <f>SUMIFS($AV$15:$AV$62,$B$15:$B$62,$A8)</f>
        <v/>
      </c>
      <c r="AW8" s="25">
        <f>SUMIFS($AW$15:$AW$62,$B$15:$B$62,$A8)</f>
        <v/>
      </c>
      <c r="AX8" s="23">
        <f>SUMIFS($AX$15:$AX$62,$B$15:$B$62,$A8)</f>
        <v/>
      </c>
      <c r="AY8" s="23">
        <f>SUMIFS($AY$15:$AY$62,$B$15:$B$62,$A8)</f>
        <v/>
      </c>
      <c r="AZ8" s="23">
        <f>SUMIFS($AZ$15:$AZ$62,$B$15:$B$62,$A8)</f>
        <v/>
      </c>
    </row>
    <row r="9">
      <c r="A9" s="21" t="n">
        <v>2028</v>
      </c>
      <c r="D9" s="22">
        <f>IF(DATE(A9,12,1)&lt;=LastActual,"Actual",IF(DATE(A9,1,1)&gt;LastActual,"Forecast","Blended"))</f>
        <v/>
      </c>
      <c r="E9" s="23">
        <f>SUMIFS($E$15:$E$62,$B$15:$B$62,$A9)</f>
        <v/>
      </c>
      <c r="F9" s="24">
        <f>SUMIFS($F$15:$F$62,$B$15:$B$62,$A9)</f>
        <v/>
      </c>
      <c r="G9" s="25">
        <f>SUMIFS($G$15:$G$62,$B$15:$B$62,$A9)</f>
        <v/>
      </c>
      <c r="H9" s="23">
        <f>SUMIFS($H$15:$H$62,$B$15:$B$62,$A9)</f>
        <v/>
      </c>
      <c r="I9" s="23">
        <f>SUMIFS($I$15:$I$62,$B$15:$B$62,$A9)</f>
        <v/>
      </c>
      <c r="J9" s="23">
        <f>SUMIFS($J$15:$J$62,$B$15:$B$62,$A9)</f>
        <v/>
      </c>
      <c r="K9" s="26">
        <f>IFERROR(F9/G9,0)</f>
        <v/>
      </c>
      <c r="L9" s="27">
        <f>IFERROR(H9/G9,0)</f>
        <v/>
      </c>
      <c r="M9" s="28">
        <f>IFERROR(J9/F9,0)</f>
        <v/>
      </c>
      <c r="N9" s="29">
        <f>IFERROR(J9/E9,0)</f>
        <v/>
      </c>
      <c r="O9" s="29">
        <f>IFERROR(I9/J9,0)</f>
        <v/>
      </c>
      <c r="AJ9" s="24">
        <f>SUMIFS($AJ$15:$AJ$62,$B$15:$B$62,$A9)</f>
        <v/>
      </c>
      <c r="AK9" s="25">
        <f>SUMIFS($AK$15:$AK$62,$B$15:$B$62,$A9)</f>
        <v/>
      </c>
      <c r="AL9" s="23">
        <f>SUMIFS($AL$15:$AL$62,$B$15:$B$62,$A9)</f>
        <v/>
      </c>
      <c r="AM9" s="23">
        <f>SUMIFS($AM$15:$AM$62,$B$15:$B$62,$A9)</f>
        <v/>
      </c>
      <c r="AN9" s="23">
        <f>SUMIFS($AN$15:$AN$62,$B$15:$B$62,$A9)</f>
        <v/>
      </c>
      <c r="AP9" s="24">
        <f>SUMIFS($AP$15:$AP$62,$B$15:$B$62,$A9)</f>
        <v/>
      </c>
      <c r="AQ9" s="25">
        <f>SUMIFS($AQ$15:$AQ$62,$B$15:$B$62,$A9)</f>
        <v/>
      </c>
      <c r="AR9" s="23">
        <f>SUMIFS($AR$15:$AR$62,$B$15:$B$62,$A9)</f>
        <v/>
      </c>
      <c r="AS9" s="23">
        <f>SUMIFS($AS$15:$AS$62,$B$15:$B$62,$A9)</f>
        <v/>
      </c>
      <c r="AT9" s="23">
        <f>SUMIFS($AT$15:$AT$62,$B$15:$B$62,$A9)</f>
        <v/>
      </c>
      <c r="AV9" s="24">
        <f>SUMIFS($AV$15:$AV$62,$B$15:$B$62,$A9)</f>
        <v/>
      </c>
      <c r="AW9" s="25">
        <f>SUMIFS($AW$15:$AW$62,$B$15:$B$62,$A9)</f>
        <v/>
      </c>
      <c r="AX9" s="23">
        <f>SUMIFS($AX$15:$AX$62,$B$15:$B$62,$A9)</f>
        <v/>
      </c>
      <c r="AY9" s="23">
        <f>SUMIFS($AY$15:$AY$62,$B$15:$B$62,$A9)</f>
        <v/>
      </c>
      <c r="AZ9" s="23">
        <f>SUMIFS($AZ$15:$AZ$62,$B$15:$B$62,$A9)</f>
        <v/>
      </c>
    </row>
    <row r="10">
      <c r="AJ10" s="1" t="inlineStr">
        <is>
          <t>Chamber split (same CPLH and cost per hour in every chamber; mix from Chamber Weights)</t>
        </is>
      </c>
    </row>
    <row r="11">
      <c r="AJ11" s="6" t="inlineStr">
        <is>
          <t>Case mix</t>
        </is>
      </c>
      <c r="AK11" s="31">
        <f>IFERROR(INDEX('Chamber Weights'!$B$24:$K$26,MATCH($AJ$12,'Chamber Weights'!$A$24:$A$26,0),MATCH($B$2,'Chamber Weights'!$B$23:$K$23,0)),0)</f>
        <v/>
      </c>
      <c r="AP11" s="6" t="inlineStr">
        <is>
          <t>Case mix</t>
        </is>
      </c>
      <c r="AQ11" s="31">
        <f>IFERROR(INDEX('Chamber Weights'!$B$24:$K$26,MATCH($AP$12,'Chamber Weights'!$A$24:$A$26,0),MATCH($B$2,'Chamber Weights'!$B$23:$K$23,0)),0)</f>
        <v/>
      </c>
      <c r="AV11" s="6" t="inlineStr">
        <is>
          <t>Case mix</t>
        </is>
      </c>
      <c r="AW11" s="31">
        <f>IFERROR(INDEX('Chamber Weights'!$B$24:$K$26,MATCH($AV$12,'Chamber Weights'!$A$24:$A$26,0),MATCH($B$2,'Chamber Weights'!$B$23:$K$23,0)),0)</f>
        <v/>
      </c>
    </row>
    <row r="12">
      <c r="E12" s="7" t="inlineStr">
        <is>
          <t>Drivers</t>
        </is>
      </c>
      <c r="K12" s="7" t="inlineStr">
        <is>
          <t>Metrics</t>
        </is>
      </c>
      <c r="R12" s="7" t="inlineStr">
        <is>
          <t>Helper calculations (actuals, plan, same-month-last-year rates)</t>
        </is>
      </c>
      <c r="AJ12" s="20" t="inlineStr">
        <is>
          <t>Ambient</t>
        </is>
      </c>
      <c r="AP12" s="20" t="inlineStr">
        <is>
          <t>Chiller</t>
        </is>
      </c>
      <c r="AV12" s="20" t="inlineStr">
        <is>
          <t>Freezer</t>
        </is>
      </c>
    </row>
    <row r="13" ht="60" customHeight="1">
      <c r="A13" s="7" t="inlineStr">
        <is>
          <t>Month</t>
        </is>
      </c>
      <c r="B13" s="7" t="inlineStr">
        <is>
          <t>Year</t>
        </is>
      </c>
      <c r="C13" s="7" t="inlineStr">
        <is>
          <t>Mth</t>
        </is>
      </c>
      <c r="D13" s="7" t="inlineStr">
        <is>
          <t>Status</t>
        </is>
      </c>
      <c r="E13" s="7" t="inlineStr">
        <is>
          <t>Sales</t>
        </is>
      </c>
      <c r="F13" s="7" t="inlineStr">
        <is>
          <t>Cases picked</t>
        </is>
      </c>
      <c r="G13" s="7" t="inlineStr">
        <is>
          <t>WH hours worked</t>
        </is>
      </c>
      <c r="H13" s="7" t="inlineStr">
        <is>
          <t>Staff payroll</t>
        </is>
      </c>
      <c r="I13" s="7" t="inlineStr">
        <is>
          <t>Leadership payroll</t>
        </is>
      </c>
      <c r="J13" s="7" t="inlineStr">
        <is>
          <t>Total payroll</t>
        </is>
      </c>
      <c r="K13" s="7" t="inlineStr">
        <is>
          <t>CPLH (cases / hr)</t>
        </is>
      </c>
      <c r="L13" s="7" t="inlineStr">
        <is>
          <t>Cost per hour (staff)</t>
        </is>
      </c>
      <c r="M13" s="7" t="inlineStr">
        <is>
          <t>Cost per case (total payroll)</t>
        </is>
      </c>
      <c r="N13" s="7" t="inlineStr">
        <is>
          <t>Total payroll % sales</t>
        </is>
      </c>
      <c r="O13" s="7" t="inlineStr">
        <is>
          <t>Leadership % of total payroll</t>
        </is>
      </c>
      <c r="R13" s="51" t="inlineStr">
        <is>
          <t>Act sales</t>
        </is>
      </c>
      <c r="S13" s="51" t="inlineStr">
        <is>
          <t>Act cases</t>
        </is>
      </c>
      <c r="T13" s="51" t="inlineStr">
        <is>
          <t>Act hours</t>
        </is>
      </c>
      <c r="U13" s="51" t="inlineStr">
        <is>
          <t>Act staff $</t>
        </is>
      </c>
      <c r="V13" s="51" t="inlineStr">
        <is>
          <t>Act leadership $</t>
        </is>
      </c>
      <c r="W13" s="51" t="inlineStr">
        <is>
          <t>Plan sales</t>
        </is>
      </c>
      <c r="X13" s="51" t="inlineStr">
        <is>
          <t>CPLH run rate (actual, else same month LY)</t>
        </is>
      </c>
      <c r="Y13" s="51" t="inlineStr">
        <is>
          <t>Volume driver sales</t>
        </is>
      </c>
      <c r="Z13" s="51" t="inlineStr">
        <is>
          <t>PH factor</t>
        </is>
      </c>
      <c r="AA13" s="51" t="inlineStr">
        <is>
          <t>Wage index</t>
        </is>
      </c>
      <c r="AB13" s="51" t="inlineStr">
        <is>
          <t>Cases per $ (actual, else same month LY)</t>
        </is>
      </c>
      <c r="AC13" s="51" t="inlineStr">
        <is>
          <t>Cost per hour ex PH &amp; wage (actual, else same month LY)</t>
        </is>
      </c>
      <c r="AD13" s="51" t="inlineStr">
        <is>
          <t>Leadership share of total payroll (actual, else last actual month)</t>
        </is>
      </c>
      <c r="AE13" s="51" t="inlineStr">
        <is>
          <t>Fcst cost per hour (AC x PH x wage)</t>
        </is>
      </c>
      <c r="AF13" s="51" t="inlineStr">
        <is>
          <t>LY CPLH (same month, as used)</t>
        </is>
      </c>
      <c r="AG13" s="51" t="inlineStr">
        <is>
          <t>Fcst CPLH vs LY</t>
        </is>
      </c>
      <c r="AH13" s="51" t="inlineStr">
        <is>
          <t>Plan CPLH (Plan_Inputs or CPLH_Breakdown)</t>
        </is>
      </c>
      <c r="AJ13" s="20" t="inlineStr">
        <is>
          <t>Cases picked</t>
        </is>
      </c>
      <c r="AK13" s="20" t="inlineStr">
        <is>
          <t>WH hours worked</t>
        </is>
      </c>
      <c r="AL13" s="20" t="inlineStr">
        <is>
          <t>Staff payroll</t>
        </is>
      </c>
      <c r="AM13" s="20" t="inlineStr">
        <is>
          <t>Leadership payroll</t>
        </is>
      </c>
      <c r="AN13" s="20" t="inlineStr">
        <is>
          <t>Total payroll</t>
        </is>
      </c>
      <c r="AP13" s="20" t="inlineStr">
        <is>
          <t>Cases picked</t>
        </is>
      </c>
      <c r="AQ13" s="20" t="inlineStr">
        <is>
          <t>WH hours worked</t>
        </is>
      </c>
      <c r="AR13" s="20" t="inlineStr">
        <is>
          <t>Staff payroll</t>
        </is>
      </c>
      <c r="AS13" s="20" t="inlineStr">
        <is>
          <t>Leadership payroll</t>
        </is>
      </c>
      <c r="AT13" s="20" t="inlineStr">
        <is>
          <t>Total payroll</t>
        </is>
      </c>
      <c r="AV13" s="20" t="inlineStr">
        <is>
          <t>Cases picked</t>
        </is>
      </c>
      <c r="AW13" s="20" t="inlineStr">
        <is>
          <t>WH hours worked</t>
        </is>
      </c>
      <c r="AX13" s="20" t="inlineStr">
        <is>
          <t>Staff payroll</t>
        </is>
      </c>
      <c r="AY13" s="20" t="inlineStr">
        <is>
          <t>Leadership payroll</t>
        </is>
      </c>
      <c r="AZ13" s="20" t="inlineStr">
        <is>
          <t>Total payroll</t>
        </is>
      </c>
    </row>
    <row r="14">
      <c r="E14" s="32" t="inlineStr">
        <is>
          <t>$m</t>
        </is>
      </c>
      <c r="F14" s="32" t="inlineStr">
        <is>
          <t>m</t>
        </is>
      </c>
      <c r="G14" s="32" t="inlineStr">
        <is>
          <t>#</t>
        </is>
      </c>
      <c r="H14" s="32" t="inlineStr">
        <is>
          <t>$m</t>
        </is>
      </c>
      <c r="I14" s="32" t="inlineStr">
        <is>
          <t>$m</t>
        </is>
      </c>
      <c r="J14" s="32" t="inlineStr">
        <is>
          <t>$m</t>
        </is>
      </c>
      <c r="K14" s="32" t="inlineStr">
        <is>
          <t>#</t>
        </is>
      </c>
      <c r="L14" s="32" t="inlineStr">
        <is>
          <t>$</t>
        </is>
      </c>
      <c r="M14" s="32" t="inlineStr">
        <is>
          <t>$</t>
        </is>
      </c>
      <c r="N14" s="32" t="inlineStr">
        <is>
          <t>%</t>
        </is>
      </c>
      <c r="O14" s="32" t="inlineStr">
        <is>
          <t>%</t>
        </is>
      </c>
      <c r="AJ14" s="32" t="inlineStr">
        <is>
          <t>m</t>
        </is>
      </c>
      <c r="AK14" s="32" t="inlineStr">
        <is>
          <t>#</t>
        </is>
      </c>
      <c r="AL14" s="32" t="inlineStr">
        <is>
          <t>$m</t>
        </is>
      </c>
      <c r="AM14" s="32" t="inlineStr">
        <is>
          <t>$m</t>
        </is>
      </c>
      <c r="AN14" s="32" t="inlineStr">
        <is>
          <t>$m</t>
        </is>
      </c>
      <c r="AP14" s="32" t="inlineStr">
        <is>
          <t>m</t>
        </is>
      </c>
      <c r="AQ14" s="32" t="inlineStr">
        <is>
          <t>#</t>
        </is>
      </c>
      <c r="AR14" s="32" t="inlineStr">
        <is>
          <t>$m</t>
        </is>
      </c>
      <c r="AS14" s="32" t="inlineStr">
        <is>
          <t>$m</t>
        </is>
      </c>
      <c r="AT14" s="32" t="inlineStr">
        <is>
          <t>$m</t>
        </is>
      </c>
      <c r="AV14" s="32" t="inlineStr">
        <is>
          <t>m</t>
        </is>
      </c>
      <c r="AW14" s="32" t="inlineStr">
        <is>
          <t>#</t>
        </is>
      </c>
      <c r="AX14" s="32" t="inlineStr">
        <is>
          <t>$m</t>
        </is>
      </c>
      <c r="AY14" s="32" t="inlineStr">
        <is>
          <t>$m</t>
        </is>
      </c>
      <c r="AZ14" s="32" t="inlineStr">
        <is>
          <t>$m</t>
        </is>
      </c>
    </row>
    <row r="15">
      <c r="A15" s="8" t="n">
        <v>45658</v>
      </c>
      <c r="B15" s="33">
        <f>YEAR(A15)</f>
        <v/>
      </c>
      <c r="C15" s="33">
        <f>MONTH(A15)</f>
        <v/>
      </c>
      <c r="D15">
        <f>IF(A15&lt;=LastActual,"Actual","Forecast")</f>
        <v/>
      </c>
      <c r="E15" s="30">
        <f>IF($D15="Actual",R15,W15)</f>
        <v/>
      </c>
      <c r="F15" s="15">
        <f>IF($D15="Actual",S15,Cases_Forecast!AL8)</f>
        <v/>
      </c>
      <c r="G15" s="9">
        <f>IF($D15="Actual",T15,IFERROR(F15/K15,0))</f>
        <v/>
      </c>
      <c r="H15" s="30">
        <f>IF($D15="Actual",U15,G15*L15)</f>
        <v/>
      </c>
      <c r="I15" s="30">
        <f>IF($D15="Actual",V15,J15-H15)</f>
        <v/>
      </c>
      <c r="J15" s="30">
        <f>IF($D15="Actual",U15+V15,IFERROR(H15/(1-AD15),0))</f>
        <v/>
      </c>
      <c r="K15" s="10">
        <f>IF($D15="Actual",IFERROR(S15/T15,0),CPLH_Forecast!AL8)</f>
        <v/>
      </c>
      <c r="L15" s="34">
        <f>IF($D15="Actual",IFERROR(U15/T15,0),N(AE15))</f>
        <v/>
      </c>
      <c r="M15" s="35">
        <f>IFERROR(J15/F15,0)</f>
        <v/>
      </c>
      <c r="N15" s="36">
        <f>IFERROR(J15/E15,0)</f>
        <v/>
      </c>
      <c r="O15" s="36">
        <f>IFERROR(I15/J15,0)</f>
        <v/>
      </c>
      <c r="R15" s="52">
        <f>IF($D15="Actual",SUMIFS(Data_Actuals!$C$2:$C$5000,Data_Actuals!$A$2:$A$5000,$A15,Data_Actuals!$B$2:$B$5000,$B$2),"")</f>
        <v/>
      </c>
      <c r="S15" s="52">
        <f>IF($D15="Actual",SUMIFS(Data_Actuals!$D$2:$D$5000,Data_Actuals!$A$2:$A$5000,$A15,Data_Actuals!$B$2:$B$5000,$B$2),"")</f>
        <v/>
      </c>
      <c r="T15" s="52">
        <f>IF($D15="Actual",SUMIFS(Data_Actuals!$E$2:$E$5000,Data_Actuals!$A$2:$A$5000,$A15,Data_Actuals!$B$2:$B$5000,$B$2),"")</f>
        <v/>
      </c>
      <c r="U15" s="52">
        <f>IF($D15="Actual",SUMIFS(Data_Actuals!$F$2:$F$5000,Data_Actuals!$A$2:$A$5000,$A15,Data_Actuals!$B$2:$B$5000,$B$2),"")</f>
        <v/>
      </c>
      <c r="V15" s="52">
        <f>IF($D15="Actual",SUMIFS(Data_Actuals!$G$2:$G$5000,Data_Actuals!$A$2:$A$5000,$A15,Data_Actuals!$B$2:$B$5000,$B$2),"")</f>
        <v/>
      </c>
      <c r="W15" s="52">
        <f>SUMIFS(Plan_Inputs!$C$2:$C$5000,Plan_Inputs!$A$2:$A$5000,$A15,Plan_Inputs!$B$2:$B$5000,$B$2)</f>
        <v/>
      </c>
      <c r="X15" s="53">
        <f>IF($D15="Actual",IFERROR(S15/T15,""),"")</f>
        <v/>
      </c>
      <c r="Y15" s="52">
        <f>E15</f>
        <v/>
      </c>
      <c r="Z15" s="54">
        <f>INDEX(Calendar!$H$5:$L$52,MATCH($A15,Calendar!$A$5:$A$52,0),MATCH($D$2,Calendar!$H$4:$L$4,0))</f>
        <v/>
      </c>
      <c r="AA15" s="54">
        <f>INDEX(Calendar!$M$5:$M$52,MATCH($A15,Calendar!$A$5:$A$52,0))</f>
        <v/>
      </c>
      <c r="AB15" s="55">
        <f>IF($D15="Actual",IFERROR(S15/Y15,""),"")</f>
        <v/>
      </c>
      <c r="AC15" s="56">
        <f>IF($D15="Actual",IFERROR(U15/T15/Z15/AA15,""),"")</f>
        <v/>
      </c>
      <c r="AD15" s="57">
        <f>IF($D15="Actual",IFERROR(V15/(U15+V15),""),$K$2)</f>
        <v/>
      </c>
      <c r="AE15" s="56">
        <f>IFERROR(AC15*Z15*AA15,"")</f>
        <v/>
      </c>
      <c r="AF15" s="53" t="n"/>
      <c r="AG15" s="57">
        <f>IF($D15="Forecast",IFERROR(K15/AF15-1,""),"")</f>
        <v/>
      </c>
      <c r="AH15" s="53">
        <f>IF(CPLHSource="National breakdown",CPLH_Breakdown!AM20,SUMIFS(Plan_Inputs!$D$2:$D$5000,Plan_Inputs!$A$2:$A$5000,$A15,Plan_Inputs!$B$2:$B$5000,$B$2))</f>
        <v/>
      </c>
      <c r="AJ15" s="15">
        <f>F15*$AK$11</f>
        <v/>
      </c>
      <c r="AK15" s="9">
        <f>G15*$AK$11</f>
        <v/>
      </c>
      <c r="AL15" s="30">
        <f>H15*$AK$11</f>
        <v/>
      </c>
      <c r="AM15" s="30">
        <f>I15*$AK$11</f>
        <v/>
      </c>
      <c r="AN15" s="30">
        <f>J15*$AK$11</f>
        <v/>
      </c>
      <c r="AP15" s="15">
        <f>F15*$AQ$11</f>
        <v/>
      </c>
      <c r="AQ15" s="9">
        <f>G15*$AQ$11</f>
        <v/>
      </c>
      <c r="AR15" s="30">
        <f>H15*$AQ$11</f>
        <v/>
      </c>
      <c r="AS15" s="30">
        <f>I15*$AQ$11</f>
        <v/>
      </c>
      <c r="AT15" s="30">
        <f>J15*$AQ$11</f>
        <v/>
      </c>
      <c r="AV15" s="15">
        <f>F15*$AW$11</f>
        <v/>
      </c>
      <c r="AW15" s="9">
        <f>G15*$AW$11</f>
        <v/>
      </c>
      <c r="AX15" s="30">
        <f>H15*$AW$11</f>
        <v/>
      </c>
      <c r="AY15" s="30">
        <f>I15*$AW$11</f>
        <v/>
      </c>
      <c r="AZ15" s="30">
        <f>J15*$AW$11</f>
        <v/>
      </c>
    </row>
    <row r="16">
      <c r="A16" s="8" t="n">
        <v>45689</v>
      </c>
      <c r="B16" s="33">
        <f>YEAR(A16)</f>
        <v/>
      </c>
      <c r="C16" s="33">
        <f>MONTH(A16)</f>
        <v/>
      </c>
      <c r="D16">
        <f>IF(A16&lt;=LastActual,"Actual","Forecast")</f>
        <v/>
      </c>
      <c r="E16" s="30">
        <f>IF($D16="Actual",R16,W16)</f>
        <v/>
      </c>
      <c r="F16" s="15">
        <f>IF($D16="Actual",S16,Cases_Forecast!AL9)</f>
        <v/>
      </c>
      <c r="G16" s="9">
        <f>IF($D16="Actual",T16,IFERROR(F16/K16,0))</f>
        <v/>
      </c>
      <c r="H16" s="30">
        <f>IF($D16="Actual",U16,G16*L16)</f>
        <v/>
      </c>
      <c r="I16" s="30">
        <f>IF($D16="Actual",V16,J16-H16)</f>
        <v/>
      </c>
      <c r="J16" s="30">
        <f>IF($D16="Actual",U16+V16,IFERROR(H16/(1-AD16),0))</f>
        <v/>
      </c>
      <c r="K16" s="10">
        <f>IF($D16="Actual",IFERROR(S16/T16,0),CPLH_Forecast!AL9)</f>
        <v/>
      </c>
      <c r="L16" s="34">
        <f>IF($D16="Actual",IFERROR(U16/T16,0),N(AE16))</f>
        <v/>
      </c>
      <c r="M16" s="35">
        <f>IFERROR(J16/F16,0)</f>
        <v/>
      </c>
      <c r="N16" s="36">
        <f>IFERROR(J16/E16,0)</f>
        <v/>
      </c>
      <c r="O16" s="36">
        <f>IFERROR(I16/J16,0)</f>
        <v/>
      </c>
      <c r="R16" s="52">
        <f>IF($D16="Actual",SUMIFS(Data_Actuals!$C$2:$C$5000,Data_Actuals!$A$2:$A$5000,$A16,Data_Actuals!$B$2:$B$5000,$B$2),"")</f>
        <v/>
      </c>
      <c r="S16" s="52">
        <f>IF($D16="Actual",SUMIFS(Data_Actuals!$D$2:$D$5000,Data_Actuals!$A$2:$A$5000,$A16,Data_Actuals!$B$2:$B$5000,$B$2),"")</f>
        <v/>
      </c>
      <c r="T16" s="52">
        <f>IF($D16="Actual",SUMIFS(Data_Actuals!$E$2:$E$5000,Data_Actuals!$A$2:$A$5000,$A16,Data_Actuals!$B$2:$B$5000,$B$2),"")</f>
        <v/>
      </c>
      <c r="U16" s="52">
        <f>IF($D16="Actual",SUMIFS(Data_Actuals!$F$2:$F$5000,Data_Actuals!$A$2:$A$5000,$A16,Data_Actuals!$B$2:$B$5000,$B$2),"")</f>
        <v/>
      </c>
      <c r="V16" s="52">
        <f>IF($D16="Actual",SUMIFS(Data_Actuals!$G$2:$G$5000,Data_Actuals!$A$2:$A$5000,$A16,Data_Actuals!$B$2:$B$5000,$B$2),"")</f>
        <v/>
      </c>
      <c r="W16" s="52">
        <f>SUMIFS(Plan_Inputs!$C$2:$C$5000,Plan_Inputs!$A$2:$A$5000,$A16,Plan_Inputs!$B$2:$B$5000,$B$2)</f>
        <v/>
      </c>
      <c r="X16" s="53">
        <f>IF($D16="Actual",IFERROR(S16/T16,""),"")</f>
        <v/>
      </c>
      <c r="Y16" s="52">
        <f>E16</f>
        <v/>
      </c>
      <c r="Z16" s="54">
        <f>INDEX(Calendar!$H$5:$L$52,MATCH($A16,Calendar!$A$5:$A$52,0),MATCH($D$2,Calendar!$H$4:$L$4,0))</f>
        <v/>
      </c>
      <c r="AA16" s="54">
        <f>INDEX(Calendar!$M$5:$M$52,MATCH($A16,Calendar!$A$5:$A$52,0))</f>
        <v/>
      </c>
      <c r="AB16" s="55">
        <f>IF($D16="Actual",IFERROR(S16/Y16,""),"")</f>
        <v/>
      </c>
      <c r="AC16" s="56">
        <f>IF($D16="Actual",IFERROR(U16/T16/Z16/AA16,""),"")</f>
        <v/>
      </c>
      <c r="AD16" s="57">
        <f>IF($D16="Actual",IFERROR(V16/(U16+V16),""),$K$2)</f>
        <v/>
      </c>
      <c r="AE16" s="56">
        <f>IFERROR(AC16*Z16*AA16,"")</f>
        <v/>
      </c>
      <c r="AF16" s="53" t="n"/>
      <c r="AG16" s="57">
        <f>IF($D16="Forecast",IFERROR(K16/AF16-1,""),"")</f>
        <v/>
      </c>
      <c r="AH16" s="53">
        <f>IF(CPLHSource="National breakdown",CPLH_Breakdown!AM21,SUMIFS(Plan_Inputs!$D$2:$D$5000,Plan_Inputs!$A$2:$A$5000,$A16,Plan_Inputs!$B$2:$B$5000,$B$2))</f>
        <v/>
      </c>
      <c r="AJ16" s="15">
        <f>F16*$AK$11</f>
        <v/>
      </c>
      <c r="AK16" s="9">
        <f>G16*$AK$11</f>
        <v/>
      </c>
      <c r="AL16" s="30">
        <f>H16*$AK$11</f>
        <v/>
      </c>
      <c r="AM16" s="30">
        <f>I16*$AK$11</f>
        <v/>
      </c>
      <c r="AN16" s="30">
        <f>J16*$AK$11</f>
        <v/>
      </c>
      <c r="AP16" s="15">
        <f>F16*$AQ$11</f>
        <v/>
      </c>
      <c r="AQ16" s="9">
        <f>G16*$AQ$11</f>
        <v/>
      </c>
      <c r="AR16" s="30">
        <f>H16*$AQ$11</f>
        <v/>
      </c>
      <c r="AS16" s="30">
        <f>I16*$AQ$11</f>
        <v/>
      </c>
      <c r="AT16" s="30">
        <f>J16*$AQ$11</f>
        <v/>
      </c>
      <c r="AV16" s="15">
        <f>F16*$AW$11</f>
        <v/>
      </c>
      <c r="AW16" s="9">
        <f>G16*$AW$11</f>
        <v/>
      </c>
      <c r="AX16" s="30">
        <f>H16*$AW$11</f>
        <v/>
      </c>
      <c r="AY16" s="30">
        <f>I16*$AW$11</f>
        <v/>
      </c>
      <c r="AZ16" s="30">
        <f>J16*$AW$11</f>
        <v/>
      </c>
    </row>
    <row r="17">
      <c r="A17" s="8" t="n">
        <v>45717</v>
      </c>
      <c r="B17" s="33">
        <f>YEAR(A17)</f>
        <v/>
      </c>
      <c r="C17" s="33">
        <f>MONTH(A17)</f>
        <v/>
      </c>
      <c r="D17">
        <f>IF(A17&lt;=LastActual,"Actual","Forecast")</f>
        <v/>
      </c>
      <c r="E17" s="30">
        <f>IF($D17="Actual",R17,W17)</f>
        <v/>
      </c>
      <c r="F17" s="15">
        <f>IF($D17="Actual",S17,Cases_Forecast!AL10)</f>
        <v/>
      </c>
      <c r="G17" s="9">
        <f>IF($D17="Actual",T17,IFERROR(F17/K17,0))</f>
        <v/>
      </c>
      <c r="H17" s="30">
        <f>IF($D17="Actual",U17,G17*L17)</f>
        <v/>
      </c>
      <c r="I17" s="30">
        <f>IF($D17="Actual",V17,J17-H17)</f>
        <v/>
      </c>
      <c r="J17" s="30">
        <f>IF($D17="Actual",U17+V17,IFERROR(H17/(1-AD17),0))</f>
        <v/>
      </c>
      <c r="K17" s="10">
        <f>IF($D17="Actual",IFERROR(S17/T17,0),CPLH_Forecast!AL10)</f>
        <v/>
      </c>
      <c r="L17" s="34">
        <f>IF($D17="Actual",IFERROR(U17/T17,0),N(AE17))</f>
        <v/>
      </c>
      <c r="M17" s="35">
        <f>IFERROR(J17/F17,0)</f>
        <v/>
      </c>
      <c r="N17" s="36">
        <f>IFERROR(J17/E17,0)</f>
        <v/>
      </c>
      <c r="O17" s="36">
        <f>IFERROR(I17/J17,0)</f>
        <v/>
      </c>
      <c r="R17" s="52">
        <f>IF($D17="Actual",SUMIFS(Data_Actuals!$C$2:$C$5000,Data_Actuals!$A$2:$A$5000,$A17,Data_Actuals!$B$2:$B$5000,$B$2),"")</f>
        <v/>
      </c>
      <c r="S17" s="52">
        <f>IF($D17="Actual",SUMIFS(Data_Actuals!$D$2:$D$5000,Data_Actuals!$A$2:$A$5000,$A17,Data_Actuals!$B$2:$B$5000,$B$2),"")</f>
        <v/>
      </c>
      <c r="T17" s="52">
        <f>IF($D17="Actual",SUMIFS(Data_Actuals!$E$2:$E$5000,Data_Actuals!$A$2:$A$5000,$A17,Data_Actuals!$B$2:$B$5000,$B$2),"")</f>
        <v/>
      </c>
      <c r="U17" s="52">
        <f>IF($D17="Actual",SUMIFS(Data_Actuals!$F$2:$F$5000,Data_Actuals!$A$2:$A$5000,$A17,Data_Actuals!$B$2:$B$5000,$B$2),"")</f>
        <v/>
      </c>
      <c r="V17" s="52">
        <f>IF($D17="Actual",SUMIFS(Data_Actuals!$G$2:$G$5000,Data_Actuals!$A$2:$A$5000,$A17,Data_Actuals!$B$2:$B$5000,$B$2),"")</f>
        <v/>
      </c>
      <c r="W17" s="52">
        <f>SUMIFS(Plan_Inputs!$C$2:$C$5000,Plan_Inputs!$A$2:$A$5000,$A17,Plan_Inputs!$B$2:$B$5000,$B$2)</f>
        <v/>
      </c>
      <c r="X17" s="53">
        <f>IF($D17="Actual",IFERROR(S17/T17,""),"")</f>
        <v/>
      </c>
      <c r="Y17" s="52">
        <f>E17</f>
        <v/>
      </c>
      <c r="Z17" s="54">
        <f>INDEX(Calendar!$H$5:$L$52,MATCH($A17,Calendar!$A$5:$A$52,0),MATCH($D$2,Calendar!$H$4:$L$4,0))</f>
        <v/>
      </c>
      <c r="AA17" s="54">
        <f>INDEX(Calendar!$M$5:$M$52,MATCH($A17,Calendar!$A$5:$A$52,0))</f>
        <v/>
      </c>
      <c r="AB17" s="55">
        <f>IF($D17="Actual",IFERROR(S17/Y17,""),"")</f>
        <v/>
      </c>
      <c r="AC17" s="56">
        <f>IF($D17="Actual",IFERROR(U17/T17/Z17/AA17,""),"")</f>
        <v/>
      </c>
      <c r="AD17" s="57">
        <f>IF($D17="Actual",IFERROR(V17/(U17+V17),""),$K$2)</f>
        <v/>
      </c>
      <c r="AE17" s="56">
        <f>IFERROR(AC17*Z17*AA17,"")</f>
        <v/>
      </c>
      <c r="AF17" s="53" t="n"/>
      <c r="AG17" s="57">
        <f>IF($D17="Forecast",IFERROR(K17/AF17-1,""),"")</f>
        <v/>
      </c>
      <c r="AH17" s="53">
        <f>IF(CPLHSource="National breakdown",CPLH_Breakdown!AM22,SUMIFS(Plan_Inputs!$D$2:$D$5000,Plan_Inputs!$A$2:$A$5000,$A17,Plan_Inputs!$B$2:$B$5000,$B$2))</f>
        <v/>
      </c>
      <c r="AJ17" s="15">
        <f>F17*$AK$11</f>
        <v/>
      </c>
      <c r="AK17" s="9">
        <f>G17*$AK$11</f>
        <v/>
      </c>
      <c r="AL17" s="30">
        <f>H17*$AK$11</f>
        <v/>
      </c>
      <c r="AM17" s="30">
        <f>I17*$AK$11</f>
        <v/>
      </c>
      <c r="AN17" s="30">
        <f>J17*$AK$11</f>
        <v/>
      </c>
      <c r="AP17" s="15">
        <f>F17*$AQ$11</f>
        <v/>
      </c>
      <c r="AQ17" s="9">
        <f>G17*$AQ$11</f>
        <v/>
      </c>
      <c r="AR17" s="30">
        <f>H17*$AQ$11</f>
        <v/>
      </c>
      <c r="AS17" s="30">
        <f>I17*$AQ$11</f>
        <v/>
      </c>
      <c r="AT17" s="30">
        <f>J17*$AQ$11</f>
        <v/>
      </c>
      <c r="AV17" s="15">
        <f>F17*$AW$11</f>
        <v/>
      </c>
      <c r="AW17" s="9">
        <f>G17*$AW$11</f>
        <v/>
      </c>
      <c r="AX17" s="30">
        <f>H17*$AW$11</f>
        <v/>
      </c>
      <c r="AY17" s="30">
        <f>I17*$AW$11</f>
        <v/>
      </c>
      <c r="AZ17" s="30">
        <f>J17*$AW$11</f>
        <v/>
      </c>
    </row>
    <row r="18">
      <c r="A18" s="8" t="n">
        <v>45748</v>
      </c>
      <c r="B18" s="33">
        <f>YEAR(A18)</f>
        <v/>
      </c>
      <c r="C18" s="33">
        <f>MONTH(A18)</f>
        <v/>
      </c>
      <c r="D18">
        <f>IF(A18&lt;=LastActual,"Actual","Forecast")</f>
        <v/>
      </c>
      <c r="E18" s="30">
        <f>IF($D18="Actual",R18,W18)</f>
        <v/>
      </c>
      <c r="F18" s="15">
        <f>IF($D18="Actual",S18,Cases_Forecast!AL11)</f>
        <v/>
      </c>
      <c r="G18" s="9">
        <f>IF($D18="Actual",T18,IFERROR(F18/K18,0))</f>
        <v/>
      </c>
      <c r="H18" s="30">
        <f>IF($D18="Actual",U18,G18*L18)</f>
        <v/>
      </c>
      <c r="I18" s="30">
        <f>IF($D18="Actual",V18,J18-H18)</f>
        <v/>
      </c>
      <c r="J18" s="30">
        <f>IF($D18="Actual",U18+V18,IFERROR(H18/(1-AD18),0))</f>
        <v/>
      </c>
      <c r="K18" s="10">
        <f>IF($D18="Actual",IFERROR(S18/T18,0),CPLH_Forecast!AL11)</f>
        <v/>
      </c>
      <c r="L18" s="34">
        <f>IF($D18="Actual",IFERROR(U18/T18,0),N(AE18))</f>
        <v/>
      </c>
      <c r="M18" s="35">
        <f>IFERROR(J18/F18,0)</f>
        <v/>
      </c>
      <c r="N18" s="36">
        <f>IFERROR(J18/E18,0)</f>
        <v/>
      </c>
      <c r="O18" s="36">
        <f>IFERROR(I18/J18,0)</f>
        <v/>
      </c>
      <c r="R18" s="52">
        <f>IF($D18="Actual",SUMIFS(Data_Actuals!$C$2:$C$5000,Data_Actuals!$A$2:$A$5000,$A18,Data_Actuals!$B$2:$B$5000,$B$2),"")</f>
        <v/>
      </c>
      <c r="S18" s="52">
        <f>IF($D18="Actual",SUMIFS(Data_Actuals!$D$2:$D$5000,Data_Actuals!$A$2:$A$5000,$A18,Data_Actuals!$B$2:$B$5000,$B$2),"")</f>
        <v/>
      </c>
      <c r="T18" s="52">
        <f>IF($D18="Actual",SUMIFS(Data_Actuals!$E$2:$E$5000,Data_Actuals!$A$2:$A$5000,$A18,Data_Actuals!$B$2:$B$5000,$B$2),"")</f>
        <v/>
      </c>
      <c r="U18" s="52">
        <f>IF($D18="Actual",SUMIFS(Data_Actuals!$F$2:$F$5000,Data_Actuals!$A$2:$A$5000,$A18,Data_Actuals!$B$2:$B$5000,$B$2),"")</f>
        <v/>
      </c>
      <c r="V18" s="52">
        <f>IF($D18="Actual",SUMIFS(Data_Actuals!$G$2:$G$5000,Data_Actuals!$A$2:$A$5000,$A18,Data_Actuals!$B$2:$B$5000,$B$2),"")</f>
        <v/>
      </c>
      <c r="W18" s="52">
        <f>SUMIFS(Plan_Inputs!$C$2:$C$5000,Plan_Inputs!$A$2:$A$5000,$A18,Plan_Inputs!$B$2:$B$5000,$B$2)</f>
        <v/>
      </c>
      <c r="X18" s="53">
        <f>IF($D18="Actual",IFERROR(S18/T18,""),"")</f>
        <v/>
      </c>
      <c r="Y18" s="52">
        <f>E18</f>
        <v/>
      </c>
      <c r="Z18" s="54">
        <f>INDEX(Calendar!$H$5:$L$52,MATCH($A18,Calendar!$A$5:$A$52,0),MATCH($D$2,Calendar!$H$4:$L$4,0))</f>
        <v/>
      </c>
      <c r="AA18" s="54">
        <f>INDEX(Calendar!$M$5:$M$52,MATCH($A18,Calendar!$A$5:$A$52,0))</f>
        <v/>
      </c>
      <c r="AB18" s="55">
        <f>IF($D18="Actual",IFERROR(S18/Y18,""),"")</f>
        <v/>
      </c>
      <c r="AC18" s="56">
        <f>IF($D18="Actual",IFERROR(U18/T18/Z18/AA18,""),"")</f>
        <v/>
      </c>
      <c r="AD18" s="57">
        <f>IF($D18="Actual",IFERROR(V18/(U18+V18),""),$K$2)</f>
        <v/>
      </c>
      <c r="AE18" s="56">
        <f>IFERROR(AC18*Z18*AA18,"")</f>
        <v/>
      </c>
      <c r="AF18" s="53" t="n"/>
      <c r="AG18" s="57">
        <f>IF($D18="Forecast",IFERROR(K18/AF18-1,""),"")</f>
        <v/>
      </c>
      <c r="AH18" s="53">
        <f>IF(CPLHSource="National breakdown",CPLH_Breakdown!AM23,SUMIFS(Plan_Inputs!$D$2:$D$5000,Plan_Inputs!$A$2:$A$5000,$A18,Plan_Inputs!$B$2:$B$5000,$B$2))</f>
        <v/>
      </c>
      <c r="AJ18" s="15">
        <f>F18*$AK$11</f>
        <v/>
      </c>
      <c r="AK18" s="9">
        <f>G18*$AK$11</f>
        <v/>
      </c>
      <c r="AL18" s="30">
        <f>H18*$AK$11</f>
        <v/>
      </c>
      <c r="AM18" s="30">
        <f>I18*$AK$11</f>
        <v/>
      </c>
      <c r="AN18" s="30">
        <f>J18*$AK$11</f>
        <v/>
      </c>
      <c r="AP18" s="15">
        <f>F18*$AQ$11</f>
        <v/>
      </c>
      <c r="AQ18" s="9">
        <f>G18*$AQ$11</f>
        <v/>
      </c>
      <c r="AR18" s="30">
        <f>H18*$AQ$11</f>
        <v/>
      </c>
      <c r="AS18" s="30">
        <f>I18*$AQ$11</f>
        <v/>
      </c>
      <c r="AT18" s="30">
        <f>J18*$AQ$11</f>
        <v/>
      </c>
      <c r="AV18" s="15">
        <f>F18*$AW$11</f>
        <v/>
      </c>
      <c r="AW18" s="9">
        <f>G18*$AW$11</f>
        <v/>
      </c>
      <c r="AX18" s="30">
        <f>H18*$AW$11</f>
        <v/>
      </c>
      <c r="AY18" s="30">
        <f>I18*$AW$11</f>
        <v/>
      </c>
      <c r="AZ18" s="30">
        <f>J18*$AW$11</f>
        <v/>
      </c>
    </row>
    <row r="19">
      <c r="A19" s="8" t="n">
        <v>45778</v>
      </c>
      <c r="B19" s="33">
        <f>YEAR(A19)</f>
        <v/>
      </c>
      <c r="C19" s="33">
        <f>MONTH(A19)</f>
        <v/>
      </c>
      <c r="D19">
        <f>IF(A19&lt;=LastActual,"Actual","Forecast")</f>
        <v/>
      </c>
      <c r="E19" s="30">
        <f>IF($D19="Actual",R19,W19)</f>
        <v/>
      </c>
      <c r="F19" s="15">
        <f>IF($D19="Actual",S19,Cases_Forecast!AL12)</f>
        <v/>
      </c>
      <c r="G19" s="9">
        <f>IF($D19="Actual",T19,IFERROR(F19/K19,0))</f>
        <v/>
      </c>
      <c r="H19" s="30">
        <f>IF($D19="Actual",U19,G19*L19)</f>
        <v/>
      </c>
      <c r="I19" s="30">
        <f>IF($D19="Actual",V19,J19-H19)</f>
        <v/>
      </c>
      <c r="J19" s="30">
        <f>IF($D19="Actual",U19+V19,IFERROR(H19/(1-AD19),0))</f>
        <v/>
      </c>
      <c r="K19" s="10">
        <f>IF($D19="Actual",IFERROR(S19/T19,0),CPLH_Forecast!AL12)</f>
        <v/>
      </c>
      <c r="L19" s="34">
        <f>IF($D19="Actual",IFERROR(U19/T19,0),N(AE19))</f>
        <v/>
      </c>
      <c r="M19" s="35">
        <f>IFERROR(J19/F19,0)</f>
        <v/>
      </c>
      <c r="N19" s="36">
        <f>IFERROR(J19/E19,0)</f>
        <v/>
      </c>
      <c r="O19" s="36">
        <f>IFERROR(I19/J19,0)</f>
        <v/>
      </c>
      <c r="R19" s="52">
        <f>IF($D19="Actual",SUMIFS(Data_Actuals!$C$2:$C$5000,Data_Actuals!$A$2:$A$5000,$A19,Data_Actuals!$B$2:$B$5000,$B$2),"")</f>
        <v/>
      </c>
      <c r="S19" s="52">
        <f>IF($D19="Actual",SUMIFS(Data_Actuals!$D$2:$D$5000,Data_Actuals!$A$2:$A$5000,$A19,Data_Actuals!$B$2:$B$5000,$B$2),"")</f>
        <v/>
      </c>
      <c r="T19" s="52">
        <f>IF($D19="Actual",SUMIFS(Data_Actuals!$E$2:$E$5000,Data_Actuals!$A$2:$A$5000,$A19,Data_Actuals!$B$2:$B$5000,$B$2),"")</f>
        <v/>
      </c>
      <c r="U19" s="52">
        <f>IF($D19="Actual",SUMIFS(Data_Actuals!$F$2:$F$5000,Data_Actuals!$A$2:$A$5000,$A19,Data_Actuals!$B$2:$B$5000,$B$2),"")</f>
        <v/>
      </c>
      <c r="V19" s="52">
        <f>IF($D19="Actual",SUMIFS(Data_Actuals!$G$2:$G$5000,Data_Actuals!$A$2:$A$5000,$A19,Data_Actuals!$B$2:$B$5000,$B$2),"")</f>
        <v/>
      </c>
      <c r="W19" s="52">
        <f>SUMIFS(Plan_Inputs!$C$2:$C$5000,Plan_Inputs!$A$2:$A$5000,$A19,Plan_Inputs!$B$2:$B$5000,$B$2)</f>
        <v/>
      </c>
      <c r="X19" s="53">
        <f>IF($D19="Actual",IFERROR(S19/T19,""),"")</f>
        <v/>
      </c>
      <c r="Y19" s="52">
        <f>E19</f>
        <v/>
      </c>
      <c r="Z19" s="54">
        <f>INDEX(Calendar!$H$5:$L$52,MATCH($A19,Calendar!$A$5:$A$52,0),MATCH($D$2,Calendar!$H$4:$L$4,0))</f>
        <v/>
      </c>
      <c r="AA19" s="54">
        <f>INDEX(Calendar!$M$5:$M$52,MATCH($A19,Calendar!$A$5:$A$52,0))</f>
        <v/>
      </c>
      <c r="AB19" s="55">
        <f>IF($D19="Actual",IFERROR(S19/Y19,""),"")</f>
        <v/>
      </c>
      <c r="AC19" s="56">
        <f>IF($D19="Actual",IFERROR(U19/T19/Z19/AA19,""),"")</f>
        <v/>
      </c>
      <c r="AD19" s="57">
        <f>IF($D19="Actual",IFERROR(V19/(U19+V19),""),$K$2)</f>
        <v/>
      </c>
      <c r="AE19" s="56">
        <f>IFERROR(AC19*Z19*AA19,"")</f>
        <v/>
      </c>
      <c r="AF19" s="53" t="n"/>
      <c r="AG19" s="57">
        <f>IF($D19="Forecast",IFERROR(K19/AF19-1,""),"")</f>
        <v/>
      </c>
      <c r="AH19" s="53">
        <f>IF(CPLHSource="National breakdown",CPLH_Breakdown!AM24,SUMIFS(Plan_Inputs!$D$2:$D$5000,Plan_Inputs!$A$2:$A$5000,$A19,Plan_Inputs!$B$2:$B$5000,$B$2))</f>
        <v/>
      </c>
      <c r="AJ19" s="15">
        <f>F19*$AK$11</f>
        <v/>
      </c>
      <c r="AK19" s="9">
        <f>G19*$AK$11</f>
        <v/>
      </c>
      <c r="AL19" s="30">
        <f>H19*$AK$11</f>
        <v/>
      </c>
      <c r="AM19" s="30">
        <f>I19*$AK$11</f>
        <v/>
      </c>
      <c r="AN19" s="30">
        <f>J19*$AK$11</f>
        <v/>
      </c>
      <c r="AP19" s="15">
        <f>F19*$AQ$11</f>
        <v/>
      </c>
      <c r="AQ19" s="9">
        <f>G19*$AQ$11</f>
        <v/>
      </c>
      <c r="AR19" s="30">
        <f>H19*$AQ$11</f>
        <v/>
      </c>
      <c r="AS19" s="30">
        <f>I19*$AQ$11</f>
        <v/>
      </c>
      <c r="AT19" s="30">
        <f>J19*$AQ$11</f>
        <v/>
      </c>
      <c r="AV19" s="15">
        <f>F19*$AW$11</f>
        <v/>
      </c>
      <c r="AW19" s="9">
        <f>G19*$AW$11</f>
        <v/>
      </c>
      <c r="AX19" s="30">
        <f>H19*$AW$11</f>
        <v/>
      </c>
      <c r="AY19" s="30">
        <f>I19*$AW$11</f>
        <v/>
      </c>
      <c r="AZ19" s="30">
        <f>J19*$AW$11</f>
        <v/>
      </c>
    </row>
    <row r="20">
      <c r="A20" s="8" t="n">
        <v>45809</v>
      </c>
      <c r="B20" s="33">
        <f>YEAR(A20)</f>
        <v/>
      </c>
      <c r="C20" s="33">
        <f>MONTH(A20)</f>
        <v/>
      </c>
      <c r="D20">
        <f>IF(A20&lt;=LastActual,"Actual","Forecast")</f>
        <v/>
      </c>
      <c r="E20" s="30">
        <f>IF($D20="Actual",R20,W20)</f>
        <v/>
      </c>
      <c r="F20" s="15">
        <f>IF($D20="Actual",S20,Cases_Forecast!AL13)</f>
        <v/>
      </c>
      <c r="G20" s="9">
        <f>IF($D20="Actual",T20,IFERROR(F20/K20,0))</f>
        <v/>
      </c>
      <c r="H20" s="30">
        <f>IF($D20="Actual",U20,G20*L20)</f>
        <v/>
      </c>
      <c r="I20" s="30">
        <f>IF($D20="Actual",V20,J20-H20)</f>
        <v/>
      </c>
      <c r="J20" s="30">
        <f>IF($D20="Actual",U20+V20,IFERROR(H20/(1-AD20),0))</f>
        <v/>
      </c>
      <c r="K20" s="10">
        <f>IF($D20="Actual",IFERROR(S20/T20,0),CPLH_Forecast!AL13)</f>
        <v/>
      </c>
      <c r="L20" s="34">
        <f>IF($D20="Actual",IFERROR(U20/T20,0),N(AE20))</f>
        <v/>
      </c>
      <c r="M20" s="35">
        <f>IFERROR(J20/F20,0)</f>
        <v/>
      </c>
      <c r="N20" s="36">
        <f>IFERROR(J20/E20,0)</f>
        <v/>
      </c>
      <c r="O20" s="36">
        <f>IFERROR(I20/J20,0)</f>
        <v/>
      </c>
      <c r="R20" s="52">
        <f>IF($D20="Actual",SUMIFS(Data_Actuals!$C$2:$C$5000,Data_Actuals!$A$2:$A$5000,$A20,Data_Actuals!$B$2:$B$5000,$B$2),"")</f>
        <v/>
      </c>
      <c r="S20" s="52">
        <f>IF($D20="Actual",SUMIFS(Data_Actuals!$D$2:$D$5000,Data_Actuals!$A$2:$A$5000,$A20,Data_Actuals!$B$2:$B$5000,$B$2),"")</f>
        <v/>
      </c>
      <c r="T20" s="52">
        <f>IF($D20="Actual",SUMIFS(Data_Actuals!$E$2:$E$5000,Data_Actuals!$A$2:$A$5000,$A20,Data_Actuals!$B$2:$B$5000,$B$2),"")</f>
        <v/>
      </c>
      <c r="U20" s="52">
        <f>IF($D20="Actual",SUMIFS(Data_Actuals!$F$2:$F$5000,Data_Actuals!$A$2:$A$5000,$A20,Data_Actuals!$B$2:$B$5000,$B$2),"")</f>
        <v/>
      </c>
      <c r="V20" s="52">
        <f>IF($D20="Actual",SUMIFS(Data_Actuals!$G$2:$G$5000,Data_Actuals!$A$2:$A$5000,$A20,Data_Actuals!$B$2:$B$5000,$B$2),"")</f>
        <v/>
      </c>
      <c r="W20" s="52">
        <f>SUMIFS(Plan_Inputs!$C$2:$C$5000,Plan_Inputs!$A$2:$A$5000,$A20,Plan_Inputs!$B$2:$B$5000,$B$2)</f>
        <v/>
      </c>
      <c r="X20" s="53">
        <f>IF($D20="Actual",IFERROR(S20/T20,""),"")</f>
        <v/>
      </c>
      <c r="Y20" s="52">
        <f>E20</f>
        <v/>
      </c>
      <c r="Z20" s="54">
        <f>INDEX(Calendar!$H$5:$L$52,MATCH($A20,Calendar!$A$5:$A$52,0),MATCH($D$2,Calendar!$H$4:$L$4,0))</f>
        <v/>
      </c>
      <c r="AA20" s="54">
        <f>INDEX(Calendar!$M$5:$M$52,MATCH($A20,Calendar!$A$5:$A$52,0))</f>
        <v/>
      </c>
      <c r="AB20" s="55">
        <f>IF($D20="Actual",IFERROR(S20/Y20,""),"")</f>
        <v/>
      </c>
      <c r="AC20" s="56">
        <f>IF($D20="Actual",IFERROR(U20/T20/Z20/AA20,""),"")</f>
        <v/>
      </c>
      <c r="AD20" s="57">
        <f>IF($D20="Actual",IFERROR(V20/(U20+V20),""),$K$2)</f>
        <v/>
      </c>
      <c r="AE20" s="56">
        <f>IFERROR(AC20*Z20*AA20,"")</f>
        <v/>
      </c>
      <c r="AF20" s="53" t="n"/>
      <c r="AG20" s="57">
        <f>IF($D20="Forecast",IFERROR(K20/AF20-1,""),"")</f>
        <v/>
      </c>
      <c r="AH20" s="53">
        <f>IF(CPLHSource="National breakdown",CPLH_Breakdown!AM25,SUMIFS(Plan_Inputs!$D$2:$D$5000,Plan_Inputs!$A$2:$A$5000,$A20,Plan_Inputs!$B$2:$B$5000,$B$2))</f>
        <v/>
      </c>
      <c r="AJ20" s="15">
        <f>F20*$AK$11</f>
        <v/>
      </c>
      <c r="AK20" s="9">
        <f>G20*$AK$11</f>
        <v/>
      </c>
      <c r="AL20" s="30">
        <f>H20*$AK$11</f>
        <v/>
      </c>
      <c r="AM20" s="30">
        <f>I20*$AK$11</f>
        <v/>
      </c>
      <c r="AN20" s="30">
        <f>J20*$AK$11</f>
        <v/>
      </c>
      <c r="AP20" s="15">
        <f>F20*$AQ$11</f>
        <v/>
      </c>
      <c r="AQ20" s="9">
        <f>G20*$AQ$11</f>
        <v/>
      </c>
      <c r="AR20" s="30">
        <f>H20*$AQ$11</f>
        <v/>
      </c>
      <c r="AS20" s="30">
        <f>I20*$AQ$11</f>
        <v/>
      </c>
      <c r="AT20" s="30">
        <f>J20*$AQ$11</f>
        <v/>
      </c>
      <c r="AV20" s="15">
        <f>F20*$AW$11</f>
        <v/>
      </c>
      <c r="AW20" s="9">
        <f>G20*$AW$11</f>
        <v/>
      </c>
      <c r="AX20" s="30">
        <f>H20*$AW$11</f>
        <v/>
      </c>
      <c r="AY20" s="30">
        <f>I20*$AW$11</f>
        <v/>
      </c>
      <c r="AZ20" s="30">
        <f>J20*$AW$11</f>
        <v/>
      </c>
    </row>
    <row r="21">
      <c r="A21" s="8" t="n">
        <v>45839</v>
      </c>
      <c r="B21" s="33">
        <f>YEAR(A21)</f>
        <v/>
      </c>
      <c r="C21" s="33">
        <f>MONTH(A21)</f>
        <v/>
      </c>
      <c r="D21">
        <f>IF(A21&lt;=LastActual,"Actual","Forecast")</f>
        <v/>
      </c>
      <c r="E21" s="30">
        <f>IF($D21="Actual",R21,W21)</f>
        <v/>
      </c>
      <c r="F21" s="15">
        <f>IF($D21="Actual",S21,Cases_Forecast!AL14)</f>
        <v/>
      </c>
      <c r="G21" s="9">
        <f>IF($D21="Actual",T21,IFERROR(F21/K21,0))</f>
        <v/>
      </c>
      <c r="H21" s="30">
        <f>IF($D21="Actual",U21,G21*L21)</f>
        <v/>
      </c>
      <c r="I21" s="30">
        <f>IF($D21="Actual",V21,J21-H21)</f>
        <v/>
      </c>
      <c r="J21" s="30">
        <f>IF($D21="Actual",U21+V21,IFERROR(H21/(1-AD21),0))</f>
        <v/>
      </c>
      <c r="K21" s="10">
        <f>IF($D21="Actual",IFERROR(S21/T21,0),CPLH_Forecast!AL14)</f>
        <v/>
      </c>
      <c r="L21" s="34">
        <f>IF($D21="Actual",IFERROR(U21/T21,0),N(AE21))</f>
        <v/>
      </c>
      <c r="M21" s="35">
        <f>IFERROR(J21/F21,0)</f>
        <v/>
      </c>
      <c r="N21" s="36">
        <f>IFERROR(J21/E21,0)</f>
        <v/>
      </c>
      <c r="O21" s="36">
        <f>IFERROR(I21/J21,0)</f>
        <v/>
      </c>
      <c r="R21" s="52">
        <f>IF($D21="Actual",SUMIFS(Data_Actuals!$C$2:$C$5000,Data_Actuals!$A$2:$A$5000,$A21,Data_Actuals!$B$2:$B$5000,$B$2),"")</f>
        <v/>
      </c>
      <c r="S21" s="52">
        <f>IF($D21="Actual",SUMIFS(Data_Actuals!$D$2:$D$5000,Data_Actuals!$A$2:$A$5000,$A21,Data_Actuals!$B$2:$B$5000,$B$2),"")</f>
        <v/>
      </c>
      <c r="T21" s="52">
        <f>IF($D21="Actual",SUMIFS(Data_Actuals!$E$2:$E$5000,Data_Actuals!$A$2:$A$5000,$A21,Data_Actuals!$B$2:$B$5000,$B$2),"")</f>
        <v/>
      </c>
      <c r="U21" s="52">
        <f>IF($D21="Actual",SUMIFS(Data_Actuals!$F$2:$F$5000,Data_Actuals!$A$2:$A$5000,$A21,Data_Actuals!$B$2:$B$5000,$B$2),"")</f>
        <v/>
      </c>
      <c r="V21" s="52">
        <f>IF($D21="Actual",SUMIFS(Data_Actuals!$G$2:$G$5000,Data_Actuals!$A$2:$A$5000,$A21,Data_Actuals!$B$2:$B$5000,$B$2),"")</f>
        <v/>
      </c>
      <c r="W21" s="52">
        <f>SUMIFS(Plan_Inputs!$C$2:$C$5000,Plan_Inputs!$A$2:$A$5000,$A21,Plan_Inputs!$B$2:$B$5000,$B$2)</f>
        <v/>
      </c>
      <c r="X21" s="53">
        <f>IF($D21="Actual",IFERROR(S21/T21,""),"")</f>
        <v/>
      </c>
      <c r="Y21" s="52">
        <f>E21</f>
        <v/>
      </c>
      <c r="Z21" s="54">
        <f>INDEX(Calendar!$H$5:$L$52,MATCH($A21,Calendar!$A$5:$A$52,0),MATCH($D$2,Calendar!$H$4:$L$4,0))</f>
        <v/>
      </c>
      <c r="AA21" s="54">
        <f>INDEX(Calendar!$M$5:$M$52,MATCH($A21,Calendar!$A$5:$A$52,0))</f>
        <v/>
      </c>
      <c r="AB21" s="55">
        <f>IF($D21="Actual",IFERROR(S21/Y21,""),"")</f>
        <v/>
      </c>
      <c r="AC21" s="56">
        <f>IF($D21="Actual",IFERROR(U21/T21/Z21/AA21,""),"")</f>
        <v/>
      </c>
      <c r="AD21" s="57">
        <f>IF($D21="Actual",IFERROR(V21/(U21+V21),""),$K$2)</f>
        <v/>
      </c>
      <c r="AE21" s="56">
        <f>IFERROR(AC21*Z21*AA21,"")</f>
        <v/>
      </c>
      <c r="AF21" s="53" t="n"/>
      <c r="AG21" s="57">
        <f>IF($D21="Forecast",IFERROR(K21/AF21-1,""),"")</f>
        <v/>
      </c>
      <c r="AH21" s="53">
        <f>IF(CPLHSource="National breakdown",CPLH_Breakdown!AM26,SUMIFS(Plan_Inputs!$D$2:$D$5000,Plan_Inputs!$A$2:$A$5000,$A21,Plan_Inputs!$B$2:$B$5000,$B$2))</f>
        <v/>
      </c>
      <c r="AJ21" s="15">
        <f>F21*$AK$11</f>
        <v/>
      </c>
      <c r="AK21" s="9">
        <f>G21*$AK$11</f>
        <v/>
      </c>
      <c r="AL21" s="30">
        <f>H21*$AK$11</f>
        <v/>
      </c>
      <c r="AM21" s="30">
        <f>I21*$AK$11</f>
        <v/>
      </c>
      <c r="AN21" s="30">
        <f>J21*$AK$11</f>
        <v/>
      </c>
      <c r="AP21" s="15">
        <f>F21*$AQ$11</f>
        <v/>
      </c>
      <c r="AQ21" s="9">
        <f>G21*$AQ$11</f>
        <v/>
      </c>
      <c r="AR21" s="30">
        <f>H21*$AQ$11</f>
        <v/>
      </c>
      <c r="AS21" s="30">
        <f>I21*$AQ$11</f>
        <v/>
      </c>
      <c r="AT21" s="30">
        <f>J21*$AQ$11</f>
        <v/>
      </c>
      <c r="AV21" s="15">
        <f>F21*$AW$11</f>
        <v/>
      </c>
      <c r="AW21" s="9">
        <f>G21*$AW$11</f>
        <v/>
      </c>
      <c r="AX21" s="30">
        <f>H21*$AW$11</f>
        <v/>
      </c>
      <c r="AY21" s="30">
        <f>I21*$AW$11</f>
        <v/>
      </c>
      <c r="AZ21" s="30">
        <f>J21*$AW$11</f>
        <v/>
      </c>
    </row>
    <row r="22">
      <c r="A22" s="8" t="n">
        <v>45870</v>
      </c>
      <c r="B22" s="33">
        <f>YEAR(A22)</f>
        <v/>
      </c>
      <c r="C22" s="33">
        <f>MONTH(A22)</f>
        <v/>
      </c>
      <c r="D22">
        <f>IF(A22&lt;=LastActual,"Actual","Forecast")</f>
        <v/>
      </c>
      <c r="E22" s="30">
        <f>IF($D22="Actual",R22,W22)</f>
        <v/>
      </c>
      <c r="F22" s="15">
        <f>IF($D22="Actual",S22,Cases_Forecast!AL15)</f>
        <v/>
      </c>
      <c r="G22" s="9">
        <f>IF($D22="Actual",T22,IFERROR(F22/K22,0))</f>
        <v/>
      </c>
      <c r="H22" s="30">
        <f>IF($D22="Actual",U22,G22*L22)</f>
        <v/>
      </c>
      <c r="I22" s="30">
        <f>IF($D22="Actual",V22,J22-H22)</f>
        <v/>
      </c>
      <c r="J22" s="30">
        <f>IF($D22="Actual",U22+V22,IFERROR(H22/(1-AD22),0))</f>
        <v/>
      </c>
      <c r="K22" s="10">
        <f>IF($D22="Actual",IFERROR(S22/T22,0),CPLH_Forecast!AL15)</f>
        <v/>
      </c>
      <c r="L22" s="34">
        <f>IF($D22="Actual",IFERROR(U22/T22,0),N(AE22))</f>
        <v/>
      </c>
      <c r="M22" s="35">
        <f>IFERROR(J22/F22,0)</f>
        <v/>
      </c>
      <c r="N22" s="36">
        <f>IFERROR(J22/E22,0)</f>
        <v/>
      </c>
      <c r="O22" s="36">
        <f>IFERROR(I22/J22,0)</f>
        <v/>
      </c>
      <c r="R22" s="52">
        <f>IF($D22="Actual",SUMIFS(Data_Actuals!$C$2:$C$5000,Data_Actuals!$A$2:$A$5000,$A22,Data_Actuals!$B$2:$B$5000,$B$2),"")</f>
        <v/>
      </c>
      <c r="S22" s="52">
        <f>IF($D22="Actual",SUMIFS(Data_Actuals!$D$2:$D$5000,Data_Actuals!$A$2:$A$5000,$A22,Data_Actuals!$B$2:$B$5000,$B$2),"")</f>
        <v/>
      </c>
      <c r="T22" s="52">
        <f>IF($D22="Actual",SUMIFS(Data_Actuals!$E$2:$E$5000,Data_Actuals!$A$2:$A$5000,$A22,Data_Actuals!$B$2:$B$5000,$B$2),"")</f>
        <v/>
      </c>
      <c r="U22" s="52">
        <f>IF($D22="Actual",SUMIFS(Data_Actuals!$F$2:$F$5000,Data_Actuals!$A$2:$A$5000,$A22,Data_Actuals!$B$2:$B$5000,$B$2),"")</f>
        <v/>
      </c>
      <c r="V22" s="52">
        <f>IF($D22="Actual",SUMIFS(Data_Actuals!$G$2:$G$5000,Data_Actuals!$A$2:$A$5000,$A22,Data_Actuals!$B$2:$B$5000,$B$2),"")</f>
        <v/>
      </c>
      <c r="W22" s="52">
        <f>SUMIFS(Plan_Inputs!$C$2:$C$5000,Plan_Inputs!$A$2:$A$5000,$A22,Plan_Inputs!$B$2:$B$5000,$B$2)</f>
        <v/>
      </c>
      <c r="X22" s="53">
        <f>IF($D22="Actual",IFERROR(S22/T22,""),"")</f>
        <v/>
      </c>
      <c r="Y22" s="52">
        <f>E22</f>
        <v/>
      </c>
      <c r="Z22" s="54">
        <f>INDEX(Calendar!$H$5:$L$52,MATCH($A22,Calendar!$A$5:$A$52,0),MATCH($D$2,Calendar!$H$4:$L$4,0))</f>
        <v/>
      </c>
      <c r="AA22" s="54">
        <f>INDEX(Calendar!$M$5:$M$52,MATCH($A22,Calendar!$A$5:$A$52,0))</f>
        <v/>
      </c>
      <c r="AB22" s="55">
        <f>IF($D22="Actual",IFERROR(S22/Y22,""),"")</f>
        <v/>
      </c>
      <c r="AC22" s="56">
        <f>IF($D22="Actual",IFERROR(U22/T22/Z22/AA22,""),"")</f>
        <v/>
      </c>
      <c r="AD22" s="57">
        <f>IF($D22="Actual",IFERROR(V22/(U22+V22),""),$K$2)</f>
        <v/>
      </c>
      <c r="AE22" s="56">
        <f>IFERROR(AC22*Z22*AA22,"")</f>
        <v/>
      </c>
      <c r="AF22" s="53" t="n"/>
      <c r="AG22" s="57">
        <f>IF($D22="Forecast",IFERROR(K22/AF22-1,""),"")</f>
        <v/>
      </c>
      <c r="AH22" s="53">
        <f>IF(CPLHSource="National breakdown",CPLH_Breakdown!AM27,SUMIFS(Plan_Inputs!$D$2:$D$5000,Plan_Inputs!$A$2:$A$5000,$A22,Plan_Inputs!$B$2:$B$5000,$B$2))</f>
        <v/>
      </c>
      <c r="AJ22" s="15">
        <f>F22*$AK$11</f>
        <v/>
      </c>
      <c r="AK22" s="9">
        <f>G22*$AK$11</f>
        <v/>
      </c>
      <c r="AL22" s="30">
        <f>H22*$AK$11</f>
        <v/>
      </c>
      <c r="AM22" s="30">
        <f>I22*$AK$11</f>
        <v/>
      </c>
      <c r="AN22" s="30">
        <f>J22*$AK$11</f>
        <v/>
      </c>
      <c r="AP22" s="15">
        <f>F22*$AQ$11</f>
        <v/>
      </c>
      <c r="AQ22" s="9">
        <f>G22*$AQ$11</f>
        <v/>
      </c>
      <c r="AR22" s="30">
        <f>H22*$AQ$11</f>
        <v/>
      </c>
      <c r="AS22" s="30">
        <f>I22*$AQ$11</f>
        <v/>
      </c>
      <c r="AT22" s="30">
        <f>J22*$AQ$11</f>
        <v/>
      </c>
      <c r="AV22" s="15">
        <f>F22*$AW$11</f>
        <v/>
      </c>
      <c r="AW22" s="9">
        <f>G22*$AW$11</f>
        <v/>
      </c>
      <c r="AX22" s="30">
        <f>H22*$AW$11</f>
        <v/>
      </c>
      <c r="AY22" s="30">
        <f>I22*$AW$11</f>
        <v/>
      </c>
      <c r="AZ22" s="30">
        <f>J22*$AW$11</f>
        <v/>
      </c>
    </row>
    <row r="23">
      <c r="A23" s="8" t="n">
        <v>45901</v>
      </c>
      <c r="B23" s="33">
        <f>YEAR(A23)</f>
        <v/>
      </c>
      <c r="C23" s="33">
        <f>MONTH(A23)</f>
        <v/>
      </c>
      <c r="D23">
        <f>IF(A23&lt;=LastActual,"Actual","Forecast")</f>
        <v/>
      </c>
      <c r="E23" s="30">
        <f>IF($D23="Actual",R23,W23)</f>
        <v/>
      </c>
      <c r="F23" s="15">
        <f>IF($D23="Actual",S23,Cases_Forecast!AL16)</f>
        <v/>
      </c>
      <c r="G23" s="9">
        <f>IF($D23="Actual",T23,IFERROR(F23/K23,0))</f>
        <v/>
      </c>
      <c r="H23" s="30">
        <f>IF($D23="Actual",U23,G23*L23)</f>
        <v/>
      </c>
      <c r="I23" s="30">
        <f>IF($D23="Actual",V23,J23-H23)</f>
        <v/>
      </c>
      <c r="J23" s="30">
        <f>IF($D23="Actual",U23+V23,IFERROR(H23/(1-AD23),0))</f>
        <v/>
      </c>
      <c r="K23" s="10">
        <f>IF($D23="Actual",IFERROR(S23/T23,0),CPLH_Forecast!AL16)</f>
        <v/>
      </c>
      <c r="L23" s="34">
        <f>IF($D23="Actual",IFERROR(U23/T23,0),N(AE23))</f>
        <v/>
      </c>
      <c r="M23" s="35">
        <f>IFERROR(J23/F23,0)</f>
        <v/>
      </c>
      <c r="N23" s="36">
        <f>IFERROR(J23/E23,0)</f>
        <v/>
      </c>
      <c r="O23" s="36">
        <f>IFERROR(I23/J23,0)</f>
        <v/>
      </c>
      <c r="R23" s="52">
        <f>IF($D23="Actual",SUMIFS(Data_Actuals!$C$2:$C$5000,Data_Actuals!$A$2:$A$5000,$A23,Data_Actuals!$B$2:$B$5000,$B$2),"")</f>
        <v/>
      </c>
      <c r="S23" s="52">
        <f>IF($D23="Actual",SUMIFS(Data_Actuals!$D$2:$D$5000,Data_Actuals!$A$2:$A$5000,$A23,Data_Actuals!$B$2:$B$5000,$B$2),"")</f>
        <v/>
      </c>
      <c r="T23" s="52">
        <f>IF($D23="Actual",SUMIFS(Data_Actuals!$E$2:$E$5000,Data_Actuals!$A$2:$A$5000,$A23,Data_Actuals!$B$2:$B$5000,$B$2),"")</f>
        <v/>
      </c>
      <c r="U23" s="52">
        <f>IF($D23="Actual",SUMIFS(Data_Actuals!$F$2:$F$5000,Data_Actuals!$A$2:$A$5000,$A23,Data_Actuals!$B$2:$B$5000,$B$2),"")</f>
        <v/>
      </c>
      <c r="V23" s="52">
        <f>IF($D23="Actual",SUMIFS(Data_Actuals!$G$2:$G$5000,Data_Actuals!$A$2:$A$5000,$A23,Data_Actuals!$B$2:$B$5000,$B$2),"")</f>
        <v/>
      </c>
      <c r="W23" s="52">
        <f>SUMIFS(Plan_Inputs!$C$2:$C$5000,Plan_Inputs!$A$2:$A$5000,$A23,Plan_Inputs!$B$2:$B$5000,$B$2)</f>
        <v/>
      </c>
      <c r="X23" s="53">
        <f>IF($D23="Actual",IFERROR(S23/T23,""),"")</f>
        <v/>
      </c>
      <c r="Y23" s="52">
        <f>E23</f>
        <v/>
      </c>
      <c r="Z23" s="54">
        <f>INDEX(Calendar!$H$5:$L$52,MATCH($A23,Calendar!$A$5:$A$52,0),MATCH($D$2,Calendar!$H$4:$L$4,0))</f>
        <v/>
      </c>
      <c r="AA23" s="54">
        <f>INDEX(Calendar!$M$5:$M$52,MATCH($A23,Calendar!$A$5:$A$52,0))</f>
        <v/>
      </c>
      <c r="AB23" s="55">
        <f>IF($D23="Actual",IFERROR(S23/Y23,""),"")</f>
        <v/>
      </c>
      <c r="AC23" s="56">
        <f>IF($D23="Actual",IFERROR(U23/T23/Z23/AA23,""),"")</f>
        <v/>
      </c>
      <c r="AD23" s="57">
        <f>IF($D23="Actual",IFERROR(V23/(U23+V23),""),$K$2)</f>
        <v/>
      </c>
      <c r="AE23" s="56">
        <f>IFERROR(AC23*Z23*AA23,"")</f>
        <v/>
      </c>
      <c r="AF23" s="53" t="n"/>
      <c r="AG23" s="57">
        <f>IF($D23="Forecast",IFERROR(K23/AF23-1,""),"")</f>
        <v/>
      </c>
      <c r="AH23" s="53">
        <f>IF(CPLHSource="National breakdown",CPLH_Breakdown!AM28,SUMIFS(Plan_Inputs!$D$2:$D$5000,Plan_Inputs!$A$2:$A$5000,$A23,Plan_Inputs!$B$2:$B$5000,$B$2))</f>
        <v/>
      </c>
      <c r="AJ23" s="15">
        <f>F23*$AK$11</f>
        <v/>
      </c>
      <c r="AK23" s="9">
        <f>G23*$AK$11</f>
        <v/>
      </c>
      <c r="AL23" s="30">
        <f>H23*$AK$11</f>
        <v/>
      </c>
      <c r="AM23" s="30">
        <f>I23*$AK$11</f>
        <v/>
      </c>
      <c r="AN23" s="30">
        <f>J23*$AK$11</f>
        <v/>
      </c>
      <c r="AP23" s="15">
        <f>F23*$AQ$11</f>
        <v/>
      </c>
      <c r="AQ23" s="9">
        <f>G23*$AQ$11</f>
        <v/>
      </c>
      <c r="AR23" s="30">
        <f>H23*$AQ$11</f>
        <v/>
      </c>
      <c r="AS23" s="30">
        <f>I23*$AQ$11</f>
        <v/>
      </c>
      <c r="AT23" s="30">
        <f>J23*$AQ$11</f>
        <v/>
      </c>
      <c r="AV23" s="15">
        <f>F23*$AW$11</f>
        <v/>
      </c>
      <c r="AW23" s="9">
        <f>G23*$AW$11</f>
        <v/>
      </c>
      <c r="AX23" s="30">
        <f>H23*$AW$11</f>
        <v/>
      </c>
      <c r="AY23" s="30">
        <f>I23*$AW$11</f>
        <v/>
      </c>
      <c r="AZ23" s="30">
        <f>J23*$AW$11</f>
        <v/>
      </c>
    </row>
    <row r="24">
      <c r="A24" s="8" t="n">
        <v>45931</v>
      </c>
      <c r="B24" s="33">
        <f>YEAR(A24)</f>
        <v/>
      </c>
      <c r="C24" s="33">
        <f>MONTH(A24)</f>
        <v/>
      </c>
      <c r="D24">
        <f>IF(A24&lt;=LastActual,"Actual","Forecast")</f>
        <v/>
      </c>
      <c r="E24" s="30">
        <f>IF($D24="Actual",R24,W24)</f>
        <v/>
      </c>
      <c r="F24" s="15">
        <f>IF($D24="Actual",S24,Cases_Forecast!AL17)</f>
        <v/>
      </c>
      <c r="G24" s="9">
        <f>IF($D24="Actual",T24,IFERROR(F24/K24,0))</f>
        <v/>
      </c>
      <c r="H24" s="30">
        <f>IF($D24="Actual",U24,G24*L24)</f>
        <v/>
      </c>
      <c r="I24" s="30">
        <f>IF($D24="Actual",V24,J24-H24)</f>
        <v/>
      </c>
      <c r="J24" s="30">
        <f>IF($D24="Actual",U24+V24,IFERROR(H24/(1-AD24),0))</f>
        <v/>
      </c>
      <c r="K24" s="10">
        <f>IF($D24="Actual",IFERROR(S24/T24,0),CPLH_Forecast!AL17)</f>
        <v/>
      </c>
      <c r="L24" s="34">
        <f>IF($D24="Actual",IFERROR(U24/T24,0),N(AE24))</f>
        <v/>
      </c>
      <c r="M24" s="35">
        <f>IFERROR(J24/F24,0)</f>
        <v/>
      </c>
      <c r="N24" s="36">
        <f>IFERROR(J24/E24,0)</f>
        <v/>
      </c>
      <c r="O24" s="36">
        <f>IFERROR(I24/J24,0)</f>
        <v/>
      </c>
      <c r="R24" s="52">
        <f>IF($D24="Actual",SUMIFS(Data_Actuals!$C$2:$C$5000,Data_Actuals!$A$2:$A$5000,$A24,Data_Actuals!$B$2:$B$5000,$B$2),"")</f>
        <v/>
      </c>
      <c r="S24" s="52">
        <f>IF($D24="Actual",SUMIFS(Data_Actuals!$D$2:$D$5000,Data_Actuals!$A$2:$A$5000,$A24,Data_Actuals!$B$2:$B$5000,$B$2),"")</f>
        <v/>
      </c>
      <c r="T24" s="52">
        <f>IF($D24="Actual",SUMIFS(Data_Actuals!$E$2:$E$5000,Data_Actuals!$A$2:$A$5000,$A24,Data_Actuals!$B$2:$B$5000,$B$2),"")</f>
        <v/>
      </c>
      <c r="U24" s="52">
        <f>IF($D24="Actual",SUMIFS(Data_Actuals!$F$2:$F$5000,Data_Actuals!$A$2:$A$5000,$A24,Data_Actuals!$B$2:$B$5000,$B$2),"")</f>
        <v/>
      </c>
      <c r="V24" s="52">
        <f>IF($D24="Actual",SUMIFS(Data_Actuals!$G$2:$G$5000,Data_Actuals!$A$2:$A$5000,$A24,Data_Actuals!$B$2:$B$5000,$B$2),"")</f>
        <v/>
      </c>
      <c r="W24" s="52">
        <f>SUMIFS(Plan_Inputs!$C$2:$C$5000,Plan_Inputs!$A$2:$A$5000,$A24,Plan_Inputs!$B$2:$B$5000,$B$2)</f>
        <v/>
      </c>
      <c r="X24" s="53">
        <f>IF($D24="Actual",IFERROR(S24/T24,""),"")</f>
        <v/>
      </c>
      <c r="Y24" s="52">
        <f>E24</f>
        <v/>
      </c>
      <c r="Z24" s="54">
        <f>INDEX(Calendar!$H$5:$L$52,MATCH($A24,Calendar!$A$5:$A$52,0),MATCH($D$2,Calendar!$H$4:$L$4,0))</f>
        <v/>
      </c>
      <c r="AA24" s="54">
        <f>INDEX(Calendar!$M$5:$M$52,MATCH($A24,Calendar!$A$5:$A$52,0))</f>
        <v/>
      </c>
      <c r="AB24" s="55">
        <f>IF($D24="Actual",IFERROR(S24/Y24,""),"")</f>
        <v/>
      </c>
      <c r="AC24" s="56">
        <f>IF($D24="Actual",IFERROR(U24/T24/Z24/AA24,""),"")</f>
        <v/>
      </c>
      <c r="AD24" s="57">
        <f>IF($D24="Actual",IFERROR(V24/(U24+V24),""),$K$2)</f>
        <v/>
      </c>
      <c r="AE24" s="56">
        <f>IFERROR(AC24*Z24*AA24,"")</f>
        <v/>
      </c>
      <c r="AF24" s="53" t="n"/>
      <c r="AG24" s="57">
        <f>IF($D24="Forecast",IFERROR(K24/AF24-1,""),"")</f>
        <v/>
      </c>
      <c r="AH24" s="53">
        <f>IF(CPLHSource="National breakdown",CPLH_Breakdown!AM29,SUMIFS(Plan_Inputs!$D$2:$D$5000,Plan_Inputs!$A$2:$A$5000,$A24,Plan_Inputs!$B$2:$B$5000,$B$2))</f>
        <v/>
      </c>
      <c r="AJ24" s="15">
        <f>F24*$AK$11</f>
        <v/>
      </c>
      <c r="AK24" s="9">
        <f>G24*$AK$11</f>
        <v/>
      </c>
      <c r="AL24" s="30">
        <f>H24*$AK$11</f>
        <v/>
      </c>
      <c r="AM24" s="30">
        <f>I24*$AK$11</f>
        <v/>
      </c>
      <c r="AN24" s="30">
        <f>J24*$AK$11</f>
        <v/>
      </c>
      <c r="AP24" s="15">
        <f>F24*$AQ$11</f>
        <v/>
      </c>
      <c r="AQ24" s="9">
        <f>G24*$AQ$11</f>
        <v/>
      </c>
      <c r="AR24" s="30">
        <f>H24*$AQ$11</f>
        <v/>
      </c>
      <c r="AS24" s="30">
        <f>I24*$AQ$11</f>
        <v/>
      </c>
      <c r="AT24" s="30">
        <f>J24*$AQ$11</f>
        <v/>
      </c>
      <c r="AV24" s="15">
        <f>F24*$AW$11</f>
        <v/>
      </c>
      <c r="AW24" s="9">
        <f>G24*$AW$11</f>
        <v/>
      </c>
      <c r="AX24" s="30">
        <f>H24*$AW$11</f>
        <v/>
      </c>
      <c r="AY24" s="30">
        <f>I24*$AW$11</f>
        <v/>
      </c>
      <c r="AZ24" s="30">
        <f>J24*$AW$11</f>
        <v/>
      </c>
    </row>
    <row r="25">
      <c r="A25" s="8" t="n">
        <v>45962</v>
      </c>
      <c r="B25" s="33">
        <f>YEAR(A25)</f>
        <v/>
      </c>
      <c r="C25" s="33">
        <f>MONTH(A25)</f>
        <v/>
      </c>
      <c r="D25">
        <f>IF(A25&lt;=LastActual,"Actual","Forecast")</f>
        <v/>
      </c>
      <c r="E25" s="30">
        <f>IF($D25="Actual",R25,W25)</f>
        <v/>
      </c>
      <c r="F25" s="15">
        <f>IF($D25="Actual",S25,Cases_Forecast!AL18)</f>
        <v/>
      </c>
      <c r="G25" s="9">
        <f>IF($D25="Actual",T25,IFERROR(F25/K25,0))</f>
        <v/>
      </c>
      <c r="H25" s="30">
        <f>IF($D25="Actual",U25,G25*L25)</f>
        <v/>
      </c>
      <c r="I25" s="30">
        <f>IF($D25="Actual",V25,J25-H25)</f>
        <v/>
      </c>
      <c r="J25" s="30">
        <f>IF($D25="Actual",U25+V25,IFERROR(H25/(1-AD25),0))</f>
        <v/>
      </c>
      <c r="K25" s="10">
        <f>IF($D25="Actual",IFERROR(S25/T25,0),CPLH_Forecast!AL18)</f>
        <v/>
      </c>
      <c r="L25" s="34">
        <f>IF($D25="Actual",IFERROR(U25/T25,0),N(AE25))</f>
        <v/>
      </c>
      <c r="M25" s="35">
        <f>IFERROR(J25/F25,0)</f>
        <v/>
      </c>
      <c r="N25" s="36">
        <f>IFERROR(J25/E25,0)</f>
        <v/>
      </c>
      <c r="O25" s="36">
        <f>IFERROR(I25/J25,0)</f>
        <v/>
      </c>
      <c r="R25" s="52">
        <f>IF($D25="Actual",SUMIFS(Data_Actuals!$C$2:$C$5000,Data_Actuals!$A$2:$A$5000,$A25,Data_Actuals!$B$2:$B$5000,$B$2),"")</f>
        <v/>
      </c>
      <c r="S25" s="52">
        <f>IF($D25="Actual",SUMIFS(Data_Actuals!$D$2:$D$5000,Data_Actuals!$A$2:$A$5000,$A25,Data_Actuals!$B$2:$B$5000,$B$2),"")</f>
        <v/>
      </c>
      <c r="T25" s="52">
        <f>IF($D25="Actual",SUMIFS(Data_Actuals!$E$2:$E$5000,Data_Actuals!$A$2:$A$5000,$A25,Data_Actuals!$B$2:$B$5000,$B$2),"")</f>
        <v/>
      </c>
      <c r="U25" s="52">
        <f>IF($D25="Actual",SUMIFS(Data_Actuals!$F$2:$F$5000,Data_Actuals!$A$2:$A$5000,$A25,Data_Actuals!$B$2:$B$5000,$B$2),"")</f>
        <v/>
      </c>
      <c r="V25" s="52">
        <f>IF($D25="Actual",SUMIFS(Data_Actuals!$G$2:$G$5000,Data_Actuals!$A$2:$A$5000,$A25,Data_Actuals!$B$2:$B$5000,$B$2),"")</f>
        <v/>
      </c>
      <c r="W25" s="52">
        <f>SUMIFS(Plan_Inputs!$C$2:$C$5000,Plan_Inputs!$A$2:$A$5000,$A25,Plan_Inputs!$B$2:$B$5000,$B$2)</f>
        <v/>
      </c>
      <c r="X25" s="53">
        <f>IF($D25="Actual",IFERROR(S25/T25,""),"")</f>
        <v/>
      </c>
      <c r="Y25" s="52">
        <f>E25</f>
        <v/>
      </c>
      <c r="Z25" s="54">
        <f>INDEX(Calendar!$H$5:$L$52,MATCH($A25,Calendar!$A$5:$A$52,0),MATCH($D$2,Calendar!$H$4:$L$4,0))</f>
        <v/>
      </c>
      <c r="AA25" s="54">
        <f>INDEX(Calendar!$M$5:$M$52,MATCH($A25,Calendar!$A$5:$A$52,0))</f>
        <v/>
      </c>
      <c r="AB25" s="55">
        <f>IF($D25="Actual",IFERROR(S25/Y25,""),"")</f>
        <v/>
      </c>
      <c r="AC25" s="56">
        <f>IF($D25="Actual",IFERROR(U25/T25/Z25/AA25,""),"")</f>
        <v/>
      </c>
      <c r="AD25" s="57">
        <f>IF($D25="Actual",IFERROR(V25/(U25+V25),""),$K$2)</f>
        <v/>
      </c>
      <c r="AE25" s="56">
        <f>IFERROR(AC25*Z25*AA25,"")</f>
        <v/>
      </c>
      <c r="AF25" s="53" t="n"/>
      <c r="AG25" s="57">
        <f>IF($D25="Forecast",IFERROR(K25/AF25-1,""),"")</f>
        <v/>
      </c>
      <c r="AH25" s="53">
        <f>IF(CPLHSource="National breakdown",CPLH_Breakdown!AM30,SUMIFS(Plan_Inputs!$D$2:$D$5000,Plan_Inputs!$A$2:$A$5000,$A25,Plan_Inputs!$B$2:$B$5000,$B$2))</f>
        <v/>
      </c>
      <c r="AJ25" s="15">
        <f>F25*$AK$11</f>
        <v/>
      </c>
      <c r="AK25" s="9">
        <f>G25*$AK$11</f>
        <v/>
      </c>
      <c r="AL25" s="30">
        <f>H25*$AK$11</f>
        <v/>
      </c>
      <c r="AM25" s="30">
        <f>I25*$AK$11</f>
        <v/>
      </c>
      <c r="AN25" s="30">
        <f>J25*$AK$11</f>
        <v/>
      </c>
      <c r="AP25" s="15">
        <f>F25*$AQ$11</f>
        <v/>
      </c>
      <c r="AQ25" s="9">
        <f>G25*$AQ$11</f>
        <v/>
      </c>
      <c r="AR25" s="30">
        <f>H25*$AQ$11</f>
        <v/>
      </c>
      <c r="AS25" s="30">
        <f>I25*$AQ$11</f>
        <v/>
      </c>
      <c r="AT25" s="30">
        <f>J25*$AQ$11</f>
        <v/>
      </c>
      <c r="AV25" s="15">
        <f>F25*$AW$11</f>
        <v/>
      </c>
      <c r="AW25" s="9">
        <f>G25*$AW$11</f>
        <v/>
      </c>
      <c r="AX25" s="30">
        <f>H25*$AW$11</f>
        <v/>
      </c>
      <c r="AY25" s="30">
        <f>I25*$AW$11</f>
        <v/>
      </c>
      <c r="AZ25" s="30">
        <f>J25*$AW$11</f>
        <v/>
      </c>
    </row>
    <row r="26">
      <c r="A26" s="37" t="n">
        <v>45992</v>
      </c>
      <c r="B26" s="38">
        <f>YEAR(A26)</f>
        <v/>
      </c>
      <c r="C26" s="38">
        <f>MONTH(A26)</f>
        <v/>
      </c>
      <c r="D26" s="39">
        <f>IF(A26&lt;=LastActual,"Actual","Forecast")</f>
        <v/>
      </c>
      <c r="E26" s="40">
        <f>IF($D26="Actual",R26,W26)</f>
        <v/>
      </c>
      <c r="F26" s="41">
        <f>IF($D26="Actual",S26,Cases_Forecast!AL19)</f>
        <v/>
      </c>
      <c r="G26" s="42">
        <f>IF($D26="Actual",T26,IFERROR(F26/K26,0))</f>
        <v/>
      </c>
      <c r="H26" s="40">
        <f>IF($D26="Actual",U26,G26*L26)</f>
        <v/>
      </c>
      <c r="I26" s="40">
        <f>IF($D26="Actual",V26,J26-H26)</f>
        <v/>
      </c>
      <c r="J26" s="40">
        <f>IF($D26="Actual",U26+V26,IFERROR(H26/(1-AD26),0))</f>
        <v/>
      </c>
      <c r="K26" s="43">
        <f>IF($D26="Actual",IFERROR(S26/T26,0),CPLH_Forecast!AL19)</f>
        <v/>
      </c>
      <c r="L26" s="44">
        <f>IF($D26="Actual",IFERROR(U26/T26,0),N(AE26))</f>
        <v/>
      </c>
      <c r="M26" s="45">
        <f>IFERROR(J26/F26,0)</f>
        <v/>
      </c>
      <c r="N26" s="46">
        <f>IFERROR(J26/E26,0)</f>
        <v/>
      </c>
      <c r="O26" s="46">
        <f>IFERROR(I26/J26,0)</f>
        <v/>
      </c>
      <c r="R26" s="52">
        <f>IF($D26="Actual",SUMIFS(Data_Actuals!$C$2:$C$5000,Data_Actuals!$A$2:$A$5000,$A26,Data_Actuals!$B$2:$B$5000,$B$2),"")</f>
        <v/>
      </c>
      <c r="S26" s="52">
        <f>IF($D26="Actual",SUMIFS(Data_Actuals!$D$2:$D$5000,Data_Actuals!$A$2:$A$5000,$A26,Data_Actuals!$B$2:$B$5000,$B$2),"")</f>
        <v/>
      </c>
      <c r="T26" s="52">
        <f>IF($D26="Actual",SUMIFS(Data_Actuals!$E$2:$E$5000,Data_Actuals!$A$2:$A$5000,$A26,Data_Actuals!$B$2:$B$5000,$B$2),"")</f>
        <v/>
      </c>
      <c r="U26" s="52">
        <f>IF($D26="Actual",SUMIFS(Data_Actuals!$F$2:$F$5000,Data_Actuals!$A$2:$A$5000,$A26,Data_Actuals!$B$2:$B$5000,$B$2),"")</f>
        <v/>
      </c>
      <c r="V26" s="52">
        <f>IF($D26="Actual",SUMIFS(Data_Actuals!$G$2:$G$5000,Data_Actuals!$A$2:$A$5000,$A26,Data_Actuals!$B$2:$B$5000,$B$2),"")</f>
        <v/>
      </c>
      <c r="W26" s="52">
        <f>SUMIFS(Plan_Inputs!$C$2:$C$5000,Plan_Inputs!$A$2:$A$5000,$A26,Plan_Inputs!$B$2:$B$5000,$B$2)</f>
        <v/>
      </c>
      <c r="X26" s="53">
        <f>IF($D26="Actual",IFERROR(S26/T26,""),"")</f>
        <v/>
      </c>
      <c r="Y26" s="52">
        <f>E26</f>
        <v/>
      </c>
      <c r="Z26" s="54">
        <f>INDEX(Calendar!$H$5:$L$52,MATCH($A26,Calendar!$A$5:$A$52,0),MATCH($D$2,Calendar!$H$4:$L$4,0))</f>
        <v/>
      </c>
      <c r="AA26" s="54">
        <f>INDEX(Calendar!$M$5:$M$52,MATCH($A26,Calendar!$A$5:$A$52,0))</f>
        <v/>
      </c>
      <c r="AB26" s="55">
        <f>IF($D26="Actual",IFERROR(S26/Y26,""),"")</f>
        <v/>
      </c>
      <c r="AC26" s="56">
        <f>IF($D26="Actual",IFERROR(U26/T26/Z26/AA26,""),"")</f>
        <v/>
      </c>
      <c r="AD26" s="57">
        <f>IF($D26="Actual",IFERROR(V26/(U26+V26),""),$K$2)</f>
        <v/>
      </c>
      <c r="AE26" s="56">
        <f>IFERROR(AC26*Z26*AA26,"")</f>
        <v/>
      </c>
      <c r="AF26" s="53" t="n"/>
      <c r="AG26" s="57">
        <f>IF($D26="Forecast",IFERROR(K26/AF26-1,""),"")</f>
        <v/>
      </c>
      <c r="AH26" s="53">
        <f>IF(CPLHSource="National breakdown",CPLH_Breakdown!AM31,SUMIFS(Plan_Inputs!$D$2:$D$5000,Plan_Inputs!$A$2:$A$5000,$A26,Plan_Inputs!$B$2:$B$5000,$B$2))</f>
        <v/>
      </c>
      <c r="AJ26" s="41">
        <f>F26*$AK$11</f>
        <v/>
      </c>
      <c r="AK26" s="42">
        <f>G26*$AK$11</f>
        <v/>
      </c>
      <c r="AL26" s="40">
        <f>H26*$AK$11</f>
        <v/>
      </c>
      <c r="AM26" s="40">
        <f>I26*$AK$11</f>
        <v/>
      </c>
      <c r="AN26" s="40">
        <f>J26*$AK$11</f>
        <v/>
      </c>
      <c r="AP26" s="41">
        <f>F26*$AQ$11</f>
        <v/>
      </c>
      <c r="AQ26" s="42">
        <f>G26*$AQ$11</f>
        <v/>
      </c>
      <c r="AR26" s="40">
        <f>H26*$AQ$11</f>
        <v/>
      </c>
      <c r="AS26" s="40">
        <f>I26*$AQ$11</f>
        <v/>
      </c>
      <c r="AT26" s="40">
        <f>J26*$AQ$11</f>
        <v/>
      </c>
      <c r="AV26" s="41">
        <f>F26*$AW$11</f>
        <v/>
      </c>
      <c r="AW26" s="42">
        <f>G26*$AW$11</f>
        <v/>
      </c>
      <c r="AX26" s="40">
        <f>H26*$AW$11</f>
        <v/>
      </c>
      <c r="AY26" s="40">
        <f>I26*$AW$11</f>
        <v/>
      </c>
      <c r="AZ26" s="40">
        <f>J26*$AW$11</f>
        <v/>
      </c>
    </row>
    <row r="27">
      <c r="A27" s="8" t="n">
        <v>46023</v>
      </c>
      <c r="B27" s="33">
        <f>YEAR(A27)</f>
        <v/>
      </c>
      <c r="C27" s="33">
        <f>MONTH(A27)</f>
        <v/>
      </c>
      <c r="D27">
        <f>IF(A27&lt;=LastActual,"Actual","Forecast")</f>
        <v/>
      </c>
      <c r="E27" s="30">
        <f>IF($D27="Actual",R27,W27)</f>
        <v/>
      </c>
      <c r="F27" s="15">
        <f>IF($D27="Actual",S27,Cases_Forecast!AL20)</f>
        <v/>
      </c>
      <c r="G27" s="9">
        <f>IF($D27="Actual",T27,IFERROR(F27/K27,0))</f>
        <v/>
      </c>
      <c r="H27" s="30">
        <f>IF($D27="Actual",U27,G27*L27)</f>
        <v/>
      </c>
      <c r="I27" s="30">
        <f>IF($D27="Actual",V27,J27-H27)</f>
        <v/>
      </c>
      <c r="J27" s="30">
        <f>IF($D27="Actual",U27+V27,IFERROR(H27/(1-AD27),0))</f>
        <v/>
      </c>
      <c r="K27" s="10">
        <f>IF($D27="Actual",IFERROR(S27/T27,0),CPLH_Forecast!AL20)</f>
        <v/>
      </c>
      <c r="L27" s="34">
        <f>IF($D27="Actual",IFERROR(U27/T27,0),N(AE27))</f>
        <v/>
      </c>
      <c r="M27" s="35">
        <f>IFERROR(J27/F27,0)</f>
        <v/>
      </c>
      <c r="N27" s="36">
        <f>IFERROR(J27/E27,0)</f>
        <v/>
      </c>
      <c r="O27" s="36">
        <f>IFERROR(I27/J27,0)</f>
        <v/>
      </c>
      <c r="R27" s="52">
        <f>IF($D27="Actual",SUMIFS(Data_Actuals!$C$2:$C$5000,Data_Actuals!$A$2:$A$5000,$A27,Data_Actuals!$B$2:$B$5000,$B$2),"")</f>
        <v/>
      </c>
      <c r="S27" s="52">
        <f>IF($D27="Actual",SUMIFS(Data_Actuals!$D$2:$D$5000,Data_Actuals!$A$2:$A$5000,$A27,Data_Actuals!$B$2:$B$5000,$B$2),"")</f>
        <v/>
      </c>
      <c r="T27" s="52">
        <f>IF($D27="Actual",SUMIFS(Data_Actuals!$E$2:$E$5000,Data_Actuals!$A$2:$A$5000,$A27,Data_Actuals!$B$2:$B$5000,$B$2),"")</f>
        <v/>
      </c>
      <c r="U27" s="52">
        <f>IF($D27="Actual",SUMIFS(Data_Actuals!$F$2:$F$5000,Data_Actuals!$A$2:$A$5000,$A27,Data_Actuals!$B$2:$B$5000,$B$2),"")</f>
        <v/>
      </c>
      <c r="V27" s="52">
        <f>IF($D27="Actual",SUMIFS(Data_Actuals!$G$2:$G$5000,Data_Actuals!$A$2:$A$5000,$A27,Data_Actuals!$B$2:$B$5000,$B$2),"")</f>
        <v/>
      </c>
      <c r="W27" s="52">
        <f>SUMIFS(Plan_Inputs!$C$2:$C$5000,Plan_Inputs!$A$2:$A$5000,$A27,Plan_Inputs!$B$2:$B$5000,$B$2)</f>
        <v/>
      </c>
      <c r="X27" s="53">
        <f>IF($D27="Actual",IFERROR(S27/T27,""),X15)</f>
        <v/>
      </c>
      <c r="Y27" s="52">
        <f>E27</f>
        <v/>
      </c>
      <c r="Z27" s="54">
        <f>INDEX(Calendar!$H$5:$L$52,MATCH($A27,Calendar!$A$5:$A$52,0),MATCH($D$2,Calendar!$H$4:$L$4,0))</f>
        <v/>
      </c>
      <c r="AA27" s="54">
        <f>INDEX(Calendar!$M$5:$M$52,MATCH($A27,Calendar!$A$5:$A$52,0))</f>
        <v/>
      </c>
      <c r="AB27" s="55">
        <f>IF($D27="Actual",IFERROR(S27/Y27,""),AB15)</f>
        <v/>
      </c>
      <c r="AC27" s="56">
        <f>IF($D27="Actual",IFERROR(U27/T27/Z27/AA27,""),AC15)</f>
        <v/>
      </c>
      <c r="AD27" s="57">
        <f>IF($D27="Actual",IFERROR(V27/(U27+V27),""),$K$2)</f>
        <v/>
      </c>
      <c r="AE27" s="56">
        <f>IFERROR(AC27*Z27*AA27,"")</f>
        <v/>
      </c>
      <c r="AF27" s="53">
        <f>K15</f>
        <v/>
      </c>
      <c r="AG27" s="57">
        <f>IF($D27="Forecast",IFERROR(K27/AF27-1,""),"")</f>
        <v/>
      </c>
      <c r="AH27" s="53">
        <f>IF(CPLHSource="National breakdown",CPLH_Breakdown!AM32,SUMIFS(Plan_Inputs!$D$2:$D$5000,Plan_Inputs!$A$2:$A$5000,$A27,Plan_Inputs!$B$2:$B$5000,$B$2))</f>
        <v/>
      </c>
      <c r="AJ27" s="15">
        <f>F27*$AK$11</f>
        <v/>
      </c>
      <c r="AK27" s="9">
        <f>G27*$AK$11</f>
        <v/>
      </c>
      <c r="AL27" s="30">
        <f>H27*$AK$11</f>
        <v/>
      </c>
      <c r="AM27" s="30">
        <f>I27*$AK$11</f>
        <v/>
      </c>
      <c r="AN27" s="30">
        <f>J27*$AK$11</f>
        <v/>
      </c>
      <c r="AP27" s="15">
        <f>F27*$AQ$11</f>
        <v/>
      </c>
      <c r="AQ27" s="9">
        <f>G27*$AQ$11</f>
        <v/>
      </c>
      <c r="AR27" s="30">
        <f>H27*$AQ$11</f>
        <v/>
      </c>
      <c r="AS27" s="30">
        <f>I27*$AQ$11</f>
        <v/>
      </c>
      <c r="AT27" s="30">
        <f>J27*$AQ$11</f>
        <v/>
      </c>
      <c r="AV27" s="15">
        <f>F27*$AW$11</f>
        <v/>
      </c>
      <c r="AW27" s="9">
        <f>G27*$AW$11</f>
        <v/>
      </c>
      <c r="AX27" s="30">
        <f>H27*$AW$11</f>
        <v/>
      </c>
      <c r="AY27" s="30">
        <f>I27*$AW$11</f>
        <v/>
      </c>
      <c r="AZ27" s="30">
        <f>J27*$AW$11</f>
        <v/>
      </c>
    </row>
    <row r="28">
      <c r="A28" s="8" t="n">
        <v>46054</v>
      </c>
      <c r="B28" s="33">
        <f>YEAR(A28)</f>
        <v/>
      </c>
      <c r="C28" s="33">
        <f>MONTH(A28)</f>
        <v/>
      </c>
      <c r="D28">
        <f>IF(A28&lt;=LastActual,"Actual","Forecast")</f>
        <v/>
      </c>
      <c r="E28" s="30">
        <f>IF($D28="Actual",R28,W28)</f>
        <v/>
      </c>
      <c r="F28" s="15">
        <f>IF($D28="Actual",S28,Cases_Forecast!AL21)</f>
        <v/>
      </c>
      <c r="G28" s="9">
        <f>IF($D28="Actual",T28,IFERROR(F28/K28,0))</f>
        <v/>
      </c>
      <c r="H28" s="30">
        <f>IF($D28="Actual",U28,G28*L28)</f>
        <v/>
      </c>
      <c r="I28" s="30">
        <f>IF($D28="Actual",V28,J28-H28)</f>
        <v/>
      </c>
      <c r="J28" s="30">
        <f>IF($D28="Actual",U28+V28,IFERROR(H28/(1-AD28),0))</f>
        <v/>
      </c>
      <c r="K28" s="10">
        <f>IF($D28="Actual",IFERROR(S28/T28,0),CPLH_Forecast!AL21)</f>
        <v/>
      </c>
      <c r="L28" s="34">
        <f>IF($D28="Actual",IFERROR(U28/T28,0),N(AE28))</f>
        <v/>
      </c>
      <c r="M28" s="35">
        <f>IFERROR(J28/F28,0)</f>
        <v/>
      </c>
      <c r="N28" s="36">
        <f>IFERROR(J28/E28,0)</f>
        <v/>
      </c>
      <c r="O28" s="36">
        <f>IFERROR(I28/J28,0)</f>
        <v/>
      </c>
      <c r="R28" s="52">
        <f>IF($D28="Actual",SUMIFS(Data_Actuals!$C$2:$C$5000,Data_Actuals!$A$2:$A$5000,$A28,Data_Actuals!$B$2:$B$5000,$B$2),"")</f>
        <v/>
      </c>
      <c r="S28" s="52">
        <f>IF($D28="Actual",SUMIFS(Data_Actuals!$D$2:$D$5000,Data_Actuals!$A$2:$A$5000,$A28,Data_Actuals!$B$2:$B$5000,$B$2),"")</f>
        <v/>
      </c>
      <c r="T28" s="52">
        <f>IF($D28="Actual",SUMIFS(Data_Actuals!$E$2:$E$5000,Data_Actuals!$A$2:$A$5000,$A28,Data_Actuals!$B$2:$B$5000,$B$2),"")</f>
        <v/>
      </c>
      <c r="U28" s="52">
        <f>IF($D28="Actual",SUMIFS(Data_Actuals!$F$2:$F$5000,Data_Actuals!$A$2:$A$5000,$A28,Data_Actuals!$B$2:$B$5000,$B$2),"")</f>
        <v/>
      </c>
      <c r="V28" s="52">
        <f>IF($D28="Actual",SUMIFS(Data_Actuals!$G$2:$G$5000,Data_Actuals!$A$2:$A$5000,$A28,Data_Actuals!$B$2:$B$5000,$B$2),"")</f>
        <v/>
      </c>
      <c r="W28" s="52">
        <f>SUMIFS(Plan_Inputs!$C$2:$C$5000,Plan_Inputs!$A$2:$A$5000,$A28,Plan_Inputs!$B$2:$B$5000,$B$2)</f>
        <v/>
      </c>
      <c r="X28" s="53">
        <f>IF($D28="Actual",IFERROR(S28/T28,""),X16)</f>
        <v/>
      </c>
      <c r="Y28" s="52">
        <f>E28</f>
        <v/>
      </c>
      <c r="Z28" s="54">
        <f>INDEX(Calendar!$H$5:$L$52,MATCH($A28,Calendar!$A$5:$A$52,0),MATCH($D$2,Calendar!$H$4:$L$4,0))</f>
        <v/>
      </c>
      <c r="AA28" s="54">
        <f>INDEX(Calendar!$M$5:$M$52,MATCH($A28,Calendar!$A$5:$A$52,0))</f>
        <v/>
      </c>
      <c r="AB28" s="55">
        <f>IF($D28="Actual",IFERROR(S28/Y28,""),AB16)</f>
        <v/>
      </c>
      <c r="AC28" s="56">
        <f>IF($D28="Actual",IFERROR(U28/T28/Z28/AA28,""),AC16)</f>
        <v/>
      </c>
      <c r="AD28" s="57">
        <f>IF($D28="Actual",IFERROR(V28/(U28+V28),""),$K$2)</f>
        <v/>
      </c>
      <c r="AE28" s="56">
        <f>IFERROR(AC28*Z28*AA28,"")</f>
        <v/>
      </c>
      <c r="AF28" s="53">
        <f>K16</f>
        <v/>
      </c>
      <c r="AG28" s="57">
        <f>IF($D28="Forecast",IFERROR(K28/AF28-1,""),"")</f>
        <v/>
      </c>
      <c r="AH28" s="53">
        <f>IF(CPLHSource="National breakdown",CPLH_Breakdown!AM33,SUMIFS(Plan_Inputs!$D$2:$D$5000,Plan_Inputs!$A$2:$A$5000,$A28,Plan_Inputs!$B$2:$B$5000,$B$2))</f>
        <v/>
      </c>
      <c r="AJ28" s="15">
        <f>F28*$AK$11</f>
        <v/>
      </c>
      <c r="AK28" s="9">
        <f>G28*$AK$11</f>
        <v/>
      </c>
      <c r="AL28" s="30">
        <f>H28*$AK$11</f>
        <v/>
      </c>
      <c r="AM28" s="30">
        <f>I28*$AK$11</f>
        <v/>
      </c>
      <c r="AN28" s="30">
        <f>J28*$AK$11</f>
        <v/>
      </c>
      <c r="AP28" s="15">
        <f>F28*$AQ$11</f>
        <v/>
      </c>
      <c r="AQ28" s="9">
        <f>G28*$AQ$11</f>
        <v/>
      </c>
      <c r="AR28" s="30">
        <f>H28*$AQ$11</f>
        <v/>
      </c>
      <c r="AS28" s="30">
        <f>I28*$AQ$11</f>
        <v/>
      </c>
      <c r="AT28" s="30">
        <f>J28*$AQ$11</f>
        <v/>
      </c>
      <c r="AV28" s="15">
        <f>F28*$AW$11</f>
        <v/>
      </c>
      <c r="AW28" s="9">
        <f>G28*$AW$11</f>
        <v/>
      </c>
      <c r="AX28" s="30">
        <f>H28*$AW$11</f>
        <v/>
      </c>
      <c r="AY28" s="30">
        <f>I28*$AW$11</f>
        <v/>
      </c>
      <c r="AZ28" s="30">
        <f>J28*$AW$11</f>
        <v/>
      </c>
    </row>
    <row r="29">
      <c r="A29" s="8" t="n">
        <v>46082</v>
      </c>
      <c r="B29" s="33">
        <f>YEAR(A29)</f>
        <v/>
      </c>
      <c r="C29" s="33">
        <f>MONTH(A29)</f>
        <v/>
      </c>
      <c r="D29">
        <f>IF(A29&lt;=LastActual,"Actual","Forecast")</f>
        <v/>
      </c>
      <c r="E29" s="30">
        <f>IF($D29="Actual",R29,W29)</f>
        <v/>
      </c>
      <c r="F29" s="15">
        <f>IF($D29="Actual",S29,Cases_Forecast!AL22)</f>
        <v/>
      </c>
      <c r="G29" s="9">
        <f>IF($D29="Actual",T29,IFERROR(F29/K29,0))</f>
        <v/>
      </c>
      <c r="H29" s="30">
        <f>IF($D29="Actual",U29,G29*L29)</f>
        <v/>
      </c>
      <c r="I29" s="30">
        <f>IF($D29="Actual",V29,J29-H29)</f>
        <v/>
      </c>
      <c r="J29" s="30">
        <f>IF($D29="Actual",U29+V29,IFERROR(H29/(1-AD29),0))</f>
        <v/>
      </c>
      <c r="K29" s="10">
        <f>IF($D29="Actual",IFERROR(S29/T29,0),CPLH_Forecast!AL22)</f>
        <v/>
      </c>
      <c r="L29" s="34">
        <f>IF($D29="Actual",IFERROR(U29/T29,0),N(AE29))</f>
        <v/>
      </c>
      <c r="M29" s="35">
        <f>IFERROR(J29/F29,0)</f>
        <v/>
      </c>
      <c r="N29" s="36">
        <f>IFERROR(J29/E29,0)</f>
        <v/>
      </c>
      <c r="O29" s="36">
        <f>IFERROR(I29/J29,0)</f>
        <v/>
      </c>
      <c r="R29" s="52">
        <f>IF($D29="Actual",SUMIFS(Data_Actuals!$C$2:$C$5000,Data_Actuals!$A$2:$A$5000,$A29,Data_Actuals!$B$2:$B$5000,$B$2),"")</f>
        <v/>
      </c>
      <c r="S29" s="52">
        <f>IF($D29="Actual",SUMIFS(Data_Actuals!$D$2:$D$5000,Data_Actuals!$A$2:$A$5000,$A29,Data_Actuals!$B$2:$B$5000,$B$2),"")</f>
        <v/>
      </c>
      <c r="T29" s="52">
        <f>IF($D29="Actual",SUMIFS(Data_Actuals!$E$2:$E$5000,Data_Actuals!$A$2:$A$5000,$A29,Data_Actuals!$B$2:$B$5000,$B$2),"")</f>
        <v/>
      </c>
      <c r="U29" s="52">
        <f>IF($D29="Actual",SUMIFS(Data_Actuals!$F$2:$F$5000,Data_Actuals!$A$2:$A$5000,$A29,Data_Actuals!$B$2:$B$5000,$B$2),"")</f>
        <v/>
      </c>
      <c r="V29" s="52">
        <f>IF($D29="Actual",SUMIFS(Data_Actuals!$G$2:$G$5000,Data_Actuals!$A$2:$A$5000,$A29,Data_Actuals!$B$2:$B$5000,$B$2),"")</f>
        <v/>
      </c>
      <c r="W29" s="52">
        <f>SUMIFS(Plan_Inputs!$C$2:$C$5000,Plan_Inputs!$A$2:$A$5000,$A29,Plan_Inputs!$B$2:$B$5000,$B$2)</f>
        <v/>
      </c>
      <c r="X29" s="53">
        <f>IF($D29="Actual",IFERROR(S29/T29,""),X17)</f>
        <v/>
      </c>
      <c r="Y29" s="52">
        <f>E29</f>
        <v/>
      </c>
      <c r="Z29" s="54">
        <f>INDEX(Calendar!$H$5:$L$52,MATCH($A29,Calendar!$A$5:$A$52,0),MATCH($D$2,Calendar!$H$4:$L$4,0))</f>
        <v/>
      </c>
      <c r="AA29" s="54">
        <f>INDEX(Calendar!$M$5:$M$52,MATCH($A29,Calendar!$A$5:$A$52,0))</f>
        <v/>
      </c>
      <c r="AB29" s="55">
        <f>IF($D29="Actual",IFERROR(S29/Y29,""),AB17)</f>
        <v/>
      </c>
      <c r="AC29" s="56">
        <f>IF($D29="Actual",IFERROR(U29/T29/Z29/AA29,""),AC17)</f>
        <v/>
      </c>
      <c r="AD29" s="57">
        <f>IF($D29="Actual",IFERROR(V29/(U29+V29),""),$K$2)</f>
        <v/>
      </c>
      <c r="AE29" s="56">
        <f>IFERROR(AC29*Z29*AA29,"")</f>
        <v/>
      </c>
      <c r="AF29" s="53">
        <f>K17</f>
        <v/>
      </c>
      <c r="AG29" s="57">
        <f>IF($D29="Forecast",IFERROR(K29/AF29-1,""),"")</f>
        <v/>
      </c>
      <c r="AH29" s="53">
        <f>IF(CPLHSource="National breakdown",CPLH_Breakdown!AM34,SUMIFS(Plan_Inputs!$D$2:$D$5000,Plan_Inputs!$A$2:$A$5000,$A29,Plan_Inputs!$B$2:$B$5000,$B$2))</f>
        <v/>
      </c>
      <c r="AJ29" s="15">
        <f>F29*$AK$11</f>
        <v/>
      </c>
      <c r="AK29" s="9">
        <f>G29*$AK$11</f>
        <v/>
      </c>
      <c r="AL29" s="30">
        <f>H29*$AK$11</f>
        <v/>
      </c>
      <c r="AM29" s="30">
        <f>I29*$AK$11</f>
        <v/>
      </c>
      <c r="AN29" s="30">
        <f>J29*$AK$11</f>
        <v/>
      </c>
      <c r="AP29" s="15">
        <f>F29*$AQ$11</f>
        <v/>
      </c>
      <c r="AQ29" s="9">
        <f>G29*$AQ$11</f>
        <v/>
      </c>
      <c r="AR29" s="30">
        <f>H29*$AQ$11</f>
        <v/>
      </c>
      <c r="AS29" s="30">
        <f>I29*$AQ$11</f>
        <v/>
      </c>
      <c r="AT29" s="30">
        <f>J29*$AQ$11</f>
        <v/>
      </c>
      <c r="AV29" s="15">
        <f>F29*$AW$11</f>
        <v/>
      </c>
      <c r="AW29" s="9">
        <f>G29*$AW$11</f>
        <v/>
      </c>
      <c r="AX29" s="30">
        <f>H29*$AW$11</f>
        <v/>
      </c>
      <c r="AY29" s="30">
        <f>I29*$AW$11</f>
        <v/>
      </c>
      <c r="AZ29" s="30">
        <f>J29*$AW$11</f>
        <v/>
      </c>
    </row>
    <row r="30">
      <c r="A30" s="8" t="n">
        <v>46113</v>
      </c>
      <c r="B30" s="33">
        <f>YEAR(A30)</f>
        <v/>
      </c>
      <c r="C30" s="33">
        <f>MONTH(A30)</f>
        <v/>
      </c>
      <c r="D30">
        <f>IF(A30&lt;=LastActual,"Actual","Forecast")</f>
        <v/>
      </c>
      <c r="E30" s="30">
        <f>IF($D30="Actual",R30,W30)</f>
        <v/>
      </c>
      <c r="F30" s="15">
        <f>IF($D30="Actual",S30,Cases_Forecast!AL23)</f>
        <v/>
      </c>
      <c r="G30" s="9">
        <f>IF($D30="Actual",T30,IFERROR(F30/K30,0))</f>
        <v/>
      </c>
      <c r="H30" s="30">
        <f>IF($D30="Actual",U30,G30*L30)</f>
        <v/>
      </c>
      <c r="I30" s="30">
        <f>IF($D30="Actual",V30,J30-H30)</f>
        <v/>
      </c>
      <c r="J30" s="30">
        <f>IF($D30="Actual",U30+V30,IFERROR(H30/(1-AD30),0))</f>
        <v/>
      </c>
      <c r="K30" s="10">
        <f>IF($D30="Actual",IFERROR(S30/T30,0),CPLH_Forecast!AL23)</f>
        <v/>
      </c>
      <c r="L30" s="34">
        <f>IF($D30="Actual",IFERROR(U30/T30,0),N(AE30))</f>
        <v/>
      </c>
      <c r="M30" s="35">
        <f>IFERROR(J30/F30,0)</f>
        <v/>
      </c>
      <c r="N30" s="36">
        <f>IFERROR(J30/E30,0)</f>
        <v/>
      </c>
      <c r="O30" s="36">
        <f>IFERROR(I30/J30,0)</f>
        <v/>
      </c>
      <c r="R30" s="52">
        <f>IF($D30="Actual",SUMIFS(Data_Actuals!$C$2:$C$5000,Data_Actuals!$A$2:$A$5000,$A30,Data_Actuals!$B$2:$B$5000,$B$2),"")</f>
        <v/>
      </c>
      <c r="S30" s="52">
        <f>IF($D30="Actual",SUMIFS(Data_Actuals!$D$2:$D$5000,Data_Actuals!$A$2:$A$5000,$A30,Data_Actuals!$B$2:$B$5000,$B$2),"")</f>
        <v/>
      </c>
      <c r="T30" s="52">
        <f>IF($D30="Actual",SUMIFS(Data_Actuals!$E$2:$E$5000,Data_Actuals!$A$2:$A$5000,$A30,Data_Actuals!$B$2:$B$5000,$B$2),"")</f>
        <v/>
      </c>
      <c r="U30" s="52">
        <f>IF($D30="Actual",SUMIFS(Data_Actuals!$F$2:$F$5000,Data_Actuals!$A$2:$A$5000,$A30,Data_Actuals!$B$2:$B$5000,$B$2),"")</f>
        <v/>
      </c>
      <c r="V30" s="52">
        <f>IF($D30="Actual",SUMIFS(Data_Actuals!$G$2:$G$5000,Data_Actuals!$A$2:$A$5000,$A30,Data_Actuals!$B$2:$B$5000,$B$2),"")</f>
        <v/>
      </c>
      <c r="W30" s="52">
        <f>SUMIFS(Plan_Inputs!$C$2:$C$5000,Plan_Inputs!$A$2:$A$5000,$A30,Plan_Inputs!$B$2:$B$5000,$B$2)</f>
        <v/>
      </c>
      <c r="X30" s="53">
        <f>IF($D30="Actual",IFERROR(S30/T30,""),X18)</f>
        <v/>
      </c>
      <c r="Y30" s="52">
        <f>E30</f>
        <v/>
      </c>
      <c r="Z30" s="54">
        <f>INDEX(Calendar!$H$5:$L$52,MATCH($A30,Calendar!$A$5:$A$52,0),MATCH($D$2,Calendar!$H$4:$L$4,0))</f>
        <v/>
      </c>
      <c r="AA30" s="54">
        <f>INDEX(Calendar!$M$5:$M$52,MATCH($A30,Calendar!$A$5:$A$52,0))</f>
        <v/>
      </c>
      <c r="AB30" s="55">
        <f>IF($D30="Actual",IFERROR(S30/Y30,""),AB18)</f>
        <v/>
      </c>
      <c r="AC30" s="56">
        <f>IF($D30="Actual",IFERROR(U30/T30/Z30/AA30,""),AC18)</f>
        <v/>
      </c>
      <c r="AD30" s="57">
        <f>IF($D30="Actual",IFERROR(V30/(U30+V30),""),$K$2)</f>
        <v/>
      </c>
      <c r="AE30" s="56">
        <f>IFERROR(AC30*Z30*AA30,"")</f>
        <v/>
      </c>
      <c r="AF30" s="53">
        <f>K18</f>
        <v/>
      </c>
      <c r="AG30" s="57">
        <f>IF($D30="Forecast",IFERROR(K30/AF30-1,""),"")</f>
        <v/>
      </c>
      <c r="AH30" s="53">
        <f>IF(CPLHSource="National breakdown",CPLH_Breakdown!AM35,SUMIFS(Plan_Inputs!$D$2:$D$5000,Plan_Inputs!$A$2:$A$5000,$A30,Plan_Inputs!$B$2:$B$5000,$B$2))</f>
        <v/>
      </c>
      <c r="AJ30" s="15">
        <f>F30*$AK$11</f>
        <v/>
      </c>
      <c r="AK30" s="9">
        <f>G30*$AK$11</f>
        <v/>
      </c>
      <c r="AL30" s="30">
        <f>H30*$AK$11</f>
        <v/>
      </c>
      <c r="AM30" s="30">
        <f>I30*$AK$11</f>
        <v/>
      </c>
      <c r="AN30" s="30">
        <f>J30*$AK$11</f>
        <v/>
      </c>
      <c r="AP30" s="15">
        <f>F30*$AQ$11</f>
        <v/>
      </c>
      <c r="AQ30" s="9">
        <f>G30*$AQ$11</f>
        <v/>
      </c>
      <c r="AR30" s="30">
        <f>H30*$AQ$11</f>
        <v/>
      </c>
      <c r="AS30" s="30">
        <f>I30*$AQ$11</f>
        <v/>
      </c>
      <c r="AT30" s="30">
        <f>J30*$AQ$11</f>
        <v/>
      </c>
      <c r="AV30" s="15">
        <f>F30*$AW$11</f>
        <v/>
      </c>
      <c r="AW30" s="9">
        <f>G30*$AW$11</f>
        <v/>
      </c>
      <c r="AX30" s="30">
        <f>H30*$AW$11</f>
        <v/>
      </c>
      <c r="AY30" s="30">
        <f>I30*$AW$11</f>
        <v/>
      </c>
      <c r="AZ30" s="30">
        <f>J30*$AW$11</f>
        <v/>
      </c>
    </row>
    <row r="31">
      <c r="A31" s="8" t="n">
        <v>46143</v>
      </c>
      <c r="B31" s="33">
        <f>YEAR(A31)</f>
        <v/>
      </c>
      <c r="C31" s="33">
        <f>MONTH(A31)</f>
        <v/>
      </c>
      <c r="D31">
        <f>IF(A31&lt;=LastActual,"Actual","Forecast")</f>
        <v/>
      </c>
      <c r="E31" s="30">
        <f>IF($D31="Actual",R31,W31)</f>
        <v/>
      </c>
      <c r="F31" s="15">
        <f>IF($D31="Actual",S31,Cases_Forecast!AL24)</f>
        <v/>
      </c>
      <c r="G31" s="9">
        <f>IF($D31="Actual",T31,IFERROR(F31/K31,0))</f>
        <v/>
      </c>
      <c r="H31" s="30">
        <f>IF($D31="Actual",U31,G31*L31)</f>
        <v/>
      </c>
      <c r="I31" s="30">
        <f>IF($D31="Actual",V31,J31-H31)</f>
        <v/>
      </c>
      <c r="J31" s="30">
        <f>IF($D31="Actual",U31+V31,IFERROR(H31/(1-AD31),0))</f>
        <v/>
      </c>
      <c r="K31" s="10">
        <f>IF($D31="Actual",IFERROR(S31/T31,0),CPLH_Forecast!AL24)</f>
        <v/>
      </c>
      <c r="L31" s="34">
        <f>IF($D31="Actual",IFERROR(U31/T31,0),N(AE31))</f>
        <v/>
      </c>
      <c r="M31" s="35">
        <f>IFERROR(J31/F31,0)</f>
        <v/>
      </c>
      <c r="N31" s="36">
        <f>IFERROR(J31/E31,0)</f>
        <v/>
      </c>
      <c r="O31" s="36">
        <f>IFERROR(I31/J31,0)</f>
        <v/>
      </c>
      <c r="R31" s="52">
        <f>IF($D31="Actual",SUMIFS(Data_Actuals!$C$2:$C$5000,Data_Actuals!$A$2:$A$5000,$A31,Data_Actuals!$B$2:$B$5000,$B$2),"")</f>
        <v/>
      </c>
      <c r="S31" s="52">
        <f>IF($D31="Actual",SUMIFS(Data_Actuals!$D$2:$D$5000,Data_Actuals!$A$2:$A$5000,$A31,Data_Actuals!$B$2:$B$5000,$B$2),"")</f>
        <v/>
      </c>
      <c r="T31" s="52">
        <f>IF($D31="Actual",SUMIFS(Data_Actuals!$E$2:$E$5000,Data_Actuals!$A$2:$A$5000,$A31,Data_Actuals!$B$2:$B$5000,$B$2),"")</f>
        <v/>
      </c>
      <c r="U31" s="52">
        <f>IF($D31="Actual",SUMIFS(Data_Actuals!$F$2:$F$5000,Data_Actuals!$A$2:$A$5000,$A31,Data_Actuals!$B$2:$B$5000,$B$2),"")</f>
        <v/>
      </c>
      <c r="V31" s="52">
        <f>IF($D31="Actual",SUMIFS(Data_Actuals!$G$2:$G$5000,Data_Actuals!$A$2:$A$5000,$A31,Data_Actuals!$B$2:$B$5000,$B$2),"")</f>
        <v/>
      </c>
      <c r="W31" s="52">
        <f>SUMIFS(Plan_Inputs!$C$2:$C$5000,Plan_Inputs!$A$2:$A$5000,$A31,Plan_Inputs!$B$2:$B$5000,$B$2)</f>
        <v/>
      </c>
      <c r="X31" s="53">
        <f>IF($D31="Actual",IFERROR(S31/T31,""),X19)</f>
        <v/>
      </c>
      <c r="Y31" s="52">
        <f>E31</f>
        <v/>
      </c>
      <c r="Z31" s="54">
        <f>INDEX(Calendar!$H$5:$L$52,MATCH($A31,Calendar!$A$5:$A$52,0),MATCH($D$2,Calendar!$H$4:$L$4,0))</f>
        <v/>
      </c>
      <c r="AA31" s="54">
        <f>INDEX(Calendar!$M$5:$M$52,MATCH($A31,Calendar!$A$5:$A$52,0))</f>
        <v/>
      </c>
      <c r="AB31" s="55">
        <f>IF($D31="Actual",IFERROR(S31/Y31,""),AB19)</f>
        <v/>
      </c>
      <c r="AC31" s="56">
        <f>IF($D31="Actual",IFERROR(U31/T31/Z31/AA31,""),AC19)</f>
        <v/>
      </c>
      <c r="AD31" s="57">
        <f>IF($D31="Actual",IFERROR(V31/(U31+V31),""),$K$2)</f>
        <v/>
      </c>
      <c r="AE31" s="56">
        <f>IFERROR(AC31*Z31*AA31,"")</f>
        <v/>
      </c>
      <c r="AF31" s="53">
        <f>K19</f>
        <v/>
      </c>
      <c r="AG31" s="57">
        <f>IF($D31="Forecast",IFERROR(K31/AF31-1,""),"")</f>
        <v/>
      </c>
      <c r="AH31" s="53">
        <f>IF(CPLHSource="National breakdown",CPLH_Breakdown!AM36,SUMIFS(Plan_Inputs!$D$2:$D$5000,Plan_Inputs!$A$2:$A$5000,$A31,Plan_Inputs!$B$2:$B$5000,$B$2))</f>
        <v/>
      </c>
      <c r="AJ31" s="15">
        <f>F31*$AK$11</f>
        <v/>
      </c>
      <c r="AK31" s="9">
        <f>G31*$AK$11</f>
        <v/>
      </c>
      <c r="AL31" s="30">
        <f>H31*$AK$11</f>
        <v/>
      </c>
      <c r="AM31" s="30">
        <f>I31*$AK$11</f>
        <v/>
      </c>
      <c r="AN31" s="30">
        <f>J31*$AK$11</f>
        <v/>
      </c>
      <c r="AP31" s="15">
        <f>F31*$AQ$11</f>
        <v/>
      </c>
      <c r="AQ31" s="9">
        <f>G31*$AQ$11</f>
        <v/>
      </c>
      <c r="AR31" s="30">
        <f>H31*$AQ$11</f>
        <v/>
      </c>
      <c r="AS31" s="30">
        <f>I31*$AQ$11</f>
        <v/>
      </c>
      <c r="AT31" s="30">
        <f>J31*$AQ$11</f>
        <v/>
      </c>
      <c r="AV31" s="15">
        <f>F31*$AW$11</f>
        <v/>
      </c>
      <c r="AW31" s="9">
        <f>G31*$AW$11</f>
        <v/>
      </c>
      <c r="AX31" s="30">
        <f>H31*$AW$11</f>
        <v/>
      </c>
      <c r="AY31" s="30">
        <f>I31*$AW$11</f>
        <v/>
      </c>
      <c r="AZ31" s="30">
        <f>J31*$AW$11</f>
        <v/>
      </c>
    </row>
    <row r="32">
      <c r="A32" s="8" t="n">
        <v>46174</v>
      </c>
      <c r="B32" s="33">
        <f>YEAR(A32)</f>
        <v/>
      </c>
      <c r="C32" s="33">
        <f>MONTH(A32)</f>
        <v/>
      </c>
      <c r="D32">
        <f>IF(A32&lt;=LastActual,"Actual","Forecast")</f>
        <v/>
      </c>
      <c r="E32" s="30">
        <f>IF($D32="Actual",R32,W32)</f>
        <v/>
      </c>
      <c r="F32" s="15">
        <f>IF($D32="Actual",S32,Cases_Forecast!AL25)</f>
        <v/>
      </c>
      <c r="G32" s="9">
        <f>IF($D32="Actual",T32,IFERROR(F32/K32,0))</f>
        <v/>
      </c>
      <c r="H32" s="30">
        <f>IF($D32="Actual",U32,G32*L32)</f>
        <v/>
      </c>
      <c r="I32" s="30">
        <f>IF($D32="Actual",V32,J32-H32)</f>
        <v/>
      </c>
      <c r="J32" s="30">
        <f>IF($D32="Actual",U32+V32,IFERROR(H32/(1-AD32),0))</f>
        <v/>
      </c>
      <c r="K32" s="10">
        <f>IF($D32="Actual",IFERROR(S32/T32,0),CPLH_Forecast!AL25)</f>
        <v/>
      </c>
      <c r="L32" s="34">
        <f>IF($D32="Actual",IFERROR(U32/T32,0),N(AE32))</f>
        <v/>
      </c>
      <c r="M32" s="35">
        <f>IFERROR(J32/F32,0)</f>
        <v/>
      </c>
      <c r="N32" s="36">
        <f>IFERROR(J32/E32,0)</f>
        <v/>
      </c>
      <c r="O32" s="36">
        <f>IFERROR(I32/J32,0)</f>
        <v/>
      </c>
      <c r="R32" s="52">
        <f>IF($D32="Actual",SUMIFS(Data_Actuals!$C$2:$C$5000,Data_Actuals!$A$2:$A$5000,$A32,Data_Actuals!$B$2:$B$5000,$B$2),"")</f>
        <v/>
      </c>
      <c r="S32" s="52">
        <f>IF($D32="Actual",SUMIFS(Data_Actuals!$D$2:$D$5000,Data_Actuals!$A$2:$A$5000,$A32,Data_Actuals!$B$2:$B$5000,$B$2),"")</f>
        <v/>
      </c>
      <c r="T32" s="52">
        <f>IF($D32="Actual",SUMIFS(Data_Actuals!$E$2:$E$5000,Data_Actuals!$A$2:$A$5000,$A32,Data_Actuals!$B$2:$B$5000,$B$2),"")</f>
        <v/>
      </c>
      <c r="U32" s="52">
        <f>IF($D32="Actual",SUMIFS(Data_Actuals!$F$2:$F$5000,Data_Actuals!$A$2:$A$5000,$A32,Data_Actuals!$B$2:$B$5000,$B$2),"")</f>
        <v/>
      </c>
      <c r="V32" s="52">
        <f>IF($D32="Actual",SUMIFS(Data_Actuals!$G$2:$G$5000,Data_Actuals!$A$2:$A$5000,$A32,Data_Actuals!$B$2:$B$5000,$B$2),"")</f>
        <v/>
      </c>
      <c r="W32" s="52">
        <f>SUMIFS(Plan_Inputs!$C$2:$C$5000,Plan_Inputs!$A$2:$A$5000,$A32,Plan_Inputs!$B$2:$B$5000,$B$2)</f>
        <v/>
      </c>
      <c r="X32" s="53">
        <f>IF($D32="Actual",IFERROR(S32/T32,""),X20)</f>
        <v/>
      </c>
      <c r="Y32" s="52">
        <f>E32</f>
        <v/>
      </c>
      <c r="Z32" s="54">
        <f>INDEX(Calendar!$H$5:$L$52,MATCH($A32,Calendar!$A$5:$A$52,0),MATCH($D$2,Calendar!$H$4:$L$4,0))</f>
        <v/>
      </c>
      <c r="AA32" s="54">
        <f>INDEX(Calendar!$M$5:$M$52,MATCH($A32,Calendar!$A$5:$A$52,0))</f>
        <v/>
      </c>
      <c r="AB32" s="55">
        <f>IF($D32="Actual",IFERROR(S32/Y32,""),AB20)</f>
        <v/>
      </c>
      <c r="AC32" s="56">
        <f>IF($D32="Actual",IFERROR(U32/T32/Z32/AA32,""),AC20)</f>
        <v/>
      </c>
      <c r="AD32" s="57">
        <f>IF($D32="Actual",IFERROR(V32/(U32+V32),""),$K$2)</f>
        <v/>
      </c>
      <c r="AE32" s="56">
        <f>IFERROR(AC32*Z32*AA32,"")</f>
        <v/>
      </c>
      <c r="AF32" s="53">
        <f>K20</f>
        <v/>
      </c>
      <c r="AG32" s="57">
        <f>IF($D32="Forecast",IFERROR(K32/AF32-1,""),"")</f>
        <v/>
      </c>
      <c r="AH32" s="53">
        <f>IF(CPLHSource="National breakdown",CPLH_Breakdown!AM37,SUMIFS(Plan_Inputs!$D$2:$D$5000,Plan_Inputs!$A$2:$A$5000,$A32,Plan_Inputs!$B$2:$B$5000,$B$2))</f>
        <v/>
      </c>
      <c r="AJ32" s="15">
        <f>F32*$AK$11</f>
        <v/>
      </c>
      <c r="AK32" s="9">
        <f>G32*$AK$11</f>
        <v/>
      </c>
      <c r="AL32" s="30">
        <f>H32*$AK$11</f>
        <v/>
      </c>
      <c r="AM32" s="30">
        <f>I32*$AK$11</f>
        <v/>
      </c>
      <c r="AN32" s="30">
        <f>J32*$AK$11</f>
        <v/>
      </c>
      <c r="AP32" s="15">
        <f>F32*$AQ$11</f>
        <v/>
      </c>
      <c r="AQ32" s="9">
        <f>G32*$AQ$11</f>
        <v/>
      </c>
      <c r="AR32" s="30">
        <f>H32*$AQ$11</f>
        <v/>
      </c>
      <c r="AS32" s="30">
        <f>I32*$AQ$11</f>
        <v/>
      </c>
      <c r="AT32" s="30">
        <f>J32*$AQ$11</f>
        <v/>
      </c>
      <c r="AV32" s="15">
        <f>F32*$AW$11</f>
        <v/>
      </c>
      <c r="AW32" s="9">
        <f>G32*$AW$11</f>
        <v/>
      </c>
      <c r="AX32" s="30">
        <f>H32*$AW$11</f>
        <v/>
      </c>
      <c r="AY32" s="30">
        <f>I32*$AW$11</f>
        <v/>
      </c>
      <c r="AZ32" s="30">
        <f>J32*$AW$11</f>
        <v/>
      </c>
    </row>
    <row r="33">
      <c r="A33" s="8" t="n">
        <v>46204</v>
      </c>
      <c r="B33" s="33">
        <f>YEAR(A33)</f>
        <v/>
      </c>
      <c r="C33" s="33">
        <f>MONTH(A33)</f>
        <v/>
      </c>
      <c r="D33">
        <f>IF(A33&lt;=LastActual,"Actual","Forecast")</f>
        <v/>
      </c>
      <c r="E33" s="30">
        <f>IF($D33="Actual",R33,W33)</f>
        <v/>
      </c>
      <c r="F33" s="15">
        <f>IF($D33="Actual",S33,Cases_Forecast!AL26)</f>
        <v/>
      </c>
      <c r="G33" s="9">
        <f>IF($D33="Actual",T33,IFERROR(F33/K33,0))</f>
        <v/>
      </c>
      <c r="H33" s="30">
        <f>IF($D33="Actual",U33,G33*L33)</f>
        <v/>
      </c>
      <c r="I33" s="30">
        <f>IF($D33="Actual",V33,J33-H33)</f>
        <v/>
      </c>
      <c r="J33" s="30">
        <f>IF($D33="Actual",U33+V33,IFERROR(H33/(1-AD33),0))</f>
        <v/>
      </c>
      <c r="K33" s="10">
        <f>IF($D33="Actual",IFERROR(S33/T33,0),CPLH_Forecast!AL26)</f>
        <v/>
      </c>
      <c r="L33" s="34">
        <f>IF($D33="Actual",IFERROR(U33/T33,0),N(AE33))</f>
        <v/>
      </c>
      <c r="M33" s="35">
        <f>IFERROR(J33/F33,0)</f>
        <v/>
      </c>
      <c r="N33" s="36">
        <f>IFERROR(J33/E33,0)</f>
        <v/>
      </c>
      <c r="O33" s="36">
        <f>IFERROR(I33/J33,0)</f>
        <v/>
      </c>
      <c r="R33" s="52">
        <f>IF($D33="Actual",SUMIFS(Data_Actuals!$C$2:$C$5000,Data_Actuals!$A$2:$A$5000,$A33,Data_Actuals!$B$2:$B$5000,$B$2),"")</f>
        <v/>
      </c>
      <c r="S33" s="52">
        <f>IF($D33="Actual",SUMIFS(Data_Actuals!$D$2:$D$5000,Data_Actuals!$A$2:$A$5000,$A33,Data_Actuals!$B$2:$B$5000,$B$2),"")</f>
        <v/>
      </c>
      <c r="T33" s="52">
        <f>IF($D33="Actual",SUMIFS(Data_Actuals!$E$2:$E$5000,Data_Actuals!$A$2:$A$5000,$A33,Data_Actuals!$B$2:$B$5000,$B$2),"")</f>
        <v/>
      </c>
      <c r="U33" s="52">
        <f>IF($D33="Actual",SUMIFS(Data_Actuals!$F$2:$F$5000,Data_Actuals!$A$2:$A$5000,$A33,Data_Actuals!$B$2:$B$5000,$B$2),"")</f>
        <v/>
      </c>
      <c r="V33" s="52">
        <f>IF($D33="Actual",SUMIFS(Data_Actuals!$G$2:$G$5000,Data_Actuals!$A$2:$A$5000,$A33,Data_Actuals!$B$2:$B$5000,$B$2),"")</f>
        <v/>
      </c>
      <c r="W33" s="52">
        <f>SUMIFS(Plan_Inputs!$C$2:$C$5000,Plan_Inputs!$A$2:$A$5000,$A33,Plan_Inputs!$B$2:$B$5000,$B$2)</f>
        <v/>
      </c>
      <c r="X33" s="53">
        <f>IF($D33="Actual",IFERROR(S33/T33,""),X21)</f>
        <v/>
      </c>
      <c r="Y33" s="52">
        <f>E33</f>
        <v/>
      </c>
      <c r="Z33" s="54">
        <f>INDEX(Calendar!$H$5:$L$52,MATCH($A33,Calendar!$A$5:$A$52,0),MATCH($D$2,Calendar!$H$4:$L$4,0))</f>
        <v/>
      </c>
      <c r="AA33" s="54">
        <f>INDEX(Calendar!$M$5:$M$52,MATCH($A33,Calendar!$A$5:$A$52,0))</f>
        <v/>
      </c>
      <c r="AB33" s="55">
        <f>IF($D33="Actual",IFERROR(S33/Y33,""),AB21)</f>
        <v/>
      </c>
      <c r="AC33" s="56">
        <f>IF($D33="Actual",IFERROR(U33/T33/Z33/AA33,""),AC21)</f>
        <v/>
      </c>
      <c r="AD33" s="57">
        <f>IF($D33="Actual",IFERROR(V33/(U33+V33),""),$K$2)</f>
        <v/>
      </c>
      <c r="AE33" s="56">
        <f>IFERROR(AC33*Z33*AA33,"")</f>
        <v/>
      </c>
      <c r="AF33" s="53">
        <f>K21</f>
        <v/>
      </c>
      <c r="AG33" s="57">
        <f>IF($D33="Forecast",IFERROR(K33/AF33-1,""),"")</f>
        <v/>
      </c>
      <c r="AH33" s="53">
        <f>IF(CPLHSource="National breakdown",CPLH_Breakdown!AM38,SUMIFS(Plan_Inputs!$D$2:$D$5000,Plan_Inputs!$A$2:$A$5000,$A33,Plan_Inputs!$B$2:$B$5000,$B$2))</f>
        <v/>
      </c>
      <c r="AJ33" s="15">
        <f>F33*$AK$11</f>
        <v/>
      </c>
      <c r="AK33" s="9">
        <f>G33*$AK$11</f>
        <v/>
      </c>
      <c r="AL33" s="30">
        <f>H33*$AK$11</f>
        <v/>
      </c>
      <c r="AM33" s="30">
        <f>I33*$AK$11</f>
        <v/>
      </c>
      <c r="AN33" s="30">
        <f>J33*$AK$11</f>
        <v/>
      </c>
      <c r="AP33" s="15">
        <f>F33*$AQ$11</f>
        <v/>
      </c>
      <c r="AQ33" s="9">
        <f>G33*$AQ$11</f>
        <v/>
      </c>
      <c r="AR33" s="30">
        <f>H33*$AQ$11</f>
        <v/>
      </c>
      <c r="AS33" s="30">
        <f>I33*$AQ$11</f>
        <v/>
      </c>
      <c r="AT33" s="30">
        <f>J33*$AQ$11</f>
        <v/>
      </c>
      <c r="AV33" s="15">
        <f>F33*$AW$11</f>
        <v/>
      </c>
      <c r="AW33" s="9">
        <f>G33*$AW$11</f>
        <v/>
      </c>
      <c r="AX33" s="30">
        <f>H33*$AW$11</f>
        <v/>
      </c>
      <c r="AY33" s="30">
        <f>I33*$AW$11</f>
        <v/>
      </c>
      <c r="AZ33" s="30">
        <f>J33*$AW$11</f>
        <v/>
      </c>
    </row>
    <row r="34">
      <c r="A34" s="8" t="n">
        <v>46235</v>
      </c>
      <c r="B34" s="33">
        <f>YEAR(A34)</f>
        <v/>
      </c>
      <c r="C34" s="33">
        <f>MONTH(A34)</f>
        <v/>
      </c>
      <c r="D34">
        <f>IF(A34&lt;=LastActual,"Actual","Forecast")</f>
        <v/>
      </c>
      <c r="E34" s="30">
        <f>IF($D34="Actual",R34,W34)</f>
        <v/>
      </c>
      <c r="F34" s="15">
        <f>IF($D34="Actual",S34,Cases_Forecast!AL27)</f>
        <v/>
      </c>
      <c r="G34" s="9">
        <f>IF($D34="Actual",T34,IFERROR(F34/K34,0))</f>
        <v/>
      </c>
      <c r="H34" s="30">
        <f>IF($D34="Actual",U34,G34*L34)</f>
        <v/>
      </c>
      <c r="I34" s="30">
        <f>IF($D34="Actual",V34,J34-H34)</f>
        <v/>
      </c>
      <c r="J34" s="30">
        <f>IF($D34="Actual",U34+V34,IFERROR(H34/(1-AD34),0))</f>
        <v/>
      </c>
      <c r="K34" s="10">
        <f>IF($D34="Actual",IFERROR(S34/T34,0),CPLH_Forecast!AL27)</f>
        <v/>
      </c>
      <c r="L34" s="34">
        <f>IF($D34="Actual",IFERROR(U34/T34,0),N(AE34))</f>
        <v/>
      </c>
      <c r="M34" s="35">
        <f>IFERROR(J34/F34,0)</f>
        <v/>
      </c>
      <c r="N34" s="36">
        <f>IFERROR(J34/E34,0)</f>
        <v/>
      </c>
      <c r="O34" s="36">
        <f>IFERROR(I34/J34,0)</f>
        <v/>
      </c>
      <c r="R34" s="52">
        <f>IF($D34="Actual",SUMIFS(Data_Actuals!$C$2:$C$5000,Data_Actuals!$A$2:$A$5000,$A34,Data_Actuals!$B$2:$B$5000,$B$2),"")</f>
        <v/>
      </c>
      <c r="S34" s="52">
        <f>IF($D34="Actual",SUMIFS(Data_Actuals!$D$2:$D$5000,Data_Actuals!$A$2:$A$5000,$A34,Data_Actuals!$B$2:$B$5000,$B$2),"")</f>
        <v/>
      </c>
      <c r="T34" s="52">
        <f>IF($D34="Actual",SUMIFS(Data_Actuals!$E$2:$E$5000,Data_Actuals!$A$2:$A$5000,$A34,Data_Actuals!$B$2:$B$5000,$B$2),"")</f>
        <v/>
      </c>
      <c r="U34" s="52">
        <f>IF($D34="Actual",SUMIFS(Data_Actuals!$F$2:$F$5000,Data_Actuals!$A$2:$A$5000,$A34,Data_Actuals!$B$2:$B$5000,$B$2),"")</f>
        <v/>
      </c>
      <c r="V34" s="52">
        <f>IF($D34="Actual",SUMIFS(Data_Actuals!$G$2:$G$5000,Data_Actuals!$A$2:$A$5000,$A34,Data_Actuals!$B$2:$B$5000,$B$2),"")</f>
        <v/>
      </c>
      <c r="W34" s="52">
        <f>SUMIFS(Plan_Inputs!$C$2:$C$5000,Plan_Inputs!$A$2:$A$5000,$A34,Plan_Inputs!$B$2:$B$5000,$B$2)</f>
        <v/>
      </c>
      <c r="X34" s="53">
        <f>IF($D34="Actual",IFERROR(S34/T34,""),X22)</f>
        <v/>
      </c>
      <c r="Y34" s="52">
        <f>E34</f>
        <v/>
      </c>
      <c r="Z34" s="54">
        <f>INDEX(Calendar!$H$5:$L$52,MATCH($A34,Calendar!$A$5:$A$52,0),MATCH($D$2,Calendar!$H$4:$L$4,0))</f>
        <v/>
      </c>
      <c r="AA34" s="54">
        <f>INDEX(Calendar!$M$5:$M$52,MATCH($A34,Calendar!$A$5:$A$52,0))</f>
        <v/>
      </c>
      <c r="AB34" s="55">
        <f>IF($D34="Actual",IFERROR(S34/Y34,""),AB22)</f>
        <v/>
      </c>
      <c r="AC34" s="56">
        <f>IF($D34="Actual",IFERROR(U34/T34/Z34/AA34,""),AC22)</f>
        <v/>
      </c>
      <c r="AD34" s="57">
        <f>IF($D34="Actual",IFERROR(V34/(U34+V34),""),$K$2)</f>
        <v/>
      </c>
      <c r="AE34" s="56">
        <f>IFERROR(AC34*Z34*AA34,"")</f>
        <v/>
      </c>
      <c r="AF34" s="53">
        <f>K22</f>
        <v/>
      </c>
      <c r="AG34" s="57">
        <f>IF($D34="Forecast",IFERROR(K34/AF34-1,""),"")</f>
        <v/>
      </c>
      <c r="AH34" s="53">
        <f>IF(CPLHSource="National breakdown",CPLH_Breakdown!AM39,SUMIFS(Plan_Inputs!$D$2:$D$5000,Plan_Inputs!$A$2:$A$5000,$A34,Plan_Inputs!$B$2:$B$5000,$B$2))</f>
        <v/>
      </c>
      <c r="AJ34" s="15">
        <f>F34*$AK$11</f>
        <v/>
      </c>
      <c r="AK34" s="9">
        <f>G34*$AK$11</f>
        <v/>
      </c>
      <c r="AL34" s="30">
        <f>H34*$AK$11</f>
        <v/>
      </c>
      <c r="AM34" s="30">
        <f>I34*$AK$11</f>
        <v/>
      </c>
      <c r="AN34" s="30">
        <f>J34*$AK$11</f>
        <v/>
      </c>
      <c r="AP34" s="15">
        <f>F34*$AQ$11</f>
        <v/>
      </c>
      <c r="AQ34" s="9">
        <f>G34*$AQ$11</f>
        <v/>
      </c>
      <c r="AR34" s="30">
        <f>H34*$AQ$11</f>
        <v/>
      </c>
      <c r="AS34" s="30">
        <f>I34*$AQ$11</f>
        <v/>
      </c>
      <c r="AT34" s="30">
        <f>J34*$AQ$11</f>
        <v/>
      </c>
      <c r="AV34" s="15">
        <f>F34*$AW$11</f>
        <v/>
      </c>
      <c r="AW34" s="9">
        <f>G34*$AW$11</f>
        <v/>
      </c>
      <c r="AX34" s="30">
        <f>H34*$AW$11</f>
        <v/>
      </c>
      <c r="AY34" s="30">
        <f>I34*$AW$11</f>
        <v/>
      </c>
      <c r="AZ34" s="30">
        <f>J34*$AW$11</f>
        <v/>
      </c>
    </row>
    <row r="35">
      <c r="A35" s="8" t="n">
        <v>46266</v>
      </c>
      <c r="B35" s="33">
        <f>YEAR(A35)</f>
        <v/>
      </c>
      <c r="C35" s="33">
        <f>MONTH(A35)</f>
        <v/>
      </c>
      <c r="D35">
        <f>IF(A35&lt;=LastActual,"Actual","Forecast")</f>
        <v/>
      </c>
      <c r="E35" s="30">
        <f>IF($D35="Actual",R35,W35)</f>
        <v/>
      </c>
      <c r="F35" s="15">
        <f>IF($D35="Actual",S35,Cases_Forecast!AL28)</f>
        <v/>
      </c>
      <c r="G35" s="9">
        <f>IF($D35="Actual",T35,IFERROR(F35/K35,0))</f>
        <v/>
      </c>
      <c r="H35" s="30">
        <f>IF($D35="Actual",U35,G35*L35)</f>
        <v/>
      </c>
      <c r="I35" s="30">
        <f>IF($D35="Actual",V35,J35-H35)</f>
        <v/>
      </c>
      <c r="J35" s="30">
        <f>IF($D35="Actual",U35+V35,IFERROR(H35/(1-AD35),0))</f>
        <v/>
      </c>
      <c r="K35" s="10">
        <f>IF($D35="Actual",IFERROR(S35/T35,0),CPLH_Forecast!AL28)</f>
        <v/>
      </c>
      <c r="L35" s="34">
        <f>IF($D35="Actual",IFERROR(U35/T35,0),N(AE35))</f>
        <v/>
      </c>
      <c r="M35" s="35">
        <f>IFERROR(J35/F35,0)</f>
        <v/>
      </c>
      <c r="N35" s="36">
        <f>IFERROR(J35/E35,0)</f>
        <v/>
      </c>
      <c r="O35" s="36">
        <f>IFERROR(I35/J35,0)</f>
        <v/>
      </c>
      <c r="R35" s="52">
        <f>IF($D35="Actual",SUMIFS(Data_Actuals!$C$2:$C$5000,Data_Actuals!$A$2:$A$5000,$A35,Data_Actuals!$B$2:$B$5000,$B$2),"")</f>
        <v/>
      </c>
      <c r="S35" s="52">
        <f>IF($D35="Actual",SUMIFS(Data_Actuals!$D$2:$D$5000,Data_Actuals!$A$2:$A$5000,$A35,Data_Actuals!$B$2:$B$5000,$B$2),"")</f>
        <v/>
      </c>
      <c r="T35" s="52">
        <f>IF($D35="Actual",SUMIFS(Data_Actuals!$E$2:$E$5000,Data_Actuals!$A$2:$A$5000,$A35,Data_Actuals!$B$2:$B$5000,$B$2),"")</f>
        <v/>
      </c>
      <c r="U35" s="52">
        <f>IF($D35="Actual",SUMIFS(Data_Actuals!$F$2:$F$5000,Data_Actuals!$A$2:$A$5000,$A35,Data_Actuals!$B$2:$B$5000,$B$2),"")</f>
        <v/>
      </c>
      <c r="V35" s="52">
        <f>IF($D35="Actual",SUMIFS(Data_Actuals!$G$2:$G$5000,Data_Actuals!$A$2:$A$5000,$A35,Data_Actuals!$B$2:$B$5000,$B$2),"")</f>
        <v/>
      </c>
      <c r="W35" s="52">
        <f>SUMIFS(Plan_Inputs!$C$2:$C$5000,Plan_Inputs!$A$2:$A$5000,$A35,Plan_Inputs!$B$2:$B$5000,$B$2)</f>
        <v/>
      </c>
      <c r="X35" s="53">
        <f>IF($D35="Actual",IFERROR(S35/T35,""),X23)</f>
        <v/>
      </c>
      <c r="Y35" s="52">
        <f>E35</f>
        <v/>
      </c>
      <c r="Z35" s="54">
        <f>INDEX(Calendar!$H$5:$L$52,MATCH($A35,Calendar!$A$5:$A$52,0),MATCH($D$2,Calendar!$H$4:$L$4,0))</f>
        <v/>
      </c>
      <c r="AA35" s="54">
        <f>INDEX(Calendar!$M$5:$M$52,MATCH($A35,Calendar!$A$5:$A$52,0))</f>
        <v/>
      </c>
      <c r="AB35" s="55">
        <f>IF($D35="Actual",IFERROR(S35/Y35,""),AB23)</f>
        <v/>
      </c>
      <c r="AC35" s="56">
        <f>IF($D35="Actual",IFERROR(U35/T35/Z35/AA35,""),AC23)</f>
        <v/>
      </c>
      <c r="AD35" s="57">
        <f>IF($D35="Actual",IFERROR(V35/(U35+V35),""),$K$2)</f>
        <v/>
      </c>
      <c r="AE35" s="56">
        <f>IFERROR(AC35*Z35*AA35,"")</f>
        <v/>
      </c>
      <c r="AF35" s="53">
        <f>K23</f>
        <v/>
      </c>
      <c r="AG35" s="57">
        <f>IF($D35="Forecast",IFERROR(K35/AF35-1,""),"")</f>
        <v/>
      </c>
      <c r="AH35" s="53">
        <f>IF(CPLHSource="National breakdown",CPLH_Breakdown!AM40,SUMIFS(Plan_Inputs!$D$2:$D$5000,Plan_Inputs!$A$2:$A$5000,$A35,Plan_Inputs!$B$2:$B$5000,$B$2))</f>
        <v/>
      </c>
      <c r="AJ35" s="15">
        <f>F35*$AK$11</f>
        <v/>
      </c>
      <c r="AK35" s="9">
        <f>G35*$AK$11</f>
        <v/>
      </c>
      <c r="AL35" s="30">
        <f>H35*$AK$11</f>
        <v/>
      </c>
      <c r="AM35" s="30">
        <f>I35*$AK$11</f>
        <v/>
      </c>
      <c r="AN35" s="30">
        <f>J35*$AK$11</f>
        <v/>
      </c>
      <c r="AP35" s="15">
        <f>F35*$AQ$11</f>
        <v/>
      </c>
      <c r="AQ35" s="9">
        <f>G35*$AQ$11</f>
        <v/>
      </c>
      <c r="AR35" s="30">
        <f>H35*$AQ$11</f>
        <v/>
      </c>
      <c r="AS35" s="30">
        <f>I35*$AQ$11</f>
        <v/>
      </c>
      <c r="AT35" s="30">
        <f>J35*$AQ$11</f>
        <v/>
      </c>
      <c r="AV35" s="15">
        <f>F35*$AW$11</f>
        <v/>
      </c>
      <c r="AW35" s="9">
        <f>G35*$AW$11</f>
        <v/>
      </c>
      <c r="AX35" s="30">
        <f>H35*$AW$11</f>
        <v/>
      </c>
      <c r="AY35" s="30">
        <f>I35*$AW$11</f>
        <v/>
      </c>
      <c r="AZ35" s="30">
        <f>J35*$AW$11</f>
        <v/>
      </c>
    </row>
    <row r="36">
      <c r="A36" s="8" t="n">
        <v>46296</v>
      </c>
      <c r="B36" s="33">
        <f>YEAR(A36)</f>
        <v/>
      </c>
      <c r="C36" s="33">
        <f>MONTH(A36)</f>
        <v/>
      </c>
      <c r="D36">
        <f>IF(A36&lt;=LastActual,"Actual","Forecast")</f>
        <v/>
      </c>
      <c r="E36" s="30">
        <f>IF($D36="Actual",R36,W36)</f>
        <v/>
      </c>
      <c r="F36" s="15">
        <f>IF($D36="Actual",S36,Cases_Forecast!AL29)</f>
        <v/>
      </c>
      <c r="G36" s="9">
        <f>IF($D36="Actual",T36,IFERROR(F36/K36,0))</f>
        <v/>
      </c>
      <c r="H36" s="30">
        <f>IF($D36="Actual",U36,G36*L36)</f>
        <v/>
      </c>
      <c r="I36" s="30">
        <f>IF($D36="Actual",V36,J36-H36)</f>
        <v/>
      </c>
      <c r="J36" s="30">
        <f>IF($D36="Actual",U36+V36,IFERROR(H36/(1-AD36),0))</f>
        <v/>
      </c>
      <c r="K36" s="10">
        <f>IF($D36="Actual",IFERROR(S36/T36,0),CPLH_Forecast!AL29)</f>
        <v/>
      </c>
      <c r="L36" s="34">
        <f>IF($D36="Actual",IFERROR(U36/T36,0),N(AE36))</f>
        <v/>
      </c>
      <c r="M36" s="35">
        <f>IFERROR(J36/F36,0)</f>
        <v/>
      </c>
      <c r="N36" s="36">
        <f>IFERROR(J36/E36,0)</f>
        <v/>
      </c>
      <c r="O36" s="36">
        <f>IFERROR(I36/J36,0)</f>
        <v/>
      </c>
      <c r="R36" s="52">
        <f>IF($D36="Actual",SUMIFS(Data_Actuals!$C$2:$C$5000,Data_Actuals!$A$2:$A$5000,$A36,Data_Actuals!$B$2:$B$5000,$B$2),"")</f>
        <v/>
      </c>
      <c r="S36" s="52">
        <f>IF($D36="Actual",SUMIFS(Data_Actuals!$D$2:$D$5000,Data_Actuals!$A$2:$A$5000,$A36,Data_Actuals!$B$2:$B$5000,$B$2),"")</f>
        <v/>
      </c>
      <c r="T36" s="52">
        <f>IF($D36="Actual",SUMIFS(Data_Actuals!$E$2:$E$5000,Data_Actuals!$A$2:$A$5000,$A36,Data_Actuals!$B$2:$B$5000,$B$2),"")</f>
        <v/>
      </c>
      <c r="U36" s="52">
        <f>IF($D36="Actual",SUMIFS(Data_Actuals!$F$2:$F$5000,Data_Actuals!$A$2:$A$5000,$A36,Data_Actuals!$B$2:$B$5000,$B$2),"")</f>
        <v/>
      </c>
      <c r="V36" s="52">
        <f>IF($D36="Actual",SUMIFS(Data_Actuals!$G$2:$G$5000,Data_Actuals!$A$2:$A$5000,$A36,Data_Actuals!$B$2:$B$5000,$B$2),"")</f>
        <v/>
      </c>
      <c r="W36" s="52">
        <f>SUMIFS(Plan_Inputs!$C$2:$C$5000,Plan_Inputs!$A$2:$A$5000,$A36,Plan_Inputs!$B$2:$B$5000,$B$2)</f>
        <v/>
      </c>
      <c r="X36" s="53">
        <f>IF($D36="Actual",IFERROR(S36/T36,""),X24)</f>
        <v/>
      </c>
      <c r="Y36" s="52">
        <f>E36</f>
        <v/>
      </c>
      <c r="Z36" s="54">
        <f>INDEX(Calendar!$H$5:$L$52,MATCH($A36,Calendar!$A$5:$A$52,0),MATCH($D$2,Calendar!$H$4:$L$4,0))</f>
        <v/>
      </c>
      <c r="AA36" s="54">
        <f>INDEX(Calendar!$M$5:$M$52,MATCH($A36,Calendar!$A$5:$A$52,0))</f>
        <v/>
      </c>
      <c r="AB36" s="55">
        <f>IF($D36="Actual",IFERROR(S36/Y36,""),AB24)</f>
        <v/>
      </c>
      <c r="AC36" s="56">
        <f>IF($D36="Actual",IFERROR(U36/T36/Z36/AA36,""),AC24)</f>
        <v/>
      </c>
      <c r="AD36" s="57">
        <f>IF($D36="Actual",IFERROR(V36/(U36+V36),""),$K$2)</f>
        <v/>
      </c>
      <c r="AE36" s="56">
        <f>IFERROR(AC36*Z36*AA36,"")</f>
        <v/>
      </c>
      <c r="AF36" s="53">
        <f>K24</f>
        <v/>
      </c>
      <c r="AG36" s="57">
        <f>IF($D36="Forecast",IFERROR(K36/AF36-1,""),"")</f>
        <v/>
      </c>
      <c r="AH36" s="53">
        <f>IF(CPLHSource="National breakdown",CPLH_Breakdown!AM41,SUMIFS(Plan_Inputs!$D$2:$D$5000,Plan_Inputs!$A$2:$A$5000,$A36,Plan_Inputs!$B$2:$B$5000,$B$2))</f>
        <v/>
      </c>
      <c r="AJ36" s="15">
        <f>F36*$AK$11</f>
        <v/>
      </c>
      <c r="AK36" s="9">
        <f>G36*$AK$11</f>
        <v/>
      </c>
      <c r="AL36" s="30">
        <f>H36*$AK$11</f>
        <v/>
      </c>
      <c r="AM36" s="30">
        <f>I36*$AK$11</f>
        <v/>
      </c>
      <c r="AN36" s="30">
        <f>J36*$AK$11</f>
        <v/>
      </c>
      <c r="AP36" s="15">
        <f>F36*$AQ$11</f>
        <v/>
      </c>
      <c r="AQ36" s="9">
        <f>G36*$AQ$11</f>
        <v/>
      </c>
      <c r="AR36" s="30">
        <f>H36*$AQ$11</f>
        <v/>
      </c>
      <c r="AS36" s="30">
        <f>I36*$AQ$11</f>
        <v/>
      </c>
      <c r="AT36" s="30">
        <f>J36*$AQ$11</f>
        <v/>
      </c>
      <c r="AV36" s="15">
        <f>F36*$AW$11</f>
        <v/>
      </c>
      <c r="AW36" s="9">
        <f>G36*$AW$11</f>
        <v/>
      </c>
      <c r="AX36" s="30">
        <f>H36*$AW$11</f>
        <v/>
      </c>
      <c r="AY36" s="30">
        <f>I36*$AW$11</f>
        <v/>
      </c>
      <c r="AZ36" s="30">
        <f>J36*$AW$11</f>
        <v/>
      </c>
    </row>
    <row r="37">
      <c r="A37" s="8" t="n">
        <v>46327</v>
      </c>
      <c r="B37" s="33">
        <f>YEAR(A37)</f>
        <v/>
      </c>
      <c r="C37" s="33">
        <f>MONTH(A37)</f>
        <v/>
      </c>
      <c r="D37">
        <f>IF(A37&lt;=LastActual,"Actual","Forecast")</f>
        <v/>
      </c>
      <c r="E37" s="30">
        <f>IF($D37="Actual",R37,W37)</f>
        <v/>
      </c>
      <c r="F37" s="15">
        <f>IF($D37="Actual",S37,Cases_Forecast!AL30)</f>
        <v/>
      </c>
      <c r="G37" s="9">
        <f>IF($D37="Actual",T37,IFERROR(F37/K37,0))</f>
        <v/>
      </c>
      <c r="H37" s="30">
        <f>IF($D37="Actual",U37,G37*L37)</f>
        <v/>
      </c>
      <c r="I37" s="30">
        <f>IF($D37="Actual",V37,J37-H37)</f>
        <v/>
      </c>
      <c r="J37" s="30">
        <f>IF($D37="Actual",U37+V37,IFERROR(H37/(1-AD37),0))</f>
        <v/>
      </c>
      <c r="K37" s="10">
        <f>IF($D37="Actual",IFERROR(S37/T37,0),CPLH_Forecast!AL30)</f>
        <v/>
      </c>
      <c r="L37" s="34">
        <f>IF($D37="Actual",IFERROR(U37/T37,0),N(AE37))</f>
        <v/>
      </c>
      <c r="M37" s="35">
        <f>IFERROR(J37/F37,0)</f>
        <v/>
      </c>
      <c r="N37" s="36">
        <f>IFERROR(J37/E37,0)</f>
        <v/>
      </c>
      <c r="O37" s="36">
        <f>IFERROR(I37/J37,0)</f>
        <v/>
      </c>
      <c r="R37" s="52">
        <f>IF($D37="Actual",SUMIFS(Data_Actuals!$C$2:$C$5000,Data_Actuals!$A$2:$A$5000,$A37,Data_Actuals!$B$2:$B$5000,$B$2),"")</f>
        <v/>
      </c>
      <c r="S37" s="52">
        <f>IF($D37="Actual",SUMIFS(Data_Actuals!$D$2:$D$5000,Data_Actuals!$A$2:$A$5000,$A37,Data_Actuals!$B$2:$B$5000,$B$2),"")</f>
        <v/>
      </c>
      <c r="T37" s="52">
        <f>IF($D37="Actual",SUMIFS(Data_Actuals!$E$2:$E$5000,Data_Actuals!$A$2:$A$5000,$A37,Data_Actuals!$B$2:$B$5000,$B$2),"")</f>
        <v/>
      </c>
      <c r="U37" s="52">
        <f>IF($D37="Actual",SUMIFS(Data_Actuals!$F$2:$F$5000,Data_Actuals!$A$2:$A$5000,$A37,Data_Actuals!$B$2:$B$5000,$B$2),"")</f>
        <v/>
      </c>
      <c r="V37" s="52">
        <f>IF($D37="Actual",SUMIFS(Data_Actuals!$G$2:$G$5000,Data_Actuals!$A$2:$A$5000,$A37,Data_Actuals!$B$2:$B$5000,$B$2),"")</f>
        <v/>
      </c>
      <c r="W37" s="52">
        <f>SUMIFS(Plan_Inputs!$C$2:$C$5000,Plan_Inputs!$A$2:$A$5000,$A37,Plan_Inputs!$B$2:$B$5000,$B$2)</f>
        <v/>
      </c>
      <c r="X37" s="53">
        <f>IF($D37="Actual",IFERROR(S37/T37,""),X25)</f>
        <v/>
      </c>
      <c r="Y37" s="52">
        <f>E37</f>
        <v/>
      </c>
      <c r="Z37" s="54">
        <f>INDEX(Calendar!$H$5:$L$52,MATCH($A37,Calendar!$A$5:$A$52,0),MATCH($D$2,Calendar!$H$4:$L$4,0))</f>
        <v/>
      </c>
      <c r="AA37" s="54">
        <f>INDEX(Calendar!$M$5:$M$52,MATCH($A37,Calendar!$A$5:$A$52,0))</f>
        <v/>
      </c>
      <c r="AB37" s="55">
        <f>IF($D37="Actual",IFERROR(S37/Y37,""),AB25)</f>
        <v/>
      </c>
      <c r="AC37" s="56">
        <f>IF($D37="Actual",IFERROR(U37/T37/Z37/AA37,""),AC25)</f>
        <v/>
      </c>
      <c r="AD37" s="57">
        <f>IF($D37="Actual",IFERROR(V37/(U37+V37),""),$K$2)</f>
        <v/>
      </c>
      <c r="AE37" s="56">
        <f>IFERROR(AC37*Z37*AA37,"")</f>
        <v/>
      </c>
      <c r="AF37" s="53">
        <f>K25</f>
        <v/>
      </c>
      <c r="AG37" s="57">
        <f>IF($D37="Forecast",IFERROR(K37/AF37-1,""),"")</f>
        <v/>
      </c>
      <c r="AH37" s="53">
        <f>IF(CPLHSource="National breakdown",CPLH_Breakdown!AM42,SUMIFS(Plan_Inputs!$D$2:$D$5000,Plan_Inputs!$A$2:$A$5000,$A37,Plan_Inputs!$B$2:$B$5000,$B$2))</f>
        <v/>
      </c>
      <c r="AJ37" s="15">
        <f>F37*$AK$11</f>
        <v/>
      </c>
      <c r="AK37" s="9">
        <f>G37*$AK$11</f>
        <v/>
      </c>
      <c r="AL37" s="30">
        <f>H37*$AK$11</f>
        <v/>
      </c>
      <c r="AM37" s="30">
        <f>I37*$AK$11</f>
        <v/>
      </c>
      <c r="AN37" s="30">
        <f>J37*$AK$11</f>
        <v/>
      </c>
      <c r="AP37" s="15">
        <f>F37*$AQ$11</f>
        <v/>
      </c>
      <c r="AQ37" s="9">
        <f>G37*$AQ$11</f>
        <v/>
      </c>
      <c r="AR37" s="30">
        <f>H37*$AQ$11</f>
        <v/>
      </c>
      <c r="AS37" s="30">
        <f>I37*$AQ$11</f>
        <v/>
      </c>
      <c r="AT37" s="30">
        <f>J37*$AQ$11</f>
        <v/>
      </c>
      <c r="AV37" s="15">
        <f>F37*$AW$11</f>
        <v/>
      </c>
      <c r="AW37" s="9">
        <f>G37*$AW$11</f>
        <v/>
      </c>
      <c r="AX37" s="30">
        <f>H37*$AW$11</f>
        <v/>
      </c>
      <c r="AY37" s="30">
        <f>I37*$AW$11</f>
        <v/>
      </c>
      <c r="AZ37" s="30">
        <f>J37*$AW$11</f>
        <v/>
      </c>
    </row>
    <row r="38">
      <c r="A38" s="37" t="n">
        <v>46357</v>
      </c>
      <c r="B38" s="38">
        <f>YEAR(A38)</f>
        <v/>
      </c>
      <c r="C38" s="38">
        <f>MONTH(A38)</f>
        <v/>
      </c>
      <c r="D38" s="39">
        <f>IF(A38&lt;=LastActual,"Actual","Forecast")</f>
        <v/>
      </c>
      <c r="E38" s="40">
        <f>IF($D38="Actual",R38,W38)</f>
        <v/>
      </c>
      <c r="F38" s="41">
        <f>IF($D38="Actual",S38,Cases_Forecast!AL31)</f>
        <v/>
      </c>
      <c r="G38" s="42">
        <f>IF($D38="Actual",T38,IFERROR(F38/K38,0))</f>
        <v/>
      </c>
      <c r="H38" s="40">
        <f>IF($D38="Actual",U38,G38*L38)</f>
        <v/>
      </c>
      <c r="I38" s="40">
        <f>IF($D38="Actual",V38,J38-H38)</f>
        <v/>
      </c>
      <c r="J38" s="40">
        <f>IF($D38="Actual",U38+V38,IFERROR(H38/(1-AD38),0))</f>
        <v/>
      </c>
      <c r="K38" s="43">
        <f>IF($D38="Actual",IFERROR(S38/T38,0),CPLH_Forecast!AL31)</f>
        <v/>
      </c>
      <c r="L38" s="44">
        <f>IF($D38="Actual",IFERROR(U38/T38,0),N(AE38))</f>
        <v/>
      </c>
      <c r="M38" s="45">
        <f>IFERROR(J38/F38,0)</f>
        <v/>
      </c>
      <c r="N38" s="46">
        <f>IFERROR(J38/E38,0)</f>
        <v/>
      </c>
      <c r="O38" s="46">
        <f>IFERROR(I38/J38,0)</f>
        <v/>
      </c>
      <c r="R38" s="52">
        <f>IF($D38="Actual",SUMIFS(Data_Actuals!$C$2:$C$5000,Data_Actuals!$A$2:$A$5000,$A38,Data_Actuals!$B$2:$B$5000,$B$2),"")</f>
        <v/>
      </c>
      <c r="S38" s="52">
        <f>IF($D38="Actual",SUMIFS(Data_Actuals!$D$2:$D$5000,Data_Actuals!$A$2:$A$5000,$A38,Data_Actuals!$B$2:$B$5000,$B$2),"")</f>
        <v/>
      </c>
      <c r="T38" s="52">
        <f>IF($D38="Actual",SUMIFS(Data_Actuals!$E$2:$E$5000,Data_Actuals!$A$2:$A$5000,$A38,Data_Actuals!$B$2:$B$5000,$B$2),"")</f>
        <v/>
      </c>
      <c r="U38" s="52">
        <f>IF($D38="Actual",SUMIFS(Data_Actuals!$F$2:$F$5000,Data_Actuals!$A$2:$A$5000,$A38,Data_Actuals!$B$2:$B$5000,$B$2),"")</f>
        <v/>
      </c>
      <c r="V38" s="52">
        <f>IF($D38="Actual",SUMIFS(Data_Actuals!$G$2:$G$5000,Data_Actuals!$A$2:$A$5000,$A38,Data_Actuals!$B$2:$B$5000,$B$2),"")</f>
        <v/>
      </c>
      <c r="W38" s="52">
        <f>SUMIFS(Plan_Inputs!$C$2:$C$5000,Plan_Inputs!$A$2:$A$5000,$A38,Plan_Inputs!$B$2:$B$5000,$B$2)</f>
        <v/>
      </c>
      <c r="X38" s="53">
        <f>IF($D38="Actual",IFERROR(S38/T38,""),X26)</f>
        <v/>
      </c>
      <c r="Y38" s="52">
        <f>E38</f>
        <v/>
      </c>
      <c r="Z38" s="54">
        <f>INDEX(Calendar!$H$5:$L$52,MATCH($A38,Calendar!$A$5:$A$52,0),MATCH($D$2,Calendar!$H$4:$L$4,0))</f>
        <v/>
      </c>
      <c r="AA38" s="54">
        <f>INDEX(Calendar!$M$5:$M$52,MATCH($A38,Calendar!$A$5:$A$52,0))</f>
        <v/>
      </c>
      <c r="AB38" s="55">
        <f>IF($D38="Actual",IFERROR(S38/Y38,""),AB26)</f>
        <v/>
      </c>
      <c r="AC38" s="56">
        <f>IF($D38="Actual",IFERROR(U38/T38/Z38/AA38,""),AC26)</f>
        <v/>
      </c>
      <c r="AD38" s="57">
        <f>IF($D38="Actual",IFERROR(V38/(U38+V38),""),$K$2)</f>
        <v/>
      </c>
      <c r="AE38" s="56">
        <f>IFERROR(AC38*Z38*AA38,"")</f>
        <v/>
      </c>
      <c r="AF38" s="53">
        <f>K26</f>
        <v/>
      </c>
      <c r="AG38" s="57">
        <f>IF($D38="Forecast",IFERROR(K38/AF38-1,""),"")</f>
        <v/>
      </c>
      <c r="AH38" s="53">
        <f>IF(CPLHSource="National breakdown",CPLH_Breakdown!AM43,SUMIFS(Plan_Inputs!$D$2:$D$5000,Plan_Inputs!$A$2:$A$5000,$A38,Plan_Inputs!$B$2:$B$5000,$B$2))</f>
        <v/>
      </c>
      <c r="AJ38" s="41">
        <f>F38*$AK$11</f>
        <v/>
      </c>
      <c r="AK38" s="42">
        <f>G38*$AK$11</f>
        <v/>
      </c>
      <c r="AL38" s="40">
        <f>H38*$AK$11</f>
        <v/>
      </c>
      <c r="AM38" s="40">
        <f>I38*$AK$11</f>
        <v/>
      </c>
      <c r="AN38" s="40">
        <f>J38*$AK$11</f>
        <v/>
      </c>
      <c r="AP38" s="41">
        <f>F38*$AQ$11</f>
        <v/>
      </c>
      <c r="AQ38" s="42">
        <f>G38*$AQ$11</f>
        <v/>
      </c>
      <c r="AR38" s="40">
        <f>H38*$AQ$11</f>
        <v/>
      </c>
      <c r="AS38" s="40">
        <f>I38*$AQ$11</f>
        <v/>
      </c>
      <c r="AT38" s="40">
        <f>J38*$AQ$11</f>
        <v/>
      </c>
      <c r="AV38" s="41">
        <f>F38*$AW$11</f>
        <v/>
      </c>
      <c r="AW38" s="42">
        <f>G38*$AW$11</f>
        <v/>
      </c>
      <c r="AX38" s="40">
        <f>H38*$AW$11</f>
        <v/>
      </c>
      <c r="AY38" s="40">
        <f>I38*$AW$11</f>
        <v/>
      </c>
      <c r="AZ38" s="40">
        <f>J38*$AW$11</f>
        <v/>
      </c>
    </row>
    <row r="39">
      <c r="A39" s="8" t="n">
        <v>46388</v>
      </c>
      <c r="B39" s="33">
        <f>YEAR(A39)</f>
        <v/>
      </c>
      <c r="C39" s="33">
        <f>MONTH(A39)</f>
        <v/>
      </c>
      <c r="D39">
        <f>IF(A39&lt;=LastActual,"Actual","Forecast")</f>
        <v/>
      </c>
      <c r="E39" s="30">
        <f>IF($D39="Actual",R39,W39)</f>
        <v/>
      </c>
      <c r="F39" s="15">
        <f>IF($D39="Actual",S39,Cases_Forecast!AL32)</f>
        <v/>
      </c>
      <c r="G39" s="9">
        <f>IF($D39="Actual",T39,IFERROR(F39/K39,0))</f>
        <v/>
      </c>
      <c r="H39" s="30">
        <f>IF($D39="Actual",U39,G39*L39)</f>
        <v/>
      </c>
      <c r="I39" s="30">
        <f>IF($D39="Actual",V39,J39-H39)</f>
        <v/>
      </c>
      <c r="J39" s="30">
        <f>IF($D39="Actual",U39+V39,IFERROR(H39/(1-AD39),0))</f>
        <v/>
      </c>
      <c r="K39" s="10">
        <f>IF($D39="Actual",IFERROR(S39/T39,0),CPLH_Forecast!AL32)</f>
        <v/>
      </c>
      <c r="L39" s="34">
        <f>IF($D39="Actual",IFERROR(U39/T39,0),N(AE39))</f>
        <v/>
      </c>
      <c r="M39" s="35">
        <f>IFERROR(J39/F39,0)</f>
        <v/>
      </c>
      <c r="N39" s="36">
        <f>IFERROR(J39/E39,0)</f>
        <v/>
      </c>
      <c r="O39" s="36">
        <f>IFERROR(I39/J39,0)</f>
        <v/>
      </c>
      <c r="R39" s="52">
        <f>IF($D39="Actual",SUMIFS(Data_Actuals!$C$2:$C$5000,Data_Actuals!$A$2:$A$5000,$A39,Data_Actuals!$B$2:$B$5000,$B$2),"")</f>
        <v/>
      </c>
      <c r="S39" s="52">
        <f>IF($D39="Actual",SUMIFS(Data_Actuals!$D$2:$D$5000,Data_Actuals!$A$2:$A$5000,$A39,Data_Actuals!$B$2:$B$5000,$B$2),"")</f>
        <v/>
      </c>
      <c r="T39" s="52">
        <f>IF($D39="Actual",SUMIFS(Data_Actuals!$E$2:$E$5000,Data_Actuals!$A$2:$A$5000,$A39,Data_Actuals!$B$2:$B$5000,$B$2),"")</f>
        <v/>
      </c>
      <c r="U39" s="52">
        <f>IF($D39="Actual",SUMIFS(Data_Actuals!$F$2:$F$5000,Data_Actuals!$A$2:$A$5000,$A39,Data_Actuals!$B$2:$B$5000,$B$2),"")</f>
        <v/>
      </c>
      <c r="V39" s="52">
        <f>IF($D39="Actual",SUMIFS(Data_Actuals!$G$2:$G$5000,Data_Actuals!$A$2:$A$5000,$A39,Data_Actuals!$B$2:$B$5000,$B$2),"")</f>
        <v/>
      </c>
      <c r="W39" s="52">
        <f>SUMIFS(Plan_Inputs!$C$2:$C$5000,Plan_Inputs!$A$2:$A$5000,$A39,Plan_Inputs!$B$2:$B$5000,$B$2)</f>
        <v/>
      </c>
      <c r="X39" s="53">
        <f>IF($D39="Actual",IFERROR(S39/T39,""),X27)</f>
        <v/>
      </c>
      <c r="Y39" s="52">
        <f>E39</f>
        <v/>
      </c>
      <c r="Z39" s="54">
        <f>INDEX(Calendar!$H$5:$L$52,MATCH($A39,Calendar!$A$5:$A$52,0),MATCH($D$2,Calendar!$H$4:$L$4,0))</f>
        <v/>
      </c>
      <c r="AA39" s="54">
        <f>INDEX(Calendar!$M$5:$M$52,MATCH($A39,Calendar!$A$5:$A$52,0))</f>
        <v/>
      </c>
      <c r="AB39" s="55">
        <f>IF($D39="Actual",IFERROR(S39/Y39,""),AB27)</f>
        <v/>
      </c>
      <c r="AC39" s="56">
        <f>IF($D39="Actual",IFERROR(U39/T39/Z39/AA39,""),AC27)</f>
        <v/>
      </c>
      <c r="AD39" s="57">
        <f>IF($D39="Actual",IFERROR(V39/(U39+V39),""),$K$2)</f>
        <v/>
      </c>
      <c r="AE39" s="56">
        <f>IFERROR(AC39*Z39*AA39,"")</f>
        <v/>
      </c>
      <c r="AF39" s="53">
        <f>K27</f>
        <v/>
      </c>
      <c r="AG39" s="57">
        <f>IF($D39="Forecast",IFERROR(K39/AF39-1,""),"")</f>
        <v/>
      </c>
      <c r="AH39" s="53">
        <f>IF(CPLHSource="National breakdown",CPLH_Breakdown!AM44,SUMIFS(Plan_Inputs!$D$2:$D$5000,Plan_Inputs!$A$2:$A$5000,$A39,Plan_Inputs!$B$2:$B$5000,$B$2))</f>
        <v/>
      </c>
      <c r="AJ39" s="15">
        <f>F39*$AK$11</f>
        <v/>
      </c>
      <c r="AK39" s="9">
        <f>G39*$AK$11</f>
        <v/>
      </c>
      <c r="AL39" s="30">
        <f>H39*$AK$11</f>
        <v/>
      </c>
      <c r="AM39" s="30">
        <f>I39*$AK$11</f>
        <v/>
      </c>
      <c r="AN39" s="30">
        <f>J39*$AK$11</f>
        <v/>
      </c>
      <c r="AP39" s="15">
        <f>F39*$AQ$11</f>
        <v/>
      </c>
      <c r="AQ39" s="9">
        <f>G39*$AQ$11</f>
        <v/>
      </c>
      <c r="AR39" s="30">
        <f>H39*$AQ$11</f>
        <v/>
      </c>
      <c r="AS39" s="30">
        <f>I39*$AQ$11</f>
        <v/>
      </c>
      <c r="AT39" s="30">
        <f>J39*$AQ$11</f>
        <v/>
      </c>
      <c r="AV39" s="15">
        <f>F39*$AW$11</f>
        <v/>
      </c>
      <c r="AW39" s="9">
        <f>G39*$AW$11</f>
        <v/>
      </c>
      <c r="AX39" s="30">
        <f>H39*$AW$11</f>
        <v/>
      </c>
      <c r="AY39" s="30">
        <f>I39*$AW$11</f>
        <v/>
      </c>
      <c r="AZ39" s="30">
        <f>J39*$AW$11</f>
        <v/>
      </c>
    </row>
    <row r="40">
      <c r="A40" s="8" t="n">
        <v>46419</v>
      </c>
      <c r="B40" s="33">
        <f>YEAR(A40)</f>
        <v/>
      </c>
      <c r="C40" s="33">
        <f>MONTH(A40)</f>
        <v/>
      </c>
      <c r="D40">
        <f>IF(A40&lt;=LastActual,"Actual","Forecast")</f>
        <v/>
      </c>
      <c r="E40" s="30">
        <f>IF($D40="Actual",R40,W40)</f>
        <v/>
      </c>
      <c r="F40" s="15">
        <f>IF($D40="Actual",S40,Cases_Forecast!AL33)</f>
        <v/>
      </c>
      <c r="G40" s="9">
        <f>IF($D40="Actual",T40,IFERROR(F40/K40,0))</f>
        <v/>
      </c>
      <c r="H40" s="30">
        <f>IF($D40="Actual",U40,G40*L40)</f>
        <v/>
      </c>
      <c r="I40" s="30">
        <f>IF($D40="Actual",V40,J40-H40)</f>
        <v/>
      </c>
      <c r="J40" s="30">
        <f>IF($D40="Actual",U40+V40,IFERROR(H40/(1-AD40),0))</f>
        <v/>
      </c>
      <c r="K40" s="10">
        <f>IF($D40="Actual",IFERROR(S40/T40,0),CPLH_Forecast!AL33)</f>
        <v/>
      </c>
      <c r="L40" s="34">
        <f>IF($D40="Actual",IFERROR(U40/T40,0),N(AE40))</f>
        <v/>
      </c>
      <c r="M40" s="35">
        <f>IFERROR(J40/F40,0)</f>
        <v/>
      </c>
      <c r="N40" s="36">
        <f>IFERROR(J40/E40,0)</f>
        <v/>
      </c>
      <c r="O40" s="36">
        <f>IFERROR(I40/J40,0)</f>
        <v/>
      </c>
      <c r="R40" s="52">
        <f>IF($D40="Actual",SUMIFS(Data_Actuals!$C$2:$C$5000,Data_Actuals!$A$2:$A$5000,$A40,Data_Actuals!$B$2:$B$5000,$B$2),"")</f>
        <v/>
      </c>
      <c r="S40" s="52">
        <f>IF($D40="Actual",SUMIFS(Data_Actuals!$D$2:$D$5000,Data_Actuals!$A$2:$A$5000,$A40,Data_Actuals!$B$2:$B$5000,$B$2),"")</f>
        <v/>
      </c>
      <c r="T40" s="52">
        <f>IF($D40="Actual",SUMIFS(Data_Actuals!$E$2:$E$5000,Data_Actuals!$A$2:$A$5000,$A40,Data_Actuals!$B$2:$B$5000,$B$2),"")</f>
        <v/>
      </c>
      <c r="U40" s="52">
        <f>IF($D40="Actual",SUMIFS(Data_Actuals!$F$2:$F$5000,Data_Actuals!$A$2:$A$5000,$A40,Data_Actuals!$B$2:$B$5000,$B$2),"")</f>
        <v/>
      </c>
      <c r="V40" s="52">
        <f>IF($D40="Actual",SUMIFS(Data_Actuals!$G$2:$G$5000,Data_Actuals!$A$2:$A$5000,$A40,Data_Actuals!$B$2:$B$5000,$B$2),"")</f>
        <v/>
      </c>
      <c r="W40" s="52">
        <f>SUMIFS(Plan_Inputs!$C$2:$C$5000,Plan_Inputs!$A$2:$A$5000,$A40,Plan_Inputs!$B$2:$B$5000,$B$2)</f>
        <v/>
      </c>
      <c r="X40" s="53">
        <f>IF($D40="Actual",IFERROR(S40/T40,""),X28)</f>
        <v/>
      </c>
      <c r="Y40" s="52">
        <f>E40</f>
        <v/>
      </c>
      <c r="Z40" s="54">
        <f>INDEX(Calendar!$H$5:$L$52,MATCH($A40,Calendar!$A$5:$A$52,0),MATCH($D$2,Calendar!$H$4:$L$4,0))</f>
        <v/>
      </c>
      <c r="AA40" s="54">
        <f>INDEX(Calendar!$M$5:$M$52,MATCH($A40,Calendar!$A$5:$A$52,0))</f>
        <v/>
      </c>
      <c r="AB40" s="55">
        <f>IF($D40="Actual",IFERROR(S40/Y40,""),AB28)</f>
        <v/>
      </c>
      <c r="AC40" s="56">
        <f>IF($D40="Actual",IFERROR(U40/T40/Z40/AA40,""),AC28)</f>
        <v/>
      </c>
      <c r="AD40" s="57">
        <f>IF($D40="Actual",IFERROR(V40/(U40+V40),""),$K$2)</f>
        <v/>
      </c>
      <c r="AE40" s="56">
        <f>IFERROR(AC40*Z40*AA40,"")</f>
        <v/>
      </c>
      <c r="AF40" s="53">
        <f>K28</f>
        <v/>
      </c>
      <c r="AG40" s="57">
        <f>IF($D40="Forecast",IFERROR(K40/AF40-1,""),"")</f>
        <v/>
      </c>
      <c r="AH40" s="53">
        <f>IF(CPLHSource="National breakdown",CPLH_Breakdown!AM45,SUMIFS(Plan_Inputs!$D$2:$D$5000,Plan_Inputs!$A$2:$A$5000,$A40,Plan_Inputs!$B$2:$B$5000,$B$2))</f>
        <v/>
      </c>
      <c r="AJ40" s="15">
        <f>F40*$AK$11</f>
        <v/>
      </c>
      <c r="AK40" s="9">
        <f>G40*$AK$11</f>
        <v/>
      </c>
      <c r="AL40" s="30">
        <f>H40*$AK$11</f>
        <v/>
      </c>
      <c r="AM40" s="30">
        <f>I40*$AK$11</f>
        <v/>
      </c>
      <c r="AN40" s="30">
        <f>J40*$AK$11</f>
        <v/>
      </c>
      <c r="AP40" s="15">
        <f>F40*$AQ$11</f>
        <v/>
      </c>
      <c r="AQ40" s="9">
        <f>G40*$AQ$11</f>
        <v/>
      </c>
      <c r="AR40" s="30">
        <f>H40*$AQ$11</f>
        <v/>
      </c>
      <c r="AS40" s="30">
        <f>I40*$AQ$11</f>
        <v/>
      </c>
      <c r="AT40" s="30">
        <f>J40*$AQ$11</f>
        <v/>
      </c>
      <c r="AV40" s="15">
        <f>F40*$AW$11</f>
        <v/>
      </c>
      <c r="AW40" s="9">
        <f>G40*$AW$11</f>
        <v/>
      </c>
      <c r="AX40" s="30">
        <f>H40*$AW$11</f>
        <v/>
      </c>
      <c r="AY40" s="30">
        <f>I40*$AW$11</f>
        <v/>
      </c>
      <c r="AZ40" s="30">
        <f>J40*$AW$11</f>
        <v/>
      </c>
    </row>
    <row r="41">
      <c r="A41" s="8" t="n">
        <v>46447</v>
      </c>
      <c r="B41" s="33">
        <f>YEAR(A41)</f>
        <v/>
      </c>
      <c r="C41" s="33">
        <f>MONTH(A41)</f>
        <v/>
      </c>
      <c r="D41">
        <f>IF(A41&lt;=LastActual,"Actual","Forecast")</f>
        <v/>
      </c>
      <c r="E41" s="30">
        <f>IF($D41="Actual",R41,W41)</f>
        <v/>
      </c>
      <c r="F41" s="15">
        <f>IF($D41="Actual",S41,Cases_Forecast!AL34)</f>
        <v/>
      </c>
      <c r="G41" s="9">
        <f>IF($D41="Actual",T41,IFERROR(F41/K41,0))</f>
        <v/>
      </c>
      <c r="H41" s="30">
        <f>IF($D41="Actual",U41,G41*L41)</f>
        <v/>
      </c>
      <c r="I41" s="30">
        <f>IF($D41="Actual",V41,J41-H41)</f>
        <v/>
      </c>
      <c r="J41" s="30">
        <f>IF($D41="Actual",U41+V41,IFERROR(H41/(1-AD41),0))</f>
        <v/>
      </c>
      <c r="K41" s="10">
        <f>IF($D41="Actual",IFERROR(S41/T41,0),CPLH_Forecast!AL34)</f>
        <v/>
      </c>
      <c r="L41" s="34">
        <f>IF($D41="Actual",IFERROR(U41/T41,0),N(AE41))</f>
        <v/>
      </c>
      <c r="M41" s="35">
        <f>IFERROR(J41/F41,0)</f>
        <v/>
      </c>
      <c r="N41" s="36">
        <f>IFERROR(J41/E41,0)</f>
        <v/>
      </c>
      <c r="O41" s="36">
        <f>IFERROR(I41/J41,0)</f>
        <v/>
      </c>
      <c r="R41" s="52">
        <f>IF($D41="Actual",SUMIFS(Data_Actuals!$C$2:$C$5000,Data_Actuals!$A$2:$A$5000,$A41,Data_Actuals!$B$2:$B$5000,$B$2),"")</f>
        <v/>
      </c>
      <c r="S41" s="52">
        <f>IF($D41="Actual",SUMIFS(Data_Actuals!$D$2:$D$5000,Data_Actuals!$A$2:$A$5000,$A41,Data_Actuals!$B$2:$B$5000,$B$2),"")</f>
        <v/>
      </c>
      <c r="T41" s="52">
        <f>IF($D41="Actual",SUMIFS(Data_Actuals!$E$2:$E$5000,Data_Actuals!$A$2:$A$5000,$A41,Data_Actuals!$B$2:$B$5000,$B$2),"")</f>
        <v/>
      </c>
      <c r="U41" s="52">
        <f>IF($D41="Actual",SUMIFS(Data_Actuals!$F$2:$F$5000,Data_Actuals!$A$2:$A$5000,$A41,Data_Actuals!$B$2:$B$5000,$B$2),"")</f>
        <v/>
      </c>
      <c r="V41" s="52">
        <f>IF($D41="Actual",SUMIFS(Data_Actuals!$G$2:$G$5000,Data_Actuals!$A$2:$A$5000,$A41,Data_Actuals!$B$2:$B$5000,$B$2),"")</f>
        <v/>
      </c>
      <c r="W41" s="52">
        <f>SUMIFS(Plan_Inputs!$C$2:$C$5000,Plan_Inputs!$A$2:$A$5000,$A41,Plan_Inputs!$B$2:$B$5000,$B$2)</f>
        <v/>
      </c>
      <c r="X41" s="53">
        <f>IF($D41="Actual",IFERROR(S41/T41,""),X29)</f>
        <v/>
      </c>
      <c r="Y41" s="52">
        <f>E41</f>
        <v/>
      </c>
      <c r="Z41" s="54">
        <f>INDEX(Calendar!$H$5:$L$52,MATCH($A41,Calendar!$A$5:$A$52,0),MATCH($D$2,Calendar!$H$4:$L$4,0))</f>
        <v/>
      </c>
      <c r="AA41" s="54">
        <f>INDEX(Calendar!$M$5:$M$52,MATCH($A41,Calendar!$A$5:$A$52,0))</f>
        <v/>
      </c>
      <c r="AB41" s="55">
        <f>IF($D41="Actual",IFERROR(S41/Y41,""),AB29)</f>
        <v/>
      </c>
      <c r="AC41" s="56">
        <f>IF($D41="Actual",IFERROR(U41/T41/Z41/AA41,""),AC29)</f>
        <v/>
      </c>
      <c r="AD41" s="57">
        <f>IF($D41="Actual",IFERROR(V41/(U41+V41),""),$K$2)</f>
        <v/>
      </c>
      <c r="AE41" s="56">
        <f>IFERROR(AC41*Z41*AA41,"")</f>
        <v/>
      </c>
      <c r="AF41" s="53">
        <f>K29</f>
        <v/>
      </c>
      <c r="AG41" s="57">
        <f>IF($D41="Forecast",IFERROR(K41/AF41-1,""),"")</f>
        <v/>
      </c>
      <c r="AH41" s="53">
        <f>IF(CPLHSource="National breakdown",CPLH_Breakdown!AM46,SUMIFS(Plan_Inputs!$D$2:$D$5000,Plan_Inputs!$A$2:$A$5000,$A41,Plan_Inputs!$B$2:$B$5000,$B$2))</f>
        <v/>
      </c>
      <c r="AJ41" s="15">
        <f>F41*$AK$11</f>
        <v/>
      </c>
      <c r="AK41" s="9">
        <f>G41*$AK$11</f>
        <v/>
      </c>
      <c r="AL41" s="30">
        <f>H41*$AK$11</f>
        <v/>
      </c>
      <c r="AM41" s="30">
        <f>I41*$AK$11</f>
        <v/>
      </c>
      <c r="AN41" s="30">
        <f>J41*$AK$11</f>
        <v/>
      </c>
      <c r="AP41" s="15">
        <f>F41*$AQ$11</f>
        <v/>
      </c>
      <c r="AQ41" s="9">
        <f>G41*$AQ$11</f>
        <v/>
      </c>
      <c r="AR41" s="30">
        <f>H41*$AQ$11</f>
        <v/>
      </c>
      <c r="AS41" s="30">
        <f>I41*$AQ$11</f>
        <v/>
      </c>
      <c r="AT41" s="30">
        <f>J41*$AQ$11</f>
        <v/>
      </c>
      <c r="AV41" s="15">
        <f>F41*$AW$11</f>
        <v/>
      </c>
      <c r="AW41" s="9">
        <f>G41*$AW$11</f>
        <v/>
      </c>
      <c r="AX41" s="30">
        <f>H41*$AW$11</f>
        <v/>
      </c>
      <c r="AY41" s="30">
        <f>I41*$AW$11</f>
        <v/>
      </c>
      <c r="AZ41" s="30">
        <f>J41*$AW$11</f>
        <v/>
      </c>
    </row>
    <row r="42">
      <c r="A42" s="8" t="n">
        <v>46478</v>
      </c>
      <c r="B42" s="33">
        <f>YEAR(A42)</f>
        <v/>
      </c>
      <c r="C42" s="33">
        <f>MONTH(A42)</f>
        <v/>
      </c>
      <c r="D42">
        <f>IF(A42&lt;=LastActual,"Actual","Forecast")</f>
        <v/>
      </c>
      <c r="E42" s="30">
        <f>IF($D42="Actual",R42,W42)</f>
        <v/>
      </c>
      <c r="F42" s="15">
        <f>IF($D42="Actual",S42,Cases_Forecast!AL35)</f>
        <v/>
      </c>
      <c r="G42" s="9">
        <f>IF($D42="Actual",T42,IFERROR(F42/K42,0))</f>
        <v/>
      </c>
      <c r="H42" s="30">
        <f>IF($D42="Actual",U42,G42*L42)</f>
        <v/>
      </c>
      <c r="I42" s="30">
        <f>IF($D42="Actual",V42,J42-H42)</f>
        <v/>
      </c>
      <c r="J42" s="30">
        <f>IF($D42="Actual",U42+V42,IFERROR(H42/(1-AD42),0))</f>
        <v/>
      </c>
      <c r="K42" s="10">
        <f>IF($D42="Actual",IFERROR(S42/T42,0),CPLH_Forecast!AL35)</f>
        <v/>
      </c>
      <c r="L42" s="34">
        <f>IF($D42="Actual",IFERROR(U42/T42,0),N(AE42))</f>
        <v/>
      </c>
      <c r="M42" s="35">
        <f>IFERROR(J42/F42,0)</f>
        <v/>
      </c>
      <c r="N42" s="36">
        <f>IFERROR(J42/E42,0)</f>
        <v/>
      </c>
      <c r="O42" s="36">
        <f>IFERROR(I42/J42,0)</f>
        <v/>
      </c>
      <c r="R42" s="52">
        <f>IF($D42="Actual",SUMIFS(Data_Actuals!$C$2:$C$5000,Data_Actuals!$A$2:$A$5000,$A42,Data_Actuals!$B$2:$B$5000,$B$2),"")</f>
        <v/>
      </c>
      <c r="S42" s="52">
        <f>IF($D42="Actual",SUMIFS(Data_Actuals!$D$2:$D$5000,Data_Actuals!$A$2:$A$5000,$A42,Data_Actuals!$B$2:$B$5000,$B$2),"")</f>
        <v/>
      </c>
      <c r="T42" s="52">
        <f>IF($D42="Actual",SUMIFS(Data_Actuals!$E$2:$E$5000,Data_Actuals!$A$2:$A$5000,$A42,Data_Actuals!$B$2:$B$5000,$B$2),"")</f>
        <v/>
      </c>
      <c r="U42" s="52">
        <f>IF($D42="Actual",SUMIFS(Data_Actuals!$F$2:$F$5000,Data_Actuals!$A$2:$A$5000,$A42,Data_Actuals!$B$2:$B$5000,$B$2),"")</f>
        <v/>
      </c>
      <c r="V42" s="52">
        <f>IF($D42="Actual",SUMIFS(Data_Actuals!$G$2:$G$5000,Data_Actuals!$A$2:$A$5000,$A42,Data_Actuals!$B$2:$B$5000,$B$2),"")</f>
        <v/>
      </c>
      <c r="W42" s="52">
        <f>SUMIFS(Plan_Inputs!$C$2:$C$5000,Plan_Inputs!$A$2:$A$5000,$A42,Plan_Inputs!$B$2:$B$5000,$B$2)</f>
        <v/>
      </c>
      <c r="X42" s="53">
        <f>IF($D42="Actual",IFERROR(S42/T42,""),X30)</f>
        <v/>
      </c>
      <c r="Y42" s="52">
        <f>E42</f>
        <v/>
      </c>
      <c r="Z42" s="54">
        <f>INDEX(Calendar!$H$5:$L$52,MATCH($A42,Calendar!$A$5:$A$52,0),MATCH($D$2,Calendar!$H$4:$L$4,0))</f>
        <v/>
      </c>
      <c r="AA42" s="54">
        <f>INDEX(Calendar!$M$5:$M$52,MATCH($A42,Calendar!$A$5:$A$52,0))</f>
        <v/>
      </c>
      <c r="AB42" s="55">
        <f>IF($D42="Actual",IFERROR(S42/Y42,""),AB30)</f>
        <v/>
      </c>
      <c r="AC42" s="56">
        <f>IF($D42="Actual",IFERROR(U42/T42/Z42/AA42,""),AC30)</f>
        <v/>
      </c>
      <c r="AD42" s="57">
        <f>IF($D42="Actual",IFERROR(V42/(U42+V42),""),$K$2)</f>
        <v/>
      </c>
      <c r="AE42" s="56">
        <f>IFERROR(AC42*Z42*AA42,"")</f>
        <v/>
      </c>
      <c r="AF42" s="53">
        <f>K30</f>
        <v/>
      </c>
      <c r="AG42" s="57">
        <f>IF($D42="Forecast",IFERROR(K42/AF42-1,""),"")</f>
        <v/>
      </c>
      <c r="AH42" s="53">
        <f>IF(CPLHSource="National breakdown",CPLH_Breakdown!AM47,SUMIFS(Plan_Inputs!$D$2:$D$5000,Plan_Inputs!$A$2:$A$5000,$A42,Plan_Inputs!$B$2:$B$5000,$B$2))</f>
        <v/>
      </c>
      <c r="AJ42" s="15">
        <f>F42*$AK$11</f>
        <v/>
      </c>
      <c r="AK42" s="9">
        <f>G42*$AK$11</f>
        <v/>
      </c>
      <c r="AL42" s="30">
        <f>H42*$AK$11</f>
        <v/>
      </c>
      <c r="AM42" s="30">
        <f>I42*$AK$11</f>
        <v/>
      </c>
      <c r="AN42" s="30">
        <f>J42*$AK$11</f>
        <v/>
      </c>
      <c r="AP42" s="15">
        <f>F42*$AQ$11</f>
        <v/>
      </c>
      <c r="AQ42" s="9">
        <f>G42*$AQ$11</f>
        <v/>
      </c>
      <c r="AR42" s="30">
        <f>H42*$AQ$11</f>
        <v/>
      </c>
      <c r="AS42" s="30">
        <f>I42*$AQ$11</f>
        <v/>
      </c>
      <c r="AT42" s="30">
        <f>J42*$AQ$11</f>
        <v/>
      </c>
      <c r="AV42" s="15">
        <f>F42*$AW$11</f>
        <v/>
      </c>
      <c r="AW42" s="9">
        <f>G42*$AW$11</f>
        <v/>
      </c>
      <c r="AX42" s="30">
        <f>H42*$AW$11</f>
        <v/>
      </c>
      <c r="AY42" s="30">
        <f>I42*$AW$11</f>
        <v/>
      </c>
      <c r="AZ42" s="30">
        <f>J42*$AW$11</f>
        <v/>
      </c>
    </row>
    <row r="43">
      <c r="A43" s="8" t="n">
        <v>46508</v>
      </c>
      <c r="B43" s="33">
        <f>YEAR(A43)</f>
        <v/>
      </c>
      <c r="C43" s="33">
        <f>MONTH(A43)</f>
        <v/>
      </c>
      <c r="D43">
        <f>IF(A43&lt;=LastActual,"Actual","Forecast")</f>
        <v/>
      </c>
      <c r="E43" s="30">
        <f>IF($D43="Actual",R43,W43)</f>
        <v/>
      </c>
      <c r="F43" s="15">
        <f>IF($D43="Actual",S43,Cases_Forecast!AL36)</f>
        <v/>
      </c>
      <c r="G43" s="9">
        <f>IF($D43="Actual",T43,IFERROR(F43/K43,0))</f>
        <v/>
      </c>
      <c r="H43" s="30">
        <f>IF($D43="Actual",U43,G43*L43)</f>
        <v/>
      </c>
      <c r="I43" s="30">
        <f>IF($D43="Actual",V43,J43-H43)</f>
        <v/>
      </c>
      <c r="J43" s="30">
        <f>IF($D43="Actual",U43+V43,IFERROR(H43/(1-AD43),0))</f>
        <v/>
      </c>
      <c r="K43" s="10">
        <f>IF($D43="Actual",IFERROR(S43/T43,0),CPLH_Forecast!AL36)</f>
        <v/>
      </c>
      <c r="L43" s="34">
        <f>IF($D43="Actual",IFERROR(U43/T43,0),N(AE43))</f>
        <v/>
      </c>
      <c r="M43" s="35">
        <f>IFERROR(J43/F43,0)</f>
        <v/>
      </c>
      <c r="N43" s="36">
        <f>IFERROR(J43/E43,0)</f>
        <v/>
      </c>
      <c r="O43" s="36">
        <f>IFERROR(I43/J43,0)</f>
        <v/>
      </c>
      <c r="R43" s="52">
        <f>IF($D43="Actual",SUMIFS(Data_Actuals!$C$2:$C$5000,Data_Actuals!$A$2:$A$5000,$A43,Data_Actuals!$B$2:$B$5000,$B$2),"")</f>
        <v/>
      </c>
      <c r="S43" s="52">
        <f>IF($D43="Actual",SUMIFS(Data_Actuals!$D$2:$D$5000,Data_Actuals!$A$2:$A$5000,$A43,Data_Actuals!$B$2:$B$5000,$B$2),"")</f>
        <v/>
      </c>
      <c r="T43" s="52">
        <f>IF($D43="Actual",SUMIFS(Data_Actuals!$E$2:$E$5000,Data_Actuals!$A$2:$A$5000,$A43,Data_Actuals!$B$2:$B$5000,$B$2),"")</f>
        <v/>
      </c>
      <c r="U43" s="52">
        <f>IF($D43="Actual",SUMIFS(Data_Actuals!$F$2:$F$5000,Data_Actuals!$A$2:$A$5000,$A43,Data_Actuals!$B$2:$B$5000,$B$2),"")</f>
        <v/>
      </c>
      <c r="V43" s="52">
        <f>IF($D43="Actual",SUMIFS(Data_Actuals!$G$2:$G$5000,Data_Actuals!$A$2:$A$5000,$A43,Data_Actuals!$B$2:$B$5000,$B$2),"")</f>
        <v/>
      </c>
      <c r="W43" s="52">
        <f>SUMIFS(Plan_Inputs!$C$2:$C$5000,Plan_Inputs!$A$2:$A$5000,$A43,Plan_Inputs!$B$2:$B$5000,$B$2)</f>
        <v/>
      </c>
      <c r="X43" s="53">
        <f>IF($D43="Actual",IFERROR(S43/T43,""),X31)</f>
        <v/>
      </c>
      <c r="Y43" s="52">
        <f>E43</f>
        <v/>
      </c>
      <c r="Z43" s="54">
        <f>INDEX(Calendar!$H$5:$L$52,MATCH($A43,Calendar!$A$5:$A$52,0),MATCH($D$2,Calendar!$H$4:$L$4,0))</f>
        <v/>
      </c>
      <c r="AA43" s="54">
        <f>INDEX(Calendar!$M$5:$M$52,MATCH($A43,Calendar!$A$5:$A$52,0))</f>
        <v/>
      </c>
      <c r="AB43" s="55">
        <f>IF($D43="Actual",IFERROR(S43/Y43,""),AB31)</f>
        <v/>
      </c>
      <c r="AC43" s="56">
        <f>IF($D43="Actual",IFERROR(U43/T43/Z43/AA43,""),AC31)</f>
        <v/>
      </c>
      <c r="AD43" s="57">
        <f>IF($D43="Actual",IFERROR(V43/(U43+V43),""),$K$2)</f>
        <v/>
      </c>
      <c r="AE43" s="56">
        <f>IFERROR(AC43*Z43*AA43,"")</f>
        <v/>
      </c>
      <c r="AF43" s="53">
        <f>K31</f>
        <v/>
      </c>
      <c r="AG43" s="57">
        <f>IF($D43="Forecast",IFERROR(K43/AF43-1,""),"")</f>
        <v/>
      </c>
      <c r="AH43" s="53">
        <f>IF(CPLHSource="National breakdown",CPLH_Breakdown!AM48,SUMIFS(Plan_Inputs!$D$2:$D$5000,Plan_Inputs!$A$2:$A$5000,$A43,Plan_Inputs!$B$2:$B$5000,$B$2))</f>
        <v/>
      </c>
      <c r="AJ43" s="15">
        <f>F43*$AK$11</f>
        <v/>
      </c>
      <c r="AK43" s="9">
        <f>G43*$AK$11</f>
        <v/>
      </c>
      <c r="AL43" s="30">
        <f>H43*$AK$11</f>
        <v/>
      </c>
      <c r="AM43" s="30">
        <f>I43*$AK$11</f>
        <v/>
      </c>
      <c r="AN43" s="30">
        <f>J43*$AK$11</f>
        <v/>
      </c>
      <c r="AP43" s="15">
        <f>F43*$AQ$11</f>
        <v/>
      </c>
      <c r="AQ43" s="9">
        <f>G43*$AQ$11</f>
        <v/>
      </c>
      <c r="AR43" s="30">
        <f>H43*$AQ$11</f>
        <v/>
      </c>
      <c r="AS43" s="30">
        <f>I43*$AQ$11</f>
        <v/>
      </c>
      <c r="AT43" s="30">
        <f>J43*$AQ$11</f>
        <v/>
      </c>
      <c r="AV43" s="15">
        <f>F43*$AW$11</f>
        <v/>
      </c>
      <c r="AW43" s="9">
        <f>G43*$AW$11</f>
        <v/>
      </c>
      <c r="AX43" s="30">
        <f>H43*$AW$11</f>
        <v/>
      </c>
      <c r="AY43" s="30">
        <f>I43*$AW$11</f>
        <v/>
      </c>
      <c r="AZ43" s="30">
        <f>J43*$AW$11</f>
        <v/>
      </c>
    </row>
    <row r="44">
      <c r="A44" s="8" t="n">
        <v>46539</v>
      </c>
      <c r="B44" s="33">
        <f>YEAR(A44)</f>
        <v/>
      </c>
      <c r="C44" s="33">
        <f>MONTH(A44)</f>
        <v/>
      </c>
      <c r="D44">
        <f>IF(A44&lt;=LastActual,"Actual","Forecast")</f>
        <v/>
      </c>
      <c r="E44" s="30">
        <f>IF($D44="Actual",R44,W44)</f>
        <v/>
      </c>
      <c r="F44" s="15">
        <f>IF($D44="Actual",S44,Cases_Forecast!AL37)</f>
        <v/>
      </c>
      <c r="G44" s="9">
        <f>IF($D44="Actual",T44,IFERROR(F44/K44,0))</f>
        <v/>
      </c>
      <c r="H44" s="30">
        <f>IF($D44="Actual",U44,G44*L44)</f>
        <v/>
      </c>
      <c r="I44" s="30">
        <f>IF($D44="Actual",V44,J44-H44)</f>
        <v/>
      </c>
      <c r="J44" s="30">
        <f>IF($D44="Actual",U44+V44,IFERROR(H44/(1-AD44),0))</f>
        <v/>
      </c>
      <c r="K44" s="10">
        <f>IF($D44="Actual",IFERROR(S44/T44,0),CPLH_Forecast!AL37)</f>
        <v/>
      </c>
      <c r="L44" s="34">
        <f>IF($D44="Actual",IFERROR(U44/T44,0),N(AE44))</f>
        <v/>
      </c>
      <c r="M44" s="35">
        <f>IFERROR(J44/F44,0)</f>
        <v/>
      </c>
      <c r="N44" s="36">
        <f>IFERROR(J44/E44,0)</f>
        <v/>
      </c>
      <c r="O44" s="36">
        <f>IFERROR(I44/J44,0)</f>
        <v/>
      </c>
      <c r="R44" s="52">
        <f>IF($D44="Actual",SUMIFS(Data_Actuals!$C$2:$C$5000,Data_Actuals!$A$2:$A$5000,$A44,Data_Actuals!$B$2:$B$5000,$B$2),"")</f>
        <v/>
      </c>
      <c r="S44" s="52">
        <f>IF($D44="Actual",SUMIFS(Data_Actuals!$D$2:$D$5000,Data_Actuals!$A$2:$A$5000,$A44,Data_Actuals!$B$2:$B$5000,$B$2),"")</f>
        <v/>
      </c>
      <c r="T44" s="52">
        <f>IF($D44="Actual",SUMIFS(Data_Actuals!$E$2:$E$5000,Data_Actuals!$A$2:$A$5000,$A44,Data_Actuals!$B$2:$B$5000,$B$2),"")</f>
        <v/>
      </c>
      <c r="U44" s="52">
        <f>IF($D44="Actual",SUMIFS(Data_Actuals!$F$2:$F$5000,Data_Actuals!$A$2:$A$5000,$A44,Data_Actuals!$B$2:$B$5000,$B$2),"")</f>
        <v/>
      </c>
      <c r="V44" s="52">
        <f>IF($D44="Actual",SUMIFS(Data_Actuals!$G$2:$G$5000,Data_Actuals!$A$2:$A$5000,$A44,Data_Actuals!$B$2:$B$5000,$B$2),"")</f>
        <v/>
      </c>
      <c r="W44" s="52">
        <f>SUMIFS(Plan_Inputs!$C$2:$C$5000,Plan_Inputs!$A$2:$A$5000,$A44,Plan_Inputs!$B$2:$B$5000,$B$2)</f>
        <v/>
      </c>
      <c r="X44" s="53">
        <f>IF($D44="Actual",IFERROR(S44/T44,""),X32)</f>
        <v/>
      </c>
      <c r="Y44" s="52">
        <f>E44</f>
        <v/>
      </c>
      <c r="Z44" s="54">
        <f>INDEX(Calendar!$H$5:$L$52,MATCH($A44,Calendar!$A$5:$A$52,0),MATCH($D$2,Calendar!$H$4:$L$4,0))</f>
        <v/>
      </c>
      <c r="AA44" s="54">
        <f>INDEX(Calendar!$M$5:$M$52,MATCH($A44,Calendar!$A$5:$A$52,0))</f>
        <v/>
      </c>
      <c r="AB44" s="55">
        <f>IF($D44="Actual",IFERROR(S44/Y44,""),AB32)</f>
        <v/>
      </c>
      <c r="AC44" s="56">
        <f>IF($D44="Actual",IFERROR(U44/T44/Z44/AA44,""),AC32)</f>
        <v/>
      </c>
      <c r="AD44" s="57">
        <f>IF($D44="Actual",IFERROR(V44/(U44+V44),""),$K$2)</f>
        <v/>
      </c>
      <c r="AE44" s="56">
        <f>IFERROR(AC44*Z44*AA44,"")</f>
        <v/>
      </c>
      <c r="AF44" s="53">
        <f>K32</f>
        <v/>
      </c>
      <c r="AG44" s="57">
        <f>IF($D44="Forecast",IFERROR(K44/AF44-1,""),"")</f>
        <v/>
      </c>
      <c r="AH44" s="53">
        <f>IF(CPLHSource="National breakdown",CPLH_Breakdown!AM49,SUMIFS(Plan_Inputs!$D$2:$D$5000,Plan_Inputs!$A$2:$A$5000,$A44,Plan_Inputs!$B$2:$B$5000,$B$2))</f>
        <v/>
      </c>
      <c r="AJ44" s="15">
        <f>F44*$AK$11</f>
        <v/>
      </c>
      <c r="AK44" s="9">
        <f>G44*$AK$11</f>
        <v/>
      </c>
      <c r="AL44" s="30">
        <f>H44*$AK$11</f>
        <v/>
      </c>
      <c r="AM44" s="30">
        <f>I44*$AK$11</f>
        <v/>
      </c>
      <c r="AN44" s="30">
        <f>J44*$AK$11</f>
        <v/>
      </c>
      <c r="AP44" s="15">
        <f>F44*$AQ$11</f>
        <v/>
      </c>
      <c r="AQ44" s="9">
        <f>G44*$AQ$11</f>
        <v/>
      </c>
      <c r="AR44" s="30">
        <f>H44*$AQ$11</f>
        <v/>
      </c>
      <c r="AS44" s="30">
        <f>I44*$AQ$11</f>
        <v/>
      </c>
      <c r="AT44" s="30">
        <f>J44*$AQ$11</f>
        <v/>
      </c>
      <c r="AV44" s="15">
        <f>F44*$AW$11</f>
        <v/>
      </c>
      <c r="AW44" s="9">
        <f>G44*$AW$11</f>
        <v/>
      </c>
      <c r="AX44" s="30">
        <f>H44*$AW$11</f>
        <v/>
      </c>
      <c r="AY44" s="30">
        <f>I44*$AW$11</f>
        <v/>
      </c>
      <c r="AZ44" s="30">
        <f>J44*$AW$11</f>
        <v/>
      </c>
    </row>
    <row r="45">
      <c r="A45" s="8" t="n">
        <v>46569</v>
      </c>
      <c r="B45" s="33">
        <f>YEAR(A45)</f>
        <v/>
      </c>
      <c r="C45" s="33">
        <f>MONTH(A45)</f>
        <v/>
      </c>
      <c r="D45">
        <f>IF(A45&lt;=LastActual,"Actual","Forecast")</f>
        <v/>
      </c>
      <c r="E45" s="30">
        <f>IF($D45="Actual",R45,W45)</f>
        <v/>
      </c>
      <c r="F45" s="15">
        <f>IF($D45="Actual",S45,Cases_Forecast!AL38)</f>
        <v/>
      </c>
      <c r="G45" s="9">
        <f>IF($D45="Actual",T45,IFERROR(F45/K45,0))</f>
        <v/>
      </c>
      <c r="H45" s="30">
        <f>IF($D45="Actual",U45,G45*L45)</f>
        <v/>
      </c>
      <c r="I45" s="30">
        <f>IF($D45="Actual",V45,J45-H45)</f>
        <v/>
      </c>
      <c r="J45" s="30">
        <f>IF($D45="Actual",U45+V45,IFERROR(H45/(1-AD45),0))</f>
        <v/>
      </c>
      <c r="K45" s="10">
        <f>IF($D45="Actual",IFERROR(S45/T45,0),CPLH_Forecast!AL38)</f>
        <v/>
      </c>
      <c r="L45" s="34">
        <f>IF($D45="Actual",IFERROR(U45/T45,0),N(AE45))</f>
        <v/>
      </c>
      <c r="M45" s="35">
        <f>IFERROR(J45/F45,0)</f>
        <v/>
      </c>
      <c r="N45" s="36">
        <f>IFERROR(J45/E45,0)</f>
        <v/>
      </c>
      <c r="O45" s="36">
        <f>IFERROR(I45/J45,0)</f>
        <v/>
      </c>
      <c r="R45" s="52">
        <f>IF($D45="Actual",SUMIFS(Data_Actuals!$C$2:$C$5000,Data_Actuals!$A$2:$A$5000,$A45,Data_Actuals!$B$2:$B$5000,$B$2),"")</f>
        <v/>
      </c>
      <c r="S45" s="52">
        <f>IF($D45="Actual",SUMIFS(Data_Actuals!$D$2:$D$5000,Data_Actuals!$A$2:$A$5000,$A45,Data_Actuals!$B$2:$B$5000,$B$2),"")</f>
        <v/>
      </c>
      <c r="T45" s="52">
        <f>IF($D45="Actual",SUMIFS(Data_Actuals!$E$2:$E$5000,Data_Actuals!$A$2:$A$5000,$A45,Data_Actuals!$B$2:$B$5000,$B$2),"")</f>
        <v/>
      </c>
      <c r="U45" s="52">
        <f>IF($D45="Actual",SUMIFS(Data_Actuals!$F$2:$F$5000,Data_Actuals!$A$2:$A$5000,$A45,Data_Actuals!$B$2:$B$5000,$B$2),"")</f>
        <v/>
      </c>
      <c r="V45" s="52">
        <f>IF($D45="Actual",SUMIFS(Data_Actuals!$G$2:$G$5000,Data_Actuals!$A$2:$A$5000,$A45,Data_Actuals!$B$2:$B$5000,$B$2),"")</f>
        <v/>
      </c>
      <c r="W45" s="52">
        <f>SUMIFS(Plan_Inputs!$C$2:$C$5000,Plan_Inputs!$A$2:$A$5000,$A45,Plan_Inputs!$B$2:$B$5000,$B$2)</f>
        <v/>
      </c>
      <c r="X45" s="53">
        <f>IF($D45="Actual",IFERROR(S45/T45,""),X33)</f>
        <v/>
      </c>
      <c r="Y45" s="52">
        <f>E45</f>
        <v/>
      </c>
      <c r="Z45" s="54">
        <f>INDEX(Calendar!$H$5:$L$52,MATCH($A45,Calendar!$A$5:$A$52,0),MATCH($D$2,Calendar!$H$4:$L$4,0))</f>
        <v/>
      </c>
      <c r="AA45" s="54">
        <f>INDEX(Calendar!$M$5:$M$52,MATCH($A45,Calendar!$A$5:$A$52,0))</f>
        <v/>
      </c>
      <c r="AB45" s="55">
        <f>IF($D45="Actual",IFERROR(S45/Y45,""),AB33)</f>
        <v/>
      </c>
      <c r="AC45" s="56">
        <f>IF($D45="Actual",IFERROR(U45/T45/Z45/AA45,""),AC33)</f>
        <v/>
      </c>
      <c r="AD45" s="57">
        <f>IF($D45="Actual",IFERROR(V45/(U45+V45),""),$K$2)</f>
        <v/>
      </c>
      <c r="AE45" s="56">
        <f>IFERROR(AC45*Z45*AA45,"")</f>
        <v/>
      </c>
      <c r="AF45" s="53">
        <f>K33</f>
        <v/>
      </c>
      <c r="AG45" s="57">
        <f>IF($D45="Forecast",IFERROR(K45/AF45-1,""),"")</f>
        <v/>
      </c>
      <c r="AH45" s="53">
        <f>IF(CPLHSource="National breakdown",CPLH_Breakdown!AM50,SUMIFS(Plan_Inputs!$D$2:$D$5000,Plan_Inputs!$A$2:$A$5000,$A45,Plan_Inputs!$B$2:$B$5000,$B$2))</f>
        <v/>
      </c>
      <c r="AJ45" s="15">
        <f>F45*$AK$11</f>
        <v/>
      </c>
      <c r="AK45" s="9">
        <f>G45*$AK$11</f>
        <v/>
      </c>
      <c r="AL45" s="30">
        <f>H45*$AK$11</f>
        <v/>
      </c>
      <c r="AM45" s="30">
        <f>I45*$AK$11</f>
        <v/>
      </c>
      <c r="AN45" s="30">
        <f>J45*$AK$11</f>
        <v/>
      </c>
      <c r="AP45" s="15">
        <f>F45*$AQ$11</f>
        <v/>
      </c>
      <c r="AQ45" s="9">
        <f>G45*$AQ$11</f>
        <v/>
      </c>
      <c r="AR45" s="30">
        <f>H45*$AQ$11</f>
        <v/>
      </c>
      <c r="AS45" s="30">
        <f>I45*$AQ$11</f>
        <v/>
      </c>
      <c r="AT45" s="30">
        <f>J45*$AQ$11</f>
        <v/>
      </c>
      <c r="AV45" s="15">
        <f>F45*$AW$11</f>
        <v/>
      </c>
      <c r="AW45" s="9">
        <f>G45*$AW$11</f>
        <v/>
      </c>
      <c r="AX45" s="30">
        <f>H45*$AW$11</f>
        <v/>
      </c>
      <c r="AY45" s="30">
        <f>I45*$AW$11</f>
        <v/>
      </c>
      <c r="AZ45" s="30">
        <f>J45*$AW$11</f>
        <v/>
      </c>
    </row>
    <row r="46">
      <c r="A46" s="8" t="n">
        <v>46600</v>
      </c>
      <c r="B46" s="33">
        <f>YEAR(A46)</f>
        <v/>
      </c>
      <c r="C46" s="33">
        <f>MONTH(A46)</f>
        <v/>
      </c>
      <c r="D46">
        <f>IF(A46&lt;=LastActual,"Actual","Forecast")</f>
        <v/>
      </c>
      <c r="E46" s="30">
        <f>IF($D46="Actual",R46,W46)</f>
        <v/>
      </c>
      <c r="F46" s="15">
        <f>IF($D46="Actual",S46,Cases_Forecast!AL39)</f>
        <v/>
      </c>
      <c r="G46" s="9">
        <f>IF($D46="Actual",T46,IFERROR(F46/K46,0))</f>
        <v/>
      </c>
      <c r="H46" s="30">
        <f>IF($D46="Actual",U46,G46*L46)</f>
        <v/>
      </c>
      <c r="I46" s="30">
        <f>IF($D46="Actual",V46,J46-H46)</f>
        <v/>
      </c>
      <c r="J46" s="30">
        <f>IF($D46="Actual",U46+V46,IFERROR(H46/(1-AD46),0))</f>
        <v/>
      </c>
      <c r="K46" s="10">
        <f>IF($D46="Actual",IFERROR(S46/T46,0),CPLH_Forecast!AL39)</f>
        <v/>
      </c>
      <c r="L46" s="34">
        <f>IF($D46="Actual",IFERROR(U46/T46,0),N(AE46))</f>
        <v/>
      </c>
      <c r="M46" s="35">
        <f>IFERROR(J46/F46,0)</f>
        <v/>
      </c>
      <c r="N46" s="36">
        <f>IFERROR(J46/E46,0)</f>
        <v/>
      </c>
      <c r="O46" s="36">
        <f>IFERROR(I46/J46,0)</f>
        <v/>
      </c>
      <c r="R46" s="52">
        <f>IF($D46="Actual",SUMIFS(Data_Actuals!$C$2:$C$5000,Data_Actuals!$A$2:$A$5000,$A46,Data_Actuals!$B$2:$B$5000,$B$2),"")</f>
        <v/>
      </c>
      <c r="S46" s="52">
        <f>IF($D46="Actual",SUMIFS(Data_Actuals!$D$2:$D$5000,Data_Actuals!$A$2:$A$5000,$A46,Data_Actuals!$B$2:$B$5000,$B$2),"")</f>
        <v/>
      </c>
      <c r="T46" s="52">
        <f>IF($D46="Actual",SUMIFS(Data_Actuals!$E$2:$E$5000,Data_Actuals!$A$2:$A$5000,$A46,Data_Actuals!$B$2:$B$5000,$B$2),"")</f>
        <v/>
      </c>
      <c r="U46" s="52">
        <f>IF($D46="Actual",SUMIFS(Data_Actuals!$F$2:$F$5000,Data_Actuals!$A$2:$A$5000,$A46,Data_Actuals!$B$2:$B$5000,$B$2),"")</f>
        <v/>
      </c>
      <c r="V46" s="52">
        <f>IF($D46="Actual",SUMIFS(Data_Actuals!$G$2:$G$5000,Data_Actuals!$A$2:$A$5000,$A46,Data_Actuals!$B$2:$B$5000,$B$2),"")</f>
        <v/>
      </c>
      <c r="W46" s="52">
        <f>SUMIFS(Plan_Inputs!$C$2:$C$5000,Plan_Inputs!$A$2:$A$5000,$A46,Plan_Inputs!$B$2:$B$5000,$B$2)</f>
        <v/>
      </c>
      <c r="X46" s="53">
        <f>IF($D46="Actual",IFERROR(S46/T46,""),X34)</f>
        <v/>
      </c>
      <c r="Y46" s="52">
        <f>E46</f>
        <v/>
      </c>
      <c r="Z46" s="54">
        <f>INDEX(Calendar!$H$5:$L$52,MATCH($A46,Calendar!$A$5:$A$52,0),MATCH($D$2,Calendar!$H$4:$L$4,0))</f>
        <v/>
      </c>
      <c r="AA46" s="54">
        <f>INDEX(Calendar!$M$5:$M$52,MATCH($A46,Calendar!$A$5:$A$52,0))</f>
        <v/>
      </c>
      <c r="AB46" s="55">
        <f>IF($D46="Actual",IFERROR(S46/Y46,""),AB34)</f>
        <v/>
      </c>
      <c r="AC46" s="56">
        <f>IF($D46="Actual",IFERROR(U46/T46/Z46/AA46,""),AC34)</f>
        <v/>
      </c>
      <c r="AD46" s="57">
        <f>IF($D46="Actual",IFERROR(V46/(U46+V46),""),$K$2)</f>
        <v/>
      </c>
      <c r="AE46" s="56">
        <f>IFERROR(AC46*Z46*AA46,"")</f>
        <v/>
      </c>
      <c r="AF46" s="53">
        <f>K34</f>
        <v/>
      </c>
      <c r="AG46" s="57">
        <f>IF($D46="Forecast",IFERROR(K46/AF46-1,""),"")</f>
        <v/>
      </c>
      <c r="AH46" s="53">
        <f>IF(CPLHSource="National breakdown",CPLH_Breakdown!AM51,SUMIFS(Plan_Inputs!$D$2:$D$5000,Plan_Inputs!$A$2:$A$5000,$A46,Plan_Inputs!$B$2:$B$5000,$B$2))</f>
        <v/>
      </c>
      <c r="AJ46" s="15">
        <f>F46*$AK$11</f>
        <v/>
      </c>
      <c r="AK46" s="9">
        <f>G46*$AK$11</f>
        <v/>
      </c>
      <c r="AL46" s="30">
        <f>H46*$AK$11</f>
        <v/>
      </c>
      <c r="AM46" s="30">
        <f>I46*$AK$11</f>
        <v/>
      </c>
      <c r="AN46" s="30">
        <f>J46*$AK$11</f>
        <v/>
      </c>
      <c r="AP46" s="15">
        <f>F46*$AQ$11</f>
        <v/>
      </c>
      <c r="AQ46" s="9">
        <f>G46*$AQ$11</f>
        <v/>
      </c>
      <c r="AR46" s="30">
        <f>H46*$AQ$11</f>
        <v/>
      </c>
      <c r="AS46" s="30">
        <f>I46*$AQ$11</f>
        <v/>
      </c>
      <c r="AT46" s="30">
        <f>J46*$AQ$11</f>
        <v/>
      </c>
      <c r="AV46" s="15">
        <f>F46*$AW$11</f>
        <v/>
      </c>
      <c r="AW46" s="9">
        <f>G46*$AW$11</f>
        <v/>
      </c>
      <c r="AX46" s="30">
        <f>H46*$AW$11</f>
        <v/>
      </c>
      <c r="AY46" s="30">
        <f>I46*$AW$11</f>
        <v/>
      </c>
      <c r="AZ46" s="30">
        <f>J46*$AW$11</f>
        <v/>
      </c>
    </row>
    <row r="47">
      <c r="A47" s="8" t="n">
        <v>46631</v>
      </c>
      <c r="B47" s="33">
        <f>YEAR(A47)</f>
        <v/>
      </c>
      <c r="C47" s="33">
        <f>MONTH(A47)</f>
        <v/>
      </c>
      <c r="D47">
        <f>IF(A47&lt;=LastActual,"Actual","Forecast")</f>
        <v/>
      </c>
      <c r="E47" s="30">
        <f>IF($D47="Actual",R47,W47)</f>
        <v/>
      </c>
      <c r="F47" s="15">
        <f>IF($D47="Actual",S47,Cases_Forecast!AL40)</f>
        <v/>
      </c>
      <c r="G47" s="9">
        <f>IF($D47="Actual",T47,IFERROR(F47/K47,0))</f>
        <v/>
      </c>
      <c r="H47" s="30">
        <f>IF($D47="Actual",U47,G47*L47)</f>
        <v/>
      </c>
      <c r="I47" s="30">
        <f>IF($D47="Actual",V47,J47-H47)</f>
        <v/>
      </c>
      <c r="J47" s="30">
        <f>IF($D47="Actual",U47+V47,IFERROR(H47/(1-AD47),0))</f>
        <v/>
      </c>
      <c r="K47" s="10">
        <f>IF($D47="Actual",IFERROR(S47/T47,0),CPLH_Forecast!AL40)</f>
        <v/>
      </c>
      <c r="L47" s="34">
        <f>IF($D47="Actual",IFERROR(U47/T47,0),N(AE47))</f>
        <v/>
      </c>
      <c r="M47" s="35">
        <f>IFERROR(J47/F47,0)</f>
        <v/>
      </c>
      <c r="N47" s="36">
        <f>IFERROR(J47/E47,0)</f>
        <v/>
      </c>
      <c r="O47" s="36">
        <f>IFERROR(I47/J47,0)</f>
        <v/>
      </c>
      <c r="R47" s="52">
        <f>IF($D47="Actual",SUMIFS(Data_Actuals!$C$2:$C$5000,Data_Actuals!$A$2:$A$5000,$A47,Data_Actuals!$B$2:$B$5000,$B$2),"")</f>
        <v/>
      </c>
      <c r="S47" s="52">
        <f>IF($D47="Actual",SUMIFS(Data_Actuals!$D$2:$D$5000,Data_Actuals!$A$2:$A$5000,$A47,Data_Actuals!$B$2:$B$5000,$B$2),"")</f>
        <v/>
      </c>
      <c r="T47" s="52">
        <f>IF($D47="Actual",SUMIFS(Data_Actuals!$E$2:$E$5000,Data_Actuals!$A$2:$A$5000,$A47,Data_Actuals!$B$2:$B$5000,$B$2),"")</f>
        <v/>
      </c>
      <c r="U47" s="52">
        <f>IF($D47="Actual",SUMIFS(Data_Actuals!$F$2:$F$5000,Data_Actuals!$A$2:$A$5000,$A47,Data_Actuals!$B$2:$B$5000,$B$2),"")</f>
        <v/>
      </c>
      <c r="V47" s="52">
        <f>IF($D47="Actual",SUMIFS(Data_Actuals!$G$2:$G$5000,Data_Actuals!$A$2:$A$5000,$A47,Data_Actuals!$B$2:$B$5000,$B$2),"")</f>
        <v/>
      </c>
      <c r="W47" s="52">
        <f>SUMIFS(Plan_Inputs!$C$2:$C$5000,Plan_Inputs!$A$2:$A$5000,$A47,Plan_Inputs!$B$2:$B$5000,$B$2)</f>
        <v/>
      </c>
      <c r="X47" s="53">
        <f>IF($D47="Actual",IFERROR(S47/T47,""),X35)</f>
        <v/>
      </c>
      <c r="Y47" s="52">
        <f>E47</f>
        <v/>
      </c>
      <c r="Z47" s="54">
        <f>INDEX(Calendar!$H$5:$L$52,MATCH($A47,Calendar!$A$5:$A$52,0),MATCH($D$2,Calendar!$H$4:$L$4,0))</f>
        <v/>
      </c>
      <c r="AA47" s="54">
        <f>INDEX(Calendar!$M$5:$M$52,MATCH($A47,Calendar!$A$5:$A$52,0))</f>
        <v/>
      </c>
      <c r="AB47" s="55">
        <f>IF($D47="Actual",IFERROR(S47/Y47,""),AB35)</f>
        <v/>
      </c>
      <c r="AC47" s="56">
        <f>IF($D47="Actual",IFERROR(U47/T47/Z47/AA47,""),AC35)</f>
        <v/>
      </c>
      <c r="AD47" s="57">
        <f>IF($D47="Actual",IFERROR(V47/(U47+V47),""),$K$2)</f>
        <v/>
      </c>
      <c r="AE47" s="56">
        <f>IFERROR(AC47*Z47*AA47,"")</f>
        <v/>
      </c>
      <c r="AF47" s="53">
        <f>K35</f>
        <v/>
      </c>
      <c r="AG47" s="57">
        <f>IF($D47="Forecast",IFERROR(K47/AF47-1,""),"")</f>
        <v/>
      </c>
      <c r="AH47" s="53">
        <f>IF(CPLHSource="National breakdown",CPLH_Breakdown!AM52,SUMIFS(Plan_Inputs!$D$2:$D$5000,Plan_Inputs!$A$2:$A$5000,$A47,Plan_Inputs!$B$2:$B$5000,$B$2))</f>
        <v/>
      </c>
      <c r="AJ47" s="15">
        <f>F47*$AK$11</f>
        <v/>
      </c>
      <c r="AK47" s="9">
        <f>G47*$AK$11</f>
        <v/>
      </c>
      <c r="AL47" s="30">
        <f>H47*$AK$11</f>
        <v/>
      </c>
      <c r="AM47" s="30">
        <f>I47*$AK$11</f>
        <v/>
      </c>
      <c r="AN47" s="30">
        <f>J47*$AK$11</f>
        <v/>
      </c>
      <c r="AP47" s="15">
        <f>F47*$AQ$11</f>
        <v/>
      </c>
      <c r="AQ47" s="9">
        <f>G47*$AQ$11</f>
        <v/>
      </c>
      <c r="AR47" s="30">
        <f>H47*$AQ$11</f>
        <v/>
      </c>
      <c r="AS47" s="30">
        <f>I47*$AQ$11</f>
        <v/>
      </c>
      <c r="AT47" s="30">
        <f>J47*$AQ$11</f>
        <v/>
      </c>
      <c r="AV47" s="15">
        <f>F47*$AW$11</f>
        <v/>
      </c>
      <c r="AW47" s="9">
        <f>G47*$AW$11</f>
        <v/>
      </c>
      <c r="AX47" s="30">
        <f>H47*$AW$11</f>
        <v/>
      </c>
      <c r="AY47" s="30">
        <f>I47*$AW$11</f>
        <v/>
      </c>
      <c r="AZ47" s="30">
        <f>J47*$AW$11</f>
        <v/>
      </c>
    </row>
    <row r="48">
      <c r="A48" s="8" t="n">
        <v>46661</v>
      </c>
      <c r="B48" s="33">
        <f>YEAR(A48)</f>
        <v/>
      </c>
      <c r="C48" s="33">
        <f>MONTH(A48)</f>
        <v/>
      </c>
      <c r="D48">
        <f>IF(A48&lt;=LastActual,"Actual","Forecast")</f>
        <v/>
      </c>
      <c r="E48" s="30">
        <f>IF($D48="Actual",R48,W48)</f>
        <v/>
      </c>
      <c r="F48" s="15">
        <f>IF($D48="Actual",S48,Cases_Forecast!AL41)</f>
        <v/>
      </c>
      <c r="G48" s="9">
        <f>IF($D48="Actual",T48,IFERROR(F48/K48,0))</f>
        <v/>
      </c>
      <c r="H48" s="30">
        <f>IF($D48="Actual",U48,G48*L48)</f>
        <v/>
      </c>
      <c r="I48" s="30">
        <f>IF($D48="Actual",V48,J48-H48)</f>
        <v/>
      </c>
      <c r="J48" s="30">
        <f>IF($D48="Actual",U48+V48,IFERROR(H48/(1-AD48),0))</f>
        <v/>
      </c>
      <c r="K48" s="10">
        <f>IF($D48="Actual",IFERROR(S48/T48,0),CPLH_Forecast!AL41)</f>
        <v/>
      </c>
      <c r="L48" s="34">
        <f>IF($D48="Actual",IFERROR(U48/T48,0),N(AE48))</f>
        <v/>
      </c>
      <c r="M48" s="35">
        <f>IFERROR(J48/F48,0)</f>
        <v/>
      </c>
      <c r="N48" s="36">
        <f>IFERROR(J48/E48,0)</f>
        <v/>
      </c>
      <c r="O48" s="36">
        <f>IFERROR(I48/J48,0)</f>
        <v/>
      </c>
      <c r="R48" s="52">
        <f>IF($D48="Actual",SUMIFS(Data_Actuals!$C$2:$C$5000,Data_Actuals!$A$2:$A$5000,$A48,Data_Actuals!$B$2:$B$5000,$B$2),"")</f>
        <v/>
      </c>
      <c r="S48" s="52">
        <f>IF($D48="Actual",SUMIFS(Data_Actuals!$D$2:$D$5000,Data_Actuals!$A$2:$A$5000,$A48,Data_Actuals!$B$2:$B$5000,$B$2),"")</f>
        <v/>
      </c>
      <c r="T48" s="52">
        <f>IF($D48="Actual",SUMIFS(Data_Actuals!$E$2:$E$5000,Data_Actuals!$A$2:$A$5000,$A48,Data_Actuals!$B$2:$B$5000,$B$2),"")</f>
        <v/>
      </c>
      <c r="U48" s="52">
        <f>IF($D48="Actual",SUMIFS(Data_Actuals!$F$2:$F$5000,Data_Actuals!$A$2:$A$5000,$A48,Data_Actuals!$B$2:$B$5000,$B$2),"")</f>
        <v/>
      </c>
      <c r="V48" s="52">
        <f>IF($D48="Actual",SUMIFS(Data_Actuals!$G$2:$G$5000,Data_Actuals!$A$2:$A$5000,$A48,Data_Actuals!$B$2:$B$5000,$B$2),"")</f>
        <v/>
      </c>
      <c r="W48" s="52">
        <f>SUMIFS(Plan_Inputs!$C$2:$C$5000,Plan_Inputs!$A$2:$A$5000,$A48,Plan_Inputs!$B$2:$B$5000,$B$2)</f>
        <v/>
      </c>
      <c r="X48" s="53">
        <f>IF($D48="Actual",IFERROR(S48/T48,""),X36)</f>
        <v/>
      </c>
      <c r="Y48" s="52">
        <f>E48</f>
        <v/>
      </c>
      <c r="Z48" s="54">
        <f>INDEX(Calendar!$H$5:$L$52,MATCH($A48,Calendar!$A$5:$A$52,0),MATCH($D$2,Calendar!$H$4:$L$4,0))</f>
        <v/>
      </c>
      <c r="AA48" s="54">
        <f>INDEX(Calendar!$M$5:$M$52,MATCH($A48,Calendar!$A$5:$A$52,0))</f>
        <v/>
      </c>
      <c r="AB48" s="55">
        <f>IF($D48="Actual",IFERROR(S48/Y48,""),AB36)</f>
        <v/>
      </c>
      <c r="AC48" s="56">
        <f>IF($D48="Actual",IFERROR(U48/T48/Z48/AA48,""),AC36)</f>
        <v/>
      </c>
      <c r="AD48" s="57">
        <f>IF($D48="Actual",IFERROR(V48/(U48+V48),""),$K$2)</f>
        <v/>
      </c>
      <c r="AE48" s="56">
        <f>IFERROR(AC48*Z48*AA48,"")</f>
        <v/>
      </c>
      <c r="AF48" s="53">
        <f>K36</f>
        <v/>
      </c>
      <c r="AG48" s="57">
        <f>IF($D48="Forecast",IFERROR(K48/AF48-1,""),"")</f>
        <v/>
      </c>
      <c r="AH48" s="53">
        <f>IF(CPLHSource="National breakdown",CPLH_Breakdown!AM53,SUMIFS(Plan_Inputs!$D$2:$D$5000,Plan_Inputs!$A$2:$A$5000,$A48,Plan_Inputs!$B$2:$B$5000,$B$2))</f>
        <v/>
      </c>
      <c r="AJ48" s="15">
        <f>F48*$AK$11</f>
        <v/>
      </c>
      <c r="AK48" s="9">
        <f>G48*$AK$11</f>
        <v/>
      </c>
      <c r="AL48" s="30">
        <f>H48*$AK$11</f>
        <v/>
      </c>
      <c r="AM48" s="30">
        <f>I48*$AK$11</f>
        <v/>
      </c>
      <c r="AN48" s="30">
        <f>J48*$AK$11</f>
        <v/>
      </c>
      <c r="AP48" s="15">
        <f>F48*$AQ$11</f>
        <v/>
      </c>
      <c r="AQ48" s="9">
        <f>G48*$AQ$11</f>
        <v/>
      </c>
      <c r="AR48" s="30">
        <f>H48*$AQ$11</f>
        <v/>
      </c>
      <c r="AS48" s="30">
        <f>I48*$AQ$11</f>
        <v/>
      </c>
      <c r="AT48" s="30">
        <f>J48*$AQ$11</f>
        <v/>
      </c>
      <c r="AV48" s="15">
        <f>F48*$AW$11</f>
        <v/>
      </c>
      <c r="AW48" s="9">
        <f>G48*$AW$11</f>
        <v/>
      </c>
      <c r="AX48" s="30">
        <f>H48*$AW$11</f>
        <v/>
      </c>
      <c r="AY48" s="30">
        <f>I48*$AW$11</f>
        <v/>
      </c>
      <c r="AZ48" s="30">
        <f>J48*$AW$11</f>
        <v/>
      </c>
    </row>
    <row r="49">
      <c r="A49" s="8" t="n">
        <v>46692</v>
      </c>
      <c r="B49" s="33">
        <f>YEAR(A49)</f>
        <v/>
      </c>
      <c r="C49" s="33">
        <f>MONTH(A49)</f>
        <v/>
      </c>
      <c r="D49">
        <f>IF(A49&lt;=LastActual,"Actual","Forecast")</f>
        <v/>
      </c>
      <c r="E49" s="30">
        <f>IF($D49="Actual",R49,W49)</f>
        <v/>
      </c>
      <c r="F49" s="15">
        <f>IF($D49="Actual",S49,Cases_Forecast!AL42)</f>
        <v/>
      </c>
      <c r="G49" s="9">
        <f>IF($D49="Actual",T49,IFERROR(F49/K49,0))</f>
        <v/>
      </c>
      <c r="H49" s="30">
        <f>IF($D49="Actual",U49,G49*L49)</f>
        <v/>
      </c>
      <c r="I49" s="30">
        <f>IF($D49="Actual",V49,J49-H49)</f>
        <v/>
      </c>
      <c r="J49" s="30">
        <f>IF($D49="Actual",U49+V49,IFERROR(H49/(1-AD49),0))</f>
        <v/>
      </c>
      <c r="K49" s="10">
        <f>IF($D49="Actual",IFERROR(S49/T49,0),CPLH_Forecast!AL42)</f>
        <v/>
      </c>
      <c r="L49" s="34">
        <f>IF($D49="Actual",IFERROR(U49/T49,0),N(AE49))</f>
        <v/>
      </c>
      <c r="M49" s="35">
        <f>IFERROR(J49/F49,0)</f>
        <v/>
      </c>
      <c r="N49" s="36">
        <f>IFERROR(J49/E49,0)</f>
        <v/>
      </c>
      <c r="O49" s="36">
        <f>IFERROR(I49/J49,0)</f>
        <v/>
      </c>
      <c r="R49" s="52">
        <f>IF($D49="Actual",SUMIFS(Data_Actuals!$C$2:$C$5000,Data_Actuals!$A$2:$A$5000,$A49,Data_Actuals!$B$2:$B$5000,$B$2),"")</f>
        <v/>
      </c>
      <c r="S49" s="52">
        <f>IF($D49="Actual",SUMIFS(Data_Actuals!$D$2:$D$5000,Data_Actuals!$A$2:$A$5000,$A49,Data_Actuals!$B$2:$B$5000,$B$2),"")</f>
        <v/>
      </c>
      <c r="T49" s="52">
        <f>IF($D49="Actual",SUMIFS(Data_Actuals!$E$2:$E$5000,Data_Actuals!$A$2:$A$5000,$A49,Data_Actuals!$B$2:$B$5000,$B$2),"")</f>
        <v/>
      </c>
      <c r="U49" s="52">
        <f>IF($D49="Actual",SUMIFS(Data_Actuals!$F$2:$F$5000,Data_Actuals!$A$2:$A$5000,$A49,Data_Actuals!$B$2:$B$5000,$B$2),"")</f>
        <v/>
      </c>
      <c r="V49" s="52">
        <f>IF($D49="Actual",SUMIFS(Data_Actuals!$G$2:$G$5000,Data_Actuals!$A$2:$A$5000,$A49,Data_Actuals!$B$2:$B$5000,$B$2),"")</f>
        <v/>
      </c>
      <c r="W49" s="52">
        <f>SUMIFS(Plan_Inputs!$C$2:$C$5000,Plan_Inputs!$A$2:$A$5000,$A49,Plan_Inputs!$B$2:$B$5000,$B$2)</f>
        <v/>
      </c>
      <c r="X49" s="53">
        <f>IF($D49="Actual",IFERROR(S49/T49,""),X37)</f>
        <v/>
      </c>
      <c r="Y49" s="52">
        <f>E49</f>
        <v/>
      </c>
      <c r="Z49" s="54">
        <f>INDEX(Calendar!$H$5:$L$52,MATCH($A49,Calendar!$A$5:$A$52,0),MATCH($D$2,Calendar!$H$4:$L$4,0))</f>
        <v/>
      </c>
      <c r="AA49" s="54">
        <f>INDEX(Calendar!$M$5:$M$52,MATCH($A49,Calendar!$A$5:$A$52,0))</f>
        <v/>
      </c>
      <c r="AB49" s="55">
        <f>IF($D49="Actual",IFERROR(S49/Y49,""),AB37)</f>
        <v/>
      </c>
      <c r="AC49" s="56">
        <f>IF($D49="Actual",IFERROR(U49/T49/Z49/AA49,""),AC37)</f>
        <v/>
      </c>
      <c r="AD49" s="57">
        <f>IF($D49="Actual",IFERROR(V49/(U49+V49),""),$K$2)</f>
        <v/>
      </c>
      <c r="AE49" s="56">
        <f>IFERROR(AC49*Z49*AA49,"")</f>
        <v/>
      </c>
      <c r="AF49" s="53">
        <f>K37</f>
        <v/>
      </c>
      <c r="AG49" s="57">
        <f>IF($D49="Forecast",IFERROR(K49/AF49-1,""),"")</f>
        <v/>
      </c>
      <c r="AH49" s="53">
        <f>IF(CPLHSource="National breakdown",CPLH_Breakdown!AM54,SUMIFS(Plan_Inputs!$D$2:$D$5000,Plan_Inputs!$A$2:$A$5000,$A49,Plan_Inputs!$B$2:$B$5000,$B$2))</f>
        <v/>
      </c>
      <c r="AJ49" s="15">
        <f>F49*$AK$11</f>
        <v/>
      </c>
      <c r="AK49" s="9">
        <f>G49*$AK$11</f>
        <v/>
      </c>
      <c r="AL49" s="30">
        <f>H49*$AK$11</f>
        <v/>
      </c>
      <c r="AM49" s="30">
        <f>I49*$AK$11</f>
        <v/>
      </c>
      <c r="AN49" s="30">
        <f>J49*$AK$11</f>
        <v/>
      </c>
      <c r="AP49" s="15">
        <f>F49*$AQ$11</f>
        <v/>
      </c>
      <c r="AQ49" s="9">
        <f>G49*$AQ$11</f>
        <v/>
      </c>
      <c r="AR49" s="30">
        <f>H49*$AQ$11</f>
        <v/>
      </c>
      <c r="AS49" s="30">
        <f>I49*$AQ$11</f>
        <v/>
      </c>
      <c r="AT49" s="30">
        <f>J49*$AQ$11</f>
        <v/>
      </c>
      <c r="AV49" s="15">
        <f>F49*$AW$11</f>
        <v/>
      </c>
      <c r="AW49" s="9">
        <f>G49*$AW$11</f>
        <v/>
      </c>
      <c r="AX49" s="30">
        <f>H49*$AW$11</f>
        <v/>
      </c>
      <c r="AY49" s="30">
        <f>I49*$AW$11</f>
        <v/>
      </c>
      <c r="AZ49" s="30">
        <f>J49*$AW$11</f>
        <v/>
      </c>
    </row>
    <row r="50">
      <c r="A50" s="37" t="n">
        <v>46722</v>
      </c>
      <c r="B50" s="38">
        <f>YEAR(A50)</f>
        <v/>
      </c>
      <c r="C50" s="38">
        <f>MONTH(A50)</f>
        <v/>
      </c>
      <c r="D50" s="39">
        <f>IF(A50&lt;=LastActual,"Actual","Forecast")</f>
        <v/>
      </c>
      <c r="E50" s="40">
        <f>IF($D50="Actual",R50,W50)</f>
        <v/>
      </c>
      <c r="F50" s="41">
        <f>IF($D50="Actual",S50,Cases_Forecast!AL43)</f>
        <v/>
      </c>
      <c r="G50" s="42">
        <f>IF($D50="Actual",T50,IFERROR(F50/K50,0))</f>
        <v/>
      </c>
      <c r="H50" s="40">
        <f>IF($D50="Actual",U50,G50*L50)</f>
        <v/>
      </c>
      <c r="I50" s="40">
        <f>IF($D50="Actual",V50,J50-H50)</f>
        <v/>
      </c>
      <c r="J50" s="40">
        <f>IF($D50="Actual",U50+V50,IFERROR(H50/(1-AD50),0))</f>
        <v/>
      </c>
      <c r="K50" s="43">
        <f>IF($D50="Actual",IFERROR(S50/T50,0),CPLH_Forecast!AL43)</f>
        <v/>
      </c>
      <c r="L50" s="44">
        <f>IF($D50="Actual",IFERROR(U50/T50,0),N(AE50))</f>
        <v/>
      </c>
      <c r="M50" s="45">
        <f>IFERROR(J50/F50,0)</f>
        <v/>
      </c>
      <c r="N50" s="46">
        <f>IFERROR(J50/E50,0)</f>
        <v/>
      </c>
      <c r="O50" s="46">
        <f>IFERROR(I50/J50,0)</f>
        <v/>
      </c>
      <c r="R50" s="52">
        <f>IF($D50="Actual",SUMIFS(Data_Actuals!$C$2:$C$5000,Data_Actuals!$A$2:$A$5000,$A50,Data_Actuals!$B$2:$B$5000,$B$2),"")</f>
        <v/>
      </c>
      <c r="S50" s="52">
        <f>IF($D50="Actual",SUMIFS(Data_Actuals!$D$2:$D$5000,Data_Actuals!$A$2:$A$5000,$A50,Data_Actuals!$B$2:$B$5000,$B$2),"")</f>
        <v/>
      </c>
      <c r="T50" s="52">
        <f>IF($D50="Actual",SUMIFS(Data_Actuals!$E$2:$E$5000,Data_Actuals!$A$2:$A$5000,$A50,Data_Actuals!$B$2:$B$5000,$B$2),"")</f>
        <v/>
      </c>
      <c r="U50" s="52">
        <f>IF($D50="Actual",SUMIFS(Data_Actuals!$F$2:$F$5000,Data_Actuals!$A$2:$A$5000,$A50,Data_Actuals!$B$2:$B$5000,$B$2),"")</f>
        <v/>
      </c>
      <c r="V50" s="52">
        <f>IF($D50="Actual",SUMIFS(Data_Actuals!$G$2:$G$5000,Data_Actuals!$A$2:$A$5000,$A50,Data_Actuals!$B$2:$B$5000,$B$2),"")</f>
        <v/>
      </c>
      <c r="W50" s="52">
        <f>SUMIFS(Plan_Inputs!$C$2:$C$5000,Plan_Inputs!$A$2:$A$5000,$A50,Plan_Inputs!$B$2:$B$5000,$B$2)</f>
        <v/>
      </c>
      <c r="X50" s="53">
        <f>IF($D50="Actual",IFERROR(S50/T50,""),X38)</f>
        <v/>
      </c>
      <c r="Y50" s="52">
        <f>E50</f>
        <v/>
      </c>
      <c r="Z50" s="54">
        <f>INDEX(Calendar!$H$5:$L$52,MATCH($A50,Calendar!$A$5:$A$52,0),MATCH($D$2,Calendar!$H$4:$L$4,0))</f>
        <v/>
      </c>
      <c r="AA50" s="54">
        <f>INDEX(Calendar!$M$5:$M$52,MATCH($A50,Calendar!$A$5:$A$52,0))</f>
        <v/>
      </c>
      <c r="AB50" s="55">
        <f>IF($D50="Actual",IFERROR(S50/Y50,""),AB38)</f>
        <v/>
      </c>
      <c r="AC50" s="56">
        <f>IF($D50="Actual",IFERROR(U50/T50/Z50/AA50,""),AC38)</f>
        <v/>
      </c>
      <c r="AD50" s="57">
        <f>IF($D50="Actual",IFERROR(V50/(U50+V50),""),$K$2)</f>
        <v/>
      </c>
      <c r="AE50" s="56">
        <f>IFERROR(AC50*Z50*AA50,"")</f>
        <v/>
      </c>
      <c r="AF50" s="53">
        <f>K38</f>
        <v/>
      </c>
      <c r="AG50" s="57">
        <f>IF($D50="Forecast",IFERROR(K50/AF50-1,""),"")</f>
        <v/>
      </c>
      <c r="AH50" s="53">
        <f>IF(CPLHSource="National breakdown",CPLH_Breakdown!AM55,SUMIFS(Plan_Inputs!$D$2:$D$5000,Plan_Inputs!$A$2:$A$5000,$A50,Plan_Inputs!$B$2:$B$5000,$B$2))</f>
        <v/>
      </c>
      <c r="AJ50" s="41">
        <f>F50*$AK$11</f>
        <v/>
      </c>
      <c r="AK50" s="42">
        <f>G50*$AK$11</f>
        <v/>
      </c>
      <c r="AL50" s="40">
        <f>H50*$AK$11</f>
        <v/>
      </c>
      <c r="AM50" s="40">
        <f>I50*$AK$11</f>
        <v/>
      </c>
      <c r="AN50" s="40">
        <f>J50*$AK$11</f>
        <v/>
      </c>
      <c r="AP50" s="41">
        <f>F50*$AQ$11</f>
        <v/>
      </c>
      <c r="AQ50" s="42">
        <f>G50*$AQ$11</f>
        <v/>
      </c>
      <c r="AR50" s="40">
        <f>H50*$AQ$11</f>
        <v/>
      </c>
      <c r="AS50" s="40">
        <f>I50*$AQ$11</f>
        <v/>
      </c>
      <c r="AT50" s="40">
        <f>J50*$AQ$11</f>
        <v/>
      </c>
      <c r="AV50" s="41">
        <f>F50*$AW$11</f>
        <v/>
      </c>
      <c r="AW50" s="42">
        <f>G50*$AW$11</f>
        <v/>
      </c>
      <c r="AX50" s="40">
        <f>H50*$AW$11</f>
        <v/>
      </c>
      <c r="AY50" s="40">
        <f>I50*$AW$11</f>
        <v/>
      </c>
      <c r="AZ50" s="40">
        <f>J50*$AW$11</f>
        <v/>
      </c>
    </row>
    <row r="51">
      <c r="A51" s="8" t="n">
        <v>46753</v>
      </c>
      <c r="B51" s="33">
        <f>YEAR(A51)</f>
        <v/>
      </c>
      <c r="C51" s="33">
        <f>MONTH(A51)</f>
        <v/>
      </c>
      <c r="D51">
        <f>IF(A51&lt;=LastActual,"Actual","Forecast")</f>
        <v/>
      </c>
      <c r="E51" s="30">
        <f>IF($D51="Actual",R51,W51)</f>
        <v/>
      </c>
      <c r="F51" s="15">
        <f>IF($D51="Actual",S51,Cases_Forecast!AL44)</f>
        <v/>
      </c>
      <c r="G51" s="9">
        <f>IF($D51="Actual",T51,IFERROR(F51/K51,0))</f>
        <v/>
      </c>
      <c r="H51" s="30">
        <f>IF($D51="Actual",U51,G51*L51)</f>
        <v/>
      </c>
      <c r="I51" s="30">
        <f>IF($D51="Actual",V51,J51-H51)</f>
        <v/>
      </c>
      <c r="J51" s="30">
        <f>IF($D51="Actual",U51+V51,IFERROR(H51/(1-AD51),0))</f>
        <v/>
      </c>
      <c r="K51" s="10">
        <f>IF($D51="Actual",IFERROR(S51/T51,0),CPLH_Forecast!AL44)</f>
        <v/>
      </c>
      <c r="L51" s="34">
        <f>IF($D51="Actual",IFERROR(U51/T51,0),N(AE51))</f>
        <v/>
      </c>
      <c r="M51" s="35">
        <f>IFERROR(J51/F51,0)</f>
        <v/>
      </c>
      <c r="N51" s="36">
        <f>IFERROR(J51/E51,0)</f>
        <v/>
      </c>
      <c r="O51" s="36">
        <f>IFERROR(I51/J51,0)</f>
        <v/>
      </c>
      <c r="R51" s="52">
        <f>IF($D51="Actual",SUMIFS(Data_Actuals!$C$2:$C$5000,Data_Actuals!$A$2:$A$5000,$A51,Data_Actuals!$B$2:$B$5000,$B$2),"")</f>
        <v/>
      </c>
      <c r="S51" s="52">
        <f>IF($D51="Actual",SUMIFS(Data_Actuals!$D$2:$D$5000,Data_Actuals!$A$2:$A$5000,$A51,Data_Actuals!$B$2:$B$5000,$B$2),"")</f>
        <v/>
      </c>
      <c r="T51" s="52">
        <f>IF($D51="Actual",SUMIFS(Data_Actuals!$E$2:$E$5000,Data_Actuals!$A$2:$A$5000,$A51,Data_Actuals!$B$2:$B$5000,$B$2),"")</f>
        <v/>
      </c>
      <c r="U51" s="52">
        <f>IF($D51="Actual",SUMIFS(Data_Actuals!$F$2:$F$5000,Data_Actuals!$A$2:$A$5000,$A51,Data_Actuals!$B$2:$B$5000,$B$2),"")</f>
        <v/>
      </c>
      <c r="V51" s="52">
        <f>IF($D51="Actual",SUMIFS(Data_Actuals!$G$2:$G$5000,Data_Actuals!$A$2:$A$5000,$A51,Data_Actuals!$B$2:$B$5000,$B$2),"")</f>
        <v/>
      </c>
      <c r="W51" s="52">
        <f>SUMIFS(Plan_Inputs!$C$2:$C$5000,Plan_Inputs!$A$2:$A$5000,$A51,Plan_Inputs!$B$2:$B$5000,$B$2)</f>
        <v/>
      </c>
      <c r="X51" s="53">
        <f>IF($D51="Actual",IFERROR(S51/T51,""),X39)</f>
        <v/>
      </c>
      <c r="Y51" s="52">
        <f>E51</f>
        <v/>
      </c>
      <c r="Z51" s="54">
        <f>INDEX(Calendar!$H$5:$L$52,MATCH($A51,Calendar!$A$5:$A$52,0),MATCH($D$2,Calendar!$H$4:$L$4,0))</f>
        <v/>
      </c>
      <c r="AA51" s="54">
        <f>INDEX(Calendar!$M$5:$M$52,MATCH($A51,Calendar!$A$5:$A$52,0))</f>
        <v/>
      </c>
      <c r="AB51" s="55">
        <f>IF($D51="Actual",IFERROR(S51/Y51,""),AB39)</f>
        <v/>
      </c>
      <c r="AC51" s="56">
        <f>IF($D51="Actual",IFERROR(U51/T51/Z51/AA51,""),AC39)</f>
        <v/>
      </c>
      <c r="AD51" s="57">
        <f>IF($D51="Actual",IFERROR(V51/(U51+V51),""),$K$2)</f>
        <v/>
      </c>
      <c r="AE51" s="56">
        <f>IFERROR(AC51*Z51*AA51,"")</f>
        <v/>
      </c>
      <c r="AF51" s="53">
        <f>K39</f>
        <v/>
      </c>
      <c r="AG51" s="57">
        <f>IF($D51="Forecast",IFERROR(K51/AF51-1,""),"")</f>
        <v/>
      </c>
      <c r="AH51" s="53">
        <f>IF(CPLHSource="National breakdown",CPLH_Breakdown!AM56,SUMIFS(Plan_Inputs!$D$2:$D$5000,Plan_Inputs!$A$2:$A$5000,$A51,Plan_Inputs!$B$2:$B$5000,$B$2))</f>
        <v/>
      </c>
      <c r="AJ51" s="15">
        <f>F51*$AK$11</f>
        <v/>
      </c>
      <c r="AK51" s="9">
        <f>G51*$AK$11</f>
        <v/>
      </c>
      <c r="AL51" s="30">
        <f>H51*$AK$11</f>
        <v/>
      </c>
      <c r="AM51" s="30">
        <f>I51*$AK$11</f>
        <v/>
      </c>
      <c r="AN51" s="30">
        <f>J51*$AK$11</f>
        <v/>
      </c>
      <c r="AP51" s="15">
        <f>F51*$AQ$11</f>
        <v/>
      </c>
      <c r="AQ51" s="9">
        <f>G51*$AQ$11</f>
        <v/>
      </c>
      <c r="AR51" s="30">
        <f>H51*$AQ$11</f>
        <v/>
      </c>
      <c r="AS51" s="30">
        <f>I51*$AQ$11</f>
        <v/>
      </c>
      <c r="AT51" s="30">
        <f>J51*$AQ$11</f>
        <v/>
      </c>
      <c r="AV51" s="15">
        <f>F51*$AW$11</f>
        <v/>
      </c>
      <c r="AW51" s="9">
        <f>G51*$AW$11</f>
        <v/>
      </c>
      <c r="AX51" s="30">
        <f>H51*$AW$11</f>
        <v/>
      </c>
      <c r="AY51" s="30">
        <f>I51*$AW$11</f>
        <v/>
      </c>
      <c r="AZ51" s="30">
        <f>J51*$AW$11</f>
        <v/>
      </c>
    </row>
    <row r="52">
      <c r="A52" s="8" t="n">
        <v>46784</v>
      </c>
      <c r="B52" s="33">
        <f>YEAR(A52)</f>
        <v/>
      </c>
      <c r="C52" s="33">
        <f>MONTH(A52)</f>
        <v/>
      </c>
      <c r="D52">
        <f>IF(A52&lt;=LastActual,"Actual","Forecast")</f>
        <v/>
      </c>
      <c r="E52" s="30">
        <f>IF($D52="Actual",R52,W52)</f>
        <v/>
      </c>
      <c r="F52" s="15">
        <f>IF($D52="Actual",S52,Cases_Forecast!AL45)</f>
        <v/>
      </c>
      <c r="G52" s="9">
        <f>IF($D52="Actual",T52,IFERROR(F52/K52,0))</f>
        <v/>
      </c>
      <c r="H52" s="30">
        <f>IF($D52="Actual",U52,G52*L52)</f>
        <v/>
      </c>
      <c r="I52" s="30">
        <f>IF($D52="Actual",V52,J52-H52)</f>
        <v/>
      </c>
      <c r="J52" s="30">
        <f>IF($D52="Actual",U52+V52,IFERROR(H52/(1-AD52),0))</f>
        <v/>
      </c>
      <c r="K52" s="10">
        <f>IF($D52="Actual",IFERROR(S52/T52,0),CPLH_Forecast!AL45)</f>
        <v/>
      </c>
      <c r="L52" s="34">
        <f>IF($D52="Actual",IFERROR(U52/T52,0),N(AE52))</f>
        <v/>
      </c>
      <c r="M52" s="35">
        <f>IFERROR(J52/F52,0)</f>
        <v/>
      </c>
      <c r="N52" s="36">
        <f>IFERROR(J52/E52,0)</f>
        <v/>
      </c>
      <c r="O52" s="36">
        <f>IFERROR(I52/J52,0)</f>
        <v/>
      </c>
      <c r="R52" s="52">
        <f>IF($D52="Actual",SUMIFS(Data_Actuals!$C$2:$C$5000,Data_Actuals!$A$2:$A$5000,$A52,Data_Actuals!$B$2:$B$5000,$B$2),"")</f>
        <v/>
      </c>
      <c r="S52" s="52">
        <f>IF($D52="Actual",SUMIFS(Data_Actuals!$D$2:$D$5000,Data_Actuals!$A$2:$A$5000,$A52,Data_Actuals!$B$2:$B$5000,$B$2),"")</f>
        <v/>
      </c>
      <c r="T52" s="52">
        <f>IF($D52="Actual",SUMIFS(Data_Actuals!$E$2:$E$5000,Data_Actuals!$A$2:$A$5000,$A52,Data_Actuals!$B$2:$B$5000,$B$2),"")</f>
        <v/>
      </c>
      <c r="U52" s="52">
        <f>IF($D52="Actual",SUMIFS(Data_Actuals!$F$2:$F$5000,Data_Actuals!$A$2:$A$5000,$A52,Data_Actuals!$B$2:$B$5000,$B$2),"")</f>
        <v/>
      </c>
      <c r="V52" s="52">
        <f>IF($D52="Actual",SUMIFS(Data_Actuals!$G$2:$G$5000,Data_Actuals!$A$2:$A$5000,$A52,Data_Actuals!$B$2:$B$5000,$B$2),"")</f>
        <v/>
      </c>
      <c r="W52" s="52">
        <f>SUMIFS(Plan_Inputs!$C$2:$C$5000,Plan_Inputs!$A$2:$A$5000,$A52,Plan_Inputs!$B$2:$B$5000,$B$2)</f>
        <v/>
      </c>
      <c r="X52" s="53">
        <f>IF($D52="Actual",IFERROR(S52/T52,""),X40)</f>
        <v/>
      </c>
      <c r="Y52" s="52">
        <f>E52</f>
        <v/>
      </c>
      <c r="Z52" s="54">
        <f>INDEX(Calendar!$H$5:$L$52,MATCH($A52,Calendar!$A$5:$A$52,0),MATCH($D$2,Calendar!$H$4:$L$4,0))</f>
        <v/>
      </c>
      <c r="AA52" s="54">
        <f>INDEX(Calendar!$M$5:$M$52,MATCH($A52,Calendar!$A$5:$A$52,0))</f>
        <v/>
      </c>
      <c r="AB52" s="55">
        <f>IF($D52="Actual",IFERROR(S52/Y52,""),AB40)</f>
        <v/>
      </c>
      <c r="AC52" s="56">
        <f>IF($D52="Actual",IFERROR(U52/T52/Z52/AA52,""),AC40)</f>
        <v/>
      </c>
      <c r="AD52" s="57">
        <f>IF($D52="Actual",IFERROR(V52/(U52+V52),""),$K$2)</f>
        <v/>
      </c>
      <c r="AE52" s="56">
        <f>IFERROR(AC52*Z52*AA52,"")</f>
        <v/>
      </c>
      <c r="AF52" s="53">
        <f>K40</f>
        <v/>
      </c>
      <c r="AG52" s="57">
        <f>IF($D52="Forecast",IFERROR(K52/AF52-1,""),"")</f>
        <v/>
      </c>
      <c r="AH52" s="53">
        <f>IF(CPLHSource="National breakdown",CPLH_Breakdown!AM57,SUMIFS(Plan_Inputs!$D$2:$D$5000,Plan_Inputs!$A$2:$A$5000,$A52,Plan_Inputs!$B$2:$B$5000,$B$2))</f>
        <v/>
      </c>
      <c r="AJ52" s="15">
        <f>F52*$AK$11</f>
        <v/>
      </c>
      <c r="AK52" s="9">
        <f>G52*$AK$11</f>
        <v/>
      </c>
      <c r="AL52" s="30">
        <f>H52*$AK$11</f>
        <v/>
      </c>
      <c r="AM52" s="30">
        <f>I52*$AK$11</f>
        <v/>
      </c>
      <c r="AN52" s="30">
        <f>J52*$AK$11</f>
        <v/>
      </c>
      <c r="AP52" s="15">
        <f>F52*$AQ$11</f>
        <v/>
      </c>
      <c r="AQ52" s="9">
        <f>G52*$AQ$11</f>
        <v/>
      </c>
      <c r="AR52" s="30">
        <f>H52*$AQ$11</f>
        <v/>
      </c>
      <c r="AS52" s="30">
        <f>I52*$AQ$11</f>
        <v/>
      </c>
      <c r="AT52" s="30">
        <f>J52*$AQ$11</f>
        <v/>
      </c>
      <c r="AV52" s="15">
        <f>F52*$AW$11</f>
        <v/>
      </c>
      <c r="AW52" s="9">
        <f>G52*$AW$11</f>
        <v/>
      </c>
      <c r="AX52" s="30">
        <f>H52*$AW$11</f>
        <v/>
      </c>
      <c r="AY52" s="30">
        <f>I52*$AW$11</f>
        <v/>
      </c>
      <c r="AZ52" s="30">
        <f>J52*$AW$11</f>
        <v/>
      </c>
    </row>
    <row r="53">
      <c r="A53" s="8" t="n">
        <v>46813</v>
      </c>
      <c r="B53" s="33">
        <f>YEAR(A53)</f>
        <v/>
      </c>
      <c r="C53" s="33">
        <f>MONTH(A53)</f>
        <v/>
      </c>
      <c r="D53">
        <f>IF(A53&lt;=LastActual,"Actual","Forecast")</f>
        <v/>
      </c>
      <c r="E53" s="30">
        <f>IF($D53="Actual",R53,W53)</f>
        <v/>
      </c>
      <c r="F53" s="15">
        <f>IF($D53="Actual",S53,Cases_Forecast!AL46)</f>
        <v/>
      </c>
      <c r="G53" s="9">
        <f>IF($D53="Actual",T53,IFERROR(F53/K53,0))</f>
        <v/>
      </c>
      <c r="H53" s="30">
        <f>IF($D53="Actual",U53,G53*L53)</f>
        <v/>
      </c>
      <c r="I53" s="30">
        <f>IF($D53="Actual",V53,J53-H53)</f>
        <v/>
      </c>
      <c r="J53" s="30">
        <f>IF($D53="Actual",U53+V53,IFERROR(H53/(1-AD53),0))</f>
        <v/>
      </c>
      <c r="K53" s="10">
        <f>IF($D53="Actual",IFERROR(S53/T53,0),CPLH_Forecast!AL46)</f>
        <v/>
      </c>
      <c r="L53" s="34">
        <f>IF($D53="Actual",IFERROR(U53/T53,0),N(AE53))</f>
        <v/>
      </c>
      <c r="M53" s="35">
        <f>IFERROR(J53/F53,0)</f>
        <v/>
      </c>
      <c r="N53" s="36">
        <f>IFERROR(J53/E53,0)</f>
        <v/>
      </c>
      <c r="O53" s="36">
        <f>IFERROR(I53/J53,0)</f>
        <v/>
      </c>
      <c r="R53" s="52">
        <f>IF($D53="Actual",SUMIFS(Data_Actuals!$C$2:$C$5000,Data_Actuals!$A$2:$A$5000,$A53,Data_Actuals!$B$2:$B$5000,$B$2),"")</f>
        <v/>
      </c>
      <c r="S53" s="52">
        <f>IF($D53="Actual",SUMIFS(Data_Actuals!$D$2:$D$5000,Data_Actuals!$A$2:$A$5000,$A53,Data_Actuals!$B$2:$B$5000,$B$2),"")</f>
        <v/>
      </c>
      <c r="T53" s="52">
        <f>IF($D53="Actual",SUMIFS(Data_Actuals!$E$2:$E$5000,Data_Actuals!$A$2:$A$5000,$A53,Data_Actuals!$B$2:$B$5000,$B$2),"")</f>
        <v/>
      </c>
      <c r="U53" s="52">
        <f>IF($D53="Actual",SUMIFS(Data_Actuals!$F$2:$F$5000,Data_Actuals!$A$2:$A$5000,$A53,Data_Actuals!$B$2:$B$5000,$B$2),"")</f>
        <v/>
      </c>
      <c r="V53" s="52">
        <f>IF($D53="Actual",SUMIFS(Data_Actuals!$G$2:$G$5000,Data_Actuals!$A$2:$A$5000,$A53,Data_Actuals!$B$2:$B$5000,$B$2),"")</f>
        <v/>
      </c>
      <c r="W53" s="52">
        <f>SUMIFS(Plan_Inputs!$C$2:$C$5000,Plan_Inputs!$A$2:$A$5000,$A53,Plan_Inputs!$B$2:$B$5000,$B$2)</f>
        <v/>
      </c>
      <c r="X53" s="53">
        <f>IF($D53="Actual",IFERROR(S53/T53,""),X41)</f>
        <v/>
      </c>
      <c r="Y53" s="52">
        <f>E53</f>
        <v/>
      </c>
      <c r="Z53" s="54">
        <f>INDEX(Calendar!$H$5:$L$52,MATCH($A53,Calendar!$A$5:$A$52,0),MATCH($D$2,Calendar!$H$4:$L$4,0))</f>
        <v/>
      </c>
      <c r="AA53" s="54">
        <f>INDEX(Calendar!$M$5:$M$52,MATCH($A53,Calendar!$A$5:$A$52,0))</f>
        <v/>
      </c>
      <c r="AB53" s="55">
        <f>IF($D53="Actual",IFERROR(S53/Y53,""),AB41)</f>
        <v/>
      </c>
      <c r="AC53" s="56">
        <f>IF($D53="Actual",IFERROR(U53/T53/Z53/AA53,""),AC41)</f>
        <v/>
      </c>
      <c r="AD53" s="57">
        <f>IF($D53="Actual",IFERROR(V53/(U53+V53),""),$K$2)</f>
        <v/>
      </c>
      <c r="AE53" s="56">
        <f>IFERROR(AC53*Z53*AA53,"")</f>
        <v/>
      </c>
      <c r="AF53" s="53">
        <f>K41</f>
        <v/>
      </c>
      <c r="AG53" s="57">
        <f>IF($D53="Forecast",IFERROR(K53/AF53-1,""),"")</f>
        <v/>
      </c>
      <c r="AH53" s="53">
        <f>IF(CPLHSource="National breakdown",CPLH_Breakdown!AM58,SUMIFS(Plan_Inputs!$D$2:$D$5000,Plan_Inputs!$A$2:$A$5000,$A53,Plan_Inputs!$B$2:$B$5000,$B$2))</f>
        <v/>
      </c>
      <c r="AJ53" s="15">
        <f>F53*$AK$11</f>
        <v/>
      </c>
      <c r="AK53" s="9">
        <f>G53*$AK$11</f>
        <v/>
      </c>
      <c r="AL53" s="30">
        <f>H53*$AK$11</f>
        <v/>
      </c>
      <c r="AM53" s="30">
        <f>I53*$AK$11</f>
        <v/>
      </c>
      <c r="AN53" s="30">
        <f>J53*$AK$11</f>
        <v/>
      </c>
      <c r="AP53" s="15">
        <f>F53*$AQ$11</f>
        <v/>
      </c>
      <c r="AQ53" s="9">
        <f>G53*$AQ$11</f>
        <v/>
      </c>
      <c r="AR53" s="30">
        <f>H53*$AQ$11</f>
        <v/>
      </c>
      <c r="AS53" s="30">
        <f>I53*$AQ$11</f>
        <v/>
      </c>
      <c r="AT53" s="30">
        <f>J53*$AQ$11</f>
        <v/>
      </c>
      <c r="AV53" s="15">
        <f>F53*$AW$11</f>
        <v/>
      </c>
      <c r="AW53" s="9">
        <f>G53*$AW$11</f>
        <v/>
      </c>
      <c r="AX53" s="30">
        <f>H53*$AW$11</f>
        <v/>
      </c>
      <c r="AY53" s="30">
        <f>I53*$AW$11</f>
        <v/>
      </c>
      <c r="AZ53" s="30">
        <f>J53*$AW$11</f>
        <v/>
      </c>
    </row>
    <row r="54">
      <c r="A54" s="8" t="n">
        <v>46844</v>
      </c>
      <c r="B54" s="33">
        <f>YEAR(A54)</f>
        <v/>
      </c>
      <c r="C54" s="33">
        <f>MONTH(A54)</f>
        <v/>
      </c>
      <c r="D54">
        <f>IF(A54&lt;=LastActual,"Actual","Forecast")</f>
        <v/>
      </c>
      <c r="E54" s="30">
        <f>IF($D54="Actual",R54,W54)</f>
        <v/>
      </c>
      <c r="F54" s="15">
        <f>IF($D54="Actual",S54,Cases_Forecast!AL47)</f>
        <v/>
      </c>
      <c r="G54" s="9">
        <f>IF($D54="Actual",T54,IFERROR(F54/K54,0))</f>
        <v/>
      </c>
      <c r="H54" s="30">
        <f>IF($D54="Actual",U54,G54*L54)</f>
        <v/>
      </c>
      <c r="I54" s="30">
        <f>IF($D54="Actual",V54,J54-H54)</f>
        <v/>
      </c>
      <c r="J54" s="30">
        <f>IF($D54="Actual",U54+V54,IFERROR(H54/(1-AD54),0))</f>
        <v/>
      </c>
      <c r="K54" s="10">
        <f>IF($D54="Actual",IFERROR(S54/T54,0),CPLH_Forecast!AL47)</f>
        <v/>
      </c>
      <c r="L54" s="34">
        <f>IF($D54="Actual",IFERROR(U54/T54,0),N(AE54))</f>
        <v/>
      </c>
      <c r="M54" s="35">
        <f>IFERROR(J54/F54,0)</f>
        <v/>
      </c>
      <c r="N54" s="36">
        <f>IFERROR(J54/E54,0)</f>
        <v/>
      </c>
      <c r="O54" s="36">
        <f>IFERROR(I54/J54,0)</f>
        <v/>
      </c>
      <c r="R54" s="52">
        <f>IF($D54="Actual",SUMIFS(Data_Actuals!$C$2:$C$5000,Data_Actuals!$A$2:$A$5000,$A54,Data_Actuals!$B$2:$B$5000,$B$2),"")</f>
        <v/>
      </c>
      <c r="S54" s="52">
        <f>IF($D54="Actual",SUMIFS(Data_Actuals!$D$2:$D$5000,Data_Actuals!$A$2:$A$5000,$A54,Data_Actuals!$B$2:$B$5000,$B$2),"")</f>
        <v/>
      </c>
      <c r="T54" s="52">
        <f>IF($D54="Actual",SUMIFS(Data_Actuals!$E$2:$E$5000,Data_Actuals!$A$2:$A$5000,$A54,Data_Actuals!$B$2:$B$5000,$B$2),"")</f>
        <v/>
      </c>
      <c r="U54" s="52">
        <f>IF($D54="Actual",SUMIFS(Data_Actuals!$F$2:$F$5000,Data_Actuals!$A$2:$A$5000,$A54,Data_Actuals!$B$2:$B$5000,$B$2),"")</f>
        <v/>
      </c>
      <c r="V54" s="52">
        <f>IF($D54="Actual",SUMIFS(Data_Actuals!$G$2:$G$5000,Data_Actuals!$A$2:$A$5000,$A54,Data_Actuals!$B$2:$B$5000,$B$2),"")</f>
        <v/>
      </c>
      <c r="W54" s="52">
        <f>SUMIFS(Plan_Inputs!$C$2:$C$5000,Plan_Inputs!$A$2:$A$5000,$A54,Plan_Inputs!$B$2:$B$5000,$B$2)</f>
        <v/>
      </c>
      <c r="X54" s="53">
        <f>IF($D54="Actual",IFERROR(S54/T54,""),X42)</f>
        <v/>
      </c>
      <c r="Y54" s="52">
        <f>E54</f>
        <v/>
      </c>
      <c r="Z54" s="54">
        <f>INDEX(Calendar!$H$5:$L$52,MATCH($A54,Calendar!$A$5:$A$52,0),MATCH($D$2,Calendar!$H$4:$L$4,0))</f>
        <v/>
      </c>
      <c r="AA54" s="54">
        <f>INDEX(Calendar!$M$5:$M$52,MATCH($A54,Calendar!$A$5:$A$52,0))</f>
        <v/>
      </c>
      <c r="AB54" s="55">
        <f>IF($D54="Actual",IFERROR(S54/Y54,""),AB42)</f>
        <v/>
      </c>
      <c r="AC54" s="56">
        <f>IF($D54="Actual",IFERROR(U54/T54/Z54/AA54,""),AC42)</f>
        <v/>
      </c>
      <c r="AD54" s="57">
        <f>IF($D54="Actual",IFERROR(V54/(U54+V54),""),$K$2)</f>
        <v/>
      </c>
      <c r="AE54" s="56">
        <f>IFERROR(AC54*Z54*AA54,"")</f>
        <v/>
      </c>
      <c r="AF54" s="53">
        <f>K42</f>
        <v/>
      </c>
      <c r="AG54" s="57">
        <f>IF($D54="Forecast",IFERROR(K54/AF54-1,""),"")</f>
        <v/>
      </c>
      <c r="AH54" s="53">
        <f>IF(CPLHSource="National breakdown",CPLH_Breakdown!AM59,SUMIFS(Plan_Inputs!$D$2:$D$5000,Plan_Inputs!$A$2:$A$5000,$A54,Plan_Inputs!$B$2:$B$5000,$B$2))</f>
        <v/>
      </c>
      <c r="AJ54" s="15">
        <f>F54*$AK$11</f>
        <v/>
      </c>
      <c r="AK54" s="9">
        <f>G54*$AK$11</f>
        <v/>
      </c>
      <c r="AL54" s="30">
        <f>H54*$AK$11</f>
        <v/>
      </c>
      <c r="AM54" s="30">
        <f>I54*$AK$11</f>
        <v/>
      </c>
      <c r="AN54" s="30">
        <f>J54*$AK$11</f>
        <v/>
      </c>
      <c r="AP54" s="15">
        <f>F54*$AQ$11</f>
        <v/>
      </c>
      <c r="AQ54" s="9">
        <f>G54*$AQ$11</f>
        <v/>
      </c>
      <c r="AR54" s="30">
        <f>H54*$AQ$11</f>
        <v/>
      </c>
      <c r="AS54" s="30">
        <f>I54*$AQ$11</f>
        <v/>
      </c>
      <c r="AT54" s="30">
        <f>J54*$AQ$11</f>
        <v/>
      </c>
      <c r="AV54" s="15">
        <f>F54*$AW$11</f>
        <v/>
      </c>
      <c r="AW54" s="9">
        <f>G54*$AW$11</f>
        <v/>
      </c>
      <c r="AX54" s="30">
        <f>H54*$AW$11</f>
        <v/>
      </c>
      <c r="AY54" s="30">
        <f>I54*$AW$11</f>
        <v/>
      </c>
      <c r="AZ54" s="30">
        <f>J54*$AW$11</f>
        <v/>
      </c>
    </row>
    <row r="55">
      <c r="A55" s="8" t="n">
        <v>46874</v>
      </c>
      <c r="B55" s="33">
        <f>YEAR(A55)</f>
        <v/>
      </c>
      <c r="C55" s="33">
        <f>MONTH(A55)</f>
        <v/>
      </c>
      <c r="D55">
        <f>IF(A55&lt;=LastActual,"Actual","Forecast")</f>
        <v/>
      </c>
      <c r="E55" s="30">
        <f>IF($D55="Actual",R55,W55)</f>
        <v/>
      </c>
      <c r="F55" s="15">
        <f>IF($D55="Actual",S55,Cases_Forecast!AL48)</f>
        <v/>
      </c>
      <c r="G55" s="9">
        <f>IF($D55="Actual",T55,IFERROR(F55/K55,0))</f>
        <v/>
      </c>
      <c r="H55" s="30">
        <f>IF($D55="Actual",U55,G55*L55)</f>
        <v/>
      </c>
      <c r="I55" s="30">
        <f>IF($D55="Actual",V55,J55-H55)</f>
        <v/>
      </c>
      <c r="J55" s="30">
        <f>IF($D55="Actual",U55+V55,IFERROR(H55/(1-AD55),0))</f>
        <v/>
      </c>
      <c r="K55" s="10">
        <f>IF($D55="Actual",IFERROR(S55/T55,0),CPLH_Forecast!AL48)</f>
        <v/>
      </c>
      <c r="L55" s="34">
        <f>IF($D55="Actual",IFERROR(U55/T55,0),N(AE55))</f>
        <v/>
      </c>
      <c r="M55" s="35">
        <f>IFERROR(J55/F55,0)</f>
        <v/>
      </c>
      <c r="N55" s="36">
        <f>IFERROR(J55/E55,0)</f>
        <v/>
      </c>
      <c r="O55" s="36">
        <f>IFERROR(I55/J55,0)</f>
        <v/>
      </c>
      <c r="R55" s="52">
        <f>IF($D55="Actual",SUMIFS(Data_Actuals!$C$2:$C$5000,Data_Actuals!$A$2:$A$5000,$A55,Data_Actuals!$B$2:$B$5000,$B$2),"")</f>
        <v/>
      </c>
      <c r="S55" s="52">
        <f>IF($D55="Actual",SUMIFS(Data_Actuals!$D$2:$D$5000,Data_Actuals!$A$2:$A$5000,$A55,Data_Actuals!$B$2:$B$5000,$B$2),"")</f>
        <v/>
      </c>
      <c r="T55" s="52">
        <f>IF($D55="Actual",SUMIFS(Data_Actuals!$E$2:$E$5000,Data_Actuals!$A$2:$A$5000,$A55,Data_Actuals!$B$2:$B$5000,$B$2),"")</f>
        <v/>
      </c>
      <c r="U55" s="52">
        <f>IF($D55="Actual",SUMIFS(Data_Actuals!$F$2:$F$5000,Data_Actuals!$A$2:$A$5000,$A55,Data_Actuals!$B$2:$B$5000,$B$2),"")</f>
        <v/>
      </c>
      <c r="V55" s="52">
        <f>IF($D55="Actual",SUMIFS(Data_Actuals!$G$2:$G$5000,Data_Actuals!$A$2:$A$5000,$A55,Data_Actuals!$B$2:$B$5000,$B$2),"")</f>
        <v/>
      </c>
      <c r="W55" s="52">
        <f>SUMIFS(Plan_Inputs!$C$2:$C$5000,Plan_Inputs!$A$2:$A$5000,$A55,Plan_Inputs!$B$2:$B$5000,$B$2)</f>
        <v/>
      </c>
      <c r="X55" s="53">
        <f>IF($D55="Actual",IFERROR(S55/T55,""),X43)</f>
        <v/>
      </c>
      <c r="Y55" s="52">
        <f>E55</f>
        <v/>
      </c>
      <c r="Z55" s="54">
        <f>INDEX(Calendar!$H$5:$L$52,MATCH($A55,Calendar!$A$5:$A$52,0),MATCH($D$2,Calendar!$H$4:$L$4,0))</f>
        <v/>
      </c>
      <c r="AA55" s="54">
        <f>INDEX(Calendar!$M$5:$M$52,MATCH($A55,Calendar!$A$5:$A$52,0))</f>
        <v/>
      </c>
      <c r="AB55" s="55">
        <f>IF($D55="Actual",IFERROR(S55/Y55,""),AB43)</f>
        <v/>
      </c>
      <c r="AC55" s="56">
        <f>IF($D55="Actual",IFERROR(U55/T55/Z55/AA55,""),AC43)</f>
        <v/>
      </c>
      <c r="AD55" s="57">
        <f>IF($D55="Actual",IFERROR(V55/(U55+V55),""),$K$2)</f>
        <v/>
      </c>
      <c r="AE55" s="56">
        <f>IFERROR(AC55*Z55*AA55,"")</f>
        <v/>
      </c>
      <c r="AF55" s="53">
        <f>K43</f>
        <v/>
      </c>
      <c r="AG55" s="57">
        <f>IF($D55="Forecast",IFERROR(K55/AF55-1,""),"")</f>
        <v/>
      </c>
      <c r="AH55" s="53">
        <f>IF(CPLHSource="National breakdown",CPLH_Breakdown!AM60,SUMIFS(Plan_Inputs!$D$2:$D$5000,Plan_Inputs!$A$2:$A$5000,$A55,Plan_Inputs!$B$2:$B$5000,$B$2))</f>
        <v/>
      </c>
      <c r="AJ55" s="15">
        <f>F55*$AK$11</f>
        <v/>
      </c>
      <c r="AK55" s="9">
        <f>G55*$AK$11</f>
        <v/>
      </c>
      <c r="AL55" s="30">
        <f>H55*$AK$11</f>
        <v/>
      </c>
      <c r="AM55" s="30">
        <f>I55*$AK$11</f>
        <v/>
      </c>
      <c r="AN55" s="30">
        <f>J55*$AK$11</f>
        <v/>
      </c>
      <c r="AP55" s="15">
        <f>F55*$AQ$11</f>
        <v/>
      </c>
      <c r="AQ55" s="9">
        <f>G55*$AQ$11</f>
        <v/>
      </c>
      <c r="AR55" s="30">
        <f>H55*$AQ$11</f>
        <v/>
      </c>
      <c r="AS55" s="30">
        <f>I55*$AQ$11</f>
        <v/>
      </c>
      <c r="AT55" s="30">
        <f>J55*$AQ$11</f>
        <v/>
      </c>
      <c r="AV55" s="15">
        <f>F55*$AW$11</f>
        <v/>
      </c>
      <c r="AW55" s="9">
        <f>G55*$AW$11</f>
        <v/>
      </c>
      <c r="AX55" s="30">
        <f>H55*$AW$11</f>
        <v/>
      </c>
      <c r="AY55" s="30">
        <f>I55*$AW$11</f>
        <v/>
      </c>
      <c r="AZ55" s="30">
        <f>J55*$AW$11</f>
        <v/>
      </c>
    </row>
    <row r="56">
      <c r="A56" s="8" t="n">
        <v>46905</v>
      </c>
      <c r="B56" s="33">
        <f>YEAR(A56)</f>
        <v/>
      </c>
      <c r="C56" s="33">
        <f>MONTH(A56)</f>
        <v/>
      </c>
      <c r="D56">
        <f>IF(A56&lt;=LastActual,"Actual","Forecast")</f>
        <v/>
      </c>
      <c r="E56" s="30">
        <f>IF($D56="Actual",R56,W56)</f>
        <v/>
      </c>
      <c r="F56" s="15">
        <f>IF($D56="Actual",S56,Cases_Forecast!AL49)</f>
        <v/>
      </c>
      <c r="G56" s="9">
        <f>IF($D56="Actual",T56,IFERROR(F56/K56,0))</f>
        <v/>
      </c>
      <c r="H56" s="30">
        <f>IF($D56="Actual",U56,G56*L56)</f>
        <v/>
      </c>
      <c r="I56" s="30">
        <f>IF($D56="Actual",V56,J56-H56)</f>
        <v/>
      </c>
      <c r="J56" s="30">
        <f>IF($D56="Actual",U56+V56,IFERROR(H56/(1-AD56),0))</f>
        <v/>
      </c>
      <c r="K56" s="10">
        <f>IF($D56="Actual",IFERROR(S56/T56,0),CPLH_Forecast!AL49)</f>
        <v/>
      </c>
      <c r="L56" s="34">
        <f>IF($D56="Actual",IFERROR(U56/T56,0),N(AE56))</f>
        <v/>
      </c>
      <c r="M56" s="35">
        <f>IFERROR(J56/F56,0)</f>
        <v/>
      </c>
      <c r="N56" s="36">
        <f>IFERROR(J56/E56,0)</f>
        <v/>
      </c>
      <c r="O56" s="36">
        <f>IFERROR(I56/J56,0)</f>
        <v/>
      </c>
      <c r="R56" s="52">
        <f>IF($D56="Actual",SUMIFS(Data_Actuals!$C$2:$C$5000,Data_Actuals!$A$2:$A$5000,$A56,Data_Actuals!$B$2:$B$5000,$B$2),"")</f>
        <v/>
      </c>
      <c r="S56" s="52">
        <f>IF($D56="Actual",SUMIFS(Data_Actuals!$D$2:$D$5000,Data_Actuals!$A$2:$A$5000,$A56,Data_Actuals!$B$2:$B$5000,$B$2),"")</f>
        <v/>
      </c>
      <c r="T56" s="52">
        <f>IF($D56="Actual",SUMIFS(Data_Actuals!$E$2:$E$5000,Data_Actuals!$A$2:$A$5000,$A56,Data_Actuals!$B$2:$B$5000,$B$2),"")</f>
        <v/>
      </c>
      <c r="U56" s="52">
        <f>IF($D56="Actual",SUMIFS(Data_Actuals!$F$2:$F$5000,Data_Actuals!$A$2:$A$5000,$A56,Data_Actuals!$B$2:$B$5000,$B$2),"")</f>
        <v/>
      </c>
      <c r="V56" s="52">
        <f>IF($D56="Actual",SUMIFS(Data_Actuals!$G$2:$G$5000,Data_Actuals!$A$2:$A$5000,$A56,Data_Actuals!$B$2:$B$5000,$B$2),"")</f>
        <v/>
      </c>
      <c r="W56" s="52">
        <f>SUMIFS(Plan_Inputs!$C$2:$C$5000,Plan_Inputs!$A$2:$A$5000,$A56,Plan_Inputs!$B$2:$B$5000,$B$2)</f>
        <v/>
      </c>
      <c r="X56" s="53">
        <f>IF($D56="Actual",IFERROR(S56/T56,""),X44)</f>
        <v/>
      </c>
      <c r="Y56" s="52">
        <f>E56</f>
        <v/>
      </c>
      <c r="Z56" s="54">
        <f>INDEX(Calendar!$H$5:$L$52,MATCH($A56,Calendar!$A$5:$A$52,0),MATCH($D$2,Calendar!$H$4:$L$4,0))</f>
        <v/>
      </c>
      <c r="AA56" s="54">
        <f>INDEX(Calendar!$M$5:$M$52,MATCH($A56,Calendar!$A$5:$A$52,0))</f>
        <v/>
      </c>
      <c r="AB56" s="55">
        <f>IF($D56="Actual",IFERROR(S56/Y56,""),AB44)</f>
        <v/>
      </c>
      <c r="AC56" s="56">
        <f>IF($D56="Actual",IFERROR(U56/T56/Z56/AA56,""),AC44)</f>
        <v/>
      </c>
      <c r="AD56" s="57">
        <f>IF($D56="Actual",IFERROR(V56/(U56+V56),""),$K$2)</f>
        <v/>
      </c>
      <c r="AE56" s="56">
        <f>IFERROR(AC56*Z56*AA56,"")</f>
        <v/>
      </c>
      <c r="AF56" s="53">
        <f>K44</f>
        <v/>
      </c>
      <c r="AG56" s="57">
        <f>IF($D56="Forecast",IFERROR(K56/AF56-1,""),"")</f>
        <v/>
      </c>
      <c r="AH56" s="53">
        <f>IF(CPLHSource="National breakdown",CPLH_Breakdown!AM61,SUMIFS(Plan_Inputs!$D$2:$D$5000,Plan_Inputs!$A$2:$A$5000,$A56,Plan_Inputs!$B$2:$B$5000,$B$2))</f>
        <v/>
      </c>
      <c r="AJ56" s="15">
        <f>F56*$AK$11</f>
        <v/>
      </c>
      <c r="AK56" s="9">
        <f>G56*$AK$11</f>
        <v/>
      </c>
      <c r="AL56" s="30">
        <f>H56*$AK$11</f>
        <v/>
      </c>
      <c r="AM56" s="30">
        <f>I56*$AK$11</f>
        <v/>
      </c>
      <c r="AN56" s="30">
        <f>J56*$AK$11</f>
        <v/>
      </c>
      <c r="AP56" s="15">
        <f>F56*$AQ$11</f>
        <v/>
      </c>
      <c r="AQ56" s="9">
        <f>G56*$AQ$11</f>
        <v/>
      </c>
      <c r="AR56" s="30">
        <f>H56*$AQ$11</f>
        <v/>
      </c>
      <c r="AS56" s="30">
        <f>I56*$AQ$11</f>
        <v/>
      </c>
      <c r="AT56" s="30">
        <f>J56*$AQ$11</f>
        <v/>
      </c>
      <c r="AV56" s="15">
        <f>F56*$AW$11</f>
        <v/>
      </c>
      <c r="AW56" s="9">
        <f>G56*$AW$11</f>
        <v/>
      </c>
      <c r="AX56" s="30">
        <f>H56*$AW$11</f>
        <v/>
      </c>
      <c r="AY56" s="30">
        <f>I56*$AW$11</f>
        <v/>
      </c>
      <c r="AZ56" s="30">
        <f>J56*$AW$11</f>
        <v/>
      </c>
    </row>
    <row r="57">
      <c r="A57" s="8" t="n">
        <v>46935</v>
      </c>
      <c r="B57" s="33">
        <f>YEAR(A57)</f>
        <v/>
      </c>
      <c r="C57" s="33">
        <f>MONTH(A57)</f>
        <v/>
      </c>
      <c r="D57">
        <f>IF(A57&lt;=LastActual,"Actual","Forecast")</f>
        <v/>
      </c>
      <c r="E57" s="30">
        <f>IF($D57="Actual",R57,W57)</f>
        <v/>
      </c>
      <c r="F57" s="15">
        <f>IF($D57="Actual",S57,Cases_Forecast!AL50)</f>
        <v/>
      </c>
      <c r="G57" s="9">
        <f>IF($D57="Actual",T57,IFERROR(F57/K57,0))</f>
        <v/>
      </c>
      <c r="H57" s="30">
        <f>IF($D57="Actual",U57,G57*L57)</f>
        <v/>
      </c>
      <c r="I57" s="30">
        <f>IF($D57="Actual",V57,J57-H57)</f>
        <v/>
      </c>
      <c r="J57" s="30">
        <f>IF($D57="Actual",U57+V57,IFERROR(H57/(1-AD57),0))</f>
        <v/>
      </c>
      <c r="K57" s="10">
        <f>IF($D57="Actual",IFERROR(S57/T57,0),CPLH_Forecast!AL50)</f>
        <v/>
      </c>
      <c r="L57" s="34">
        <f>IF($D57="Actual",IFERROR(U57/T57,0),N(AE57))</f>
        <v/>
      </c>
      <c r="M57" s="35">
        <f>IFERROR(J57/F57,0)</f>
        <v/>
      </c>
      <c r="N57" s="36">
        <f>IFERROR(J57/E57,0)</f>
        <v/>
      </c>
      <c r="O57" s="36">
        <f>IFERROR(I57/J57,0)</f>
        <v/>
      </c>
      <c r="R57" s="52">
        <f>IF($D57="Actual",SUMIFS(Data_Actuals!$C$2:$C$5000,Data_Actuals!$A$2:$A$5000,$A57,Data_Actuals!$B$2:$B$5000,$B$2),"")</f>
        <v/>
      </c>
      <c r="S57" s="52">
        <f>IF($D57="Actual",SUMIFS(Data_Actuals!$D$2:$D$5000,Data_Actuals!$A$2:$A$5000,$A57,Data_Actuals!$B$2:$B$5000,$B$2),"")</f>
        <v/>
      </c>
      <c r="T57" s="52">
        <f>IF($D57="Actual",SUMIFS(Data_Actuals!$E$2:$E$5000,Data_Actuals!$A$2:$A$5000,$A57,Data_Actuals!$B$2:$B$5000,$B$2),"")</f>
        <v/>
      </c>
      <c r="U57" s="52">
        <f>IF($D57="Actual",SUMIFS(Data_Actuals!$F$2:$F$5000,Data_Actuals!$A$2:$A$5000,$A57,Data_Actuals!$B$2:$B$5000,$B$2),"")</f>
        <v/>
      </c>
      <c r="V57" s="52">
        <f>IF($D57="Actual",SUMIFS(Data_Actuals!$G$2:$G$5000,Data_Actuals!$A$2:$A$5000,$A57,Data_Actuals!$B$2:$B$5000,$B$2),"")</f>
        <v/>
      </c>
      <c r="W57" s="52">
        <f>SUMIFS(Plan_Inputs!$C$2:$C$5000,Plan_Inputs!$A$2:$A$5000,$A57,Plan_Inputs!$B$2:$B$5000,$B$2)</f>
        <v/>
      </c>
      <c r="X57" s="53">
        <f>IF($D57="Actual",IFERROR(S57/T57,""),X45)</f>
        <v/>
      </c>
      <c r="Y57" s="52">
        <f>E57</f>
        <v/>
      </c>
      <c r="Z57" s="54">
        <f>INDEX(Calendar!$H$5:$L$52,MATCH($A57,Calendar!$A$5:$A$52,0),MATCH($D$2,Calendar!$H$4:$L$4,0))</f>
        <v/>
      </c>
      <c r="AA57" s="54">
        <f>INDEX(Calendar!$M$5:$M$52,MATCH($A57,Calendar!$A$5:$A$52,0))</f>
        <v/>
      </c>
      <c r="AB57" s="55">
        <f>IF($D57="Actual",IFERROR(S57/Y57,""),AB45)</f>
        <v/>
      </c>
      <c r="AC57" s="56">
        <f>IF($D57="Actual",IFERROR(U57/T57/Z57/AA57,""),AC45)</f>
        <v/>
      </c>
      <c r="AD57" s="57">
        <f>IF($D57="Actual",IFERROR(V57/(U57+V57),""),$K$2)</f>
        <v/>
      </c>
      <c r="AE57" s="56">
        <f>IFERROR(AC57*Z57*AA57,"")</f>
        <v/>
      </c>
      <c r="AF57" s="53">
        <f>K45</f>
        <v/>
      </c>
      <c r="AG57" s="57">
        <f>IF($D57="Forecast",IFERROR(K57/AF57-1,""),"")</f>
        <v/>
      </c>
      <c r="AH57" s="53">
        <f>IF(CPLHSource="National breakdown",CPLH_Breakdown!AM62,SUMIFS(Plan_Inputs!$D$2:$D$5000,Plan_Inputs!$A$2:$A$5000,$A57,Plan_Inputs!$B$2:$B$5000,$B$2))</f>
        <v/>
      </c>
      <c r="AJ57" s="15">
        <f>F57*$AK$11</f>
        <v/>
      </c>
      <c r="AK57" s="9">
        <f>G57*$AK$11</f>
        <v/>
      </c>
      <c r="AL57" s="30">
        <f>H57*$AK$11</f>
        <v/>
      </c>
      <c r="AM57" s="30">
        <f>I57*$AK$11</f>
        <v/>
      </c>
      <c r="AN57" s="30">
        <f>J57*$AK$11</f>
        <v/>
      </c>
      <c r="AP57" s="15">
        <f>F57*$AQ$11</f>
        <v/>
      </c>
      <c r="AQ57" s="9">
        <f>G57*$AQ$11</f>
        <v/>
      </c>
      <c r="AR57" s="30">
        <f>H57*$AQ$11</f>
        <v/>
      </c>
      <c r="AS57" s="30">
        <f>I57*$AQ$11</f>
        <v/>
      </c>
      <c r="AT57" s="30">
        <f>J57*$AQ$11</f>
        <v/>
      </c>
      <c r="AV57" s="15">
        <f>F57*$AW$11</f>
        <v/>
      </c>
      <c r="AW57" s="9">
        <f>G57*$AW$11</f>
        <v/>
      </c>
      <c r="AX57" s="30">
        <f>H57*$AW$11</f>
        <v/>
      </c>
      <c r="AY57" s="30">
        <f>I57*$AW$11</f>
        <v/>
      </c>
      <c r="AZ57" s="30">
        <f>J57*$AW$11</f>
        <v/>
      </c>
    </row>
    <row r="58">
      <c r="A58" s="8" t="n">
        <v>46966</v>
      </c>
      <c r="B58" s="33">
        <f>YEAR(A58)</f>
        <v/>
      </c>
      <c r="C58" s="33">
        <f>MONTH(A58)</f>
        <v/>
      </c>
      <c r="D58">
        <f>IF(A58&lt;=LastActual,"Actual","Forecast")</f>
        <v/>
      </c>
      <c r="E58" s="30">
        <f>IF($D58="Actual",R58,W58)</f>
        <v/>
      </c>
      <c r="F58" s="15">
        <f>IF($D58="Actual",S58,Cases_Forecast!AL51)</f>
        <v/>
      </c>
      <c r="G58" s="9">
        <f>IF($D58="Actual",T58,IFERROR(F58/K58,0))</f>
        <v/>
      </c>
      <c r="H58" s="30">
        <f>IF($D58="Actual",U58,G58*L58)</f>
        <v/>
      </c>
      <c r="I58" s="30">
        <f>IF($D58="Actual",V58,J58-H58)</f>
        <v/>
      </c>
      <c r="J58" s="30">
        <f>IF($D58="Actual",U58+V58,IFERROR(H58/(1-AD58),0))</f>
        <v/>
      </c>
      <c r="K58" s="10">
        <f>IF($D58="Actual",IFERROR(S58/T58,0),CPLH_Forecast!AL51)</f>
        <v/>
      </c>
      <c r="L58" s="34">
        <f>IF($D58="Actual",IFERROR(U58/T58,0),N(AE58))</f>
        <v/>
      </c>
      <c r="M58" s="35">
        <f>IFERROR(J58/F58,0)</f>
        <v/>
      </c>
      <c r="N58" s="36">
        <f>IFERROR(J58/E58,0)</f>
        <v/>
      </c>
      <c r="O58" s="36">
        <f>IFERROR(I58/J58,0)</f>
        <v/>
      </c>
      <c r="R58" s="52">
        <f>IF($D58="Actual",SUMIFS(Data_Actuals!$C$2:$C$5000,Data_Actuals!$A$2:$A$5000,$A58,Data_Actuals!$B$2:$B$5000,$B$2),"")</f>
        <v/>
      </c>
      <c r="S58" s="52">
        <f>IF($D58="Actual",SUMIFS(Data_Actuals!$D$2:$D$5000,Data_Actuals!$A$2:$A$5000,$A58,Data_Actuals!$B$2:$B$5000,$B$2),"")</f>
        <v/>
      </c>
      <c r="T58" s="52">
        <f>IF($D58="Actual",SUMIFS(Data_Actuals!$E$2:$E$5000,Data_Actuals!$A$2:$A$5000,$A58,Data_Actuals!$B$2:$B$5000,$B$2),"")</f>
        <v/>
      </c>
      <c r="U58" s="52">
        <f>IF($D58="Actual",SUMIFS(Data_Actuals!$F$2:$F$5000,Data_Actuals!$A$2:$A$5000,$A58,Data_Actuals!$B$2:$B$5000,$B$2),"")</f>
        <v/>
      </c>
      <c r="V58" s="52">
        <f>IF($D58="Actual",SUMIFS(Data_Actuals!$G$2:$G$5000,Data_Actuals!$A$2:$A$5000,$A58,Data_Actuals!$B$2:$B$5000,$B$2),"")</f>
        <v/>
      </c>
      <c r="W58" s="52">
        <f>SUMIFS(Plan_Inputs!$C$2:$C$5000,Plan_Inputs!$A$2:$A$5000,$A58,Plan_Inputs!$B$2:$B$5000,$B$2)</f>
        <v/>
      </c>
      <c r="X58" s="53">
        <f>IF($D58="Actual",IFERROR(S58/T58,""),X46)</f>
        <v/>
      </c>
      <c r="Y58" s="52">
        <f>E58</f>
        <v/>
      </c>
      <c r="Z58" s="54">
        <f>INDEX(Calendar!$H$5:$L$52,MATCH($A58,Calendar!$A$5:$A$52,0),MATCH($D$2,Calendar!$H$4:$L$4,0))</f>
        <v/>
      </c>
      <c r="AA58" s="54">
        <f>INDEX(Calendar!$M$5:$M$52,MATCH($A58,Calendar!$A$5:$A$52,0))</f>
        <v/>
      </c>
      <c r="AB58" s="55">
        <f>IF($D58="Actual",IFERROR(S58/Y58,""),AB46)</f>
        <v/>
      </c>
      <c r="AC58" s="56">
        <f>IF($D58="Actual",IFERROR(U58/T58/Z58/AA58,""),AC46)</f>
        <v/>
      </c>
      <c r="AD58" s="57">
        <f>IF($D58="Actual",IFERROR(V58/(U58+V58),""),$K$2)</f>
        <v/>
      </c>
      <c r="AE58" s="56">
        <f>IFERROR(AC58*Z58*AA58,"")</f>
        <v/>
      </c>
      <c r="AF58" s="53">
        <f>K46</f>
        <v/>
      </c>
      <c r="AG58" s="57">
        <f>IF($D58="Forecast",IFERROR(K58/AF58-1,""),"")</f>
        <v/>
      </c>
      <c r="AH58" s="53">
        <f>IF(CPLHSource="National breakdown",CPLH_Breakdown!AM63,SUMIFS(Plan_Inputs!$D$2:$D$5000,Plan_Inputs!$A$2:$A$5000,$A58,Plan_Inputs!$B$2:$B$5000,$B$2))</f>
        <v/>
      </c>
      <c r="AJ58" s="15">
        <f>F58*$AK$11</f>
        <v/>
      </c>
      <c r="AK58" s="9">
        <f>G58*$AK$11</f>
        <v/>
      </c>
      <c r="AL58" s="30">
        <f>H58*$AK$11</f>
        <v/>
      </c>
      <c r="AM58" s="30">
        <f>I58*$AK$11</f>
        <v/>
      </c>
      <c r="AN58" s="30">
        <f>J58*$AK$11</f>
        <v/>
      </c>
      <c r="AP58" s="15">
        <f>F58*$AQ$11</f>
        <v/>
      </c>
      <c r="AQ58" s="9">
        <f>G58*$AQ$11</f>
        <v/>
      </c>
      <c r="AR58" s="30">
        <f>H58*$AQ$11</f>
        <v/>
      </c>
      <c r="AS58" s="30">
        <f>I58*$AQ$11</f>
        <v/>
      </c>
      <c r="AT58" s="30">
        <f>J58*$AQ$11</f>
        <v/>
      </c>
      <c r="AV58" s="15">
        <f>F58*$AW$11</f>
        <v/>
      </c>
      <c r="AW58" s="9">
        <f>G58*$AW$11</f>
        <v/>
      </c>
      <c r="AX58" s="30">
        <f>H58*$AW$11</f>
        <v/>
      </c>
      <c r="AY58" s="30">
        <f>I58*$AW$11</f>
        <v/>
      </c>
      <c r="AZ58" s="30">
        <f>J58*$AW$11</f>
        <v/>
      </c>
    </row>
    <row r="59">
      <c r="A59" s="8" t="n">
        <v>46997</v>
      </c>
      <c r="B59" s="33">
        <f>YEAR(A59)</f>
        <v/>
      </c>
      <c r="C59" s="33">
        <f>MONTH(A59)</f>
        <v/>
      </c>
      <c r="D59">
        <f>IF(A59&lt;=LastActual,"Actual","Forecast")</f>
        <v/>
      </c>
      <c r="E59" s="30">
        <f>IF($D59="Actual",R59,W59)</f>
        <v/>
      </c>
      <c r="F59" s="15">
        <f>IF($D59="Actual",S59,Cases_Forecast!AL52)</f>
        <v/>
      </c>
      <c r="G59" s="9">
        <f>IF($D59="Actual",T59,IFERROR(F59/K59,0))</f>
        <v/>
      </c>
      <c r="H59" s="30">
        <f>IF($D59="Actual",U59,G59*L59)</f>
        <v/>
      </c>
      <c r="I59" s="30">
        <f>IF($D59="Actual",V59,J59-H59)</f>
        <v/>
      </c>
      <c r="J59" s="30">
        <f>IF($D59="Actual",U59+V59,IFERROR(H59/(1-AD59),0))</f>
        <v/>
      </c>
      <c r="K59" s="10">
        <f>IF($D59="Actual",IFERROR(S59/T59,0),CPLH_Forecast!AL52)</f>
        <v/>
      </c>
      <c r="L59" s="34">
        <f>IF($D59="Actual",IFERROR(U59/T59,0),N(AE59))</f>
        <v/>
      </c>
      <c r="M59" s="35">
        <f>IFERROR(J59/F59,0)</f>
        <v/>
      </c>
      <c r="N59" s="36">
        <f>IFERROR(J59/E59,0)</f>
        <v/>
      </c>
      <c r="O59" s="36">
        <f>IFERROR(I59/J59,0)</f>
        <v/>
      </c>
      <c r="R59" s="52">
        <f>IF($D59="Actual",SUMIFS(Data_Actuals!$C$2:$C$5000,Data_Actuals!$A$2:$A$5000,$A59,Data_Actuals!$B$2:$B$5000,$B$2),"")</f>
        <v/>
      </c>
      <c r="S59" s="52">
        <f>IF($D59="Actual",SUMIFS(Data_Actuals!$D$2:$D$5000,Data_Actuals!$A$2:$A$5000,$A59,Data_Actuals!$B$2:$B$5000,$B$2),"")</f>
        <v/>
      </c>
      <c r="T59" s="52">
        <f>IF($D59="Actual",SUMIFS(Data_Actuals!$E$2:$E$5000,Data_Actuals!$A$2:$A$5000,$A59,Data_Actuals!$B$2:$B$5000,$B$2),"")</f>
        <v/>
      </c>
      <c r="U59" s="52">
        <f>IF($D59="Actual",SUMIFS(Data_Actuals!$F$2:$F$5000,Data_Actuals!$A$2:$A$5000,$A59,Data_Actuals!$B$2:$B$5000,$B$2),"")</f>
        <v/>
      </c>
      <c r="V59" s="52">
        <f>IF($D59="Actual",SUMIFS(Data_Actuals!$G$2:$G$5000,Data_Actuals!$A$2:$A$5000,$A59,Data_Actuals!$B$2:$B$5000,$B$2),"")</f>
        <v/>
      </c>
      <c r="W59" s="52">
        <f>SUMIFS(Plan_Inputs!$C$2:$C$5000,Plan_Inputs!$A$2:$A$5000,$A59,Plan_Inputs!$B$2:$B$5000,$B$2)</f>
        <v/>
      </c>
      <c r="X59" s="53">
        <f>IF($D59="Actual",IFERROR(S59/T59,""),X47)</f>
        <v/>
      </c>
      <c r="Y59" s="52">
        <f>E59</f>
        <v/>
      </c>
      <c r="Z59" s="54">
        <f>INDEX(Calendar!$H$5:$L$52,MATCH($A59,Calendar!$A$5:$A$52,0),MATCH($D$2,Calendar!$H$4:$L$4,0))</f>
        <v/>
      </c>
      <c r="AA59" s="54">
        <f>INDEX(Calendar!$M$5:$M$52,MATCH($A59,Calendar!$A$5:$A$52,0))</f>
        <v/>
      </c>
      <c r="AB59" s="55">
        <f>IF($D59="Actual",IFERROR(S59/Y59,""),AB47)</f>
        <v/>
      </c>
      <c r="AC59" s="56">
        <f>IF($D59="Actual",IFERROR(U59/T59/Z59/AA59,""),AC47)</f>
        <v/>
      </c>
      <c r="AD59" s="57">
        <f>IF($D59="Actual",IFERROR(V59/(U59+V59),""),$K$2)</f>
        <v/>
      </c>
      <c r="AE59" s="56">
        <f>IFERROR(AC59*Z59*AA59,"")</f>
        <v/>
      </c>
      <c r="AF59" s="53">
        <f>K47</f>
        <v/>
      </c>
      <c r="AG59" s="57">
        <f>IF($D59="Forecast",IFERROR(K59/AF59-1,""),"")</f>
        <v/>
      </c>
      <c r="AH59" s="53">
        <f>IF(CPLHSource="National breakdown",CPLH_Breakdown!AM64,SUMIFS(Plan_Inputs!$D$2:$D$5000,Plan_Inputs!$A$2:$A$5000,$A59,Plan_Inputs!$B$2:$B$5000,$B$2))</f>
        <v/>
      </c>
      <c r="AJ59" s="15">
        <f>F59*$AK$11</f>
        <v/>
      </c>
      <c r="AK59" s="9">
        <f>G59*$AK$11</f>
        <v/>
      </c>
      <c r="AL59" s="30">
        <f>H59*$AK$11</f>
        <v/>
      </c>
      <c r="AM59" s="30">
        <f>I59*$AK$11</f>
        <v/>
      </c>
      <c r="AN59" s="30">
        <f>J59*$AK$11</f>
        <v/>
      </c>
      <c r="AP59" s="15">
        <f>F59*$AQ$11</f>
        <v/>
      </c>
      <c r="AQ59" s="9">
        <f>G59*$AQ$11</f>
        <v/>
      </c>
      <c r="AR59" s="30">
        <f>H59*$AQ$11</f>
        <v/>
      </c>
      <c r="AS59" s="30">
        <f>I59*$AQ$11</f>
        <v/>
      </c>
      <c r="AT59" s="30">
        <f>J59*$AQ$11</f>
        <v/>
      </c>
      <c r="AV59" s="15">
        <f>F59*$AW$11</f>
        <v/>
      </c>
      <c r="AW59" s="9">
        <f>G59*$AW$11</f>
        <v/>
      </c>
      <c r="AX59" s="30">
        <f>H59*$AW$11</f>
        <v/>
      </c>
      <c r="AY59" s="30">
        <f>I59*$AW$11</f>
        <v/>
      </c>
      <c r="AZ59" s="30">
        <f>J59*$AW$11</f>
        <v/>
      </c>
    </row>
    <row r="60">
      <c r="A60" s="8" t="n">
        <v>47027</v>
      </c>
      <c r="B60" s="33">
        <f>YEAR(A60)</f>
        <v/>
      </c>
      <c r="C60" s="33">
        <f>MONTH(A60)</f>
        <v/>
      </c>
      <c r="D60">
        <f>IF(A60&lt;=LastActual,"Actual","Forecast")</f>
        <v/>
      </c>
      <c r="E60" s="30">
        <f>IF($D60="Actual",R60,W60)</f>
        <v/>
      </c>
      <c r="F60" s="15">
        <f>IF($D60="Actual",S60,Cases_Forecast!AL53)</f>
        <v/>
      </c>
      <c r="G60" s="9">
        <f>IF($D60="Actual",T60,IFERROR(F60/K60,0))</f>
        <v/>
      </c>
      <c r="H60" s="30">
        <f>IF($D60="Actual",U60,G60*L60)</f>
        <v/>
      </c>
      <c r="I60" s="30">
        <f>IF($D60="Actual",V60,J60-H60)</f>
        <v/>
      </c>
      <c r="J60" s="30">
        <f>IF($D60="Actual",U60+V60,IFERROR(H60/(1-AD60),0))</f>
        <v/>
      </c>
      <c r="K60" s="10">
        <f>IF($D60="Actual",IFERROR(S60/T60,0),CPLH_Forecast!AL53)</f>
        <v/>
      </c>
      <c r="L60" s="34">
        <f>IF($D60="Actual",IFERROR(U60/T60,0),N(AE60))</f>
        <v/>
      </c>
      <c r="M60" s="35">
        <f>IFERROR(J60/F60,0)</f>
        <v/>
      </c>
      <c r="N60" s="36">
        <f>IFERROR(J60/E60,0)</f>
        <v/>
      </c>
      <c r="O60" s="36">
        <f>IFERROR(I60/J60,0)</f>
        <v/>
      </c>
      <c r="R60" s="52">
        <f>IF($D60="Actual",SUMIFS(Data_Actuals!$C$2:$C$5000,Data_Actuals!$A$2:$A$5000,$A60,Data_Actuals!$B$2:$B$5000,$B$2),"")</f>
        <v/>
      </c>
      <c r="S60" s="52">
        <f>IF($D60="Actual",SUMIFS(Data_Actuals!$D$2:$D$5000,Data_Actuals!$A$2:$A$5000,$A60,Data_Actuals!$B$2:$B$5000,$B$2),"")</f>
        <v/>
      </c>
      <c r="T60" s="52">
        <f>IF($D60="Actual",SUMIFS(Data_Actuals!$E$2:$E$5000,Data_Actuals!$A$2:$A$5000,$A60,Data_Actuals!$B$2:$B$5000,$B$2),"")</f>
        <v/>
      </c>
      <c r="U60" s="52">
        <f>IF($D60="Actual",SUMIFS(Data_Actuals!$F$2:$F$5000,Data_Actuals!$A$2:$A$5000,$A60,Data_Actuals!$B$2:$B$5000,$B$2),"")</f>
        <v/>
      </c>
      <c r="V60" s="52">
        <f>IF($D60="Actual",SUMIFS(Data_Actuals!$G$2:$G$5000,Data_Actuals!$A$2:$A$5000,$A60,Data_Actuals!$B$2:$B$5000,$B$2),"")</f>
        <v/>
      </c>
      <c r="W60" s="52">
        <f>SUMIFS(Plan_Inputs!$C$2:$C$5000,Plan_Inputs!$A$2:$A$5000,$A60,Plan_Inputs!$B$2:$B$5000,$B$2)</f>
        <v/>
      </c>
      <c r="X60" s="53">
        <f>IF($D60="Actual",IFERROR(S60/T60,""),X48)</f>
        <v/>
      </c>
      <c r="Y60" s="52">
        <f>E60</f>
        <v/>
      </c>
      <c r="Z60" s="54">
        <f>INDEX(Calendar!$H$5:$L$52,MATCH($A60,Calendar!$A$5:$A$52,0),MATCH($D$2,Calendar!$H$4:$L$4,0))</f>
        <v/>
      </c>
      <c r="AA60" s="54">
        <f>INDEX(Calendar!$M$5:$M$52,MATCH($A60,Calendar!$A$5:$A$52,0))</f>
        <v/>
      </c>
      <c r="AB60" s="55">
        <f>IF($D60="Actual",IFERROR(S60/Y60,""),AB48)</f>
        <v/>
      </c>
      <c r="AC60" s="56">
        <f>IF($D60="Actual",IFERROR(U60/T60/Z60/AA60,""),AC48)</f>
        <v/>
      </c>
      <c r="AD60" s="57">
        <f>IF($D60="Actual",IFERROR(V60/(U60+V60),""),$K$2)</f>
        <v/>
      </c>
      <c r="AE60" s="56">
        <f>IFERROR(AC60*Z60*AA60,"")</f>
        <v/>
      </c>
      <c r="AF60" s="53">
        <f>K48</f>
        <v/>
      </c>
      <c r="AG60" s="57">
        <f>IF($D60="Forecast",IFERROR(K60/AF60-1,""),"")</f>
        <v/>
      </c>
      <c r="AH60" s="53">
        <f>IF(CPLHSource="National breakdown",CPLH_Breakdown!AM65,SUMIFS(Plan_Inputs!$D$2:$D$5000,Plan_Inputs!$A$2:$A$5000,$A60,Plan_Inputs!$B$2:$B$5000,$B$2))</f>
        <v/>
      </c>
      <c r="AJ60" s="15">
        <f>F60*$AK$11</f>
        <v/>
      </c>
      <c r="AK60" s="9">
        <f>G60*$AK$11</f>
        <v/>
      </c>
      <c r="AL60" s="30">
        <f>H60*$AK$11</f>
        <v/>
      </c>
      <c r="AM60" s="30">
        <f>I60*$AK$11</f>
        <v/>
      </c>
      <c r="AN60" s="30">
        <f>J60*$AK$11</f>
        <v/>
      </c>
      <c r="AP60" s="15">
        <f>F60*$AQ$11</f>
        <v/>
      </c>
      <c r="AQ60" s="9">
        <f>G60*$AQ$11</f>
        <v/>
      </c>
      <c r="AR60" s="30">
        <f>H60*$AQ$11</f>
        <v/>
      </c>
      <c r="AS60" s="30">
        <f>I60*$AQ$11</f>
        <v/>
      </c>
      <c r="AT60" s="30">
        <f>J60*$AQ$11</f>
        <v/>
      </c>
      <c r="AV60" s="15">
        <f>F60*$AW$11</f>
        <v/>
      </c>
      <c r="AW60" s="9">
        <f>G60*$AW$11</f>
        <v/>
      </c>
      <c r="AX60" s="30">
        <f>H60*$AW$11</f>
        <v/>
      </c>
      <c r="AY60" s="30">
        <f>I60*$AW$11</f>
        <v/>
      </c>
      <c r="AZ60" s="30">
        <f>J60*$AW$11</f>
        <v/>
      </c>
    </row>
    <row r="61">
      <c r="A61" s="8" t="n">
        <v>47058</v>
      </c>
      <c r="B61" s="33">
        <f>YEAR(A61)</f>
        <v/>
      </c>
      <c r="C61" s="33">
        <f>MONTH(A61)</f>
        <v/>
      </c>
      <c r="D61">
        <f>IF(A61&lt;=LastActual,"Actual","Forecast")</f>
        <v/>
      </c>
      <c r="E61" s="30">
        <f>IF($D61="Actual",R61,W61)</f>
        <v/>
      </c>
      <c r="F61" s="15">
        <f>IF($D61="Actual",S61,Cases_Forecast!AL54)</f>
        <v/>
      </c>
      <c r="G61" s="9">
        <f>IF($D61="Actual",T61,IFERROR(F61/K61,0))</f>
        <v/>
      </c>
      <c r="H61" s="30">
        <f>IF($D61="Actual",U61,G61*L61)</f>
        <v/>
      </c>
      <c r="I61" s="30">
        <f>IF($D61="Actual",V61,J61-H61)</f>
        <v/>
      </c>
      <c r="J61" s="30">
        <f>IF($D61="Actual",U61+V61,IFERROR(H61/(1-AD61),0))</f>
        <v/>
      </c>
      <c r="K61" s="10">
        <f>IF($D61="Actual",IFERROR(S61/T61,0),CPLH_Forecast!AL54)</f>
        <v/>
      </c>
      <c r="L61" s="34">
        <f>IF($D61="Actual",IFERROR(U61/T61,0),N(AE61))</f>
        <v/>
      </c>
      <c r="M61" s="35">
        <f>IFERROR(J61/F61,0)</f>
        <v/>
      </c>
      <c r="N61" s="36">
        <f>IFERROR(J61/E61,0)</f>
        <v/>
      </c>
      <c r="O61" s="36">
        <f>IFERROR(I61/J61,0)</f>
        <v/>
      </c>
      <c r="R61" s="52">
        <f>IF($D61="Actual",SUMIFS(Data_Actuals!$C$2:$C$5000,Data_Actuals!$A$2:$A$5000,$A61,Data_Actuals!$B$2:$B$5000,$B$2),"")</f>
        <v/>
      </c>
      <c r="S61" s="52">
        <f>IF($D61="Actual",SUMIFS(Data_Actuals!$D$2:$D$5000,Data_Actuals!$A$2:$A$5000,$A61,Data_Actuals!$B$2:$B$5000,$B$2),"")</f>
        <v/>
      </c>
      <c r="T61" s="52">
        <f>IF($D61="Actual",SUMIFS(Data_Actuals!$E$2:$E$5000,Data_Actuals!$A$2:$A$5000,$A61,Data_Actuals!$B$2:$B$5000,$B$2),"")</f>
        <v/>
      </c>
      <c r="U61" s="52">
        <f>IF($D61="Actual",SUMIFS(Data_Actuals!$F$2:$F$5000,Data_Actuals!$A$2:$A$5000,$A61,Data_Actuals!$B$2:$B$5000,$B$2),"")</f>
        <v/>
      </c>
      <c r="V61" s="52">
        <f>IF($D61="Actual",SUMIFS(Data_Actuals!$G$2:$G$5000,Data_Actuals!$A$2:$A$5000,$A61,Data_Actuals!$B$2:$B$5000,$B$2),"")</f>
        <v/>
      </c>
      <c r="W61" s="52">
        <f>SUMIFS(Plan_Inputs!$C$2:$C$5000,Plan_Inputs!$A$2:$A$5000,$A61,Plan_Inputs!$B$2:$B$5000,$B$2)</f>
        <v/>
      </c>
      <c r="X61" s="53">
        <f>IF($D61="Actual",IFERROR(S61/T61,""),X49)</f>
        <v/>
      </c>
      <c r="Y61" s="52">
        <f>E61</f>
        <v/>
      </c>
      <c r="Z61" s="54">
        <f>INDEX(Calendar!$H$5:$L$52,MATCH($A61,Calendar!$A$5:$A$52,0),MATCH($D$2,Calendar!$H$4:$L$4,0))</f>
        <v/>
      </c>
      <c r="AA61" s="54">
        <f>INDEX(Calendar!$M$5:$M$52,MATCH($A61,Calendar!$A$5:$A$52,0))</f>
        <v/>
      </c>
      <c r="AB61" s="55">
        <f>IF($D61="Actual",IFERROR(S61/Y61,""),AB49)</f>
        <v/>
      </c>
      <c r="AC61" s="56">
        <f>IF($D61="Actual",IFERROR(U61/T61/Z61/AA61,""),AC49)</f>
        <v/>
      </c>
      <c r="AD61" s="57">
        <f>IF($D61="Actual",IFERROR(V61/(U61+V61),""),$K$2)</f>
        <v/>
      </c>
      <c r="AE61" s="56">
        <f>IFERROR(AC61*Z61*AA61,"")</f>
        <v/>
      </c>
      <c r="AF61" s="53">
        <f>K49</f>
        <v/>
      </c>
      <c r="AG61" s="57">
        <f>IF($D61="Forecast",IFERROR(K61/AF61-1,""),"")</f>
        <v/>
      </c>
      <c r="AH61" s="53">
        <f>IF(CPLHSource="National breakdown",CPLH_Breakdown!AM66,SUMIFS(Plan_Inputs!$D$2:$D$5000,Plan_Inputs!$A$2:$A$5000,$A61,Plan_Inputs!$B$2:$B$5000,$B$2))</f>
        <v/>
      </c>
      <c r="AJ61" s="15">
        <f>F61*$AK$11</f>
        <v/>
      </c>
      <c r="AK61" s="9">
        <f>G61*$AK$11</f>
        <v/>
      </c>
      <c r="AL61" s="30">
        <f>H61*$AK$11</f>
        <v/>
      </c>
      <c r="AM61" s="30">
        <f>I61*$AK$11</f>
        <v/>
      </c>
      <c r="AN61" s="30">
        <f>J61*$AK$11</f>
        <v/>
      </c>
      <c r="AP61" s="15">
        <f>F61*$AQ$11</f>
        <v/>
      </c>
      <c r="AQ61" s="9">
        <f>G61*$AQ$11</f>
        <v/>
      </c>
      <c r="AR61" s="30">
        <f>H61*$AQ$11</f>
        <v/>
      </c>
      <c r="AS61" s="30">
        <f>I61*$AQ$11</f>
        <v/>
      </c>
      <c r="AT61" s="30">
        <f>J61*$AQ$11</f>
        <v/>
      </c>
      <c r="AV61" s="15">
        <f>F61*$AW$11</f>
        <v/>
      </c>
      <c r="AW61" s="9">
        <f>G61*$AW$11</f>
        <v/>
      </c>
      <c r="AX61" s="30">
        <f>H61*$AW$11</f>
        <v/>
      </c>
      <c r="AY61" s="30">
        <f>I61*$AW$11</f>
        <v/>
      </c>
      <c r="AZ61" s="30">
        <f>J61*$AW$11</f>
        <v/>
      </c>
    </row>
    <row r="62">
      <c r="A62" s="37" t="n">
        <v>47088</v>
      </c>
      <c r="B62" s="38">
        <f>YEAR(A62)</f>
        <v/>
      </c>
      <c r="C62" s="38">
        <f>MONTH(A62)</f>
        <v/>
      </c>
      <c r="D62" s="39">
        <f>IF(A62&lt;=LastActual,"Actual","Forecast")</f>
        <v/>
      </c>
      <c r="E62" s="40">
        <f>IF($D62="Actual",R62,W62)</f>
        <v/>
      </c>
      <c r="F62" s="41">
        <f>IF($D62="Actual",S62,Cases_Forecast!AL55)</f>
        <v/>
      </c>
      <c r="G62" s="42">
        <f>IF($D62="Actual",T62,IFERROR(F62/K62,0))</f>
        <v/>
      </c>
      <c r="H62" s="40">
        <f>IF($D62="Actual",U62,G62*L62)</f>
        <v/>
      </c>
      <c r="I62" s="40">
        <f>IF($D62="Actual",V62,J62-H62)</f>
        <v/>
      </c>
      <c r="J62" s="40">
        <f>IF($D62="Actual",U62+V62,IFERROR(H62/(1-AD62),0))</f>
        <v/>
      </c>
      <c r="K62" s="43">
        <f>IF($D62="Actual",IFERROR(S62/T62,0),CPLH_Forecast!AL55)</f>
        <v/>
      </c>
      <c r="L62" s="44">
        <f>IF($D62="Actual",IFERROR(U62/T62,0),N(AE62))</f>
        <v/>
      </c>
      <c r="M62" s="45">
        <f>IFERROR(J62/F62,0)</f>
        <v/>
      </c>
      <c r="N62" s="46">
        <f>IFERROR(J62/E62,0)</f>
        <v/>
      </c>
      <c r="O62" s="46">
        <f>IFERROR(I62/J62,0)</f>
        <v/>
      </c>
      <c r="R62" s="52">
        <f>IF($D62="Actual",SUMIFS(Data_Actuals!$C$2:$C$5000,Data_Actuals!$A$2:$A$5000,$A62,Data_Actuals!$B$2:$B$5000,$B$2),"")</f>
        <v/>
      </c>
      <c r="S62" s="52">
        <f>IF($D62="Actual",SUMIFS(Data_Actuals!$D$2:$D$5000,Data_Actuals!$A$2:$A$5000,$A62,Data_Actuals!$B$2:$B$5000,$B$2),"")</f>
        <v/>
      </c>
      <c r="T62" s="52">
        <f>IF($D62="Actual",SUMIFS(Data_Actuals!$E$2:$E$5000,Data_Actuals!$A$2:$A$5000,$A62,Data_Actuals!$B$2:$B$5000,$B$2),"")</f>
        <v/>
      </c>
      <c r="U62" s="52">
        <f>IF($D62="Actual",SUMIFS(Data_Actuals!$F$2:$F$5000,Data_Actuals!$A$2:$A$5000,$A62,Data_Actuals!$B$2:$B$5000,$B$2),"")</f>
        <v/>
      </c>
      <c r="V62" s="52">
        <f>IF($D62="Actual",SUMIFS(Data_Actuals!$G$2:$G$5000,Data_Actuals!$A$2:$A$5000,$A62,Data_Actuals!$B$2:$B$5000,$B$2),"")</f>
        <v/>
      </c>
      <c r="W62" s="52">
        <f>SUMIFS(Plan_Inputs!$C$2:$C$5000,Plan_Inputs!$A$2:$A$5000,$A62,Plan_Inputs!$B$2:$B$5000,$B$2)</f>
        <v/>
      </c>
      <c r="X62" s="53">
        <f>IF($D62="Actual",IFERROR(S62/T62,""),X50)</f>
        <v/>
      </c>
      <c r="Y62" s="52">
        <f>E62</f>
        <v/>
      </c>
      <c r="Z62" s="54">
        <f>INDEX(Calendar!$H$5:$L$52,MATCH($A62,Calendar!$A$5:$A$52,0),MATCH($D$2,Calendar!$H$4:$L$4,0))</f>
        <v/>
      </c>
      <c r="AA62" s="54">
        <f>INDEX(Calendar!$M$5:$M$52,MATCH($A62,Calendar!$A$5:$A$52,0))</f>
        <v/>
      </c>
      <c r="AB62" s="55">
        <f>IF($D62="Actual",IFERROR(S62/Y62,""),AB50)</f>
        <v/>
      </c>
      <c r="AC62" s="56">
        <f>IF($D62="Actual",IFERROR(U62/T62/Z62/AA62,""),AC50)</f>
        <v/>
      </c>
      <c r="AD62" s="57">
        <f>IF($D62="Actual",IFERROR(V62/(U62+V62),""),$K$2)</f>
        <v/>
      </c>
      <c r="AE62" s="56">
        <f>IFERROR(AC62*Z62*AA62,"")</f>
        <v/>
      </c>
      <c r="AF62" s="53">
        <f>K50</f>
        <v/>
      </c>
      <c r="AG62" s="57">
        <f>IF($D62="Forecast",IFERROR(K62/AF62-1,""),"")</f>
        <v/>
      </c>
      <c r="AH62" s="53">
        <f>IF(CPLHSource="National breakdown",CPLH_Breakdown!AM67,SUMIFS(Plan_Inputs!$D$2:$D$5000,Plan_Inputs!$A$2:$A$5000,$A62,Plan_Inputs!$B$2:$B$5000,$B$2))</f>
        <v/>
      </c>
      <c r="AJ62" s="41">
        <f>F62*$AK$11</f>
        <v/>
      </c>
      <c r="AK62" s="42">
        <f>G62*$AK$11</f>
        <v/>
      </c>
      <c r="AL62" s="40">
        <f>H62*$AK$11</f>
        <v/>
      </c>
      <c r="AM62" s="40">
        <f>I62*$AK$11</f>
        <v/>
      </c>
      <c r="AN62" s="40">
        <f>J62*$AK$11</f>
        <v/>
      </c>
      <c r="AP62" s="41">
        <f>F62*$AQ$11</f>
        <v/>
      </c>
      <c r="AQ62" s="42">
        <f>G62*$AQ$11</f>
        <v/>
      </c>
      <c r="AR62" s="40">
        <f>H62*$AQ$11</f>
        <v/>
      </c>
      <c r="AS62" s="40">
        <f>I62*$AQ$11</f>
        <v/>
      </c>
      <c r="AT62" s="40">
        <f>J62*$AQ$11</f>
        <v/>
      </c>
      <c r="AV62" s="41">
        <f>F62*$AW$11</f>
        <v/>
      </c>
      <c r="AW62" s="42">
        <f>G62*$AW$11</f>
        <v/>
      </c>
      <c r="AX62" s="40">
        <f>H62*$AW$11</f>
        <v/>
      </c>
      <c r="AY62" s="40">
        <f>I62*$AW$11</f>
        <v/>
      </c>
      <c r="AZ62" s="40">
        <f>J62*$AW$11</f>
        <v/>
      </c>
    </row>
  </sheetData>
  <mergeCells count="6">
    <mergeCell ref="K12:O12"/>
    <mergeCell ref="AV12:AZ12"/>
    <mergeCell ref="AJ12:AN12"/>
    <mergeCell ref="AP12:AT12"/>
    <mergeCell ref="R12:AH12"/>
    <mergeCell ref="E12:J12"/>
  </mergeCells>
  <conditionalFormatting sqref="A15:O62">
    <cfRule type="expression" priority="1" dxfId="4">
      <formula>$D15="Forecast"</formula>
    </cfRule>
  </conditionalFormatting>
  <conditionalFormatting sqref="AJ15:AZ62">
    <cfRule type="expression" priority="2" dxfId="4">
      <formula>$D15="Forecast"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F3864"/>
    <outlinePr summaryBelow="1" summaryRight="1"/>
    <pageSetUpPr/>
  </sheetPr>
  <dimension ref="A1:AZ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  <col width="10" customWidth="1" min="34" max="34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2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2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2" customWidth="1" min="53" max="53"/>
  </cols>
  <sheetData>
    <row r="1">
      <c r="A1" s="2">
        <f>$B$2&amp;"  |  Region  |  NSW"</f>
        <v/>
      </c>
    </row>
    <row r="2">
      <c r="A2" t="inlineStr">
        <is>
          <t>Code</t>
        </is>
      </c>
      <c r="B2" s="1">
        <f>Inputs!$A$39</f>
        <v/>
      </c>
      <c r="C2" t="inlineStr">
        <is>
          <t>State</t>
        </is>
      </c>
      <c r="D2" s="1" t="inlineStr">
        <is>
          <t>NSW</t>
        </is>
      </c>
      <c r="F2" t="inlineStr">
        <is>
          <t>Leadership share of total payroll, last actual month</t>
        </is>
      </c>
      <c r="K2" s="50">
        <f>IFERROR(INDEX($V$15:$V$62,MATCH(LastActual,$A$15:$A$62,0))/(INDEX($U$15:$U$62,MATCH(LastActual,$A$15:$A$62,0))+INDEX($V$15:$V$62,MATCH(LastActual,$A$15:$A$62,0))),0)</f>
        <v/>
      </c>
    </row>
    <row r="5" ht="45" customHeight="1">
      <c r="A5" s="7" t="inlineStr">
        <is>
          <t>FY</t>
        </is>
      </c>
      <c r="D5" s="7" t="inlineStr">
        <is>
          <t>Status</t>
        </is>
      </c>
      <c r="E5" s="7" t="inlineStr">
        <is>
          <t>Sales</t>
        </is>
      </c>
      <c r="F5" s="7" t="inlineStr">
        <is>
          <t>Cases picked</t>
        </is>
      </c>
      <c r="G5" s="7" t="inlineStr">
        <is>
          <t>WH hours worked</t>
        </is>
      </c>
      <c r="H5" s="7" t="inlineStr">
        <is>
          <t>Staff payroll</t>
        </is>
      </c>
      <c r="I5" s="7" t="inlineStr">
        <is>
          <t>Leadership payroll</t>
        </is>
      </c>
      <c r="J5" s="7" t="inlineStr">
        <is>
          <t>Total payroll</t>
        </is>
      </c>
      <c r="K5" s="7" t="inlineStr">
        <is>
          <t>CPLH (cases / hr)</t>
        </is>
      </c>
      <c r="L5" s="7" t="inlineStr">
        <is>
          <t>Cost per hour (staff)</t>
        </is>
      </c>
      <c r="M5" s="7" t="inlineStr">
        <is>
          <t>Cost per case (total payroll)</t>
        </is>
      </c>
      <c r="N5" s="7" t="inlineStr">
        <is>
          <t>Total payroll % sales</t>
        </is>
      </c>
      <c r="O5" s="7" t="inlineStr">
        <is>
          <t>Leadership % of total payroll</t>
        </is>
      </c>
      <c r="AJ5" s="20" t="inlineStr">
        <is>
          <t>Cases picked</t>
        </is>
      </c>
      <c r="AK5" s="20" t="inlineStr">
        <is>
          <t>WH hours worked</t>
        </is>
      </c>
      <c r="AL5" s="20" t="inlineStr">
        <is>
          <t>Staff payroll</t>
        </is>
      </c>
      <c r="AM5" s="20" t="inlineStr">
        <is>
          <t>Leadership payroll</t>
        </is>
      </c>
      <c r="AN5" s="20" t="inlineStr">
        <is>
          <t>Total payroll</t>
        </is>
      </c>
      <c r="AP5" s="20" t="inlineStr">
        <is>
          <t>Cases picked</t>
        </is>
      </c>
      <c r="AQ5" s="20" t="inlineStr">
        <is>
          <t>WH hours worked</t>
        </is>
      </c>
      <c r="AR5" s="20" t="inlineStr">
        <is>
          <t>Staff payroll</t>
        </is>
      </c>
      <c r="AS5" s="20" t="inlineStr">
        <is>
          <t>Leadership payroll</t>
        </is>
      </c>
      <c r="AT5" s="20" t="inlineStr">
        <is>
          <t>Total payroll</t>
        </is>
      </c>
      <c r="AV5" s="20" t="inlineStr">
        <is>
          <t>Cases picked</t>
        </is>
      </c>
      <c r="AW5" s="20" t="inlineStr">
        <is>
          <t>WH hours worked</t>
        </is>
      </c>
      <c r="AX5" s="20" t="inlineStr">
        <is>
          <t>Staff payroll</t>
        </is>
      </c>
      <c r="AY5" s="20" t="inlineStr">
        <is>
          <t>Leadership payroll</t>
        </is>
      </c>
      <c r="AZ5" s="20" t="inlineStr">
        <is>
          <t>Total payroll</t>
        </is>
      </c>
    </row>
    <row r="6">
      <c r="A6" s="21" t="n">
        <v>2025</v>
      </c>
      <c r="D6" s="22">
        <f>IF(DATE(A6,12,1)&lt;=LastActual,"Actual",IF(DATE(A6,1,1)&gt;LastActual,"Forecast","Blended"))</f>
        <v/>
      </c>
      <c r="E6" s="23">
        <f>SUMIFS($E$15:$E$62,$B$15:$B$62,$A6)</f>
        <v/>
      </c>
      <c r="F6" s="24">
        <f>SUMIFS($F$15:$F$62,$B$15:$B$62,$A6)</f>
        <v/>
      </c>
      <c r="G6" s="25">
        <f>SUMIFS($G$15:$G$62,$B$15:$B$62,$A6)</f>
        <v/>
      </c>
      <c r="H6" s="23">
        <f>SUMIFS($H$15:$H$62,$B$15:$B$62,$A6)</f>
        <v/>
      </c>
      <c r="I6" s="23">
        <f>SUMIFS($I$15:$I$62,$B$15:$B$62,$A6)</f>
        <v/>
      </c>
      <c r="J6" s="23">
        <f>SUMIFS($J$15:$J$62,$B$15:$B$62,$A6)</f>
        <v/>
      </c>
      <c r="K6" s="26">
        <f>IFERROR(F6/G6,0)</f>
        <v/>
      </c>
      <c r="L6" s="27">
        <f>IFERROR(H6/G6,0)</f>
        <v/>
      </c>
      <c r="M6" s="28">
        <f>IFERROR(J6/F6,0)</f>
        <v/>
      </c>
      <c r="N6" s="29">
        <f>IFERROR(J6/E6,0)</f>
        <v/>
      </c>
      <c r="O6" s="29">
        <f>IFERROR(I6/J6,0)</f>
        <v/>
      </c>
      <c r="AJ6" s="24">
        <f>SUMIFS($AJ$15:$AJ$62,$B$15:$B$62,$A6)</f>
        <v/>
      </c>
      <c r="AK6" s="25">
        <f>SUMIFS($AK$15:$AK$62,$B$15:$B$62,$A6)</f>
        <v/>
      </c>
      <c r="AL6" s="23">
        <f>SUMIFS($AL$15:$AL$62,$B$15:$B$62,$A6)</f>
        <v/>
      </c>
      <c r="AM6" s="23">
        <f>SUMIFS($AM$15:$AM$62,$B$15:$B$62,$A6)</f>
        <v/>
      </c>
      <c r="AN6" s="23">
        <f>SUMIFS($AN$15:$AN$62,$B$15:$B$62,$A6)</f>
        <v/>
      </c>
      <c r="AP6" s="24">
        <f>SUMIFS($AP$15:$AP$62,$B$15:$B$62,$A6)</f>
        <v/>
      </c>
      <c r="AQ6" s="25">
        <f>SUMIFS($AQ$15:$AQ$62,$B$15:$B$62,$A6)</f>
        <v/>
      </c>
      <c r="AR6" s="23">
        <f>SUMIFS($AR$15:$AR$62,$B$15:$B$62,$A6)</f>
        <v/>
      </c>
      <c r="AS6" s="23">
        <f>SUMIFS($AS$15:$AS$62,$B$15:$B$62,$A6)</f>
        <v/>
      </c>
      <c r="AT6" s="23">
        <f>SUMIFS($AT$15:$AT$62,$B$15:$B$62,$A6)</f>
        <v/>
      </c>
      <c r="AV6" s="24">
        <f>SUMIFS($AV$15:$AV$62,$B$15:$B$62,$A6)</f>
        <v/>
      </c>
      <c r="AW6" s="25">
        <f>SUMIFS($AW$15:$AW$62,$B$15:$B$62,$A6)</f>
        <v/>
      </c>
      <c r="AX6" s="23">
        <f>SUMIFS($AX$15:$AX$62,$B$15:$B$62,$A6)</f>
        <v/>
      </c>
      <c r="AY6" s="23">
        <f>SUMIFS($AY$15:$AY$62,$B$15:$B$62,$A6)</f>
        <v/>
      </c>
      <c r="AZ6" s="23">
        <f>SUMIFS($AZ$15:$AZ$62,$B$15:$B$62,$A6)</f>
        <v/>
      </c>
    </row>
    <row r="7">
      <c r="A7" s="21" t="n">
        <v>2026</v>
      </c>
      <c r="D7" s="22">
        <f>IF(DATE(A7,12,1)&lt;=LastActual,"Actual",IF(DATE(A7,1,1)&gt;LastActual,"Forecast","Blended"))</f>
        <v/>
      </c>
      <c r="E7" s="23">
        <f>SUMIFS($E$15:$E$62,$B$15:$B$62,$A7)</f>
        <v/>
      </c>
      <c r="F7" s="24">
        <f>SUMIFS($F$15:$F$62,$B$15:$B$62,$A7)</f>
        <v/>
      </c>
      <c r="G7" s="25">
        <f>SUMIFS($G$15:$G$62,$B$15:$B$62,$A7)</f>
        <v/>
      </c>
      <c r="H7" s="23">
        <f>SUMIFS($H$15:$H$62,$B$15:$B$62,$A7)</f>
        <v/>
      </c>
      <c r="I7" s="23">
        <f>SUMIFS($I$15:$I$62,$B$15:$B$62,$A7)</f>
        <v/>
      </c>
      <c r="J7" s="23">
        <f>SUMIFS($J$15:$J$62,$B$15:$B$62,$A7)</f>
        <v/>
      </c>
      <c r="K7" s="26">
        <f>IFERROR(F7/G7,0)</f>
        <v/>
      </c>
      <c r="L7" s="27">
        <f>IFERROR(H7/G7,0)</f>
        <v/>
      </c>
      <c r="M7" s="28">
        <f>IFERROR(J7/F7,0)</f>
        <v/>
      </c>
      <c r="N7" s="29">
        <f>IFERROR(J7/E7,0)</f>
        <v/>
      </c>
      <c r="O7" s="29">
        <f>IFERROR(I7/J7,0)</f>
        <v/>
      </c>
      <c r="AJ7" s="24">
        <f>SUMIFS($AJ$15:$AJ$62,$B$15:$B$62,$A7)</f>
        <v/>
      </c>
      <c r="AK7" s="25">
        <f>SUMIFS($AK$15:$AK$62,$B$15:$B$62,$A7)</f>
        <v/>
      </c>
      <c r="AL7" s="23">
        <f>SUMIFS($AL$15:$AL$62,$B$15:$B$62,$A7)</f>
        <v/>
      </c>
      <c r="AM7" s="23">
        <f>SUMIFS($AM$15:$AM$62,$B$15:$B$62,$A7)</f>
        <v/>
      </c>
      <c r="AN7" s="23">
        <f>SUMIFS($AN$15:$AN$62,$B$15:$B$62,$A7)</f>
        <v/>
      </c>
      <c r="AP7" s="24">
        <f>SUMIFS($AP$15:$AP$62,$B$15:$B$62,$A7)</f>
        <v/>
      </c>
      <c r="AQ7" s="25">
        <f>SUMIFS($AQ$15:$AQ$62,$B$15:$B$62,$A7)</f>
        <v/>
      </c>
      <c r="AR7" s="23">
        <f>SUMIFS($AR$15:$AR$62,$B$15:$B$62,$A7)</f>
        <v/>
      </c>
      <c r="AS7" s="23">
        <f>SUMIFS($AS$15:$AS$62,$B$15:$B$62,$A7)</f>
        <v/>
      </c>
      <c r="AT7" s="23">
        <f>SUMIFS($AT$15:$AT$62,$B$15:$B$62,$A7)</f>
        <v/>
      </c>
      <c r="AV7" s="24">
        <f>SUMIFS($AV$15:$AV$62,$B$15:$B$62,$A7)</f>
        <v/>
      </c>
      <c r="AW7" s="25">
        <f>SUMIFS($AW$15:$AW$62,$B$15:$B$62,$A7)</f>
        <v/>
      </c>
      <c r="AX7" s="23">
        <f>SUMIFS($AX$15:$AX$62,$B$15:$B$62,$A7)</f>
        <v/>
      </c>
      <c r="AY7" s="23">
        <f>SUMIFS($AY$15:$AY$62,$B$15:$B$62,$A7)</f>
        <v/>
      </c>
      <c r="AZ7" s="23">
        <f>SUMIFS($AZ$15:$AZ$62,$B$15:$B$62,$A7)</f>
        <v/>
      </c>
    </row>
    <row r="8">
      <c r="A8" s="21" t="n">
        <v>2027</v>
      </c>
      <c r="D8" s="22">
        <f>IF(DATE(A8,12,1)&lt;=LastActual,"Actual",IF(DATE(A8,1,1)&gt;LastActual,"Forecast","Blended"))</f>
        <v/>
      </c>
      <c r="E8" s="23">
        <f>SUMIFS($E$15:$E$62,$B$15:$B$62,$A8)</f>
        <v/>
      </c>
      <c r="F8" s="24">
        <f>SUMIFS($F$15:$F$62,$B$15:$B$62,$A8)</f>
        <v/>
      </c>
      <c r="G8" s="25">
        <f>SUMIFS($G$15:$G$62,$B$15:$B$62,$A8)</f>
        <v/>
      </c>
      <c r="H8" s="23">
        <f>SUMIFS($H$15:$H$62,$B$15:$B$62,$A8)</f>
        <v/>
      </c>
      <c r="I8" s="23">
        <f>SUMIFS($I$15:$I$62,$B$15:$B$62,$A8)</f>
        <v/>
      </c>
      <c r="J8" s="23">
        <f>SUMIFS($J$15:$J$62,$B$15:$B$62,$A8)</f>
        <v/>
      </c>
      <c r="K8" s="26">
        <f>IFERROR(F8/G8,0)</f>
        <v/>
      </c>
      <c r="L8" s="27">
        <f>IFERROR(H8/G8,0)</f>
        <v/>
      </c>
      <c r="M8" s="28">
        <f>IFERROR(J8/F8,0)</f>
        <v/>
      </c>
      <c r="N8" s="29">
        <f>IFERROR(J8/E8,0)</f>
        <v/>
      </c>
      <c r="O8" s="29">
        <f>IFERROR(I8/J8,0)</f>
        <v/>
      </c>
      <c r="AJ8" s="24">
        <f>SUMIFS($AJ$15:$AJ$62,$B$15:$B$62,$A8)</f>
        <v/>
      </c>
      <c r="AK8" s="25">
        <f>SUMIFS($AK$15:$AK$62,$B$15:$B$62,$A8)</f>
        <v/>
      </c>
      <c r="AL8" s="23">
        <f>SUMIFS($AL$15:$AL$62,$B$15:$B$62,$A8)</f>
        <v/>
      </c>
      <c r="AM8" s="23">
        <f>SUMIFS($AM$15:$AM$62,$B$15:$B$62,$A8)</f>
        <v/>
      </c>
      <c r="AN8" s="23">
        <f>SUMIFS($AN$15:$AN$62,$B$15:$B$62,$A8)</f>
        <v/>
      </c>
      <c r="AP8" s="24">
        <f>SUMIFS($AP$15:$AP$62,$B$15:$B$62,$A8)</f>
        <v/>
      </c>
      <c r="AQ8" s="25">
        <f>SUMIFS($AQ$15:$AQ$62,$B$15:$B$62,$A8)</f>
        <v/>
      </c>
      <c r="AR8" s="23">
        <f>SUMIFS($AR$15:$AR$62,$B$15:$B$62,$A8)</f>
        <v/>
      </c>
      <c r="AS8" s="23">
        <f>SUMIFS($AS$15:$AS$62,$B$15:$B$62,$A8)</f>
        <v/>
      </c>
      <c r="AT8" s="23">
        <f>SUMIFS($AT$15:$AT$62,$B$15:$B$62,$A8)</f>
        <v/>
      </c>
      <c r="AV8" s="24">
        <f>SUMIFS($AV$15:$AV$62,$B$15:$B$62,$A8)</f>
        <v/>
      </c>
      <c r="AW8" s="25">
        <f>SUMIFS($AW$15:$AW$62,$B$15:$B$62,$A8)</f>
        <v/>
      </c>
      <c r="AX8" s="23">
        <f>SUMIFS($AX$15:$AX$62,$B$15:$B$62,$A8)</f>
        <v/>
      </c>
      <c r="AY8" s="23">
        <f>SUMIFS($AY$15:$AY$62,$B$15:$B$62,$A8)</f>
        <v/>
      </c>
      <c r="AZ8" s="23">
        <f>SUMIFS($AZ$15:$AZ$62,$B$15:$B$62,$A8)</f>
        <v/>
      </c>
    </row>
    <row r="9">
      <c r="A9" s="21" t="n">
        <v>2028</v>
      </c>
      <c r="D9" s="22">
        <f>IF(DATE(A9,12,1)&lt;=LastActual,"Actual",IF(DATE(A9,1,1)&gt;LastActual,"Forecast","Blended"))</f>
        <v/>
      </c>
      <c r="E9" s="23">
        <f>SUMIFS($E$15:$E$62,$B$15:$B$62,$A9)</f>
        <v/>
      </c>
      <c r="F9" s="24">
        <f>SUMIFS($F$15:$F$62,$B$15:$B$62,$A9)</f>
        <v/>
      </c>
      <c r="G9" s="25">
        <f>SUMIFS($G$15:$G$62,$B$15:$B$62,$A9)</f>
        <v/>
      </c>
      <c r="H9" s="23">
        <f>SUMIFS($H$15:$H$62,$B$15:$B$62,$A9)</f>
        <v/>
      </c>
      <c r="I9" s="23">
        <f>SUMIFS($I$15:$I$62,$B$15:$B$62,$A9)</f>
        <v/>
      </c>
      <c r="J9" s="23">
        <f>SUMIFS($J$15:$J$62,$B$15:$B$62,$A9)</f>
        <v/>
      </c>
      <c r="K9" s="26">
        <f>IFERROR(F9/G9,0)</f>
        <v/>
      </c>
      <c r="L9" s="27">
        <f>IFERROR(H9/G9,0)</f>
        <v/>
      </c>
      <c r="M9" s="28">
        <f>IFERROR(J9/F9,0)</f>
        <v/>
      </c>
      <c r="N9" s="29">
        <f>IFERROR(J9/E9,0)</f>
        <v/>
      </c>
      <c r="O9" s="29">
        <f>IFERROR(I9/J9,0)</f>
        <v/>
      </c>
      <c r="AJ9" s="24">
        <f>SUMIFS($AJ$15:$AJ$62,$B$15:$B$62,$A9)</f>
        <v/>
      </c>
      <c r="AK9" s="25">
        <f>SUMIFS($AK$15:$AK$62,$B$15:$B$62,$A9)</f>
        <v/>
      </c>
      <c r="AL9" s="23">
        <f>SUMIFS($AL$15:$AL$62,$B$15:$B$62,$A9)</f>
        <v/>
      </c>
      <c r="AM9" s="23">
        <f>SUMIFS($AM$15:$AM$62,$B$15:$B$62,$A9)</f>
        <v/>
      </c>
      <c r="AN9" s="23">
        <f>SUMIFS($AN$15:$AN$62,$B$15:$B$62,$A9)</f>
        <v/>
      </c>
      <c r="AP9" s="24">
        <f>SUMIFS($AP$15:$AP$62,$B$15:$B$62,$A9)</f>
        <v/>
      </c>
      <c r="AQ9" s="25">
        <f>SUMIFS($AQ$15:$AQ$62,$B$15:$B$62,$A9)</f>
        <v/>
      </c>
      <c r="AR9" s="23">
        <f>SUMIFS($AR$15:$AR$62,$B$15:$B$62,$A9)</f>
        <v/>
      </c>
      <c r="AS9" s="23">
        <f>SUMIFS($AS$15:$AS$62,$B$15:$B$62,$A9)</f>
        <v/>
      </c>
      <c r="AT9" s="23">
        <f>SUMIFS($AT$15:$AT$62,$B$15:$B$62,$A9)</f>
        <v/>
      </c>
      <c r="AV9" s="24">
        <f>SUMIFS($AV$15:$AV$62,$B$15:$B$62,$A9)</f>
        <v/>
      </c>
      <c r="AW9" s="25">
        <f>SUMIFS($AW$15:$AW$62,$B$15:$B$62,$A9)</f>
        <v/>
      </c>
      <c r="AX9" s="23">
        <f>SUMIFS($AX$15:$AX$62,$B$15:$B$62,$A9)</f>
        <v/>
      </c>
      <c r="AY9" s="23">
        <f>SUMIFS($AY$15:$AY$62,$B$15:$B$62,$A9)</f>
        <v/>
      </c>
      <c r="AZ9" s="23">
        <f>SUMIFS($AZ$15:$AZ$62,$B$15:$B$62,$A9)</f>
        <v/>
      </c>
    </row>
    <row r="10">
      <c r="AJ10" s="1" t="inlineStr">
        <is>
          <t>Chamber split (same CPLH and cost per hour in every chamber; mix from Chamber Weights)</t>
        </is>
      </c>
    </row>
    <row r="11">
      <c r="AJ11" s="6" t="inlineStr">
        <is>
          <t>Case mix</t>
        </is>
      </c>
      <c r="AK11" s="31">
        <f>IFERROR(INDEX('Chamber Weights'!$B$24:$K$26,MATCH($AJ$12,'Chamber Weights'!$A$24:$A$26,0),MATCH($B$2,'Chamber Weights'!$B$23:$K$23,0)),0)</f>
        <v/>
      </c>
      <c r="AP11" s="6" t="inlineStr">
        <is>
          <t>Case mix</t>
        </is>
      </c>
      <c r="AQ11" s="31">
        <f>IFERROR(INDEX('Chamber Weights'!$B$24:$K$26,MATCH($AP$12,'Chamber Weights'!$A$24:$A$26,0),MATCH($B$2,'Chamber Weights'!$B$23:$K$23,0)),0)</f>
        <v/>
      </c>
      <c r="AV11" s="6" t="inlineStr">
        <is>
          <t>Case mix</t>
        </is>
      </c>
      <c r="AW11" s="31">
        <f>IFERROR(INDEX('Chamber Weights'!$B$24:$K$26,MATCH($AV$12,'Chamber Weights'!$A$24:$A$26,0),MATCH($B$2,'Chamber Weights'!$B$23:$K$23,0)),0)</f>
        <v/>
      </c>
    </row>
    <row r="12">
      <c r="E12" s="7" t="inlineStr">
        <is>
          <t>Drivers</t>
        </is>
      </c>
      <c r="K12" s="7" t="inlineStr">
        <is>
          <t>Metrics</t>
        </is>
      </c>
      <c r="R12" s="7" t="inlineStr">
        <is>
          <t>Helper calculations (actuals, plan, same-month-last-year rates)</t>
        </is>
      </c>
      <c r="AJ12" s="20" t="inlineStr">
        <is>
          <t>Ambient</t>
        </is>
      </c>
      <c r="AP12" s="20" t="inlineStr">
        <is>
          <t>Chiller</t>
        </is>
      </c>
      <c r="AV12" s="20" t="inlineStr">
        <is>
          <t>Freezer</t>
        </is>
      </c>
    </row>
    <row r="13" ht="60" customHeight="1">
      <c r="A13" s="7" t="inlineStr">
        <is>
          <t>Month</t>
        </is>
      </c>
      <c r="B13" s="7" t="inlineStr">
        <is>
          <t>Year</t>
        </is>
      </c>
      <c r="C13" s="7" t="inlineStr">
        <is>
          <t>Mth</t>
        </is>
      </c>
      <c r="D13" s="7" t="inlineStr">
        <is>
          <t>Status</t>
        </is>
      </c>
      <c r="E13" s="7" t="inlineStr">
        <is>
          <t>Sales</t>
        </is>
      </c>
      <c r="F13" s="7" t="inlineStr">
        <is>
          <t>Cases picked</t>
        </is>
      </c>
      <c r="G13" s="7" t="inlineStr">
        <is>
          <t>WH hours worked</t>
        </is>
      </c>
      <c r="H13" s="7" t="inlineStr">
        <is>
          <t>Staff payroll</t>
        </is>
      </c>
      <c r="I13" s="7" t="inlineStr">
        <is>
          <t>Leadership payroll</t>
        </is>
      </c>
      <c r="J13" s="7" t="inlineStr">
        <is>
          <t>Total payroll</t>
        </is>
      </c>
      <c r="K13" s="7" t="inlineStr">
        <is>
          <t>CPLH (cases / hr)</t>
        </is>
      </c>
      <c r="L13" s="7" t="inlineStr">
        <is>
          <t>Cost per hour (staff)</t>
        </is>
      </c>
      <c r="M13" s="7" t="inlineStr">
        <is>
          <t>Cost per case (total payroll)</t>
        </is>
      </c>
      <c r="N13" s="7" t="inlineStr">
        <is>
          <t>Total payroll % sales</t>
        </is>
      </c>
      <c r="O13" s="7" t="inlineStr">
        <is>
          <t>Leadership % of total payroll</t>
        </is>
      </c>
      <c r="R13" s="51" t="inlineStr">
        <is>
          <t>Act sales</t>
        </is>
      </c>
      <c r="S13" s="51" t="inlineStr">
        <is>
          <t>Act cases</t>
        </is>
      </c>
      <c r="T13" s="51" t="inlineStr">
        <is>
          <t>Act hours</t>
        </is>
      </c>
      <c r="U13" s="51" t="inlineStr">
        <is>
          <t>Act staff $</t>
        </is>
      </c>
      <c r="V13" s="51" t="inlineStr">
        <is>
          <t>Act leadership $</t>
        </is>
      </c>
      <c r="W13" s="51" t="inlineStr">
        <is>
          <t>Plan sales</t>
        </is>
      </c>
      <c r="X13" s="51" t="inlineStr">
        <is>
          <t>CPLH run rate (actual, else same month LY)</t>
        </is>
      </c>
      <c r="Y13" s="51" t="inlineStr">
        <is>
          <t>Volume driver sales</t>
        </is>
      </c>
      <c r="Z13" s="51" t="inlineStr">
        <is>
          <t>PH factor</t>
        </is>
      </c>
      <c r="AA13" s="51" t="inlineStr">
        <is>
          <t>Wage index</t>
        </is>
      </c>
      <c r="AB13" s="51" t="inlineStr">
        <is>
          <t>Cases per $ (actual, else same month LY)</t>
        </is>
      </c>
      <c r="AC13" s="51" t="inlineStr">
        <is>
          <t>Cost per hour ex PH &amp; wage (actual, else same month LY)</t>
        </is>
      </c>
      <c r="AD13" s="51" t="inlineStr">
        <is>
          <t>Leadership share of total payroll (actual, else last actual month)</t>
        </is>
      </c>
      <c r="AE13" s="51" t="inlineStr">
        <is>
          <t>Fcst cost per hour (AC x PH x wage)</t>
        </is>
      </c>
      <c r="AF13" s="51" t="inlineStr">
        <is>
          <t>LY CPLH (same month, as used)</t>
        </is>
      </c>
      <c r="AG13" s="51" t="inlineStr">
        <is>
          <t>Fcst CPLH vs LY</t>
        </is>
      </c>
      <c r="AH13" s="51" t="inlineStr">
        <is>
          <t>Plan CPLH (Plan_Inputs or CPLH_Breakdown)</t>
        </is>
      </c>
      <c r="AJ13" s="20" t="inlineStr">
        <is>
          <t>Cases picked</t>
        </is>
      </c>
      <c r="AK13" s="20" t="inlineStr">
        <is>
          <t>WH hours worked</t>
        </is>
      </c>
      <c r="AL13" s="20" t="inlineStr">
        <is>
          <t>Staff payroll</t>
        </is>
      </c>
      <c r="AM13" s="20" t="inlineStr">
        <is>
          <t>Leadership payroll</t>
        </is>
      </c>
      <c r="AN13" s="20" t="inlineStr">
        <is>
          <t>Total payroll</t>
        </is>
      </c>
      <c r="AP13" s="20" t="inlineStr">
        <is>
          <t>Cases picked</t>
        </is>
      </c>
      <c r="AQ13" s="20" t="inlineStr">
        <is>
          <t>WH hours worked</t>
        </is>
      </c>
      <c r="AR13" s="20" t="inlineStr">
        <is>
          <t>Staff payroll</t>
        </is>
      </c>
      <c r="AS13" s="20" t="inlineStr">
        <is>
          <t>Leadership payroll</t>
        </is>
      </c>
      <c r="AT13" s="20" t="inlineStr">
        <is>
          <t>Total payroll</t>
        </is>
      </c>
      <c r="AV13" s="20" t="inlineStr">
        <is>
          <t>Cases picked</t>
        </is>
      </c>
      <c r="AW13" s="20" t="inlineStr">
        <is>
          <t>WH hours worked</t>
        </is>
      </c>
      <c r="AX13" s="20" t="inlineStr">
        <is>
          <t>Staff payroll</t>
        </is>
      </c>
      <c r="AY13" s="20" t="inlineStr">
        <is>
          <t>Leadership payroll</t>
        </is>
      </c>
      <c r="AZ13" s="20" t="inlineStr">
        <is>
          <t>Total payroll</t>
        </is>
      </c>
    </row>
    <row r="14">
      <c r="E14" s="32" t="inlineStr">
        <is>
          <t>$m</t>
        </is>
      </c>
      <c r="F14" s="32" t="inlineStr">
        <is>
          <t>m</t>
        </is>
      </c>
      <c r="G14" s="32" t="inlineStr">
        <is>
          <t>#</t>
        </is>
      </c>
      <c r="H14" s="32" t="inlineStr">
        <is>
          <t>$m</t>
        </is>
      </c>
      <c r="I14" s="32" t="inlineStr">
        <is>
          <t>$m</t>
        </is>
      </c>
      <c r="J14" s="32" t="inlineStr">
        <is>
          <t>$m</t>
        </is>
      </c>
      <c r="K14" s="32" t="inlineStr">
        <is>
          <t>#</t>
        </is>
      </c>
      <c r="L14" s="32" t="inlineStr">
        <is>
          <t>$</t>
        </is>
      </c>
      <c r="M14" s="32" t="inlineStr">
        <is>
          <t>$</t>
        </is>
      </c>
      <c r="N14" s="32" t="inlineStr">
        <is>
          <t>%</t>
        </is>
      </c>
      <c r="O14" s="32" t="inlineStr">
        <is>
          <t>%</t>
        </is>
      </c>
      <c r="AJ14" s="32" t="inlineStr">
        <is>
          <t>m</t>
        </is>
      </c>
      <c r="AK14" s="32" t="inlineStr">
        <is>
          <t>#</t>
        </is>
      </c>
      <c r="AL14" s="32" t="inlineStr">
        <is>
          <t>$m</t>
        </is>
      </c>
      <c r="AM14" s="32" t="inlineStr">
        <is>
          <t>$m</t>
        </is>
      </c>
      <c r="AN14" s="32" t="inlineStr">
        <is>
          <t>$m</t>
        </is>
      </c>
      <c r="AP14" s="32" t="inlineStr">
        <is>
          <t>m</t>
        </is>
      </c>
      <c r="AQ14" s="32" t="inlineStr">
        <is>
          <t>#</t>
        </is>
      </c>
      <c r="AR14" s="32" t="inlineStr">
        <is>
          <t>$m</t>
        </is>
      </c>
      <c r="AS14" s="32" t="inlineStr">
        <is>
          <t>$m</t>
        </is>
      </c>
      <c r="AT14" s="32" t="inlineStr">
        <is>
          <t>$m</t>
        </is>
      </c>
      <c r="AV14" s="32" t="inlineStr">
        <is>
          <t>m</t>
        </is>
      </c>
      <c r="AW14" s="32" t="inlineStr">
        <is>
          <t>#</t>
        </is>
      </c>
      <c r="AX14" s="32" t="inlineStr">
        <is>
          <t>$m</t>
        </is>
      </c>
      <c r="AY14" s="32" t="inlineStr">
        <is>
          <t>$m</t>
        </is>
      </c>
      <c r="AZ14" s="32" t="inlineStr">
        <is>
          <t>$m</t>
        </is>
      </c>
    </row>
    <row r="15">
      <c r="A15" s="8" t="n">
        <v>45658</v>
      </c>
      <c r="B15" s="33">
        <f>YEAR(A15)</f>
        <v/>
      </c>
      <c r="C15" s="33">
        <f>MONTH(A15)</f>
        <v/>
      </c>
      <c r="D15">
        <f>IF(A15&lt;=LastActual,"Actual","Forecast")</f>
        <v/>
      </c>
      <c r="E15" s="30">
        <f>IF($D15="Actual",R15,W15)</f>
        <v/>
      </c>
      <c r="F15" s="15">
        <f>IF($D15="Actual",S15,Cases_Forecast!AM8)</f>
        <v/>
      </c>
      <c r="G15" s="9">
        <f>IF($D15="Actual",T15,IFERROR(F15/K15,0))</f>
        <v/>
      </c>
      <c r="H15" s="30">
        <f>IF($D15="Actual",U15,G15*L15)</f>
        <v/>
      </c>
      <c r="I15" s="30">
        <f>IF($D15="Actual",V15,J15-H15)</f>
        <v/>
      </c>
      <c r="J15" s="30">
        <f>IF($D15="Actual",U15+V15,IFERROR(H15/(1-AD15),0))</f>
        <v/>
      </c>
      <c r="K15" s="10">
        <f>IF($D15="Actual",IFERROR(S15/T15,0),CPLH_Forecast!AM8)</f>
        <v/>
      </c>
      <c r="L15" s="34">
        <f>IF($D15="Actual",IFERROR(U15/T15,0),N(AE15))</f>
        <v/>
      </c>
      <c r="M15" s="35">
        <f>IFERROR(J15/F15,0)</f>
        <v/>
      </c>
      <c r="N15" s="36">
        <f>IFERROR(J15/E15,0)</f>
        <v/>
      </c>
      <c r="O15" s="36">
        <f>IFERROR(I15/J15,0)</f>
        <v/>
      </c>
      <c r="R15" s="52">
        <f>IF($D15="Actual",SUMIFS(Data_Actuals!$C$2:$C$5000,Data_Actuals!$A$2:$A$5000,$A15,Data_Actuals!$B$2:$B$5000,$B$2),"")</f>
        <v/>
      </c>
      <c r="S15" s="52">
        <f>IF($D15="Actual",SUMIFS(Data_Actuals!$D$2:$D$5000,Data_Actuals!$A$2:$A$5000,$A15,Data_Actuals!$B$2:$B$5000,$B$2),"")</f>
        <v/>
      </c>
      <c r="T15" s="52">
        <f>IF($D15="Actual",SUMIFS(Data_Actuals!$E$2:$E$5000,Data_Actuals!$A$2:$A$5000,$A15,Data_Actuals!$B$2:$B$5000,$B$2),"")</f>
        <v/>
      </c>
      <c r="U15" s="52">
        <f>IF($D15="Actual",SUMIFS(Data_Actuals!$F$2:$F$5000,Data_Actuals!$A$2:$A$5000,$A15,Data_Actuals!$B$2:$B$5000,$B$2),"")</f>
        <v/>
      </c>
      <c r="V15" s="52">
        <f>IF($D15="Actual",SUMIFS(Data_Actuals!$G$2:$G$5000,Data_Actuals!$A$2:$A$5000,$A15,Data_Actuals!$B$2:$B$5000,$B$2),"")</f>
        <v/>
      </c>
      <c r="W15" s="52">
        <f>SUMIFS(Plan_Inputs!$C$2:$C$5000,Plan_Inputs!$A$2:$A$5000,$A15,Plan_Inputs!$B$2:$B$5000,$B$2)</f>
        <v/>
      </c>
      <c r="X15" s="53">
        <f>IF($D15="Actual",IFERROR(S15/T15,""),"")</f>
        <v/>
      </c>
      <c r="Y15" s="52">
        <f>E15</f>
        <v/>
      </c>
      <c r="Z15" s="54">
        <f>INDEX(Calendar!$H$5:$L$52,MATCH($A15,Calendar!$A$5:$A$52,0),MATCH($D$2,Calendar!$H$4:$L$4,0))</f>
        <v/>
      </c>
      <c r="AA15" s="54">
        <f>INDEX(Calendar!$M$5:$M$52,MATCH($A15,Calendar!$A$5:$A$52,0))</f>
        <v/>
      </c>
      <c r="AB15" s="55">
        <f>IF($D15="Actual",IFERROR(S15/Y15,""),"")</f>
        <v/>
      </c>
      <c r="AC15" s="56">
        <f>IF($D15="Actual",IFERROR(U15/T15/Z15/AA15,""),"")</f>
        <v/>
      </c>
      <c r="AD15" s="57">
        <f>IF($D15="Actual",IFERROR(V15/(U15+V15),""),$K$2)</f>
        <v/>
      </c>
      <c r="AE15" s="56">
        <f>IFERROR(AC15*Z15*AA15,"")</f>
        <v/>
      </c>
      <c r="AF15" s="53" t="n"/>
      <c r="AG15" s="57">
        <f>IF($D15="Forecast",IFERROR(K15/AF15-1,""),"")</f>
        <v/>
      </c>
      <c r="AH15" s="53">
        <f>IF(CPLHSource="National breakdown",CPLH_Breakdown!AN20,SUMIFS(Plan_Inputs!$D$2:$D$5000,Plan_Inputs!$A$2:$A$5000,$A15,Plan_Inputs!$B$2:$B$5000,$B$2))</f>
        <v/>
      </c>
      <c r="AJ15" s="15">
        <f>F15*$AK$11</f>
        <v/>
      </c>
      <c r="AK15" s="9">
        <f>G15*$AK$11</f>
        <v/>
      </c>
      <c r="AL15" s="30">
        <f>H15*$AK$11</f>
        <v/>
      </c>
      <c r="AM15" s="30">
        <f>I15*$AK$11</f>
        <v/>
      </c>
      <c r="AN15" s="30">
        <f>J15*$AK$11</f>
        <v/>
      </c>
      <c r="AP15" s="15">
        <f>F15*$AQ$11</f>
        <v/>
      </c>
      <c r="AQ15" s="9">
        <f>G15*$AQ$11</f>
        <v/>
      </c>
      <c r="AR15" s="30">
        <f>H15*$AQ$11</f>
        <v/>
      </c>
      <c r="AS15" s="30">
        <f>I15*$AQ$11</f>
        <v/>
      </c>
      <c r="AT15" s="30">
        <f>J15*$AQ$11</f>
        <v/>
      </c>
      <c r="AV15" s="15">
        <f>F15*$AW$11</f>
        <v/>
      </c>
      <c r="AW15" s="9">
        <f>G15*$AW$11</f>
        <v/>
      </c>
      <c r="AX15" s="30">
        <f>H15*$AW$11</f>
        <v/>
      </c>
      <c r="AY15" s="30">
        <f>I15*$AW$11</f>
        <v/>
      </c>
      <c r="AZ15" s="30">
        <f>J15*$AW$11</f>
        <v/>
      </c>
    </row>
    <row r="16">
      <c r="A16" s="8" t="n">
        <v>45689</v>
      </c>
      <c r="B16" s="33">
        <f>YEAR(A16)</f>
        <v/>
      </c>
      <c r="C16" s="33">
        <f>MONTH(A16)</f>
        <v/>
      </c>
      <c r="D16">
        <f>IF(A16&lt;=LastActual,"Actual","Forecast")</f>
        <v/>
      </c>
      <c r="E16" s="30">
        <f>IF($D16="Actual",R16,W16)</f>
        <v/>
      </c>
      <c r="F16" s="15">
        <f>IF($D16="Actual",S16,Cases_Forecast!AM9)</f>
        <v/>
      </c>
      <c r="G16" s="9">
        <f>IF($D16="Actual",T16,IFERROR(F16/K16,0))</f>
        <v/>
      </c>
      <c r="H16" s="30">
        <f>IF($D16="Actual",U16,G16*L16)</f>
        <v/>
      </c>
      <c r="I16" s="30">
        <f>IF($D16="Actual",V16,J16-H16)</f>
        <v/>
      </c>
      <c r="J16" s="30">
        <f>IF($D16="Actual",U16+V16,IFERROR(H16/(1-AD16),0))</f>
        <v/>
      </c>
      <c r="K16" s="10">
        <f>IF($D16="Actual",IFERROR(S16/T16,0),CPLH_Forecast!AM9)</f>
        <v/>
      </c>
      <c r="L16" s="34">
        <f>IF($D16="Actual",IFERROR(U16/T16,0),N(AE16))</f>
        <v/>
      </c>
      <c r="M16" s="35">
        <f>IFERROR(J16/F16,0)</f>
        <v/>
      </c>
      <c r="N16" s="36">
        <f>IFERROR(J16/E16,0)</f>
        <v/>
      </c>
      <c r="O16" s="36">
        <f>IFERROR(I16/J16,0)</f>
        <v/>
      </c>
      <c r="R16" s="52">
        <f>IF($D16="Actual",SUMIFS(Data_Actuals!$C$2:$C$5000,Data_Actuals!$A$2:$A$5000,$A16,Data_Actuals!$B$2:$B$5000,$B$2),"")</f>
        <v/>
      </c>
      <c r="S16" s="52">
        <f>IF($D16="Actual",SUMIFS(Data_Actuals!$D$2:$D$5000,Data_Actuals!$A$2:$A$5000,$A16,Data_Actuals!$B$2:$B$5000,$B$2),"")</f>
        <v/>
      </c>
      <c r="T16" s="52">
        <f>IF($D16="Actual",SUMIFS(Data_Actuals!$E$2:$E$5000,Data_Actuals!$A$2:$A$5000,$A16,Data_Actuals!$B$2:$B$5000,$B$2),"")</f>
        <v/>
      </c>
      <c r="U16" s="52">
        <f>IF($D16="Actual",SUMIFS(Data_Actuals!$F$2:$F$5000,Data_Actuals!$A$2:$A$5000,$A16,Data_Actuals!$B$2:$B$5000,$B$2),"")</f>
        <v/>
      </c>
      <c r="V16" s="52">
        <f>IF($D16="Actual",SUMIFS(Data_Actuals!$G$2:$G$5000,Data_Actuals!$A$2:$A$5000,$A16,Data_Actuals!$B$2:$B$5000,$B$2),"")</f>
        <v/>
      </c>
      <c r="W16" s="52">
        <f>SUMIFS(Plan_Inputs!$C$2:$C$5000,Plan_Inputs!$A$2:$A$5000,$A16,Plan_Inputs!$B$2:$B$5000,$B$2)</f>
        <v/>
      </c>
      <c r="X16" s="53">
        <f>IF($D16="Actual",IFERROR(S16/T16,""),"")</f>
        <v/>
      </c>
      <c r="Y16" s="52">
        <f>E16</f>
        <v/>
      </c>
      <c r="Z16" s="54">
        <f>INDEX(Calendar!$H$5:$L$52,MATCH($A16,Calendar!$A$5:$A$52,0),MATCH($D$2,Calendar!$H$4:$L$4,0))</f>
        <v/>
      </c>
      <c r="AA16" s="54">
        <f>INDEX(Calendar!$M$5:$M$52,MATCH($A16,Calendar!$A$5:$A$52,0))</f>
        <v/>
      </c>
      <c r="AB16" s="55">
        <f>IF($D16="Actual",IFERROR(S16/Y16,""),"")</f>
        <v/>
      </c>
      <c r="AC16" s="56">
        <f>IF($D16="Actual",IFERROR(U16/T16/Z16/AA16,""),"")</f>
        <v/>
      </c>
      <c r="AD16" s="57">
        <f>IF($D16="Actual",IFERROR(V16/(U16+V16),""),$K$2)</f>
        <v/>
      </c>
      <c r="AE16" s="56">
        <f>IFERROR(AC16*Z16*AA16,"")</f>
        <v/>
      </c>
      <c r="AF16" s="53" t="n"/>
      <c r="AG16" s="57">
        <f>IF($D16="Forecast",IFERROR(K16/AF16-1,""),"")</f>
        <v/>
      </c>
      <c r="AH16" s="53">
        <f>IF(CPLHSource="National breakdown",CPLH_Breakdown!AN21,SUMIFS(Plan_Inputs!$D$2:$D$5000,Plan_Inputs!$A$2:$A$5000,$A16,Plan_Inputs!$B$2:$B$5000,$B$2))</f>
        <v/>
      </c>
      <c r="AJ16" s="15">
        <f>F16*$AK$11</f>
        <v/>
      </c>
      <c r="AK16" s="9">
        <f>G16*$AK$11</f>
        <v/>
      </c>
      <c r="AL16" s="30">
        <f>H16*$AK$11</f>
        <v/>
      </c>
      <c r="AM16" s="30">
        <f>I16*$AK$11</f>
        <v/>
      </c>
      <c r="AN16" s="30">
        <f>J16*$AK$11</f>
        <v/>
      </c>
      <c r="AP16" s="15">
        <f>F16*$AQ$11</f>
        <v/>
      </c>
      <c r="AQ16" s="9">
        <f>G16*$AQ$11</f>
        <v/>
      </c>
      <c r="AR16" s="30">
        <f>H16*$AQ$11</f>
        <v/>
      </c>
      <c r="AS16" s="30">
        <f>I16*$AQ$11</f>
        <v/>
      </c>
      <c r="AT16" s="30">
        <f>J16*$AQ$11</f>
        <v/>
      </c>
      <c r="AV16" s="15">
        <f>F16*$AW$11</f>
        <v/>
      </c>
      <c r="AW16" s="9">
        <f>G16*$AW$11</f>
        <v/>
      </c>
      <c r="AX16" s="30">
        <f>H16*$AW$11</f>
        <v/>
      </c>
      <c r="AY16" s="30">
        <f>I16*$AW$11</f>
        <v/>
      </c>
      <c r="AZ16" s="30">
        <f>J16*$AW$11</f>
        <v/>
      </c>
    </row>
    <row r="17">
      <c r="A17" s="8" t="n">
        <v>45717</v>
      </c>
      <c r="B17" s="33">
        <f>YEAR(A17)</f>
        <v/>
      </c>
      <c r="C17" s="33">
        <f>MONTH(A17)</f>
        <v/>
      </c>
      <c r="D17">
        <f>IF(A17&lt;=LastActual,"Actual","Forecast")</f>
        <v/>
      </c>
      <c r="E17" s="30">
        <f>IF($D17="Actual",R17,W17)</f>
        <v/>
      </c>
      <c r="F17" s="15">
        <f>IF($D17="Actual",S17,Cases_Forecast!AM10)</f>
        <v/>
      </c>
      <c r="G17" s="9">
        <f>IF($D17="Actual",T17,IFERROR(F17/K17,0))</f>
        <v/>
      </c>
      <c r="H17" s="30">
        <f>IF($D17="Actual",U17,G17*L17)</f>
        <v/>
      </c>
      <c r="I17" s="30">
        <f>IF($D17="Actual",V17,J17-H17)</f>
        <v/>
      </c>
      <c r="J17" s="30">
        <f>IF($D17="Actual",U17+V17,IFERROR(H17/(1-AD17),0))</f>
        <v/>
      </c>
      <c r="K17" s="10">
        <f>IF($D17="Actual",IFERROR(S17/T17,0),CPLH_Forecast!AM10)</f>
        <v/>
      </c>
      <c r="L17" s="34">
        <f>IF($D17="Actual",IFERROR(U17/T17,0),N(AE17))</f>
        <v/>
      </c>
      <c r="M17" s="35">
        <f>IFERROR(J17/F17,0)</f>
        <v/>
      </c>
      <c r="N17" s="36">
        <f>IFERROR(J17/E17,0)</f>
        <v/>
      </c>
      <c r="O17" s="36">
        <f>IFERROR(I17/J17,0)</f>
        <v/>
      </c>
      <c r="R17" s="52">
        <f>IF($D17="Actual",SUMIFS(Data_Actuals!$C$2:$C$5000,Data_Actuals!$A$2:$A$5000,$A17,Data_Actuals!$B$2:$B$5000,$B$2),"")</f>
        <v/>
      </c>
      <c r="S17" s="52">
        <f>IF($D17="Actual",SUMIFS(Data_Actuals!$D$2:$D$5000,Data_Actuals!$A$2:$A$5000,$A17,Data_Actuals!$B$2:$B$5000,$B$2),"")</f>
        <v/>
      </c>
      <c r="T17" s="52">
        <f>IF($D17="Actual",SUMIFS(Data_Actuals!$E$2:$E$5000,Data_Actuals!$A$2:$A$5000,$A17,Data_Actuals!$B$2:$B$5000,$B$2),"")</f>
        <v/>
      </c>
      <c r="U17" s="52">
        <f>IF($D17="Actual",SUMIFS(Data_Actuals!$F$2:$F$5000,Data_Actuals!$A$2:$A$5000,$A17,Data_Actuals!$B$2:$B$5000,$B$2),"")</f>
        <v/>
      </c>
      <c r="V17" s="52">
        <f>IF($D17="Actual",SUMIFS(Data_Actuals!$G$2:$G$5000,Data_Actuals!$A$2:$A$5000,$A17,Data_Actuals!$B$2:$B$5000,$B$2),"")</f>
        <v/>
      </c>
      <c r="W17" s="52">
        <f>SUMIFS(Plan_Inputs!$C$2:$C$5000,Plan_Inputs!$A$2:$A$5000,$A17,Plan_Inputs!$B$2:$B$5000,$B$2)</f>
        <v/>
      </c>
      <c r="X17" s="53">
        <f>IF($D17="Actual",IFERROR(S17/T17,""),"")</f>
        <v/>
      </c>
      <c r="Y17" s="52">
        <f>E17</f>
        <v/>
      </c>
      <c r="Z17" s="54">
        <f>INDEX(Calendar!$H$5:$L$52,MATCH($A17,Calendar!$A$5:$A$52,0),MATCH($D$2,Calendar!$H$4:$L$4,0))</f>
        <v/>
      </c>
      <c r="AA17" s="54">
        <f>INDEX(Calendar!$M$5:$M$52,MATCH($A17,Calendar!$A$5:$A$52,0))</f>
        <v/>
      </c>
      <c r="AB17" s="55">
        <f>IF($D17="Actual",IFERROR(S17/Y17,""),"")</f>
        <v/>
      </c>
      <c r="AC17" s="56">
        <f>IF($D17="Actual",IFERROR(U17/T17/Z17/AA17,""),"")</f>
        <v/>
      </c>
      <c r="AD17" s="57">
        <f>IF($D17="Actual",IFERROR(V17/(U17+V17),""),$K$2)</f>
        <v/>
      </c>
      <c r="AE17" s="56">
        <f>IFERROR(AC17*Z17*AA17,"")</f>
        <v/>
      </c>
      <c r="AF17" s="53" t="n"/>
      <c r="AG17" s="57">
        <f>IF($D17="Forecast",IFERROR(K17/AF17-1,""),"")</f>
        <v/>
      </c>
      <c r="AH17" s="53">
        <f>IF(CPLHSource="National breakdown",CPLH_Breakdown!AN22,SUMIFS(Plan_Inputs!$D$2:$D$5000,Plan_Inputs!$A$2:$A$5000,$A17,Plan_Inputs!$B$2:$B$5000,$B$2))</f>
        <v/>
      </c>
      <c r="AJ17" s="15">
        <f>F17*$AK$11</f>
        <v/>
      </c>
      <c r="AK17" s="9">
        <f>G17*$AK$11</f>
        <v/>
      </c>
      <c r="AL17" s="30">
        <f>H17*$AK$11</f>
        <v/>
      </c>
      <c r="AM17" s="30">
        <f>I17*$AK$11</f>
        <v/>
      </c>
      <c r="AN17" s="30">
        <f>J17*$AK$11</f>
        <v/>
      </c>
      <c r="AP17" s="15">
        <f>F17*$AQ$11</f>
        <v/>
      </c>
      <c r="AQ17" s="9">
        <f>G17*$AQ$11</f>
        <v/>
      </c>
      <c r="AR17" s="30">
        <f>H17*$AQ$11</f>
        <v/>
      </c>
      <c r="AS17" s="30">
        <f>I17*$AQ$11</f>
        <v/>
      </c>
      <c r="AT17" s="30">
        <f>J17*$AQ$11</f>
        <v/>
      </c>
      <c r="AV17" s="15">
        <f>F17*$AW$11</f>
        <v/>
      </c>
      <c r="AW17" s="9">
        <f>G17*$AW$11</f>
        <v/>
      </c>
      <c r="AX17" s="30">
        <f>H17*$AW$11</f>
        <v/>
      </c>
      <c r="AY17" s="30">
        <f>I17*$AW$11</f>
        <v/>
      </c>
      <c r="AZ17" s="30">
        <f>J17*$AW$11</f>
        <v/>
      </c>
    </row>
    <row r="18">
      <c r="A18" s="8" t="n">
        <v>45748</v>
      </c>
      <c r="B18" s="33">
        <f>YEAR(A18)</f>
        <v/>
      </c>
      <c r="C18" s="33">
        <f>MONTH(A18)</f>
        <v/>
      </c>
      <c r="D18">
        <f>IF(A18&lt;=LastActual,"Actual","Forecast")</f>
        <v/>
      </c>
      <c r="E18" s="30">
        <f>IF($D18="Actual",R18,W18)</f>
        <v/>
      </c>
      <c r="F18" s="15">
        <f>IF($D18="Actual",S18,Cases_Forecast!AM11)</f>
        <v/>
      </c>
      <c r="G18" s="9">
        <f>IF($D18="Actual",T18,IFERROR(F18/K18,0))</f>
        <v/>
      </c>
      <c r="H18" s="30">
        <f>IF($D18="Actual",U18,G18*L18)</f>
        <v/>
      </c>
      <c r="I18" s="30">
        <f>IF($D18="Actual",V18,J18-H18)</f>
        <v/>
      </c>
      <c r="J18" s="30">
        <f>IF($D18="Actual",U18+V18,IFERROR(H18/(1-AD18),0))</f>
        <v/>
      </c>
      <c r="K18" s="10">
        <f>IF($D18="Actual",IFERROR(S18/T18,0),CPLH_Forecast!AM11)</f>
        <v/>
      </c>
      <c r="L18" s="34">
        <f>IF($D18="Actual",IFERROR(U18/T18,0),N(AE18))</f>
        <v/>
      </c>
      <c r="M18" s="35">
        <f>IFERROR(J18/F18,0)</f>
        <v/>
      </c>
      <c r="N18" s="36">
        <f>IFERROR(J18/E18,0)</f>
        <v/>
      </c>
      <c r="O18" s="36">
        <f>IFERROR(I18/J18,0)</f>
        <v/>
      </c>
      <c r="R18" s="52">
        <f>IF($D18="Actual",SUMIFS(Data_Actuals!$C$2:$C$5000,Data_Actuals!$A$2:$A$5000,$A18,Data_Actuals!$B$2:$B$5000,$B$2),"")</f>
        <v/>
      </c>
      <c r="S18" s="52">
        <f>IF($D18="Actual",SUMIFS(Data_Actuals!$D$2:$D$5000,Data_Actuals!$A$2:$A$5000,$A18,Data_Actuals!$B$2:$B$5000,$B$2),"")</f>
        <v/>
      </c>
      <c r="T18" s="52">
        <f>IF($D18="Actual",SUMIFS(Data_Actuals!$E$2:$E$5000,Data_Actuals!$A$2:$A$5000,$A18,Data_Actuals!$B$2:$B$5000,$B$2),"")</f>
        <v/>
      </c>
      <c r="U18" s="52">
        <f>IF($D18="Actual",SUMIFS(Data_Actuals!$F$2:$F$5000,Data_Actuals!$A$2:$A$5000,$A18,Data_Actuals!$B$2:$B$5000,$B$2),"")</f>
        <v/>
      </c>
      <c r="V18" s="52">
        <f>IF($D18="Actual",SUMIFS(Data_Actuals!$G$2:$G$5000,Data_Actuals!$A$2:$A$5000,$A18,Data_Actuals!$B$2:$B$5000,$B$2),"")</f>
        <v/>
      </c>
      <c r="W18" s="52">
        <f>SUMIFS(Plan_Inputs!$C$2:$C$5000,Plan_Inputs!$A$2:$A$5000,$A18,Plan_Inputs!$B$2:$B$5000,$B$2)</f>
        <v/>
      </c>
      <c r="X18" s="53">
        <f>IF($D18="Actual",IFERROR(S18/T18,""),"")</f>
        <v/>
      </c>
      <c r="Y18" s="52">
        <f>E18</f>
        <v/>
      </c>
      <c r="Z18" s="54">
        <f>INDEX(Calendar!$H$5:$L$52,MATCH($A18,Calendar!$A$5:$A$52,0),MATCH($D$2,Calendar!$H$4:$L$4,0))</f>
        <v/>
      </c>
      <c r="AA18" s="54">
        <f>INDEX(Calendar!$M$5:$M$52,MATCH($A18,Calendar!$A$5:$A$52,0))</f>
        <v/>
      </c>
      <c r="AB18" s="55">
        <f>IF($D18="Actual",IFERROR(S18/Y18,""),"")</f>
        <v/>
      </c>
      <c r="AC18" s="56">
        <f>IF($D18="Actual",IFERROR(U18/T18/Z18/AA18,""),"")</f>
        <v/>
      </c>
      <c r="AD18" s="57">
        <f>IF($D18="Actual",IFERROR(V18/(U18+V18),""),$K$2)</f>
        <v/>
      </c>
      <c r="AE18" s="56">
        <f>IFERROR(AC18*Z18*AA18,"")</f>
        <v/>
      </c>
      <c r="AF18" s="53" t="n"/>
      <c r="AG18" s="57">
        <f>IF($D18="Forecast",IFERROR(K18/AF18-1,""),"")</f>
        <v/>
      </c>
      <c r="AH18" s="53">
        <f>IF(CPLHSource="National breakdown",CPLH_Breakdown!AN23,SUMIFS(Plan_Inputs!$D$2:$D$5000,Plan_Inputs!$A$2:$A$5000,$A18,Plan_Inputs!$B$2:$B$5000,$B$2))</f>
        <v/>
      </c>
      <c r="AJ18" s="15">
        <f>F18*$AK$11</f>
        <v/>
      </c>
      <c r="AK18" s="9">
        <f>G18*$AK$11</f>
        <v/>
      </c>
      <c r="AL18" s="30">
        <f>H18*$AK$11</f>
        <v/>
      </c>
      <c r="AM18" s="30">
        <f>I18*$AK$11</f>
        <v/>
      </c>
      <c r="AN18" s="30">
        <f>J18*$AK$11</f>
        <v/>
      </c>
      <c r="AP18" s="15">
        <f>F18*$AQ$11</f>
        <v/>
      </c>
      <c r="AQ18" s="9">
        <f>G18*$AQ$11</f>
        <v/>
      </c>
      <c r="AR18" s="30">
        <f>H18*$AQ$11</f>
        <v/>
      </c>
      <c r="AS18" s="30">
        <f>I18*$AQ$11</f>
        <v/>
      </c>
      <c r="AT18" s="30">
        <f>J18*$AQ$11</f>
        <v/>
      </c>
      <c r="AV18" s="15">
        <f>F18*$AW$11</f>
        <v/>
      </c>
      <c r="AW18" s="9">
        <f>G18*$AW$11</f>
        <v/>
      </c>
      <c r="AX18" s="30">
        <f>H18*$AW$11</f>
        <v/>
      </c>
      <c r="AY18" s="30">
        <f>I18*$AW$11</f>
        <v/>
      </c>
      <c r="AZ18" s="30">
        <f>J18*$AW$11</f>
        <v/>
      </c>
    </row>
    <row r="19">
      <c r="A19" s="8" t="n">
        <v>45778</v>
      </c>
      <c r="B19" s="33">
        <f>YEAR(A19)</f>
        <v/>
      </c>
      <c r="C19" s="33">
        <f>MONTH(A19)</f>
        <v/>
      </c>
      <c r="D19">
        <f>IF(A19&lt;=LastActual,"Actual","Forecast")</f>
        <v/>
      </c>
      <c r="E19" s="30">
        <f>IF($D19="Actual",R19,W19)</f>
        <v/>
      </c>
      <c r="F19" s="15">
        <f>IF($D19="Actual",S19,Cases_Forecast!AM12)</f>
        <v/>
      </c>
      <c r="G19" s="9">
        <f>IF($D19="Actual",T19,IFERROR(F19/K19,0))</f>
        <v/>
      </c>
      <c r="H19" s="30">
        <f>IF($D19="Actual",U19,G19*L19)</f>
        <v/>
      </c>
      <c r="I19" s="30">
        <f>IF($D19="Actual",V19,J19-H19)</f>
        <v/>
      </c>
      <c r="J19" s="30">
        <f>IF($D19="Actual",U19+V19,IFERROR(H19/(1-AD19),0))</f>
        <v/>
      </c>
      <c r="K19" s="10">
        <f>IF($D19="Actual",IFERROR(S19/T19,0),CPLH_Forecast!AM12)</f>
        <v/>
      </c>
      <c r="L19" s="34">
        <f>IF($D19="Actual",IFERROR(U19/T19,0),N(AE19))</f>
        <v/>
      </c>
      <c r="M19" s="35">
        <f>IFERROR(J19/F19,0)</f>
        <v/>
      </c>
      <c r="N19" s="36">
        <f>IFERROR(J19/E19,0)</f>
        <v/>
      </c>
      <c r="O19" s="36">
        <f>IFERROR(I19/J19,0)</f>
        <v/>
      </c>
      <c r="R19" s="52">
        <f>IF($D19="Actual",SUMIFS(Data_Actuals!$C$2:$C$5000,Data_Actuals!$A$2:$A$5000,$A19,Data_Actuals!$B$2:$B$5000,$B$2),"")</f>
        <v/>
      </c>
      <c r="S19" s="52">
        <f>IF($D19="Actual",SUMIFS(Data_Actuals!$D$2:$D$5000,Data_Actuals!$A$2:$A$5000,$A19,Data_Actuals!$B$2:$B$5000,$B$2),"")</f>
        <v/>
      </c>
      <c r="T19" s="52">
        <f>IF($D19="Actual",SUMIFS(Data_Actuals!$E$2:$E$5000,Data_Actuals!$A$2:$A$5000,$A19,Data_Actuals!$B$2:$B$5000,$B$2),"")</f>
        <v/>
      </c>
      <c r="U19" s="52">
        <f>IF($D19="Actual",SUMIFS(Data_Actuals!$F$2:$F$5000,Data_Actuals!$A$2:$A$5000,$A19,Data_Actuals!$B$2:$B$5000,$B$2),"")</f>
        <v/>
      </c>
      <c r="V19" s="52">
        <f>IF($D19="Actual",SUMIFS(Data_Actuals!$G$2:$G$5000,Data_Actuals!$A$2:$A$5000,$A19,Data_Actuals!$B$2:$B$5000,$B$2),"")</f>
        <v/>
      </c>
      <c r="W19" s="52">
        <f>SUMIFS(Plan_Inputs!$C$2:$C$5000,Plan_Inputs!$A$2:$A$5000,$A19,Plan_Inputs!$B$2:$B$5000,$B$2)</f>
        <v/>
      </c>
      <c r="X19" s="53">
        <f>IF($D19="Actual",IFERROR(S19/T19,""),"")</f>
        <v/>
      </c>
      <c r="Y19" s="52">
        <f>E19</f>
        <v/>
      </c>
      <c r="Z19" s="54">
        <f>INDEX(Calendar!$H$5:$L$52,MATCH($A19,Calendar!$A$5:$A$52,0),MATCH($D$2,Calendar!$H$4:$L$4,0))</f>
        <v/>
      </c>
      <c r="AA19" s="54">
        <f>INDEX(Calendar!$M$5:$M$52,MATCH($A19,Calendar!$A$5:$A$52,0))</f>
        <v/>
      </c>
      <c r="AB19" s="55">
        <f>IF($D19="Actual",IFERROR(S19/Y19,""),"")</f>
        <v/>
      </c>
      <c r="AC19" s="56">
        <f>IF($D19="Actual",IFERROR(U19/T19/Z19/AA19,""),"")</f>
        <v/>
      </c>
      <c r="AD19" s="57">
        <f>IF($D19="Actual",IFERROR(V19/(U19+V19),""),$K$2)</f>
        <v/>
      </c>
      <c r="AE19" s="56">
        <f>IFERROR(AC19*Z19*AA19,"")</f>
        <v/>
      </c>
      <c r="AF19" s="53" t="n"/>
      <c r="AG19" s="57">
        <f>IF($D19="Forecast",IFERROR(K19/AF19-1,""),"")</f>
        <v/>
      </c>
      <c r="AH19" s="53">
        <f>IF(CPLHSource="National breakdown",CPLH_Breakdown!AN24,SUMIFS(Plan_Inputs!$D$2:$D$5000,Plan_Inputs!$A$2:$A$5000,$A19,Plan_Inputs!$B$2:$B$5000,$B$2))</f>
        <v/>
      </c>
      <c r="AJ19" s="15">
        <f>F19*$AK$11</f>
        <v/>
      </c>
      <c r="AK19" s="9">
        <f>G19*$AK$11</f>
        <v/>
      </c>
      <c r="AL19" s="30">
        <f>H19*$AK$11</f>
        <v/>
      </c>
      <c r="AM19" s="30">
        <f>I19*$AK$11</f>
        <v/>
      </c>
      <c r="AN19" s="30">
        <f>J19*$AK$11</f>
        <v/>
      </c>
      <c r="AP19" s="15">
        <f>F19*$AQ$11</f>
        <v/>
      </c>
      <c r="AQ19" s="9">
        <f>G19*$AQ$11</f>
        <v/>
      </c>
      <c r="AR19" s="30">
        <f>H19*$AQ$11</f>
        <v/>
      </c>
      <c r="AS19" s="30">
        <f>I19*$AQ$11</f>
        <v/>
      </c>
      <c r="AT19" s="30">
        <f>J19*$AQ$11</f>
        <v/>
      </c>
      <c r="AV19" s="15">
        <f>F19*$AW$11</f>
        <v/>
      </c>
      <c r="AW19" s="9">
        <f>G19*$AW$11</f>
        <v/>
      </c>
      <c r="AX19" s="30">
        <f>H19*$AW$11</f>
        <v/>
      </c>
      <c r="AY19" s="30">
        <f>I19*$AW$11</f>
        <v/>
      </c>
      <c r="AZ19" s="30">
        <f>J19*$AW$11</f>
        <v/>
      </c>
    </row>
    <row r="20">
      <c r="A20" s="8" t="n">
        <v>45809</v>
      </c>
      <c r="B20" s="33">
        <f>YEAR(A20)</f>
        <v/>
      </c>
      <c r="C20" s="33">
        <f>MONTH(A20)</f>
        <v/>
      </c>
      <c r="D20">
        <f>IF(A20&lt;=LastActual,"Actual","Forecast")</f>
        <v/>
      </c>
      <c r="E20" s="30">
        <f>IF($D20="Actual",R20,W20)</f>
        <v/>
      </c>
      <c r="F20" s="15">
        <f>IF($D20="Actual",S20,Cases_Forecast!AM13)</f>
        <v/>
      </c>
      <c r="G20" s="9">
        <f>IF($D20="Actual",T20,IFERROR(F20/K20,0))</f>
        <v/>
      </c>
      <c r="H20" s="30">
        <f>IF($D20="Actual",U20,G20*L20)</f>
        <v/>
      </c>
      <c r="I20" s="30">
        <f>IF($D20="Actual",V20,J20-H20)</f>
        <v/>
      </c>
      <c r="J20" s="30">
        <f>IF($D20="Actual",U20+V20,IFERROR(H20/(1-AD20),0))</f>
        <v/>
      </c>
      <c r="K20" s="10">
        <f>IF($D20="Actual",IFERROR(S20/T20,0),CPLH_Forecast!AM13)</f>
        <v/>
      </c>
      <c r="L20" s="34">
        <f>IF($D20="Actual",IFERROR(U20/T20,0),N(AE20))</f>
        <v/>
      </c>
      <c r="M20" s="35">
        <f>IFERROR(J20/F20,0)</f>
        <v/>
      </c>
      <c r="N20" s="36">
        <f>IFERROR(J20/E20,0)</f>
        <v/>
      </c>
      <c r="O20" s="36">
        <f>IFERROR(I20/J20,0)</f>
        <v/>
      </c>
      <c r="R20" s="52">
        <f>IF($D20="Actual",SUMIFS(Data_Actuals!$C$2:$C$5000,Data_Actuals!$A$2:$A$5000,$A20,Data_Actuals!$B$2:$B$5000,$B$2),"")</f>
        <v/>
      </c>
      <c r="S20" s="52">
        <f>IF($D20="Actual",SUMIFS(Data_Actuals!$D$2:$D$5000,Data_Actuals!$A$2:$A$5000,$A20,Data_Actuals!$B$2:$B$5000,$B$2),"")</f>
        <v/>
      </c>
      <c r="T20" s="52">
        <f>IF($D20="Actual",SUMIFS(Data_Actuals!$E$2:$E$5000,Data_Actuals!$A$2:$A$5000,$A20,Data_Actuals!$B$2:$B$5000,$B$2),"")</f>
        <v/>
      </c>
      <c r="U20" s="52">
        <f>IF($D20="Actual",SUMIFS(Data_Actuals!$F$2:$F$5000,Data_Actuals!$A$2:$A$5000,$A20,Data_Actuals!$B$2:$B$5000,$B$2),"")</f>
        <v/>
      </c>
      <c r="V20" s="52">
        <f>IF($D20="Actual",SUMIFS(Data_Actuals!$G$2:$G$5000,Data_Actuals!$A$2:$A$5000,$A20,Data_Actuals!$B$2:$B$5000,$B$2),"")</f>
        <v/>
      </c>
      <c r="W20" s="52">
        <f>SUMIFS(Plan_Inputs!$C$2:$C$5000,Plan_Inputs!$A$2:$A$5000,$A20,Plan_Inputs!$B$2:$B$5000,$B$2)</f>
        <v/>
      </c>
      <c r="X20" s="53">
        <f>IF($D20="Actual",IFERROR(S20/T20,""),"")</f>
        <v/>
      </c>
      <c r="Y20" s="52">
        <f>E20</f>
        <v/>
      </c>
      <c r="Z20" s="54">
        <f>INDEX(Calendar!$H$5:$L$52,MATCH($A20,Calendar!$A$5:$A$52,0),MATCH($D$2,Calendar!$H$4:$L$4,0))</f>
        <v/>
      </c>
      <c r="AA20" s="54">
        <f>INDEX(Calendar!$M$5:$M$52,MATCH($A20,Calendar!$A$5:$A$52,0))</f>
        <v/>
      </c>
      <c r="AB20" s="55">
        <f>IF($D20="Actual",IFERROR(S20/Y20,""),"")</f>
        <v/>
      </c>
      <c r="AC20" s="56">
        <f>IF($D20="Actual",IFERROR(U20/T20/Z20/AA20,""),"")</f>
        <v/>
      </c>
      <c r="AD20" s="57">
        <f>IF($D20="Actual",IFERROR(V20/(U20+V20),""),$K$2)</f>
        <v/>
      </c>
      <c r="AE20" s="56">
        <f>IFERROR(AC20*Z20*AA20,"")</f>
        <v/>
      </c>
      <c r="AF20" s="53" t="n"/>
      <c r="AG20" s="57">
        <f>IF($D20="Forecast",IFERROR(K20/AF20-1,""),"")</f>
        <v/>
      </c>
      <c r="AH20" s="53">
        <f>IF(CPLHSource="National breakdown",CPLH_Breakdown!AN25,SUMIFS(Plan_Inputs!$D$2:$D$5000,Plan_Inputs!$A$2:$A$5000,$A20,Plan_Inputs!$B$2:$B$5000,$B$2))</f>
        <v/>
      </c>
      <c r="AJ20" s="15">
        <f>F20*$AK$11</f>
        <v/>
      </c>
      <c r="AK20" s="9">
        <f>G20*$AK$11</f>
        <v/>
      </c>
      <c r="AL20" s="30">
        <f>H20*$AK$11</f>
        <v/>
      </c>
      <c r="AM20" s="30">
        <f>I20*$AK$11</f>
        <v/>
      </c>
      <c r="AN20" s="30">
        <f>J20*$AK$11</f>
        <v/>
      </c>
      <c r="AP20" s="15">
        <f>F20*$AQ$11</f>
        <v/>
      </c>
      <c r="AQ20" s="9">
        <f>G20*$AQ$11</f>
        <v/>
      </c>
      <c r="AR20" s="30">
        <f>H20*$AQ$11</f>
        <v/>
      </c>
      <c r="AS20" s="30">
        <f>I20*$AQ$11</f>
        <v/>
      </c>
      <c r="AT20" s="30">
        <f>J20*$AQ$11</f>
        <v/>
      </c>
      <c r="AV20" s="15">
        <f>F20*$AW$11</f>
        <v/>
      </c>
      <c r="AW20" s="9">
        <f>G20*$AW$11</f>
        <v/>
      </c>
      <c r="AX20" s="30">
        <f>H20*$AW$11</f>
        <v/>
      </c>
      <c r="AY20" s="30">
        <f>I20*$AW$11</f>
        <v/>
      </c>
      <c r="AZ20" s="30">
        <f>J20*$AW$11</f>
        <v/>
      </c>
    </row>
    <row r="21">
      <c r="A21" s="8" t="n">
        <v>45839</v>
      </c>
      <c r="B21" s="33">
        <f>YEAR(A21)</f>
        <v/>
      </c>
      <c r="C21" s="33">
        <f>MONTH(A21)</f>
        <v/>
      </c>
      <c r="D21">
        <f>IF(A21&lt;=LastActual,"Actual","Forecast")</f>
        <v/>
      </c>
      <c r="E21" s="30">
        <f>IF($D21="Actual",R21,W21)</f>
        <v/>
      </c>
      <c r="F21" s="15">
        <f>IF($D21="Actual",S21,Cases_Forecast!AM14)</f>
        <v/>
      </c>
      <c r="G21" s="9">
        <f>IF($D21="Actual",T21,IFERROR(F21/K21,0))</f>
        <v/>
      </c>
      <c r="H21" s="30">
        <f>IF($D21="Actual",U21,G21*L21)</f>
        <v/>
      </c>
      <c r="I21" s="30">
        <f>IF($D21="Actual",V21,J21-H21)</f>
        <v/>
      </c>
      <c r="J21" s="30">
        <f>IF($D21="Actual",U21+V21,IFERROR(H21/(1-AD21),0))</f>
        <v/>
      </c>
      <c r="K21" s="10">
        <f>IF($D21="Actual",IFERROR(S21/T21,0),CPLH_Forecast!AM14)</f>
        <v/>
      </c>
      <c r="L21" s="34">
        <f>IF($D21="Actual",IFERROR(U21/T21,0),N(AE21))</f>
        <v/>
      </c>
      <c r="M21" s="35">
        <f>IFERROR(J21/F21,0)</f>
        <v/>
      </c>
      <c r="N21" s="36">
        <f>IFERROR(J21/E21,0)</f>
        <v/>
      </c>
      <c r="O21" s="36">
        <f>IFERROR(I21/J21,0)</f>
        <v/>
      </c>
      <c r="R21" s="52">
        <f>IF($D21="Actual",SUMIFS(Data_Actuals!$C$2:$C$5000,Data_Actuals!$A$2:$A$5000,$A21,Data_Actuals!$B$2:$B$5000,$B$2),"")</f>
        <v/>
      </c>
      <c r="S21" s="52">
        <f>IF($D21="Actual",SUMIFS(Data_Actuals!$D$2:$D$5000,Data_Actuals!$A$2:$A$5000,$A21,Data_Actuals!$B$2:$B$5000,$B$2),"")</f>
        <v/>
      </c>
      <c r="T21" s="52">
        <f>IF($D21="Actual",SUMIFS(Data_Actuals!$E$2:$E$5000,Data_Actuals!$A$2:$A$5000,$A21,Data_Actuals!$B$2:$B$5000,$B$2),"")</f>
        <v/>
      </c>
      <c r="U21" s="52">
        <f>IF($D21="Actual",SUMIFS(Data_Actuals!$F$2:$F$5000,Data_Actuals!$A$2:$A$5000,$A21,Data_Actuals!$B$2:$B$5000,$B$2),"")</f>
        <v/>
      </c>
      <c r="V21" s="52">
        <f>IF($D21="Actual",SUMIFS(Data_Actuals!$G$2:$G$5000,Data_Actuals!$A$2:$A$5000,$A21,Data_Actuals!$B$2:$B$5000,$B$2),"")</f>
        <v/>
      </c>
      <c r="W21" s="52">
        <f>SUMIFS(Plan_Inputs!$C$2:$C$5000,Plan_Inputs!$A$2:$A$5000,$A21,Plan_Inputs!$B$2:$B$5000,$B$2)</f>
        <v/>
      </c>
      <c r="X21" s="53">
        <f>IF($D21="Actual",IFERROR(S21/T21,""),"")</f>
        <v/>
      </c>
      <c r="Y21" s="52">
        <f>E21</f>
        <v/>
      </c>
      <c r="Z21" s="54">
        <f>INDEX(Calendar!$H$5:$L$52,MATCH($A21,Calendar!$A$5:$A$52,0),MATCH($D$2,Calendar!$H$4:$L$4,0))</f>
        <v/>
      </c>
      <c r="AA21" s="54">
        <f>INDEX(Calendar!$M$5:$M$52,MATCH($A21,Calendar!$A$5:$A$52,0))</f>
        <v/>
      </c>
      <c r="AB21" s="55">
        <f>IF($D21="Actual",IFERROR(S21/Y21,""),"")</f>
        <v/>
      </c>
      <c r="AC21" s="56">
        <f>IF($D21="Actual",IFERROR(U21/T21/Z21/AA21,""),"")</f>
        <v/>
      </c>
      <c r="AD21" s="57">
        <f>IF($D21="Actual",IFERROR(V21/(U21+V21),""),$K$2)</f>
        <v/>
      </c>
      <c r="AE21" s="56">
        <f>IFERROR(AC21*Z21*AA21,"")</f>
        <v/>
      </c>
      <c r="AF21" s="53" t="n"/>
      <c r="AG21" s="57">
        <f>IF($D21="Forecast",IFERROR(K21/AF21-1,""),"")</f>
        <v/>
      </c>
      <c r="AH21" s="53">
        <f>IF(CPLHSource="National breakdown",CPLH_Breakdown!AN26,SUMIFS(Plan_Inputs!$D$2:$D$5000,Plan_Inputs!$A$2:$A$5000,$A21,Plan_Inputs!$B$2:$B$5000,$B$2))</f>
        <v/>
      </c>
      <c r="AJ21" s="15">
        <f>F21*$AK$11</f>
        <v/>
      </c>
      <c r="AK21" s="9">
        <f>G21*$AK$11</f>
        <v/>
      </c>
      <c r="AL21" s="30">
        <f>H21*$AK$11</f>
        <v/>
      </c>
      <c r="AM21" s="30">
        <f>I21*$AK$11</f>
        <v/>
      </c>
      <c r="AN21" s="30">
        <f>J21*$AK$11</f>
        <v/>
      </c>
      <c r="AP21" s="15">
        <f>F21*$AQ$11</f>
        <v/>
      </c>
      <c r="AQ21" s="9">
        <f>G21*$AQ$11</f>
        <v/>
      </c>
      <c r="AR21" s="30">
        <f>H21*$AQ$11</f>
        <v/>
      </c>
      <c r="AS21" s="30">
        <f>I21*$AQ$11</f>
        <v/>
      </c>
      <c r="AT21" s="30">
        <f>J21*$AQ$11</f>
        <v/>
      </c>
      <c r="AV21" s="15">
        <f>F21*$AW$11</f>
        <v/>
      </c>
      <c r="AW21" s="9">
        <f>G21*$AW$11</f>
        <v/>
      </c>
      <c r="AX21" s="30">
        <f>H21*$AW$11</f>
        <v/>
      </c>
      <c r="AY21" s="30">
        <f>I21*$AW$11</f>
        <v/>
      </c>
      <c r="AZ21" s="30">
        <f>J21*$AW$11</f>
        <v/>
      </c>
    </row>
    <row r="22">
      <c r="A22" s="8" t="n">
        <v>45870</v>
      </c>
      <c r="B22" s="33">
        <f>YEAR(A22)</f>
        <v/>
      </c>
      <c r="C22" s="33">
        <f>MONTH(A22)</f>
        <v/>
      </c>
      <c r="D22">
        <f>IF(A22&lt;=LastActual,"Actual","Forecast")</f>
        <v/>
      </c>
      <c r="E22" s="30">
        <f>IF($D22="Actual",R22,W22)</f>
        <v/>
      </c>
      <c r="F22" s="15">
        <f>IF($D22="Actual",S22,Cases_Forecast!AM15)</f>
        <v/>
      </c>
      <c r="G22" s="9">
        <f>IF($D22="Actual",T22,IFERROR(F22/K22,0))</f>
        <v/>
      </c>
      <c r="H22" s="30">
        <f>IF($D22="Actual",U22,G22*L22)</f>
        <v/>
      </c>
      <c r="I22" s="30">
        <f>IF($D22="Actual",V22,J22-H22)</f>
        <v/>
      </c>
      <c r="J22" s="30">
        <f>IF($D22="Actual",U22+V22,IFERROR(H22/(1-AD22),0))</f>
        <v/>
      </c>
      <c r="K22" s="10">
        <f>IF($D22="Actual",IFERROR(S22/T22,0),CPLH_Forecast!AM15)</f>
        <v/>
      </c>
      <c r="L22" s="34">
        <f>IF($D22="Actual",IFERROR(U22/T22,0),N(AE22))</f>
        <v/>
      </c>
      <c r="M22" s="35">
        <f>IFERROR(J22/F22,0)</f>
        <v/>
      </c>
      <c r="N22" s="36">
        <f>IFERROR(J22/E22,0)</f>
        <v/>
      </c>
      <c r="O22" s="36">
        <f>IFERROR(I22/J22,0)</f>
        <v/>
      </c>
      <c r="R22" s="52">
        <f>IF($D22="Actual",SUMIFS(Data_Actuals!$C$2:$C$5000,Data_Actuals!$A$2:$A$5000,$A22,Data_Actuals!$B$2:$B$5000,$B$2),"")</f>
        <v/>
      </c>
      <c r="S22" s="52">
        <f>IF($D22="Actual",SUMIFS(Data_Actuals!$D$2:$D$5000,Data_Actuals!$A$2:$A$5000,$A22,Data_Actuals!$B$2:$B$5000,$B$2),"")</f>
        <v/>
      </c>
      <c r="T22" s="52">
        <f>IF($D22="Actual",SUMIFS(Data_Actuals!$E$2:$E$5000,Data_Actuals!$A$2:$A$5000,$A22,Data_Actuals!$B$2:$B$5000,$B$2),"")</f>
        <v/>
      </c>
      <c r="U22" s="52">
        <f>IF($D22="Actual",SUMIFS(Data_Actuals!$F$2:$F$5000,Data_Actuals!$A$2:$A$5000,$A22,Data_Actuals!$B$2:$B$5000,$B$2),"")</f>
        <v/>
      </c>
      <c r="V22" s="52">
        <f>IF($D22="Actual",SUMIFS(Data_Actuals!$G$2:$G$5000,Data_Actuals!$A$2:$A$5000,$A22,Data_Actuals!$B$2:$B$5000,$B$2),"")</f>
        <v/>
      </c>
      <c r="W22" s="52">
        <f>SUMIFS(Plan_Inputs!$C$2:$C$5000,Plan_Inputs!$A$2:$A$5000,$A22,Plan_Inputs!$B$2:$B$5000,$B$2)</f>
        <v/>
      </c>
      <c r="X22" s="53">
        <f>IF($D22="Actual",IFERROR(S22/T22,""),"")</f>
        <v/>
      </c>
      <c r="Y22" s="52">
        <f>E22</f>
        <v/>
      </c>
      <c r="Z22" s="54">
        <f>INDEX(Calendar!$H$5:$L$52,MATCH($A22,Calendar!$A$5:$A$52,0),MATCH($D$2,Calendar!$H$4:$L$4,0))</f>
        <v/>
      </c>
      <c r="AA22" s="54">
        <f>INDEX(Calendar!$M$5:$M$52,MATCH($A22,Calendar!$A$5:$A$52,0))</f>
        <v/>
      </c>
      <c r="AB22" s="55">
        <f>IF($D22="Actual",IFERROR(S22/Y22,""),"")</f>
        <v/>
      </c>
      <c r="AC22" s="56">
        <f>IF($D22="Actual",IFERROR(U22/T22/Z22/AA22,""),"")</f>
        <v/>
      </c>
      <c r="AD22" s="57">
        <f>IF($D22="Actual",IFERROR(V22/(U22+V22),""),$K$2)</f>
        <v/>
      </c>
      <c r="AE22" s="56">
        <f>IFERROR(AC22*Z22*AA22,"")</f>
        <v/>
      </c>
      <c r="AF22" s="53" t="n"/>
      <c r="AG22" s="57">
        <f>IF($D22="Forecast",IFERROR(K22/AF22-1,""),"")</f>
        <v/>
      </c>
      <c r="AH22" s="53">
        <f>IF(CPLHSource="National breakdown",CPLH_Breakdown!AN27,SUMIFS(Plan_Inputs!$D$2:$D$5000,Plan_Inputs!$A$2:$A$5000,$A22,Plan_Inputs!$B$2:$B$5000,$B$2))</f>
        <v/>
      </c>
      <c r="AJ22" s="15">
        <f>F22*$AK$11</f>
        <v/>
      </c>
      <c r="AK22" s="9">
        <f>G22*$AK$11</f>
        <v/>
      </c>
      <c r="AL22" s="30">
        <f>H22*$AK$11</f>
        <v/>
      </c>
      <c r="AM22" s="30">
        <f>I22*$AK$11</f>
        <v/>
      </c>
      <c r="AN22" s="30">
        <f>J22*$AK$11</f>
        <v/>
      </c>
      <c r="AP22" s="15">
        <f>F22*$AQ$11</f>
        <v/>
      </c>
      <c r="AQ22" s="9">
        <f>G22*$AQ$11</f>
        <v/>
      </c>
      <c r="AR22" s="30">
        <f>H22*$AQ$11</f>
        <v/>
      </c>
      <c r="AS22" s="30">
        <f>I22*$AQ$11</f>
        <v/>
      </c>
      <c r="AT22" s="30">
        <f>J22*$AQ$11</f>
        <v/>
      </c>
      <c r="AV22" s="15">
        <f>F22*$AW$11</f>
        <v/>
      </c>
      <c r="AW22" s="9">
        <f>G22*$AW$11</f>
        <v/>
      </c>
      <c r="AX22" s="30">
        <f>H22*$AW$11</f>
        <v/>
      </c>
      <c r="AY22" s="30">
        <f>I22*$AW$11</f>
        <v/>
      </c>
      <c r="AZ22" s="30">
        <f>J22*$AW$11</f>
        <v/>
      </c>
    </row>
    <row r="23">
      <c r="A23" s="8" t="n">
        <v>45901</v>
      </c>
      <c r="B23" s="33">
        <f>YEAR(A23)</f>
        <v/>
      </c>
      <c r="C23" s="33">
        <f>MONTH(A23)</f>
        <v/>
      </c>
      <c r="D23">
        <f>IF(A23&lt;=LastActual,"Actual","Forecast")</f>
        <v/>
      </c>
      <c r="E23" s="30">
        <f>IF($D23="Actual",R23,W23)</f>
        <v/>
      </c>
      <c r="F23" s="15">
        <f>IF($D23="Actual",S23,Cases_Forecast!AM16)</f>
        <v/>
      </c>
      <c r="G23" s="9">
        <f>IF($D23="Actual",T23,IFERROR(F23/K23,0))</f>
        <v/>
      </c>
      <c r="H23" s="30">
        <f>IF($D23="Actual",U23,G23*L23)</f>
        <v/>
      </c>
      <c r="I23" s="30">
        <f>IF($D23="Actual",V23,J23-H23)</f>
        <v/>
      </c>
      <c r="J23" s="30">
        <f>IF($D23="Actual",U23+V23,IFERROR(H23/(1-AD23),0))</f>
        <v/>
      </c>
      <c r="K23" s="10">
        <f>IF($D23="Actual",IFERROR(S23/T23,0),CPLH_Forecast!AM16)</f>
        <v/>
      </c>
      <c r="L23" s="34">
        <f>IF($D23="Actual",IFERROR(U23/T23,0),N(AE23))</f>
        <v/>
      </c>
      <c r="M23" s="35">
        <f>IFERROR(J23/F23,0)</f>
        <v/>
      </c>
      <c r="N23" s="36">
        <f>IFERROR(J23/E23,0)</f>
        <v/>
      </c>
      <c r="O23" s="36">
        <f>IFERROR(I23/J23,0)</f>
        <v/>
      </c>
      <c r="R23" s="52">
        <f>IF($D23="Actual",SUMIFS(Data_Actuals!$C$2:$C$5000,Data_Actuals!$A$2:$A$5000,$A23,Data_Actuals!$B$2:$B$5000,$B$2),"")</f>
        <v/>
      </c>
      <c r="S23" s="52">
        <f>IF($D23="Actual",SUMIFS(Data_Actuals!$D$2:$D$5000,Data_Actuals!$A$2:$A$5000,$A23,Data_Actuals!$B$2:$B$5000,$B$2),"")</f>
        <v/>
      </c>
      <c r="T23" s="52">
        <f>IF($D23="Actual",SUMIFS(Data_Actuals!$E$2:$E$5000,Data_Actuals!$A$2:$A$5000,$A23,Data_Actuals!$B$2:$B$5000,$B$2),"")</f>
        <v/>
      </c>
      <c r="U23" s="52">
        <f>IF($D23="Actual",SUMIFS(Data_Actuals!$F$2:$F$5000,Data_Actuals!$A$2:$A$5000,$A23,Data_Actuals!$B$2:$B$5000,$B$2),"")</f>
        <v/>
      </c>
      <c r="V23" s="52">
        <f>IF($D23="Actual",SUMIFS(Data_Actuals!$G$2:$G$5000,Data_Actuals!$A$2:$A$5000,$A23,Data_Actuals!$B$2:$B$5000,$B$2),"")</f>
        <v/>
      </c>
      <c r="W23" s="52">
        <f>SUMIFS(Plan_Inputs!$C$2:$C$5000,Plan_Inputs!$A$2:$A$5000,$A23,Plan_Inputs!$B$2:$B$5000,$B$2)</f>
        <v/>
      </c>
      <c r="X23" s="53">
        <f>IF($D23="Actual",IFERROR(S23/T23,""),"")</f>
        <v/>
      </c>
      <c r="Y23" s="52">
        <f>E23</f>
        <v/>
      </c>
      <c r="Z23" s="54">
        <f>INDEX(Calendar!$H$5:$L$52,MATCH($A23,Calendar!$A$5:$A$52,0),MATCH($D$2,Calendar!$H$4:$L$4,0))</f>
        <v/>
      </c>
      <c r="AA23" s="54">
        <f>INDEX(Calendar!$M$5:$M$52,MATCH($A23,Calendar!$A$5:$A$52,0))</f>
        <v/>
      </c>
      <c r="AB23" s="55">
        <f>IF($D23="Actual",IFERROR(S23/Y23,""),"")</f>
        <v/>
      </c>
      <c r="AC23" s="56">
        <f>IF($D23="Actual",IFERROR(U23/T23/Z23/AA23,""),"")</f>
        <v/>
      </c>
      <c r="AD23" s="57">
        <f>IF($D23="Actual",IFERROR(V23/(U23+V23),""),$K$2)</f>
        <v/>
      </c>
      <c r="AE23" s="56">
        <f>IFERROR(AC23*Z23*AA23,"")</f>
        <v/>
      </c>
      <c r="AF23" s="53" t="n"/>
      <c r="AG23" s="57">
        <f>IF($D23="Forecast",IFERROR(K23/AF23-1,""),"")</f>
        <v/>
      </c>
      <c r="AH23" s="53">
        <f>IF(CPLHSource="National breakdown",CPLH_Breakdown!AN28,SUMIFS(Plan_Inputs!$D$2:$D$5000,Plan_Inputs!$A$2:$A$5000,$A23,Plan_Inputs!$B$2:$B$5000,$B$2))</f>
        <v/>
      </c>
      <c r="AJ23" s="15">
        <f>F23*$AK$11</f>
        <v/>
      </c>
      <c r="AK23" s="9">
        <f>G23*$AK$11</f>
        <v/>
      </c>
      <c r="AL23" s="30">
        <f>H23*$AK$11</f>
        <v/>
      </c>
      <c r="AM23" s="30">
        <f>I23*$AK$11</f>
        <v/>
      </c>
      <c r="AN23" s="30">
        <f>J23*$AK$11</f>
        <v/>
      </c>
      <c r="AP23" s="15">
        <f>F23*$AQ$11</f>
        <v/>
      </c>
      <c r="AQ23" s="9">
        <f>G23*$AQ$11</f>
        <v/>
      </c>
      <c r="AR23" s="30">
        <f>H23*$AQ$11</f>
        <v/>
      </c>
      <c r="AS23" s="30">
        <f>I23*$AQ$11</f>
        <v/>
      </c>
      <c r="AT23" s="30">
        <f>J23*$AQ$11</f>
        <v/>
      </c>
      <c r="AV23" s="15">
        <f>F23*$AW$11</f>
        <v/>
      </c>
      <c r="AW23" s="9">
        <f>G23*$AW$11</f>
        <v/>
      </c>
      <c r="AX23" s="30">
        <f>H23*$AW$11</f>
        <v/>
      </c>
      <c r="AY23" s="30">
        <f>I23*$AW$11</f>
        <v/>
      </c>
      <c r="AZ23" s="30">
        <f>J23*$AW$11</f>
        <v/>
      </c>
    </row>
    <row r="24">
      <c r="A24" s="8" t="n">
        <v>45931</v>
      </c>
      <c r="B24" s="33">
        <f>YEAR(A24)</f>
        <v/>
      </c>
      <c r="C24" s="33">
        <f>MONTH(A24)</f>
        <v/>
      </c>
      <c r="D24">
        <f>IF(A24&lt;=LastActual,"Actual","Forecast")</f>
        <v/>
      </c>
      <c r="E24" s="30">
        <f>IF($D24="Actual",R24,W24)</f>
        <v/>
      </c>
      <c r="F24" s="15">
        <f>IF($D24="Actual",S24,Cases_Forecast!AM17)</f>
        <v/>
      </c>
      <c r="G24" s="9">
        <f>IF($D24="Actual",T24,IFERROR(F24/K24,0))</f>
        <v/>
      </c>
      <c r="H24" s="30">
        <f>IF($D24="Actual",U24,G24*L24)</f>
        <v/>
      </c>
      <c r="I24" s="30">
        <f>IF($D24="Actual",V24,J24-H24)</f>
        <v/>
      </c>
      <c r="J24" s="30">
        <f>IF($D24="Actual",U24+V24,IFERROR(H24/(1-AD24),0))</f>
        <v/>
      </c>
      <c r="K24" s="10">
        <f>IF($D24="Actual",IFERROR(S24/T24,0),CPLH_Forecast!AM17)</f>
        <v/>
      </c>
      <c r="L24" s="34">
        <f>IF($D24="Actual",IFERROR(U24/T24,0),N(AE24))</f>
        <v/>
      </c>
      <c r="M24" s="35">
        <f>IFERROR(J24/F24,0)</f>
        <v/>
      </c>
      <c r="N24" s="36">
        <f>IFERROR(J24/E24,0)</f>
        <v/>
      </c>
      <c r="O24" s="36">
        <f>IFERROR(I24/J24,0)</f>
        <v/>
      </c>
      <c r="R24" s="52">
        <f>IF($D24="Actual",SUMIFS(Data_Actuals!$C$2:$C$5000,Data_Actuals!$A$2:$A$5000,$A24,Data_Actuals!$B$2:$B$5000,$B$2),"")</f>
        <v/>
      </c>
      <c r="S24" s="52">
        <f>IF($D24="Actual",SUMIFS(Data_Actuals!$D$2:$D$5000,Data_Actuals!$A$2:$A$5000,$A24,Data_Actuals!$B$2:$B$5000,$B$2),"")</f>
        <v/>
      </c>
      <c r="T24" s="52">
        <f>IF($D24="Actual",SUMIFS(Data_Actuals!$E$2:$E$5000,Data_Actuals!$A$2:$A$5000,$A24,Data_Actuals!$B$2:$B$5000,$B$2),"")</f>
        <v/>
      </c>
      <c r="U24" s="52">
        <f>IF($D24="Actual",SUMIFS(Data_Actuals!$F$2:$F$5000,Data_Actuals!$A$2:$A$5000,$A24,Data_Actuals!$B$2:$B$5000,$B$2),"")</f>
        <v/>
      </c>
      <c r="V24" s="52">
        <f>IF($D24="Actual",SUMIFS(Data_Actuals!$G$2:$G$5000,Data_Actuals!$A$2:$A$5000,$A24,Data_Actuals!$B$2:$B$5000,$B$2),"")</f>
        <v/>
      </c>
      <c r="W24" s="52">
        <f>SUMIFS(Plan_Inputs!$C$2:$C$5000,Plan_Inputs!$A$2:$A$5000,$A24,Plan_Inputs!$B$2:$B$5000,$B$2)</f>
        <v/>
      </c>
      <c r="X24" s="53">
        <f>IF($D24="Actual",IFERROR(S24/T24,""),"")</f>
        <v/>
      </c>
      <c r="Y24" s="52">
        <f>E24</f>
        <v/>
      </c>
      <c r="Z24" s="54">
        <f>INDEX(Calendar!$H$5:$L$52,MATCH($A24,Calendar!$A$5:$A$52,0),MATCH($D$2,Calendar!$H$4:$L$4,0))</f>
        <v/>
      </c>
      <c r="AA24" s="54">
        <f>INDEX(Calendar!$M$5:$M$52,MATCH($A24,Calendar!$A$5:$A$52,0))</f>
        <v/>
      </c>
      <c r="AB24" s="55">
        <f>IF($D24="Actual",IFERROR(S24/Y24,""),"")</f>
        <v/>
      </c>
      <c r="AC24" s="56">
        <f>IF($D24="Actual",IFERROR(U24/T24/Z24/AA24,""),"")</f>
        <v/>
      </c>
      <c r="AD24" s="57">
        <f>IF($D24="Actual",IFERROR(V24/(U24+V24),""),$K$2)</f>
        <v/>
      </c>
      <c r="AE24" s="56">
        <f>IFERROR(AC24*Z24*AA24,"")</f>
        <v/>
      </c>
      <c r="AF24" s="53" t="n"/>
      <c r="AG24" s="57">
        <f>IF($D24="Forecast",IFERROR(K24/AF24-1,""),"")</f>
        <v/>
      </c>
      <c r="AH24" s="53">
        <f>IF(CPLHSource="National breakdown",CPLH_Breakdown!AN29,SUMIFS(Plan_Inputs!$D$2:$D$5000,Plan_Inputs!$A$2:$A$5000,$A24,Plan_Inputs!$B$2:$B$5000,$B$2))</f>
        <v/>
      </c>
      <c r="AJ24" s="15">
        <f>F24*$AK$11</f>
        <v/>
      </c>
      <c r="AK24" s="9">
        <f>G24*$AK$11</f>
        <v/>
      </c>
      <c r="AL24" s="30">
        <f>H24*$AK$11</f>
        <v/>
      </c>
      <c r="AM24" s="30">
        <f>I24*$AK$11</f>
        <v/>
      </c>
      <c r="AN24" s="30">
        <f>J24*$AK$11</f>
        <v/>
      </c>
      <c r="AP24" s="15">
        <f>F24*$AQ$11</f>
        <v/>
      </c>
      <c r="AQ24" s="9">
        <f>G24*$AQ$11</f>
        <v/>
      </c>
      <c r="AR24" s="30">
        <f>H24*$AQ$11</f>
        <v/>
      </c>
      <c r="AS24" s="30">
        <f>I24*$AQ$11</f>
        <v/>
      </c>
      <c r="AT24" s="30">
        <f>J24*$AQ$11</f>
        <v/>
      </c>
      <c r="AV24" s="15">
        <f>F24*$AW$11</f>
        <v/>
      </c>
      <c r="AW24" s="9">
        <f>G24*$AW$11</f>
        <v/>
      </c>
      <c r="AX24" s="30">
        <f>H24*$AW$11</f>
        <v/>
      </c>
      <c r="AY24" s="30">
        <f>I24*$AW$11</f>
        <v/>
      </c>
      <c r="AZ24" s="30">
        <f>J24*$AW$11</f>
        <v/>
      </c>
    </row>
    <row r="25">
      <c r="A25" s="8" t="n">
        <v>45962</v>
      </c>
      <c r="B25" s="33">
        <f>YEAR(A25)</f>
        <v/>
      </c>
      <c r="C25" s="33">
        <f>MONTH(A25)</f>
        <v/>
      </c>
      <c r="D25">
        <f>IF(A25&lt;=LastActual,"Actual","Forecast")</f>
        <v/>
      </c>
      <c r="E25" s="30">
        <f>IF($D25="Actual",R25,W25)</f>
        <v/>
      </c>
      <c r="F25" s="15">
        <f>IF($D25="Actual",S25,Cases_Forecast!AM18)</f>
        <v/>
      </c>
      <c r="G25" s="9">
        <f>IF($D25="Actual",T25,IFERROR(F25/K25,0))</f>
        <v/>
      </c>
      <c r="H25" s="30">
        <f>IF($D25="Actual",U25,G25*L25)</f>
        <v/>
      </c>
      <c r="I25" s="30">
        <f>IF($D25="Actual",V25,J25-H25)</f>
        <v/>
      </c>
      <c r="J25" s="30">
        <f>IF($D25="Actual",U25+V25,IFERROR(H25/(1-AD25),0))</f>
        <v/>
      </c>
      <c r="K25" s="10">
        <f>IF($D25="Actual",IFERROR(S25/T25,0),CPLH_Forecast!AM18)</f>
        <v/>
      </c>
      <c r="L25" s="34">
        <f>IF($D25="Actual",IFERROR(U25/T25,0),N(AE25))</f>
        <v/>
      </c>
      <c r="M25" s="35">
        <f>IFERROR(J25/F25,0)</f>
        <v/>
      </c>
      <c r="N25" s="36">
        <f>IFERROR(J25/E25,0)</f>
        <v/>
      </c>
      <c r="O25" s="36">
        <f>IFERROR(I25/J25,0)</f>
        <v/>
      </c>
      <c r="R25" s="52">
        <f>IF($D25="Actual",SUMIFS(Data_Actuals!$C$2:$C$5000,Data_Actuals!$A$2:$A$5000,$A25,Data_Actuals!$B$2:$B$5000,$B$2),"")</f>
        <v/>
      </c>
      <c r="S25" s="52">
        <f>IF($D25="Actual",SUMIFS(Data_Actuals!$D$2:$D$5000,Data_Actuals!$A$2:$A$5000,$A25,Data_Actuals!$B$2:$B$5000,$B$2),"")</f>
        <v/>
      </c>
      <c r="T25" s="52">
        <f>IF($D25="Actual",SUMIFS(Data_Actuals!$E$2:$E$5000,Data_Actuals!$A$2:$A$5000,$A25,Data_Actuals!$B$2:$B$5000,$B$2),"")</f>
        <v/>
      </c>
      <c r="U25" s="52">
        <f>IF($D25="Actual",SUMIFS(Data_Actuals!$F$2:$F$5000,Data_Actuals!$A$2:$A$5000,$A25,Data_Actuals!$B$2:$B$5000,$B$2),"")</f>
        <v/>
      </c>
      <c r="V25" s="52">
        <f>IF($D25="Actual",SUMIFS(Data_Actuals!$G$2:$G$5000,Data_Actuals!$A$2:$A$5000,$A25,Data_Actuals!$B$2:$B$5000,$B$2),"")</f>
        <v/>
      </c>
      <c r="W25" s="52">
        <f>SUMIFS(Plan_Inputs!$C$2:$C$5000,Plan_Inputs!$A$2:$A$5000,$A25,Plan_Inputs!$B$2:$B$5000,$B$2)</f>
        <v/>
      </c>
      <c r="X25" s="53">
        <f>IF($D25="Actual",IFERROR(S25/T25,""),"")</f>
        <v/>
      </c>
      <c r="Y25" s="52">
        <f>E25</f>
        <v/>
      </c>
      <c r="Z25" s="54">
        <f>INDEX(Calendar!$H$5:$L$52,MATCH($A25,Calendar!$A$5:$A$52,0),MATCH($D$2,Calendar!$H$4:$L$4,0))</f>
        <v/>
      </c>
      <c r="AA25" s="54">
        <f>INDEX(Calendar!$M$5:$M$52,MATCH($A25,Calendar!$A$5:$A$52,0))</f>
        <v/>
      </c>
      <c r="AB25" s="55">
        <f>IF($D25="Actual",IFERROR(S25/Y25,""),"")</f>
        <v/>
      </c>
      <c r="AC25" s="56">
        <f>IF($D25="Actual",IFERROR(U25/T25/Z25/AA25,""),"")</f>
        <v/>
      </c>
      <c r="AD25" s="57">
        <f>IF($D25="Actual",IFERROR(V25/(U25+V25),""),$K$2)</f>
        <v/>
      </c>
      <c r="AE25" s="56">
        <f>IFERROR(AC25*Z25*AA25,"")</f>
        <v/>
      </c>
      <c r="AF25" s="53" t="n"/>
      <c r="AG25" s="57">
        <f>IF($D25="Forecast",IFERROR(K25/AF25-1,""),"")</f>
        <v/>
      </c>
      <c r="AH25" s="53">
        <f>IF(CPLHSource="National breakdown",CPLH_Breakdown!AN30,SUMIFS(Plan_Inputs!$D$2:$D$5000,Plan_Inputs!$A$2:$A$5000,$A25,Plan_Inputs!$B$2:$B$5000,$B$2))</f>
        <v/>
      </c>
      <c r="AJ25" s="15">
        <f>F25*$AK$11</f>
        <v/>
      </c>
      <c r="AK25" s="9">
        <f>G25*$AK$11</f>
        <v/>
      </c>
      <c r="AL25" s="30">
        <f>H25*$AK$11</f>
        <v/>
      </c>
      <c r="AM25" s="30">
        <f>I25*$AK$11</f>
        <v/>
      </c>
      <c r="AN25" s="30">
        <f>J25*$AK$11</f>
        <v/>
      </c>
      <c r="AP25" s="15">
        <f>F25*$AQ$11</f>
        <v/>
      </c>
      <c r="AQ25" s="9">
        <f>G25*$AQ$11</f>
        <v/>
      </c>
      <c r="AR25" s="30">
        <f>H25*$AQ$11</f>
        <v/>
      </c>
      <c r="AS25" s="30">
        <f>I25*$AQ$11</f>
        <v/>
      </c>
      <c r="AT25" s="30">
        <f>J25*$AQ$11</f>
        <v/>
      </c>
      <c r="AV25" s="15">
        <f>F25*$AW$11</f>
        <v/>
      </c>
      <c r="AW25" s="9">
        <f>G25*$AW$11</f>
        <v/>
      </c>
      <c r="AX25" s="30">
        <f>H25*$AW$11</f>
        <v/>
      </c>
      <c r="AY25" s="30">
        <f>I25*$AW$11</f>
        <v/>
      </c>
      <c r="AZ25" s="30">
        <f>J25*$AW$11</f>
        <v/>
      </c>
    </row>
    <row r="26">
      <c r="A26" s="37" t="n">
        <v>45992</v>
      </c>
      <c r="B26" s="38">
        <f>YEAR(A26)</f>
        <v/>
      </c>
      <c r="C26" s="38">
        <f>MONTH(A26)</f>
        <v/>
      </c>
      <c r="D26" s="39">
        <f>IF(A26&lt;=LastActual,"Actual","Forecast")</f>
        <v/>
      </c>
      <c r="E26" s="40">
        <f>IF($D26="Actual",R26,W26)</f>
        <v/>
      </c>
      <c r="F26" s="41">
        <f>IF($D26="Actual",S26,Cases_Forecast!AM19)</f>
        <v/>
      </c>
      <c r="G26" s="42">
        <f>IF($D26="Actual",T26,IFERROR(F26/K26,0))</f>
        <v/>
      </c>
      <c r="H26" s="40">
        <f>IF($D26="Actual",U26,G26*L26)</f>
        <v/>
      </c>
      <c r="I26" s="40">
        <f>IF($D26="Actual",V26,J26-H26)</f>
        <v/>
      </c>
      <c r="J26" s="40">
        <f>IF($D26="Actual",U26+V26,IFERROR(H26/(1-AD26),0))</f>
        <v/>
      </c>
      <c r="K26" s="43">
        <f>IF($D26="Actual",IFERROR(S26/T26,0),CPLH_Forecast!AM19)</f>
        <v/>
      </c>
      <c r="L26" s="44">
        <f>IF($D26="Actual",IFERROR(U26/T26,0),N(AE26))</f>
        <v/>
      </c>
      <c r="M26" s="45">
        <f>IFERROR(J26/F26,0)</f>
        <v/>
      </c>
      <c r="N26" s="46">
        <f>IFERROR(J26/E26,0)</f>
        <v/>
      </c>
      <c r="O26" s="46">
        <f>IFERROR(I26/J26,0)</f>
        <v/>
      </c>
      <c r="R26" s="52">
        <f>IF($D26="Actual",SUMIFS(Data_Actuals!$C$2:$C$5000,Data_Actuals!$A$2:$A$5000,$A26,Data_Actuals!$B$2:$B$5000,$B$2),"")</f>
        <v/>
      </c>
      <c r="S26" s="52">
        <f>IF($D26="Actual",SUMIFS(Data_Actuals!$D$2:$D$5000,Data_Actuals!$A$2:$A$5000,$A26,Data_Actuals!$B$2:$B$5000,$B$2),"")</f>
        <v/>
      </c>
      <c r="T26" s="52">
        <f>IF($D26="Actual",SUMIFS(Data_Actuals!$E$2:$E$5000,Data_Actuals!$A$2:$A$5000,$A26,Data_Actuals!$B$2:$B$5000,$B$2),"")</f>
        <v/>
      </c>
      <c r="U26" s="52">
        <f>IF($D26="Actual",SUMIFS(Data_Actuals!$F$2:$F$5000,Data_Actuals!$A$2:$A$5000,$A26,Data_Actuals!$B$2:$B$5000,$B$2),"")</f>
        <v/>
      </c>
      <c r="V26" s="52">
        <f>IF($D26="Actual",SUMIFS(Data_Actuals!$G$2:$G$5000,Data_Actuals!$A$2:$A$5000,$A26,Data_Actuals!$B$2:$B$5000,$B$2),"")</f>
        <v/>
      </c>
      <c r="W26" s="52">
        <f>SUMIFS(Plan_Inputs!$C$2:$C$5000,Plan_Inputs!$A$2:$A$5000,$A26,Plan_Inputs!$B$2:$B$5000,$B$2)</f>
        <v/>
      </c>
      <c r="X26" s="53">
        <f>IF($D26="Actual",IFERROR(S26/T26,""),"")</f>
        <v/>
      </c>
      <c r="Y26" s="52">
        <f>E26</f>
        <v/>
      </c>
      <c r="Z26" s="54">
        <f>INDEX(Calendar!$H$5:$L$52,MATCH($A26,Calendar!$A$5:$A$52,0),MATCH($D$2,Calendar!$H$4:$L$4,0))</f>
        <v/>
      </c>
      <c r="AA26" s="54">
        <f>INDEX(Calendar!$M$5:$M$52,MATCH($A26,Calendar!$A$5:$A$52,0))</f>
        <v/>
      </c>
      <c r="AB26" s="55">
        <f>IF($D26="Actual",IFERROR(S26/Y26,""),"")</f>
        <v/>
      </c>
      <c r="AC26" s="56">
        <f>IF($D26="Actual",IFERROR(U26/T26/Z26/AA26,""),"")</f>
        <v/>
      </c>
      <c r="AD26" s="57">
        <f>IF($D26="Actual",IFERROR(V26/(U26+V26),""),$K$2)</f>
        <v/>
      </c>
      <c r="AE26" s="56">
        <f>IFERROR(AC26*Z26*AA26,"")</f>
        <v/>
      </c>
      <c r="AF26" s="53" t="n"/>
      <c r="AG26" s="57">
        <f>IF($D26="Forecast",IFERROR(K26/AF26-1,""),"")</f>
        <v/>
      </c>
      <c r="AH26" s="53">
        <f>IF(CPLHSource="National breakdown",CPLH_Breakdown!AN31,SUMIFS(Plan_Inputs!$D$2:$D$5000,Plan_Inputs!$A$2:$A$5000,$A26,Plan_Inputs!$B$2:$B$5000,$B$2))</f>
        <v/>
      </c>
      <c r="AJ26" s="41">
        <f>F26*$AK$11</f>
        <v/>
      </c>
      <c r="AK26" s="42">
        <f>G26*$AK$11</f>
        <v/>
      </c>
      <c r="AL26" s="40">
        <f>H26*$AK$11</f>
        <v/>
      </c>
      <c r="AM26" s="40">
        <f>I26*$AK$11</f>
        <v/>
      </c>
      <c r="AN26" s="40">
        <f>J26*$AK$11</f>
        <v/>
      </c>
      <c r="AP26" s="41">
        <f>F26*$AQ$11</f>
        <v/>
      </c>
      <c r="AQ26" s="42">
        <f>G26*$AQ$11</f>
        <v/>
      </c>
      <c r="AR26" s="40">
        <f>H26*$AQ$11</f>
        <v/>
      </c>
      <c r="AS26" s="40">
        <f>I26*$AQ$11</f>
        <v/>
      </c>
      <c r="AT26" s="40">
        <f>J26*$AQ$11</f>
        <v/>
      </c>
      <c r="AV26" s="41">
        <f>F26*$AW$11</f>
        <v/>
      </c>
      <c r="AW26" s="42">
        <f>G26*$AW$11</f>
        <v/>
      </c>
      <c r="AX26" s="40">
        <f>H26*$AW$11</f>
        <v/>
      </c>
      <c r="AY26" s="40">
        <f>I26*$AW$11</f>
        <v/>
      </c>
      <c r="AZ26" s="40">
        <f>J26*$AW$11</f>
        <v/>
      </c>
    </row>
    <row r="27">
      <c r="A27" s="8" t="n">
        <v>46023</v>
      </c>
      <c r="B27" s="33">
        <f>YEAR(A27)</f>
        <v/>
      </c>
      <c r="C27" s="33">
        <f>MONTH(A27)</f>
        <v/>
      </c>
      <c r="D27">
        <f>IF(A27&lt;=LastActual,"Actual","Forecast")</f>
        <v/>
      </c>
      <c r="E27" s="30">
        <f>IF($D27="Actual",R27,W27)</f>
        <v/>
      </c>
      <c r="F27" s="15">
        <f>IF($D27="Actual",S27,Cases_Forecast!AM20)</f>
        <v/>
      </c>
      <c r="G27" s="9">
        <f>IF($D27="Actual",T27,IFERROR(F27/K27,0))</f>
        <v/>
      </c>
      <c r="H27" s="30">
        <f>IF($D27="Actual",U27,G27*L27)</f>
        <v/>
      </c>
      <c r="I27" s="30">
        <f>IF($D27="Actual",V27,J27-H27)</f>
        <v/>
      </c>
      <c r="J27" s="30">
        <f>IF($D27="Actual",U27+V27,IFERROR(H27/(1-AD27),0))</f>
        <v/>
      </c>
      <c r="K27" s="10">
        <f>IF($D27="Actual",IFERROR(S27/T27,0),CPLH_Forecast!AM20)</f>
        <v/>
      </c>
      <c r="L27" s="34">
        <f>IF($D27="Actual",IFERROR(U27/T27,0),N(AE27))</f>
        <v/>
      </c>
      <c r="M27" s="35">
        <f>IFERROR(J27/F27,0)</f>
        <v/>
      </c>
      <c r="N27" s="36">
        <f>IFERROR(J27/E27,0)</f>
        <v/>
      </c>
      <c r="O27" s="36">
        <f>IFERROR(I27/J27,0)</f>
        <v/>
      </c>
      <c r="R27" s="52">
        <f>IF($D27="Actual",SUMIFS(Data_Actuals!$C$2:$C$5000,Data_Actuals!$A$2:$A$5000,$A27,Data_Actuals!$B$2:$B$5000,$B$2),"")</f>
        <v/>
      </c>
      <c r="S27" s="52">
        <f>IF($D27="Actual",SUMIFS(Data_Actuals!$D$2:$D$5000,Data_Actuals!$A$2:$A$5000,$A27,Data_Actuals!$B$2:$B$5000,$B$2),"")</f>
        <v/>
      </c>
      <c r="T27" s="52">
        <f>IF($D27="Actual",SUMIFS(Data_Actuals!$E$2:$E$5000,Data_Actuals!$A$2:$A$5000,$A27,Data_Actuals!$B$2:$B$5000,$B$2),"")</f>
        <v/>
      </c>
      <c r="U27" s="52">
        <f>IF($D27="Actual",SUMIFS(Data_Actuals!$F$2:$F$5000,Data_Actuals!$A$2:$A$5000,$A27,Data_Actuals!$B$2:$B$5000,$B$2),"")</f>
        <v/>
      </c>
      <c r="V27" s="52">
        <f>IF($D27="Actual",SUMIFS(Data_Actuals!$G$2:$G$5000,Data_Actuals!$A$2:$A$5000,$A27,Data_Actuals!$B$2:$B$5000,$B$2),"")</f>
        <v/>
      </c>
      <c r="W27" s="52">
        <f>SUMIFS(Plan_Inputs!$C$2:$C$5000,Plan_Inputs!$A$2:$A$5000,$A27,Plan_Inputs!$B$2:$B$5000,$B$2)</f>
        <v/>
      </c>
      <c r="X27" s="53">
        <f>IF($D27="Actual",IFERROR(S27/T27,""),X15)</f>
        <v/>
      </c>
      <c r="Y27" s="52">
        <f>E27</f>
        <v/>
      </c>
      <c r="Z27" s="54">
        <f>INDEX(Calendar!$H$5:$L$52,MATCH($A27,Calendar!$A$5:$A$52,0),MATCH($D$2,Calendar!$H$4:$L$4,0))</f>
        <v/>
      </c>
      <c r="AA27" s="54">
        <f>INDEX(Calendar!$M$5:$M$52,MATCH($A27,Calendar!$A$5:$A$52,0))</f>
        <v/>
      </c>
      <c r="AB27" s="55">
        <f>IF($D27="Actual",IFERROR(S27/Y27,""),AB15)</f>
        <v/>
      </c>
      <c r="AC27" s="56">
        <f>IF($D27="Actual",IFERROR(U27/T27/Z27/AA27,""),AC15)</f>
        <v/>
      </c>
      <c r="AD27" s="57">
        <f>IF($D27="Actual",IFERROR(V27/(U27+V27),""),$K$2)</f>
        <v/>
      </c>
      <c r="AE27" s="56">
        <f>IFERROR(AC27*Z27*AA27,"")</f>
        <v/>
      </c>
      <c r="AF27" s="53">
        <f>K15</f>
        <v/>
      </c>
      <c r="AG27" s="57">
        <f>IF($D27="Forecast",IFERROR(K27/AF27-1,""),"")</f>
        <v/>
      </c>
      <c r="AH27" s="53">
        <f>IF(CPLHSource="National breakdown",CPLH_Breakdown!AN32,SUMIFS(Plan_Inputs!$D$2:$D$5000,Plan_Inputs!$A$2:$A$5000,$A27,Plan_Inputs!$B$2:$B$5000,$B$2))</f>
        <v/>
      </c>
      <c r="AJ27" s="15">
        <f>F27*$AK$11</f>
        <v/>
      </c>
      <c r="AK27" s="9">
        <f>G27*$AK$11</f>
        <v/>
      </c>
      <c r="AL27" s="30">
        <f>H27*$AK$11</f>
        <v/>
      </c>
      <c r="AM27" s="30">
        <f>I27*$AK$11</f>
        <v/>
      </c>
      <c r="AN27" s="30">
        <f>J27*$AK$11</f>
        <v/>
      </c>
      <c r="AP27" s="15">
        <f>F27*$AQ$11</f>
        <v/>
      </c>
      <c r="AQ27" s="9">
        <f>G27*$AQ$11</f>
        <v/>
      </c>
      <c r="AR27" s="30">
        <f>H27*$AQ$11</f>
        <v/>
      </c>
      <c r="AS27" s="30">
        <f>I27*$AQ$11</f>
        <v/>
      </c>
      <c r="AT27" s="30">
        <f>J27*$AQ$11</f>
        <v/>
      </c>
      <c r="AV27" s="15">
        <f>F27*$AW$11</f>
        <v/>
      </c>
      <c r="AW27" s="9">
        <f>G27*$AW$11</f>
        <v/>
      </c>
      <c r="AX27" s="30">
        <f>H27*$AW$11</f>
        <v/>
      </c>
      <c r="AY27" s="30">
        <f>I27*$AW$11</f>
        <v/>
      </c>
      <c r="AZ27" s="30">
        <f>J27*$AW$11</f>
        <v/>
      </c>
    </row>
    <row r="28">
      <c r="A28" s="8" t="n">
        <v>46054</v>
      </c>
      <c r="B28" s="33">
        <f>YEAR(A28)</f>
        <v/>
      </c>
      <c r="C28" s="33">
        <f>MONTH(A28)</f>
        <v/>
      </c>
      <c r="D28">
        <f>IF(A28&lt;=LastActual,"Actual","Forecast")</f>
        <v/>
      </c>
      <c r="E28" s="30">
        <f>IF($D28="Actual",R28,W28)</f>
        <v/>
      </c>
      <c r="F28" s="15">
        <f>IF($D28="Actual",S28,Cases_Forecast!AM21)</f>
        <v/>
      </c>
      <c r="G28" s="9">
        <f>IF($D28="Actual",T28,IFERROR(F28/K28,0))</f>
        <v/>
      </c>
      <c r="H28" s="30">
        <f>IF($D28="Actual",U28,G28*L28)</f>
        <v/>
      </c>
      <c r="I28" s="30">
        <f>IF($D28="Actual",V28,J28-H28)</f>
        <v/>
      </c>
      <c r="J28" s="30">
        <f>IF($D28="Actual",U28+V28,IFERROR(H28/(1-AD28),0))</f>
        <v/>
      </c>
      <c r="K28" s="10">
        <f>IF($D28="Actual",IFERROR(S28/T28,0),CPLH_Forecast!AM21)</f>
        <v/>
      </c>
      <c r="L28" s="34">
        <f>IF($D28="Actual",IFERROR(U28/T28,0),N(AE28))</f>
        <v/>
      </c>
      <c r="M28" s="35">
        <f>IFERROR(J28/F28,0)</f>
        <v/>
      </c>
      <c r="N28" s="36">
        <f>IFERROR(J28/E28,0)</f>
        <v/>
      </c>
      <c r="O28" s="36">
        <f>IFERROR(I28/J28,0)</f>
        <v/>
      </c>
      <c r="R28" s="52">
        <f>IF($D28="Actual",SUMIFS(Data_Actuals!$C$2:$C$5000,Data_Actuals!$A$2:$A$5000,$A28,Data_Actuals!$B$2:$B$5000,$B$2),"")</f>
        <v/>
      </c>
      <c r="S28" s="52">
        <f>IF($D28="Actual",SUMIFS(Data_Actuals!$D$2:$D$5000,Data_Actuals!$A$2:$A$5000,$A28,Data_Actuals!$B$2:$B$5000,$B$2),"")</f>
        <v/>
      </c>
      <c r="T28" s="52">
        <f>IF($D28="Actual",SUMIFS(Data_Actuals!$E$2:$E$5000,Data_Actuals!$A$2:$A$5000,$A28,Data_Actuals!$B$2:$B$5000,$B$2),"")</f>
        <v/>
      </c>
      <c r="U28" s="52">
        <f>IF($D28="Actual",SUMIFS(Data_Actuals!$F$2:$F$5000,Data_Actuals!$A$2:$A$5000,$A28,Data_Actuals!$B$2:$B$5000,$B$2),"")</f>
        <v/>
      </c>
      <c r="V28" s="52">
        <f>IF($D28="Actual",SUMIFS(Data_Actuals!$G$2:$G$5000,Data_Actuals!$A$2:$A$5000,$A28,Data_Actuals!$B$2:$B$5000,$B$2),"")</f>
        <v/>
      </c>
      <c r="W28" s="52">
        <f>SUMIFS(Plan_Inputs!$C$2:$C$5000,Plan_Inputs!$A$2:$A$5000,$A28,Plan_Inputs!$B$2:$B$5000,$B$2)</f>
        <v/>
      </c>
      <c r="X28" s="53">
        <f>IF($D28="Actual",IFERROR(S28/T28,""),X16)</f>
        <v/>
      </c>
      <c r="Y28" s="52">
        <f>E28</f>
        <v/>
      </c>
      <c r="Z28" s="54">
        <f>INDEX(Calendar!$H$5:$L$52,MATCH($A28,Calendar!$A$5:$A$52,0),MATCH($D$2,Calendar!$H$4:$L$4,0))</f>
        <v/>
      </c>
      <c r="AA28" s="54">
        <f>INDEX(Calendar!$M$5:$M$52,MATCH($A28,Calendar!$A$5:$A$52,0))</f>
        <v/>
      </c>
      <c r="AB28" s="55">
        <f>IF($D28="Actual",IFERROR(S28/Y28,""),AB16)</f>
        <v/>
      </c>
      <c r="AC28" s="56">
        <f>IF($D28="Actual",IFERROR(U28/T28/Z28/AA28,""),AC16)</f>
        <v/>
      </c>
      <c r="AD28" s="57">
        <f>IF($D28="Actual",IFERROR(V28/(U28+V28),""),$K$2)</f>
        <v/>
      </c>
      <c r="AE28" s="56">
        <f>IFERROR(AC28*Z28*AA28,"")</f>
        <v/>
      </c>
      <c r="AF28" s="53">
        <f>K16</f>
        <v/>
      </c>
      <c r="AG28" s="57">
        <f>IF($D28="Forecast",IFERROR(K28/AF28-1,""),"")</f>
        <v/>
      </c>
      <c r="AH28" s="53">
        <f>IF(CPLHSource="National breakdown",CPLH_Breakdown!AN33,SUMIFS(Plan_Inputs!$D$2:$D$5000,Plan_Inputs!$A$2:$A$5000,$A28,Plan_Inputs!$B$2:$B$5000,$B$2))</f>
        <v/>
      </c>
      <c r="AJ28" s="15">
        <f>F28*$AK$11</f>
        <v/>
      </c>
      <c r="AK28" s="9">
        <f>G28*$AK$11</f>
        <v/>
      </c>
      <c r="AL28" s="30">
        <f>H28*$AK$11</f>
        <v/>
      </c>
      <c r="AM28" s="30">
        <f>I28*$AK$11</f>
        <v/>
      </c>
      <c r="AN28" s="30">
        <f>J28*$AK$11</f>
        <v/>
      </c>
      <c r="AP28" s="15">
        <f>F28*$AQ$11</f>
        <v/>
      </c>
      <c r="AQ28" s="9">
        <f>G28*$AQ$11</f>
        <v/>
      </c>
      <c r="AR28" s="30">
        <f>H28*$AQ$11</f>
        <v/>
      </c>
      <c r="AS28" s="30">
        <f>I28*$AQ$11</f>
        <v/>
      </c>
      <c r="AT28" s="30">
        <f>J28*$AQ$11</f>
        <v/>
      </c>
      <c r="AV28" s="15">
        <f>F28*$AW$11</f>
        <v/>
      </c>
      <c r="AW28" s="9">
        <f>G28*$AW$11</f>
        <v/>
      </c>
      <c r="AX28" s="30">
        <f>H28*$AW$11</f>
        <v/>
      </c>
      <c r="AY28" s="30">
        <f>I28*$AW$11</f>
        <v/>
      </c>
      <c r="AZ28" s="30">
        <f>J28*$AW$11</f>
        <v/>
      </c>
    </row>
    <row r="29">
      <c r="A29" s="8" t="n">
        <v>46082</v>
      </c>
      <c r="B29" s="33">
        <f>YEAR(A29)</f>
        <v/>
      </c>
      <c r="C29" s="33">
        <f>MONTH(A29)</f>
        <v/>
      </c>
      <c r="D29">
        <f>IF(A29&lt;=LastActual,"Actual","Forecast")</f>
        <v/>
      </c>
      <c r="E29" s="30">
        <f>IF($D29="Actual",R29,W29)</f>
        <v/>
      </c>
      <c r="F29" s="15">
        <f>IF($D29="Actual",S29,Cases_Forecast!AM22)</f>
        <v/>
      </c>
      <c r="G29" s="9">
        <f>IF($D29="Actual",T29,IFERROR(F29/K29,0))</f>
        <v/>
      </c>
      <c r="H29" s="30">
        <f>IF($D29="Actual",U29,G29*L29)</f>
        <v/>
      </c>
      <c r="I29" s="30">
        <f>IF($D29="Actual",V29,J29-H29)</f>
        <v/>
      </c>
      <c r="J29" s="30">
        <f>IF($D29="Actual",U29+V29,IFERROR(H29/(1-AD29),0))</f>
        <v/>
      </c>
      <c r="K29" s="10">
        <f>IF($D29="Actual",IFERROR(S29/T29,0),CPLH_Forecast!AM22)</f>
        <v/>
      </c>
      <c r="L29" s="34">
        <f>IF($D29="Actual",IFERROR(U29/T29,0),N(AE29))</f>
        <v/>
      </c>
      <c r="M29" s="35">
        <f>IFERROR(J29/F29,0)</f>
        <v/>
      </c>
      <c r="N29" s="36">
        <f>IFERROR(J29/E29,0)</f>
        <v/>
      </c>
      <c r="O29" s="36">
        <f>IFERROR(I29/J29,0)</f>
        <v/>
      </c>
      <c r="R29" s="52">
        <f>IF($D29="Actual",SUMIFS(Data_Actuals!$C$2:$C$5000,Data_Actuals!$A$2:$A$5000,$A29,Data_Actuals!$B$2:$B$5000,$B$2),"")</f>
        <v/>
      </c>
      <c r="S29" s="52">
        <f>IF($D29="Actual",SUMIFS(Data_Actuals!$D$2:$D$5000,Data_Actuals!$A$2:$A$5000,$A29,Data_Actuals!$B$2:$B$5000,$B$2),"")</f>
        <v/>
      </c>
      <c r="T29" s="52">
        <f>IF($D29="Actual",SUMIFS(Data_Actuals!$E$2:$E$5000,Data_Actuals!$A$2:$A$5000,$A29,Data_Actuals!$B$2:$B$5000,$B$2),"")</f>
        <v/>
      </c>
      <c r="U29" s="52">
        <f>IF($D29="Actual",SUMIFS(Data_Actuals!$F$2:$F$5000,Data_Actuals!$A$2:$A$5000,$A29,Data_Actuals!$B$2:$B$5000,$B$2),"")</f>
        <v/>
      </c>
      <c r="V29" s="52">
        <f>IF($D29="Actual",SUMIFS(Data_Actuals!$G$2:$G$5000,Data_Actuals!$A$2:$A$5000,$A29,Data_Actuals!$B$2:$B$5000,$B$2),"")</f>
        <v/>
      </c>
      <c r="W29" s="52">
        <f>SUMIFS(Plan_Inputs!$C$2:$C$5000,Plan_Inputs!$A$2:$A$5000,$A29,Plan_Inputs!$B$2:$B$5000,$B$2)</f>
        <v/>
      </c>
      <c r="X29" s="53">
        <f>IF($D29="Actual",IFERROR(S29/T29,""),X17)</f>
        <v/>
      </c>
      <c r="Y29" s="52">
        <f>E29</f>
        <v/>
      </c>
      <c r="Z29" s="54">
        <f>INDEX(Calendar!$H$5:$L$52,MATCH($A29,Calendar!$A$5:$A$52,0),MATCH($D$2,Calendar!$H$4:$L$4,0))</f>
        <v/>
      </c>
      <c r="AA29" s="54">
        <f>INDEX(Calendar!$M$5:$M$52,MATCH($A29,Calendar!$A$5:$A$52,0))</f>
        <v/>
      </c>
      <c r="AB29" s="55">
        <f>IF($D29="Actual",IFERROR(S29/Y29,""),AB17)</f>
        <v/>
      </c>
      <c r="AC29" s="56">
        <f>IF($D29="Actual",IFERROR(U29/T29/Z29/AA29,""),AC17)</f>
        <v/>
      </c>
      <c r="AD29" s="57">
        <f>IF($D29="Actual",IFERROR(V29/(U29+V29),""),$K$2)</f>
        <v/>
      </c>
      <c r="AE29" s="56">
        <f>IFERROR(AC29*Z29*AA29,"")</f>
        <v/>
      </c>
      <c r="AF29" s="53">
        <f>K17</f>
        <v/>
      </c>
      <c r="AG29" s="57">
        <f>IF($D29="Forecast",IFERROR(K29/AF29-1,""),"")</f>
        <v/>
      </c>
      <c r="AH29" s="53">
        <f>IF(CPLHSource="National breakdown",CPLH_Breakdown!AN34,SUMIFS(Plan_Inputs!$D$2:$D$5000,Plan_Inputs!$A$2:$A$5000,$A29,Plan_Inputs!$B$2:$B$5000,$B$2))</f>
        <v/>
      </c>
      <c r="AJ29" s="15">
        <f>F29*$AK$11</f>
        <v/>
      </c>
      <c r="AK29" s="9">
        <f>G29*$AK$11</f>
        <v/>
      </c>
      <c r="AL29" s="30">
        <f>H29*$AK$11</f>
        <v/>
      </c>
      <c r="AM29" s="30">
        <f>I29*$AK$11</f>
        <v/>
      </c>
      <c r="AN29" s="30">
        <f>J29*$AK$11</f>
        <v/>
      </c>
      <c r="AP29" s="15">
        <f>F29*$AQ$11</f>
        <v/>
      </c>
      <c r="AQ29" s="9">
        <f>G29*$AQ$11</f>
        <v/>
      </c>
      <c r="AR29" s="30">
        <f>H29*$AQ$11</f>
        <v/>
      </c>
      <c r="AS29" s="30">
        <f>I29*$AQ$11</f>
        <v/>
      </c>
      <c r="AT29" s="30">
        <f>J29*$AQ$11</f>
        <v/>
      </c>
      <c r="AV29" s="15">
        <f>F29*$AW$11</f>
        <v/>
      </c>
      <c r="AW29" s="9">
        <f>G29*$AW$11</f>
        <v/>
      </c>
      <c r="AX29" s="30">
        <f>H29*$AW$11</f>
        <v/>
      </c>
      <c r="AY29" s="30">
        <f>I29*$AW$11</f>
        <v/>
      </c>
      <c r="AZ29" s="30">
        <f>J29*$AW$11</f>
        <v/>
      </c>
    </row>
    <row r="30">
      <c r="A30" s="8" t="n">
        <v>46113</v>
      </c>
      <c r="B30" s="33">
        <f>YEAR(A30)</f>
        <v/>
      </c>
      <c r="C30" s="33">
        <f>MONTH(A30)</f>
        <v/>
      </c>
      <c r="D30">
        <f>IF(A30&lt;=LastActual,"Actual","Forecast")</f>
        <v/>
      </c>
      <c r="E30" s="30">
        <f>IF($D30="Actual",R30,W30)</f>
        <v/>
      </c>
      <c r="F30" s="15">
        <f>IF($D30="Actual",S30,Cases_Forecast!AM23)</f>
        <v/>
      </c>
      <c r="G30" s="9">
        <f>IF($D30="Actual",T30,IFERROR(F30/K30,0))</f>
        <v/>
      </c>
      <c r="H30" s="30">
        <f>IF($D30="Actual",U30,G30*L30)</f>
        <v/>
      </c>
      <c r="I30" s="30">
        <f>IF($D30="Actual",V30,J30-H30)</f>
        <v/>
      </c>
      <c r="J30" s="30">
        <f>IF($D30="Actual",U30+V30,IFERROR(H30/(1-AD30),0))</f>
        <v/>
      </c>
      <c r="K30" s="10">
        <f>IF($D30="Actual",IFERROR(S30/T30,0),CPLH_Forecast!AM23)</f>
        <v/>
      </c>
      <c r="L30" s="34">
        <f>IF($D30="Actual",IFERROR(U30/T30,0),N(AE30))</f>
        <v/>
      </c>
      <c r="M30" s="35">
        <f>IFERROR(J30/F30,0)</f>
        <v/>
      </c>
      <c r="N30" s="36">
        <f>IFERROR(J30/E30,0)</f>
        <v/>
      </c>
      <c r="O30" s="36">
        <f>IFERROR(I30/J30,0)</f>
        <v/>
      </c>
      <c r="R30" s="52">
        <f>IF($D30="Actual",SUMIFS(Data_Actuals!$C$2:$C$5000,Data_Actuals!$A$2:$A$5000,$A30,Data_Actuals!$B$2:$B$5000,$B$2),"")</f>
        <v/>
      </c>
      <c r="S30" s="52">
        <f>IF($D30="Actual",SUMIFS(Data_Actuals!$D$2:$D$5000,Data_Actuals!$A$2:$A$5000,$A30,Data_Actuals!$B$2:$B$5000,$B$2),"")</f>
        <v/>
      </c>
      <c r="T30" s="52">
        <f>IF($D30="Actual",SUMIFS(Data_Actuals!$E$2:$E$5000,Data_Actuals!$A$2:$A$5000,$A30,Data_Actuals!$B$2:$B$5000,$B$2),"")</f>
        <v/>
      </c>
      <c r="U30" s="52">
        <f>IF($D30="Actual",SUMIFS(Data_Actuals!$F$2:$F$5000,Data_Actuals!$A$2:$A$5000,$A30,Data_Actuals!$B$2:$B$5000,$B$2),"")</f>
        <v/>
      </c>
      <c r="V30" s="52">
        <f>IF($D30="Actual",SUMIFS(Data_Actuals!$G$2:$G$5000,Data_Actuals!$A$2:$A$5000,$A30,Data_Actuals!$B$2:$B$5000,$B$2),"")</f>
        <v/>
      </c>
      <c r="W30" s="52">
        <f>SUMIFS(Plan_Inputs!$C$2:$C$5000,Plan_Inputs!$A$2:$A$5000,$A30,Plan_Inputs!$B$2:$B$5000,$B$2)</f>
        <v/>
      </c>
      <c r="X30" s="53">
        <f>IF($D30="Actual",IFERROR(S30/T30,""),X18)</f>
        <v/>
      </c>
      <c r="Y30" s="52">
        <f>E30</f>
        <v/>
      </c>
      <c r="Z30" s="54">
        <f>INDEX(Calendar!$H$5:$L$52,MATCH($A30,Calendar!$A$5:$A$52,0),MATCH($D$2,Calendar!$H$4:$L$4,0))</f>
        <v/>
      </c>
      <c r="AA30" s="54">
        <f>INDEX(Calendar!$M$5:$M$52,MATCH($A30,Calendar!$A$5:$A$52,0))</f>
        <v/>
      </c>
      <c r="AB30" s="55">
        <f>IF($D30="Actual",IFERROR(S30/Y30,""),AB18)</f>
        <v/>
      </c>
      <c r="AC30" s="56">
        <f>IF($D30="Actual",IFERROR(U30/T30/Z30/AA30,""),AC18)</f>
        <v/>
      </c>
      <c r="AD30" s="57">
        <f>IF($D30="Actual",IFERROR(V30/(U30+V30),""),$K$2)</f>
        <v/>
      </c>
      <c r="AE30" s="56">
        <f>IFERROR(AC30*Z30*AA30,"")</f>
        <v/>
      </c>
      <c r="AF30" s="53">
        <f>K18</f>
        <v/>
      </c>
      <c r="AG30" s="57">
        <f>IF($D30="Forecast",IFERROR(K30/AF30-1,""),"")</f>
        <v/>
      </c>
      <c r="AH30" s="53">
        <f>IF(CPLHSource="National breakdown",CPLH_Breakdown!AN35,SUMIFS(Plan_Inputs!$D$2:$D$5000,Plan_Inputs!$A$2:$A$5000,$A30,Plan_Inputs!$B$2:$B$5000,$B$2))</f>
        <v/>
      </c>
      <c r="AJ30" s="15">
        <f>F30*$AK$11</f>
        <v/>
      </c>
      <c r="AK30" s="9">
        <f>G30*$AK$11</f>
        <v/>
      </c>
      <c r="AL30" s="30">
        <f>H30*$AK$11</f>
        <v/>
      </c>
      <c r="AM30" s="30">
        <f>I30*$AK$11</f>
        <v/>
      </c>
      <c r="AN30" s="30">
        <f>J30*$AK$11</f>
        <v/>
      </c>
      <c r="AP30" s="15">
        <f>F30*$AQ$11</f>
        <v/>
      </c>
      <c r="AQ30" s="9">
        <f>G30*$AQ$11</f>
        <v/>
      </c>
      <c r="AR30" s="30">
        <f>H30*$AQ$11</f>
        <v/>
      </c>
      <c r="AS30" s="30">
        <f>I30*$AQ$11</f>
        <v/>
      </c>
      <c r="AT30" s="30">
        <f>J30*$AQ$11</f>
        <v/>
      </c>
      <c r="AV30" s="15">
        <f>F30*$AW$11</f>
        <v/>
      </c>
      <c r="AW30" s="9">
        <f>G30*$AW$11</f>
        <v/>
      </c>
      <c r="AX30" s="30">
        <f>H30*$AW$11</f>
        <v/>
      </c>
      <c r="AY30" s="30">
        <f>I30*$AW$11</f>
        <v/>
      </c>
      <c r="AZ30" s="30">
        <f>J30*$AW$11</f>
        <v/>
      </c>
    </row>
    <row r="31">
      <c r="A31" s="8" t="n">
        <v>46143</v>
      </c>
      <c r="B31" s="33">
        <f>YEAR(A31)</f>
        <v/>
      </c>
      <c r="C31" s="33">
        <f>MONTH(A31)</f>
        <v/>
      </c>
      <c r="D31">
        <f>IF(A31&lt;=LastActual,"Actual","Forecast")</f>
        <v/>
      </c>
      <c r="E31" s="30">
        <f>IF($D31="Actual",R31,W31)</f>
        <v/>
      </c>
      <c r="F31" s="15">
        <f>IF($D31="Actual",S31,Cases_Forecast!AM24)</f>
        <v/>
      </c>
      <c r="G31" s="9">
        <f>IF($D31="Actual",T31,IFERROR(F31/K31,0))</f>
        <v/>
      </c>
      <c r="H31" s="30">
        <f>IF($D31="Actual",U31,G31*L31)</f>
        <v/>
      </c>
      <c r="I31" s="30">
        <f>IF($D31="Actual",V31,J31-H31)</f>
        <v/>
      </c>
      <c r="J31" s="30">
        <f>IF($D31="Actual",U31+V31,IFERROR(H31/(1-AD31),0))</f>
        <v/>
      </c>
      <c r="K31" s="10">
        <f>IF($D31="Actual",IFERROR(S31/T31,0),CPLH_Forecast!AM24)</f>
        <v/>
      </c>
      <c r="L31" s="34">
        <f>IF($D31="Actual",IFERROR(U31/T31,0),N(AE31))</f>
        <v/>
      </c>
      <c r="M31" s="35">
        <f>IFERROR(J31/F31,0)</f>
        <v/>
      </c>
      <c r="N31" s="36">
        <f>IFERROR(J31/E31,0)</f>
        <v/>
      </c>
      <c r="O31" s="36">
        <f>IFERROR(I31/J31,0)</f>
        <v/>
      </c>
      <c r="R31" s="52">
        <f>IF($D31="Actual",SUMIFS(Data_Actuals!$C$2:$C$5000,Data_Actuals!$A$2:$A$5000,$A31,Data_Actuals!$B$2:$B$5000,$B$2),"")</f>
        <v/>
      </c>
      <c r="S31" s="52">
        <f>IF($D31="Actual",SUMIFS(Data_Actuals!$D$2:$D$5000,Data_Actuals!$A$2:$A$5000,$A31,Data_Actuals!$B$2:$B$5000,$B$2),"")</f>
        <v/>
      </c>
      <c r="T31" s="52">
        <f>IF($D31="Actual",SUMIFS(Data_Actuals!$E$2:$E$5000,Data_Actuals!$A$2:$A$5000,$A31,Data_Actuals!$B$2:$B$5000,$B$2),"")</f>
        <v/>
      </c>
      <c r="U31" s="52">
        <f>IF($D31="Actual",SUMIFS(Data_Actuals!$F$2:$F$5000,Data_Actuals!$A$2:$A$5000,$A31,Data_Actuals!$B$2:$B$5000,$B$2),"")</f>
        <v/>
      </c>
      <c r="V31" s="52">
        <f>IF($D31="Actual",SUMIFS(Data_Actuals!$G$2:$G$5000,Data_Actuals!$A$2:$A$5000,$A31,Data_Actuals!$B$2:$B$5000,$B$2),"")</f>
        <v/>
      </c>
      <c r="W31" s="52">
        <f>SUMIFS(Plan_Inputs!$C$2:$C$5000,Plan_Inputs!$A$2:$A$5000,$A31,Plan_Inputs!$B$2:$B$5000,$B$2)</f>
        <v/>
      </c>
      <c r="X31" s="53">
        <f>IF($D31="Actual",IFERROR(S31/T31,""),X19)</f>
        <v/>
      </c>
      <c r="Y31" s="52">
        <f>E31</f>
        <v/>
      </c>
      <c r="Z31" s="54">
        <f>INDEX(Calendar!$H$5:$L$52,MATCH($A31,Calendar!$A$5:$A$52,0),MATCH($D$2,Calendar!$H$4:$L$4,0))</f>
        <v/>
      </c>
      <c r="AA31" s="54">
        <f>INDEX(Calendar!$M$5:$M$52,MATCH($A31,Calendar!$A$5:$A$52,0))</f>
        <v/>
      </c>
      <c r="AB31" s="55">
        <f>IF($D31="Actual",IFERROR(S31/Y31,""),AB19)</f>
        <v/>
      </c>
      <c r="AC31" s="56">
        <f>IF($D31="Actual",IFERROR(U31/T31/Z31/AA31,""),AC19)</f>
        <v/>
      </c>
      <c r="AD31" s="57">
        <f>IF($D31="Actual",IFERROR(V31/(U31+V31),""),$K$2)</f>
        <v/>
      </c>
      <c r="AE31" s="56">
        <f>IFERROR(AC31*Z31*AA31,"")</f>
        <v/>
      </c>
      <c r="AF31" s="53">
        <f>K19</f>
        <v/>
      </c>
      <c r="AG31" s="57">
        <f>IF($D31="Forecast",IFERROR(K31/AF31-1,""),"")</f>
        <v/>
      </c>
      <c r="AH31" s="53">
        <f>IF(CPLHSource="National breakdown",CPLH_Breakdown!AN36,SUMIFS(Plan_Inputs!$D$2:$D$5000,Plan_Inputs!$A$2:$A$5000,$A31,Plan_Inputs!$B$2:$B$5000,$B$2))</f>
        <v/>
      </c>
      <c r="AJ31" s="15">
        <f>F31*$AK$11</f>
        <v/>
      </c>
      <c r="AK31" s="9">
        <f>G31*$AK$11</f>
        <v/>
      </c>
      <c r="AL31" s="30">
        <f>H31*$AK$11</f>
        <v/>
      </c>
      <c r="AM31" s="30">
        <f>I31*$AK$11</f>
        <v/>
      </c>
      <c r="AN31" s="30">
        <f>J31*$AK$11</f>
        <v/>
      </c>
      <c r="AP31" s="15">
        <f>F31*$AQ$11</f>
        <v/>
      </c>
      <c r="AQ31" s="9">
        <f>G31*$AQ$11</f>
        <v/>
      </c>
      <c r="AR31" s="30">
        <f>H31*$AQ$11</f>
        <v/>
      </c>
      <c r="AS31" s="30">
        <f>I31*$AQ$11</f>
        <v/>
      </c>
      <c r="AT31" s="30">
        <f>J31*$AQ$11</f>
        <v/>
      </c>
      <c r="AV31" s="15">
        <f>F31*$AW$11</f>
        <v/>
      </c>
      <c r="AW31" s="9">
        <f>G31*$AW$11</f>
        <v/>
      </c>
      <c r="AX31" s="30">
        <f>H31*$AW$11</f>
        <v/>
      </c>
      <c r="AY31" s="30">
        <f>I31*$AW$11</f>
        <v/>
      </c>
      <c r="AZ31" s="30">
        <f>J31*$AW$11</f>
        <v/>
      </c>
    </row>
    <row r="32">
      <c r="A32" s="8" t="n">
        <v>46174</v>
      </c>
      <c r="B32" s="33">
        <f>YEAR(A32)</f>
        <v/>
      </c>
      <c r="C32" s="33">
        <f>MONTH(A32)</f>
        <v/>
      </c>
      <c r="D32">
        <f>IF(A32&lt;=LastActual,"Actual","Forecast")</f>
        <v/>
      </c>
      <c r="E32" s="30">
        <f>IF($D32="Actual",R32,W32)</f>
        <v/>
      </c>
      <c r="F32" s="15">
        <f>IF($D32="Actual",S32,Cases_Forecast!AM25)</f>
        <v/>
      </c>
      <c r="G32" s="9">
        <f>IF($D32="Actual",T32,IFERROR(F32/K32,0))</f>
        <v/>
      </c>
      <c r="H32" s="30">
        <f>IF($D32="Actual",U32,G32*L32)</f>
        <v/>
      </c>
      <c r="I32" s="30">
        <f>IF($D32="Actual",V32,J32-H32)</f>
        <v/>
      </c>
      <c r="J32" s="30">
        <f>IF($D32="Actual",U32+V32,IFERROR(H32/(1-AD32),0))</f>
        <v/>
      </c>
      <c r="K32" s="10">
        <f>IF($D32="Actual",IFERROR(S32/T32,0),CPLH_Forecast!AM25)</f>
        <v/>
      </c>
      <c r="L32" s="34">
        <f>IF($D32="Actual",IFERROR(U32/T32,0),N(AE32))</f>
        <v/>
      </c>
      <c r="M32" s="35">
        <f>IFERROR(J32/F32,0)</f>
        <v/>
      </c>
      <c r="N32" s="36">
        <f>IFERROR(J32/E32,0)</f>
        <v/>
      </c>
      <c r="O32" s="36">
        <f>IFERROR(I32/J32,0)</f>
        <v/>
      </c>
      <c r="R32" s="52">
        <f>IF($D32="Actual",SUMIFS(Data_Actuals!$C$2:$C$5000,Data_Actuals!$A$2:$A$5000,$A32,Data_Actuals!$B$2:$B$5000,$B$2),"")</f>
        <v/>
      </c>
      <c r="S32" s="52">
        <f>IF($D32="Actual",SUMIFS(Data_Actuals!$D$2:$D$5000,Data_Actuals!$A$2:$A$5000,$A32,Data_Actuals!$B$2:$B$5000,$B$2),"")</f>
        <v/>
      </c>
      <c r="T32" s="52">
        <f>IF($D32="Actual",SUMIFS(Data_Actuals!$E$2:$E$5000,Data_Actuals!$A$2:$A$5000,$A32,Data_Actuals!$B$2:$B$5000,$B$2),"")</f>
        <v/>
      </c>
      <c r="U32" s="52">
        <f>IF($D32="Actual",SUMIFS(Data_Actuals!$F$2:$F$5000,Data_Actuals!$A$2:$A$5000,$A32,Data_Actuals!$B$2:$B$5000,$B$2),"")</f>
        <v/>
      </c>
      <c r="V32" s="52">
        <f>IF($D32="Actual",SUMIFS(Data_Actuals!$G$2:$G$5000,Data_Actuals!$A$2:$A$5000,$A32,Data_Actuals!$B$2:$B$5000,$B$2),"")</f>
        <v/>
      </c>
      <c r="W32" s="52">
        <f>SUMIFS(Plan_Inputs!$C$2:$C$5000,Plan_Inputs!$A$2:$A$5000,$A32,Plan_Inputs!$B$2:$B$5000,$B$2)</f>
        <v/>
      </c>
      <c r="X32" s="53">
        <f>IF($D32="Actual",IFERROR(S32/T32,""),X20)</f>
        <v/>
      </c>
      <c r="Y32" s="52">
        <f>E32</f>
        <v/>
      </c>
      <c r="Z32" s="54">
        <f>INDEX(Calendar!$H$5:$L$52,MATCH($A32,Calendar!$A$5:$A$52,0),MATCH($D$2,Calendar!$H$4:$L$4,0))</f>
        <v/>
      </c>
      <c r="AA32" s="54">
        <f>INDEX(Calendar!$M$5:$M$52,MATCH($A32,Calendar!$A$5:$A$52,0))</f>
        <v/>
      </c>
      <c r="AB32" s="55">
        <f>IF($D32="Actual",IFERROR(S32/Y32,""),AB20)</f>
        <v/>
      </c>
      <c r="AC32" s="56">
        <f>IF($D32="Actual",IFERROR(U32/T32/Z32/AA32,""),AC20)</f>
        <v/>
      </c>
      <c r="AD32" s="57">
        <f>IF($D32="Actual",IFERROR(V32/(U32+V32),""),$K$2)</f>
        <v/>
      </c>
      <c r="AE32" s="56">
        <f>IFERROR(AC32*Z32*AA32,"")</f>
        <v/>
      </c>
      <c r="AF32" s="53">
        <f>K20</f>
        <v/>
      </c>
      <c r="AG32" s="57">
        <f>IF($D32="Forecast",IFERROR(K32/AF32-1,""),"")</f>
        <v/>
      </c>
      <c r="AH32" s="53">
        <f>IF(CPLHSource="National breakdown",CPLH_Breakdown!AN37,SUMIFS(Plan_Inputs!$D$2:$D$5000,Plan_Inputs!$A$2:$A$5000,$A32,Plan_Inputs!$B$2:$B$5000,$B$2))</f>
        <v/>
      </c>
      <c r="AJ32" s="15">
        <f>F32*$AK$11</f>
        <v/>
      </c>
      <c r="AK32" s="9">
        <f>G32*$AK$11</f>
        <v/>
      </c>
      <c r="AL32" s="30">
        <f>H32*$AK$11</f>
        <v/>
      </c>
      <c r="AM32" s="30">
        <f>I32*$AK$11</f>
        <v/>
      </c>
      <c r="AN32" s="30">
        <f>J32*$AK$11</f>
        <v/>
      </c>
      <c r="AP32" s="15">
        <f>F32*$AQ$11</f>
        <v/>
      </c>
      <c r="AQ32" s="9">
        <f>G32*$AQ$11</f>
        <v/>
      </c>
      <c r="AR32" s="30">
        <f>H32*$AQ$11</f>
        <v/>
      </c>
      <c r="AS32" s="30">
        <f>I32*$AQ$11</f>
        <v/>
      </c>
      <c r="AT32" s="30">
        <f>J32*$AQ$11</f>
        <v/>
      </c>
      <c r="AV32" s="15">
        <f>F32*$AW$11</f>
        <v/>
      </c>
      <c r="AW32" s="9">
        <f>G32*$AW$11</f>
        <v/>
      </c>
      <c r="AX32" s="30">
        <f>H32*$AW$11</f>
        <v/>
      </c>
      <c r="AY32" s="30">
        <f>I32*$AW$11</f>
        <v/>
      </c>
      <c r="AZ32" s="30">
        <f>J32*$AW$11</f>
        <v/>
      </c>
    </row>
    <row r="33">
      <c r="A33" s="8" t="n">
        <v>46204</v>
      </c>
      <c r="B33" s="33">
        <f>YEAR(A33)</f>
        <v/>
      </c>
      <c r="C33" s="33">
        <f>MONTH(A33)</f>
        <v/>
      </c>
      <c r="D33">
        <f>IF(A33&lt;=LastActual,"Actual","Forecast")</f>
        <v/>
      </c>
      <c r="E33" s="30">
        <f>IF($D33="Actual",R33,W33)</f>
        <v/>
      </c>
      <c r="F33" s="15">
        <f>IF($D33="Actual",S33,Cases_Forecast!AM26)</f>
        <v/>
      </c>
      <c r="G33" s="9">
        <f>IF($D33="Actual",T33,IFERROR(F33/K33,0))</f>
        <v/>
      </c>
      <c r="H33" s="30">
        <f>IF($D33="Actual",U33,G33*L33)</f>
        <v/>
      </c>
      <c r="I33" s="30">
        <f>IF($D33="Actual",V33,J33-H33)</f>
        <v/>
      </c>
      <c r="J33" s="30">
        <f>IF($D33="Actual",U33+V33,IFERROR(H33/(1-AD33),0))</f>
        <v/>
      </c>
      <c r="K33" s="10">
        <f>IF($D33="Actual",IFERROR(S33/T33,0),CPLH_Forecast!AM26)</f>
        <v/>
      </c>
      <c r="L33" s="34">
        <f>IF($D33="Actual",IFERROR(U33/T33,0),N(AE33))</f>
        <v/>
      </c>
      <c r="M33" s="35">
        <f>IFERROR(J33/F33,0)</f>
        <v/>
      </c>
      <c r="N33" s="36">
        <f>IFERROR(J33/E33,0)</f>
        <v/>
      </c>
      <c r="O33" s="36">
        <f>IFERROR(I33/J33,0)</f>
        <v/>
      </c>
      <c r="R33" s="52">
        <f>IF($D33="Actual",SUMIFS(Data_Actuals!$C$2:$C$5000,Data_Actuals!$A$2:$A$5000,$A33,Data_Actuals!$B$2:$B$5000,$B$2),"")</f>
        <v/>
      </c>
      <c r="S33" s="52">
        <f>IF($D33="Actual",SUMIFS(Data_Actuals!$D$2:$D$5000,Data_Actuals!$A$2:$A$5000,$A33,Data_Actuals!$B$2:$B$5000,$B$2),"")</f>
        <v/>
      </c>
      <c r="T33" s="52">
        <f>IF($D33="Actual",SUMIFS(Data_Actuals!$E$2:$E$5000,Data_Actuals!$A$2:$A$5000,$A33,Data_Actuals!$B$2:$B$5000,$B$2),"")</f>
        <v/>
      </c>
      <c r="U33" s="52">
        <f>IF($D33="Actual",SUMIFS(Data_Actuals!$F$2:$F$5000,Data_Actuals!$A$2:$A$5000,$A33,Data_Actuals!$B$2:$B$5000,$B$2),"")</f>
        <v/>
      </c>
      <c r="V33" s="52">
        <f>IF($D33="Actual",SUMIFS(Data_Actuals!$G$2:$G$5000,Data_Actuals!$A$2:$A$5000,$A33,Data_Actuals!$B$2:$B$5000,$B$2),"")</f>
        <v/>
      </c>
      <c r="W33" s="52">
        <f>SUMIFS(Plan_Inputs!$C$2:$C$5000,Plan_Inputs!$A$2:$A$5000,$A33,Plan_Inputs!$B$2:$B$5000,$B$2)</f>
        <v/>
      </c>
      <c r="X33" s="53">
        <f>IF($D33="Actual",IFERROR(S33/T33,""),X21)</f>
        <v/>
      </c>
      <c r="Y33" s="52">
        <f>E33</f>
        <v/>
      </c>
      <c r="Z33" s="54">
        <f>INDEX(Calendar!$H$5:$L$52,MATCH($A33,Calendar!$A$5:$A$52,0),MATCH($D$2,Calendar!$H$4:$L$4,0))</f>
        <v/>
      </c>
      <c r="AA33" s="54">
        <f>INDEX(Calendar!$M$5:$M$52,MATCH($A33,Calendar!$A$5:$A$52,0))</f>
        <v/>
      </c>
      <c r="AB33" s="55">
        <f>IF($D33="Actual",IFERROR(S33/Y33,""),AB21)</f>
        <v/>
      </c>
      <c r="AC33" s="56">
        <f>IF($D33="Actual",IFERROR(U33/T33/Z33/AA33,""),AC21)</f>
        <v/>
      </c>
      <c r="AD33" s="57">
        <f>IF($D33="Actual",IFERROR(V33/(U33+V33),""),$K$2)</f>
        <v/>
      </c>
      <c r="AE33" s="56">
        <f>IFERROR(AC33*Z33*AA33,"")</f>
        <v/>
      </c>
      <c r="AF33" s="53">
        <f>K21</f>
        <v/>
      </c>
      <c r="AG33" s="57">
        <f>IF($D33="Forecast",IFERROR(K33/AF33-1,""),"")</f>
        <v/>
      </c>
      <c r="AH33" s="53">
        <f>IF(CPLHSource="National breakdown",CPLH_Breakdown!AN38,SUMIFS(Plan_Inputs!$D$2:$D$5000,Plan_Inputs!$A$2:$A$5000,$A33,Plan_Inputs!$B$2:$B$5000,$B$2))</f>
        <v/>
      </c>
      <c r="AJ33" s="15">
        <f>F33*$AK$11</f>
        <v/>
      </c>
      <c r="AK33" s="9">
        <f>G33*$AK$11</f>
        <v/>
      </c>
      <c r="AL33" s="30">
        <f>H33*$AK$11</f>
        <v/>
      </c>
      <c r="AM33" s="30">
        <f>I33*$AK$11</f>
        <v/>
      </c>
      <c r="AN33" s="30">
        <f>J33*$AK$11</f>
        <v/>
      </c>
      <c r="AP33" s="15">
        <f>F33*$AQ$11</f>
        <v/>
      </c>
      <c r="AQ33" s="9">
        <f>G33*$AQ$11</f>
        <v/>
      </c>
      <c r="AR33" s="30">
        <f>H33*$AQ$11</f>
        <v/>
      </c>
      <c r="AS33" s="30">
        <f>I33*$AQ$11</f>
        <v/>
      </c>
      <c r="AT33" s="30">
        <f>J33*$AQ$11</f>
        <v/>
      </c>
      <c r="AV33" s="15">
        <f>F33*$AW$11</f>
        <v/>
      </c>
      <c r="AW33" s="9">
        <f>G33*$AW$11</f>
        <v/>
      </c>
      <c r="AX33" s="30">
        <f>H33*$AW$11</f>
        <v/>
      </c>
      <c r="AY33" s="30">
        <f>I33*$AW$11</f>
        <v/>
      </c>
      <c r="AZ33" s="30">
        <f>J33*$AW$11</f>
        <v/>
      </c>
    </row>
    <row r="34">
      <c r="A34" s="8" t="n">
        <v>46235</v>
      </c>
      <c r="B34" s="33">
        <f>YEAR(A34)</f>
        <v/>
      </c>
      <c r="C34" s="33">
        <f>MONTH(A34)</f>
        <v/>
      </c>
      <c r="D34">
        <f>IF(A34&lt;=LastActual,"Actual","Forecast")</f>
        <v/>
      </c>
      <c r="E34" s="30">
        <f>IF($D34="Actual",R34,W34)</f>
        <v/>
      </c>
      <c r="F34" s="15">
        <f>IF($D34="Actual",S34,Cases_Forecast!AM27)</f>
        <v/>
      </c>
      <c r="G34" s="9">
        <f>IF($D34="Actual",T34,IFERROR(F34/K34,0))</f>
        <v/>
      </c>
      <c r="H34" s="30">
        <f>IF($D34="Actual",U34,G34*L34)</f>
        <v/>
      </c>
      <c r="I34" s="30">
        <f>IF($D34="Actual",V34,J34-H34)</f>
        <v/>
      </c>
      <c r="J34" s="30">
        <f>IF($D34="Actual",U34+V34,IFERROR(H34/(1-AD34),0))</f>
        <v/>
      </c>
      <c r="K34" s="10">
        <f>IF($D34="Actual",IFERROR(S34/T34,0),CPLH_Forecast!AM27)</f>
        <v/>
      </c>
      <c r="L34" s="34">
        <f>IF($D34="Actual",IFERROR(U34/T34,0),N(AE34))</f>
        <v/>
      </c>
      <c r="M34" s="35">
        <f>IFERROR(J34/F34,0)</f>
        <v/>
      </c>
      <c r="N34" s="36">
        <f>IFERROR(J34/E34,0)</f>
        <v/>
      </c>
      <c r="O34" s="36">
        <f>IFERROR(I34/J34,0)</f>
        <v/>
      </c>
      <c r="R34" s="52">
        <f>IF($D34="Actual",SUMIFS(Data_Actuals!$C$2:$C$5000,Data_Actuals!$A$2:$A$5000,$A34,Data_Actuals!$B$2:$B$5000,$B$2),"")</f>
        <v/>
      </c>
      <c r="S34" s="52">
        <f>IF($D34="Actual",SUMIFS(Data_Actuals!$D$2:$D$5000,Data_Actuals!$A$2:$A$5000,$A34,Data_Actuals!$B$2:$B$5000,$B$2),"")</f>
        <v/>
      </c>
      <c r="T34" s="52">
        <f>IF($D34="Actual",SUMIFS(Data_Actuals!$E$2:$E$5000,Data_Actuals!$A$2:$A$5000,$A34,Data_Actuals!$B$2:$B$5000,$B$2),"")</f>
        <v/>
      </c>
      <c r="U34" s="52">
        <f>IF($D34="Actual",SUMIFS(Data_Actuals!$F$2:$F$5000,Data_Actuals!$A$2:$A$5000,$A34,Data_Actuals!$B$2:$B$5000,$B$2),"")</f>
        <v/>
      </c>
      <c r="V34" s="52">
        <f>IF($D34="Actual",SUMIFS(Data_Actuals!$G$2:$G$5000,Data_Actuals!$A$2:$A$5000,$A34,Data_Actuals!$B$2:$B$5000,$B$2),"")</f>
        <v/>
      </c>
      <c r="W34" s="52">
        <f>SUMIFS(Plan_Inputs!$C$2:$C$5000,Plan_Inputs!$A$2:$A$5000,$A34,Plan_Inputs!$B$2:$B$5000,$B$2)</f>
        <v/>
      </c>
      <c r="X34" s="53">
        <f>IF($D34="Actual",IFERROR(S34/T34,""),X22)</f>
        <v/>
      </c>
      <c r="Y34" s="52">
        <f>E34</f>
        <v/>
      </c>
      <c r="Z34" s="54">
        <f>INDEX(Calendar!$H$5:$L$52,MATCH($A34,Calendar!$A$5:$A$52,0),MATCH($D$2,Calendar!$H$4:$L$4,0))</f>
        <v/>
      </c>
      <c r="AA34" s="54">
        <f>INDEX(Calendar!$M$5:$M$52,MATCH($A34,Calendar!$A$5:$A$52,0))</f>
        <v/>
      </c>
      <c r="AB34" s="55">
        <f>IF($D34="Actual",IFERROR(S34/Y34,""),AB22)</f>
        <v/>
      </c>
      <c r="AC34" s="56">
        <f>IF($D34="Actual",IFERROR(U34/T34/Z34/AA34,""),AC22)</f>
        <v/>
      </c>
      <c r="AD34" s="57">
        <f>IF($D34="Actual",IFERROR(V34/(U34+V34),""),$K$2)</f>
        <v/>
      </c>
      <c r="AE34" s="56">
        <f>IFERROR(AC34*Z34*AA34,"")</f>
        <v/>
      </c>
      <c r="AF34" s="53">
        <f>K22</f>
        <v/>
      </c>
      <c r="AG34" s="57">
        <f>IF($D34="Forecast",IFERROR(K34/AF34-1,""),"")</f>
        <v/>
      </c>
      <c r="AH34" s="53">
        <f>IF(CPLHSource="National breakdown",CPLH_Breakdown!AN39,SUMIFS(Plan_Inputs!$D$2:$D$5000,Plan_Inputs!$A$2:$A$5000,$A34,Plan_Inputs!$B$2:$B$5000,$B$2))</f>
        <v/>
      </c>
      <c r="AJ34" s="15">
        <f>F34*$AK$11</f>
        <v/>
      </c>
      <c r="AK34" s="9">
        <f>G34*$AK$11</f>
        <v/>
      </c>
      <c r="AL34" s="30">
        <f>H34*$AK$11</f>
        <v/>
      </c>
      <c r="AM34" s="30">
        <f>I34*$AK$11</f>
        <v/>
      </c>
      <c r="AN34" s="30">
        <f>J34*$AK$11</f>
        <v/>
      </c>
      <c r="AP34" s="15">
        <f>F34*$AQ$11</f>
        <v/>
      </c>
      <c r="AQ34" s="9">
        <f>G34*$AQ$11</f>
        <v/>
      </c>
      <c r="AR34" s="30">
        <f>H34*$AQ$11</f>
        <v/>
      </c>
      <c r="AS34" s="30">
        <f>I34*$AQ$11</f>
        <v/>
      </c>
      <c r="AT34" s="30">
        <f>J34*$AQ$11</f>
        <v/>
      </c>
      <c r="AV34" s="15">
        <f>F34*$AW$11</f>
        <v/>
      </c>
      <c r="AW34" s="9">
        <f>G34*$AW$11</f>
        <v/>
      </c>
      <c r="AX34" s="30">
        <f>H34*$AW$11</f>
        <v/>
      </c>
      <c r="AY34" s="30">
        <f>I34*$AW$11</f>
        <v/>
      </c>
      <c r="AZ34" s="30">
        <f>J34*$AW$11</f>
        <v/>
      </c>
    </row>
    <row r="35">
      <c r="A35" s="8" t="n">
        <v>46266</v>
      </c>
      <c r="B35" s="33">
        <f>YEAR(A35)</f>
        <v/>
      </c>
      <c r="C35" s="33">
        <f>MONTH(A35)</f>
        <v/>
      </c>
      <c r="D35">
        <f>IF(A35&lt;=LastActual,"Actual","Forecast")</f>
        <v/>
      </c>
      <c r="E35" s="30">
        <f>IF($D35="Actual",R35,W35)</f>
        <v/>
      </c>
      <c r="F35" s="15">
        <f>IF($D35="Actual",S35,Cases_Forecast!AM28)</f>
        <v/>
      </c>
      <c r="G35" s="9">
        <f>IF($D35="Actual",T35,IFERROR(F35/K35,0))</f>
        <v/>
      </c>
      <c r="H35" s="30">
        <f>IF($D35="Actual",U35,G35*L35)</f>
        <v/>
      </c>
      <c r="I35" s="30">
        <f>IF($D35="Actual",V35,J35-H35)</f>
        <v/>
      </c>
      <c r="J35" s="30">
        <f>IF($D35="Actual",U35+V35,IFERROR(H35/(1-AD35),0))</f>
        <v/>
      </c>
      <c r="K35" s="10">
        <f>IF($D35="Actual",IFERROR(S35/T35,0),CPLH_Forecast!AM28)</f>
        <v/>
      </c>
      <c r="L35" s="34">
        <f>IF($D35="Actual",IFERROR(U35/T35,0),N(AE35))</f>
        <v/>
      </c>
      <c r="M35" s="35">
        <f>IFERROR(J35/F35,0)</f>
        <v/>
      </c>
      <c r="N35" s="36">
        <f>IFERROR(J35/E35,0)</f>
        <v/>
      </c>
      <c r="O35" s="36">
        <f>IFERROR(I35/J35,0)</f>
        <v/>
      </c>
      <c r="R35" s="52">
        <f>IF($D35="Actual",SUMIFS(Data_Actuals!$C$2:$C$5000,Data_Actuals!$A$2:$A$5000,$A35,Data_Actuals!$B$2:$B$5000,$B$2),"")</f>
        <v/>
      </c>
      <c r="S35" s="52">
        <f>IF($D35="Actual",SUMIFS(Data_Actuals!$D$2:$D$5000,Data_Actuals!$A$2:$A$5000,$A35,Data_Actuals!$B$2:$B$5000,$B$2),"")</f>
        <v/>
      </c>
      <c r="T35" s="52">
        <f>IF($D35="Actual",SUMIFS(Data_Actuals!$E$2:$E$5000,Data_Actuals!$A$2:$A$5000,$A35,Data_Actuals!$B$2:$B$5000,$B$2),"")</f>
        <v/>
      </c>
      <c r="U35" s="52">
        <f>IF($D35="Actual",SUMIFS(Data_Actuals!$F$2:$F$5000,Data_Actuals!$A$2:$A$5000,$A35,Data_Actuals!$B$2:$B$5000,$B$2),"")</f>
        <v/>
      </c>
      <c r="V35" s="52">
        <f>IF($D35="Actual",SUMIFS(Data_Actuals!$G$2:$G$5000,Data_Actuals!$A$2:$A$5000,$A35,Data_Actuals!$B$2:$B$5000,$B$2),"")</f>
        <v/>
      </c>
      <c r="W35" s="52">
        <f>SUMIFS(Plan_Inputs!$C$2:$C$5000,Plan_Inputs!$A$2:$A$5000,$A35,Plan_Inputs!$B$2:$B$5000,$B$2)</f>
        <v/>
      </c>
      <c r="X35" s="53">
        <f>IF($D35="Actual",IFERROR(S35/T35,""),X23)</f>
        <v/>
      </c>
      <c r="Y35" s="52">
        <f>E35</f>
        <v/>
      </c>
      <c r="Z35" s="54">
        <f>INDEX(Calendar!$H$5:$L$52,MATCH($A35,Calendar!$A$5:$A$52,0),MATCH($D$2,Calendar!$H$4:$L$4,0))</f>
        <v/>
      </c>
      <c r="AA35" s="54">
        <f>INDEX(Calendar!$M$5:$M$52,MATCH($A35,Calendar!$A$5:$A$52,0))</f>
        <v/>
      </c>
      <c r="AB35" s="55">
        <f>IF($D35="Actual",IFERROR(S35/Y35,""),AB23)</f>
        <v/>
      </c>
      <c r="AC35" s="56">
        <f>IF($D35="Actual",IFERROR(U35/T35/Z35/AA35,""),AC23)</f>
        <v/>
      </c>
      <c r="AD35" s="57">
        <f>IF($D35="Actual",IFERROR(V35/(U35+V35),""),$K$2)</f>
        <v/>
      </c>
      <c r="AE35" s="56">
        <f>IFERROR(AC35*Z35*AA35,"")</f>
        <v/>
      </c>
      <c r="AF35" s="53">
        <f>K23</f>
        <v/>
      </c>
      <c r="AG35" s="57">
        <f>IF($D35="Forecast",IFERROR(K35/AF35-1,""),"")</f>
        <v/>
      </c>
      <c r="AH35" s="53">
        <f>IF(CPLHSource="National breakdown",CPLH_Breakdown!AN40,SUMIFS(Plan_Inputs!$D$2:$D$5000,Plan_Inputs!$A$2:$A$5000,$A35,Plan_Inputs!$B$2:$B$5000,$B$2))</f>
        <v/>
      </c>
      <c r="AJ35" s="15">
        <f>F35*$AK$11</f>
        <v/>
      </c>
      <c r="AK35" s="9">
        <f>G35*$AK$11</f>
        <v/>
      </c>
      <c r="AL35" s="30">
        <f>H35*$AK$11</f>
        <v/>
      </c>
      <c r="AM35" s="30">
        <f>I35*$AK$11</f>
        <v/>
      </c>
      <c r="AN35" s="30">
        <f>J35*$AK$11</f>
        <v/>
      </c>
      <c r="AP35" s="15">
        <f>F35*$AQ$11</f>
        <v/>
      </c>
      <c r="AQ35" s="9">
        <f>G35*$AQ$11</f>
        <v/>
      </c>
      <c r="AR35" s="30">
        <f>H35*$AQ$11</f>
        <v/>
      </c>
      <c r="AS35" s="30">
        <f>I35*$AQ$11</f>
        <v/>
      </c>
      <c r="AT35" s="30">
        <f>J35*$AQ$11</f>
        <v/>
      </c>
      <c r="AV35" s="15">
        <f>F35*$AW$11</f>
        <v/>
      </c>
      <c r="AW35" s="9">
        <f>G35*$AW$11</f>
        <v/>
      </c>
      <c r="AX35" s="30">
        <f>H35*$AW$11</f>
        <v/>
      </c>
      <c r="AY35" s="30">
        <f>I35*$AW$11</f>
        <v/>
      </c>
      <c r="AZ35" s="30">
        <f>J35*$AW$11</f>
        <v/>
      </c>
    </row>
    <row r="36">
      <c r="A36" s="8" t="n">
        <v>46296</v>
      </c>
      <c r="B36" s="33">
        <f>YEAR(A36)</f>
        <v/>
      </c>
      <c r="C36" s="33">
        <f>MONTH(A36)</f>
        <v/>
      </c>
      <c r="D36">
        <f>IF(A36&lt;=LastActual,"Actual","Forecast")</f>
        <v/>
      </c>
      <c r="E36" s="30">
        <f>IF($D36="Actual",R36,W36)</f>
        <v/>
      </c>
      <c r="F36" s="15">
        <f>IF($D36="Actual",S36,Cases_Forecast!AM29)</f>
        <v/>
      </c>
      <c r="G36" s="9">
        <f>IF($D36="Actual",T36,IFERROR(F36/K36,0))</f>
        <v/>
      </c>
      <c r="H36" s="30">
        <f>IF($D36="Actual",U36,G36*L36)</f>
        <v/>
      </c>
      <c r="I36" s="30">
        <f>IF($D36="Actual",V36,J36-H36)</f>
        <v/>
      </c>
      <c r="J36" s="30">
        <f>IF($D36="Actual",U36+V36,IFERROR(H36/(1-AD36),0))</f>
        <v/>
      </c>
      <c r="K36" s="10">
        <f>IF($D36="Actual",IFERROR(S36/T36,0),CPLH_Forecast!AM29)</f>
        <v/>
      </c>
      <c r="L36" s="34">
        <f>IF($D36="Actual",IFERROR(U36/T36,0),N(AE36))</f>
        <v/>
      </c>
      <c r="M36" s="35">
        <f>IFERROR(J36/F36,0)</f>
        <v/>
      </c>
      <c r="N36" s="36">
        <f>IFERROR(J36/E36,0)</f>
        <v/>
      </c>
      <c r="O36" s="36">
        <f>IFERROR(I36/J36,0)</f>
        <v/>
      </c>
      <c r="R36" s="52">
        <f>IF($D36="Actual",SUMIFS(Data_Actuals!$C$2:$C$5000,Data_Actuals!$A$2:$A$5000,$A36,Data_Actuals!$B$2:$B$5000,$B$2),"")</f>
        <v/>
      </c>
      <c r="S36" s="52">
        <f>IF($D36="Actual",SUMIFS(Data_Actuals!$D$2:$D$5000,Data_Actuals!$A$2:$A$5000,$A36,Data_Actuals!$B$2:$B$5000,$B$2),"")</f>
        <v/>
      </c>
      <c r="T36" s="52">
        <f>IF($D36="Actual",SUMIFS(Data_Actuals!$E$2:$E$5000,Data_Actuals!$A$2:$A$5000,$A36,Data_Actuals!$B$2:$B$5000,$B$2),"")</f>
        <v/>
      </c>
      <c r="U36" s="52">
        <f>IF($D36="Actual",SUMIFS(Data_Actuals!$F$2:$F$5000,Data_Actuals!$A$2:$A$5000,$A36,Data_Actuals!$B$2:$B$5000,$B$2),"")</f>
        <v/>
      </c>
      <c r="V36" s="52">
        <f>IF($D36="Actual",SUMIFS(Data_Actuals!$G$2:$G$5000,Data_Actuals!$A$2:$A$5000,$A36,Data_Actuals!$B$2:$B$5000,$B$2),"")</f>
        <v/>
      </c>
      <c r="W36" s="52">
        <f>SUMIFS(Plan_Inputs!$C$2:$C$5000,Plan_Inputs!$A$2:$A$5000,$A36,Plan_Inputs!$B$2:$B$5000,$B$2)</f>
        <v/>
      </c>
      <c r="X36" s="53">
        <f>IF($D36="Actual",IFERROR(S36/T36,""),X24)</f>
        <v/>
      </c>
      <c r="Y36" s="52">
        <f>E36</f>
        <v/>
      </c>
      <c r="Z36" s="54">
        <f>INDEX(Calendar!$H$5:$L$52,MATCH($A36,Calendar!$A$5:$A$52,0),MATCH($D$2,Calendar!$H$4:$L$4,0))</f>
        <v/>
      </c>
      <c r="AA36" s="54">
        <f>INDEX(Calendar!$M$5:$M$52,MATCH($A36,Calendar!$A$5:$A$52,0))</f>
        <v/>
      </c>
      <c r="AB36" s="55">
        <f>IF($D36="Actual",IFERROR(S36/Y36,""),AB24)</f>
        <v/>
      </c>
      <c r="AC36" s="56">
        <f>IF($D36="Actual",IFERROR(U36/T36/Z36/AA36,""),AC24)</f>
        <v/>
      </c>
      <c r="AD36" s="57">
        <f>IF($D36="Actual",IFERROR(V36/(U36+V36),""),$K$2)</f>
        <v/>
      </c>
      <c r="AE36" s="56">
        <f>IFERROR(AC36*Z36*AA36,"")</f>
        <v/>
      </c>
      <c r="AF36" s="53">
        <f>K24</f>
        <v/>
      </c>
      <c r="AG36" s="57">
        <f>IF($D36="Forecast",IFERROR(K36/AF36-1,""),"")</f>
        <v/>
      </c>
      <c r="AH36" s="53">
        <f>IF(CPLHSource="National breakdown",CPLH_Breakdown!AN41,SUMIFS(Plan_Inputs!$D$2:$D$5000,Plan_Inputs!$A$2:$A$5000,$A36,Plan_Inputs!$B$2:$B$5000,$B$2))</f>
        <v/>
      </c>
      <c r="AJ36" s="15">
        <f>F36*$AK$11</f>
        <v/>
      </c>
      <c r="AK36" s="9">
        <f>G36*$AK$11</f>
        <v/>
      </c>
      <c r="AL36" s="30">
        <f>H36*$AK$11</f>
        <v/>
      </c>
      <c r="AM36" s="30">
        <f>I36*$AK$11</f>
        <v/>
      </c>
      <c r="AN36" s="30">
        <f>J36*$AK$11</f>
        <v/>
      </c>
      <c r="AP36" s="15">
        <f>F36*$AQ$11</f>
        <v/>
      </c>
      <c r="AQ36" s="9">
        <f>G36*$AQ$11</f>
        <v/>
      </c>
      <c r="AR36" s="30">
        <f>H36*$AQ$11</f>
        <v/>
      </c>
      <c r="AS36" s="30">
        <f>I36*$AQ$11</f>
        <v/>
      </c>
      <c r="AT36" s="30">
        <f>J36*$AQ$11</f>
        <v/>
      </c>
      <c r="AV36" s="15">
        <f>F36*$AW$11</f>
        <v/>
      </c>
      <c r="AW36" s="9">
        <f>G36*$AW$11</f>
        <v/>
      </c>
      <c r="AX36" s="30">
        <f>H36*$AW$11</f>
        <v/>
      </c>
      <c r="AY36" s="30">
        <f>I36*$AW$11</f>
        <v/>
      </c>
      <c r="AZ36" s="30">
        <f>J36*$AW$11</f>
        <v/>
      </c>
    </row>
    <row r="37">
      <c r="A37" s="8" t="n">
        <v>46327</v>
      </c>
      <c r="B37" s="33">
        <f>YEAR(A37)</f>
        <v/>
      </c>
      <c r="C37" s="33">
        <f>MONTH(A37)</f>
        <v/>
      </c>
      <c r="D37">
        <f>IF(A37&lt;=LastActual,"Actual","Forecast")</f>
        <v/>
      </c>
      <c r="E37" s="30">
        <f>IF($D37="Actual",R37,W37)</f>
        <v/>
      </c>
      <c r="F37" s="15">
        <f>IF($D37="Actual",S37,Cases_Forecast!AM30)</f>
        <v/>
      </c>
      <c r="G37" s="9">
        <f>IF($D37="Actual",T37,IFERROR(F37/K37,0))</f>
        <v/>
      </c>
      <c r="H37" s="30">
        <f>IF($D37="Actual",U37,G37*L37)</f>
        <v/>
      </c>
      <c r="I37" s="30">
        <f>IF($D37="Actual",V37,J37-H37)</f>
        <v/>
      </c>
      <c r="J37" s="30">
        <f>IF($D37="Actual",U37+V37,IFERROR(H37/(1-AD37),0))</f>
        <v/>
      </c>
      <c r="K37" s="10">
        <f>IF($D37="Actual",IFERROR(S37/T37,0),CPLH_Forecast!AM30)</f>
        <v/>
      </c>
      <c r="L37" s="34">
        <f>IF($D37="Actual",IFERROR(U37/T37,0),N(AE37))</f>
        <v/>
      </c>
      <c r="M37" s="35">
        <f>IFERROR(J37/F37,0)</f>
        <v/>
      </c>
      <c r="N37" s="36">
        <f>IFERROR(J37/E37,0)</f>
        <v/>
      </c>
      <c r="O37" s="36">
        <f>IFERROR(I37/J37,0)</f>
        <v/>
      </c>
      <c r="R37" s="52">
        <f>IF($D37="Actual",SUMIFS(Data_Actuals!$C$2:$C$5000,Data_Actuals!$A$2:$A$5000,$A37,Data_Actuals!$B$2:$B$5000,$B$2),"")</f>
        <v/>
      </c>
      <c r="S37" s="52">
        <f>IF($D37="Actual",SUMIFS(Data_Actuals!$D$2:$D$5000,Data_Actuals!$A$2:$A$5000,$A37,Data_Actuals!$B$2:$B$5000,$B$2),"")</f>
        <v/>
      </c>
      <c r="T37" s="52">
        <f>IF($D37="Actual",SUMIFS(Data_Actuals!$E$2:$E$5000,Data_Actuals!$A$2:$A$5000,$A37,Data_Actuals!$B$2:$B$5000,$B$2),"")</f>
        <v/>
      </c>
      <c r="U37" s="52">
        <f>IF($D37="Actual",SUMIFS(Data_Actuals!$F$2:$F$5000,Data_Actuals!$A$2:$A$5000,$A37,Data_Actuals!$B$2:$B$5000,$B$2),"")</f>
        <v/>
      </c>
      <c r="V37" s="52">
        <f>IF($D37="Actual",SUMIFS(Data_Actuals!$G$2:$G$5000,Data_Actuals!$A$2:$A$5000,$A37,Data_Actuals!$B$2:$B$5000,$B$2),"")</f>
        <v/>
      </c>
      <c r="W37" s="52">
        <f>SUMIFS(Plan_Inputs!$C$2:$C$5000,Plan_Inputs!$A$2:$A$5000,$A37,Plan_Inputs!$B$2:$B$5000,$B$2)</f>
        <v/>
      </c>
      <c r="X37" s="53">
        <f>IF($D37="Actual",IFERROR(S37/T37,""),X25)</f>
        <v/>
      </c>
      <c r="Y37" s="52">
        <f>E37</f>
        <v/>
      </c>
      <c r="Z37" s="54">
        <f>INDEX(Calendar!$H$5:$L$52,MATCH($A37,Calendar!$A$5:$A$52,0),MATCH($D$2,Calendar!$H$4:$L$4,0))</f>
        <v/>
      </c>
      <c r="AA37" s="54">
        <f>INDEX(Calendar!$M$5:$M$52,MATCH($A37,Calendar!$A$5:$A$52,0))</f>
        <v/>
      </c>
      <c r="AB37" s="55">
        <f>IF($D37="Actual",IFERROR(S37/Y37,""),AB25)</f>
        <v/>
      </c>
      <c r="AC37" s="56">
        <f>IF($D37="Actual",IFERROR(U37/T37/Z37/AA37,""),AC25)</f>
        <v/>
      </c>
      <c r="AD37" s="57">
        <f>IF($D37="Actual",IFERROR(V37/(U37+V37),""),$K$2)</f>
        <v/>
      </c>
      <c r="AE37" s="56">
        <f>IFERROR(AC37*Z37*AA37,"")</f>
        <v/>
      </c>
      <c r="AF37" s="53">
        <f>K25</f>
        <v/>
      </c>
      <c r="AG37" s="57">
        <f>IF($D37="Forecast",IFERROR(K37/AF37-1,""),"")</f>
        <v/>
      </c>
      <c r="AH37" s="53">
        <f>IF(CPLHSource="National breakdown",CPLH_Breakdown!AN42,SUMIFS(Plan_Inputs!$D$2:$D$5000,Plan_Inputs!$A$2:$A$5000,$A37,Plan_Inputs!$B$2:$B$5000,$B$2))</f>
        <v/>
      </c>
      <c r="AJ37" s="15">
        <f>F37*$AK$11</f>
        <v/>
      </c>
      <c r="AK37" s="9">
        <f>G37*$AK$11</f>
        <v/>
      </c>
      <c r="AL37" s="30">
        <f>H37*$AK$11</f>
        <v/>
      </c>
      <c r="AM37" s="30">
        <f>I37*$AK$11</f>
        <v/>
      </c>
      <c r="AN37" s="30">
        <f>J37*$AK$11</f>
        <v/>
      </c>
      <c r="AP37" s="15">
        <f>F37*$AQ$11</f>
        <v/>
      </c>
      <c r="AQ37" s="9">
        <f>G37*$AQ$11</f>
        <v/>
      </c>
      <c r="AR37" s="30">
        <f>H37*$AQ$11</f>
        <v/>
      </c>
      <c r="AS37" s="30">
        <f>I37*$AQ$11</f>
        <v/>
      </c>
      <c r="AT37" s="30">
        <f>J37*$AQ$11</f>
        <v/>
      </c>
      <c r="AV37" s="15">
        <f>F37*$AW$11</f>
        <v/>
      </c>
      <c r="AW37" s="9">
        <f>G37*$AW$11</f>
        <v/>
      </c>
      <c r="AX37" s="30">
        <f>H37*$AW$11</f>
        <v/>
      </c>
      <c r="AY37" s="30">
        <f>I37*$AW$11</f>
        <v/>
      </c>
      <c r="AZ37" s="30">
        <f>J37*$AW$11</f>
        <v/>
      </c>
    </row>
    <row r="38">
      <c r="A38" s="37" t="n">
        <v>46357</v>
      </c>
      <c r="B38" s="38">
        <f>YEAR(A38)</f>
        <v/>
      </c>
      <c r="C38" s="38">
        <f>MONTH(A38)</f>
        <v/>
      </c>
      <c r="D38" s="39">
        <f>IF(A38&lt;=LastActual,"Actual","Forecast")</f>
        <v/>
      </c>
      <c r="E38" s="40">
        <f>IF($D38="Actual",R38,W38)</f>
        <v/>
      </c>
      <c r="F38" s="41">
        <f>IF($D38="Actual",S38,Cases_Forecast!AM31)</f>
        <v/>
      </c>
      <c r="G38" s="42">
        <f>IF($D38="Actual",T38,IFERROR(F38/K38,0))</f>
        <v/>
      </c>
      <c r="H38" s="40">
        <f>IF($D38="Actual",U38,G38*L38)</f>
        <v/>
      </c>
      <c r="I38" s="40">
        <f>IF($D38="Actual",V38,J38-H38)</f>
        <v/>
      </c>
      <c r="J38" s="40">
        <f>IF($D38="Actual",U38+V38,IFERROR(H38/(1-AD38),0))</f>
        <v/>
      </c>
      <c r="K38" s="43">
        <f>IF($D38="Actual",IFERROR(S38/T38,0),CPLH_Forecast!AM31)</f>
        <v/>
      </c>
      <c r="L38" s="44">
        <f>IF($D38="Actual",IFERROR(U38/T38,0),N(AE38))</f>
        <v/>
      </c>
      <c r="M38" s="45">
        <f>IFERROR(J38/F38,0)</f>
        <v/>
      </c>
      <c r="N38" s="46">
        <f>IFERROR(J38/E38,0)</f>
        <v/>
      </c>
      <c r="O38" s="46">
        <f>IFERROR(I38/J38,0)</f>
        <v/>
      </c>
      <c r="R38" s="52">
        <f>IF($D38="Actual",SUMIFS(Data_Actuals!$C$2:$C$5000,Data_Actuals!$A$2:$A$5000,$A38,Data_Actuals!$B$2:$B$5000,$B$2),"")</f>
        <v/>
      </c>
      <c r="S38" s="52">
        <f>IF($D38="Actual",SUMIFS(Data_Actuals!$D$2:$D$5000,Data_Actuals!$A$2:$A$5000,$A38,Data_Actuals!$B$2:$B$5000,$B$2),"")</f>
        <v/>
      </c>
      <c r="T38" s="52">
        <f>IF($D38="Actual",SUMIFS(Data_Actuals!$E$2:$E$5000,Data_Actuals!$A$2:$A$5000,$A38,Data_Actuals!$B$2:$B$5000,$B$2),"")</f>
        <v/>
      </c>
      <c r="U38" s="52">
        <f>IF($D38="Actual",SUMIFS(Data_Actuals!$F$2:$F$5000,Data_Actuals!$A$2:$A$5000,$A38,Data_Actuals!$B$2:$B$5000,$B$2),"")</f>
        <v/>
      </c>
      <c r="V38" s="52">
        <f>IF($D38="Actual",SUMIFS(Data_Actuals!$G$2:$G$5000,Data_Actuals!$A$2:$A$5000,$A38,Data_Actuals!$B$2:$B$5000,$B$2),"")</f>
        <v/>
      </c>
      <c r="W38" s="52">
        <f>SUMIFS(Plan_Inputs!$C$2:$C$5000,Plan_Inputs!$A$2:$A$5000,$A38,Plan_Inputs!$B$2:$B$5000,$B$2)</f>
        <v/>
      </c>
      <c r="X38" s="53">
        <f>IF($D38="Actual",IFERROR(S38/T38,""),X26)</f>
        <v/>
      </c>
      <c r="Y38" s="52">
        <f>E38</f>
        <v/>
      </c>
      <c r="Z38" s="54">
        <f>INDEX(Calendar!$H$5:$L$52,MATCH($A38,Calendar!$A$5:$A$52,0),MATCH($D$2,Calendar!$H$4:$L$4,0))</f>
        <v/>
      </c>
      <c r="AA38" s="54">
        <f>INDEX(Calendar!$M$5:$M$52,MATCH($A38,Calendar!$A$5:$A$52,0))</f>
        <v/>
      </c>
      <c r="AB38" s="55">
        <f>IF($D38="Actual",IFERROR(S38/Y38,""),AB26)</f>
        <v/>
      </c>
      <c r="AC38" s="56">
        <f>IF($D38="Actual",IFERROR(U38/T38/Z38/AA38,""),AC26)</f>
        <v/>
      </c>
      <c r="AD38" s="57">
        <f>IF($D38="Actual",IFERROR(V38/(U38+V38),""),$K$2)</f>
        <v/>
      </c>
      <c r="AE38" s="56">
        <f>IFERROR(AC38*Z38*AA38,"")</f>
        <v/>
      </c>
      <c r="AF38" s="53">
        <f>K26</f>
        <v/>
      </c>
      <c r="AG38" s="57">
        <f>IF($D38="Forecast",IFERROR(K38/AF38-1,""),"")</f>
        <v/>
      </c>
      <c r="AH38" s="53">
        <f>IF(CPLHSource="National breakdown",CPLH_Breakdown!AN43,SUMIFS(Plan_Inputs!$D$2:$D$5000,Plan_Inputs!$A$2:$A$5000,$A38,Plan_Inputs!$B$2:$B$5000,$B$2))</f>
        <v/>
      </c>
      <c r="AJ38" s="41">
        <f>F38*$AK$11</f>
        <v/>
      </c>
      <c r="AK38" s="42">
        <f>G38*$AK$11</f>
        <v/>
      </c>
      <c r="AL38" s="40">
        <f>H38*$AK$11</f>
        <v/>
      </c>
      <c r="AM38" s="40">
        <f>I38*$AK$11</f>
        <v/>
      </c>
      <c r="AN38" s="40">
        <f>J38*$AK$11</f>
        <v/>
      </c>
      <c r="AP38" s="41">
        <f>F38*$AQ$11</f>
        <v/>
      </c>
      <c r="AQ38" s="42">
        <f>G38*$AQ$11</f>
        <v/>
      </c>
      <c r="AR38" s="40">
        <f>H38*$AQ$11</f>
        <v/>
      </c>
      <c r="AS38" s="40">
        <f>I38*$AQ$11</f>
        <v/>
      </c>
      <c r="AT38" s="40">
        <f>J38*$AQ$11</f>
        <v/>
      </c>
      <c r="AV38" s="41">
        <f>F38*$AW$11</f>
        <v/>
      </c>
      <c r="AW38" s="42">
        <f>G38*$AW$11</f>
        <v/>
      </c>
      <c r="AX38" s="40">
        <f>H38*$AW$11</f>
        <v/>
      </c>
      <c r="AY38" s="40">
        <f>I38*$AW$11</f>
        <v/>
      </c>
      <c r="AZ38" s="40">
        <f>J38*$AW$11</f>
        <v/>
      </c>
    </row>
    <row r="39">
      <c r="A39" s="8" t="n">
        <v>46388</v>
      </c>
      <c r="B39" s="33">
        <f>YEAR(A39)</f>
        <v/>
      </c>
      <c r="C39" s="33">
        <f>MONTH(A39)</f>
        <v/>
      </c>
      <c r="D39">
        <f>IF(A39&lt;=LastActual,"Actual","Forecast")</f>
        <v/>
      </c>
      <c r="E39" s="30">
        <f>IF($D39="Actual",R39,W39)</f>
        <v/>
      </c>
      <c r="F39" s="15">
        <f>IF($D39="Actual",S39,Cases_Forecast!AM32)</f>
        <v/>
      </c>
      <c r="G39" s="9">
        <f>IF($D39="Actual",T39,IFERROR(F39/K39,0))</f>
        <v/>
      </c>
      <c r="H39" s="30">
        <f>IF($D39="Actual",U39,G39*L39)</f>
        <v/>
      </c>
      <c r="I39" s="30">
        <f>IF($D39="Actual",V39,J39-H39)</f>
        <v/>
      </c>
      <c r="J39" s="30">
        <f>IF($D39="Actual",U39+V39,IFERROR(H39/(1-AD39),0))</f>
        <v/>
      </c>
      <c r="K39" s="10">
        <f>IF($D39="Actual",IFERROR(S39/T39,0),CPLH_Forecast!AM32)</f>
        <v/>
      </c>
      <c r="L39" s="34">
        <f>IF($D39="Actual",IFERROR(U39/T39,0),N(AE39))</f>
        <v/>
      </c>
      <c r="M39" s="35">
        <f>IFERROR(J39/F39,0)</f>
        <v/>
      </c>
      <c r="N39" s="36">
        <f>IFERROR(J39/E39,0)</f>
        <v/>
      </c>
      <c r="O39" s="36">
        <f>IFERROR(I39/J39,0)</f>
        <v/>
      </c>
      <c r="R39" s="52">
        <f>IF($D39="Actual",SUMIFS(Data_Actuals!$C$2:$C$5000,Data_Actuals!$A$2:$A$5000,$A39,Data_Actuals!$B$2:$B$5000,$B$2),"")</f>
        <v/>
      </c>
      <c r="S39" s="52">
        <f>IF($D39="Actual",SUMIFS(Data_Actuals!$D$2:$D$5000,Data_Actuals!$A$2:$A$5000,$A39,Data_Actuals!$B$2:$B$5000,$B$2),"")</f>
        <v/>
      </c>
      <c r="T39" s="52">
        <f>IF($D39="Actual",SUMIFS(Data_Actuals!$E$2:$E$5000,Data_Actuals!$A$2:$A$5000,$A39,Data_Actuals!$B$2:$B$5000,$B$2),"")</f>
        <v/>
      </c>
      <c r="U39" s="52">
        <f>IF($D39="Actual",SUMIFS(Data_Actuals!$F$2:$F$5000,Data_Actuals!$A$2:$A$5000,$A39,Data_Actuals!$B$2:$B$5000,$B$2),"")</f>
        <v/>
      </c>
      <c r="V39" s="52">
        <f>IF($D39="Actual",SUMIFS(Data_Actuals!$G$2:$G$5000,Data_Actuals!$A$2:$A$5000,$A39,Data_Actuals!$B$2:$B$5000,$B$2),"")</f>
        <v/>
      </c>
      <c r="W39" s="52">
        <f>SUMIFS(Plan_Inputs!$C$2:$C$5000,Plan_Inputs!$A$2:$A$5000,$A39,Plan_Inputs!$B$2:$B$5000,$B$2)</f>
        <v/>
      </c>
      <c r="X39" s="53">
        <f>IF($D39="Actual",IFERROR(S39/T39,""),X27)</f>
        <v/>
      </c>
      <c r="Y39" s="52">
        <f>E39</f>
        <v/>
      </c>
      <c r="Z39" s="54">
        <f>INDEX(Calendar!$H$5:$L$52,MATCH($A39,Calendar!$A$5:$A$52,0),MATCH($D$2,Calendar!$H$4:$L$4,0))</f>
        <v/>
      </c>
      <c r="AA39" s="54">
        <f>INDEX(Calendar!$M$5:$M$52,MATCH($A39,Calendar!$A$5:$A$52,0))</f>
        <v/>
      </c>
      <c r="AB39" s="55">
        <f>IF($D39="Actual",IFERROR(S39/Y39,""),AB27)</f>
        <v/>
      </c>
      <c r="AC39" s="56">
        <f>IF($D39="Actual",IFERROR(U39/T39/Z39/AA39,""),AC27)</f>
        <v/>
      </c>
      <c r="AD39" s="57">
        <f>IF($D39="Actual",IFERROR(V39/(U39+V39),""),$K$2)</f>
        <v/>
      </c>
      <c r="AE39" s="56">
        <f>IFERROR(AC39*Z39*AA39,"")</f>
        <v/>
      </c>
      <c r="AF39" s="53">
        <f>K27</f>
        <v/>
      </c>
      <c r="AG39" s="57">
        <f>IF($D39="Forecast",IFERROR(K39/AF39-1,""),"")</f>
        <v/>
      </c>
      <c r="AH39" s="53">
        <f>IF(CPLHSource="National breakdown",CPLH_Breakdown!AN44,SUMIFS(Plan_Inputs!$D$2:$D$5000,Plan_Inputs!$A$2:$A$5000,$A39,Plan_Inputs!$B$2:$B$5000,$B$2))</f>
        <v/>
      </c>
      <c r="AJ39" s="15">
        <f>F39*$AK$11</f>
        <v/>
      </c>
      <c r="AK39" s="9">
        <f>G39*$AK$11</f>
        <v/>
      </c>
      <c r="AL39" s="30">
        <f>H39*$AK$11</f>
        <v/>
      </c>
      <c r="AM39" s="30">
        <f>I39*$AK$11</f>
        <v/>
      </c>
      <c r="AN39" s="30">
        <f>J39*$AK$11</f>
        <v/>
      </c>
      <c r="AP39" s="15">
        <f>F39*$AQ$11</f>
        <v/>
      </c>
      <c r="AQ39" s="9">
        <f>G39*$AQ$11</f>
        <v/>
      </c>
      <c r="AR39" s="30">
        <f>H39*$AQ$11</f>
        <v/>
      </c>
      <c r="AS39" s="30">
        <f>I39*$AQ$11</f>
        <v/>
      </c>
      <c r="AT39" s="30">
        <f>J39*$AQ$11</f>
        <v/>
      </c>
      <c r="AV39" s="15">
        <f>F39*$AW$11</f>
        <v/>
      </c>
      <c r="AW39" s="9">
        <f>G39*$AW$11</f>
        <v/>
      </c>
      <c r="AX39" s="30">
        <f>H39*$AW$11</f>
        <v/>
      </c>
      <c r="AY39" s="30">
        <f>I39*$AW$11</f>
        <v/>
      </c>
      <c r="AZ39" s="30">
        <f>J39*$AW$11</f>
        <v/>
      </c>
    </row>
    <row r="40">
      <c r="A40" s="8" t="n">
        <v>46419</v>
      </c>
      <c r="B40" s="33">
        <f>YEAR(A40)</f>
        <v/>
      </c>
      <c r="C40" s="33">
        <f>MONTH(A40)</f>
        <v/>
      </c>
      <c r="D40">
        <f>IF(A40&lt;=LastActual,"Actual","Forecast")</f>
        <v/>
      </c>
      <c r="E40" s="30">
        <f>IF($D40="Actual",R40,W40)</f>
        <v/>
      </c>
      <c r="F40" s="15">
        <f>IF($D40="Actual",S40,Cases_Forecast!AM33)</f>
        <v/>
      </c>
      <c r="G40" s="9">
        <f>IF($D40="Actual",T40,IFERROR(F40/K40,0))</f>
        <v/>
      </c>
      <c r="H40" s="30">
        <f>IF($D40="Actual",U40,G40*L40)</f>
        <v/>
      </c>
      <c r="I40" s="30">
        <f>IF($D40="Actual",V40,J40-H40)</f>
        <v/>
      </c>
      <c r="J40" s="30">
        <f>IF($D40="Actual",U40+V40,IFERROR(H40/(1-AD40),0))</f>
        <v/>
      </c>
      <c r="K40" s="10">
        <f>IF($D40="Actual",IFERROR(S40/T40,0),CPLH_Forecast!AM33)</f>
        <v/>
      </c>
      <c r="L40" s="34">
        <f>IF($D40="Actual",IFERROR(U40/T40,0),N(AE40))</f>
        <v/>
      </c>
      <c r="M40" s="35">
        <f>IFERROR(J40/F40,0)</f>
        <v/>
      </c>
      <c r="N40" s="36">
        <f>IFERROR(J40/E40,0)</f>
        <v/>
      </c>
      <c r="O40" s="36">
        <f>IFERROR(I40/J40,0)</f>
        <v/>
      </c>
      <c r="R40" s="52">
        <f>IF($D40="Actual",SUMIFS(Data_Actuals!$C$2:$C$5000,Data_Actuals!$A$2:$A$5000,$A40,Data_Actuals!$B$2:$B$5000,$B$2),"")</f>
        <v/>
      </c>
      <c r="S40" s="52">
        <f>IF($D40="Actual",SUMIFS(Data_Actuals!$D$2:$D$5000,Data_Actuals!$A$2:$A$5000,$A40,Data_Actuals!$B$2:$B$5000,$B$2),"")</f>
        <v/>
      </c>
      <c r="T40" s="52">
        <f>IF($D40="Actual",SUMIFS(Data_Actuals!$E$2:$E$5000,Data_Actuals!$A$2:$A$5000,$A40,Data_Actuals!$B$2:$B$5000,$B$2),"")</f>
        <v/>
      </c>
      <c r="U40" s="52">
        <f>IF($D40="Actual",SUMIFS(Data_Actuals!$F$2:$F$5000,Data_Actuals!$A$2:$A$5000,$A40,Data_Actuals!$B$2:$B$5000,$B$2),"")</f>
        <v/>
      </c>
      <c r="V40" s="52">
        <f>IF($D40="Actual",SUMIFS(Data_Actuals!$G$2:$G$5000,Data_Actuals!$A$2:$A$5000,$A40,Data_Actuals!$B$2:$B$5000,$B$2),"")</f>
        <v/>
      </c>
      <c r="W40" s="52">
        <f>SUMIFS(Plan_Inputs!$C$2:$C$5000,Plan_Inputs!$A$2:$A$5000,$A40,Plan_Inputs!$B$2:$B$5000,$B$2)</f>
        <v/>
      </c>
      <c r="X40" s="53">
        <f>IF($D40="Actual",IFERROR(S40/T40,""),X28)</f>
        <v/>
      </c>
      <c r="Y40" s="52">
        <f>E40</f>
        <v/>
      </c>
      <c r="Z40" s="54">
        <f>INDEX(Calendar!$H$5:$L$52,MATCH($A40,Calendar!$A$5:$A$52,0),MATCH($D$2,Calendar!$H$4:$L$4,0))</f>
        <v/>
      </c>
      <c r="AA40" s="54">
        <f>INDEX(Calendar!$M$5:$M$52,MATCH($A40,Calendar!$A$5:$A$52,0))</f>
        <v/>
      </c>
      <c r="AB40" s="55">
        <f>IF($D40="Actual",IFERROR(S40/Y40,""),AB28)</f>
        <v/>
      </c>
      <c r="AC40" s="56">
        <f>IF($D40="Actual",IFERROR(U40/T40/Z40/AA40,""),AC28)</f>
        <v/>
      </c>
      <c r="AD40" s="57">
        <f>IF($D40="Actual",IFERROR(V40/(U40+V40),""),$K$2)</f>
        <v/>
      </c>
      <c r="AE40" s="56">
        <f>IFERROR(AC40*Z40*AA40,"")</f>
        <v/>
      </c>
      <c r="AF40" s="53">
        <f>K28</f>
        <v/>
      </c>
      <c r="AG40" s="57">
        <f>IF($D40="Forecast",IFERROR(K40/AF40-1,""),"")</f>
        <v/>
      </c>
      <c r="AH40" s="53">
        <f>IF(CPLHSource="National breakdown",CPLH_Breakdown!AN45,SUMIFS(Plan_Inputs!$D$2:$D$5000,Plan_Inputs!$A$2:$A$5000,$A40,Plan_Inputs!$B$2:$B$5000,$B$2))</f>
        <v/>
      </c>
      <c r="AJ40" s="15">
        <f>F40*$AK$11</f>
        <v/>
      </c>
      <c r="AK40" s="9">
        <f>G40*$AK$11</f>
        <v/>
      </c>
      <c r="AL40" s="30">
        <f>H40*$AK$11</f>
        <v/>
      </c>
      <c r="AM40" s="30">
        <f>I40*$AK$11</f>
        <v/>
      </c>
      <c r="AN40" s="30">
        <f>J40*$AK$11</f>
        <v/>
      </c>
      <c r="AP40" s="15">
        <f>F40*$AQ$11</f>
        <v/>
      </c>
      <c r="AQ40" s="9">
        <f>G40*$AQ$11</f>
        <v/>
      </c>
      <c r="AR40" s="30">
        <f>H40*$AQ$11</f>
        <v/>
      </c>
      <c r="AS40" s="30">
        <f>I40*$AQ$11</f>
        <v/>
      </c>
      <c r="AT40" s="30">
        <f>J40*$AQ$11</f>
        <v/>
      </c>
      <c r="AV40" s="15">
        <f>F40*$AW$11</f>
        <v/>
      </c>
      <c r="AW40" s="9">
        <f>G40*$AW$11</f>
        <v/>
      </c>
      <c r="AX40" s="30">
        <f>H40*$AW$11</f>
        <v/>
      </c>
      <c r="AY40" s="30">
        <f>I40*$AW$11</f>
        <v/>
      </c>
      <c r="AZ40" s="30">
        <f>J40*$AW$11</f>
        <v/>
      </c>
    </row>
    <row r="41">
      <c r="A41" s="8" t="n">
        <v>46447</v>
      </c>
      <c r="B41" s="33">
        <f>YEAR(A41)</f>
        <v/>
      </c>
      <c r="C41" s="33">
        <f>MONTH(A41)</f>
        <v/>
      </c>
      <c r="D41">
        <f>IF(A41&lt;=LastActual,"Actual","Forecast")</f>
        <v/>
      </c>
      <c r="E41" s="30">
        <f>IF($D41="Actual",R41,W41)</f>
        <v/>
      </c>
      <c r="F41" s="15">
        <f>IF($D41="Actual",S41,Cases_Forecast!AM34)</f>
        <v/>
      </c>
      <c r="G41" s="9">
        <f>IF($D41="Actual",T41,IFERROR(F41/K41,0))</f>
        <v/>
      </c>
      <c r="H41" s="30">
        <f>IF($D41="Actual",U41,G41*L41)</f>
        <v/>
      </c>
      <c r="I41" s="30">
        <f>IF($D41="Actual",V41,J41-H41)</f>
        <v/>
      </c>
      <c r="J41" s="30">
        <f>IF($D41="Actual",U41+V41,IFERROR(H41/(1-AD41),0))</f>
        <v/>
      </c>
      <c r="K41" s="10">
        <f>IF($D41="Actual",IFERROR(S41/T41,0),CPLH_Forecast!AM34)</f>
        <v/>
      </c>
      <c r="L41" s="34">
        <f>IF($D41="Actual",IFERROR(U41/T41,0),N(AE41))</f>
        <v/>
      </c>
      <c r="M41" s="35">
        <f>IFERROR(J41/F41,0)</f>
        <v/>
      </c>
      <c r="N41" s="36">
        <f>IFERROR(J41/E41,0)</f>
        <v/>
      </c>
      <c r="O41" s="36">
        <f>IFERROR(I41/J41,0)</f>
        <v/>
      </c>
      <c r="R41" s="52">
        <f>IF($D41="Actual",SUMIFS(Data_Actuals!$C$2:$C$5000,Data_Actuals!$A$2:$A$5000,$A41,Data_Actuals!$B$2:$B$5000,$B$2),"")</f>
        <v/>
      </c>
      <c r="S41" s="52">
        <f>IF($D41="Actual",SUMIFS(Data_Actuals!$D$2:$D$5000,Data_Actuals!$A$2:$A$5000,$A41,Data_Actuals!$B$2:$B$5000,$B$2),"")</f>
        <v/>
      </c>
      <c r="T41" s="52">
        <f>IF($D41="Actual",SUMIFS(Data_Actuals!$E$2:$E$5000,Data_Actuals!$A$2:$A$5000,$A41,Data_Actuals!$B$2:$B$5000,$B$2),"")</f>
        <v/>
      </c>
      <c r="U41" s="52">
        <f>IF($D41="Actual",SUMIFS(Data_Actuals!$F$2:$F$5000,Data_Actuals!$A$2:$A$5000,$A41,Data_Actuals!$B$2:$B$5000,$B$2),"")</f>
        <v/>
      </c>
      <c r="V41" s="52">
        <f>IF($D41="Actual",SUMIFS(Data_Actuals!$G$2:$G$5000,Data_Actuals!$A$2:$A$5000,$A41,Data_Actuals!$B$2:$B$5000,$B$2),"")</f>
        <v/>
      </c>
      <c r="W41" s="52">
        <f>SUMIFS(Plan_Inputs!$C$2:$C$5000,Plan_Inputs!$A$2:$A$5000,$A41,Plan_Inputs!$B$2:$B$5000,$B$2)</f>
        <v/>
      </c>
      <c r="X41" s="53">
        <f>IF($D41="Actual",IFERROR(S41/T41,""),X29)</f>
        <v/>
      </c>
      <c r="Y41" s="52">
        <f>E41</f>
        <v/>
      </c>
      <c r="Z41" s="54">
        <f>INDEX(Calendar!$H$5:$L$52,MATCH($A41,Calendar!$A$5:$A$52,0),MATCH($D$2,Calendar!$H$4:$L$4,0))</f>
        <v/>
      </c>
      <c r="AA41" s="54">
        <f>INDEX(Calendar!$M$5:$M$52,MATCH($A41,Calendar!$A$5:$A$52,0))</f>
        <v/>
      </c>
      <c r="AB41" s="55">
        <f>IF($D41="Actual",IFERROR(S41/Y41,""),AB29)</f>
        <v/>
      </c>
      <c r="AC41" s="56">
        <f>IF($D41="Actual",IFERROR(U41/T41/Z41/AA41,""),AC29)</f>
        <v/>
      </c>
      <c r="AD41" s="57">
        <f>IF($D41="Actual",IFERROR(V41/(U41+V41),""),$K$2)</f>
        <v/>
      </c>
      <c r="AE41" s="56">
        <f>IFERROR(AC41*Z41*AA41,"")</f>
        <v/>
      </c>
      <c r="AF41" s="53">
        <f>K29</f>
        <v/>
      </c>
      <c r="AG41" s="57">
        <f>IF($D41="Forecast",IFERROR(K41/AF41-1,""),"")</f>
        <v/>
      </c>
      <c r="AH41" s="53">
        <f>IF(CPLHSource="National breakdown",CPLH_Breakdown!AN46,SUMIFS(Plan_Inputs!$D$2:$D$5000,Plan_Inputs!$A$2:$A$5000,$A41,Plan_Inputs!$B$2:$B$5000,$B$2))</f>
        <v/>
      </c>
      <c r="AJ41" s="15">
        <f>F41*$AK$11</f>
        <v/>
      </c>
      <c r="AK41" s="9">
        <f>G41*$AK$11</f>
        <v/>
      </c>
      <c r="AL41" s="30">
        <f>H41*$AK$11</f>
        <v/>
      </c>
      <c r="AM41" s="30">
        <f>I41*$AK$11</f>
        <v/>
      </c>
      <c r="AN41" s="30">
        <f>J41*$AK$11</f>
        <v/>
      </c>
      <c r="AP41" s="15">
        <f>F41*$AQ$11</f>
        <v/>
      </c>
      <c r="AQ41" s="9">
        <f>G41*$AQ$11</f>
        <v/>
      </c>
      <c r="AR41" s="30">
        <f>H41*$AQ$11</f>
        <v/>
      </c>
      <c r="AS41" s="30">
        <f>I41*$AQ$11</f>
        <v/>
      </c>
      <c r="AT41" s="30">
        <f>J41*$AQ$11</f>
        <v/>
      </c>
      <c r="AV41" s="15">
        <f>F41*$AW$11</f>
        <v/>
      </c>
      <c r="AW41" s="9">
        <f>G41*$AW$11</f>
        <v/>
      </c>
      <c r="AX41" s="30">
        <f>H41*$AW$11</f>
        <v/>
      </c>
      <c r="AY41" s="30">
        <f>I41*$AW$11</f>
        <v/>
      </c>
      <c r="AZ41" s="30">
        <f>J41*$AW$11</f>
        <v/>
      </c>
    </row>
    <row r="42">
      <c r="A42" s="8" t="n">
        <v>46478</v>
      </c>
      <c r="B42" s="33">
        <f>YEAR(A42)</f>
        <v/>
      </c>
      <c r="C42" s="33">
        <f>MONTH(A42)</f>
        <v/>
      </c>
      <c r="D42">
        <f>IF(A42&lt;=LastActual,"Actual","Forecast")</f>
        <v/>
      </c>
      <c r="E42" s="30">
        <f>IF($D42="Actual",R42,W42)</f>
        <v/>
      </c>
      <c r="F42" s="15">
        <f>IF($D42="Actual",S42,Cases_Forecast!AM35)</f>
        <v/>
      </c>
      <c r="G42" s="9">
        <f>IF($D42="Actual",T42,IFERROR(F42/K42,0))</f>
        <v/>
      </c>
      <c r="H42" s="30">
        <f>IF($D42="Actual",U42,G42*L42)</f>
        <v/>
      </c>
      <c r="I42" s="30">
        <f>IF($D42="Actual",V42,J42-H42)</f>
        <v/>
      </c>
      <c r="J42" s="30">
        <f>IF($D42="Actual",U42+V42,IFERROR(H42/(1-AD42),0))</f>
        <v/>
      </c>
      <c r="K42" s="10">
        <f>IF($D42="Actual",IFERROR(S42/T42,0),CPLH_Forecast!AM35)</f>
        <v/>
      </c>
      <c r="L42" s="34">
        <f>IF($D42="Actual",IFERROR(U42/T42,0),N(AE42))</f>
        <v/>
      </c>
      <c r="M42" s="35">
        <f>IFERROR(J42/F42,0)</f>
        <v/>
      </c>
      <c r="N42" s="36">
        <f>IFERROR(J42/E42,0)</f>
        <v/>
      </c>
      <c r="O42" s="36">
        <f>IFERROR(I42/J42,0)</f>
        <v/>
      </c>
      <c r="R42" s="52">
        <f>IF($D42="Actual",SUMIFS(Data_Actuals!$C$2:$C$5000,Data_Actuals!$A$2:$A$5000,$A42,Data_Actuals!$B$2:$B$5000,$B$2),"")</f>
        <v/>
      </c>
      <c r="S42" s="52">
        <f>IF($D42="Actual",SUMIFS(Data_Actuals!$D$2:$D$5000,Data_Actuals!$A$2:$A$5000,$A42,Data_Actuals!$B$2:$B$5000,$B$2),"")</f>
        <v/>
      </c>
      <c r="T42" s="52">
        <f>IF($D42="Actual",SUMIFS(Data_Actuals!$E$2:$E$5000,Data_Actuals!$A$2:$A$5000,$A42,Data_Actuals!$B$2:$B$5000,$B$2),"")</f>
        <v/>
      </c>
      <c r="U42" s="52">
        <f>IF($D42="Actual",SUMIFS(Data_Actuals!$F$2:$F$5000,Data_Actuals!$A$2:$A$5000,$A42,Data_Actuals!$B$2:$B$5000,$B$2),"")</f>
        <v/>
      </c>
      <c r="V42" s="52">
        <f>IF($D42="Actual",SUMIFS(Data_Actuals!$G$2:$G$5000,Data_Actuals!$A$2:$A$5000,$A42,Data_Actuals!$B$2:$B$5000,$B$2),"")</f>
        <v/>
      </c>
      <c r="W42" s="52">
        <f>SUMIFS(Plan_Inputs!$C$2:$C$5000,Plan_Inputs!$A$2:$A$5000,$A42,Plan_Inputs!$B$2:$B$5000,$B$2)</f>
        <v/>
      </c>
      <c r="X42" s="53">
        <f>IF($D42="Actual",IFERROR(S42/T42,""),X30)</f>
        <v/>
      </c>
      <c r="Y42" s="52">
        <f>E42</f>
        <v/>
      </c>
      <c r="Z42" s="54">
        <f>INDEX(Calendar!$H$5:$L$52,MATCH($A42,Calendar!$A$5:$A$52,0),MATCH($D$2,Calendar!$H$4:$L$4,0))</f>
        <v/>
      </c>
      <c r="AA42" s="54">
        <f>INDEX(Calendar!$M$5:$M$52,MATCH($A42,Calendar!$A$5:$A$52,0))</f>
        <v/>
      </c>
      <c r="AB42" s="55">
        <f>IF($D42="Actual",IFERROR(S42/Y42,""),AB30)</f>
        <v/>
      </c>
      <c r="AC42" s="56">
        <f>IF($D42="Actual",IFERROR(U42/T42/Z42/AA42,""),AC30)</f>
        <v/>
      </c>
      <c r="AD42" s="57">
        <f>IF($D42="Actual",IFERROR(V42/(U42+V42),""),$K$2)</f>
        <v/>
      </c>
      <c r="AE42" s="56">
        <f>IFERROR(AC42*Z42*AA42,"")</f>
        <v/>
      </c>
      <c r="AF42" s="53">
        <f>K30</f>
        <v/>
      </c>
      <c r="AG42" s="57">
        <f>IF($D42="Forecast",IFERROR(K42/AF42-1,""),"")</f>
        <v/>
      </c>
      <c r="AH42" s="53">
        <f>IF(CPLHSource="National breakdown",CPLH_Breakdown!AN47,SUMIFS(Plan_Inputs!$D$2:$D$5000,Plan_Inputs!$A$2:$A$5000,$A42,Plan_Inputs!$B$2:$B$5000,$B$2))</f>
        <v/>
      </c>
      <c r="AJ42" s="15">
        <f>F42*$AK$11</f>
        <v/>
      </c>
      <c r="AK42" s="9">
        <f>G42*$AK$11</f>
        <v/>
      </c>
      <c r="AL42" s="30">
        <f>H42*$AK$11</f>
        <v/>
      </c>
      <c r="AM42" s="30">
        <f>I42*$AK$11</f>
        <v/>
      </c>
      <c r="AN42" s="30">
        <f>J42*$AK$11</f>
        <v/>
      </c>
      <c r="AP42" s="15">
        <f>F42*$AQ$11</f>
        <v/>
      </c>
      <c r="AQ42" s="9">
        <f>G42*$AQ$11</f>
        <v/>
      </c>
      <c r="AR42" s="30">
        <f>H42*$AQ$11</f>
        <v/>
      </c>
      <c r="AS42" s="30">
        <f>I42*$AQ$11</f>
        <v/>
      </c>
      <c r="AT42" s="30">
        <f>J42*$AQ$11</f>
        <v/>
      </c>
      <c r="AV42" s="15">
        <f>F42*$AW$11</f>
        <v/>
      </c>
      <c r="AW42" s="9">
        <f>G42*$AW$11</f>
        <v/>
      </c>
      <c r="AX42" s="30">
        <f>H42*$AW$11</f>
        <v/>
      </c>
      <c r="AY42" s="30">
        <f>I42*$AW$11</f>
        <v/>
      </c>
      <c r="AZ42" s="30">
        <f>J42*$AW$11</f>
        <v/>
      </c>
    </row>
    <row r="43">
      <c r="A43" s="8" t="n">
        <v>46508</v>
      </c>
      <c r="B43" s="33">
        <f>YEAR(A43)</f>
        <v/>
      </c>
      <c r="C43" s="33">
        <f>MONTH(A43)</f>
        <v/>
      </c>
      <c r="D43">
        <f>IF(A43&lt;=LastActual,"Actual","Forecast")</f>
        <v/>
      </c>
      <c r="E43" s="30">
        <f>IF($D43="Actual",R43,W43)</f>
        <v/>
      </c>
      <c r="F43" s="15">
        <f>IF($D43="Actual",S43,Cases_Forecast!AM36)</f>
        <v/>
      </c>
      <c r="G43" s="9">
        <f>IF($D43="Actual",T43,IFERROR(F43/K43,0))</f>
        <v/>
      </c>
      <c r="H43" s="30">
        <f>IF($D43="Actual",U43,G43*L43)</f>
        <v/>
      </c>
      <c r="I43" s="30">
        <f>IF($D43="Actual",V43,J43-H43)</f>
        <v/>
      </c>
      <c r="J43" s="30">
        <f>IF($D43="Actual",U43+V43,IFERROR(H43/(1-AD43),0))</f>
        <v/>
      </c>
      <c r="K43" s="10">
        <f>IF($D43="Actual",IFERROR(S43/T43,0),CPLH_Forecast!AM36)</f>
        <v/>
      </c>
      <c r="L43" s="34">
        <f>IF($D43="Actual",IFERROR(U43/T43,0),N(AE43))</f>
        <v/>
      </c>
      <c r="M43" s="35">
        <f>IFERROR(J43/F43,0)</f>
        <v/>
      </c>
      <c r="N43" s="36">
        <f>IFERROR(J43/E43,0)</f>
        <v/>
      </c>
      <c r="O43" s="36">
        <f>IFERROR(I43/J43,0)</f>
        <v/>
      </c>
      <c r="R43" s="52">
        <f>IF($D43="Actual",SUMIFS(Data_Actuals!$C$2:$C$5000,Data_Actuals!$A$2:$A$5000,$A43,Data_Actuals!$B$2:$B$5000,$B$2),"")</f>
        <v/>
      </c>
      <c r="S43" s="52">
        <f>IF($D43="Actual",SUMIFS(Data_Actuals!$D$2:$D$5000,Data_Actuals!$A$2:$A$5000,$A43,Data_Actuals!$B$2:$B$5000,$B$2),"")</f>
        <v/>
      </c>
      <c r="T43" s="52">
        <f>IF($D43="Actual",SUMIFS(Data_Actuals!$E$2:$E$5000,Data_Actuals!$A$2:$A$5000,$A43,Data_Actuals!$B$2:$B$5000,$B$2),"")</f>
        <v/>
      </c>
      <c r="U43" s="52">
        <f>IF($D43="Actual",SUMIFS(Data_Actuals!$F$2:$F$5000,Data_Actuals!$A$2:$A$5000,$A43,Data_Actuals!$B$2:$B$5000,$B$2),"")</f>
        <v/>
      </c>
      <c r="V43" s="52">
        <f>IF($D43="Actual",SUMIFS(Data_Actuals!$G$2:$G$5000,Data_Actuals!$A$2:$A$5000,$A43,Data_Actuals!$B$2:$B$5000,$B$2),"")</f>
        <v/>
      </c>
      <c r="W43" s="52">
        <f>SUMIFS(Plan_Inputs!$C$2:$C$5000,Plan_Inputs!$A$2:$A$5000,$A43,Plan_Inputs!$B$2:$B$5000,$B$2)</f>
        <v/>
      </c>
      <c r="X43" s="53">
        <f>IF($D43="Actual",IFERROR(S43/T43,""),X31)</f>
        <v/>
      </c>
      <c r="Y43" s="52">
        <f>E43</f>
        <v/>
      </c>
      <c r="Z43" s="54">
        <f>INDEX(Calendar!$H$5:$L$52,MATCH($A43,Calendar!$A$5:$A$52,0),MATCH($D$2,Calendar!$H$4:$L$4,0))</f>
        <v/>
      </c>
      <c r="AA43" s="54">
        <f>INDEX(Calendar!$M$5:$M$52,MATCH($A43,Calendar!$A$5:$A$52,0))</f>
        <v/>
      </c>
      <c r="AB43" s="55">
        <f>IF($D43="Actual",IFERROR(S43/Y43,""),AB31)</f>
        <v/>
      </c>
      <c r="AC43" s="56">
        <f>IF($D43="Actual",IFERROR(U43/T43/Z43/AA43,""),AC31)</f>
        <v/>
      </c>
      <c r="AD43" s="57">
        <f>IF($D43="Actual",IFERROR(V43/(U43+V43),""),$K$2)</f>
        <v/>
      </c>
      <c r="AE43" s="56">
        <f>IFERROR(AC43*Z43*AA43,"")</f>
        <v/>
      </c>
      <c r="AF43" s="53">
        <f>K31</f>
        <v/>
      </c>
      <c r="AG43" s="57">
        <f>IF($D43="Forecast",IFERROR(K43/AF43-1,""),"")</f>
        <v/>
      </c>
      <c r="AH43" s="53">
        <f>IF(CPLHSource="National breakdown",CPLH_Breakdown!AN48,SUMIFS(Plan_Inputs!$D$2:$D$5000,Plan_Inputs!$A$2:$A$5000,$A43,Plan_Inputs!$B$2:$B$5000,$B$2))</f>
        <v/>
      </c>
      <c r="AJ43" s="15">
        <f>F43*$AK$11</f>
        <v/>
      </c>
      <c r="AK43" s="9">
        <f>G43*$AK$11</f>
        <v/>
      </c>
      <c r="AL43" s="30">
        <f>H43*$AK$11</f>
        <v/>
      </c>
      <c r="AM43" s="30">
        <f>I43*$AK$11</f>
        <v/>
      </c>
      <c r="AN43" s="30">
        <f>J43*$AK$11</f>
        <v/>
      </c>
      <c r="AP43" s="15">
        <f>F43*$AQ$11</f>
        <v/>
      </c>
      <c r="AQ43" s="9">
        <f>G43*$AQ$11</f>
        <v/>
      </c>
      <c r="AR43" s="30">
        <f>H43*$AQ$11</f>
        <v/>
      </c>
      <c r="AS43" s="30">
        <f>I43*$AQ$11</f>
        <v/>
      </c>
      <c r="AT43" s="30">
        <f>J43*$AQ$11</f>
        <v/>
      </c>
      <c r="AV43" s="15">
        <f>F43*$AW$11</f>
        <v/>
      </c>
      <c r="AW43" s="9">
        <f>G43*$AW$11</f>
        <v/>
      </c>
      <c r="AX43" s="30">
        <f>H43*$AW$11</f>
        <v/>
      </c>
      <c r="AY43" s="30">
        <f>I43*$AW$11</f>
        <v/>
      </c>
      <c r="AZ43" s="30">
        <f>J43*$AW$11</f>
        <v/>
      </c>
    </row>
    <row r="44">
      <c r="A44" s="8" t="n">
        <v>46539</v>
      </c>
      <c r="B44" s="33">
        <f>YEAR(A44)</f>
        <v/>
      </c>
      <c r="C44" s="33">
        <f>MONTH(A44)</f>
        <v/>
      </c>
      <c r="D44">
        <f>IF(A44&lt;=LastActual,"Actual","Forecast")</f>
        <v/>
      </c>
      <c r="E44" s="30">
        <f>IF($D44="Actual",R44,W44)</f>
        <v/>
      </c>
      <c r="F44" s="15">
        <f>IF($D44="Actual",S44,Cases_Forecast!AM37)</f>
        <v/>
      </c>
      <c r="G44" s="9">
        <f>IF($D44="Actual",T44,IFERROR(F44/K44,0))</f>
        <v/>
      </c>
      <c r="H44" s="30">
        <f>IF($D44="Actual",U44,G44*L44)</f>
        <v/>
      </c>
      <c r="I44" s="30">
        <f>IF($D44="Actual",V44,J44-H44)</f>
        <v/>
      </c>
      <c r="J44" s="30">
        <f>IF($D44="Actual",U44+V44,IFERROR(H44/(1-AD44),0))</f>
        <v/>
      </c>
      <c r="K44" s="10">
        <f>IF($D44="Actual",IFERROR(S44/T44,0),CPLH_Forecast!AM37)</f>
        <v/>
      </c>
      <c r="L44" s="34">
        <f>IF($D44="Actual",IFERROR(U44/T44,0),N(AE44))</f>
        <v/>
      </c>
      <c r="M44" s="35">
        <f>IFERROR(J44/F44,0)</f>
        <v/>
      </c>
      <c r="N44" s="36">
        <f>IFERROR(J44/E44,0)</f>
        <v/>
      </c>
      <c r="O44" s="36">
        <f>IFERROR(I44/J44,0)</f>
        <v/>
      </c>
      <c r="R44" s="52">
        <f>IF($D44="Actual",SUMIFS(Data_Actuals!$C$2:$C$5000,Data_Actuals!$A$2:$A$5000,$A44,Data_Actuals!$B$2:$B$5000,$B$2),"")</f>
        <v/>
      </c>
      <c r="S44" s="52">
        <f>IF($D44="Actual",SUMIFS(Data_Actuals!$D$2:$D$5000,Data_Actuals!$A$2:$A$5000,$A44,Data_Actuals!$B$2:$B$5000,$B$2),"")</f>
        <v/>
      </c>
      <c r="T44" s="52">
        <f>IF($D44="Actual",SUMIFS(Data_Actuals!$E$2:$E$5000,Data_Actuals!$A$2:$A$5000,$A44,Data_Actuals!$B$2:$B$5000,$B$2),"")</f>
        <v/>
      </c>
      <c r="U44" s="52">
        <f>IF($D44="Actual",SUMIFS(Data_Actuals!$F$2:$F$5000,Data_Actuals!$A$2:$A$5000,$A44,Data_Actuals!$B$2:$B$5000,$B$2),"")</f>
        <v/>
      </c>
      <c r="V44" s="52">
        <f>IF($D44="Actual",SUMIFS(Data_Actuals!$G$2:$G$5000,Data_Actuals!$A$2:$A$5000,$A44,Data_Actuals!$B$2:$B$5000,$B$2),"")</f>
        <v/>
      </c>
      <c r="W44" s="52">
        <f>SUMIFS(Plan_Inputs!$C$2:$C$5000,Plan_Inputs!$A$2:$A$5000,$A44,Plan_Inputs!$B$2:$B$5000,$B$2)</f>
        <v/>
      </c>
      <c r="X44" s="53">
        <f>IF($D44="Actual",IFERROR(S44/T44,""),X32)</f>
        <v/>
      </c>
      <c r="Y44" s="52">
        <f>E44</f>
        <v/>
      </c>
      <c r="Z44" s="54">
        <f>INDEX(Calendar!$H$5:$L$52,MATCH($A44,Calendar!$A$5:$A$52,0),MATCH($D$2,Calendar!$H$4:$L$4,0))</f>
        <v/>
      </c>
      <c r="AA44" s="54">
        <f>INDEX(Calendar!$M$5:$M$52,MATCH($A44,Calendar!$A$5:$A$52,0))</f>
        <v/>
      </c>
      <c r="AB44" s="55">
        <f>IF($D44="Actual",IFERROR(S44/Y44,""),AB32)</f>
        <v/>
      </c>
      <c r="AC44" s="56">
        <f>IF($D44="Actual",IFERROR(U44/T44/Z44/AA44,""),AC32)</f>
        <v/>
      </c>
      <c r="AD44" s="57">
        <f>IF($D44="Actual",IFERROR(V44/(U44+V44),""),$K$2)</f>
        <v/>
      </c>
      <c r="AE44" s="56">
        <f>IFERROR(AC44*Z44*AA44,"")</f>
        <v/>
      </c>
      <c r="AF44" s="53">
        <f>K32</f>
        <v/>
      </c>
      <c r="AG44" s="57">
        <f>IF($D44="Forecast",IFERROR(K44/AF44-1,""),"")</f>
        <v/>
      </c>
      <c r="AH44" s="53">
        <f>IF(CPLHSource="National breakdown",CPLH_Breakdown!AN49,SUMIFS(Plan_Inputs!$D$2:$D$5000,Plan_Inputs!$A$2:$A$5000,$A44,Plan_Inputs!$B$2:$B$5000,$B$2))</f>
        <v/>
      </c>
      <c r="AJ44" s="15">
        <f>F44*$AK$11</f>
        <v/>
      </c>
      <c r="AK44" s="9">
        <f>G44*$AK$11</f>
        <v/>
      </c>
      <c r="AL44" s="30">
        <f>H44*$AK$11</f>
        <v/>
      </c>
      <c r="AM44" s="30">
        <f>I44*$AK$11</f>
        <v/>
      </c>
      <c r="AN44" s="30">
        <f>J44*$AK$11</f>
        <v/>
      </c>
      <c r="AP44" s="15">
        <f>F44*$AQ$11</f>
        <v/>
      </c>
      <c r="AQ44" s="9">
        <f>G44*$AQ$11</f>
        <v/>
      </c>
      <c r="AR44" s="30">
        <f>H44*$AQ$11</f>
        <v/>
      </c>
      <c r="AS44" s="30">
        <f>I44*$AQ$11</f>
        <v/>
      </c>
      <c r="AT44" s="30">
        <f>J44*$AQ$11</f>
        <v/>
      </c>
      <c r="AV44" s="15">
        <f>F44*$AW$11</f>
        <v/>
      </c>
      <c r="AW44" s="9">
        <f>G44*$AW$11</f>
        <v/>
      </c>
      <c r="AX44" s="30">
        <f>H44*$AW$11</f>
        <v/>
      </c>
      <c r="AY44" s="30">
        <f>I44*$AW$11</f>
        <v/>
      </c>
      <c r="AZ44" s="30">
        <f>J44*$AW$11</f>
        <v/>
      </c>
    </row>
    <row r="45">
      <c r="A45" s="8" t="n">
        <v>46569</v>
      </c>
      <c r="B45" s="33">
        <f>YEAR(A45)</f>
        <v/>
      </c>
      <c r="C45" s="33">
        <f>MONTH(A45)</f>
        <v/>
      </c>
      <c r="D45">
        <f>IF(A45&lt;=LastActual,"Actual","Forecast")</f>
        <v/>
      </c>
      <c r="E45" s="30">
        <f>IF($D45="Actual",R45,W45)</f>
        <v/>
      </c>
      <c r="F45" s="15">
        <f>IF($D45="Actual",S45,Cases_Forecast!AM38)</f>
        <v/>
      </c>
      <c r="G45" s="9">
        <f>IF($D45="Actual",T45,IFERROR(F45/K45,0))</f>
        <v/>
      </c>
      <c r="H45" s="30">
        <f>IF($D45="Actual",U45,G45*L45)</f>
        <v/>
      </c>
      <c r="I45" s="30">
        <f>IF($D45="Actual",V45,J45-H45)</f>
        <v/>
      </c>
      <c r="J45" s="30">
        <f>IF($D45="Actual",U45+V45,IFERROR(H45/(1-AD45),0))</f>
        <v/>
      </c>
      <c r="K45" s="10">
        <f>IF($D45="Actual",IFERROR(S45/T45,0),CPLH_Forecast!AM38)</f>
        <v/>
      </c>
      <c r="L45" s="34">
        <f>IF($D45="Actual",IFERROR(U45/T45,0),N(AE45))</f>
        <v/>
      </c>
      <c r="M45" s="35">
        <f>IFERROR(J45/F45,0)</f>
        <v/>
      </c>
      <c r="N45" s="36">
        <f>IFERROR(J45/E45,0)</f>
        <v/>
      </c>
      <c r="O45" s="36">
        <f>IFERROR(I45/J45,0)</f>
        <v/>
      </c>
      <c r="R45" s="52">
        <f>IF($D45="Actual",SUMIFS(Data_Actuals!$C$2:$C$5000,Data_Actuals!$A$2:$A$5000,$A45,Data_Actuals!$B$2:$B$5000,$B$2),"")</f>
        <v/>
      </c>
      <c r="S45" s="52">
        <f>IF($D45="Actual",SUMIFS(Data_Actuals!$D$2:$D$5000,Data_Actuals!$A$2:$A$5000,$A45,Data_Actuals!$B$2:$B$5000,$B$2),"")</f>
        <v/>
      </c>
      <c r="T45" s="52">
        <f>IF($D45="Actual",SUMIFS(Data_Actuals!$E$2:$E$5000,Data_Actuals!$A$2:$A$5000,$A45,Data_Actuals!$B$2:$B$5000,$B$2),"")</f>
        <v/>
      </c>
      <c r="U45" s="52">
        <f>IF($D45="Actual",SUMIFS(Data_Actuals!$F$2:$F$5000,Data_Actuals!$A$2:$A$5000,$A45,Data_Actuals!$B$2:$B$5000,$B$2),"")</f>
        <v/>
      </c>
      <c r="V45" s="52">
        <f>IF($D45="Actual",SUMIFS(Data_Actuals!$G$2:$G$5000,Data_Actuals!$A$2:$A$5000,$A45,Data_Actuals!$B$2:$B$5000,$B$2),"")</f>
        <v/>
      </c>
      <c r="W45" s="52">
        <f>SUMIFS(Plan_Inputs!$C$2:$C$5000,Plan_Inputs!$A$2:$A$5000,$A45,Plan_Inputs!$B$2:$B$5000,$B$2)</f>
        <v/>
      </c>
      <c r="X45" s="53">
        <f>IF($D45="Actual",IFERROR(S45/T45,""),X33)</f>
        <v/>
      </c>
      <c r="Y45" s="52">
        <f>E45</f>
        <v/>
      </c>
      <c r="Z45" s="54">
        <f>INDEX(Calendar!$H$5:$L$52,MATCH($A45,Calendar!$A$5:$A$52,0),MATCH($D$2,Calendar!$H$4:$L$4,0))</f>
        <v/>
      </c>
      <c r="AA45" s="54">
        <f>INDEX(Calendar!$M$5:$M$52,MATCH($A45,Calendar!$A$5:$A$52,0))</f>
        <v/>
      </c>
      <c r="AB45" s="55">
        <f>IF($D45="Actual",IFERROR(S45/Y45,""),AB33)</f>
        <v/>
      </c>
      <c r="AC45" s="56">
        <f>IF($D45="Actual",IFERROR(U45/T45/Z45/AA45,""),AC33)</f>
        <v/>
      </c>
      <c r="AD45" s="57">
        <f>IF($D45="Actual",IFERROR(V45/(U45+V45),""),$K$2)</f>
        <v/>
      </c>
      <c r="AE45" s="56">
        <f>IFERROR(AC45*Z45*AA45,"")</f>
        <v/>
      </c>
      <c r="AF45" s="53">
        <f>K33</f>
        <v/>
      </c>
      <c r="AG45" s="57">
        <f>IF($D45="Forecast",IFERROR(K45/AF45-1,""),"")</f>
        <v/>
      </c>
      <c r="AH45" s="53">
        <f>IF(CPLHSource="National breakdown",CPLH_Breakdown!AN50,SUMIFS(Plan_Inputs!$D$2:$D$5000,Plan_Inputs!$A$2:$A$5000,$A45,Plan_Inputs!$B$2:$B$5000,$B$2))</f>
        <v/>
      </c>
      <c r="AJ45" s="15">
        <f>F45*$AK$11</f>
        <v/>
      </c>
      <c r="AK45" s="9">
        <f>G45*$AK$11</f>
        <v/>
      </c>
      <c r="AL45" s="30">
        <f>H45*$AK$11</f>
        <v/>
      </c>
      <c r="AM45" s="30">
        <f>I45*$AK$11</f>
        <v/>
      </c>
      <c r="AN45" s="30">
        <f>J45*$AK$11</f>
        <v/>
      </c>
      <c r="AP45" s="15">
        <f>F45*$AQ$11</f>
        <v/>
      </c>
      <c r="AQ45" s="9">
        <f>G45*$AQ$11</f>
        <v/>
      </c>
      <c r="AR45" s="30">
        <f>H45*$AQ$11</f>
        <v/>
      </c>
      <c r="AS45" s="30">
        <f>I45*$AQ$11</f>
        <v/>
      </c>
      <c r="AT45" s="30">
        <f>J45*$AQ$11</f>
        <v/>
      </c>
      <c r="AV45" s="15">
        <f>F45*$AW$11</f>
        <v/>
      </c>
      <c r="AW45" s="9">
        <f>G45*$AW$11</f>
        <v/>
      </c>
      <c r="AX45" s="30">
        <f>H45*$AW$11</f>
        <v/>
      </c>
      <c r="AY45" s="30">
        <f>I45*$AW$11</f>
        <v/>
      </c>
      <c r="AZ45" s="30">
        <f>J45*$AW$11</f>
        <v/>
      </c>
    </row>
    <row r="46">
      <c r="A46" s="8" t="n">
        <v>46600</v>
      </c>
      <c r="B46" s="33">
        <f>YEAR(A46)</f>
        <v/>
      </c>
      <c r="C46" s="33">
        <f>MONTH(A46)</f>
        <v/>
      </c>
      <c r="D46">
        <f>IF(A46&lt;=LastActual,"Actual","Forecast")</f>
        <v/>
      </c>
      <c r="E46" s="30">
        <f>IF($D46="Actual",R46,W46)</f>
        <v/>
      </c>
      <c r="F46" s="15">
        <f>IF($D46="Actual",S46,Cases_Forecast!AM39)</f>
        <v/>
      </c>
      <c r="G46" s="9">
        <f>IF($D46="Actual",T46,IFERROR(F46/K46,0))</f>
        <v/>
      </c>
      <c r="H46" s="30">
        <f>IF($D46="Actual",U46,G46*L46)</f>
        <v/>
      </c>
      <c r="I46" s="30">
        <f>IF($D46="Actual",V46,J46-H46)</f>
        <v/>
      </c>
      <c r="J46" s="30">
        <f>IF($D46="Actual",U46+V46,IFERROR(H46/(1-AD46),0))</f>
        <v/>
      </c>
      <c r="K46" s="10">
        <f>IF($D46="Actual",IFERROR(S46/T46,0),CPLH_Forecast!AM39)</f>
        <v/>
      </c>
      <c r="L46" s="34">
        <f>IF($D46="Actual",IFERROR(U46/T46,0),N(AE46))</f>
        <v/>
      </c>
      <c r="M46" s="35">
        <f>IFERROR(J46/F46,0)</f>
        <v/>
      </c>
      <c r="N46" s="36">
        <f>IFERROR(J46/E46,0)</f>
        <v/>
      </c>
      <c r="O46" s="36">
        <f>IFERROR(I46/J46,0)</f>
        <v/>
      </c>
      <c r="R46" s="52">
        <f>IF($D46="Actual",SUMIFS(Data_Actuals!$C$2:$C$5000,Data_Actuals!$A$2:$A$5000,$A46,Data_Actuals!$B$2:$B$5000,$B$2),"")</f>
        <v/>
      </c>
      <c r="S46" s="52">
        <f>IF($D46="Actual",SUMIFS(Data_Actuals!$D$2:$D$5000,Data_Actuals!$A$2:$A$5000,$A46,Data_Actuals!$B$2:$B$5000,$B$2),"")</f>
        <v/>
      </c>
      <c r="T46" s="52">
        <f>IF($D46="Actual",SUMIFS(Data_Actuals!$E$2:$E$5000,Data_Actuals!$A$2:$A$5000,$A46,Data_Actuals!$B$2:$B$5000,$B$2),"")</f>
        <v/>
      </c>
      <c r="U46" s="52">
        <f>IF($D46="Actual",SUMIFS(Data_Actuals!$F$2:$F$5000,Data_Actuals!$A$2:$A$5000,$A46,Data_Actuals!$B$2:$B$5000,$B$2),"")</f>
        <v/>
      </c>
      <c r="V46" s="52">
        <f>IF($D46="Actual",SUMIFS(Data_Actuals!$G$2:$G$5000,Data_Actuals!$A$2:$A$5000,$A46,Data_Actuals!$B$2:$B$5000,$B$2),"")</f>
        <v/>
      </c>
      <c r="W46" s="52">
        <f>SUMIFS(Plan_Inputs!$C$2:$C$5000,Plan_Inputs!$A$2:$A$5000,$A46,Plan_Inputs!$B$2:$B$5000,$B$2)</f>
        <v/>
      </c>
      <c r="X46" s="53">
        <f>IF($D46="Actual",IFERROR(S46/T46,""),X34)</f>
        <v/>
      </c>
      <c r="Y46" s="52">
        <f>E46</f>
        <v/>
      </c>
      <c r="Z46" s="54">
        <f>INDEX(Calendar!$H$5:$L$52,MATCH($A46,Calendar!$A$5:$A$52,0),MATCH($D$2,Calendar!$H$4:$L$4,0))</f>
        <v/>
      </c>
      <c r="AA46" s="54">
        <f>INDEX(Calendar!$M$5:$M$52,MATCH($A46,Calendar!$A$5:$A$52,0))</f>
        <v/>
      </c>
      <c r="AB46" s="55">
        <f>IF($D46="Actual",IFERROR(S46/Y46,""),AB34)</f>
        <v/>
      </c>
      <c r="AC46" s="56">
        <f>IF($D46="Actual",IFERROR(U46/T46/Z46/AA46,""),AC34)</f>
        <v/>
      </c>
      <c r="AD46" s="57">
        <f>IF($D46="Actual",IFERROR(V46/(U46+V46),""),$K$2)</f>
        <v/>
      </c>
      <c r="AE46" s="56">
        <f>IFERROR(AC46*Z46*AA46,"")</f>
        <v/>
      </c>
      <c r="AF46" s="53">
        <f>K34</f>
        <v/>
      </c>
      <c r="AG46" s="57">
        <f>IF($D46="Forecast",IFERROR(K46/AF46-1,""),"")</f>
        <v/>
      </c>
      <c r="AH46" s="53">
        <f>IF(CPLHSource="National breakdown",CPLH_Breakdown!AN51,SUMIFS(Plan_Inputs!$D$2:$D$5000,Plan_Inputs!$A$2:$A$5000,$A46,Plan_Inputs!$B$2:$B$5000,$B$2))</f>
        <v/>
      </c>
      <c r="AJ46" s="15">
        <f>F46*$AK$11</f>
        <v/>
      </c>
      <c r="AK46" s="9">
        <f>G46*$AK$11</f>
        <v/>
      </c>
      <c r="AL46" s="30">
        <f>H46*$AK$11</f>
        <v/>
      </c>
      <c r="AM46" s="30">
        <f>I46*$AK$11</f>
        <v/>
      </c>
      <c r="AN46" s="30">
        <f>J46*$AK$11</f>
        <v/>
      </c>
      <c r="AP46" s="15">
        <f>F46*$AQ$11</f>
        <v/>
      </c>
      <c r="AQ46" s="9">
        <f>G46*$AQ$11</f>
        <v/>
      </c>
      <c r="AR46" s="30">
        <f>H46*$AQ$11</f>
        <v/>
      </c>
      <c r="AS46" s="30">
        <f>I46*$AQ$11</f>
        <v/>
      </c>
      <c r="AT46" s="30">
        <f>J46*$AQ$11</f>
        <v/>
      </c>
      <c r="AV46" s="15">
        <f>F46*$AW$11</f>
        <v/>
      </c>
      <c r="AW46" s="9">
        <f>G46*$AW$11</f>
        <v/>
      </c>
      <c r="AX46" s="30">
        <f>H46*$AW$11</f>
        <v/>
      </c>
      <c r="AY46" s="30">
        <f>I46*$AW$11</f>
        <v/>
      </c>
      <c r="AZ46" s="30">
        <f>J46*$AW$11</f>
        <v/>
      </c>
    </row>
    <row r="47">
      <c r="A47" s="8" t="n">
        <v>46631</v>
      </c>
      <c r="B47" s="33">
        <f>YEAR(A47)</f>
        <v/>
      </c>
      <c r="C47" s="33">
        <f>MONTH(A47)</f>
        <v/>
      </c>
      <c r="D47">
        <f>IF(A47&lt;=LastActual,"Actual","Forecast")</f>
        <v/>
      </c>
      <c r="E47" s="30">
        <f>IF($D47="Actual",R47,W47)</f>
        <v/>
      </c>
      <c r="F47" s="15">
        <f>IF($D47="Actual",S47,Cases_Forecast!AM40)</f>
        <v/>
      </c>
      <c r="G47" s="9">
        <f>IF($D47="Actual",T47,IFERROR(F47/K47,0))</f>
        <v/>
      </c>
      <c r="H47" s="30">
        <f>IF($D47="Actual",U47,G47*L47)</f>
        <v/>
      </c>
      <c r="I47" s="30">
        <f>IF($D47="Actual",V47,J47-H47)</f>
        <v/>
      </c>
      <c r="J47" s="30">
        <f>IF($D47="Actual",U47+V47,IFERROR(H47/(1-AD47),0))</f>
        <v/>
      </c>
      <c r="K47" s="10">
        <f>IF($D47="Actual",IFERROR(S47/T47,0),CPLH_Forecast!AM40)</f>
        <v/>
      </c>
      <c r="L47" s="34">
        <f>IF($D47="Actual",IFERROR(U47/T47,0),N(AE47))</f>
        <v/>
      </c>
      <c r="M47" s="35">
        <f>IFERROR(J47/F47,0)</f>
        <v/>
      </c>
      <c r="N47" s="36">
        <f>IFERROR(J47/E47,0)</f>
        <v/>
      </c>
      <c r="O47" s="36">
        <f>IFERROR(I47/J47,0)</f>
        <v/>
      </c>
      <c r="R47" s="52">
        <f>IF($D47="Actual",SUMIFS(Data_Actuals!$C$2:$C$5000,Data_Actuals!$A$2:$A$5000,$A47,Data_Actuals!$B$2:$B$5000,$B$2),"")</f>
        <v/>
      </c>
      <c r="S47" s="52">
        <f>IF($D47="Actual",SUMIFS(Data_Actuals!$D$2:$D$5000,Data_Actuals!$A$2:$A$5000,$A47,Data_Actuals!$B$2:$B$5000,$B$2),"")</f>
        <v/>
      </c>
      <c r="T47" s="52">
        <f>IF($D47="Actual",SUMIFS(Data_Actuals!$E$2:$E$5000,Data_Actuals!$A$2:$A$5000,$A47,Data_Actuals!$B$2:$B$5000,$B$2),"")</f>
        <v/>
      </c>
      <c r="U47" s="52">
        <f>IF($D47="Actual",SUMIFS(Data_Actuals!$F$2:$F$5000,Data_Actuals!$A$2:$A$5000,$A47,Data_Actuals!$B$2:$B$5000,$B$2),"")</f>
        <v/>
      </c>
      <c r="V47" s="52">
        <f>IF($D47="Actual",SUMIFS(Data_Actuals!$G$2:$G$5000,Data_Actuals!$A$2:$A$5000,$A47,Data_Actuals!$B$2:$B$5000,$B$2),"")</f>
        <v/>
      </c>
      <c r="W47" s="52">
        <f>SUMIFS(Plan_Inputs!$C$2:$C$5000,Plan_Inputs!$A$2:$A$5000,$A47,Plan_Inputs!$B$2:$B$5000,$B$2)</f>
        <v/>
      </c>
      <c r="X47" s="53">
        <f>IF($D47="Actual",IFERROR(S47/T47,""),X35)</f>
        <v/>
      </c>
      <c r="Y47" s="52">
        <f>E47</f>
        <v/>
      </c>
      <c r="Z47" s="54">
        <f>INDEX(Calendar!$H$5:$L$52,MATCH($A47,Calendar!$A$5:$A$52,0),MATCH($D$2,Calendar!$H$4:$L$4,0))</f>
        <v/>
      </c>
      <c r="AA47" s="54">
        <f>INDEX(Calendar!$M$5:$M$52,MATCH($A47,Calendar!$A$5:$A$52,0))</f>
        <v/>
      </c>
      <c r="AB47" s="55">
        <f>IF($D47="Actual",IFERROR(S47/Y47,""),AB35)</f>
        <v/>
      </c>
      <c r="AC47" s="56">
        <f>IF($D47="Actual",IFERROR(U47/T47/Z47/AA47,""),AC35)</f>
        <v/>
      </c>
      <c r="AD47" s="57">
        <f>IF($D47="Actual",IFERROR(V47/(U47+V47),""),$K$2)</f>
        <v/>
      </c>
      <c r="AE47" s="56">
        <f>IFERROR(AC47*Z47*AA47,"")</f>
        <v/>
      </c>
      <c r="AF47" s="53">
        <f>K35</f>
        <v/>
      </c>
      <c r="AG47" s="57">
        <f>IF($D47="Forecast",IFERROR(K47/AF47-1,""),"")</f>
        <v/>
      </c>
      <c r="AH47" s="53">
        <f>IF(CPLHSource="National breakdown",CPLH_Breakdown!AN52,SUMIFS(Plan_Inputs!$D$2:$D$5000,Plan_Inputs!$A$2:$A$5000,$A47,Plan_Inputs!$B$2:$B$5000,$B$2))</f>
        <v/>
      </c>
      <c r="AJ47" s="15">
        <f>F47*$AK$11</f>
        <v/>
      </c>
      <c r="AK47" s="9">
        <f>G47*$AK$11</f>
        <v/>
      </c>
      <c r="AL47" s="30">
        <f>H47*$AK$11</f>
        <v/>
      </c>
      <c r="AM47" s="30">
        <f>I47*$AK$11</f>
        <v/>
      </c>
      <c r="AN47" s="30">
        <f>J47*$AK$11</f>
        <v/>
      </c>
      <c r="AP47" s="15">
        <f>F47*$AQ$11</f>
        <v/>
      </c>
      <c r="AQ47" s="9">
        <f>G47*$AQ$11</f>
        <v/>
      </c>
      <c r="AR47" s="30">
        <f>H47*$AQ$11</f>
        <v/>
      </c>
      <c r="AS47" s="30">
        <f>I47*$AQ$11</f>
        <v/>
      </c>
      <c r="AT47" s="30">
        <f>J47*$AQ$11</f>
        <v/>
      </c>
      <c r="AV47" s="15">
        <f>F47*$AW$11</f>
        <v/>
      </c>
      <c r="AW47" s="9">
        <f>G47*$AW$11</f>
        <v/>
      </c>
      <c r="AX47" s="30">
        <f>H47*$AW$11</f>
        <v/>
      </c>
      <c r="AY47" s="30">
        <f>I47*$AW$11</f>
        <v/>
      </c>
      <c r="AZ47" s="30">
        <f>J47*$AW$11</f>
        <v/>
      </c>
    </row>
    <row r="48">
      <c r="A48" s="8" t="n">
        <v>46661</v>
      </c>
      <c r="B48" s="33">
        <f>YEAR(A48)</f>
        <v/>
      </c>
      <c r="C48" s="33">
        <f>MONTH(A48)</f>
        <v/>
      </c>
      <c r="D48">
        <f>IF(A48&lt;=LastActual,"Actual","Forecast")</f>
        <v/>
      </c>
      <c r="E48" s="30">
        <f>IF($D48="Actual",R48,W48)</f>
        <v/>
      </c>
      <c r="F48" s="15">
        <f>IF($D48="Actual",S48,Cases_Forecast!AM41)</f>
        <v/>
      </c>
      <c r="G48" s="9">
        <f>IF($D48="Actual",T48,IFERROR(F48/K48,0))</f>
        <v/>
      </c>
      <c r="H48" s="30">
        <f>IF($D48="Actual",U48,G48*L48)</f>
        <v/>
      </c>
      <c r="I48" s="30">
        <f>IF($D48="Actual",V48,J48-H48)</f>
        <v/>
      </c>
      <c r="J48" s="30">
        <f>IF($D48="Actual",U48+V48,IFERROR(H48/(1-AD48),0))</f>
        <v/>
      </c>
      <c r="K48" s="10">
        <f>IF($D48="Actual",IFERROR(S48/T48,0),CPLH_Forecast!AM41)</f>
        <v/>
      </c>
      <c r="L48" s="34">
        <f>IF($D48="Actual",IFERROR(U48/T48,0),N(AE48))</f>
        <v/>
      </c>
      <c r="M48" s="35">
        <f>IFERROR(J48/F48,0)</f>
        <v/>
      </c>
      <c r="N48" s="36">
        <f>IFERROR(J48/E48,0)</f>
        <v/>
      </c>
      <c r="O48" s="36">
        <f>IFERROR(I48/J48,0)</f>
        <v/>
      </c>
      <c r="R48" s="52">
        <f>IF($D48="Actual",SUMIFS(Data_Actuals!$C$2:$C$5000,Data_Actuals!$A$2:$A$5000,$A48,Data_Actuals!$B$2:$B$5000,$B$2),"")</f>
        <v/>
      </c>
      <c r="S48" s="52">
        <f>IF($D48="Actual",SUMIFS(Data_Actuals!$D$2:$D$5000,Data_Actuals!$A$2:$A$5000,$A48,Data_Actuals!$B$2:$B$5000,$B$2),"")</f>
        <v/>
      </c>
      <c r="T48" s="52">
        <f>IF($D48="Actual",SUMIFS(Data_Actuals!$E$2:$E$5000,Data_Actuals!$A$2:$A$5000,$A48,Data_Actuals!$B$2:$B$5000,$B$2),"")</f>
        <v/>
      </c>
      <c r="U48" s="52">
        <f>IF($D48="Actual",SUMIFS(Data_Actuals!$F$2:$F$5000,Data_Actuals!$A$2:$A$5000,$A48,Data_Actuals!$B$2:$B$5000,$B$2),"")</f>
        <v/>
      </c>
      <c r="V48" s="52">
        <f>IF($D48="Actual",SUMIFS(Data_Actuals!$G$2:$G$5000,Data_Actuals!$A$2:$A$5000,$A48,Data_Actuals!$B$2:$B$5000,$B$2),"")</f>
        <v/>
      </c>
      <c r="W48" s="52">
        <f>SUMIFS(Plan_Inputs!$C$2:$C$5000,Plan_Inputs!$A$2:$A$5000,$A48,Plan_Inputs!$B$2:$B$5000,$B$2)</f>
        <v/>
      </c>
      <c r="X48" s="53">
        <f>IF($D48="Actual",IFERROR(S48/T48,""),X36)</f>
        <v/>
      </c>
      <c r="Y48" s="52">
        <f>E48</f>
        <v/>
      </c>
      <c r="Z48" s="54">
        <f>INDEX(Calendar!$H$5:$L$52,MATCH($A48,Calendar!$A$5:$A$52,0),MATCH($D$2,Calendar!$H$4:$L$4,0))</f>
        <v/>
      </c>
      <c r="AA48" s="54">
        <f>INDEX(Calendar!$M$5:$M$52,MATCH($A48,Calendar!$A$5:$A$52,0))</f>
        <v/>
      </c>
      <c r="AB48" s="55">
        <f>IF($D48="Actual",IFERROR(S48/Y48,""),AB36)</f>
        <v/>
      </c>
      <c r="AC48" s="56">
        <f>IF($D48="Actual",IFERROR(U48/T48/Z48/AA48,""),AC36)</f>
        <v/>
      </c>
      <c r="AD48" s="57">
        <f>IF($D48="Actual",IFERROR(V48/(U48+V48),""),$K$2)</f>
        <v/>
      </c>
      <c r="AE48" s="56">
        <f>IFERROR(AC48*Z48*AA48,"")</f>
        <v/>
      </c>
      <c r="AF48" s="53">
        <f>K36</f>
        <v/>
      </c>
      <c r="AG48" s="57">
        <f>IF($D48="Forecast",IFERROR(K48/AF48-1,""),"")</f>
        <v/>
      </c>
      <c r="AH48" s="53">
        <f>IF(CPLHSource="National breakdown",CPLH_Breakdown!AN53,SUMIFS(Plan_Inputs!$D$2:$D$5000,Plan_Inputs!$A$2:$A$5000,$A48,Plan_Inputs!$B$2:$B$5000,$B$2))</f>
        <v/>
      </c>
      <c r="AJ48" s="15">
        <f>F48*$AK$11</f>
        <v/>
      </c>
      <c r="AK48" s="9">
        <f>G48*$AK$11</f>
        <v/>
      </c>
      <c r="AL48" s="30">
        <f>H48*$AK$11</f>
        <v/>
      </c>
      <c r="AM48" s="30">
        <f>I48*$AK$11</f>
        <v/>
      </c>
      <c r="AN48" s="30">
        <f>J48*$AK$11</f>
        <v/>
      </c>
      <c r="AP48" s="15">
        <f>F48*$AQ$11</f>
        <v/>
      </c>
      <c r="AQ48" s="9">
        <f>G48*$AQ$11</f>
        <v/>
      </c>
      <c r="AR48" s="30">
        <f>H48*$AQ$11</f>
        <v/>
      </c>
      <c r="AS48" s="30">
        <f>I48*$AQ$11</f>
        <v/>
      </c>
      <c r="AT48" s="30">
        <f>J48*$AQ$11</f>
        <v/>
      </c>
      <c r="AV48" s="15">
        <f>F48*$AW$11</f>
        <v/>
      </c>
      <c r="AW48" s="9">
        <f>G48*$AW$11</f>
        <v/>
      </c>
      <c r="AX48" s="30">
        <f>H48*$AW$11</f>
        <v/>
      </c>
      <c r="AY48" s="30">
        <f>I48*$AW$11</f>
        <v/>
      </c>
      <c r="AZ48" s="30">
        <f>J48*$AW$11</f>
        <v/>
      </c>
    </row>
    <row r="49">
      <c r="A49" s="8" t="n">
        <v>46692</v>
      </c>
      <c r="B49" s="33">
        <f>YEAR(A49)</f>
        <v/>
      </c>
      <c r="C49" s="33">
        <f>MONTH(A49)</f>
        <v/>
      </c>
      <c r="D49">
        <f>IF(A49&lt;=LastActual,"Actual","Forecast")</f>
        <v/>
      </c>
      <c r="E49" s="30">
        <f>IF($D49="Actual",R49,W49)</f>
        <v/>
      </c>
      <c r="F49" s="15">
        <f>IF($D49="Actual",S49,Cases_Forecast!AM42)</f>
        <v/>
      </c>
      <c r="G49" s="9">
        <f>IF($D49="Actual",T49,IFERROR(F49/K49,0))</f>
        <v/>
      </c>
      <c r="H49" s="30">
        <f>IF($D49="Actual",U49,G49*L49)</f>
        <v/>
      </c>
      <c r="I49" s="30">
        <f>IF($D49="Actual",V49,J49-H49)</f>
        <v/>
      </c>
      <c r="J49" s="30">
        <f>IF($D49="Actual",U49+V49,IFERROR(H49/(1-AD49),0))</f>
        <v/>
      </c>
      <c r="K49" s="10">
        <f>IF($D49="Actual",IFERROR(S49/T49,0),CPLH_Forecast!AM42)</f>
        <v/>
      </c>
      <c r="L49" s="34">
        <f>IF($D49="Actual",IFERROR(U49/T49,0),N(AE49))</f>
        <v/>
      </c>
      <c r="M49" s="35">
        <f>IFERROR(J49/F49,0)</f>
        <v/>
      </c>
      <c r="N49" s="36">
        <f>IFERROR(J49/E49,0)</f>
        <v/>
      </c>
      <c r="O49" s="36">
        <f>IFERROR(I49/J49,0)</f>
        <v/>
      </c>
      <c r="R49" s="52">
        <f>IF($D49="Actual",SUMIFS(Data_Actuals!$C$2:$C$5000,Data_Actuals!$A$2:$A$5000,$A49,Data_Actuals!$B$2:$B$5000,$B$2),"")</f>
        <v/>
      </c>
      <c r="S49" s="52">
        <f>IF($D49="Actual",SUMIFS(Data_Actuals!$D$2:$D$5000,Data_Actuals!$A$2:$A$5000,$A49,Data_Actuals!$B$2:$B$5000,$B$2),"")</f>
        <v/>
      </c>
      <c r="T49" s="52">
        <f>IF($D49="Actual",SUMIFS(Data_Actuals!$E$2:$E$5000,Data_Actuals!$A$2:$A$5000,$A49,Data_Actuals!$B$2:$B$5000,$B$2),"")</f>
        <v/>
      </c>
      <c r="U49" s="52">
        <f>IF($D49="Actual",SUMIFS(Data_Actuals!$F$2:$F$5000,Data_Actuals!$A$2:$A$5000,$A49,Data_Actuals!$B$2:$B$5000,$B$2),"")</f>
        <v/>
      </c>
      <c r="V49" s="52">
        <f>IF($D49="Actual",SUMIFS(Data_Actuals!$G$2:$G$5000,Data_Actuals!$A$2:$A$5000,$A49,Data_Actuals!$B$2:$B$5000,$B$2),"")</f>
        <v/>
      </c>
      <c r="W49" s="52">
        <f>SUMIFS(Plan_Inputs!$C$2:$C$5000,Plan_Inputs!$A$2:$A$5000,$A49,Plan_Inputs!$B$2:$B$5000,$B$2)</f>
        <v/>
      </c>
      <c r="X49" s="53">
        <f>IF($D49="Actual",IFERROR(S49/T49,""),X37)</f>
        <v/>
      </c>
      <c r="Y49" s="52">
        <f>E49</f>
        <v/>
      </c>
      <c r="Z49" s="54">
        <f>INDEX(Calendar!$H$5:$L$52,MATCH($A49,Calendar!$A$5:$A$52,0),MATCH($D$2,Calendar!$H$4:$L$4,0))</f>
        <v/>
      </c>
      <c r="AA49" s="54">
        <f>INDEX(Calendar!$M$5:$M$52,MATCH($A49,Calendar!$A$5:$A$52,0))</f>
        <v/>
      </c>
      <c r="AB49" s="55">
        <f>IF($D49="Actual",IFERROR(S49/Y49,""),AB37)</f>
        <v/>
      </c>
      <c r="AC49" s="56">
        <f>IF($D49="Actual",IFERROR(U49/T49/Z49/AA49,""),AC37)</f>
        <v/>
      </c>
      <c r="AD49" s="57">
        <f>IF($D49="Actual",IFERROR(V49/(U49+V49),""),$K$2)</f>
        <v/>
      </c>
      <c r="AE49" s="56">
        <f>IFERROR(AC49*Z49*AA49,"")</f>
        <v/>
      </c>
      <c r="AF49" s="53">
        <f>K37</f>
        <v/>
      </c>
      <c r="AG49" s="57">
        <f>IF($D49="Forecast",IFERROR(K49/AF49-1,""),"")</f>
        <v/>
      </c>
      <c r="AH49" s="53">
        <f>IF(CPLHSource="National breakdown",CPLH_Breakdown!AN54,SUMIFS(Plan_Inputs!$D$2:$D$5000,Plan_Inputs!$A$2:$A$5000,$A49,Plan_Inputs!$B$2:$B$5000,$B$2))</f>
        <v/>
      </c>
      <c r="AJ49" s="15">
        <f>F49*$AK$11</f>
        <v/>
      </c>
      <c r="AK49" s="9">
        <f>G49*$AK$11</f>
        <v/>
      </c>
      <c r="AL49" s="30">
        <f>H49*$AK$11</f>
        <v/>
      </c>
      <c r="AM49" s="30">
        <f>I49*$AK$11</f>
        <v/>
      </c>
      <c r="AN49" s="30">
        <f>J49*$AK$11</f>
        <v/>
      </c>
      <c r="AP49" s="15">
        <f>F49*$AQ$11</f>
        <v/>
      </c>
      <c r="AQ49" s="9">
        <f>G49*$AQ$11</f>
        <v/>
      </c>
      <c r="AR49" s="30">
        <f>H49*$AQ$11</f>
        <v/>
      </c>
      <c r="AS49" s="30">
        <f>I49*$AQ$11</f>
        <v/>
      </c>
      <c r="AT49" s="30">
        <f>J49*$AQ$11</f>
        <v/>
      </c>
      <c r="AV49" s="15">
        <f>F49*$AW$11</f>
        <v/>
      </c>
      <c r="AW49" s="9">
        <f>G49*$AW$11</f>
        <v/>
      </c>
      <c r="AX49" s="30">
        <f>H49*$AW$11</f>
        <v/>
      </c>
      <c r="AY49" s="30">
        <f>I49*$AW$11</f>
        <v/>
      </c>
      <c r="AZ49" s="30">
        <f>J49*$AW$11</f>
        <v/>
      </c>
    </row>
    <row r="50">
      <c r="A50" s="37" t="n">
        <v>46722</v>
      </c>
      <c r="B50" s="38">
        <f>YEAR(A50)</f>
        <v/>
      </c>
      <c r="C50" s="38">
        <f>MONTH(A50)</f>
        <v/>
      </c>
      <c r="D50" s="39">
        <f>IF(A50&lt;=LastActual,"Actual","Forecast")</f>
        <v/>
      </c>
      <c r="E50" s="40">
        <f>IF($D50="Actual",R50,W50)</f>
        <v/>
      </c>
      <c r="F50" s="41">
        <f>IF($D50="Actual",S50,Cases_Forecast!AM43)</f>
        <v/>
      </c>
      <c r="G50" s="42">
        <f>IF($D50="Actual",T50,IFERROR(F50/K50,0))</f>
        <v/>
      </c>
      <c r="H50" s="40">
        <f>IF($D50="Actual",U50,G50*L50)</f>
        <v/>
      </c>
      <c r="I50" s="40">
        <f>IF($D50="Actual",V50,J50-H50)</f>
        <v/>
      </c>
      <c r="J50" s="40">
        <f>IF($D50="Actual",U50+V50,IFERROR(H50/(1-AD50),0))</f>
        <v/>
      </c>
      <c r="K50" s="43">
        <f>IF($D50="Actual",IFERROR(S50/T50,0),CPLH_Forecast!AM43)</f>
        <v/>
      </c>
      <c r="L50" s="44">
        <f>IF($D50="Actual",IFERROR(U50/T50,0),N(AE50))</f>
        <v/>
      </c>
      <c r="M50" s="45">
        <f>IFERROR(J50/F50,0)</f>
        <v/>
      </c>
      <c r="N50" s="46">
        <f>IFERROR(J50/E50,0)</f>
        <v/>
      </c>
      <c r="O50" s="46">
        <f>IFERROR(I50/J50,0)</f>
        <v/>
      </c>
      <c r="R50" s="52">
        <f>IF($D50="Actual",SUMIFS(Data_Actuals!$C$2:$C$5000,Data_Actuals!$A$2:$A$5000,$A50,Data_Actuals!$B$2:$B$5000,$B$2),"")</f>
        <v/>
      </c>
      <c r="S50" s="52">
        <f>IF($D50="Actual",SUMIFS(Data_Actuals!$D$2:$D$5000,Data_Actuals!$A$2:$A$5000,$A50,Data_Actuals!$B$2:$B$5000,$B$2),"")</f>
        <v/>
      </c>
      <c r="T50" s="52">
        <f>IF($D50="Actual",SUMIFS(Data_Actuals!$E$2:$E$5000,Data_Actuals!$A$2:$A$5000,$A50,Data_Actuals!$B$2:$B$5000,$B$2),"")</f>
        <v/>
      </c>
      <c r="U50" s="52">
        <f>IF($D50="Actual",SUMIFS(Data_Actuals!$F$2:$F$5000,Data_Actuals!$A$2:$A$5000,$A50,Data_Actuals!$B$2:$B$5000,$B$2),"")</f>
        <v/>
      </c>
      <c r="V50" s="52">
        <f>IF($D50="Actual",SUMIFS(Data_Actuals!$G$2:$G$5000,Data_Actuals!$A$2:$A$5000,$A50,Data_Actuals!$B$2:$B$5000,$B$2),"")</f>
        <v/>
      </c>
      <c r="W50" s="52">
        <f>SUMIFS(Plan_Inputs!$C$2:$C$5000,Plan_Inputs!$A$2:$A$5000,$A50,Plan_Inputs!$B$2:$B$5000,$B$2)</f>
        <v/>
      </c>
      <c r="X50" s="53">
        <f>IF($D50="Actual",IFERROR(S50/T50,""),X38)</f>
        <v/>
      </c>
      <c r="Y50" s="52">
        <f>E50</f>
        <v/>
      </c>
      <c r="Z50" s="54">
        <f>INDEX(Calendar!$H$5:$L$52,MATCH($A50,Calendar!$A$5:$A$52,0),MATCH($D$2,Calendar!$H$4:$L$4,0))</f>
        <v/>
      </c>
      <c r="AA50" s="54">
        <f>INDEX(Calendar!$M$5:$M$52,MATCH($A50,Calendar!$A$5:$A$52,0))</f>
        <v/>
      </c>
      <c r="AB50" s="55">
        <f>IF($D50="Actual",IFERROR(S50/Y50,""),AB38)</f>
        <v/>
      </c>
      <c r="AC50" s="56">
        <f>IF($D50="Actual",IFERROR(U50/T50/Z50/AA50,""),AC38)</f>
        <v/>
      </c>
      <c r="AD50" s="57">
        <f>IF($D50="Actual",IFERROR(V50/(U50+V50),""),$K$2)</f>
        <v/>
      </c>
      <c r="AE50" s="56">
        <f>IFERROR(AC50*Z50*AA50,"")</f>
        <v/>
      </c>
      <c r="AF50" s="53">
        <f>K38</f>
        <v/>
      </c>
      <c r="AG50" s="57">
        <f>IF($D50="Forecast",IFERROR(K50/AF50-1,""),"")</f>
        <v/>
      </c>
      <c r="AH50" s="53">
        <f>IF(CPLHSource="National breakdown",CPLH_Breakdown!AN55,SUMIFS(Plan_Inputs!$D$2:$D$5000,Plan_Inputs!$A$2:$A$5000,$A50,Plan_Inputs!$B$2:$B$5000,$B$2))</f>
        <v/>
      </c>
      <c r="AJ50" s="41">
        <f>F50*$AK$11</f>
        <v/>
      </c>
      <c r="AK50" s="42">
        <f>G50*$AK$11</f>
        <v/>
      </c>
      <c r="AL50" s="40">
        <f>H50*$AK$11</f>
        <v/>
      </c>
      <c r="AM50" s="40">
        <f>I50*$AK$11</f>
        <v/>
      </c>
      <c r="AN50" s="40">
        <f>J50*$AK$11</f>
        <v/>
      </c>
      <c r="AP50" s="41">
        <f>F50*$AQ$11</f>
        <v/>
      </c>
      <c r="AQ50" s="42">
        <f>G50*$AQ$11</f>
        <v/>
      </c>
      <c r="AR50" s="40">
        <f>H50*$AQ$11</f>
        <v/>
      </c>
      <c r="AS50" s="40">
        <f>I50*$AQ$11</f>
        <v/>
      </c>
      <c r="AT50" s="40">
        <f>J50*$AQ$11</f>
        <v/>
      </c>
      <c r="AV50" s="41">
        <f>F50*$AW$11</f>
        <v/>
      </c>
      <c r="AW50" s="42">
        <f>G50*$AW$11</f>
        <v/>
      </c>
      <c r="AX50" s="40">
        <f>H50*$AW$11</f>
        <v/>
      </c>
      <c r="AY50" s="40">
        <f>I50*$AW$11</f>
        <v/>
      </c>
      <c r="AZ50" s="40">
        <f>J50*$AW$11</f>
        <v/>
      </c>
    </row>
    <row r="51">
      <c r="A51" s="8" t="n">
        <v>46753</v>
      </c>
      <c r="B51" s="33">
        <f>YEAR(A51)</f>
        <v/>
      </c>
      <c r="C51" s="33">
        <f>MONTH(A51)</f>
        <v/>
      </c>
      <c r="D51">
        <f>IF(A51&lt;=LastActual,"Actual","Forecast")</f>
        <v/>
      </c>
      <c r="E51" s="30">
        <f>IF($D51="Actual",R51,W51)</f>
        <v/>
      </c>
      <c r="F51" s="15">
        <f>IF($D51="Actual",S51,Cases_Forecast!AM44)</f>
        <v/>
      </c>
      <c r="G51" s="9">
        <f>IF($D51="Actual",T51,IFERROR(F51/K51,0))</f>
        <v/>
      </c>
      <c r="H51" s="30">
        <f>IF($D51="Actual",U51,G51*L51)</f>
        <v/>
      </c>
      <c r="I51" s="30">
        <f>IF($D51="Actual",V51,J51-H51)</f>
        <v/>
      </c>
      <c r="J51" s="30">
        <f>IF($D51="Actual",U51+V51,IFERROR(H51/(1-AD51),0))</f>
        <v/>
      </c>
      <c r="K51" s="10">
        <f>IF($D51="Actual",IFERROR(S51/T51,0),CPLH_Forecast!AM44)</f>
        <v/>
      </c>
      <c r="L51" s="34">
        <f>IF($D51="Actual",IFERROR(U51/T51,0),N(AE51))</f>
        <v/>
      </c>
      <c r="M51" s="35">
        <f>IFERROR(J51/F51,0)</f>
        <v/>
      </c>
      <c r="N51" s="36">
        <f>IFERROR(J51/E51,0)</f>
        <v/>
      </c>
      <c r="O51" s="36">
        <f>IFERROR(I51/J51,0)</f>
        <v/>
      </c>
      <c r="R51" s="52">
        <f>IF($D51="Actual",SUMIFS(Data_Actuals!$C$2:$C$5000,Data_Actuals!$A$2:$A$5000,$A51,Data_Actuals!$B$2:$B$5000,$B$2),"")</f>
        <v/>
      </c>
      <c r="S51" s="52">
        <f>IF($D51="Actual",SUMIFS(Data_Actuals!$D$2:$D$5000,Data_Actuals!$A$2:$A$5000,$A51,Data_Actuals!$B$2:$B$5000,$B$2),"")</f>
        <v/>
      </c>
      <c r="T51" s="52">
        <f>IF($D51="Actual",SUMIFS(Data_Actuals!$E$2:$E$5000,Data_Actuals!$A$2:$A$5000,$A51,Data_Actuals!$B$2:$B$5000,$B$2),"")</f>
        <v/>
      </c>
      <c r="U51" s="52">
        <f>IF($D51="Actual",SUMIFS(Data_Actuals!$F$2:$F$5000,Data_Actuals!$A$2:$A$5000,$A51,Data_Actuals!$B$2:$B$5000,$B$2),"")</f>
        <v/>
      </c>
      <c r="V51" s="52">
        <f>IF($D51="Actual",SUMIFS(Data_Actuals!$G$2:$G$5000,Data_Actuals!$A$2:$A$5000,$A51,Data_Actuals!$B$2:$B$5000,$B$2),"")</f>
        <v/>
      </c>
      <c r="W51" s="52">
        <f>SUMIFS(Plan_Inputs!$C$2:$C$5000,Plan_Inputs!$A$2:$A$5000,$A51,Plan_Inputs!$B$2:$B$5000,$B$2)</f>
        <v/>
      </c>
      <c r="X51" s="53">
        <f>IF($D51="Actual",IFERROR(S51/T51,""),X39)</f>
        <v/>
      </c>
      <c r="Y51" s="52">
        <f>E51</f>
        <v/>
      </c>
      <c r="Z51" s="54">
        <f>INDEX(Calendar!$H$5:$L$52,MATCH($A51,Calendar!$A$5:$A$52,0),MATCH($D$2,Calendar!$H$4:$L$4,0))</f>
        <v/>
      </c>
      <c r="AA51" s="54">
        <f>INDEX(Calendar!$M$5:$M$52,MATCH($A51,Calendar!$A$5:$A$52,0))</f>
        <v/>
      </c>
      <c r="AB51" s="55">
        <f>IF($D51="Actual",IFERROR(S51/Y51,""),AB39)</f>
        <v/>
      </c>
      <c r="AC51" s="56">
        <f>IF($D51="Actual",IFERROR(U51/T51/Z51/AA51,""),AC39)</f>
        <v/>
      </c>
      <c r="AD51" s="57">
        <f>IF($D51="Actual",IFERROR(V51/(U51+V51),""),$K$2)</f>
        <v/>
      </c>
      <c r="AE51" s="56">
        <f>IFERROR(AC51*Z51*AA51,"")</f>
        <v/>
      </c>
      <c r="AF51" s="53">
        <f>K39</f>
        <v/>
      </c>
      <c r="AG51" s="57">
        <f>IF($D51="Forecast",IFERROR(K51/AF51-1,""),"")</f>
        <v/>
      </c>
      <c r="AH51" s="53">
        <f>IF(CPLHSource="National breakdown",CPLH_Breakdown!AN56,SUMIFS(Plan_Inputs!$D$2:$D$5000,Plan_Inputs!$A$2:$A$5000,$A51,Plan_Inputs!$B$2:$B$5000,$B$2))</f>
        <v/>
      </c>
      <c r="AJ51" s="15">
        <f>F51*$AK$11</f>
        <v/>
      </c>
      <c r="AK51" s="9">
        <f>G51*$AK$11</f>
        <v/>
      </c>
      <c r="AL51" s="30">
        <f>H51*$AK$11</f>
        <v/>
      </c>
      <c r="AM51" s="30">
        <f>I51*$AK$11</f>
        <v/>
      </c>
      <c r="AN51" s="30">
        <f>J51*$AK$11</f>
        <v/>
      </c>
      <c r="AP51" s="15">
        <f>F51*$AQ$11</f>
        <v/>
      </c>
      <c r="AQ51" s="9">
        <f>G51*$AQ$11</f>
        <v/>
      </c>
      <c r="AR51" s="30">
        <f>H51*$AQ$11</f>
        <v/>
      </c>
      <c r="AS51" s="30">
        <f>I51*$AQ$11</f>
        <v/>
      </c>
      <c r="AT51" s="30">
        <f>J51*$AQ$11</f>
        <v/>
      </c>
      <c r="AV51" s="15">
        <f>F51*$AW$11</f>
        <v/>
      </c>
      <c r="AW51" s="9">
        <f>G51*$AW$11</f>
        <v/>
      </c>
      <c r="AX51" s="30">
        <f>H51*$AW$11</f>
        <v/>
      </c>
      <c r="AY51" s="30">
        <f>I51*$AW$11</f>
        <v/>
      </c>
      <c r="AZ51" s="30">
        <f>J51*$AW$11</f>
        <v/>
      </c>
    </row>
    <row r="52">
      <c r="A52" s="8" t="n">
        <v>46784</v>
      </c>
      <c r="B52" s="33">
        <f>YEAR(A52)</f>
        <v/>
      </c>
      <c r="C52" s="33">
        <f>MONTH(A52)</f>
        <v/>
      </c>
      <c r="D52">
        <f>IF(A52&lt;=LastActual,"Actual","Forecast")</f>
        <v/>
      </c>
      <c r="E52" s="30">
        <f>IF($D52="Actual",R52,W52)</f>
        <v/>
      </c>
      <c r="F52" s="15">
        <f>IF($D52="Actual",S52,Cases_Forecast!AM45)</f>
        <v/>
      </c>
      <c r="G52" s="9">
        <f>IF($D52="Actual",T52,IFERROR(F52/K52,0))</f>
        <v/>
      </c>
      <c r="H52" s="30">
        <f>IF($D52="Actual",U52,G52*L52)</f>
        <v/>
      </c>
      <c r="I52" s="30">
        <f>IF($D52="Actual",V52,J52-H52)</f>
        <v/>
      </c>
      <c r="J52" s="30">
        <f>IF($D52="Actual",U52+V52,IFERROR(H52/(1-AD52),0))</f>
        <v/>
      </c>
      <c r="K52" s="10">
        <f>IF($D52="Actual",IFERROR(S52/T52,0),CPLH_Forecast!AM45)</f>
        <v/>
      </c>
      <c r="L52" s="34">
        <f>IF($D52="Actual",IFERROR(U52/T52,0),N(AE52))</f>
        <v/>
      </c>
      <c r="M52" s="35">
        <f>IFERROR(J52/F52,0)</f>
        <v/>
      </c>
      <c r="N52" s="36">
        <f>IFERROR(J52/E52,0)</f>
        <v/>
      </c>
      <c r="O52" s="36">
        <f>IFERROR(I52/J52,0)</f>
        <v/>
      </c>
      <c r="R52" s="52">
        <f>IF($D52="Actual",SUMIFS(Data_Actuals!$C$2:$C$5000,Data_Actuals!$A$2:$A$5000,$A52,Data_Actuals!$B$2:$B$5000,$B$2),"")</f>
        <v/>
      </c>
      <c r="S52" s="52">
        <f>IF($D52="Actual",SUMIFS(Data_Actuals!$D$2:$D$5000,Data_Actuals!$A$2:$A$5000,$A52,Data_Actuals!$B$2:$B$5000,$B$2),"")</f>
        <v/>
      </c>
      <c r="T52" s="52">
        <f>IF($D52="Actual",SUMIFS(Data_Actuals!$E$2:$E$5000,Data_Actuals!$A$2:$A$5000,$A52,Data_Actuals!$B$2:$B$5000,$B$2),"")</f>
        <v/>
      </c>
      <c r="U52" s="52">
        <f>IF($D52="Actual",SUMIFS(Data_Actuals!$F$2:$F$5000,Data_Actuals!$A$2:$A$5000,$A52,Data_Actuals!$B$2:$B$5000,$B$2),"")</f>
        <v/>
      </c>
      <c r="V52" s="52">
        <f>IF($D52="Actual",SUMIFS(Data_Actuals!$G$2:$G$5000,Data_Actuals!$A$2:$A$5000,$A52,Data_Actuals!$B$2:$B$5000,$B$2),"")</f>
        <v/>
      </c>
      <c r="W52" s="52">
        <f>SUMIFS(Plan_Inputs!$C$2:$C$5000,Plan_Inputs!$A$2:$A$5000,$A52,Plan_Inputs!$B$2:$B$5000,$B$2)</f>
        <v/>
      </c>
      <c r="X52" s="53">
        <f>IF($D52="Actual",IFERROR(S52/T52,""),X40)</f>
        <v/>
      </c>
      <c r="Y52" s="52">
        <f>E52</f>
        <v/>
      </c>
      <c r="Z52" s="54">
        <f>INDEX(Calendar!$H$5:$L$52,MATCH($A52,Calendar!$A$5:$A$52,0),MATCH($D$2,Calendar!$H$4:$L$4,0))</f>
        <v/>
      </c>
      <c r="AA52" s="54">
        <f>INDEX(Calendar!$M$5:$M$52,MATCH($A52,Calendar!$A$5:$A$52,0))</f>
        <v/>
      </c>
      <c r="AB52" s="55">
        <f>IF($D52="Actual",IFERROR(S52/Y52,""),AB40)</f>
        <v/>
      </c>
      <c r="AC52" s="56">
        <f>IF($D52="Actual",IFERROR(U52/T52/Z52/AA52,""),AC40)</f>
        <v/>
      </c>
      <c r="AD52" s="57">
        <f>IF($D52="Actual",IFERROR(V52/(U52+V52),""),$K$2)</f>
        <v/>
      </c>
      <c r="AE52" s="56">
        <f>IFERROR(AC52*Z52*AA52,"")</f>
        <v/>
      </c>
      <c r="AF52" s="53">
        <f>K40</f>
        <v/>
      </c>
      <c r="AG52" s="57">
        <f>IF($D52="Forecast",IFERROR(K52/AF52-1,""),"")</f>
        <v/>
      </c>
      <c r="AH52" s="53">
        <f>IF(CPLHSource="National breakdown",CPLH_Breakdown!AN57,SUMIFS(Plan_Inputs!$D$2:$D$5000,Plan_Inputs!$A$2:$A$5000,$A52,Plan_Inputs!$B$2:$B$5000,$B$2))</f>
        <v/>
      </c>
      <c r="AJ52" s="15">
        <f>F52*$AK$11</f>
        <v/>
      </c>
      <c r="AK52" s="9">
        <f>G52*$AK$11</f>
        <v/>
      </c>
      <c r="AL52" s="30">
        <f>H52*$AK$11</f>
        <v/>
      </c>
      <c r="AM52" s="30">
        <f>I52*$AK$11</f>
        <v/>
      </c>
      <c r="AN52" s="30">
        <f>J52*$AK$11</f>
        <v/>
      </c>
      <c r="AP52" s="15">
        <f>F52*$AQ$11</f>
        <v/>
      </c>
      <c r="AQ52" s="9">
        <f>G52*$AQ$11</f>
        <v/>
      </c>
      <c r="AR52" s="30">
        <f>H52*$AQ$11</f>
        <v/>
      </c>
      <c r="AS52" s="30">
        <f>I52*$AQ$11</f>
        <v/>
      </c>
      <c r="AT52" s="30">
        <f>J52*$AQ$11</f>
        <v/>
      </c>
      <c r="AV52" s="15">
        <f>F52*$AW$11</f>
        <v/>
      </c>
      <c r="AW52" s="9">
        <f>G52*$AW$11</f>
        <v/>
      </c>
      <c r="AX52" s="30">
        <f>H52*$AW$11</f>
        <v/>
      </c>
      <c r="AY52" s="30">
        <f>I52*$AW$11</f>
        <v/>
      </c>
      <c r="AZ52" s="30">
        <f>J52*$AW$11</f>
        <v/>
      </c>
    </row>
    <row r="53">
      <c r="A53" s="8" t="n">
        <v>46813</v>
      </c>
      <c r="B53" s="33">
        <f>YEAR(A53)</f>
        <v/>
      </c>
      <c r="C53" s="33">
        <f>MONTH(A53)</f>
        <v/>
      </c>
      <c r="D53">
        <f>IF(A53&lt;=LastActual,"Actual","Forecast")</f>
        <v/>
      </c>
      <c r="E53" s="30">
        <f>IF($D53="Actual",R53,W53)</f>
        <v/>
      </c>
      <c r="F53" s="15">
        <f>IF($D53="Actual",S53,Cases_Forecast!AM46)</f>
        <v/>
      </c>
      <c r="G53" s="9">
        <f>IF($D53="Actual",T53,IFERROR(F53/K53,0))</f>
        <v/>
      </c>
      <c r="H53" s="30">
        <f>IF($D53="Actual",U53,G53*L53)</f>
        <v/>
      </c>
      <c r="I53" s="30">
        <f>IF($D53="Actual",V53,J53-H53)</f>
        <v/>
      </c>
      <c r="J53" s="30">
        <f>IF($D53="Actual",U53+V53,IFERROR(H53/(1-AD53),0))</f>
        <v/>
      </c>
      <c r="K53" s="10">
        <f>IF($D53="Actual",IFERROR(S53/T53,0),CPLH_Forecast!AM46)</f>
        <v/>
      </c>
      <c r="L53" s="34">
        <f>IF($D53="Actual",IFERROR(U53/T53,0),N(AE53))</f>
        <v/>
      </c>
      <c r="M53" s="35">
        <f>IFERROR(J53/F53,0)</f>
        <v/>
      </c>
      <c r="N53" s="36">
        <f>IFERROR(J53/E53,0)</f>
        <v/>
      </c>
      <c r="O53" s="36">
        <f>IFERROR(I53/J53,0)</f>
        <v/>
      </c>
      <c r="R53" s="52">
        <f>IF($D53="Actual",SUMIFS(Data_Actuals!$C$2:$C$5000,Data_Actuals!$A$2:$A$5000,$A53,Data_Actuals!$B$2:$B$5000,$B$2),"")</f>
        <v/>
      </c>
      <c r="S53" s="52">
        <f>IF($D53="Actual",SUMIFS(Data_Actuals!$D$2:$D$5000,Data_Actuals!$A$2:$A$5000,$A53,Data_Actuals!$B$2:$B$5000,$B$2),"")</f>
        <v/>
      </c>
      <c r="T53" s="52">
        <f>IF($D53="Actual",SUMIFS(Data_Actuals!$E$2:$E$5000,Data_Actuals!$A$2:$A$5000,$A53,Data_Actuals!$B$2:$B$5000,$B$2),"")</f>
        <v/>
      </c>
      <c r="U53" s="52">
        <f>IF($D53="Actual",SUMIFS(Data_Actuals!$F$2:$F$5000,Data_Actuals!$A$2:$A$5000,$A53,Data_Actuals!$B$2:$B$5000,$B$2),"")</f>
        <v/>
      </c>
      <c r="V53" s="52">
        <f>IF($D53="Actual",SUMIFS(Data_Actuals!$G$2:$G$5000,Data_Actuals!$A$2:$A$5000,$A53,Data_Actuals!$B$2:$B$5000,$B$2),"")</f>
        <v/>
      </c>
      <c r="W53" s="52">
        <f>SUMIFS(Plan_Inputs!$C$2:$C$5000,Plan_Inputs!$A$2:$A$5000,$A53,Plan_Inputs!$B$2:$B$5000,$B$2)</f>
        <v/>
      </c>
      <c r="X53" s="53">
        <f>IF($D53="Actual",IFERROR(S53/T53,""),X41)</f>
        <v/>
      </c>
      <c r="Y53" s="52">
        <f>E53</f>
        <v/>
      </c>
      <c r="Z53" s="54">
        <f>INDEX(Calendar!$H$5:$L$52,MATCH($A53,Calendar!$A$5:$A$52,0),MATCH($D$2,Calendar!$H$4:$L$4,0))</f>
        <v/>
      </c>
      <c r="AA53" s="54">
        <f>INDEX(Calendar!$M$5:$M$52,MATCH($A53,Calendar!$A$5:$A$52,0))</f>
        <v/>
      </c>
      <c r="AB53" s="55">
        <f>IF($D53="Actual",IFERROR(S53/Y53,""),AB41)</f>
        <v/>
      </c>
      <c r="AC53" s="56">
        <f>IF($D53="Actual",IFERROR(U53/T53/Z53/AA53,""),AC41)</f>
        <v/>
      </c>
      <c r="AD53" s="57">
        <f>IF($D53="Actual",IFERROR(V53/(U53+V53),""),$K$2)</f>
        <v/>
      </c>
      <c r="AE53" s="56">
        <f>IFERROR(AC53*Z53*AA53,"")</f>
        <v/>
      </c>
      <c r="AF53" s="53">
        <f>K41</f>
        <v/>
      </c>
      <c r="AG53" s="57">
        <f>IF($D53="Forecast",IFERROR(K53/AF53-1,""),"")</f>
        <v/>
      </c>
      <c r="AH53" s="53">
        <f>IF(CPLHSource="National breakdown",CPLH_Breakdown!AN58,SUMIFS(Plan_Inputs!$D$2:$D$5000,Plan_Inputs!$A$2:$A$5000,$A53,Plan_Inputs!$B$2:$B$5000,$B$2))</f>
        <v/>
      </c>
      <c r="AJ53" s="15">
        <f>F53*$AK$11</f>
        <v/>
      </c>
      <c r="AK53" s="9">
        <f>G53*$AK$11</f>
        <v/>
      </c>
      <c r="AL53" s="30">
        <f>H53*$AK$11</f>
        <v/>
      </c>
      <c r="AM53" s="30">
        <f>I53*$AK$11</f>
        <v/>
      </c>
      <c r="AN53" s="30">
        <f>J53*$AK$11</f>
        <v/>
      </c>
      <c r="AP53" s="15">
        <f>F53*$AQ$11</f>
        <v/>
      </c>
      <c r="AQ53" s="9">
        <f>G53*$AQ$11</f>
        <v/>
      </c>
      <c r="AR53" s="30">
        <f>H53*$AQ$11</f>
        <v/>
      </c>
      <c r="AS53" s="30">
        <f>I53*$AQ$11</f>
        <v/>
      </c>
      <c r="AT53" s="30">
        <f>J53*$AQ$11</f>
        <v/>
      </c>
      <c r="AV53" s="15">
        <f>F53*$AW$11</f>
        <v/>
      </c>
      <c r="AW53" s="9">
        <f>G53*$AW$11</f>
        <v/>
      </c>
      <c r="AX53" s="30">
        <f>H53*$AW$11</f>
        <v/>
      </c>
      <c r="AY53" s="30">
        <f>I53*$AW$11</f>
        <v/>
      </c>
      <c r="AZ53" s="30">
        <f>J53*$AW$11</f>
        <v/>
      </c>
    </row>
    <row r="54">
      <c r="A54" s="8" t="n">
        <v>46844</v>
      </c>
      <c r="B54" s="33">
        <f>YEAR(A54)</f>
        <v/>
      </c>
      <c r="C54" s="33">
        <f>MONTH(A54)</f>
        <v/>
      </c>
      <c r="D54">
        <f>IF(A54&lt;=LastActual,"Actual","Forecast")</f>
        <v/>
      </c>
      <c r="E54" s="30">
        <f>IF($D54="Actual",R54,W54)</f>
        <v/>
      </c>
      <c r="F54" s="15">
        <f>IF($D54="Actual",S54,Cases_Forecast!AM47)</f>
        <v/>
      </c>
      <c r="G54" s="9">
        <f>IF($D54="Actual",T54,IFERROR(F54/K54,0))</f>
        <v/>
      </c>
      <c r="H54" s="30">
        <f>IF($D54="Actual",U54,G54*L54)</f>
        <v/>
      </c>
      <c r="I54" s="30">
        <f>IF($D54="Actual",V54,J54-H54)</f>
        <v/>
      </c>
      <c r="J54" s="30">
        <f>IF($D54="Actual",U54+V54,IFERROR(H54/(1-AD54),0))</f>
        <v/>
      </c>
      <c r="K54" s="10">
        <f>IF($D54="Actual",IFERROR(S54/T54,0),CPLH_Forecast!AM47)</f>
        <v/>
      </c>
      <c r="L54" s="34">
        <f>IF($D54="Actual",IFERROR(U54/T54,0),N(AE54))</f>
        <v/>
      </c>
      <c r="M54" s="35">
        <f>IFERROR(J54/F54,0)</f>
        <v/>
      </c>
      <c r="N54" s="36">
        <f>IFERROR(J54/E54,0)</f>
        <v/>
      </c>
      <c r="O54" s="36">
        <f>IFERROR(I54/J54,0)</f>
        <v/>
      </c>
      <c r="R54" s="52">
        <f>IF($D54="Actual",SUMIFS(Data_Actuals!$C$2:$C$5000,Data_Actuals!$A$2:$A$5000,$A54,Data_Actuals!$B$2:$B$5000,$B$2),"")</f>
        <v/>
      </c>
      <c r="S54" s="52">
        <f>IF($D54="Actual",SUMIFS(Data_Actuals!$D$2:$D$5000,Data_Actuals!$A$2:$A$5000,$A54,Data_Actuals!$B$2:$B$5000,$B$2),"")</f>
        <v/>
      </c>
      <c r="T54" s="52">
        <f>IF($D54="Actual",SUMIFS(Data_Actuals!$E$2:$E$5000,Data_Actuals!$A$2:$A$5000,$A54,Data_Actuals!$B$2:$B$5000,$B$2),"")</f>
        <v/>
      </c>
      <c r="U54" s="52">
        <f>IF($D54="Actual",SUMIFS(Data_Actuals!$F$2:$F$5000,Data_Actuals!$A$2:$A$5000,$A54,Data_Actuals!$B$2:$B$5000,$B$2),"")</f>
        <v/>
      </c>
      <c r="V54" s="52">
        <f>IF($D54="Actual",SUMIFS(Data_Actuals!$G$2:$G$5000,Data_Actuals!$A$2:$A$5000,$A54,Data_Actuals!$B$2:$B$5000,$B$2),"")</f>
        <v/>
      </c>
      <c r="W54" s="52">
        <f>SUMIFS(Plan_Inputs!$C$2:$C$5000,Plan_Inputs!$A$2:$A$5000,$A54,Plan_Inputs!$B$2:$B$5000,$B$2)</f>
        <v/>
      </c>
      <c r="X54" s="53">
        <f>IF($D54="Actual",IFERROR(S54/T54,""),X42)</f>
        <v/>
      </c>
      <c r="Y54" s="52">
        <f>E54</f>
        <v/>
      </c>
      <c r="Z54" s="54">
        <f>INDEX(Calendar!$H$5:$L$52,MATCH($A54,Calendar!$A$5:$A$52,0),MATCH($D$2,Calendar!$H$4:$L$4,0))</f>
        <v/>
      </c>
      <c r="AA54" s="54">
        <f>INDEX(Calendar!$M$5:$M$52,MATCH($A54,Calendar!$A$5:$A$52,0))</f>
        <v/>
      </c>
      <c r="AB54" s="55">
        <f>IF($D54="Actual",IFERROR(S54/Y54,""),AB42)</f>
        <v/>
      </c>
      <c r="AC54" s="56">
        <f>IF($D54="Actual",IFERROR(U54/T54/Z54/AA54,""),AC42)</f>
        <v/>
      </c>
      <c r="AD54" s="57">
        <f>IF($D54="Actual",IFERROR(V54/(U54+V54),""),$K$2)</f>
        <v/>
      </c>
      <c r="AE54" s="56">
        <f>IFERROR(AC54*Z54*AA54,"")</f>
        <v/>
      </c>
      <c r="AF54" s="53">
        <f>K42</f>
        <v/>
      </c>
      <c r="AG54" s="57">
        <f>IF($D54="Forecast",IFERROR(K54/AF54-1,""),"")</f>
        <v/>
      </c>
      <c r="AH54" s="53">
        <f>IF(CPLHSource="National breakdown",CPLH_Breakdown!AN59,SUMIFS(Plan_Inputs!$D$2:$D$5000,Plan_Inputs!$A$2:$A$5000,$A54,Plan_Inputs!$B$2:$B$5000,$B$2))</f>
        <v/>
      </c>
      <c r="AJ54" s="15">
        <f>F54*$AK$11</f>
        <v/>
      </c>
      <c r="AK54" s="9">
        <f>G54*$AK$11</f>
        <v/>
      </c>
      <c r="AL54" s="30">
        <f>H54*$AK$11</f>
        <v/>
      </c>
      <c r="AM54" s="30">
        <f>I54*$AK$11</f>
        <v/>
      </c>
      <c r="AN54" s="30">
        <f>J54*$AK$11</f>
        <v/>
      </c>
      <c r="AP54" s="15">
        <f>F54*$AQ$11</f>
        <v/>
      </c>
      <c r="AQ54" s="9">
        <f>G54*$AQ$11</f>
        <v/>
      </c>
      <c r="AR54" s="30">
        <f>H54*$AQ$11</f>
        <v/>
      </c>
      <c r="AS54" s="30">
        <f>I54*$AQ$11</f>
        <v/>
      </c>
      <c r="AT54" s="30">
        <f>J54*$AQ$11</f>
        <v/>
      </c>
      <c r="AV54" s="15">
        <f>F54*$AW$11</f>
        <v/>
      </c>
      <c r="AW54" s="9">
        <f>G54*$AW$11</f>
        <v/>
      </c>
      <c r="AX54" s="30">
        <f>H54*$AW$11</f>
        <v/>
      </c>
      <c r="AY54" s="30">
        <f>I54*$AW$11</f>
        <v/>
      </c>
      <c r="AZ54" s="30">
        <f>J54*$AW$11</f>
        <v/>
      </c>
    </row>
    <row r="55">
      <c r="A55" s="8" t="n">
        <v>46874</v>
      </c>
      <c r="B55" s="33">
        <f>YEAR(A55)</f>
        <v/>
      </c>
      <c r="C55" s="33">
        <f>MONTH(A55)</f>
        <v/>
      </c>
      <c r="D55">
        <f>IF(A55&lt;=LastActual,"Actual","Forecast")</f>
        <v/>
      </c>
      <c r="E55" s="30">
        <f>IF($D55="Actual",R55,W55)</f>
        <v/>
      </c>
      <c r="F55" s="15">
        <f>IF($D55="Actual",S55,Cases_Forecast!AM48)</f>
        <v/>
      </c>
      <c r="G55" s="9">
        <f>IF($D55="Actual",T55,IFERROR(F55/K55,0))</f>
        <v/>
      </c>
      <c r="H55" s="30">
        <f>IF($D55="Actual",U55,G55*L55)</f>
        <v/>
      </c>
      <c r="I55" s="30">
        <f>IF($D55="Actual",V55,J55-H55)</f>
        <v/>
      </c>
      <c r="J55" s="30">
        <f>IF($D55="Actual",U55+V55,IFERROR(H55/(1-AD55),0))</f>
        <v/>
      </c>
      <c r="K55" s="10">
        <f>IF($D55="Actual",IFERROR(S55/T55,0),CPLH_Forecast!AM48)</f>
        <v/>
      </c>
      <c r="L55" s="34">
        <f>IF($D55="Actual",IFERROR(U55/T55,0),N(AE55))</f>
        <v/>
      </c>
      <c r="M55" s="35">
        <f>IFERROR(J55/F55,0)</f>
        <v/>
      </c>
      <c r="N55" s="36">
        <f>IFERROR(J55/E55,0)</f>
        <v/>
      </c>
      <c r="O55" s="36">
        <f>IFERROR(I55/J55,0)</f>
        <v/>
      </c>
      <c r="R55" s="52">
        <f>IF($D55="Actual",SUMIFS(Data_Actuals!$C$2:$C$5000,Data_Actuals!$A$2:$A$5000,$A55,Data_Actuals!$B$2:$B$5000,$B$2),"")</f>
        <v/>
      </c>
      <c r="S55" s="52">
        <f>IF($D55="Actual",SUMIFS(Data_Actuals!$D$2:$D$5000,Data_Actuals!$A$2:$A$5000,$A55,Data_Actuals!$B$2:$B$5000,$B$2),"")</f>
        <v/>
      </c>
      <c r="T55" s="52">
        <f>IF($D55="Actual",SUMIFS(Data_Actuals!$E$2:$E$5000,Data_Actuals!$A$2:$A$5000,$A55,Data_Actuals!$B$2:$B$5000,$B$2),"")</f>
        <v/>
      </c>
      <c r="U55" s="52">
        <f>IF($D55="Actual",SUMIFS(Data_Actuals!$F$2:$F$5000,Data_Actuals!$A$2:$A$5000,$A55,Data_Actuals!$B$2:$B$5000,$B$2),"")</f>
        <v/>
      </c>
      <c r="V55" s="52">
        <f>IF($D55="Actual",SUMIFS(Data_Actuals!$G$2:$G$5000,Data_Actuals!$A$2:$A$5000,$A55,Data_Actuals!$B$2:$B$5000,$B$2),"")</f>
        <v/>
      </c>
      <c r="W55" s="52">
        <f>SUMIFS(Plan_Inputs!$C$2:$C$5000,Plan_Inputs!$A$2:$A$5000,$A55,Plan_Inputs!$B$2:$B$5000,$B$2)</f>
        <v/>
      </c>
      <c r="X55" s="53">
        <f>IF($D55="Actual",IFERROR(S55/T55,""),X43)</f>
        <v/>
      </c>
      <c r="Y55" s="52">
        <f>E55</f>
        <v/>
      </c>
      <c r="Z55" s="54">
        <f>INDEX(Calendar!$H$5:$L$52,MATCH($A55,Calendar!$A$5:$A$52,0),MATCH($D$2,Calendar!$H$4:$L$4,0))</f>
        <v/>
      </c>
      <c r="AA55" s="54">
        <f>INDEX(Calendar!$M$5:$M$52,MATCH($A55,Calendar!$A$5:$A$52,0))</f>
        <v/>
      </c>
      <c r="AB55" s="55">
        <f>IF($D55="Actual",IFERROR(S55/Y55,""),AB43)</f>
        <v/>
      </c>
      <c r="AC55" s="56">
        <f>IF($D55="Actual",IFERROR(U55/T55/Z55/AA55,""),AC43)</f>
        <v/>
      </c>
      <c r="AD55" s="57">
        <f>IF($D55="Actual",IFERROR(V55/(U55+V55),""),$K$2)</f>
        <v/>
      </c>
      <c r="AE55" s="56">
        <f>IFERROR(AC55*Z55*AA55,"")</f>
        <v/>
      </c>
      <c r="AF55" s="53">
        <f>K43</f>
        <v/>
      </c>
      <c r="AG55" s="57">
        <f>IF($D55="Forecast",IFERROR(K55/AF55-1,""),"")</f>
        <v/>
      </c>
      <c r="AH55" s="53">
        <f>IF(CPLHSource="National breakdown",CPLH_Breakdown!AN60,SUMIFS(Plan_Inputs!$D$2:$D$5000,Plan_Inputs!$A$2:$A$5000,$A55,Plan_Inputs!$B$2:$B$5000,$B$2))</f>
        <v/>
      </c>
      <c r="AJ55" s="15">
        <f>F55*$AK$11</f>
        <v/>
      </c>
      <c r="AK55" s="9">
        <f>G55*$AK$11</f>
        <v/>
      </c>
      <c r="AL55" s="30">
        <f>H55*$AK$11</f>
        <v/>
      </c>
      <c r="AM55" s="30">
        <f>I55*$AK$11</f>
        <v/>
      </c>
      <c r="AN55" s="30">
        <f>J55*$AK$11</f>
        <v/>
      </c>
      <c r="AP55" s="15">
        <f>F55*$AQ$11</f>
        <v/>
      </c>
      <c r="AQ55" s="9">
        <f>G55*$AQ$11</f>
        <v/>
      </c>
      <c r="AR55" s="30">
        <f>H55*$AQ$11</f>
        <v/>
      </c>
      <c r="AS55" s="30">
        <f>I55*$AQ$11</f>
        <v/>
      </c>
      <c r="AT55" s="30">
        <f>J55*$AQ$11</f>
        <v/>
      </c>
      <c r="AV55" s="15">
        <f>F55*$AW$11</f>
        <v/>
      </c>
      <c r="AW55" s="9">
        <f>G55*$AW$11</f>
        <v/>
      </c>
      <c r="AX55" s="30">
        <f>H55*$AW$11</f>
        <v/>
      </c>
      <c r="AY55" s="30">
        <f>I55*$AW$11</f>
        <v/>
      </c>
      <c r="AZ55" s="30">
        <f>J55*$AW$11</f>
        <v/>
      </c>
    </row>
    <row r="56">
      <c r="A56" s="8" t="n">
        <v>46905</v>
      </c>
      <c r="B56" s="33">
        <f>YEAR(A56)</f>
        <v/>
      </c>
      <c r="C56" s="33">
        <f>MONTH(A56)</f>
        <v/>
      </c>
      <c r="D56">
        <f>IF(A56&lt;=LastActual,"Actual","Forecast")</f>
        <v/>
      </c>
      <c r="E56" s="30">
        <f>IF($D56="Actual",R56,W56)</f>
        <v/>
      </c>
      <c r="F56" s="15">
        <f>IF($D56="Actual",S56,Cases_Forecast!AM49)</f>
        <v/>
      </c>
      <c r="G56" s="9">
        <f>IF($D56="Actual",T56,IFERROR(F56/K56,0))</f>
        <v/>
      </c>
      <c r="H56" s="30">
        <f>IF($D56="Actual",U56,G56*L56)</f>
        <v/>
      </c>
      <c r="I56" s="30">
        <f>IF($D56="Actual",V56,J56-H56)</f>
        <v/>
      </c>
      <c r="J56" s="30">
        <f>IF($D56="Actual",U56+V56,IFERROR(H56/(1-AD56),0))</f>
        <v/>
      </c>
      <c r="K56" s="10">
        <f>IF($D56="Actual",IFERROR(S56/T56,0),CPLH_Forecast!AM49)</f>
        <v/>
      </c>
      <c r="L56" s="34">
        <f>IF($D56="Actual",IFERROR(U56/T56,0),N(AE56))</f>
        <v/>
      </c>
      <c r="M56" s="35">
        <f>IFERROR(J56/F56,0)</f>
        <v/>
      </c>
      <c r="N56" s="36">
        <f>IFERROR(J56/E56,0)</f>
        <v/>
      </c>
      <c r="O56" s="36">
        <f>IFERROR(I56/J56,0)</f>
        <v/>
      </c>
      <c r="R56" s="52">
        <f>IF($D56="Actual",SUMIFS(Data_Actuals!$C$2:$C$5000,Data_Actuals!$A$2:$A$5000,$A56,Data_Actuals!$B$2:$B$5000,$B$2),"")</f>
        <v/>
      </c>
      <c r="S56" s="52">
        <f>IF($D56="Actual",SUMIFS(Data_Actuals!$D$2:$D$5000,Data_Actuals!$A$2:$A$5000,$A56,Data_Actuals!$B$2:$B$5000,$B$2),"")</f>
        <v/>
      </c>
      <c r="T56" s="52">
        <f>IF($D56="Actual",SUMIFS(Data_Actuals!$E$2:$E$5000,Data_Actuals!$A$2:$A$5000,$A56,Data_Actuals!$B$2:$B$5000,$B$2),"")</f>
        <v/>
      </c>
      <c r="U56" s="52">
        <f>IF($D56="Actual",SUMIFS(Data_Actuals!$F$2:$F$5000,Data_Actuals!$A$2:$A$5000,$A56,Data_Actuals!$B$2:$B$5000,$B$2),"")</f>
        <v/>
      </c>
      <c r="V56" s="52">
        <f>IF($D56="Actual",SUMIFS(Data_Actuals!$G$2:$G$5000,Data_Actuals!$A$2:$A$5000,$A56,Data_Actuals!$B$2:$B$5000,$B$2),"")</f>
        <v/>
      </c>
      <c r="W56" s="52">
        <f>SUMIFS(Plan_Inputs!$C$2:$C$5000,Plan_Inputs!$A$2:$A$5000,$A56,Plan_Inputs!$B$2:$B$5000,$B$2)</f>
        <v/>
      </c>
      <c r="X56" s="53">
        <f>IF($D56="Actual",IFERROR(S56/T56,""),X44)</f>
        <v/>
      </c>
      <c r="Y56" s="52">
        <f>E56</f>
        <v/>
      </c>
      <c r="Z56" s="54">
        <f>INDEX(Calendar!$H$5:$L$52,MATCH($A56,Calendar!$A$5:$A$52,0),MATCH($D$2,Calendar!$H$4:$L$4,0))</f>
        <v/>
      </c>
      <c r="AA56" s="54">
        <f>INDEX(Calendar!$M$5:$M$52,MATCH($A56,Calendar!$A$5:$A$52,0))</f>
        <v/>
      </c>
      <c r="AB56" s="55">
        <f>IF($D56="Actual",IFERROR(S56/Y56,""),AB44)</f>
        <v/>
      </c>
      <c r="AC56" s="56">
        <f>IF($D56="Actual",IFERROR(U56/T56/Z56/AA56,""),AC44)</f>
        <v/>
      </c>
      <c r="AD56" s="57">
        <f>IF($D56="Actual",IFERROR(V56/(U56+V56),""),$K$2)</f>
        <v/>
      </c>
      <c r="AE56" s="56">
        <f>IFERROR(AC56*Z56*AA56,"")</f>
        <v/>
      </c>
      <c r="AF56" s="53">
        <f>K44</f>
        <v/>
      </c>
      <c r="AG56" s="57">
        <f>IF($D56="Forecast",IFERROR(K56/AF56-1,""),"")</f>
        <v/>
      </c>
      <c r="AH56" s="53">
        <f>IF(CPLHSource="National breakdown",CPLH_Breakdown!AN61,SUMIFS(Plan_Inputs!$D$2:$D$5000,Plan_Inputs!$A$2:$A$5000,$A56,Plan_Inputs!$B$2:$B$5000,$B$2))</f>
        <v/>
      </c>
      <c r="AJ56" s="15">
        <f>F56*$AK$11</f>
        <v/>
      </c>
      <c r="AK56" s="9">
        <f>G56*$AK$11</f>
        <v/>
      </c>
      <c r="AL56" s="30">
        <f>H56*$AK$11</f>
        <v/>
      </c>
      <c r="AM56" s="30">
        <f>I56*$AK$11</f>
        <v/>
      </c>
      <c r="AN56" s="30">
        <f>J56*$AK$11</f>
        <v/>
      </c>
      <c r="AP56" s="15">
        <f>F56*$AQ$11</f>
        <v/>
      </c>
      <c r="AQ56" s="9">
        <f>G56*$AQ$11</f>
        <v/>
      </c>
      <c r="AR56" s="30">
        <f>H56*$AQ$11</f>
        <v/>
      </c>
      <c r="AS56" s="30">
        <f>I56*$AQ$11</f>
        <v/>
      </c>
      <c r="AT56" s="30">
        <f>J56*$AQ$11</f>
        <v/>
      </c>
      <c r="AV56" s="15">
        <f>F56*$AW$11</f>
        <v/>
      </c>
      <c r="AW56" s="9">
        <f>G56*$AW$11</f>
        <v/>
      </c>
      <c r="AX56" s="30">
        <f>H56*$AW$11</f>
        <v/>
      </c>
      <c r="AY56" s="30">
        <f>I56*$AW$11</f>
        <v/>
      </c>
      <c r="AZ56" s="30">
        <f>J56*$AW$11</f>
        <v/>
      </c>
    </row>
    <row r="57">
      <c r="A57" s="8" t="n">
        <v>46935</v>
      </c>
      <c r="B57" s="33">
        <f>YEAR(A57)</f>
        <v/>
      </c>
      <c r="C57" s="33">
        <f>MONTH(A57)</f>
        <v/>
      </c>
      <c r="D57">
        <f>IF(A57&lt;=LastActual,"Actual","Forecast")</f>
        <v/>
      </c>
      <c r="E57" s="30">
        <f>IF($D57="Actual",R57,W57)</f>
        <v/>
      </c>
      <c r="F57" s="15">
        <f>IF($D57="Actual",S57,Cases_Forecast!AM50)</f>
        <v/>
      </c>
      <c r="G57" s="9">
        <f>IF($D57="Actual",T57,IFERROR(F57/K57,0))</f>
        <v/>
      </c>
      <c r="H57" s="30">
        <f>IF($D57="Actual",U57,G57*L57)</f>
        <v/>
      </c>
      <c r="I57" s="30">
        <f>IF($D57="Actual",V57,J57-H57)</f>
        <v/>
      </c>
      <c r="J57" s="30">
        <f>IF($D57="Actual",U57+V57,IFERROR(H57/(1-AD57),0))</f>
        <v/>
      </c>
      <c r="K57" s="10">
        <f>IF($D57="Actual",IFERROR(S57/T57,0),CPLH_Forecast!AM50)</f>
        <v/>
      </c>
      <c r="L57" s="34">
        <f>IF($D57="Actual",IFERROR(U57/T57,0),N(AE57))</f>
        <v/>
      </c>
      <c r="M57" s="35">
        <f>IFERROR(J57/F57,0)</f>
        <v/>
      </c>
      <c r="N57" s="36">
        <f>IFERROR(J57/E57,0)</f>
        <v/>
      </c>
      <c r="O57" s="36">
        <f>IFERROR(I57/J57,0)</f>
        <v/>
      </c>
      <c r="R57" s="52">
        <f>IF($D57="Actual",SUMIFS(Data_Actuals!$C$2:$C$5000,Data_Actuals!$A$2:$A$5000,$A57,Data_Actuals!$B$2:$B$5000,$B$2),"")</f>
        <v/>
      </c>
      <c r="S57" s="52">
        <f>IF($D57="Actual",SUMIFS(Data_Actuals!$D$2:$D$5000,Data_Actuals!$A$2:$A$5000,$A57,Data_Actuals!$B$2:$B$5000,$B$2),"")</f>
        <v/>
      </c>
      <c r="T57" s="52">
        <f>IF($D57="Actual",SUMIFS(Data_Actuals!$E$2:$E$5000,Data_Actuals!$A$2:$A$5000,$A57,Data_Actuals!$B$2:$B$5000,$B$2),"")</f>
        <v/>
      </c>
      <c r="U57" s="52">
        <f>IF($D57="Actual",SUMIFS(Data_Actuals!$F$2:$F$5000,Data_Actuals!$A$2:$A$5000,$A57,Data_Actuals!$B$2:$B$5000,$B$2),"")</f>
        <v/>
      </c>
      <c r="V57" s="52">
        <f>IF($D57="Actual",SUMIFS(Data_Actuals!$G$2:$G$5000,Data_Actuals!$A$2:$A$5000,$A57,Data_Actuals!$B$2:$B$5000,$B$2),"")</f>
        <v/>
      </c>
      <c r="W57" s="52">
        <f>SUMIFS(Plan_Inputs!$C$2:$C$5000,Plan_Inputs!$A$2:$A$5000,$A57,Plan_Inputs!$B$2:$B$5000,$B$2)</f>
        <v/>
      </c>
      <c r="X57" s="53">
        <f>IF($D57="Actual",IFERROR(S57/T57,""),X45)</f>
        <v/>
      </c>
      <c r="Y57" s="52">
        <f>E57</f>
        <v/>
      </c>
      <c r="Z57" s="54">
        <f>INDEX(Calendar!$H$5:$L$52,MATCH($A57,Calendar!$A$5:$A$52,0),MATCH($D$2,Calendar!$H$4:$L$4,0))</f>
        <v/>
      </c>
      <c r="AA57" s="54">
        <f>INDEX(Calendar!$M$5:$M$52,MATCH($A57,Calendar!$A$5:$A$52,0))</f>
        <v/>
      </c>
      <c r="AB57" s="55">
        <f>IF($D57="Actual",IFERROR(S57/Y57,""),AB45)</f>
        <v/>
      </c>
      <c r="AC57" s="56">
        <f>IF($D57="Actual",IFERROR(U57/T57/Z57/AA57,""),AC45)</f>
        <v/>
      </c>
      <c r="AD57" s="57">
        <f>IF($D57="Actual",IFERROR(V57/(U57+V57),""),$K$2)</f>
        <v/>
      </c>
      <c r="AE57" s="56">
        <f>IFERROR(AC57*Z57*AA57,"")</f>
        <v/>
      </c>
      <c r="AF57" s="53">
        <f>K45</f>
        <v/>
      </c>
      <c r="AG57" s="57">
        <f>IF($D57="Forecast",IFERROR(K57/AF57-1,""),"")</f>
        <v/>
      </c>
      <c r="AH57" s="53">
        <f>IF(CPLHSource="National breakdown",CPLH_Breakdown!AN62,SUMIFS(Plan_Inputs!$D$2:$D$5000,Plan_Inputs!$A$2:$A$5000,$A57,Plan_Inputs!$B$2:$B$5000,$B$2))</f>
        <v/>
      </c>
      <c r="AJ57" s="15">
        <f>F57*$AK$11</f>
        <v/>
      </c>
      <c r="AK57" s="9">
        <f>G57*$AK$11</f>
        <v/>
      </c>
      <c r="AL57" s="30">
        <f>H57*$AK$11</f>
        <v/>
      </c>
      <c r="AM57" s="30">
        <f>I57*$AK$11</f>
        <v/>
      </c>
      <c r="AN57" s="30">
        <f>J57*$AK$11</f>
        <v/>
      </c>
      <c r="AP57" s="15">
        <f>F57*$AQ$11</f>
        <v/>
      </c>
      <c r="AQ57" s="9">
        <f>G57*$AQ$11</f>
        <v/>
      </c>
      <c r="AR57" s="30">
        <f>H57*$AQ$11</f>
        <v/>
      </c>
      <c r="AS57" s="30">
        <f>I57*$AQ$11</f>
        <v/>
      </c>
      <c r="AT57" s="30">
        <f>J57*$AQ$11</f>
        <v/>
      </c>
      <c r="AV57" s="15">
        <f>F57*$AW$11</f>
        <v/>
      </c>
      <c r="AW57" s="9">
        <f>G57*$AW$11</f>
        <v/>
      </c>
      <c r="AX57" s="30">
        <f>H57*$AW$11</f>
        <v/>
      </c>
      <c r="AY57" s="30">
        <f>I57*$AW$11</f>
        <v/>
      </c>
      <c r="AZ57" s="30">
        <f>J57*$AW$11</f>
        <v/>
      </c>
    </row>
    <row r="58">
      <c r="A58" s="8" t="n">
        <v>46966</v>
      </c>
      <c r="B58" s="33">
        <f>YEAR(A58)</f>
        <v/>
      </c>
      <c r="C58" s="33">
        <f>MONTH(A58)</f>
        <v/>
      </c>
      <c r="D58">
        <f>IF(A58&lt;=LastActual,"Actual","Forecast")</f>
        <v/>
      </c>
      <c r="E58" s="30">
        <f>IF($D58="Actual",R58,W58)</f>
        <v/>
      </c>
      <c r="F58" s="15">
        <f>IF($D58="Actual",S58,Cases_Forecast!AM51)</f>
        <v/>
      </c>
      <c r="G58" s="9">
        <f>IF($D58="Actual",T58,IFERROR(F58/K58,0))</f>
        <v/>
      </c>
      <c r="H58" s="30">
        <f>IF($D58="Actual",U58,G58*L58)</f>
        <v/>
      </c>
      <c r="I58" s="30">
        <f>IF($D58="Actual",V58,J58-H58)</f>
        <v/>
      </c>
      <c r="J58" s="30">
        <f>IF($D58="Actual",U58+V58,IFERROR(H58/(1-AD58),0))</f>
        <v/>
      </c>
      <c r="K58" s="10">
        <f>IF($D58="Actual",IFERROR(S58/T58,0),CPLH_Forecast!AM51)</f>
        <v/>
      </c>
      <c r="L58" s="34">
        <f>IF($D58="Actual",IFERROR(U58/T58,0),N(AE58))</f>
        <v/>
      </c>
      <c r="M58" s="35">
        <f>IFERROR(J58/F58,0)</f>
        <v/>
      </c>
      <c r="N58" s="36">
        <f>IFERROR(J58/E58,0)</f>
        <v/>
      </c>
      <c r="O58" s="36">
        <f>IFERROR(I58/J58,0)</f>
        <v/>
      </c>
      <c r="R58" s="52">
        <f>IF($D58="Actual",SUMIFS(Data_Actuals!$C$2:$C$5000,Data_Actuals!$A$2:$A$5000,$A58,Data_Actuals!$B$2:$B$5000,$B$2),"")</f>
        <v/>
      </c>
      <c r="S58" s="52">
        <f>IF($D58="Actual",SUMIFS(Data_Actuals!$D$2:$D$5000,Data_Actuals!$A$2:$A$5000,$A58,Data_Actuals!$B$2:$B$5000,$B$2),"")</f>
        <v/>
      </c>
      <c r="T58" s="52">
        <f>IF($D58="Actual",SUMIFS(Data_Actuals!$E$2:$E$5000,Data_Actuals!$A$2:$A$5000,$A58,Data_Actuals!$B$2:$B$5000,$B$2),"")</f>
        <v/>
      </c>
      <c r="U58" s="52">
        <f>IF($D58="Actual",SUMIFS(Data_Actuals!$F$2:$F$5000,Data_Actuals!$A$2:$A$5000,$A58,Data_Actuals!$B$2:$B$5000,$B$2),"")</f>
        <v/>
      </c>
      <c r="V58" s="52">
        <f>IF($D58="Actual",SUMIFS(Data_Actuals!$G$2:$G$5000,Data_Actuals!$A$2:$A$5000,$A58,Data_Actuals!$B$2:$B$5000,$B$2),"")</f>
        <v/>
      </c>
      <c r="W58" s="52">
        <f>SUMIFS(Plan_Inputs!$C$2:$C$5000,Plan_Inputs!$A$2:$A$5000,$A58,Plan_Inputs!$B$2:$B$5000,$B$2)</f>
        <v/>
      </c>
      <c r="X58" s="53">
        <f>IF($D58="Actual",IFERROR(S58/T58,""),X46)</f>
        <v/>
      </c>
      <c r="Y58" s="52">
        <f>E58</f>
        <v/>
      </c>
      <c r="Z58" s="54">
        <f>INDEX(Calendar!$H$5:$L$52,MATCH($A58,Calendar!$A$5:$A$52,0),MATCH($D$2,Calendar!$H$4:$L$4,0))</f>
        <v/>
      </c>
      <c r="AA58" s="54">
        <f>INDEX(Calendar!$M$5:$M$52,MATCH($A58,Calendar!$A$5:$A$52,0))</f>
        <v/>
      </c>
      <c r="AB58" s="55">
        <f>IF($D58="Actual",IFERROR(S58/Y58,""),AB46)</f>
        <v/>
      </c>
      <c r="AC58" s="56">
        <f>IF($D58="Actual",IFERROR(U58/T58/Z58/AA58,""),AC46)</f>
        <v/>
      </c>
      <c r="AD58" s="57">
        <f>IF($D58="Actual",IFERROR(V58/(U58+V58),""),$K$2)</f>
        <v/>
      </c>
      <c r="AE58" s="56">
        <f>IFERROR(AC58*Z58*AA58,"")</f>
        <v/>
      </c>
      <c r="AF58" s="53">
        <f>K46</f>
        <v/>
      </c>
      <c r="AG58" s="57">
        <f>IF($D58="Forecast",IFERROR(K58/AF58-1,""),"")</f>
        <v/>
      </c>
      <c r="AH58" s="53">
        <f>IF(CPLHSource="National breakdown",CPLH_Breakdown!AN63,SUMIFS(Plan_Inputs!$D$2:$D$5000,Plan_Inputs!$A$2:$A$5000,$A58,Plan_Inputs!$B$2:$B$5000,$B$2))</f>
        <v/>
      </c>
      <c r="AJ58" s="15">
        <f>F58*$AK$11</f>
        <v/>
      </c>
      <c r="AK58" s="9">
        <f>G58*$AK$11</f>
        <v/>
      </c>
      <c r="AL58" s="30">
        <f>H58*$AK$11</f>
        <v/>
      </c>
      <c r="AM58" s="30">
        <f>I58*$AK$11</f>
        <v/>
      </c>
      <c r="AN58" s="30">
        <f>J58*$AK$11</f>
        <v/>
      </c>
      <c r="AP58" s="15">
        <f>F58*$AQ$11</f>
        <v/>
      </c>
      <c r="AQ58" s="9">
        <f>G58*$AQ$11</f>
        <v/>
      </c>
      <c r="AR58" s="30">
        <f>H58*$AQ$11</f>
        <v/>
      </c>
      <c r="AS58" s="30">
        <f>I58*$AQ$11</f>
        <v/>
      </c>
      <c r="AT58" s="30">
        <f>J58*$AQ$11</f>
        <v/>
      </c>
      <c r="AV58" s="15">
        <f>F58*$AW$11</f>
        <v/>
      </c>
      <c r="AW58" s="9">
        <f>G58*$AW$11</f>
        <v/>
      </c>
      <c r="AX58" s="30">
        <f>H58*$AW$11</f>
        <v/>
      </c>
      <c r="AY58" s="30">
        <f>I58*$AW$11</f>
        <v/>
      </c>
      <c r="AZ58" s="30">
        <f>J58*$AW$11</f>
        <v/>
      </c>
    </row>
    <row r="59">
      <c r="A59" s="8" t="n">
        <v>46997</v>
      </c>
      <c r="B59" s="33">
        <f>YEAR(A59)</f>
        <v/>
      </c>
      <c r="C59" s="33">
        <f>MONTH(A59)</f>
        <v/>
      </c>
      <c r="D59">
        <f>IF(A59&lt;=LastActual,"Actual","Forecast")</f>
        <v/>
      </c>
      <c r="E59" s="30">
        <f>IF($D59="Actual",R59,W59)</f>
        <v/>
      </c>
      <c r="F59" s="15">
        <f>IF($D59="Actual",S59,Cases_Forecast!AM52)</f>
        <v/>
      </c>
      <c r="G59" s="9">
        <f>IF($D59="Actual",T59,IFERROR(F59/K59,0))</f>
        <v/>
      </c>
      <c r="H59" s="30">
        <f>IF($D59="Actual",U59,G59*L59)</f>
        <v/>
      </c>
      <c r="I59" s="30">
        <f>IF($D59="Actual",V59,J59-H59)</f>
        <v/>
      </c>
      <c r="J59" s="30">
        <f>IF($D59="Actual",U59+V59,IFERROR(H59/(1-AD59),0))</f>
        <v/>
      </c>
      <c r="K59" s="10">
        <f>IF($D59="Actual",IFERROR(S59/T59,0),CPLH_Forecast!AM52)</f>
        <v/>
      </c>
      <c r="L59" s="34">
        <f>IF($D59="Actual",IFERROR(U59/T59,0),N(AE59))</f>
        <v/>
      </c>
      <c r="M59" s="35">
        <f>IFERROR(J59/F59,0)</f>
        <v/>
      </c>
      <c r="N59" s="36">
        <f>IFERROR(J59/E59,0)</f>
        <v/>
      </c>
      <c r="O59" s="36">
        <f>IFERROR(I59/J59,0)</f>
        <v/>
      </c>
      <c r="R59" s="52">
        <f>IF($D59="Actual",SUMIFS(Data_Actuals!$C$2:$C$5000,Data_Actuals!$A$2:$A$5000,$A59,Data_Actuals!$B$2:$B$5000,$B$2),"")</f>
        <v/>
      </c>
      <c r="S59" s="52">
        <f>IF($D59="Actual",SUMIFS(Data_Actuals!$D$2:$D$5000,Data_Actuals!$A$2:$A$5000,$A59,Data_Actuals!$B$2:$B$5000,$B$2),"")</f>
        <v/>
      </c>
      <c r="T59" s="52">
        <f>IF($D59="Actual",SUMIFS(Data_Actuals!$E$2:$E$5000,Data_Actuals!$A$2:$A$5000,$A59,Data_Actuals!$B$2:$B$5000,$B$2),"")</f>
        <v/>
      </c>
      <c r="U59" s="52">
        <f>IF($D59="Actual",SUMIFS(Data_Actuals!$F$2:$F$5000,Data_Actuals!$A$2:$A$5000,$A59,Data_Actuals!$B$2:$B$5000,$B$2),"")</f>
        <v/>
      </c>
      <c r="V59" s="52">
        <f>IF($D59="Actual",SUMIFS(Data_Actuals!$G$2:$G$5000,Data_Actuals!$A$2:$A$5000,$A59,Data_Actuals!$B$2:$B$5000,$B$2),"")</f>
        <v/>
      </c>
      <c r="W59" s="52">
        <f>SUMIFS(Plan_Inputs!$C$2:$C$5000,Plan_Inputs!$A$2:$A$5000,$A59,Plan_Inputs!$B$2:$B$5000,$B$2)</f>
        <v/>
      </c>
      <c r="X59" s="53">
        <f>IF($D59="Actual",IFERROR(S59/T59,""),X47)</f>
        <v/>
      </c>
      <c r="Y59" s="52">
        <f>E59</f>
        <v/>
      </c>
      <c r="Z59" s="54">
        <f>INDEX(Calendar!$H$5:$L$52,MATCH($A59,Calendar!$A$5:$A$52,0),MATCH($D$2,Calendar!$H$4:$L$4,0))</f>
        <v/>
      </c>
      <c r="AA59" s="54">
        <f>INDEX(Calendar!$M$5:$M$52,MATCH($A59,Calendar!$A$5:$A$52,0))</f>
        <v/>
      </c>
      <c r="AB59" s="55">
        <f>IF($D59="Actual",IFERROR(S59/Y59,""),AB47)</f>
        <v/>
      </c>
      <c r="AC59" s="56">
        <f>IF($D59="Actual",IFERROR(U59/T59/Z59/AA59,""),AC47)</f>
        <v/>
      </c>
      <c r="AD59" s="57">
        <f>IF($D59="Actual",IFERROR(V59/(U59+V59),""),$K$2)</f>
        <v/>
      </c>
      <c r="AE59" s="56">
        <f>IFERROR(AC59*Z59*AA59,"")</f>
        <v/>
      </c>
      <c r="AF59" s="53">
        <f>K47</f>
        <v/>
      </c>
      <c r="AG59" s="57">
        <f>IF($D59="Forecast",IFERROR(K59/AF59-1,""),"")</f>
        <v/>
      </c>
      <c r="AH59" s="53">
        <f>IF(CPLHSource="National breakdown",CPLH_Breakdown!AN64,SUMIFS(Plan_Inputs!$D$2:$D$5000,Plan_Inputs!$A$2:$A$5000,$A59,Plan_Inputs!$B$2:$B$5000,$B$2))</f>
        <v/>
      </c>
      <c r="AJ59" s="15">
        <f>F59*$AK$11</f>
        <v/>
      </c>
      <c r="AK59" s="9">
        <f>G59*$AK$11</f>
        <v/>
      </c>
      <c r="AL59" s="30">
        <f>H59*$AK$11</f>
        <v/>
      </c>
      <c r="AM59" s="30">
        <f>I59*$AK$11</f>
        <v/>
      </c>
      <c r="AN59" s="30">
        <f>J59*$AK$11</f>
        <v/>
      </c>
      <c r="AP59" s="15">
        <f>F59*$AQ$11</f>
        <v/>
      </c>
      <c r="AQ59" s="9">
        <f>G59*$AQ$11</f>
        <v/>
      </c>
      <c r="AR59" s="30">
        <f>H59*$AQ$11</f>
        <v/>
      </c>
      <c r="AS59" s="30">
        <f>I59*$AQ$11</f>
        <v/>
      </c>
      <c r="AT59" s="30">
        <f>J59*$AQ$11</f>
        <v/>
      </c>
      <c r="AV59" s="15">
        <f>F59*$AW$11</f>
        <v/>
      </c>
      <c r="AW59" s="9">
        <f>G59*$AW$11</f>
        <v/>
      </c>
      <c r="AX59" s="30">
        <f>H59*$AW$11</f>
        <v/>
      </c>
      <c r="AY59" s="30">
        <f>I59*$AW$11</f>
        <v/>
      </c>
      <c r="AZ59" s="30">
        <f>J59*$AW$11</f>
        <v/>
      </c>
    </row>
    <row r="60">
      <c r="A60" s="8" t="n">
        <v>47027</v>
      </c>
      <c r="B60" s="33">
        <f>YEAR(A60)</f>
        <v/>
      </c>
      <c r="C60" s="33">
        <f>MONTH(A60)</f>
        <v/>
      </c>
      <c r="D60">
        <f>IF(A60&lt;=LastActual,"Actual","Forecast")</f>
        <v/>
      </c>
      <c r="E60" s="30">
        <f>IF($D60="Actual",R60,W60)</f>
        <v/>
      </c>
      <c r="F60" s="15">
        <f>IF($D60="Actual",S60,Cases_Forecast!AM53)</f>
        <v/>
      </c>
      <c r="G60" s="9">
        <f>IF($D60="Actual",T60,IFERROR(F60/K60,0))</f>
        <v/>
      </c>
      <c r="H60" s="30">
        <f>IF($D60="Actual",U60,G60*L60)</f>
        <v/>
      </c>
      <c r="I60" s="30">
        <f>IF($D60="Actual",V60,J60-H60)</f>
        <v/>
      </c>
      <c r="J60" s="30">
        <f>IF($D60="Actual",U60+V60,IFERROR(H60/(1-AD60),0))</f>
        <v/>
      </c>
      <c r="K60" s="10">
        <f>IF($D60="Actual",IFERROR(S60/T60,0),CPLH_Forecast!AM53)</f>
        <v/>
      </c>
      <c r="L60" s="34">
        <f>IF($D60="Actual",IFERROR(U60/T60,0),N(AE60))</f>
        <v/>
      </c>
      <c r="M60" s="35">
        <f>IFERROR(J60/F60,0)</f>
        <v/>
      </c>
      <c r="N60" s="36">
        <f>IFERROR(J60/E60,0)</f>
        <v/>
      </c>
      <c r="O60" s="36">
        <f>IFERROR(I60/J60,0)</f>
        <v/>
      </c>
      <c r="R60" s="52">
        <f>IF($D60="Actual",SUMIFS(Data_Actuals!$C$2:$C$5000,Data_Actuals!$A$2:$A$5000,$A60,Data_Actuals!$B$2:$B$5000,$B$2),"")</f>
        <v/>
      </c>
      <c r="S60" s="52">
        <f>IF($D60="Actual",SUMIFS(Data_Actuals!$D$2:$D$5000,Data_Actuals!$A$2:$A$5000,$A60,Data_Actuals!$B$2:$B$5000,$B$2),"")</f>
        <v/>
      </c>
      <c r="T60" s="52">
        <f>IF($D60="Actual",SUMIFS(Data_Actuals!$E$2:$E$5000,Data_Actuals!$A$2:$A$5000,$A60,Data_Actuals!$B$2:$B$5000,$B$2),"")</f>
        <v/>
      </c>
      <c r="U60" s="52">
        <f>IF($D60="Actual",SUMIFS(Data_Actuals!$F$2:$F$5000,Data_Actuals!$A$2:$A$5000,$A60,Data_Actuals!$B$2:$B$5000,$B$2),"")</f>
        <v/>
      </c>
      <c r="V60" s="52">
        <f>IF($D60="Actual",SUMIFS(Data_Actuals!$G$2:$G$5000,Data_Actuals!$A$2:$A$5000,$A60,Data_Actuals!$B$2:$B$5000,$B$2),"")</f>
        <v/>
      </c>
      <c r="W60" s="52">
        <f>SUMIFS(Plan_Inputs!$C$2:$C$5000,Plan_Inputs!$A$2:$A$5000,$A60,Plan_Inputs!$B$2:$B$5000,$B$2)</f>
        <v/>
      </c>
      <c r="X60" s="53">
        <f>IF($D60="Actual",IFERROR(S60/T60,""),X48)</f>
        <v/>
      </c>
      <c r="Y60" s="52">
        <f>E60</f>
        <v/>
      </c>
      <c r="Z60" s="54">
        <f>INDEX(Calendar!$H$5:$L$52,MATCH($A60,Calendar!$A$5:$A$52,0),MATCH($D$2,Calendar!$H$4:$L$4,0))</f>
        <v/>
      </c>
      <c r="AA60" s="54">
        <f>INDEX(Calendar!$M$5:$M$52,MATCH($A60,Calendar!$A$5:$A$52,0))</f>
        <v/>
      </c>
      <c r="AB60" s="55">
        <f>IF($D60="Actual",IFERROR(S60/Y60,""),AB48)</f>
        <v/>
      </c>
      <c r="AC60" s="56">
        <f>IF($D60="Actual",IFERROR(U60/T60/Z60/AA60,""),AC48)</f>
        <v/>
      </c>
      <c r="AD60" s="57">
        <f>IF($D60="Actual",IFERROR(V60/(U60+V60),""),$K$2)</f>
        <v/>
      </c>
      <c r="AE60" s="56">
        <f>IFERROR(AC60*Z60*AA60,"")</f>
        <v/>
      </c>
      <c r="AF60" s="53">
        <f>K48</f>
        <v/>
      </c>
      <c r="AG60" s="57">
        <f>IF($D60="Forecast",IFERROR(K60/AF60-1,""),"")</f>
        <v/>
      </c>
      <c r="AH60" s="53">
        <f>IF(CPLHSource="National breakdown",CPLH_Breakdown!AN65,SUMIFS(Plan_Inputs!$D$2:$D$5000,Plan_Inputs!$A$2:$A$5000,$A60,Plan_Inputs!$B$2:$B$5000,$B$2))</f>
        <v/>
      </c>
      <c r="AJ60" s="15">
        <f>F60*$AK$11</f>
        <v/>
      </c>
      <c r="AK60" s="9">
        <f>G60*$AK$11</f>
        <v/>
      </c>
      <c r="AL60" s="30">
        <f>H60*$AK$11</f>
        <v/>
      </c>
      <c r="AM60" s="30">
        <f>I60*$AK$11</f>
        <v/>
      </c>
      <c r="AN60" s="30">
        <f>J60*$AK$11</f>
        <v/>
      </c>
      <c r="AP60" s="15">
        <f>F60*$AQ$11</f>
        <v/>
      </c>
      <c r="AQ60" s="9">
        <f>G60*$AQ$11</f>
        <v/>
      </c>
      <c r="AR60" s="30">
        <f>H60*$AQ$11</f>
        <v/>
      </c>
      <c r="AS60" s="30">
        <f>I60*$AQ$11</f>
        <v/>
      </c>
      <c r="AT60" s="30">
        <f>J60*$AQ$11</f>
        <v/>
      </c>
      <c r="AV60" s="15">
        <f>F60*$AW$11</f>
        <v/>
      </c>
      <c r="AW60" s="9">
        <f>G60*$AW$11</f>
        <v/>
      </c>
      <c r="AX60" s="30">
        <f>H60*$AW$11</f>
        <v/>
      </c>
      <c r="AY60" s="30">
        <f>I60*$AW$11</f>
        <v/>
      </c>
      <c r="AZ60" s="30">
        <f>J60*$AW$11</f>
        <v/>
      </c>
    </row>
    <row r="61">
      <c r="A61" s="8" t="n">
        <v>47058</v>
      </c>
      <c r="B61" s="33">
        <f>YEAR(A61)</f>
        <v/>
      </c>
      <c r="C61" s="33">
        <f>MONTH(A61)</f>
        <v/>
      </c>
      <c r="D61">
        <f>IF(A61&lt;=LastActual,"Actual","Forecast")</f>
        <v/>
      </c>
      <c r="E61" s="30">
        <f>IF($D61="Actual",R61,W61)</f>
        <v/>
      </c>
      <c r="F61" s="15">
        <f>IF($D61="Actual",S61,Cases_Forecast!AM54)</f>
        <v/>
      </c>
      <c r="G61" s="9">
        <f>IF($D61="Actual",T61,IFERROR(F61/K61,0))</f>
        <v/>
      </c>
      <c r="H61" s="30">
        <f>IF($D61="Actual",U61,G61*L61)</f>
        <v/>
      </c>
      <c r="I61" s="30">
        <f>IF($D61="Actual",V61,J61-H61)</f>
        <v/>
      </c>
      <c r="J61" s="30">
        <f>IF($D61="Actual",U61+V61,IFERROR(H61/(1-AD61),0))</f>
        <v/>
      </c>
      <c r="K61" s="10">
        <f>IF($D61="Actual",IFERROR(S61/T61,0),CPLH_Forecast!AM54)</f>
        <v/>
      </c>
      <c r="L61" s="34">
        <f>IF($D61="Actual",IFERROR(U61/T61,0),N(AE61))</f>
        <v/>
      </c>
      <c r="M61" s="35">
        <f>IFERROR(J61/F61,0)</f>
        <v/>
      </c>
      <c r="N61" s="36">
        <f>IFERROR(J61/E61,0)</f>
        <v/>
      </c>
      <c r="O61" s="36">
        <f>IFERROR(I61/J61,0)</f>
        <v/>
      </c>
      <c r="R61" s="52">
        <f>IF($D61="Actual",SUMIFS(Data_Actuals!$C$2:$C$5000,Data_Actuals!$A$2:$A$5000,$A61,Data_Actuals!$B$2:$B$5000,$B$2),"")</f>
        <v/>
      </c>
      <c r="S61" s="52">
        <f>IF($D61="Actual",SUMIFS(Data_Actuals!$D$2:$D$5000,Data_Actuals!$A$2:$A$5000,$A61,Data_Actuals!$B$2:$B$5000,$B$2),"")</f>
        <v/>
      </c>
      <c r="T61" s="52">
        <f>IF($D61="Actual",SUMIFS(Data_Actuals!$E$2:$E$5000,Data_Actuals!$A$2:$A$5000,$A61,Data_Actuals!$B$2:$B$5000,$B$2),"")</f>
        <v/>
      </c>
      <c r="U61" s="52">
        <f>IF($D61="Actual",SUMIFS(Data_Actuals!$F$2:$F$5000,Data_Actuals!$A$2:$A$5000,$A61,Data_Actuals!$B$2:$B$5000,$B$2),"")</f>
        <v/>
      </c>
      <c r="V61" s="52">
        <f>IF($D61="Actual",SUMIFS(Data_Actuals!$G$2:$G$5000,Data_Actuals!$A$2:$A$5000,$A61,Data_Actuals!$B$2:$B$5000,$B$2),"")</f>
        <v/>
      </c>
      <c r="W61" s="52">
        <f>SUMIFS(Plan_Inputs!$C$2:$C$5000,Plan_Inputs!$A$2:$A$5000,$A61,Plan_Inputs!$B$2:$B$5000,$B$2)</f>
        <v/>
      </c>
      <c r="X61" s="53">
        <f>IF($D61="Actual",IFERROR(S61/T61,""),X49)</f>
        <v/>
      </c>
      <c r="Y61" s="52">
        <f>E61</f>
        <v/>
      </c>
      <c r="Z61" s="54">
        <f>INDEX(Calendar!$H$5:$L$52,MATCH($A61,Calendar!$A$5:$A$52,0),MATCH($D$2,Calendar!$H$4:$L$4,0))</f>
        <v/>
      </c>
      <c r="AA61" s="54">
        <f>INDEX(Calendar!$M$5:$M$52,MATCH($A61,Calendar!$A$5:$A$52,0))</f>
        <v/>
      </c>
      <c r="AB61" s="55">
        <f>IF($D61="Actual",IFERROR(S61/Y61,""),AB49)</f>
        <v/>
      </c>
      <c r="AC61" s="56">
        <f>IF($D61="Actual",IFERROR(U61/T61/Z61/AA61,""),AC49)</f>
        <v/>
      </c>
      <c r="AD61" s="57">
        <f>IF($D61="Actual",IFERROR(V61/(U61+V61),""),$K$2)</f>
        <v/>
      </c>
      <c r="AE61" s="56">
        <f>IFERROR(AC61*Z61*AA61,"")</f>
        <v/>
      </c>
      <c r="AF61" s="53">
        <f>K49</f>
        <v/>
      </c>
      <c r="AG61" s="57">
        <f>IF($D61="Forecast",IFERROR(K61/AF61-1,""),"")</f>
        <v/>
      </c>
      <c r="AH61" s="53">
        <f>IF(CPLHSource="National breakdown",CPLH_Breakdown!AN66,SUMIFS(Plan_Inputs!$D$2:$D$5000,Plan_Inputs!$A$2:$A$5000,$A61,Plan_Inputs!$B$2:$B$5000,$B$2))</f>
        <v/>
      </c>
      <c r="AJ61" s="15">
        <f>F61*$AK$11</f>
        <v/>
      </c>
      <c r="AK61" s="9">
        <f>G61*$AK$11</f>
        <v/>
      </c>
      <c r="AL61" s="30">
        <f>H61*$AK$11</f>
        <v/>
      </c>
      <c r="AM61" s="30">
        <f>I61*$AK$11</f>
        <v/>
      </c>
      <c r="AN61" s="30">
        <f>J61*$AK$11</f>
        <v/>
      </c>
      <c r="AP61" s="15">
        <f>F61*$AQ$11</f>
        <v/>
      </c>
      <c r="AQ61" s="9">
        <f>G61*$AQ$11</f>
        <v/>
      </c>
      <c r="AR61" s="30">
        <f>H61*$AQ$11</f>
        <v/>
      </c>
      <c r="AS61" s="30">
        <f>I61*$AQ$11</f>
        <v/>
      </c>
      <c r="AT61" s="30">
        <f>J61*$AQ$11</f>
        <v/>
      </c>
      <c r="AV61" s="15">
        <f>F61*$AW$11</f>
        <v/>
      </c>
      <c r="AW61" s="9">
        <f>G61*$AW$11</f>
        <v/>
      </c>
      <c r="AX61" s="30">
        <f>H61*$AW$11</f>
        <v/>
      </c>
      <c r="AY61" s="30">
        <f>I61*$AW$11</f>
        <v/>
      </c>
      <c r="AZ61" s="30">
        <f>J61*$AW$11</f>
        <v/>
      </c>
    </row>
    <row r="62">
      <c r="A62" s="37" t="n">
        <v>47088</v>
      </c>
      <c r="B62" s="38">
        <f>YEAR(A62)</f>
        <v/>
      </c>
      <c r="C62" s="38">
        <f>MONTH(A62)</f>
        <v/>
      </c>
      <c r="D62" s="39">
        <f>IF(A62&lt;=LastActual,"Actual","Forecast")</f>
        <v/>
      </c>
      <c r="E62" s="40">
        <f>IF($D62="Actual",R62,W62)</f>
        <v/>
      </c>
      <c r="F62" s="41">
        <f>IF($D62="Actual",S62,Cases_Forecast!AM55)</f>
        <v/>
      </c>
      <c r="G62" s="42">
        <f>IF($D62="Actual",T62,IFERROR(F62/K62,0))</f>
        <v/>
      </c>
      <c r="H62" s="40">
        <f>IF($D62="Actual",U62,G62*L62)</f>
        <v/>
      </c>
      <c r="I62" s="40">
        <f>IF($D62="Actual",V62,J62-H62)</f>
        <v/>
      </c>
      <c r="J62" s="40">
        <f>IF($D62="Actual",U62+V62,IFERROR(H62/(1-AD62),0))</f>
        <v/>
      </c>
      <c r="K62" s="43">
        <f>IF($D62="Actual",IFERROR(S62/T62,0),CPLH_Forecast!AM55)</f>
        <v/>
      </c>
      <c r="L62" s="44">
        <f>IF($D62="Actual",IFERROR(U62/T62,0),N(AE62))</f>
        <v/>
      </c>
      <c r="M62" s="45">
        <f>IFERROR(J62/F62,0)</f>
        <v/>
      </c>
      <c r="N62" s="46">
        <f>IFERROR(J62/E62,0)</f>
        <v/>
      </c>
      <c r="O62" s="46">
        <f>IFERROR(I62/J62,0)</f>
        <v/>
      </c>
      <c r="R62" s="52">
        <f>IF($D62="Actual",SUMIFS(Data_Actuals!$C$2:$C$5000,Data_Actuals!$A$2:$A$5000,$A62,Data_Actuals!$B$2:$B$5000,$B$2),"")</f>
        <v/>
      </c>
      <c r="S62" s="52">
        <f>IF($D62="Actual",SUMIFS(Data_Actuals!$D$2:$D$5000,Data_Actuals!$A$2:$A$5000,$A62,Data_Actuals!$B$2:$B$5000,$B$2),"")</f>
        <v/>
      </c>
      <c r="T62" s="52">
        <f>IF($D62="Actual",SUMIFS(Data_Actuals!$E$2:$E$5000,Data_Actuals!$A$2:$A$5000,$A62,Data_Actuals!$B$2:$B$5000,$B$2),"")</f>
        <v/>
      </c>
      <c r="U62" s="52">
        <f>IF($D62="Actual",SUMIFS(Data_Actuals!$F$2:$F$5000,Data_Actuals!$A$2:$A$5000,$A62,Data_Actuals!$B$2:$B$5000,$B$2),"")</f>
        <v/>
      </c>
      <c r="V62" s="52">
        <f>IF($D62="Actual",SUMIFS(Data_Actuals!$G$2:$G$5000,Data_Actuals!$A$2:$A$5000,$A62,Data_Actuals!$B$2:$B$5000,$B$2),"")</f>
        <v/>
      </c>
      <c r="W62" s="52">
        <f>SUMIFS(Plan_Inputs!$C$2:$C$5000,Plan_Inputs!$A$2:$A$5000,$A62,Plan_Inputs!$B$2:$B$5000,$B$2)</f>
        <v/>
      </c>
      <c r="X62" s="53">
        <f>IF($D62="Actual",IFERROR(S62/T62,""),X50)</f>
        <v/>
      </c>
      <c r="Y62" s="52">
        <f>E62</f>
        <v/>
      </c>
      <c r="Z62" s="54">
        <f>INDEX(Calendar!$H$5:$L$52,MATCH($A62,Calendar!$A$5:$A$52,0),MATCH($D$2,Calendar!$H$4:$L$4,0))</f>
        <v/>
      </c>
      <c r="AA62" s="54">
        <f>INDEX(Calendar!$M$5:$M$52,MATCH($A62,Calendar!$A$5:$A$52,0))</f>
        <v/>
      </c>
      <c r="AB62" s="55">
        <f>IF($D62="Actual",IFERROR(S62/Y62,""),AB50)</f>
        <v/>
      </c>
      <c r="AC62" s="56">
        <f>IF($D62="Actual",IFERROR(U62/T62/Z62/AA62,""),AC50)</f>
        <v/>
      </c>
      <c r="AD62" s="57">
        <f>IF($D62="Actual",IFERROR(V62/(U62+V62),""),$K$2)</f>
        <v/>
      </c>
      <c r="AE62" s="56">
        <f>IFERROR(AC62*Z62*AA62,"")</f>
        <v/>
      </c>
      <c r="AF62" s="53">
        <f>K50</f>
        <v/>
      </c>
      <c r="AG62" s="57">
        <f>IF($D62="Forecast",IFERROR(K62/AF62-1,""),"")</f>
        <v/>
      </c>
      <c r="AH62" s="53">
        <f>IF(CPLHSource="National breakdown",CPLH_Breakdown!AN67,SUMIFS(Plan_Inputs!$D$2:$D$5000,Plan_Inputs!$A$2:$A$5000,$A62,Plan_Inputs!$B$2:$B$5000,$B$2))</f>
        <v/>
      </c>
      <c r="AJ62" s="41">
        <f>F62*$AK$11</f>
        <v/>
      </c>
      <c r="AK62" s="42">
        <f>G62*$AK$11</f>
        <v/>
      </c>
      <c r="AL62" s="40">
        <f>H62*$AK$11</f>
        <v/>
      </c>
      <c r="AM62" s="40">
        <f>I62*$AK$11</f>
        <v/>
      </c>
      <c r="AN62" s="40">
        <f>J62*$AK$11</f>
        <v/>
      </c>
      <c r="AP62" s="41">
        <f>F62*$AQ$11</f>
        <v/>
      </c>
      <c r="AQ62" s="42">
        <f>G62*$AQ$11</f>
        <v/>
      </c>
      <c r="AR62" s="40">
        <f>H62*$AQ$11</f>
        <v/>
      </c>
      <c r="AS62" s="40">
        <f>I62*$AQ$11</f>
        <v/>
      </c>
      <c r="AT62" s="40">
        <f>J62*$AQ$11</f>
        <v/>
      </c>
      <c r="AV62" s="41">
        <f>F62*$AW$11</f>
        <v/>
      </c>
      <c r="AW62" s="42">
        <f>G62*$AW$11</f>
        <v/>
      </c>
      <c r="AX62" s="40">
        <f>H62*$AW$11</f>
        <v/>
      </c>
      <c r="AY62" s="40">
        <f>I62*$AW$11</f>
        <v/>
      </c>
      <c r="AZ62" s="40">
        <f>J62*$AW$11</f>
        <v/>
      </c>
    </row>
  </sheetData>
  <mergeCells count="6">
    <mergeCell ref="K12:O12"/>
    <mergeCell ref="AV12:AZ12"/>
    <mergeCell ref="AJ12:AN12"/>
    <mergeCell ref="AP12:AT12"/>
    <mergeCell ref="R12:AH12"/>
    <mergeCell ref="E12:J12"/>
  </mergeCells>
  <conditionalFormatting sqref="A15:O62">
    <cfRule type="expression" priority="1" dxfId="4">
      <formula>$D15="Forecast"</formula>
    </cfRule>
  </conditionalFormatting>
  <conditionalFormatting sqref="AJ15:AZ62">
    <cfRule type="expression" priority="2" dxfId="4">
      <formula>$D15="Forecast"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F3864"/>
    <outlinePr summaryBelow="1" summaryRight="1"/>
    <pageSetUpPr/>
  </sheetPr>
  <dimension ref="A1:AZ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  <col width="10" customWidth="1" min="34" max="34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2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2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2" customWidth="1" min="53" max="53"/>
  </cols>
  <sheetData>
    <row r="1">
      <c r="A1" s="2">
        <f>$B$2&amp;"  |  Region  |  VIC"</f>
        <v/>
      </c>
    </row>
    <row r="2">
      <c r="A2" t="inlineStr">
        <is>
          <t>Code</t>
        </is>
      </c>
      <c r="B2" s="1">
        <f>Inputs!$A$40</f>
        <v/>
      </c>
      <c r="C2" t="inlineStr">
        <is>
          <t>State</t>
        </is>
      </c>
      <c r="D2" s="1" t="inlineStr">
        <is>
          <t>VIC</t>
        </is>
      </c>
      <c r="F2" t="inlineStr">
        <is>
          <t>Leadership share of total payroll, last actual month</t>
        </is>
      </c>
      <c r="K2" s="50">
        <f>IFERROR(INDEX($V$15:$V$62,MATCH(LastActual,$A$15:$A$62,0))/(INDEX($U$15:$U$62,MATCH(LastActual,$A$15:$A$62,0))+INDEX($V$15:$V$62,MATCH(LastActual,$A$15:$A$62,0))),0)</f>
        <v/>
      </c>
    </row>
    <row r="5" ht="45" customHeight="1">
      <c r="A5" s="7" t="inlineStr">
        <is>
          <t>FY</t>
        </is>
      </c>
      <c r="D5" s="7" t="inlineStr">
        <is>
          <t>Status</t>
        </is>
      </c>
      <c r="E5" s="7" t="inlineStr">
        <is>
          <t>Sales</t>
        </is>
      </c>
      <c r="F5" s="7" t="inlineStr">
        <is>
          <t>Cases picked</t>
        </is>
      </c>
      <c r="G5" s="7" t="inlineStr">
        <is>
          <t>WH hours worked</t>
        </is>
      </c>
      <c r="H5" s="7" t="inlineStr">
        <is>
          <t>Staff payroll</t>
        </is>
      </c>
      <c r="I5" s="7" t="inlineStr">
        <is>
          <t>Leadership payroll</t>
        </is>
      </c>
      <c r="J5" s="7" t="inlineStr">
        <is>
          <t>Total payroll</t>
        </is>
      </c>
      <c r="K5" s="7" t="inlineStr">
        <is>
          <t>CPLH (cases / hr)</t>
        </is>
      </c>
      <c r="L5" s="7" t="inlineStr">
        <is>
          <t>Cost per hour (staff)</t>
        </is>
      </c>
      <c r="M5" s="7" t="inlineStr">
        <is>
          <t>Cost per case (total payroll)</t>
        </is>
      </c>
      <c r="N5" s="7" t="inlineStr">
        <is>
          <t>Total payroll % sales</t>
        </is>
      </c>
      <c r="O5" s="7" t="inlineStr">
        <is>
          <t>Leadership % of total payroll</t>
        </is>
      </c>
      <c r="AJ5" s="20" t="inlineStr">
        <is>
          <t>Cases picked</t>
        </is>
      </c>
      <c r="AK5" s="20" t="inlineStr">
        <is>
          <t>WH hours worked</t>
        </is>
      </c>
      <c r="AL5" s="20" t="inlineStr">
        <is>
          <t>Staff payroll</t>
        </is>
      </c>
      <c r="AM5" s="20" t="inlineStr">
        <is>
          <t>Leadership payroll</t>
        </is>
      </c>
      <c r="AN5" s="20" t="inlineStr">
        <is>
          <t>Total payroll</t>
        </is>
      </c>
      <c r="AP5" s="20" t="inlineStr">
        <is>
          <t>Cases picked</t>
        </is>
      </c>
      <c r="AQ5" s="20" t="inlineStr">
        <is>
          <t>WH hours worked</t>
        </is>
      </c>
      <c r="AR5" s="20" t="inlineStr">
        <is>
          <t>Staff payroll</t>
        </is>
      </c>
      <c r="AS5" s="20" t="inlineStr">
        <is>
          <t>Leadership payroll</t>
        </is>
      </c>
      <c r="AT5" s="20" t="inlineStr">
        <is>
          <t>Total payroll</t>
        </is>
      </c>
      <c r="AV5" s="20" t="inlineStr">
        <is>
          <t>Cases picked</t>
        </is>
      </c>
      <c r="AW5" s="20" t="inlineStr">
        <is>
          <t>WH hours worked</t>
        </is>
      </c>
      <c r="AX5" s="20" t="inlineStr">
        <is>
          <t>Staff payroll</t>
        </is>
      </c>
      <c r="AY5" s="20" t="inlineStr">
        <is>
          <t>Leadership payroll</t>
        </is>
      </c>
      <c r="AZ5" s="20" t="inlineStr">
        <is>
          <t>Total payroll</t>
        </is>
      </c>
    </row>
    <row r="6">
      <c r="A6" s="21" t="n">
        <v>2025</v>
      </c>
      <c r="D6" s="22">
        <f>IF(DATE(A6,12,1)&lt;=LastActual,"Actual",IF(DATE(A6,1,1)&gt;LastActual,"Forecast","Blended"))</f>
        <v/>
      </c>
      <c r="E6" s="23">
        <f>SUMIFS($E$15:$E$62,$B$15:$B$62,$A6)</f>
        <v/>
      </c>
      <c r="F6" s="24">
        <f>SUMIFS($F$15:$F$62,$B$15:$B$62,$A6)</f>
        <v/>
      </c>
      <c r="G6" s="25">
        <f>SUMIFS($G$15:$G$62,$B$15:$B$62,$A6)</f>
        <v/>
      </c>
      <c r="H6" s="23">
        <f>SUMIFS($H$15:$H$62,$B$15:$B$62,$A6)</f>
        <v/>
      </c>
      <c r="I6" s="23">
        <f>SUMIFS($I$15:$I$62,$B$15:$B$62,$A6)</f>
        <v/>
      </c>
      <c r="J6" s="23">
        <f>SUMIFS($J$15:$J$62,$B$15:$B$62,$A6)</f>
        <v/>
      </c>
      <c r="K6" s="26">
        <f>IFERROR(F6/G6,0)</f>
        <v/>
      </c>
      <c r="L6" s="27">
        <f>IFERROR(H6/G6,0)</f>
        <v/>
      </c>
      <c r="M6" s="28">
        <f>IFERROR(J6/F6,0)</f>
        <v/>
      </c>
      <c r="N6" s="29">
        <f>IFERROR(J6/E6,0)</f>
        <v/>
      </c>
      <c r="O6" s="29">
        <f>IFERROR(I6/J6,0)</f>
        <v/>
      </c>
      <c r="AJ6" s="24">
        <f>SUMIFS($AJ$15:$AJ$62,$B$15:$B$62,$A6)</f>
        <v/>
      </c>
      <c r="AK6" s="25">
        <f>SUMIFS($AK$15:$AK$62,$B$15:$B$62,$A6)</f>
        <v/>
      </c>
      <c r="AL6" s="23">
        <f>SUMIFS($AL$15:$AL$62,$B$15:$B$62,$A6)</f>
        <v/>
      </c>
      <c r="AM6" s="23">
        <f>SUMIFS($AM$15:$AM$62,$B$15:$B$62,$A6)</f>
        <v/>
      </c>
      <c r="AN6" s="23">
        <f>SUMIFS($AN$15:$AN$62,$B$15:$B$62,$A6)</f>
        <v/>
      </c>
      <c r="AP6" s="24">
        <f>SUMIFS($AP$15:$AP$62,$B$15:$B$62,$A6)</f>
        <v/>
      </c>
      <c r="AQ6" s="25">
        <f>SUMIFS($AQ$15:$AQ$62,$B$15:$B$62,$A6)</f>
        <v/>
      </c>
      <c r="AR6" s="23">
        <f>SUMIFS($AR$15:$AR$62,$B$15:$B$62,$A6)</f>
        <v/>
      </c>
      <c r="AS6" s="23">
        <f>SUMIFS($AS$15:$AS$62,$B$15:$B$62,$A6)</f>
        <v/>
      </c>
      <c r="AT6" s="23">
        <f>SUMIFS($AT$15:$AT$62,$B$15:$B$62,$A6)</f>
        <v/>
      </c>
      <c r="AV6" s="24">
        <f>SUMIFS($AV$15:$AV$62,$B$15:$B$62,$A6)</f>
        <v/>
      </c>
      <c r="AW6" s="25">
        <f>SUMIFS($AW$15:$AW$62,$B$15:$B$62,$A6)</f>
        <v/>
      </c>
      <c r="AX6" s="23">
        <f>SUMIFS($AX$15:$AX$62,$B$15:$B$62,$A6)</f>
        <v/>
      </c>
      <c r="AY6" s="23">
        <f>SUMIFS($AY$15:$AY$62,$B$15:$B$62,$A6)</f>
        <v/>
      </c>
      <c r="AZ6" s="23">
        <f>SUMIFS($AZ$15:$AZ$62,$B$15:$B$62,$A6)</f>
        <v/>
      </c>
    </row>
    <row r="7">
      <c r="A7" s="21" t="n">
        <v>2026</v>
      </c>
      <c r="D7" s="22">
        <f>IF(DATE(A7,12,1)&lt;=LastActual,"Actual",IF(DATE(A7,1,1)&gt;LastActual,"Forecast","Blended"))</f>
        <v/>
      </c>
      <c r="E7" s="23">
        <f>SUMIFS($E$15:$E$62,$B$15:$B$62,$A7)</f>
        <v/>
      </c>
      <c r="F7" s="24">
        <f>SUMIFS($F$15:$F$62,$B$15:$B$62,$A7)</f>
        <v/>
      </c>
      <c r="G7" s="25">
        <f>SUMIFS($G$15:$G$62,$B$15:$B$62,$A7)</f>
        <v/>
      </c>
      <c r="H7" s="23">
        <f>SUMIFS($H$15:$H$62,$B$15:$B$62,$A7)</f>
        <v/>
      </c>
      <c r="I7" s="23">
        <f>SUMIFS($I$15:$I$62,$B$15:$B$62,$A7)</f>
        <v/>
      </c>
      <c r="J7" s="23">
        <f>SUMIFS($J$15:$J$62,$B$15:$B$62,$A7)</f>
        <v/>
      </c>
      <c r="K7" s="26">
        <f>IFERROR(F7/G7,0)</f>
        <v/>
      </c>
      <c r="L7" s="27">
        <f>IFERROR(H7/G7,0)</f>
        <v/>
      </c>
      <c r="M7" s="28">
        <f>IFERROR(J7/F7,0)</f>
        <v/>
      </c>
      <c r="N7" s="29">
        <f>IFERROR(J7/E7,0)</f>
        <v/>
      </c>
      <c r="O7" s="29">
        <f>IFERROR(I7/J7,0)</f>
        <v/>
      </c>
      <c r="AJ7" s="24">
        <f>SUMIFS($AJ$15:$AJ$62,$B$15:$B$62,$A7)</f>
        <v/>
      </c>
      <c r="AK7" s="25">
        <f>SUMIFS($AK$15:$AK$62,$B$15:$B$62,$A7)</f>
        <v/>
      </c>
      <c r="AL7" s="23">
        <f>SUMIFS($AL$15:$AL$62,$B$15:$B$62,$A7)</f>
        <v/>
      </c>
      <c r="AM7" s="23">
        <f>SUMIFS($AM$15:$AM$62,$B$15:$B$62,$A7)</f>
        <v/>
      </c>
      <c r="AN7" s="23">
        <f>SUMIFS($AN$15:$AN$62,$B$15:$B$62,$A7)</f>
        <v/>
      </c>
      <c r="AP7" s="24">
        <f>SUMIFS($AP$15:$AP$62,$B$15:$B$62,$A7)</f>
        <v/>
      </c>
      <c r="AQ7" s="25">
        <f>SUMIFS($AQ$15:$AQ$62,$B$15:$B$62,$A7)</f>
        <v/>
      </c>
      <c r="AR7" s="23">
        <f>SUMIFS($AR$15:$AR$62,$B$15:$B$62,$A7)</f>
        <v/>
      </c>
      <c r="AS7" s="23">
        <f>SUMIFS($AS$15:$AS$62,$B$15:$B$62,$A7)</f>
        <v/>
      </c>
      <c r="AT7" s="23">
        <f>SUMIFS($AT$15:$AT$62,$B$15:$B$62,$A7)</f>
        <v/>
      </c>
      <c r="AV7" s="24">
        <f>SUMIFS($AV$15:$AV$62,$B$15:$B$62,$A7)</f>
        <v/>
      </c>
      <c r="AW7" s="25">
        <f>SUMIFS($AW$15:$AW$62,$B$15:$B$62,$A7)</f>
        <v/>
      </c>
      <c r="AX7" s="23">
        <f>SUMIFS($AX$15:$AX$62,$B$15:$B$62,$A7)</f>
        <v/>
      </c>
      <c r="AY7" s="23">
        <f>SUMIFS($AY$15:$AY$62,$B$15:$B$62,$A7)</f>
        <v/>
      </c>
      <c r="AZ7" s="23">
        <f>SUMIFS($AZ$15:$AZ$62,$B$15:$B$62,$A7)</f>
        <v/>
      </c>
    </row>
    <row r="8">
      <c r="A8" s="21" t="n">
        <v>2027</v>
      </c>
      <c r="D8" s="22">
        <f>IF(DATE(A8,12,1)&lt;=LastActual,"Actual",IF(DATE(A8,1,1)&gt;LastActual,"Forecast","Blended"))</f>
        <v/>
      </c>
      <c r="E8" s="23">
        <f>SUMIFS($E$15:$E$62,$B$15:$B$62,$A8)</f>
        <v/>
      </c>
      <c r="F8" s="24">
        <f>SUMIFS($F$15:$F$62,$B$15:$B$62,$A8)</f>
        <v/>
      </c>
      <c r="G8" s="25">
        <f>SUMIFS($G$15:$G$62,$B$15:$B$62,$A8)</f>
        <v/>
      </c>
      <c r="H8" s="23">
        <f>SUMIFS($H$15:$H$62,$B$15:$B$62,$A8)</f>
        <v/>
      </c>
      <c r="I8" s="23">
        <f>SUMIFS($I$15:$I$62,$B$15:$B$62,$A8)</f>
        <v/>
      </c>
      <c r="J8" s="23">
        <f>SUMIFS($J$15:$J$62,$B$15:$B$62,$A8)</f>
        <v/>
      </c>
      <c r="K8" s="26">
        <f>IFERROR(F8/G8,0)</f>
        <v/>
      </c>
      <c r="L8" s="27">
        <f>IFERROR(H8/G8,0)</f>
        <v/>
      </c>
      <c r="M8" s="28">
        <f>IFERROR(J8/F8,0)</f>
        <v/>
      </c>
      <c r="N8" s="29">
        <f>IFERROR(J8/E8,0)</f>
        <v/>
      </c>
      <c r="O8" s="29">
        <f>IFERROR(I8/J8,0)</f>
        <v/>
      </c>
      <c r="AJ8" s="24">
        <f>SUMIFS($AJ$15:$AJ$62,$B$15:$B$62,$A8)</f>
        <v/>
      </c>
      <c r="AK8" s="25">
        <f>SUMIFS($AK$15:$AK$62,$B$15:$B$62,$A8)</f>
        <v/>
      </c>
      <c r="AL8" s="23">
        <f>SUMIFS($AL$15:$AL$62,$B$15:$B$62,$A8)</f>
        <v/>
      </c>
      <c r="AM8" s="23">
        <f>SUMIFS($AM$15:$AM$62,$B$15:$B$62,$A8)</f>
        <v/>
      </c>
      <c r="AN8" s="23">
        <f>SUMIFS($AN$15:$AN$62,$B$15:$B$62,$A8)</f>
        <v/>
      </c>
      <c r="AP8" s="24">
        <f>SUMIFS($AP$15:$AP$62,$B$15:$B$62,$A8)</f>
        <v/>
      </c>
      <c r="AQ8" s="25">
        <f>SUMIFS($AQ$15:$AQ$62,$B$15:$B$62,$A8)</f>
        <v/>
      </c>
      <c r="AR8" s="23">
        <f>SUMIFS($AR$15:$AR$62,$B$15:$B$62,$A8)</f>
        <v/>
      </c>
      <c r="AS8" s="23">
        <f>SUMIFS($AS$15:$AS$62,$B$15:$B$62,$A8)</f>
        <v/>
      </c>
      <c r="AT8" s="23">
        <f>SUMIFS($AT$15:$AT$62,$B$15:$B$62,$A8)</f>
        <v/>
      </c>
      <c r="AV8" s="24">
        <f>SUMIFS($AV$15:$AV$62,$B$15:$B$62,$A8)</f>
        <v/>
      </c>
      <c r="AW8" s="25">
        <f>SUMIFS($AW$15:$AW$62,$B$15:$B$62,$A8)</f>
        <v/>
      </c>
      <c r="AX8" s="23">
        <f>SUMIFS($AX$15:$AX$62,$B$15:$B$62,$A8)</f>
        <v/>
      </c>
      <c r="AY8" s="23">
        <f>SUMIFS($AY$15:$AY$62,$B$15:$B$62,$A8)</f>
        <v/>
      </c>
      <c r="AZ8" s="23">
        <f>SUMIFS($AZ$15:$AZ$62,$B$15:$B$62,$A8)</f>
        <v/>
      </c>
    </row>
    <row r="9">
      <c r="A9" s="21" t="n">
        <v>2028</v>
      </c>
      <c r="D9" s="22">
        <f>IF(DATE(A9,12,1)&lt;=LastActual,"Actual",IF(DATE(A9,1,1)&gt;LastActual,"Forecast","Blended"))</f>
        <v/>
      </c>
      <c r="E9" s="23">
        <f>SUMIFS($E$15:$E$62,$B$15:$B$62,$A9)</f>
        <v/>
      </c>
      <c r="F9" s="24">
        <f>SUMIFS($F$15:$F$62,$B$15:$B$62,$A9)</f>
        <v/>
      </c>
      <c r="G9" s="25">
        <f>SUMIFS($G$15:$G$62,$B$15:$B$62,$A9)</f>
        <v/>
      </c>
      <c r="H9" s="23">
        <f>SUMIFS($H$15:$H$62,$B$15:$B$62,$A9)</f>
        <v/>
      </c>
      <c r="I9" s="23">
        <f>SUMIFS($I$15:$I$62,$B$15:$B$62,$A9)</f>
        <v/>
      </c>
      <c r="J9" s="23">
        <f>SUMIFS($J$15:$J$62,$B$15:$B$62,$A9)</f>
        <v/>
      </c>
      <c r="K9" s="26">
        <f>IFERROR(F9/G9,0)</f>
        <v/>
      </c>
      <c r="L9" s="27">
        <f>IFERROR(H9/G9,0)</f>
        <v/>
      </c>
      <c r="M9" s="28">
        <f>IFERROR(J9/F9,0)</f>
        <v/>
      </c>
      <c r="N9" s="29">
        <f>IFERROR(J9/E9,0)</f>
        <v/>
      </c>
      <c r="O9" s="29">
        <f>IFERROR(I9/J9,0)</f>
        <v/>
      </c>
      <c r="AJ9" s="24">
        <f>SUMIFS($AJ$15:$AJ$62,$B$15:$B$62,$A9)</f>
        <v/>
      </c>
      <c r="AK9" s="25">
        <f>SUMIFS($AK$15:$AK$62,$B$15:$B$62,$A9)</f>
        <v/>
      </c>
      <c r="AL9" s="23">
        <f>SUMIFS($AL$15:$AL$62,$B$15:$B$62,$A9)</f>
        <v/>
      </c>
      <c r="AM9" s="23">
        <f>SUMIFS($AM$15:$AM$62,$B$15:$B$62,$A9)</f>
        <v/>
      </c>
      <c r="AN9" s="23">
        <f>SUMIFS($AN$15:$AN$62,$B$15:$B$62,$A9)</f>
        <v/>
      </c>
      <c r="AP9" s="24">
        <f>SUMIFS($AP$15:$AP$62,$B$15:$B$62,$A9)</f>
        <v/>
      </c>
      <c r="AQ9" s="25">
        <f>SUMIFS($AQ$15:$AQ$62,$B$15:$B$62,$A9)</f>
        <v/>
      </c>
      <c r="AR9" s="23">
        <f>SUMIFS($AR$15:$AR$62,$B$15:$B$62,$A9)</f>
        <v/>
      </c>
      <c r="AS9" s="23">
        <f>SUMIFS($AS$15:$AS$62,$B$15:$B$62,$A9)</f>
        <v/>
      </c>
      <c r="AT9" s="23">
        <f>SUMIFS($AT$15:$AT$62,$B$15:$B$62,$A9)</f>
        <v/>
      </c>
      <c r="AV9" s="24">
        <f>SUMIFS($AV$15:$AV$62,$B$15:$B$62,$A9)</f>
        <v/>
      </c>
      <c r="AW9" s="25">
        <f>SUMIFS($AW$15:$AW$62,$B$15:$B$62,$A9)</f>
        <v/>
      </c>
      <c r="AX9" s="23">
        <f>SUMIFS($AX$15:$AX$62,$B$15:$B$62,$A9)</f>
        <v/>
      </c>
      <c r="AY9" s="23">
        <f>SUMIFS($AY$15:$AY$62,$B$15:$B$62,$A9)</f>
        <v/>
      </c>
      <c r="AZ9" s="23">
        <f>SUMIFS($AZ$15:$AZ$62,$B$15:$B$62,$A9)</f>
        <v/>
      </c>
    </row>
    <row r="10">
      <c r="AJ10" s="1" t="inlineStr">
        <is>
          <t>Chamber split (same CPLH and cost per hour in every chamber; mix from Chamber Weights)</t>
        </is>
      </c>
    </row>
    <row r="11">
      <c r="AJ11" s="6" t="inlineStr">
        <is>
          <t>Case mix</t>
        </is>
      </c>
      <c r="AK11" s="31">
        <f>IFERROR(INDEX('Chamber Weights'!$B$24:$K$26,MATCH($AJ$12,'Chamber Weights'!$A$24:$A$26,0),MATCH($B$2,'Chamber Weights'!$B$23:$K$23,0)),0)</f>
        <v/>
      </c>
      <c r="AP11" s="6" t="inlineStr">
        <is>
          <t>Case mix</t>
        </is>
      </c>
      <c r="AQ11" s="31">
        <f>IFERROR(INDEX('Chamber Weights'!$B$24:$K$26,MATCH($AP$12,'Chamber Weights'!$A$24:$A$26,0),MATCH($B$2,'Chamber Weights'!$B$23:$K$23,0)),0)</f>
        <v/>
      </c>
      <c r="AV11" s="6" t="inlineStr">
        <is>
          <t>Case mix</t>
        </is>
      </c>
      <c r="AW11" s="31">
        <f>IFERROR(INDEX('Chamber Weights'!$B$24:$K$26,MATCH($AV$12,'Chamber Weights'!$A$24:$A$26,0),MATCH($B$2,'Chamber Weights'!$B$23:$K$23,0)),0)</f>
        <v/>
      </c>
    </row>
    <row r="12">
      <c r="E12" s="7" t="inlineStr">
        <is>
          <t>Drivers</t>
        </is>
      </c>
      <c r="K12" s="7" t="inlineStr">
        <is>
          <t>Metrics</t>
        </is>
      </c>
      <c r="R12" s="7" t="inlineStr">
        <is>
          <t>Helper calculations (actuals, plan, same-month-last-year rates)</t>
        </is>
      </c>
      <c r="AJ12" s="20" t="inlineStr">
        <is>
          <t>Ambient</t>
        </is>
      </c>
      <c r="AP12" s="20" t="inlineStr">
        <is>
          <t>Chiller</t>
        </is>
      </c>
      <c r="AV12" s="20" t="inlineStr">
        <is>
          <t>Freezer</t>
        </is>
      </c>
    </row>
    <row r="13" ht="60" customHeight="1">
      <c r="A13" s="7" t="inlineStr">
        <is>
          <t>Month</t>
        </is>
      </c>
      <c r="B13" s="7" t="inlineStr">
        <is>
          <t>Year</t>
        </is>
      </c>
      <c r="C13" s="7" t="inlineStr">
        <is>
          <t>Mth</t>
        </is>
      </c>
      <c r="D13" s="7" t="inlineStr">
        <is>
          <t>Status</t>
        </is>
      </c>
      <c r="E13" s="7" t="inlineStr">
        <is>
          <t>Sales</t>
        </is>
      </c>
      <c r="F13" s="7" t="inlineStr">
        <is>
          <t>Cases picked</t>
        </is>
      </c>
      <c r="G13" s="7" t="inlineStr">
        <is>
          <t>WH hours worked</t>
        </is>
      </c>
      <c r="H13" s="7" t="inlineStr">
        <is>
          <t>Staff payroll</t>
        </is>
      </c>
      <c r="I13" s="7" t="inlineStr">
        <is>
          <t>Leadership payroll</t>
        </is>
      </c>
      <c r="J13" s="7" t="inlineStr">
        <is>
          <t>Total payroll</t>
        </is>
      </c>
      <c r="K13" s="7" t="inlineStr">
        <is>
          <t>CPLH (cases / hr)</t>
        </is>
      </c>
      <c r="L13" s="7" t="inlineStr">
        <is>
          <t>Cost per hour (staff)</t>
        </is>
      </c>
      <c r="M13" s="7" t="inlineStr">
        <is>
          <t>Cost per case (total payroll)</t>
        </is>
      </c>
      <c r="N13" s="7" t="inlineStr">
        <is>
          <t>Total payroll % sales</t>
        </is>
      </c>
      <c r="O13" s="7" t="inlineStr">
        <is>
          <t>Leadership % of total payroll</t>
        </is>
      </c>
      <c r="R13" s="51" t="inlineStr">
        <is>
          <t>Act sales</t>
        </is>
      </c>
      <c r="S13" s="51" t="inlineStr">
        <is>
          <t>Act cases</t>
        </is>
      </c>
      <c r="T13" s="51" t="inlineStr">
        <is>
          <t>Act hours</t>
        </is>
      </c>
      <c r="U13" s="51" t="inlineStr">
        <is>
          <t>Act staff $</t>
        </is>
      </c>
      <c r="V13" s="51" t="inlineStr">
        <is>
          <t>Act leadership $</t>
        </is>
      </c>
      <c r="W13" s="51" t="inlineStr">
        <is>
          <t>Plan sales</t>
        </is>
      </c>
      <c r="X13" s="51" t="inlineStr">
        <is>
          <t>CPLH run rate (actual, else same month LY)</t>
        </is>
      </c>
      <c r="Y13" s="51" t="inlineStr">
        <is>
          <t>Volume driver sales</t>
        </is>
      </c>
      <c r="Z13" s="51" t="inlineStr">
        <is>
          <t>PH factor</t>
        </is>
      </c>
      <c r="AA13" s="51" t="inlineStr">
        <is>
          <t>Wage index</t>
        </is>
      </c>
      <c r="AB13" s="51" t="inlineStr">
        <is>
          <t>Cases per $ (actual, else same month LY)</t>
        </is>
      </c>
      <c r="AC13" s="51" t="inlineStr">
        <is>
          <t>Cost per hour ex PH &amp; wage (actual, else same month LY)</t>
        </is>
      </c>
      <c r="AD13" s="51" t="inlineStr">
        <is>
          <t>Leadership share of total payroll (actual, else last actual month)</t>
        </is>
      </c>
      <c r="AE13" s="51" t="inlineStr">
        <is>
          <t>Fcst cost per hour (AC x PH x wage)</t>
        </is>
      </c>
      <c r="AF13" s="51" t="inlineStr">
        <is>
          <t>LY CPLH (same month, as used)</t>
        </is>
      </c>
      <c r="AG13" s="51" t="inlineStr">
        <is>
          <t>Fcst CPLH vs LY</t>
        </is>
      </c>
      <c r="AH13" s="51" t="inlineStr">
        <is>
          <t>Plan CPLH (Plan_Inputs or CPLH_Breakdown)</t>
        </is>
      </c>
      <c r="AJ13" s="20" t="inlineStr">
        <is>
          <t>Cases picked</t>
        </is>
      </c>
      <c r="AK13" s="20" t="inlineStr">
        <is>
          <t>WH hours worked</t>
        </is>
      </c>
      <c r="AL13" s="20" t="inlineStr">
        <is>
          <t>Staff payroll</t>
        </is>
      </c>
      <c r="AM13" s="20" t="inlineStr">
        <is>
          <t>Leadership payroll</t>
        </is>
      </c>
      <c r="AN13" s="20" t="inlineStr">
        <is>
          <t>Total payroll</t>
        </is>
      </c>
      <c r="AP13" s="20" t="inlineStr">
        <is>
          <t>Cases picked</t>
        </is>
      </c>
      <c r="AQ13" s="20" t="inlineStr">
        <is>
          <t>WH hours worked</t>
        </is>
      </c>
      <c r="AR13" s="20" t="inlineStr">
        <is>
          <t>Staff payroll</t>
        </is>
      </c>
      <c r="AS13" s="20" t="inlineStr">
        <is>
          <t>Leadership payroll</t>
        </is>
      </c>
      <c r="AT13" s="20" t="inlineStr">
        <is>
          <t>Total payroll</t>
        </is>
      </c>
      <c r="AV13" s="20" t="inlineStr">
        <is>
          <t>Cases picked</t>
        </is>
      </c>
      <c r="AW13" s="20" t="inlineStr">
        <is>
          <t>WH hours worked</t>
        </is>
      </c>
      <c r="AX13" s="20" t="inlineStr">
        <is>
          <t>Staff payroll</t>
        </is>
      </c>
      <c r="AY13" s="20" t="inlineStr">
        <is>
          <t>Leadership payroll</t>
        </is>
      </c>
      <c r="AZ13" s="20" t="inlineStr">
        <is>
          <t>Total payroll</t>
        </is>
      </c>
    </row>
    <row r="14">
      <c r="E14" s="32" t="inlineStr">
        <is>
          <t>$m</t>
        </is>
      </c>
      <c r="F14" s="32" t="inlineStr">
        <is>
          <t>m</t>
        </is>
      </c>
      <c r="G14" s="32" t="inlineStr">
        <is>
          <t>#</t>
        </is>
      </c>
      <c r="H14" s="32" t="inlineStr">
        <is>
          <t>$m</t>
        </is>
      </c>
      <c r="I14" s="32" t="inlineStr">
        <is>
          <t>$m</t>
        </is>
      </c>
      <c r="J14" s="32" t="inlineStr">
        <is>
          <t>$m</t>
        </is>
      </c>
      <c r="K14" s="32" t="inlineStr">
        <is>
          <t>#</t>
        </is>
      </c>
      <c r="L14" s="32" t="inlineStr">
        <is>
          <t>$</t>
        </is>
      </c>
      <c r="M14" s="32" t="inlineStr">
        <is>
          <t>$</t>
        </is>
      </c>
      <c r="N14" s="32" t="inlineStr">
        <is>
          <t>%</t>
        </is>
      </c>
      <c r="O14" s="32" t="inlineStr">
        <is>
          <t>%</t>
        </is>
      </c>
      <c r="AJ14" s="32" t="inlineStr">
        <is>
          <t>m</t>
        </is>
      </c>
      <c r="AK14" s="32" t="inlineStr">
        <is>
          <t>#</t>
        </is>
      </c>
      <c r="AL14" s="32" t="inlineStr">
        <is>
          <t>$m</t>
        </is>
      </c>
      <c r="AM14" s="32" t="inlineStr">
        <is>
          <t>$m</t>
        </is>
      </c>
      <c r="AN14" s="32" t="inlineStr">
        <is>
          <t>$m</t>
        </is>
      </c>
      <c r="AP14" s="32" t="inlineStr">
        <is>
          <t>m</t>
        </is>
      </c>
      <c r="AQ14" s="32" t="inlineStr">
        <is>
          <t>#</t>
        </is>
      </c>
      <c r="AR14" s="32" t="inlineStr">
        <is>
          <t>$m</t>
        </is>
      </c>
      <c r="AS14" s="32" t="inlineStr">
        <is>
          <t>$m</t>
        </is>
      </c>
      <c r="AT14" s="32" t="inlineStr">
        <is>
          <t>$m</t>
        </is>
      </c>
      <c r="AV14" s="32" t="inlineStr">
        <is>
          <t>m</t>
        </is>
      </c>
      <c r="AW14" s="32" t="inlineStr">
        <is>
          <t>#</t>
        </is>
      </c>
      <c r="AX14" s="32" t="inlineStr">
        <is>
          <t>$m</t>
        </is>
      </c>
      <c r="AY14" s="32" t="inlineStr">
        <is>
          <t>$m</t>
        </is>
      </c>
      <c r="AZ14" s="32" t="inlineStr">
        <is>
          <t>$m</t>
        </is>
      </c>
    </row>
    <row r="15">
      <c r="A15" s="8" t="n">
        <v>45658</v>
      </c>
      <c r="B15" s="33">
        <f>YEAR(A15)</f>
        <v/>
      </c>
      <c r="C15" s="33">
        <f>MONTH(A15)</f>
        <v/>
      </c>
      <c r="D15">
        <f>IF(A15&lt;=LastActual,"Actual","Forecast")</f>
        <v/>
      </c>
      <c r="E15" s="30">
        <f>IF($D15="Actual",R15,W15)</f>
        <v/>
      </c>
      <c r="F15" s="15">
        <f>IF($D15="Actual",S15,Cases_Forecast!AN8)</f>
        <v/>
      </c>
      <c r="G15" s="9">
        <f>IF($D15="Actual",T15,IFERROR(F15/K15,0))</f>
        <v/>
      </c>
      <c r="H15" s="30">
        <f>IF($D15="Actual",U15,G15*L15)</f>
        <v/>
      </c>
      <c r="I15" s="30">
        <f>IF($D15="Actual",V15,J15-H15)</f>
        <v/>
      </c>
      <c r="J15" s="30">
        <f>IF($D15="Actual",U15+V15,IFERROR(H15/(1-AD15),0))</f>
        <v/>
      </c>
      <c r="K15" s="10">
        <f>IF($D15="Actual",IFERROR(S15/T15,0),CPLH_Forecast!AN8)</f>
        <v/>
      </c>
      <c r="L15" s="34">
        <f>IF($D15="Actual",IFERROR(U15/T15,0),N(AE15))</f>
        <v/>
      </c>
      <c r="M15" s="35">
        <f>IFERROR(J15/F15,0)</f>
        <v/>
      </c>
      <c r="N15" s="36">
        <f>IFERROR(J15/E15,0)</f>
        <v/>
      </c>
      <c r="O15" s="36">
        <f>IFERROR(I15/J15,0)</f>
        <v/>
      </c>
      <c r="R15" s="52">
        <f>IF($D15="Actual",SUMIFS(Data_Actuals!$C$2:$C$5000,Data_Actuals!$A$2:$A$5000,$A15,Data_Actuals!$B$2:$B$5000,$B$2),"")</f>
        <v/>
      </c>
      <c r="S15" s="52">
        <f>IF($D15="Actual",SUMIFS(Data_Actuals!$D$2:$D$5000,Data_Actuals!$A$2:$A$5000,$A15,Data_Actuals!$B$2:$B$5000,$B$2),"")</f>
        <v/>
      </c>
      <c r="T15" s="52">
        <f>IF($D15="Actual",SUMIFS(Data_Actuals!$E$2:$E$5000,Data_Actuals!$A$2:$A$5000,$A15,Data_Actuals!$B$2:$B$5000,$B$2),"")</f>
        <v/>
      </c>
      <c r="U15" s="52">
        <f>IF($D15="Actual",SUMIFS(Data_Actuals!$F$2:$F$5000,Data_Actuals!$A$2:$A$5000,$A15,Data_Actuals!$B$2:$B$5000,$B$2),"")</f>
        <v/>
      </c>
      <c r="V15" s="52">
        <f>IF($D15="Actual",SUMIFS(Data_Actuals!$G$2:$G$5000,Data_Actuals!$A$2:$A$5000,$A15,Data_Actuals!$B$2:$B$5000,$B$2),"")</f>
        <v/>
      </c>
      <c r="W15" s="52">
        <f>SUMIFS(Plan_Inputs!$C$2:$C$5000,Plan_Inputs!$A$2:$A$5000,$A15,Plan_Inputs!$B$2:$B$5000,$B$2)</f>
        <v/>
      </c>
      <c r="X15" s="53">
        <f>IF($D15="Actual",IFERROR(S15/T15,""),"")</f>
        <v/>
      </c>
      <c r="Y15" s="52">
        <f>E15</f>
        <v/>
      </c>
      <c r="Z15" s="54">
        <f>INDEX(Calendar!$H$5:$L$52,MATCH($A15,Calendar!$A$5:$A$52,0),MATCH($D$2,Calendar!$H$4:$L$4,0))</f>
        <v/>
      </c>
      <c r="AA15" s="54">
        <f>INDEX(Calendar!$M$5:$M$52,MATCH($A15,Calendar!$A$5:$A$52,0))</f>
        <v/>
      </c>
      <c r="AB15" s="55">
        <f>IF($D15="Actual",IFERROR(S15/Y15,""),"")</f>
        <v/>
      </c>
      <c r="AC15" s="56">
        <f>IF($D15="Actual",IFERROR(U15/T15/Z15/AA15,""),"")</f>
        <v/>
      </c>
      <c r="AD15" s="57">
        <f>IF($D15="Actual",IFERROR(V15/(U15+V15),""),$K$2)</f>
        <v/>
      </c>
      <c r="AE15" s="56">
        <f>IFERROR(AC15*Z15*AA15,"")</f>
        <v/>
      </c>
      <c r="AF15" s="53" t="n"/>
      <c r="AG15" s="57">
        <f>IF($D15="Forecast",IFERROR(K15/AF15-1,""),"")</f>
        <v/>
      </c>
      <c r="AH15" s="53">
        <f>IF(CPLHSource="National breakdown",CPLH_Breakdown!AO20,SUMIFS(Plan_Inputs!$D$2:$D$5000,Plan_Inputs!$A$2:$A$5000,$A15,Plan_Inputs!$B$2:$B$5000,$B$2))</f>
        <v/>
      </c>
      <c r="AJ15" s="15">
        <f>F15*$AK$11</f>
        <v/>
      </c>
      <c r="AK15" s="9">
        <f>G15*$AK$11</f>
        <v/>
      </c>
      <c r="AL15" s="30">
        <f>H15*$AK$11</f>
        <v/>
      </c>
      <c r="AM15" s="30">
        <f>I15*$AK$11</f>
        <v/>
      </c>
      <c r="AN15" s="30">
        <f>J15*$AK$11</f>
        <v/>
      </c>
      <c r="AP15" s="15">
        <f>F15*$AQ$11</f>
        <v/>
      </c>
      <c r="AQ15" s="9">
        <f>G15*$AQ$11</f>
        <v/>
      </c>
      <c r="AR15" s="30">
        <f>H15*$AQ$11</f>
        <v/>
      </c>
      <c r="AS15" s="30">
        <f>I15*$AQ$11</f>
        <v/>
      </c>
      <c r="AT15" s="30">
        <f>J15*$AQ$11</f>
        <v/>
      </c>
      <c r="AV15" s="15">
        <f>F15*$AW$11</f>
        <v/>
      </c>
      <c r="AW15" s="9">
        <f>G15*$AW$11</f>
        <v/>
      </c>
      <c r="AX15" s="30">
        <f>H15*$AW$11</f>
        <v/>
      </c>
      <c r="AY15" s="30">
        <f>I15*$AW$11</f>
        <v/>
      </c>
      <c r="AZ15" s="30">
        <f>J15*$AW$11</f>
        <v/>
      </c>
    </row>
    <row r="16">
      <c r="A16" s="8" t="n">
        <v>45689</v>
      </c>
      <c r="B16" s="33">
        <f>YEAR(A16)</f>
        <v/>
      </c>
      <c r="C16" s="33">
        <f>MONTH(A16)</f>
        <v/>
      </c>
      <c r="D16">
        <f>IF(A16&lt;=LastActual,"Actual","Forecast")</f>
        <v/>
      </c>
      <c r="E16" s="30">
        <f>IF($D16="Actual",R16,W16)</f>
        <v/>
      </c>
      <c r="F16" s="15">
        <f>IF($D16="Actual",S16,Cases_Forecast!AN9)</f>
        <v/>
      </c>
      <c r="G16" s="9">
        <f>IF($D16="Actual",T16,IFERROR(F16/K16,0))</f>
        <v/>
      </c>
      <c r="H16" s="30">
        <f>IF($D16="Actual",U16,G16*L16)</f>
        <v/>
      </c>
      <c r="I16" s="30">
        <f>IF($D16="Actual",V16,J16-H16)</f>
        <v/>
      </c>
      <c r="J16" s="30">
        <f>IF($D16="Actual",U16+V16,IFERROR(H16/(1-AD16),0))</f>
        <v/>
      </c>
      <c r="K16" s="10">
        <f>IF($D16="Actual",IFERROR(S16/T16,0),CPLH_Forecast!AN9)</f>
        <v/>
      </c>
      <c r="L16" s="34">
        <f>IF($D16="Actual",IFERROR(U16/T16,0),N(AE16))</f>
        <v/>
      </c>
      <c r="M16" s="35">
        <f>IFERROR(J16/F16,0)</f>
        <v/>
      </c>
      <c r="N16" s="36">
        <f>IFERROR(J16/E16,0)</f>
        <v/>
      </c>
      <c r="O16" s="36">
        <f>IFERROR(I16/J16,0)</f>
        <v/>
      </c>
      <c r="R16" s="52">
        <f>IF($D16="Actual",SUMIFS(Data_Actuals!$C$2:$C$5000,Data_Actuals!$A$2:$A$5000,$A16,Data_Actuals!$B$2:$B$5000,$B$2),"")</f>
        <v/>
      </c>
      <c r="S16" s="52">
        <f>IF($D16="Actual",SUMIFS(Data_Actuals!$D$2:$D$5000,Data_Actuals!$A$2:$A$5000,$A16,Data_Actuals!$B$2:$B$5000,$B$2),"")</f>
        <v/>
      </c>
      <c r="T16" s="52">
        <f>IF($D16="Actual",SUMIFS(Data_Actuals!$E$2:$E$5000,Data_Actuals!$A$2:$A$5000,$A16,Data_Actuals!$B$2:$B$5000,$B$2),"")</f>
        <v/>
      </c>
      <c r="U16" s="52">
        <f>IF($D16="Actual",SUMIFS(Data_Actuals!$F$2:$F$5000,Data_Actuals!$A$2:$A$5000,$A16,Data_Actuals!$B$2:$B$5000,$B$2),"")</f>
        <v/>
      </c>
      <c r="V16" s="52">
        <f>IF($D16="Actual",SUMIFS(Data_Actuals!$G$2:$G$5000,Data_Actuals!$A$2:$A$5000,$A16,Data_Actuals!$B$2:$B$5000,$B$2),"")</f>
        <v/>
      </c>
      <c r="W16" s="52">
        <f>SUMIFS(Plan_Inputs!$C$2:$C$5000,Plan_Inputs!$A$2:$A$5000,$A16,Plan_Inputs!$B$2:$B$5000,$B$2)</f>
        <v/>
      </c>
      <c r="X16" s="53">
        <f>IF($D16="Actual",IFERROR(S16/T16,""),"")</f>
        <v/>
      </c>
      <c r="Y16" s="52">
        <f>E16</f>
        <v/>
      </c>
      <c r="Z16" s="54">
        <f>INDEX(Calendar!$H$5:$L$52,MATCH($A16,Calendar!$A$5:$A$52,0),MATCH($D$2,Calendar!$H$4:$L$4,0))</f>
        <v/>
      </c>
      <c r="AA16" s="54">
        <f>INDEX(Calendar!$M$5:$M$52,MATCH($A16,Calendar!$A$5:$A$52,0))</f>
        <v/>
      </c>
      <c r="AB16" s="55">
        <f>IF($D16="Actual",IFERROR(S16/Y16,""),"")</f>
        <v/>
      </c>
      <c r="AC16" s="56">
        <f>IF($D16="Actual",IFERROR(U16/T16/Z16/AA16,""),"")</f>
        <v/>
      </c>
      <c r="AD16" s="57">
        <f>IF($D16="Actual",IFERROR(V16/(U16+V16),""),$K$2)</f>
        <v/>
      </c>
      <c r="AE16" s="56">
        <f>IFERROR(AC16*Z16*AA16,"")</f>
        <v/>
      </c>
      <c r="AF16" s="53" t="n"/>
      <c r="AG16" s="57">
        <f>IF($D16="Forecast",IFERROR(K16/AF16-1,""),"")</f>
        <v/>
      </c>
      <c r="AH16" s="53">
        <f>IF(CPLHSource="National breakdown",CPLH_Breakdown!AO21,SUMIFS(Plan_Inputs!$D$2:$D$5000,Plan_Inputs!$A$2:$A$5000,$A16,Plan_Inputs!$B$2:$B$5000,$B$2))</f>
        <v/>
      </c>
      <c r="AJ16" s="15">
        <f>F16*$AK$11</f>
        <v/>
      </c>
      <c r="AK16" s="9">
        <f>G16*$AK$11</f>
        <v/>
      </c>
      <c r="AL16" s="30">
        <f>H16*$AK$11</f>
        <v/>
      </c>
      <c r="AM16" s="30">
        <f>I16*$AK$11</f>
        <v/>
      </c>
      <c r="AN16" s="30">
        <f>J16*$AK$11</f>
        <v/>
      </c>
      <c r="AP16" s="15">
        <f>F16*$AQ$11</f>
        <v/>
      </c>
      <c r="AQ16" s="9">
        <f>G16*$AQ$11</f>
        <v/>
      </c>
      <c r="AR16" s="30">
        <f>H16*$AQ$11</f>
        <v/>
      </c>
      <c r="AS16" s="30">
        <f>I16*$AQ$11</f>
        <v/>
      </c>
      <c r="AT16" s="30">
        <f>J16*$AQ$11</f>
        <v/>
      </c>
      <c r="AV16" s="15">
        <f>F16*$AW$11</f>
        <v/>
      </c>
      <c r="AW16" s="9">
        <f>G16*$AW$11</f>
        <v/>
      </c>
      <c r="AX16" s="30">
        <f>H16*$AW$11</f>
        <v/>
      </c>
      <c r="AY16" s="30">
        <f>I16*$AW$11</f>
        <v/>
      </c>
      <c r="AZ16" s="30">
        <f>J16*$AW$11</f>
        <v/>
      </c>
    </row>
    <row r="17">
      <c r="A17" s="8" t="n">
        <v>45717</v>
      </c>
      <c r="B17" s="33">
        <f>YEAR(A17)</f>
        <v/>
      </c>
      <c r="C17" s="33">
        <f>MONTH(A17)</f>
        <v/>
      </c>
      <c r="D17">
        <f>IF(A17&lt;=LastActual,"Actual","Forecast")</f>
        <v/>
      </c>
      <c r="E17" s="30">
        <f>IF($D17="Actual",R17,W17)</f>
        <v/>
      </c>
      <c r="F17" s="15">
        <f>IF($D17="Actual",S17,Cases_Forecast!AN10)</f>
        <v/>
      </c>
      <c r="G17" s="9">
        <f>IF($D17="Actual",T17,IFERROR(F17/K17,0))</f>
        <v/>
      </c>
      <c r="H17" s="30">
        <f>IF($D17="Actual",U17,G17*L17)</f>
        <v/>
      </c>
      <c r="I17" s="30">
        <f>IF($D17="Actual",V17,J17-H17)</f>
        <v/>
      </c>
      <c r="J17" s="30">
        <f>IF($D17="Actual",U17+V17,IFERROR(H17/(1-AD17),0))</f>
        <v/>
      </c>
      <c r="K17" s="10">
        <f>IF($D17="Actual",IFERROR(S17/T17,0),CPLH_Forecast!AN10)</f>
        <v/>
      </c>
      <c r="L17" s="34">
        <f>IF($D17="Actual",IFERROR(U17/T17,0),N(AE17))</f>
        <v/>
      </c>
      <c r="M17" s="35">
        <f>IFERROR(J17/F17,0)</f>
        <v/>
      </c>
      <c r="N17" s="36">
        <f>IFERROR(J17/E17,0)</f>
        <v/>
      </c>
      <c r="O17" s="36">
        <f>IFERROR(I17/J17,0)</f>
        <v/>
      </c>
      <c r="R17" s="52">
        <f>IF($D17="Actual",SUMIFS(Data_Actuals!$C$2:$C$5000,Data_Actuals!$A$2:$A$5000,$A17,Data_Actuals!$B$2:$B$5000,$B$2),"")</f>
        <v/>
      </c>
      <c r="S17" s="52">
        <f>IF($D17="Actual",SUMIFS(Data_Actuals!$D$2:$D$5000,Data_Actuals!$A$2:$A$5000,$A17,Data_Actuals!$B$2:$B$5000,$B$2),"")</f>
        <v/>
      </c>
      <c r="T17" s="52">
        <f>IF($D17="Actual",SUMIFS(Data_Actuals!$E$2:$E$5000,Data_Actuals!$A$2:$A$5000,$A17,Data_Actuals!$B$2:$B$5000,$B$2),"")</f>
        <v/>
      </c>
      <c r="U17" s="52">
        <f>IF($D17="Actual",SUMIFS(Data_Actuals!$F$2:$F$5000,Data_Actuals!$A$2:$A$5000,$A17,Data_Actuals!$B$2:$B$5000,$B$2),"")</f>
        <v/>
      </c>
      <c r="V17" s="52">
        <f>IF($D17="Actual",SUMIFS(Data_Actuals!$G$2:$G$5000,Data_Actuals!$A$2:$A$5000,$A17,Data_Actuals!$B$2:$B$5000,$B$2),"")</f>
        <v/>
      </c>
      <c r="W17" s="52">
        <f>SUMIFS(Plan_Inputs!$C$2:$C$5000,Plan_Inputs!$A$2:$A$5000,$A17,Plan_Inputs!$B$2:$B$5000,$B$2)</f>
        <v/>
      </c>
      <c r="X17" s="53">
        <f>IF($D17="Actual",IFERROR(S17/T17,""),"")</f>
        <v/>
      </c>
      <c r="Y17" s="52">
        <f>E17</f>
        <v/>
      </c>
      <c r="Z17" s="54">
        <f>INDEX(Calendar!$H$5:$L$52,MATCH($A17,Calendar!$A$5:$A$52,0),MATCH($D$2,Calendar!$H$4:$L$4,0))</f>
        <v/>
      </c>
      <c r="AA17" s="54">
        <f>INDEX(Calendar!$M$5:$M$52,MATCH($A17,Calendar!$A$5:$A$52,0))</f>
        <v/>
      </c>
      <c r="AB17" s="55">
        <f>IF($D17="Actual",IFERROR(S17/Y17,""),"")</f>
        <v/>
      </c>
      <c r="AC17" s="56">
        <f>IF($D17="Actual",IFERROR(U17/T17/Z17/AA17,""),"")</f>
        <v/>
      </c>
      <c r="AD17" s="57">
        <f>IF($D17="Actual",IFERROR(V17/(U17+V17),""),$K$2)</f>
        <v/>
      </c>
      <c r="AE17" s="56">
        <f>IFERROR(AC17*Z17*AA17,"")</f>
        <v/>
      </c>
      <c r="AF17" s="53" t="n"/>
      <c r="AG17" s="57">
        <f>IF($D17="Forecast",IFERROR(K17/AF17-1,""),"")</f>
        <v/>
      </c>
      <c r="AH17" s="53">
        <f>IF(CPLHSource="National breakdown",CPLH_Breakdown!AO22,SUMIFS(Plan_Inputs!$D$2:$D$5000,Plan_Inputs!$A$2:$A$5000,$A17,Plan_Inputs!$B$2:$B$5000,$B$2))</f>
        <v/>
      </c>
      <c r="AJ17" s="15">
        <f>F17*$AK$11</f>
        <v/>
      </c>
      <c r="AK17" s="9">
        <f>G17*$AK$11</f>
        <v/>
      </c>
      <c r="AL17" s="30">
        <f>H17*$AK$11</f>
        <v/>
      </c>
      <c r="AM17" s="30">
        <f>I17*$AK$11</f>
        <v/>
      </c>
      <c r="AN17" s="30">
        <f>J17*$AK$11</f>
        <v/>
      </c>
      <c r="AP17" s="15">
        <f>F17*$AQ$11</f>
        <v/>
      </c>
      <c r="AQ17" s="9">
        <f>G17*$AQ$11</f>
        <v/>
      </c>
      <c r="AR17" s="30">
        <f>H17*$AQ$11</f>
        <v/>
      </c>
      <c r="AS17" s="30">
        <f>I17*$AQ$11</f>
        <v/>
      </c>
      <c r="AT17" s="30">
        <f>J17*$AQ$11</f>
        <v/>
      </c>
      <c r="AV17" s="15">
        <f>F17*$AW$11</f>
        <v/>
      </c>
      <c r="AW17" s="9">
        <f>G17*$AW$11</f>
        <v/>
      </c>
      <c r="AX17" s="30">
        <f>H17*$AW$11</f>
        <v/>
      </c>
      <c r="AY17" s="30">
        <f>I17*$AW$11</f>
        <v/>
      </c>
      <c r="AZ17" s="30">
        <f>J17*$AW$11</f>
        <v/>
      </c>
    </row>
    <row r="18">
      <c r="A18" s="8" t="n">
        <v>45748</v>
      </c>
      <c r="B18" s="33">
        <f>YEAR(A18)</f>
        <v/>
      </c>
      <c r="C18" s="33">
        <f>MONTH(A18)</f>
        <v/>
      </c>
      <c r="D18">
        <f>IF(A18&lt;=LastActual,"Actual","Forecast")</f>
        <v/>
      </c>
      <c r="E18" s="30">
        <f>IF($D18="Actual",R18,W18)</f>
        <v/>
      </c>
      <c r="F18" s="15">
        <f>IF($D18="Actual",S18,Cases_Forecast!AN11)</f>
        <v/>
      </c>
      <c r="G18" s="9">
        <f>IF($D18="Actual",T18,IFERROR(F18/K18,0))</f>
        <v/>
      </c>
      <c r="H18" s="30">
        <f>IF($D18="Actual",U18,G18*L18)</f>
        <v/>
      </c>
      <c r="I18" s="30">
        <f>IF($D18="Actual",V18,J18-H18)</f>
        <v/>
      </c>
      <c r="J18" s="30">
        <f>IF($D18="Actual",U18+V18,IFERROR(H18/(1-AD18),0))</f>
        <v/>
      </c>
      <c r="K18" s="10">
        <f>IF($D18="Actual",IFERROR(S18/T18,0),CPLH_Forecast!AN11)</f>
        <v/>
      </c>
      <c r="L18" s="34">
        <f>IF($D18="Actual",IFERROR(U18/T18,0),N(AE18))</f>
        <v/>
      </c>
      <c r="M18" s="35">
        <f>IFERROR(J18/F18,0)</f>
        <v/>
      </c>
      <c r="N18" s="36">
        <f>IFERROR(J18/E18,0)</f>
        <v/>
      </c>
      <c r="O18" s="36">
        <f>IFERROR(I18/J18,0)</f>
        <v/>
      </c>
      <c r="R18" s="52">
        <f>IF($D18="Actual",SUMIFS(Data_Actuals!$C$2:$C$5000,Data_Actuals!$A$2:$A$5000,$A18,Data_Actuals!$B$2:$B$5000,$B$2),"")</f>
        <v/>
      </c>
      <c r="S18" s="52">
        <f>IF($D18="Actual",SUMIFS(Data_Actuals!$D$2:$D$5000,Data_Actuals!$A$2:$A$5000,$A18,Data_Actuals!$B$2:$B$5000,$B$2),"")</f>
        <v/>
      </c>
      <c r="T18" s="52">
        <f>IF($D18="Actual",SUMIFS(Data_Actuals!$E$2:$E$5000,Data_Actuals!$A$2:$A$5000,$A18,Data_Actuals!$B$2:$B$5000,$B$2),"")</f>
        <v/>
      </c>
      <c r="U18" s="52">
        <f>IF($D18="Actual",SUMIFS(Data_Actuals!$F$2:$F$5000,Data_Actuals!$A$2:$A$5000,$A18,Data_Actuals!$B$2:$B$5000,$B$2),"")</f>
        <v/>
      </c>
      <c r="V18" s="52">
        <f>IF($D18="Actual",SUMIFS(Data_Actuals!$G$2:$G$5000,Data_Actuals!$A$2:$A$5000,$A18,Data_Actuals!$B$2:$B$5000,$B$2),"")</f>
        <v/>
      </c>
      <c r="W18" s="52">
        <f>SUMIFS(Plan_Inputs!$C$2:$C$5000,Plan_Inputs!$A$2:$A$5000,$A18,Plan_Inputs!$B$2:$B$5000,$B$2)</f>
        <v/>
      </c>
      <c r="X18" s="53">
        <f>IF($D18="Actual",IFERROR(S18/T18,""),"")</f>
        <v/>
      </c>
      <c r="Y18" s="52">
        <f>E18</f>
        <v/>
      </c>
      <c r="Z18" s="54">
        <f>INDEX(Calendar!$H$5:$L$52,MATCH($A18,Calendar!$A$5:$A$52,0),MATCH($D$2,Calendar!$H$4:$L$4,0))</f>
        <v/>
      </c>
      <c r="AA18" s="54">
        <f>INDEX(Calendar!$M$5:$M$52,MATCH($A18,Calendar!$A$5:$A$52,0))</f>
        <v/>
      </c>
      <c r="AB18" s="55">
        <f>IF($D18="Actual",IFERROR(S18/Y18,""),"")</f>
        <v/>
      </c>
      <c r="AC18" s="56">
        <f>IF($D18="Actual",IFERROR(U18/T18/Z18/AA18,""),"")</f>
        <v/>
      </c>
      <c r="AD18" s="57">
        <f>IF($D18="Actual",IFERROR(V18/(U18+V18),""),$K$2)</f>
        <v/>
      </c>
      <c r="AE18" s="56">
        <f>IFERROR(AC18*Z18*AA18,"")</f>
        <v/>
      </c>
      <c r="AF18" s="53" t="n"/>
      <c r="AG18" s="57">
        <f>IF($D18="Forecast",IFERROR(K18/AF18-1,""),"")</f>
        <v/>
      </c>
      <c r="AH18" s="53">
        <f>IF(CPLHSource="National breakdown",CPLH_Breakdown!AO23,SUMIFS(Plan_Inputs!$D$2:$D$5000,Plan_Inputs!$A$2:$A$5000,$A18,Plan_Inputs!$B$2:$B$5000,$B$2))</f>
        <v/>
      </c>
      <c r="AJ18" s="15">
        <f>F18*$AK$11</f>
        <v/>
      </c>
      <c r="AK18" s="9">
        <f>G18*$AK$11</f>
        <v/>
      </c>
      <c r="AL18" s="30">
        <f>H18*$AK$11</f>
        <v/>
      </c>
      <c r="AM18" s="30">
        <f>I18*$AK$11</f>
        <v/>
      </c>
      <c r="AN18" s="30">
        <f>J18*$AK$11</f>
        <v/>
      </c>
      <c r="AP18" s="15">
        <f>F18*$AQ$11</f>
        <v/>
      </c>
      <c r="AQ18" s="9">
        <f>G18*$AQ$11</f>
        <v/>
      </c>
      <c r="AR18" s="30">
        <f>H18*$AQ$11</f>
        <v/>
      </c>
      <c r="AS18" s="30">
        <f>I18*$AQ$11</f>
        <v/>
      </c>
      <c r="AT18" s="30">
        <f>J18*$AQ$11</f>
        <v/>
      </c>
      <c r="AV18" s="15">
        <f>F18*$AW$11</f>
        <v/>
      </c>
      <c r="AW18" s="9">
        <f>G18*$AW$11</f>
        <v/>
      </c>
      <c r="AX18" s="30">
        <f>H18*$AW$11</f>
        <v/>
      </c>
      <c r="AY18" s="30">
        <f>I18*$AW$11</f>
        <v/>
      </c>
      <c r="AZ18" s="30">
        <f>J18*$AW$11</f>
        <v/>
      </c>
    </row>
    <row r="19">
      <c r="A19" s="8" t="n">
        <v>45778</v>
      </c>
      <c r="B19" s="33">
        <f>YEAR(A19)</f>
        <v/>
      </c>
      <c r="C19" s="33">
        <f>MONTH(A19)</f>
        <v/>
      </c>
      <c r="D19">
        <f>IF(A19&lt;=LastActual,"Actual","Forecast")</f>
        <v/>
      </c>
      <c r="E19" s="30">
        <f>IF($D19="Actual",R19,W19)</f>
        <v/>
      </c>
      <c r="F19" s="15">
        <f>IF($D19="Actual",S19,Cases_Forecast!AN12)</f>
        <v/>
      </c>
      <c r="G19" s="9">
        <f>IF($D19="Actual",T19,IFERROR(F19/K19,0))</f>
        <v/>
      </c>
      <c r="H19" s="30">
        <f>IF($D19="Actual",U19,G19*L19)</f>
        <v/>
      </c>
      <c r="I19" s="30">
        <f>IF($D19="Actual",V19,J19-H19)</f>
        <v/>
      </c>
      <c r="J19" s="30">
        <f>IF($D19="Actual",U19+V19,IFERROR(H19/(1-AD19),0))</f>
        <v/>
      </c>
      <c r="K19" s="10">
        <f>IF($D19="Actual",IFERROR(S19/T19,0),CPLH_Forecast!AN12)</f>
        <v/>
      </c>
      <c r="L19" s="34">
        <f>IF($D19="Actual",IFERROR(U19/T19,0),N(AE19))</f>
        <v/>
      </c>
      <c r="M19" s="35">
        <f>IFERROR(J19/F19,0)</f>
        <v/>
      </c>
      <c r="N19" s="36">
        <f>IFERROR(J19/E19,0)</f>
        <v/>
      </c>
      <c r="O19" s="36">
        <f>IFERROR(I19/J19,0)</f>
        <v/>
      </c>
      <c r="R19" s="52">
        <f>IF($D19="Actual",SUMIFS(Data_Actuals!$C$2:$C$5000,Data_Actuals!$A$2:$A$5000,$A19,Data_Actuals!$B$2:$B$5000,$B$2),"")</f>
        <v/>
      </c>
      <c r="S19" s="52">
        <f>IF($D19="Actual",SUMIFS(Data_Actuals!$D$2:$D$5000,Data_Actuals!$A$2:$A$5000,$A19,Data_Actuals!$B$2:$B$5000,$B$2),"")</f>
        <v/>
      </c>
      <c r="T19" s="52">
        <f>IF($D19="Actual",SUMIFS(Data_Actuals!$E$2:$E$5000,Data_Actuals!$A$2:$A$5000,$A19,Data_Actuals!$B$2:$B$5000,$B$2),"")</f>
        <v/>
      </c>
      <c r="U19" s="52">
        <f>IF($D19="Actual",SUMIFS(Data_Actuals!$F$2:$F$5000,Data_Actuals!$A$2:$A$5000,$A19,Data_Actuals!$B$2:$B$5000,$B$2),"")</f>
        <v/>
      </c>
      <c r="V19" s="52">
        <f>IF($D19="Actual",SUMIFS(Data_Actuals!$G$2:$G$5000,Data_Actuals!$A$2:$A$5000,$A19,Data_Actuals!$B$2:$B$5000,$B$2),"")</f>
        <v/>
      </c>
      <c r="W19" s="52">
        <f>SUMIFS(Plan_Inputs!$C$2:$C$5000,Plan_Inputs!$A$2:$A$5000,$A19,Plan_Inputs!$B$2:$B$5000,$B$2)</f>
        <v/>
      </c>
      <c r="X19" s="53">
        <f>IF($D19="Actual",IFERROR(S19/T19,""),"")</f>
        <v/>
      </c>
      <c r="Y19" s="52">
        <f>E19</f>
        <v/>
      </c>
      <c r="Z19" s="54">
        <f>INDEX(Calendar!$H$5:$L$52,MATCH($A19,Calendar!$A$5:$A$52,0),MATCH($D$2,Calendar!$H$4:$L$4,0))</f>
        <v/>
      </c>
      <c r="AA19" s="54">
        <f>INDEX(Calendar!$M$5:$M$52,MATCH($A19,Calendar!$A$5:$A$52,0))</f>
        <v/>
      </c>
      <c r="AB19" s="55">
        <f>IF($D19="Actual",IFERROR(S19/Y19,""),"")</f>
        <v/>
      </c>
      <c r="AC19" s="56">
        <f>IF($D19="Actual",IFERROR(U19/T19/Z19/AA19,""),"")</f>
        <v/>
      </c>
      <c r="AD19" s="57">
        <f>IF($D19="Actual",IFERROR(V19/(U19+V19),""),$K$2)</f>
        <v/>
      </c>
      <c r="AE19" s="56">
        <f>IFERROR(AC19*Z19*AA19,"")</f>
        <v/>
      </c>
      <c r="AF19" s="53" t="n"/>
      <c r="AG19" s="57">
        <f>IF($D19="Forecast",IFERROR(K19/AF19-1,""),"")</f>
        <v/>
      </c>
      <c r="AH19" s="53">
        <f>IF(CPLHSource="National breakdown",CPLH_Breakdown!AO24,SUMIFS(Plan_Inputs!$D$2:$D$5000,Plan_Inputs!$A$2:$A$5000,$A19,Plan_Inputs!$B$2:$B$5000,$B$2))</f>
        <v/>
      </c>
      <c r="AJ19" s="15">
        <f>F19*$AK$11</f>
        <v/>
      </c>
      <c r="AK19" s="9">
        <f>G19*$AK$11</f>
        <v/>
      </c>
      <c r="AL19" s="30">
        <f>H19*$AK$11</f>
        <v/>
      </c>
      <c r="AM19" s="30">
        <f>I19*$AK$11</f>
        <v/>
      </c>
      <c r="AN19" s="30">
        <f>J19*$AK$11</f>
        <v/>
      </c>
      <c r="AP19" s="15">
        <f>F19*$AQ$11</f>
        <v/>
      </c>
      <c r="AQ19" s="9">
        <f>G19*$AQ$11</f>
        <v/>
      </c>
      <c r="AR19" s="30">
        <f>H19*$AQ$11</f>
        <v/>
      </c>
      <c r="AS19" s="30">
        <f>I19*$AQ$11</f>
        <v/>
      </c>
      <c r="AT19" s="30">
        <f>J19*$AQ$11</f>
        <v/>
      </c>
      <c r="AV19" s="15">
        <f>F19*$AW$11</f>
        <v/>
      </c>
      <c r="AW19" s="9">
        <f>G19*$AW$11</f>
        <v/>
      </c>
      <c r="AX19" s="30">
        <f>H19*$AW$11</f>
        <v/>
      </c>
      <c r="AY19" s="30">
        <f>I19*$AW$11</f>
        <v/>
      </c>
      <c r="AZ19" s="30">
        <f>J19*$AW$11</f>
        <v/>
      </c>
    </row>
    <row r="20">
      <c r="A20" s="8" t="n">
        <v>45809</v>
      </c>
      <c r="B20" s="33">
        <f>YEAR(A20)</f>
        <v/>
      </c>
      <c r="C20" s="33">
        <f>MONTH(A20)</f>
        <v/>
      </c>
      <c r="D20">
        <f>IF(A20&lt;=LastActual,"Actual","Forecast")</f>
        <v/>
      </c>
      <c r="E20" s="30">
        <f>IF($D20="Actual",R20,W20)</f>
        <v/>
      </c>
      <c r="F20" s="15">
        <f>IF($D20="Actual",S20,Cases_Forecast!AN13)</f>
        <v/>
      </c>
      <c r="G20" s="9">
        <f>IF($D20="Actual",T20,IFERROR(F20/K20,0))</f>
        <v/>
      </c>
      <c r="H20" s="30">
        <f>IF($D20="Actual",U20,G20*L20)</f>
        <v/>
      </c>
      <c r="I20" s="30">
        <f>IF($D20="Actual",V20,J20-H20)</f>
        <v/>
      </c>
      <c r="J20" s="30">
        <f>IF($D20="Actual",U20+V20,IFERROR(H20/(1-AD20),0))</f>
        <v/>
      </c>
      <c r="K20" s="10">
        <f>IF($D20="Actual",IFERROR(S20/T20,0),CPLH_Forecast!AN13)</f>
        <v/>
      </c>
      <c r="L20" s="34">
        <f>IF($D20="Actual",IFERROR(U20/T20,0),N(AE20))</f>
        <v/>
      </c>
      <c r="M20" s="35">
        <f>IFERROR(J20/F20,0)</f>
        <v/>
      </c>
      <c r="N20" s="36">
        <f>IFERROR(J20/E20,0)</f>
        <v/>
      </c>
      <c r="O20" s="36">
        <f>IFERROR(I20/J20,0)</f>
        <v/>
      </c>
      <c r="R20" s="52">
        <f>IF($D20="Actual",SUMIFS(Data_Actuals!$C$2:$C$5000,Data_Actuals!$A$2:$A$5000,$A20,Data_Actuals!$B$2:$B$5000,$B$2),"")</f>
        <v/>
      </c>
      <c r="S20" s="52">
        <f>IF($D20="Actual",SUMIFS(Data_Actuals!$D$2:$D$5000,Data_Actuals!$A$2:$A$5000,$A20,Data_Actuals!$B$2:$B$5000,$B$2),"")</f>
        <v/>
      </c>
      <c r="T20" s="52">
        <f>IF($D20="Actual",SUMIFS(Data_Actuals!$E$2:$E$5000,Data_Actuals!$A$2:$A$5000,$A20,Data_Actuals!$B$2:$B$5000,$B$2),"")</f>
        <v/>
      </c>
      <c r="U20" s="52">
        <f>IF($D20="Actual",SUMIFS(Data_Actuals!$F$2:$F$5000,Data_Actuals!$A$2:$A$5000,$A20,Data_Actuals!$B$2:$B$5000,$B$2),"")</f>
        <v/>
      </c>
      <c r="V20" s="52">
        <f>IF($D20="Actual",SUMIFS(Data_Actuals!$G$2:$G$5000,Data_Actuals!$A$2:$A$5000,$A20,Data_Actuals!$B$2:$B$5000,$B$2),"")</f>
        <v/>
      </c>
      <c r="W20" s="52">
        <f>SUMIFS(Plan_Inputs!$C$2:$C$5000,Plan_Inputs!$A$2:$A$5000,$A20,Plan_Inputs!$B$2:$B$5000,$B$2)</f>
        <v/>
      </c>
      <c r="X20" s="53">
        <f>IF($D20="Actual",IFERROR(S20/T20,""),"")</f>
        <v/>
      </c>
      <c r="Y20" s="52">
        <f>E20</f>
        <v/>
      </c>
      <c r="Z20" s="54">
        <f>INDEX(Calendar!$H$5:$L$52,MATCH($A20,Calendar!$A$5:$A$52,0),MATCH($D$2,Calendar!$H$4:$L$4,0))</f>
        <v/>
      </c>
      <c r="AA20" s="54">
        <f>INDEX(Calendar!$M$5:$M$52,MATCH($A20,Calendar!$A$5:$A$52,0))</f>
        <v/>
      </c>
      <c r="AB20" s="55">
        <f>IF($D20="Actual",IFERROR(S20/Y20,""),"")</f>
        <v/>
      </c>
      <c r="AC20" s="56">
        <f>IF($D20="Actual",IFERROR(U20/T20/Z20/AA20,""),"")</f>
        <v/>
      </c>
      <c r="AD20" s="57">
        <f>IF($D20="Actual",IFERROR(V20/(U20+V20),""),$K$2)</f>
        <v/>
      </c>
      <c r="AE20" s="56">
        <f>IFERROR(AC20*Z20*AA20,"")</f>
        <v/>
      </c>
      <c r="AF20" s="53" t="n"/>
      <c r="AG20" s="57">
        <f>IF($D20="Forecast",IFERROR(K20/AF20-1,""),"")</f>
        <v/>
      </c>
      <c r="AH20" s="53">
        <f>IF(CPLHSource="National breakdown",CPLH_Breakdown!AO25,SUMIFS(Plan_Inputs!$D$2:$D$5000,Plan_Inputs!$A$2:$A$5000,$A20,Plan_Inputs!$B$2:$B$5000,$B$2))</f>
        <v/>
      </c>
      <c r="AJ20" s="15">
        <f>F20*$AK$11</f>
        <v/>
      </c>
      <c r="AK20" s="9">
        <f>G20*$AK$11</f>
        <v/>
      </c>
      <c r="AL20" s="30">
        <f>H20*$AK$11</f>
        <v/>
      </c>
      <c r="AM20" s="30">
        <f>I20*$AK$11</f>
        <v/>
      </c>
      <c r="AN20" s="30">
        <f>J20*$AK$11</f>
        <v/>
      </c>
      <c r="AP20" s="15">
        <f>F20*$AQ$11</f>
        <v/>
      </c>
      <c r="AQ20" s="9">
        <f>G20*$AQ$11</f>
        <v/>
      </c>
      <c r="AR20" s="30">
        <f>H20*$AQ$11</f>
        <v/>
      </c>
      <c r="AS20" s="30">
        <f>I20*$AQ$11</f>
        <v/>
      </c>
      <c r="AT20" s="30">
        <f>J20*$AQ$11</f>
        <v/>
      </c>
      <c r="AV20" s="15">
        <f>F20*$AW$11</f>
        <v/>
      </c>
      <c r="AW20" s="9">
        <f>G20*$AW$11</f>
        <v/>
      </c>
      <c r="AX20" s="30">
        <f>H20*$AW$11</f>
        <v/>
      </c>
      <c r="AY20" s="30">
        <f>I20*$AW$11</f>
        <v/>
      </c>
      <c r="AZ20" s="30">
        <f>J20*$AW$11</f>
        <v/>
      </c>
    </row>
    <row r="21">
      <c r="A21" s="8" t="n">
        <v>45839</v>
      </c>
      <c r="B21" s="33">
        <f>YEAR(A21)</f>
        <v/>
      </c>
      <c r="C21" s="33">
        <f>MONTH(A21)</f>
        <v/>
      </c>
      <c r="D21">
        <f>IF(A21&lt;=LastActual,"Actual","Forecast")</f>
        <v/>
      </c>
      <c r="E21" s="30">
        <f>IF($D21="Actual",R21,W21)</f>
        <v/>
      </c>
      <c r="F21" s="15">
        <f>IF($D21="Actual",S21,Cases_Forecast!AN14)</f>
        <v/>
      </c>
      <c r="G21" s="9">
        <f>IF($D21="Actual",T21,IFERROR(F21/K21,0))</f>
        <v/>
      </c>
      <c r="H21" s="30">
        <f>IF($D21="Actual",U21,G21*L21)</f>
        <v/>
      </c>
      <c r="I21" s="30">
        <f>IF($D21="Actual",V21,J21-H21)</f>
        <v/>
      </c>
      <c r="J21" s="30">
        <f>IF($D21="Actual",U21+V21,IFERROR(H21/(1-AD21),0))</f>
        <v/>
      </c>
      <c r="K21" s="10">
        <f>IF($D21="Actual",IFERROR(S21/T21,0),CPLH_Forecast!AN14)</f>
        <v/>
      </c>
      <c r="L21" s="34">
        <f>IF($D21="Actual",IFERROR(U21/T21,0),N(AE21))</f>
        <v/>
      </c>
      <c r="M21" s="35">
        <f>IFERROR(J21/F21,0)</f>
        <v/>
      </c>
      <c r="N21" s="36">
        <f>IFERROR(J21/E21,0)</f>
        <v/>
      </c>
      <c r="O21" s="36">
        <f>IFERROR(I21/J21,0)</f>
        <v/>
      </c>
      <c r="R21" s="52">
        <f>IF($D21="Actual",SUMIFS(Data_Actuals!$C$2:$C$5000,Data_Actuals!$A$2:$A$5000,$A21,Data_Actuals!$B$2:$B$5000,$B$2),"")</f>
        <v/>
      </c>
      <c r="S21" s="52">
        <f>IF($D21="Actual",SUMIFS(Data_Actuals!$D$2:$D$5000,Data_Actuals!$A$2:$A$5000,$A21,Data_Actuals!$B$2:$B$5000,$B$2),"")</f>
        <v/>
      </c>
      <c r="T21" s="52">
        <f>IF($D21="Actual",SUMIFS(Data_Actuals!$E$2:$E$5000,Data_Actuals!$A$2:$A$5000,$A21,Data_Actuals!$B$2:$B$5000,$B$2),"")</f>
        <v/>
      </c>
      <c r="U21" s="52">
        <f>IF($D21="Actual",SUMIFS(Data_Actuals!$F$2:$F$5000,Data_Actuals!$A$2:$A$5000,$A21,Data_Actuals!$B$2:$B$5000,$B$2),"")</f>
        <v/>
      </c>
      <c r="V21" s="52">
        <f>IF($D21="Actual",SUMIFS(Data_Actuals!$G$2:$G$5000,Data_Actuals!$A$2:$A$5000,$A21,Data_Actuals!$B$2:$B$5000,$B$2),"")</f>
        <v/>
      </c>
      <c r="W21" s="52">
        <f>SUMIFS(Plan_Inputs!$C$2:$C$5000,Plan_Inputs!$A$2:$A$5000,$A21,Plan_Inputs!$B$2:$B$5000,$B$2)</f>
        <v/>
      </c>
      <c r="X21" s="53">
        <f>IF($D21="Actual",IFERROR(S21/T21,""),"")</f>
        <v/>
      </c>
      <c r="Y21" s="52">
        <f>E21</f>
        <v/>
      </c>
      <c r="Z21" s="54">
        <f>INDEX(Calendar!$H$5:$L$52,MATCH($A21,Calendar!$A$5:$A$52,0),MATCH($D$2,Calendar!$H$4:$L$4,0))</f>
        <v/>
      </c>
      <c r="AA21" s="54">
        <f>INDEX(Calendar!$M$5:$M$52,MATCH($A21,Calendar!$A$5:$A$52,0))</f>
        <v/>
      </c>
      <c r="AB21" s="55">
        <f>IF($D21="Actual",IFERROR(S21/Y21,""),"")</f>
        <v/>
      </c>
      <c r="AC21" s="56">
        <f>IF($D21="Actual",IFERROR(U21/T21/Z21/AA21,""),"")</f>
        <v/>
      </c>
      <c r="AD21" s="57">
        <f>IF($D21="Actual",IFERROR(V21/(U21+V21),""),$K$2)</f>
        <v/>
      </c>
      <c r="AE21" s="56">
        <f>IFERROR(AC21*Z21*AA21,"")</f>
        <v/>
      </c>
      <c r="AF21" s="53" t="n"/>
      <c r="AG21" s="57">
        <f>IF($D21="Forecast",IFERROR(K21/AF21-1,""),"")</f>
        <v/>
      </c>
      <c r="AH21" s="53">
        <f>IF(CPLHSource="National breakdown",CPLH_Breakdown!AO26,SUMIFS(Plan_Inputs!$D$2:$D$5000,Plan_Inputs!$A$2:$A$5000,$A21,Plan_Inputs!$B$2:$B$5000,$B$2))</f>
        <v/>
      </c>
      <c r="AJ21" s="15">
        <f>F21*$AK$11</f>
        <v/>
      </c>
      <c r="AK21" s="9">
        <f>G21*$AK$11</f>
        <v/>
      </c>
      <c r="AL21" s="30">
        <f>H21*$AK$11</f>
        <v/>
      </c>
      <c r="AM21" s="30">
        <f>I21*$AK$11</f>
        <v/>
      </c>
      <c r="AN21" s="30">
        <f>J21*$AK$11</f>
        <v/>
      </c>
      <c r="AP21" s="15">
        <f>F21*$AQ$11</f>
        <v/>
      </c>
      <c r="AQ21" s="9">
        <f>G21*$AQ$11</f>
        <v/>
      </c>
      <c r="AR21" s="30">
        <f>H21*$AQ$11</f>
        <v/>
      </c>
      <c r="AS21" s="30">
        <f>I21*$AQ$11</f>
        <v/>
      </c>
      <c r="AT21" s="30">
        <f>J21*$AQ$11</f>
        <v/>
      </c>
      <c r="AV21" s="15">
        <f>F21*$AW$11</f>
        <v/>
      </c>
      <c r="AW21" s="9">
        <f>G21*$AW$11</f>
        <v/>
      </c>
      <c r="AX21" s="30">
        <f>H21*$AW$11</f>
        <v/>
      </c>
      <c r="AY21" s="30">
        <f>I21*$AW$11</f>
        <v/>
      </c>
      <c r="AZ21" s="30">
        <f>J21*$AW$11</f>
        <v/>
      </c>
    </row>
    <row r="22">
      <c r="A22" s="8" t="n">
        <v>45870</v>
      </c>
      <c r="B22" s="33">
        <f>YEAR(A22)</f>
        <v/>
      </c>
      <c r="C22" s="33">
        <f>MONTH(A22)</f>
        <v/>
      </c>
      <c r="D22">
        <f>IF(A22&lt;=LastActual,"Actual","Forecast")</f>
        <v/>
      </c>
      <c r="E22" s="30">
        <f>IF($D22="Actual",R22,W22)</f>
        <v/>
      </c>
      <c r="F22" s="15">
        <f>IF($D22="Actual",S22,Cases_Forecast!AN15)</f>
        <v/>
      </c>
      <c r="G22" s="9">
        <f>IF($D22="Actual",T22,IFERROR(F22/K22,0))</f>
        <v/>
      </c>
      <c r="H22" s="30">
        <f>IF($D22="Actual",U22,G22*L22)</f>
        <v/>
      </c>
      <c r="I22" s="30">
        <f>IF($D22="Actual",V22,J22-H22)</f>
        <v/>
      </c>
      <c r="J22" s="30">
        <f>IF($D22="Actual",U22+V22,IFERROR(H22/(1-AD22),0))</f>
        <v/>
      </c>
      <c r="K22" s="10">
        <f>IF($D22="Actual",IFERROR(S22/T22,0),CPLH_Forecast!AN15)</f>
        <v/>
      </c>
      <c r="L22" s="34">
        <f>IF($D22="Actual",IFERROR(U22/T22,0),N(AE22))</f>
        <v/>
      </c>
      <c r="M22" s="35">
        <f>IFERROR(J22/F22,0)</f>
        <v/>
      </c>
      <c r="N22" s="36">
        <f>IFERROR(J22/E22,0)</f>
        <v/>
      </c>
      <c r="O22" s="36">
        <f>IFERROR(I22/J22,0)</f>
        <v/>
      </c>
      <c r="R22" s="52">
        <f>IF($D22="Actual",SUMIFS(Data_Actuals!$C$2:$C$5000,Data_Actuals!$A$2:$A$5000,$A22,Data_Actuals!$B$2:$B$5000,$B$2),"")</f>
        <v/>
      </c>
      <c r="S22" s="52">
        <f>IF($D22="Actual",SUMIFS(Data_Actuals!$D$2:$D$5000,Data_Actuals!$A$2:$A$5000,$A22,Data_Actuals!$B$2:$B$5000,$B$2),"")</f>
        <v/>
      </c>
      <c r="T22" s="52">
        <f>IF($D22="Actual",SUMIFS(Data_Actuals!$E$2:$E$5000,Data_Actuals!$A$2:$A$5000,$A22,Data_Actuals!$B$2:$B$5000,$B$2),"")</f>
        <v/>
      </c>
      <c r="U22" s="52">
        <f>IF($D22="Actual",SUMIFS(Data_Actuals!$F$2:$F$5000,Data_Actuals!$A$2:$A$5000,$A22,Data_Actuals!$B$2:$B$5000,$B$2),"")</f>
        <v/>
      </c>
      <c r="V22" s="52">
        <f>IF($D22="Actual",SUMIFS(Data_Actuals!$G$2:$G$5000,Data_Actuals!$A$2:$A$5000,$A22,Data_Actuals!$B$2:$B$5000,$B$2),"")</f>
        <v/>
      </c>
      <c r="W22" s="52">
        <f>SUMIFS(Plan_Inputs!$C$2:$C$5000,Plan_Inputs!$A$2:$A$5000,$A22,Plan_Inputs!$B$2:$B$5000,$B$2)</f>
        <v/>
      </c>
      <c r="X22" s="53">
        <f>IF($D22="Actual",IFERROR(S22/T22,""),"")</f>
        <v/>
      </c>
      <c r="Y22" s="52">
        <f>E22</f>
        <v/>
      </c>
      <c r="Z22" s="54">
        <f>INDEX(Calendar!$H$5:$L$52,MATCH($A22,Calendar!$A$5:$A$52,0),MATCH($D$2,Calendar!$H$4:$L$4,0))</f>
        <v/>
      </c>
      <c r="AA22" s="54">
        <f>INDEX(Calendar!$M$5:$M$52,MATCH($A22,Calendar!$A$5:$A$52,0))</f>
        <v/>
      </c>
      <c r="AB22" s="55">
        <f>IF($D22="Actual",IFERROR(S22/Y22,""),"")</f>
        <v/>
      </c>
      <c r="AC22" s="56">
        <f>IF($D22="Actual",IFERROR(U22/T22/Z22/AA22,""),"")</f>
        <v/>
      </c>
      <c r="AD22" s="57">
        <f>IF($D22="Actual",IFERROR(V22/(U22+V22),""),$K$2)</f>
        <v/>
      </c>
      <c r="AE22" s="56">
        <f>IFERROR(AC22*Z22*AA22,"")</f>
        <v/>
      </c>
      <c r="AF22" s="53" t="n"/>
      <c r="AG22" s="57">
        <f>IF($D22="Forecast",IFERROR(K22/AF22-1,""),"")</f>
        <v/>
      </c>
      <c r="AH22" s="53">
        <f>IF(CPLHSource="National breakdown",CPLH_Breakdown!AO27,SUMIFS(Plan_Inputs!$D$2:$D$5000,Plan_Inputs!$A$2:$A$5000,$A22,Plan_Inputs!$B$2:$B$5000,$B$2))</f>
        <v/>
      </c>
      <c r="AJ22" s="15">
        <f>F22*$AK$11</f>
        <v/>
      </c>
      <c r="AK22" s="9">
        <f>G22*$AK$11</f>
        <v/>
      </c>
      <c r="AL22" s="30">
        <f>H22*$AK$11</f>
        <v/>
      </c>
      <c r="AM22" s="30">
        <f>I22*$AK$11</f>
        <v/>
      </c>
      <c r="AN22" s="30">
        <f>J22*$AK$11</f>
        <v/>
      </c>
      <c r="AP22" s="15">
        <f>F22*$AQ$11</f>
        <v/>
      </c>
      <c r="AQ22" s="9">
        <f>G22*$AQ$11</f>
        <v/>
      </c>
      <c r="AR22" s="30">
        <f>H22*$AQ$11</f>
        <v/>
      </c>
      <c r="AS22" s="30">
        <f>I22*$AQ$11</f>
        <v/>
      </c>
      <c r="AT22" s="30">
        <f>J22*$AQ$11</f>
        <v/>
      </c>
      <c r="AV22" s="15">
        <f>F22*$AW$11</f>
        <v/>
      </c>
      <c r="AW22" s="9">
        <f>G22*$AW$11</f>
        <v/>
      </c>
      <c r="AX22" s="30">
        <f>H22*$AW$11</f>
        <v/>
      </c>
      <c r="AY22" s="30">
        <f>I22*$AW$11</f>
        <v/>
      </c>
      <c r="AZ22" s="30">
        <f>J22*$AW$11</f>
        <v/>
      </c>
    </row>
    <row r="23">
      <c r="A23" s="8" t="n">
        <v>45901</v>
      </c>
      <c r="B23" s="33">
        <f>YEAR(A23)</f>
        <v/>
      </c>
      <c r="C23" s="33">
        <f>MONTH(A23)</f>
        <v/>
      </c>
      <c r="D23">
        <f>IF(A23&lt;=LastActual,"Actual","Forecast")</f>
        <v/>
      </c>
      <c r="E23" s="30">
        <f>IF($D23="Actual",R23,W23)</f>
        <v/>
      </c>
      <c r="F23" s="15">
        <f>IF($D23="Actual",S23,Cases_Forecast!AN16)</f>
        <v/>
      </c>
      <c r="G23" s="9">
        <f>IF($D23="Actual",T23,IFERROR(F23/K23,0))</f>
        <v/>
      </c>
      <c r="H23" s="30">
        <f>IF($D23="Actual",U23,G23*L23)</f>
        <v/>
      </c>
      <c r="I23" s="30">
        <f>IF($D23="Actual",V23,J23-H23)</f>
        <v/>
      </c>
      <c r="J23" s="30">
        <f>IF($D23="Actual",U23+V23,IFERROR(H23/(1-AD23),0))</f>
        <v/>
      </c>
      <c r="K23" s="10">
        <f>IF($D23="Actual",IFERROR(S23/T23,0),CPLH_Forecast!AN16)</f>
        <v/>
      </c>
      <c r="L23" s="34">
        <f>IF($D23="Actual",IFERROR(U23/T23,0),N(AE23))</f>
        <v/>
      </c>
      <c r="M23" s="35">
        <f>IFERROR(J23/F23,0)</f>
        <v/>
      </c>
      <c r="N23" s="36">
        <f>IFERROR(J23/E23,0)</f>
        <v/>
      </c>
      <c r="O23" s="36">
        <f>IFERROR(I23/J23,0)</f>
        <v/>
      </c>
      <c r="R23" s="52">
        <f>IF($D23="Actual",SUMIFS(Data_Actuals!$C$2:$C$5000,Data_Actuals!$A$2:$A$5000,$A23,Data_Actuals!$B$2:$B$5000,$B$2),"")</f>
        <v/>
      </c>
      <c r="S23" s="52">
        <f>IF($D23="Actual",SUMIFS(Data_Actuals!$D$2:$D$5000,Data_Actuals!$A$2:$A$5000,$A23,Data_Actuals!$B$2:$B$5000,$B$2),"")</f>
        <v/>
      </c>
      <c r="T23" s="52">
        <f>IF($D23="Actual",SUMIFS(Data_Actuals!$E$2:$E$5000,Data_Actuals!$A$2:$A$5000,$A23,Data_Actuals!$B$2:$B$5000,$B$2),"")</f>
        <v/>
      </c>
      <c r="U23" s="52">
        <f>IF($D23="Actual",SUMIFS(Data_Actuals!$F$2:$F$5000,Data_Actuals!$A$2:$A$5000,$A23,Data_Actuals!$B$2:$B$5000,$B$2),"")</f>
        <v/>
      </c>
      <c r="V23" s="52">
        <f>IF($D23="Actual",SUMIFS(Data_Actuals!$G$2:$G$5000,Data_Actuals!$A$2:$A$5000,$A23,Data_Actuals!$B$2:$B$5000,$B$2),"")</f>
        <v/>
      </c>
      <c r="W23" s="52">
        <f>SUMIFS(Plan_Inputs!$C$2:$C$5000,Plan_Inputs!$A$2:$A$5000,$A23,Plan_Inputs!$B$2:$B$5000,$B$2)</f>
        <v/>
      </c>
      <c r="X23" s="53">
        <f>IF($D23="Actual",IFERROR(S23/T23,""),"")</f>
        <v/>
      </c>
      <c r="Y23" s="52">
        <f>E23</f>
        <v/>
      </c>
      <c r="Z23" s="54">
        <f>INDEX(Calendar!$H$5:$L$52,MATCH($A23,Calendar!$A$5:$A$52,0),MATCH($D$2,Calendar!$H$4:$L$4,0))</f>
        <v/>
      </c>
      <c r="AA23" s="54">
        <f>INDEX(Calendar!$M$5:$M$52,MATCH($A23,Calendar!$A$5:$A$52,0))</f>
        <v/>
      </c>
      <c r="AB23" s="55">
        <f>IF($D23="Actual",IFERROR(S23/Y23,""),"")</f>
        <v/>
      </c>
      <c r="AC23" s="56">
        <f>IF($D23="Actual",IFERROR(U23/T23/Z23/AA23,""),"")</f>
        <v/>
      </c>
      <c r="AD23" s="57">
        <f>IF($D23="Actual",IFERROR(V23/(U23+V23),""),$K$2)</f>
        <v/>
      </c>
      <c r="AE23" s="56">
        <f>IFERROR(AC23*Z23*AA23,"")</f>
        <v/>
      </c>
      <c r="AF23" s="53" t="n"/>
      <c r="AG23" s="57">
        <f>IF($D23="Forecast",IFERROR(K23/AF23-1,""),"")</f>
        <v/>
      </c>
      <c r="AH23" s="53">
        <f>IF(CPLHSource="National breakdown",CPLH_Breakdown!AO28,SUMIFS(Plan_Inputs!$D$2:$D$5000,Plan_Inputs!$A$2:$A$5000,$A23,Plan_Inputs!$B$2:$B$5000,$B$2))</f>
        <v/>
      </c>
      <c r="AJ23" s="15">
        <f>F23*$AK$11</f>
        <v/>
      </c>
      <c r="AK23" s="9">
        <f>G23*$AK$11</f>
        <v/>
      </c>
      <c r="AL23" s="30">
        <f>H23*$AK$11</f>
        <v/>
      </c>
      <c r="AM23" s="30">
        <f>I23*$AK$11</f>
        <v/>
      </c>
      <c r="AN23" s="30">
        <f>J23*$AK$11</f>
        <v/>
      </c>
      <c r="AP23" s="15">
        <f>F23*$AQ$11</f>
        <v/>
      </c>
      <c r="AQ23" s="9">
        <f>G23*$AQ$11</f>
        <v/>
      </c>
      <c r="AR23" s="30">
        <f>H23*$AQ$11</f>
        <v/>
      </c>
      <c r="AS23" s="30">
        <f>I23*$AQ$11</f>
        <v/>
      </c>
      <c r="AT23" s="30">
        <f>J23*$AQ$11</f>
        <v/>
      </c>
      <c r="AV23" s="15">
        <f>F23*$AW$11</f>
        <v/>
      </c>
      <c r="AW23" s="9">
        <f>G23*$AW$11</f>
        <v/>
      </c>
      <c r="AX23" s="30">
        <f>H23*$AW$11</f>
        <v/>
      </c>
      <c r="AY23" s="30">
        <f>I23*$AW$11</f>
        <v/>
      </c>
      <c r="AZ23" s="30">
        <f>J23*$AW$11</f>
        <v/>
      </c>
    </row>
    <row r="24">
      <c r="A24" s="8" t="n">
        <v>45931</v>
      </c>
      <c r="B24" s="33">
        <f>YEAR(A24)</f>
        <v/>
      </c>
      <c r="C24" s="33">
        <f>MONTH(A24)</f>
        <v/>
      </c>
      <c r="D24">
        <f>IF(A24&lt;=LastActual,"Actual","Forecast")</f>
        <v/>
      </c>
      <c r="E24" s="30">
        <f>IF($D24="Actual",R24,W24)</f>
        <v/>
      </c>
      <c r="F24" s="15">
        <f>IF($D24="Actual",S24,Cases_Forecast!AN17)</f>
        <v/>
      </c>
      <c r="G24" s="9">
        <f>IF($D24="Actual",T24,IFERROR(F24/K24,0))</f>
        <v/>
      </c>
      <c r="H24" s="30">
        <f>IF($D24="Actual",U24,G24*L24)</f>
        <v/>
      </c>
      <c r="I24" s="30">
        <f>IF($D24="Actual",V24,J24-H24)</f>
        <v/>
      </c>
      <c r="J24" s="30">
        <f>IF($D24="Actual",U24+V24,IFERROR(H24/(1-AD24),0))</f>
        <v/>
      </c>
      <c r="K24" s="10">
        <f>IF($D24="Actual",IFERROR(S24/T24,0),CPLH_Forecast!AN17)</f>
        <v/>
      </c>
      <c r="L24" s="34">
        <f>IF($D24="Actual",IFERROR(U24/T24,0),N(AE24))</f>
        <v/>
      </c>
      <c r="M24" s="35">
        <f>IFERROR(J24/F24,0)</f>
        <v/>
      </c>
      <c r="N24" s="36">
        <f>IFERROR(J24/E24,0)</f>
        <v/>
      </c>
      <c r="O24" s="36">
        <f>IFERROR(I24/J24,0)</f>
        <v/>
      </c>
      <c r="R24" s="52">
        <f>IF($D24="Actual",SUMIFS(Data_Actuals!$C$2:$C$5000,Data_Actuals!$A$2:$A$5000,$A24,Data_Actuals!$B$2:$B$5000,$B$2),"")</f>
        <v/>
      </c>
      <c r="S24" s="52">
        <f>IF($D24="Actual",SUMIFS(Data_Actuals!$D$2:$D$5000,Data_Actuals!$A$2:$A$5000,$A24,Data_Actuals!$B$2:$B$5000,$B$2),"")</f>
        <v/>
      </c>
      <c r="T24" s="52">
        <f>IF($D24="Actual",SUMIFS(Data_Actuals!$E$2:$E$5000,Data_Actuals!$A$2:$A$5000,$A24,Data_Actuals!$B$2:$B$5000,$B$2),"")</f>
        <v/>
      </c>
      <c r="U24" s="52">
        <f>IF($D24="Actual",SUMIFS(Data_Actuals!$F$2:$F$5000,Data_Actuals!$A$2:$A$5000,$A24,Data_Actuals!$B$2:$B$5000,$B$2),"")</f>
        <v/>
      </c>
      <c r="V24" s="52">
        <f>IF($D24="Actual",SUMIFS(Data_Actuals!$G$2:$G$5000,Data_Actuals!$A$2:$A$5000,$A24,Data_Actuals!$B$2:$B$5000,$B$2),"")</f>
        <v/>
      </c>
      <c r="W24" s="52">
        <f>SUMIFS(Plan_Inputs!$C$2:$C$5000,Plan_Inputs!$A$2:$A$5000,$A24,Plan_Inputs!$B$2:$B$5000,$B$2)</f>
        <v/>
      </c>
      <c r="X24" s="53">
        <f>IF($D24="Actual",IFERROR(S24/T24,""),"")</f>
        <v/>
      </c>
      <c r="Y24" s="52">
        <f>E24</f>
        <v/>
      </c>
      <c r="Z24" s="54">
        <f>INDEX(Calendar!$H$5:$L$52,MATCH($A24,Calendar!$A$5:$A$52,0),MATCH($D$2,Calendar!$H$4:$L$4,0))</f>
        <v/>
      </c>
      <c r="AA24" s="54">
        <f>INDEX(Calendar!$M$5:$M$52,MATCH($A24,Calendar!$A$5:$A$52,0))</f>
        <v/>
      </c>
      <c r="AB24" s="55">
        <f>IF($D24="Actual",IFERROR(S24/Y24,""),"")</f>
        <v/>
      </c>
      <c r="AC24" s="56">
        <f>IF($D24="Actual",IFERROR(U24/T24/Z24/AA24,""),"")</f>
        <v/>
      </c>
      <c r="AD24" s="57">
        <f>IF($D24="Actual",IFERROR(V24/(U24+V24),""),$K$2)</f>
        <v/>
      </c>
      <c r="AE24" s="56">
        <f>IFERROR(AC24*Z24*AA24,"")</f>
        <v/>
      </c>
      <c r="AF24" s="53" t="n"/>
      <c r="AG24" s="57">
        <f>IF($D24="Forecast",IFERROR(K24/AF24-1,""),"")</f>
        <v/>
      </c>
      <c r="AH24" s="53">
        <f>IF(CPLHSource="National breakdown",CPLH_Breakdown!AO29,SUMIFS(Plan_Inputs!$D$2:$D$5000,Plan_Inputs!$A$2:$A$5000,$A24,Plan_Inputs!$B$2:$B$5000,$B$2))</f>
        <v/>
      </c>
      <c r="AJ24" s="15">
        <f>F24*$AK$11</f>
        <v/>
      </c>
      <c r="AK24" s="9">
        <f>G24*$AK$11</f>
        <v/>
      </c>
      <c r="AL24" s="30">
        <f>H24*$AK$11</f>
        <v/>
      </c>
      <c r="AM24" s="30">
        <f>I24*$AK$11</f>
        <v/>
      </c>
      <c r="AN24" s="30">
        <f>J24*$AK$11</f>
        <v/>
      </c>
      <c r="AP24" s="15">
        <f>F24*$AQ$11</f>
        <v/>
      </c>
      <c r="AQ24" s="9">
        <f>G24*$AQ$11</f>
        <v/>
      </c>
      <c r="AR24" s="30">
        <f>H24*$AQ$11</f>
        <v/>
      </c>
      <c r="AS24" s="30">
        <f>I24*$AQ$11</f>
        <v/>
      </c>
      <c r="AT24" s="30">
        <f>J24*$AQ$11</f>
        <v/>
      </c>
      <c r="AV24" s="15">
        <f>F24*$AW$11</f>
        <v/>
      </c>
      <c r="AW24" s="9">
        <f>G24*$AW$11</f>
        <v/>
      </c>
      <c r="AX24" s="30">
        <f>H24*$AW$11</f>
        <v/>
      </c>
      <c r="AY24" s="30">
        <f>I24*$AW$11</f>
        <v/>
      </c>
      <c r="AZ24" s="30">
        <f>J24*$AW$11</f>
        <v/>
      </c>
    </row>
    <row r="25">
      <c r="A25" s="8" t="n">
        <v>45962</v>
      </c>
      <c r="B25" s="33">
        <f>YEAR(A25)</f>
        <v/>
      </c>
      <c r="C25" s="33">
        <f>MONTH(A25)</f>
        <v/>
      </c>
      <c r="D25">
        <f>IF(A25&lt;=LastActual,"Actual","Forecast")</f>
        <v/>
      </c>
      <c r="E25" s="30">
        <f>IF($D25="Actual",R25,W25)</f>
        <v/>
      </c>
      <c r="F25" s="15">
        <f>IF($D25="Actual",S25,Cases_Forecast!AN18)</f>
        <v/>
      </c>
      <c r="G25" s="9">
        <f>IF($D25="Actual",T25,IFERROR(F25/K25,0))</f>
        <v/>
      </c>
      <c r="H25" s="30">
        <f>IF($D25="Actual",U25,G25*L25)</f>
        <v/>
      </c>
      <c r="I25" s="30">
        <f>IF($D25="Actual",V25,J25-H25)</f>
        <v/>
      </c>
      <c r="J25" s="30">
        <f>IF($D25="Actual",U25+V25,IFERROR(H25/(1-AD25),0))</f>
        <v/>
      </c>
      <c r="K25" s="10">
        <f>IF($D25="Actual",IFERROR(S25/T25,0),CPLH_Forecast!AN18)</f>
        <v/>
      </c>
      <c r="L25" s="34">
        <f>IF($D25="Actual",IFERROR(U25/T25,0),N(AE25))</f>
        <v/>
      </c>
      <c r="M25" s="35">
        <f>IFERROR(J25/F25,0)</f>
        <v/>
      </c>
      <c r="N25" s="36">
        <f>IFERROR(J25/E25,0)</f>
        <v/>
      </c>
      <c r="O25" s="36">
        <f>IFERROR(I25/J25,0)</f>
        <v/>
      </c>
      <c r="R25" s="52">
        <f>IF($D25="Actual",SUMIFS(Data_Actuals!$C$2:$C$5000,Data_Actuals!$A$2:$A$5000,$A25,Data_Actuals!$B$2:$B$5000,$B$2),"")</f>
        <v/>
      </c>
      <c r="S25" s="52">
        <f>IF($D25="Actual",SUMIFS(Data_Actuals!$D$2:$D$5000,Data_Actuals!$A$2:$A$5000,$A25,Data_Actuals!$B$2:$B$5000,$B$2),"")</f>
        <v/>
      </c>
      <c r="T25" s="52">
        <f>IF($D25="Actual",SUMIFS(Data_Actuals!$E$2:$E$5000,Data_Actuals!$A$2:$A$5000,$A25,Data_Actuals!$B$2:$B$5000,$B$2),"")</f>
        <v/>
      </c>
      <c r="U25" s="52">
        <f>IF($D25="Actual",SUMIFS(Data_Actuals!$F$2:$F$5000,Data_Actuals!$A$2:$A$5000,$A25,Data_Actuals!$B$2:$B$5000,$B$2),"")</f>
        <v/>
      </c>
      <c r="V25" s="52">
        <f>IF($D25="Actual",SUMIFS(Data_Actuals!$G$2:$G$5000,Data_Actuals!$A$2:$A$5000,$A25,Data_Actuals!$B$2:$B$5000,$B$2),"")</f>
        <v/>
      </c>
      <c r="W25" s="52">
        <f>SUMIFS(Plan_Inputs!$C$2:$C$5000,Plan_Inputs!$A$2:$A$5000,$A25,Plan_Inputs!$B$2:$B$5000,$B$2)</f>
        <v/>
      </c>
      <c r="X25" s="53">
        <f>IF($D25="Actual",IFERROR(S25/T25,""),"")</f>
        <v/>
      </c>
      <c r="Y25" s="52">
        <f>E25</f>
        <v/>
      </c>
      <c r="Z25" s="54">
        <f>INDEX(Calendar!$H$5:$L$52,MATCH($A25,Calendar!$A$5:$A$52,0),MATCH($D$2,Calendar!$H$4:$L$4,0))</f>
        <v/>
      </c>
      <c r="AA25" s="54">
        <f>INDEX(Calendar!$M$5:$M$52,MATCH($A25,Calendar!$A$5:$A$52,0))</f>
        <v/>
      </c>
      <c r="AB25" s="55">
        <f>IF($D25="Actual",IFERROR(S25/Y25,""),"")</f>
        <v/>
      </c>
      <c r="AC25" s="56">
        <f>IF($D25="Actual",IFERROR(U25/T25/Z25/AA25,""),"")</f>
        <v/>
      </c>
      <c r="AD25" s="57">
        <f>IF($D25="Actual",IFERROR(V25/(U25+V25),""),$K$2)</f>
        <v/>
      </c>
      <c r="AE25" s="56">
        <f>IFERROR(AC25*Z25*AA25,"")</f>
        <v/>
      </c>
      <c r="AF25" s="53" t="n"/>
      <c r="AG25" s="57">
        <f>IF($D25="Forecast",IFERROR(K25/AF25-1,""),"")</f>
        <v/>
      </c>
      <c r="AH25" s="53">
        <f>IF(CPLHSource="National breakdown",CPLH_Breakdown!AO30,SUMIFS(Plan_Inputs!$D$2:$D$5000,Plan_Inputs!$A$2:$A$5000,$A25,Plan_Inputs!$B$2:$B$5000,$B$2))</f>
        <v/>
      </c>
      <c r="AJ25" s="15">
        <f>F25*$AK$11</f>
        <v/>
      </c>
      <c r="AK25" s="9">
        <f>G25*$AK$11</f>
        <v/>
      </c>
      <c r="AL25" s="30">
        <f>H25*$AK$11</f>
        <v/>
      </c>
      <c r="AM25" s="30">
        <f>I25*$AK$11</f>
        <v/>
      </c>
      <c r="AN25" s="30">
        <f>J25*$AK$11</f>
        <v/>
      </c>
      <c r="AP25" s="15">
        <f>F25*$AQ$11</f>
        <v/>
      </c>
      <c r="AQ25" s="9">
        <f>G25*$AQ$11</f>
        <v/>
      </c>
      <c r="AR25" s="30">
        <f>H25*$AQ$11</f>
        <v/>
      </c>
      <c r="AS25" s="30">
        <f>I25*$AQ$11</f>
        <v/>
      </c>
      <c r="AT25" s="30">
        <f>J25*$AQ$11</f>
        <v/>
      </c>
      <c r="AV25" s="15">
        <f>F25*$AW$11</f>
        <v/>
      </c>
      <c r="AW25" s="9">
        <f>G25*$AW$11</f>
        <v/>
      </c>
      <c r="AX25" s="30">
        <f>H25*$AW$11</f>
        <v/>
      </c>
      <c r="AY25" s="30">
        <f>I25*$AW$11</f>
        <v/>
      </c>
      <c r="AZ25" s="30">
        <f>J25*$AW$11</f>
        <v/>
      </c>
    </row>
    <row r="26">
      <c r="A26" s="37" t="n">
        <v>45992</v>
      </c>
      <c r="B26" s="38">
        <f>YEAR(A26)</f>
        <v/>
      </c>
      <c r="C26" s="38">
        <f>MONTH(A26)</f>
        <v/>
      </c>
      <c r="D26" s="39">
        <f>IF(A26&lt;=LastActual,"Actual","Forecast")</f>
        <v/>
      </c>
      <c r="E26" s="40">
        <f>IF($D26="Actual",R26,W26)</f>
        <v/>
      </c>
      <c r="F26" s="41">
        <f>IF($D26="Actual",S26,Cases_Forecast!AN19)</f>
        <v/>
      </c>
      <c r="G26" s="42">
        <f>IF($D26="Actual",T26,IFERROR(F26/K26,0))</f>
        <v/>
      </c>
      <c r="H26" s="40">
        <f>IF($D26="Actual",U26,G26*L26)</f>
        <v/>
      </c>
      <c r="I26" s="40">
        <f>IF($D26="Actual",V26,J26-H26)</f>
        <v/>
      </c>
      <c r="J26" s="40">
        <f>IF($D26="Actual",U26+V26,IFERROR(H26/(1-AD26),0))</f>
        <v/>
      </c>
      <c r="K26" s="43">
        <f>IF($D26="Actual",IFERROR(S26/T26,0),CPLH_Forecast!AN19)</f>
        <v/>
      </c>
      <c r="L26" s="44">
        <f>IF($D26="Actual",IFERROR(U26/T26,0),N(AE26))</f>
        <v/>
      </c>
      <c r="M26" s="45">
        <f>IFERROR(J26/F26,0)</f>
        <v/>
      </c>
      <c r="N26" s="46">
        <f>IFERROR(J26/E26,0)</f>
        <v/>
      </c>
      <c r="O26" s="46">
        <f>IFERROR(I26/J26,0)</f>
        <v/>
      </c>
      <c r="R26" s="52">
        <f>IF($D26="Actual",SUMIFS(Data_Actuals!$C$2:$C$5000,Data_Actuals!$A$2:$A$5000,$A26,Data_Actuals!$B$2:$B$5000,$B$2),"")</f>
        <v/>
      </c>
      <c r="S26" s="52">
        <f>IF($D26="Actual",SUMIFS(Data_Actuals!$D$2:$D$5000,Data_Actuals!$A$2:$A$5000,$A26,Data_Actuals!$B$2:$B$5000,$B$2),"")</f>
        <v/>
      </c>
      <c r="T26" s="52">
        <f>IF($D26="Actual",SUMIFS(Data_Actuals!$E$2:$E$5000,Data_Actuals!$A$2:$A$5000,$A26,Data_Actuals!$B$2:$B$5000,$B$2),"")</f>
        <v/>
      </c>
      <c r="U26" s="52">
        <f>IF($D26="Actual",SUMIFS(Data_Actuals!$F$2:$F$5000,Data_Actuals!$A$2:$A$5000,$A26,Data_Actuals!$B$2:$B$5000,$B$2),"")</f>
        <v/>
      </c>
      <c r="V26" s="52">
        <f>IF($D26="Actual",SUMIFS(Data_Actuals!$G$2:$G$5000,Data_Actuals!$A$2:$A$5000,$A26,Data_Actuals!$B$2:$B$5000,$B$2),"")</f>
        <v/>
      </c>
      <c r="W26" s="52">
        <f>SUMIFS(Plan_Inputs!$C$2:$C$5000,Plan_Inputs!$A$2:$A$5000,$A26,Plan_Inputs!$B$2:$B$5000,$B$2)</f>
        <v/>
      </c>
      <c r="X26" s="53">
        <f>IF($D26="Actual",IFERROR(S26/T26,""),"")</f>
        <v/>
      </c>
      <c r="Y26" s="52">
        <f>E26</f>
        <v/>
      </c>
      <c r="Z26" s="54">
        <f>INDEX(Calendar!$H$5:$L$52,MATCH($A26,Calendar!$A$5:$A$52,0),MATCH($D$2,Calendar!$H$4:$L$4,0))</f>
        <v/>
      </c>
      <c r="AA26" s="54">
        <f>INDEX(Calendar!$M$5:$M$52,MATCH($A26,Calendar!$A$5:$A$52,0))</f>
        <v/>
      </c>
      <c r="AB26" s="55">
        <f>IF($D26="Actual",IFERROR(S26/Y26,""),"")</f>
        <v/>
      </c>
      <c r="AC26" s="56">
        <f>IF($D26="Actual",IFERROR(U26/T26/Z26/AA26,""),"")</f>
        <v/>
      </c>
      <c r="AD26" s="57">
        <f>IF($D26="Actual",IFERROR(V26/(U26+V26),""),$K$2)</f>
        <v/>
      </c>
      <c r="AE26" s="56">
        <f>IFERROR(AC26*Z26*AA26,"")</f>
        <v/>
      </c>
      <c r="AF26" s="53" t="n"/>
      <c r="AG26" s="57">
        <f>IF($D26="Forecast",IFERROR(K26/AF26-1,""),"")</f>
        <v/>
      </c>
      <c r="AH26" s="53">
        <f>IF(CPLHSource="National breakdown",CPLH_Breakdown!AO31,SUMIFS(Plan_Inputs!$D$2:$D$5000,Plan_Inputs!$A$2:$A$5000,$A26,Plan_Inputs!$B$2:$B$5000,$B$2))</f>
        <v/>
      </c>
      <c r="AJ26" s="41">
        <f>F26*$AK$11</f>
        <v/>
      </c>
      <c r="AK26" s="42">
        <f>G26*$AK$11</f>
        <v/>
      </c>
      <c r="AL26" s="40">
        <f>H26*$AK$11</f>
        <v/>
      </c>
      <c r="AM26" s="40">
        <f>I26*$AK$11</f>
        <v/>
      </c>
      <c r="AN26" s="40">
        <f>J26*$AK$11</f>
        <v/>
      </c>
      <c r="AP26" s="41">
        <f>F26*$AQ$11</f>
        <v/>
      </c>
      <c r="AQ26" s="42">
        <f>G26*$AQ$11</f>
        <v/>
      </c>
      <c r="AR26" s="40">
        <f>H26*$AQ$11</f>
        <v/>
      </c>
      <c r="AS26" s="40">
        <f>I26*$AQ$11</f>
        <v/>
      </c>
      <c r="AT26" s="40">
        <f>J26*$AQ$11</f>
        <v/>
      </c>
      <c r="AV26" s="41">
        <f>F26*$AW$11</f>
        <v/>
      </c>
      <c r="AW26" s="42">
        <f>G26*$AW$11</f>
        <v/>
      </c>
      <c r="AX26" s="40">
        <f>H26*$AW$11</f>
        <v/>
      </c>
      <c r="AY26" s="40">
        <f>I26*$AW$11</f>
        <v/>
      </c>
      <c r="AZ26" s="40">
        <f>J26*$AW$11</f>
        <v/>
      </c>
    </row>
    <row r="27">
      <c r="A27" s="8" t="n">
        <v>46023</v>
      </c>
      <c r="B27" s="33">
        <f>YEAR(A27)</f>
        <v/>
      </c>
      <c r="C27" s="33">
        <f>MONTH(A27)</f>
        <v/>
      </c>
      <c r="D27">
        <f>IF(A27&lt;=LastActual,"Actual","Forecast")</f>
        <v/>
      </c>
      <c r="E27" s="30">
        <f>IF($D27="Actual",R27,W27)</f>
        <v/>
      </c>
      <c r="F27" s="15">
        <f>IF($D27="Actual",S27,Cases_Forecast!AN20)</f>
        <v/>
      </c>
      <c r="G27" s="9">
        <f>IF($D27="Actual",T27,IFERROR(F27/K27,0))</f>
        <v/>
      </c>
      <c r="H27" s="30">
        <f>IF($D27="Actual",U27,G27*L27)</f>
        <v/>
      </c>
      <c r="I27" s="30">
        <f>IF($D27="Actual",V27,J27-H27)</f>
        <v/>
      </c>
      <c r="J27" s="30">
        <f>IF($D27="Actual",U27+V27,IFERROR(H27/(1-AD27),0))</f>
        <v/>
      </c>
      <c r="K27" s="10">
        <f>IF($D27="Actual",IFERROR(S27/T27,0),CPLH_Forecast!AN20)</f>
        <v/>
      </c>
      <c r="L27" s="34">
        <f>IF($D27="Actual",IFERROR(U27/T27,0),N(AE27))</f>
        <v/>
      </c>
      <c r="M27" s="35">
        <f>IFERROR(J27/F27,0)</f>
        <v/>
      </c>
      <c r="N27" s="36">
        <f>IFERROR(J27/E27,0)</f>
        <v/>
      </c>
      <c r="O27" s="36">
        <f>IFERROR(I27/J27,0)</f>
        <v/>
      </c>
      <c r="R27" s="52">
        <f>IF($D27="Actual",SUMIFS(Data_Actuals!$C$2:$C$5000,Data_Actuals!$A$2:$A$5000,$A27,Data_Actuals!$B$2:$B$5000,$B$2),"")</f>
        <v/>
      </c>
      <c r="S27" s="52">
        <f>IF($D27="Actual",SUMIFS(Data_Actuals!$D$2:$D$5000,Data_Actuals!$A$2:$A$5000,$A27,Data_Actuals!$B$2:$B$5000,$B$2),"")</f>
        <v/>
      </c>
      <c r="T27" s="52">
        <f>IF($D27="Actual",SUMIFS(Data_Actuals!$E$2:$E$5000,Data_Actuals!$A$2:$A$5000,$A27,Data_Actuals!$B$2:$B$5000,$B$2),"")</f>
        <v/>
      </c>
      <c r="U27" s="52">
        <f>IF($D27="Actual",SUMIFS(Data_Actuals!$F$2:$F$5000,Data_Actuals!$A$2:$A$5000,$A27,Data_Actuals!$B$2:$B$5000,$B$2),"")</f>
        <v/>
      </c>
      <c r="V27" s="52">
        <f>IF($D27="Actual",SUMIFS(Data_Actuals!$G$2:$G$5000,Data_Actuals!$A$2:$A$5000,$A27,Data_Actuals!$B$2:$B$5000,$B$2),"")</f>
        <v/>
      </c>
      <c r="W27" s="52">
        <f>SUMIFS(Plan_Inputs!$C$2:$C$5000,Plan_Inputs!$A$2:$A$5000,$A27,Plan_Inputs!$B$2:$B$5000,$B$2)</f>
        <v/>
      </c>
      <c r="X27" s="53">
        <f>IF($D27="Actual",IFERROR(S27/T27,""),X15)</f>
        <v/>
      </c>
      <c r="Y27" s="52">
        <f>E27</f>
        <v/>
      </c>
      <c r="Z27" s="54">
        <f>INDEX(Calendar!$H$5:$L$52,MATCH($A27,Calendar!$A$5:$A$52,0),MATCH($D$2,Calendar!$H$4:$L$4,0))</f>
        <v/>
      </c>
      <c r="AA27" s="54">
        <f>INDEX(Calendar!$M$5:$M$52,MATCH($A27,Calendar!$A$5:$A$52,0))</f>
        <v/>
      </c>
      <c r="AB27" s="55">
        <f>IF($D27="Actual",IFERROR(S27/Y27,""),AB15)</f>
        <v/>
      </c>
      <c r="AC27" s="56">
        <f>IF($D27="Actual",IFERROR(U27/T27/Z27/AA27,""),AC15)</f>
        <v/>
      </c>
      <c r="AD27" s="57">
        <f>IF($D27="Actual",IFERROR(V27/(U27+V27),""),$K$2)</f>
        <v/>
      </c>
      <c r="AE27" s="56">
        <f>IFERROR(AC27*Z27*AA27,"")</f>
        <v/>
      </c>
      <c r="AF27" s="53">
        <f>K15</f>
        <v/>
      </c>
      <c r="AG27" s="57">
        <f>IF($D27="Forecast",IFERROR(K27/AF27-1,""),"")</f>
        <v/>
      </c>
      <c r="AH27" s="53">
        <f>IF(CPLHSource="National breakdown",CPLH_Breakdown!AO32,SUMIFS(Plan_Inputs!$D$2:$D$5000,Plan_Inputs!$A$2:$A$5000,$A27,Plan_Inputs!$B$2:$B$5000,$B$2))</f>
        <v/>
      </c>
      <c r="AJ27" s="15">
        <f>F27*$AK$11</f>
        <v/>
      </c>
      <c r="AK27" s="9">
        <f>G27*$AK$11</f>
        <v/>
      </c>
      <c r="AL27" s="30">
        <f>H27*$AK$11</f>
        <v/>
      </c>
      <c r="AM27" s="30">
        <f>I27*$AK$11</f>
        <v/>
      </c>
      <c r="AN27" s="30">
        <f>J27*$AK$11</f>
        <v/>
      </c>
      <c r="AP27" s="15">
        <f>F27*$AQ$11</f>
        <v/>
      </c>
      <c r="AQ27" s="9">
        <f>G27*$AQ$11</f>
        <v/>
      </c>
      <c r="AR27" s="30">
        <f>H27*$AQ$11</f>
        <v/>
      </c>
      <c r="AS27" s="30">
        <f>I27*$AQ$11</f>
        <v/>
      </c>
      <c r="AT27" s="30">
        <f>J27*$AQ$11</f>
        <v/>
      </c>
      <c r="AV27" s="15">
        <f>F27*$AW$11</f>
        <v/>
      </c>
      <c r="AW27" s="9">
        <f>G27*$AW$11</f>
        <v/>
      </c>
      <c r="AX27" s="30">
        <f>H27*$AW$11</f>
        <v/>
      </c>
      <c r="AY27" s="30">
        <f>I27*$AW$11</f>
        <v/>
      </c>
      <c r="AZ27" s="30">
        <f>J27*$AW$11</f>
        <v/>
      </c>
    </row>
    <row r="28">
      <c r="A28" s="8" t="n">
        <v>46054</v>
      </c>
      <c r="B28" s="33">
        <f>YEAR(A28)</f>
        <v/>
      </c>
      <c r="C28" s="33">
        <f>MONTH(A28)</f>
        <v/>
      </c>
      <c r="D28">
        <f>IF(A28&lt;=LastActual,"Actual","Forecast")</f>
        <v/>
      </c>
      <c r="E28" s="30">
        <f>IF($D28="Actual",R28,W28)</f>
        <v/>
      </c>
      <c r="F28" s="15">
        <f>IF($D28="Actual",S28,Cases_Forecast!AN21)</f>
        <v/>
      </c>
      <c r="G28" s="9">
        <f>IF($D28="Actual",T28,IFERROR(F28/K28,0))</f>
        <v/>
      </c>
      <c r="H28" s="30">
        <f>IF($D28="Actual",U28,G28*L28)</f>
        <v/>
      </c>
      <c r="I28" s="30">
        <f>IF($D28="Actual",V28,J28-H28)</f>
        <v/>
      </c>
      <c r="J28" s="30">
        <f>IF($D28="Actual",U28+V28,IFERROR(H28/(1-AD28),0))</f>
        <v/>
      </c>
      <c r="K28" s="10">
        <f>IF($D28="Actual",IFERROR(S28/T28,0),CPLH_Forecast!AN21)</f>
        <v/>
      </c>
      <c r="L28" s="34">
        <f>IF($D28="Actual",IFERROR(U28/T28,0),N(AE28))</f>
        <v/>
      </c>
      <c r="M28" s="35">
        <f>IFERROR(J28/F28,0)</f>
        <v/>
      </c>
      <c r="N28" s="36">
        <f>IFERROR(J28/E28,0)</f>
        <v/>
      </c>
      <c r="O28" s="36">
        <f>IFERROR(I28/J28,0)</f>
        <v/>
      </c>
      <c r="R28" s="52">
        <f>IF($D28="Actual",SUMIFS(Data_Actuals!$C$2:$C$5000,Data_Actuals!$A$2:$A$5000,$A28,Data_Actuals!$B$2:$B$5000,$B$2),"")</f>
        <v/>
      </c>
      <c r="S28" s="52">
        <f>IF($D28="Actual",SUMIFS(Data_Actuals!$D$2:$D$5000,Data_Actuals!$A$2:$A$5000,$A28,Data_Actuals!$B$2:$B$5000,$B$2),"")</f>
        <v/>
      </c>
      <c r="T28" s="52">
        <f>IF($D28="Actual",SUMIFS(Data_Actuals!$E$2:$E$5000,Data_Actuals!$A$2:$A$5000,$A28,Data_Actuals!$B$2:$B$5000,$B$2),"")</f>
        <v/>
      </c>
      <c r="U28" s="52">
        <f>IF($D28="Actual",SUMIFS(Data_Actuals!$F$2:$F$5000,Data_Actuals!$A$2:$A$5000,$A28,Data_Actuals!$B$2:$B$5000,$B$2),"")</f>
        <v/>
      </c>
      <c r="V28" s="52">
        <f>IF($D28="Actual",SUMIFS(Data_Actuals!$G$2:$G$5000,Data_Actuals!$A$2:$A$5000,$A28,Data_Actuals!$B$2:$B$5000,$B$2),"")</f>
        <v/>
      </c>
      <c r="W28" s="52">
        <f>SUMIFS(Plan_Inputs!$C$2:$C$5000,Plan_Inputs!$A$2:$A$5000,$A28,Plan_Inputs!$B$2:$B$5000,$B$2)</f>
        <v/>
      </c>
      <c r="X28" s="53">
        <f>IF($D28="Actual",IFERROR(S28/T28,""),X16)</f>
        <v/>
      </c>
      <c r="Y28" s="52">
        <f>E28</f>
        <v/>
      </c>
      <c r="Z28" s="54">
        <f>INDEX(Calendar!$H$5:$L$52,MATCH($A28,Calendar!$A$5:$A$52,0),MATCH($D$2,Calendar!$H$4:$L$4,0))</f>
        <v/>
      </c>
      <c r="AA28" s="54">
        <f>INDEX(Calendar!$M$5:$M$52,MATCH($A28,Calendar!$A$5:$A$52,0))</f>
        <v/>
      </c>
      <c r="AB28" s="55">
        <f>IF($D28="Actual",IFERROR(S28/Y28,""),AB16)</f>
        <v/>
      </c>
      <c r="AC28" s="56">
        <f>IF($D28="Actual",IFERROR(U28/T28/Z28/AA28,""),AC16)</f>
        <v/>
      </c>
      <c r="AD28" s="57">
        <f>IF($D28="Actual",IFERROR(V28/(U28+V28),""),$K$2)</f>
        <v/>
      </c>
      <c r="AE28" s="56">
        <f>IFERROR(AC28*Z28*AA28,"")</f>
        <v/>
      </c>
      <c r="AF28" s="53">
        <f>K16</f>
        <v/>
      </c>
      <c r="AG28" s="57">
        <f>IF($D28="Forecast",IFERROR(K28/AF28-1,""),"")</f>
        <v/>
      </c>
      <c r="AH28" s="53">
        <f>IF(CPLHSource="National breakdown",CPLH_Breakdown!AO33,SUMIFS(Plan_Inputs!$D$2:$D$5000,Plan_Inputs!$A$2:$A$5000,$A28,Plan_Inputs!$B$2:$B$5000,$B$2))</f>
        <v/>
      </c>
      <c r="AJ28" s="15">
        <f>F28*$AK$11</f>
        <v/>
      </c>
      <c r="AK28" s="9">
        <f>G28*$AK$11</f>
        <v/>
      </c>
      <c r="AL28" s="30">
        <f>H28*$AK$11</f>
        <v/>
      </c>
      <c r="AM28" s="30">
        <f>I28*$AK$11</f>
        <v/>
      </c>
      <c r="AN28" s="30">
        <f>J28*$AK$11</f>
        <v/>
      </c>
      <c r="AP28" s="15">
        <f>F28*$AQ$11</f>
        <v/>
      </c>
      <c r="AQ28" s="9">
        <f>G28*$AQ$11</f>
        <v/>
      </c>
      <c r="AR28" s="30">
        <f>H28*$AQ$11</f>
        <v/>
      </c>
      <c r="AS28" s="30">
        <f>I28*$AQ$11</f>
        <v/>
      </c>
      <c r="AT28" s="30">
        <f>J28*$AQ$11</f>
        <v/>
      </c>
      <c r="AV28" s="15">
        <f>F28*$AW$11</f>
        <v/>
      </c>
      <c r="AW28" s="9">
        <f>G28*$AW$11</f>
        <v/>
      </c>
      <c r="AX28" s="30">
        <f>H28*$AW$11</f>
        <v/>
      </c>
      <c r="AY28" s="30">
        <f>I28*$AW$11</f>
        <v/>
      </c>
      <c r="AZ28" s="30">
        <f>J28*$AW$11</f>
        <v/>
      </c>
    </row>
    <row r="29">
      <c r="A29" s="8" t="n">
        <v>46082</v>
      </c>
      <c r="B29" s="33">
        <f>YEAR(A29)</f>
        <v/>
      </c>
      <c r="C29" s="33">
        <f>MONTH(A29)</f>
        <v/>
      </c>
      <c r="D29">
        <f>IF(A29&lt;=LastActual,"Actual","Forecast")</f>
        <v/>
      </c>
      <c r="E29" s="30">
        <f>IF($D29="Actual",R29,W29)</f>
        <v/>
      </c>
      <c r="F29" s="15">
        <f>IF($D29="Actual",S29,Cases_Forecast!AN22)</f>
        <v/>
      </c>
      <c r="G29" s="9">
        <f>IF($D29="Actual",T29,IFERROR(F29/K29,0))</f>
        <v/>
      </c>
      <c r="H29" s="30">
        <f>IF($D29="Actual",U29,G29*L29)</f>
        <v/>
      </c>
      <c r="I29" s="30">
        <f>IF($D29="Actual",V29,J29-H29)</f>
        <v/>
      </c>
      <c r="J29" s="30">
        <f>IF($D29="Actual",U29+V29,IFERROR(H29/(1-AD29),0))</f>
        <v/>
      </c>
      <c r="K29" s="10">
        <f>IF($D29="Actual",IFERROR(S29/T29,0),CPLH_Forecast!AN22)</f>
        <v/>
      </c>
      <c r="L29" s="34">
        <f>IF($D29="Actual",IFERROR(U29/T29,0),N(AE29))</f>
        <v/>
      </c>
      <c r="M29" s="35">
        <f>IFERROR(J29/F29,0)</f>
        <v/>
      </c>
      <c r="N29" s="36">
        <f>IFERROR(J29/E29,0)</f>
        <v/>
      </c>
      <c r="O29" s="36">
        <f>IFERROR(I29/J29,0)</f>
        <v/>
      </c>
      <c r="R29" s="52">
        <f>IF($D29="Actual",SUMIFS(Data_Actuals!$C$2:$C$5000,Data_Actuals!$A$2:$A$5000,$A29,Data_Actuals!$B$2:$B$5000,$B$2),"")</f>
        <v/>
      </c>
      <c r="S29" s="52">
        <f>IF($D29="Actual",SUMIFS(Data_Actuals!$D$2:$D$5000,Data_Actuals!$A$2:$A$5000,$A29,Data_Actuals!$B$2:$B$5000,$B$2),"")</f>
        <v/>
      </c>
      <c r="T29" s="52">
        <f>IF($D29="Actual",SUMIFS(Data_Actuals!$E$2:$E$5000,Data_Actuals!$A$2:$A$5000,$A29,Data_Actuals!$B$2:$B$5000,$B$2),"")</f>
        <v/>
      </c>
      <c r="U29" s="52">
        <f>IF($D29="Actual",SUMIFS(Data_Actuals!$F$2:$F$5000,Data_Actuals!$A$2:$A$5000,$A29,Data_Actuals!$B$2:$B$5000,$B$2),"")</f>
        <v/>
      </c>
      <c r="V29" s="52">
        <f>IF($D29="Actual",SUMIFS(Data_Actuals!$G$2:$G$5000,Data_Actuals!$A$2:$A$5000,$A29,Data_Actuals!$B$2:$B$5000,$B$2),"")</f>
        <v/>
      </c>
      <c r="W29" s="52">
        <f>SUMIFS(Plan_Inputs!$C$2:$C$5000,Plan_Inputs!$A$2:$A$5000,$A29,Plan_Inputs!$B$2:$B$5000,$B$2)</f>
        <v/>
      </c>
      <c r="X29" s="53">
        <f>IF($D29="Actual",IFERROR(S29/T29,""),X17)</f>
        <v/>
      </c>
      <c r="Y29" s="52">
        <f>E29</f>
        <v/>
      </c>
      <c r="Z29" s="54">
        <f>INDEX(Calendar!$H$5:$L$52,MATCH($A29,Calendar!$A$5:$A$52,0),MATCH($D$2,Calendar!$H$4:$L$4,0))</f>
        <v/>
      </c>
      <c r="AA29" s="54">
        <f>INDEX(Calendar!$M$5:$M$52,MATCH($A29,Calendar!$A$5:$A$52,0))</f>
        <v/>
      </c>
      <c r="AB29" s="55">
        <f>IF($D29="Actual",IFERROR(S29/Y29,""),AB17)</f>
        <v/>
      </c>
      <c r="AC29" s="56">
        <f>IF($D29="Actual",IFERROR(U29/T29/Z29/AA29,""),AC17)</f>
        <v/>
      </c>
      <c r="AD29" s="57">
        <f>IF($D29="Actual",IFERROR(V29/(U29+V29),""),$K$2)</f>
        <v/>
      </c>
      <c r="AE29" s="56">
        <f>IFERROR(AC29*Z29*AA29,"")</f>
        <v/>
      </c>
      <c r="AF29" s="53">
        <f>K17</f>
        <v/>
      </c>
      <c r="AG29" s="57">
        <f>IF($D29="Forecast",IFERROR(K29/AF29-1,""),"")</f>
        <v/>
      </c>
      <c r="AH29" s="53">
        <f>IF(CPLHSource="National breakdown",CPLH_Breakdown!AO34,SUMIFS(Plan_Inputs!$D$2:$D$5000,Plan_Inputs!$A$2:$A$5000,$A29,Plan_Inputs!$B$2:$B$5000,$B$2))</f>
        <v/>
      </c>
      <c r="AJ29" s="15">
        <f>F29*$AK$11</f>
        <v/>
      </c>
      <c r="AK29" s="9">
        <f>G29*$AK$11</f>
        <v/>
      </c>
      <c r="AL29" s="30">
        <f>H29*$AK$11</f>
        <v/>
      </c>
      <c r="AM29" s="30">
        <f>I29*$AK$11</f>
        <v/>
      </c>
      <c r="AN29" s="30">
        <f>J29*$AK$11</f>
        <v/>
      </c>
      <c r="AP29" s="15">
        <f>F29*$AQ$11</f>
        <v/>
      </c>
      <c r="AQ29" s="9">
        <f>G29*$AQ$11</f>
        <v/>
      </c>
      <c r="AR29" s="30">
        <f>H29*$AQ$11</f>
        <v/>
      </c>
      <c r="AS29" s="30">
        <f>I29*$AQ$11</f>
        <v/>
      </c>
      <c r="AT29" s="30">
        <f>J29*$AQ$11</f>
        <v/>
      </c>
      <c r="AV29" s="15">
        <f>F29*$AW$11</f>
        <v/>
      </c>
      <c r="AW29" s="9">
        <f>G29*$AW$11</f>
        <v/>
      </c>
      <c r="AX29" s="30">
        <f>H29*$AW$11</f>
        <v/>
      </c>
      <c r="AY29" s="30">
        <f>I29*$AW$11</f>
        <v/>
      </c>
      <c r="AZ29" s="30">
        <f>J29*$AW$11</f>
        <v/>
      </c>
    </row>
    <row r="30">
      <c r="A30" s="8" t="n">
        <v>46113</v>
      </c>
      <c r="B30" s="33">
        <f>YEAR(A30)</f>
        <v/>
      </c>
      <c r="C30" s="33">
        <f>MONTH(A30)</f>
        <v/>
      </c>
      <c r="D30">
        <f>IF(A30&lt;=LastActual,"Actual","Forecast")</f>
        <v/>
      </c>
      <c r="E30" s="30">
        <f>IF($D30="Actual",R30,W30)</f>
        <v/>
      </c>
      <c r="F30" s="15">
        <f>IF($D30="Actual",S30,Cases_Forecast!AN23)</f>
        <v/>
      </c>
      <c r="G30" s="9">
        <f>IF($D30="Actual",T30,IFERROR(F30/K30,0))</f>
        <v/>
      </c>
      <c r="H30" s="30">
        <f>IF($D30="Actual",U30,G30*L30)</f>
        <v/>
      </c>
      <c r="I30" s="30">
        <f>IF($D30="Actual",V30,J30-H30)</f>
        <v/>
      </c>
      <c r="J30" s="30">
        <f>IF($D30="Actual",U30+V30,IFERROR(H30/(1-AD30),0))</f>
        <v/>
      </c>
      <c r="K30" s="10">
        <f>IF($D30="Actual",IFERROR(S30/T30,0),CPLH_Forecast!AN23)</f>
        <v/>
      </c>
      <c r="L30" s="34">
        <f>IF($D30="Actual",IFERROR(U30/T30,0),N(AE30))</f>
        <v/>
      </c>
      <c r="M30" s="35">
        <f>IFERROR(J30/F30,0)</f>
        <v/>
      </c>
      <c r="N30" s="36">
        <f>IFERROR(J30/E30,0)</f>
        <v/>
      </c>
      <c r="O30" s="36">
        <f>IFERROR(I30/J30,0)</f>
        <v/>
      </c>
      <c r="R30" s="52">
        <f>IF($D30="Actual",SUMIFS(Data_Actuals!$C$2:$C$5000,Data_Actuals!$A$2:$A$5000,$A30,Data_Actuals!$B$2:$B$5000,$B$2),"")</f>
        <v/>
      </c>
      <c r="S30" s="52">
        <f>IF($D30="Actual",SUMIFS(Data_Actuals!$D$2:$D$5000,Data_Actuals!$A$2:$A$5000,$A30,Data_Actuals!$B$2:$B$5000,$B$2),"")</f>
        <v/>
      </c>
      <c r="T30" s="52">
        <f>IF($D30="Actual",SUMIFS(Data_Actuals!$E$2:$E$5000,Data_Actuals!$A$2:$A$5000,$A30,Data_Actuals!$B$2:$B$5000,$B$2),"")</f>
        <v/>
      </c>
      <c r="U30" s="52">
        <f>IF($D30="Actual",SUMIFS(Data_Actuals!$F$2:$F$5000,Data_Actuals!$A$2:$A$5000,$A30,Data_Actuals!$B$2:$B$5000,$B$2),"")</f>
        <v/>
      </c>
      <c r="V30" s="52">
        <f>IF($D30="Actual",SUMIFS(Data_Actuals!$G$2:$G$5000,Data_Actuals!$A$2:$A$5000,$A30,Data_Actuals!$B$2:$B$5000,$B$2),"")</f>
        <v/>
      </c>
      <c r="W30" s="52">
        <f>SUMIFS(Plan_Inputs!$C$2:$C$5000,Plan_Inputs!$A$2:$A$5000,$A30,Plan_Inputs!$B$2:$B$5000,$B$2)</f>
        <v/>
      </c>
      <c r="X30" s="53">
        <f>IF($D30="Actual",IFERROR(S30/T30,""),X18)</f>
        <v/>
      </c>
      <c r="Y30" s="52">
        <f>E30</f>
        <v/>
      </c>
      <c r="Z30" s="54">
        <f>INDEX(Calendar!$H$5:$L$52,MATCH($A30,Calendar!$A$5:$A$52,0),MATCH($D$2,Calendar!$H$4:$L$4,0))</f>
        <v/>
      </c>
      <c r="AA30" s="54">
        <f>INDEX(Calendar!$M$5:$M$52,MATCH($A30,Calendar!$A$5:$A$52,0))</f>
        <v/>
      </c>
      <c r="AB30" s="55">
        <f>IF($D30="Actual",IFERROR(S30/Y30,""),AB18)</f>
        <v/>
      </c>
      <c r="AC30" s="56">
        <f>IF($D30="Actual",IFERROR(U30/T30/Z30/AA30,""),AC18)</f>
        <v/>
      </c>
      <c r="AD30" s="57">
        <f>IF($D30="Actual",IFERROR(V30/(U30+V30),""),$K$2)</f>
        <v/>
      </c>
      <c r="AE30" s="56">
        <f>IFERROR(AC30*Z30*AA30,"")</f>
        <v/>
      </c>
      <c r="AF30" s="53">
        <f>K18</f>
        <v/>
      </c>
      <c r="AG30" s="57">
        <f>IF($D30="Forecast",IFERROR(K30/AF30-1,""),"")</f>
        <v/>
      </c>
      <c r="AH30" s="53">
        <f>IF(CPLHSource="National breakdown",CPLH_Breakdown!AO35,SUMIFS(Plan_Inputs!$D$2:$D$5000,Plan_Inputs!$A$2:$A$5000,$A30,Plan_Inputs!$B$2:$B$5000,$B$2))</f>
        <v/>
      </c>
      <c r="AJ30" s="15">
        <f>F30*$AK$11</f>
        <v/>
      </c>
      <c r="AK30" s="9">
        <f>G30*$AK$11</f>
        <v/>
      </c>
      <c r="AL30" s="30">
        <f>H30*$AK$11</f>
        <v/>
      </c>
      <c r="AM30" s="30">
        <f>I30*$AK$11</f>
        <v/>
      </c>
      <c r="AN30" s="30">
        <f>J30*$AK$11</f>
        <v/>
      </c>
      <c r="AP30" s="15">
        <f>F30*$AQ$11</f>
        <v/>
      </c>
      <c r="AQ30" s="9">
        <f>G30*$AQ$11</f>
        <v/>
      </c>
      <c r="AR30" s="30">
        <f>H30*$AQ$11</f>
        <v/>
      </c>
      <c r="AS30" s="30">
        <f>I30*$AQ$11</f>
        <v/>
      </c>
      <c r="AT30" s="30">
        <f>J30*$AQ$11</f>
        <v/>
      </c>
      <c r="AV30" s="15">
        <f>F30*$AW$11</f>
        <v/>
      </c>
      <c r="AW30" s="9">
        <f>G30*$AW$11</f>
        <v/>
      </c>
      <c r="AX30" s="30">
        <f>H30*$AW$11</f>
        <v/>
      </c>
      <c r="AY30" s="30">
        <f>I30*$AW$11</f>
        <v/>
      </c>
      <c r="AZ30" s="30">
        <f>J30*$AW$11</f>
        <v/>
      </c>
    </row>
    <row r="31">
      <c r="A31" s="8" t="n">
        <v>46143</v>
      </c>
      <c r="B31" s="33">
        <f>YEAR(A31)</f>
        <v/>
      </c>
      <c r="C31" s="33">
        <f>MONTH(A31)</f>
        <v/>
      </c>
      <c r="D31">
        <f>IF(A31&lt;=LastActual,"Actual","Forecast")</f>
        <v/>
      </c>
      <c r="E31" s="30">
        <f>IF($D31="Actual",R31,W31)</f>
        <v/>
      </c>
      <c r="F31" s="15">
        <f>IF($D31="Actual",S31,Cases_Forecast!AN24)</f>
        <v/>
      </c>
      <c r="G31" s="9">
        <f>IF($D31="Actual",T31,IFERROR(F31/K31,0))</f>
        <v/>
      </c>
      <c r="H31" s="30">
        <f>IF($D31="Actual",U31,G31*L31)</f>
        <v/>
      </c>
      <c r="I31" s="30">
        <f>IF($D31="Actual",V31,J31-H31)</f>
        <v/>
      </c>
      <c r="J31" s="30">
        <f>IF($D31="Actual",U31+V31,IFERROR(H31/(1-AD31),0))</f>
        <v/>
      </c>
      <c r="K31" s="10">
        <f>IF($D31="Actual",IFERROR(S31/T31,0),CPLH_Forecast!AN24)</f>
        <v/>
      </c>
      <c r="L31" s="34">
        <f>IF($D31="Actual",IFERROR(U31/T31,0),N(AE31))</f>
        <v/>
      </c>
      <c r="M31" s="35">
        <f>IFERROR(J31/F31,0)</f>
        <v/>
      </c>
      <c r="N31" s="36">
        <f>IFERROR(J31/E31,0)</f>
        <v/>
      </c>
      <c r="O31" s="36">
        <f>IFERROR(I31/J31,0)</f>
        <v/>
      </c>
      <c r="R31" s="52">
        <f>IF($D31="Actual",SUMIFS(Data_Actuals!$C$2:$C$5000,Data_Actuals!$A$2:$A$5000,$A31,Data_Actuals!$B$2:$B$5000,$B$2),"")</f>
        <v/>
      </c>
      <c r="S31" s="52">
        <f>IF($D31="Actual",SUMIFS(Data_Actuals!$D$2:$D$5000,Data_Actuals!$A$2:$A$5000,$A31,Data_Actuals!$B$2:$B$5000,$B$2),"")</f>
        <v/>
      </c>
      <c r="T31" s="52">
        <f>IF($D31="Actual",SUMIFS(Data_Actuals!$E$2:$E$5000,Data_Actuals!$A$2:$A$5000,$A31,Data_Actuals!$B$2:$B$5000,$B$2),"")</f>
        <v/>
      </c>
      <c r="U31" s="52">
        <f>IF($D31="Actual",SUMIFS(Data_Actuals!$F$2:$F$5000,Data_Actuals!$A$2:$A$5000,$A31,Data_Actuals!$B$2:$B$5000,$B$2),"")</f>
        <v/>
      </c>
      <c r="V31" s="52">
        <f>IF($D31="Actual",SUMIFS(Data_Actuals!$G$2:$G$5000,Data_Actuals!$A$2:$A$5000,$A31,Data_Actuals!$B$2:$B$5000,$B$2),"")</f>
        <v/>
      </c>
      <c r="W31" s="52">
        <f>SUMIFS(Plan_Inputs!$C$2:$C$5000,Plan_Inputs!$A$2:$A$5000,$A31,Plan_Inputs!$B$2:$B$5000,$B$2)</f>
        <v/>
      </c>
      <c r="X31" s="53">
        <f>IF($D31="Actual",IFERROR(S31/T31,""),X19)</f>
        <v/>
      </c>
      <c r="Y31" s="52">
        <f>E31</f>
        <v/>
      </c>
      <c r="Z31" s="54">
        <f>INDEX(Calendar!$H$5:$L$52,MATCH($A31,Calendar!$A$5:$A$52,0),MATCH($D$2,Calendar!$H$4:$L$4,0))</f>
        <v/>
      </c>
      <c r="AA31" s="54">
        <f>INDEX(Calendar!$M$5:$M$52,MATCH($A31,Calendar!$A$5:$A$52,0))</f>
        <v/>
      </c>
      <c r="AB31" s="55">
        <f>IF($D31="Actual",IFERROR(S31/Y31,""),AB19)</f>
        <v/>
      </c>
      <c r="AC31" s="56">
        <f>IF($D31="Actual",IFERROR(U31/T31/Z31/AA31,""),AC19)</f>
        <v/>
      </c>
      <c r="AD31" s="57">
        <f>IF($D31="Actual",IFERROR(V31/(U31+V31),""),$K$2)</f>
        <v/>
      </c>
      <c r="AE31" s="56">
        <f>IFERROR(AC31*Z31*AA31,"")</f>
        <v/>
      </c>
      <c r="AF31" s="53">
        <f>K19</f>
        <v/>
      </c>
      <c r="AG31" s="57">
        <f>IF($D31="Forecast",IFERROR(K31/AF31-1,""),"")</f>
        <v/>
      </c>
      <c r="AH31" s="53">
        <f>IF(CPLHSource="National breakdown",CPLH_Breakdown!AO36,SUMIFS(Plan_Inputs!$D$2:$D$5000,Plan_Inputs!$A$2:$A$5000,$A31,Plan_Inputs!$B$2:$B$5000,$B$2))</f>
        <v/>
      </c>
      <c r="AJ31" s="15">
        <f>F31*$AK$11</f>
        <v/>
      </c>
      <c r="AK31" s="9">
        <f>G31*$AK$11</f>
        <v/>
      </c>
      <c r="AL31" s="30">
        <f>H31*$AK$11</f>
        <v/>
      </c>
      <c r="AM31" s="30">
        <f>I31*$AK$11</f>
        <v/>
      </c>
      <c r="AN31" s="30">
        <f>J31*$AK$11</f>
        <v/>
      </c>
      <c r="AP31" s="15">
        <f>F31*$AQ$11</f>
        <v/>
      </c>
      <c r="AQ31" s="9">
        <f>G31*$AQ$11</f>
        <v/>
      </c>
      <c r="AR31" s="30">
        <f>H31*$AQ$11</f>
        <v/>
      </c>
      <c r="AS31" s="30">
        <f>I31*$AQ$11</f>
        <v/>
      </c>
      <c r="AT31" s="30">
        <f>J31*$AQ$11</f>
        <v/>
      </c>
      <c r="AV31" s="15">
        <f>F31*$AW$11</f>
        <v/>
      </c>
      <c r="AW31" s="9">
        <f>G31*$AW$11</f>
        <v/>
      </c>
      <c r="AX31" s="30">
        <f>H31*$AW$11</f>
        <v/>
      </c>
      <c r="AY31" s="30">
        <f>I31*$AW$11</f>
        <v/>
      </c>
      <c r="AZ31" s="30">
        <f>J31*$AW$11</f>
        <v/>
      </c>
    </row>
    <row r="32">
      <c r="A32" s="8" t="n">
        <v>46174</v>
      </c>
      <c r="B32" s="33">
        <f>YEAR(A32)</f>
        <v/>
      </c>
      <c r="C32" s="33">
        <f>MONTH(A32)</f>
        <v/>
      </c>
      <c r="D32">
        <f>IF(A32&lt;=LastActual,"Actual","Forecast")</f>
        <v/>
      </c>
      <c r="E32" s="30">
        <f>IF($D32="Actual",R32,W32)</f>
        <v/>
      </c>
      <c r="F32" s="15">
        <f>IF($D32="Actual",S32,Cases_Forecast!AN25)</f>
        <v/>
      </c>
      <c r="G32" s="9">
        <f>IF($D32="Actual",T32,IFERROR(F32/K32,0))</f>
        <v/>
      </c>
      <c r="H32" s="30">
        <f>IF($D32="Actual",U32,G32*L32)</f>
        <v/>
      </c>
      <c r="I32" s="30">
        <f>IF($D32="Actual",V32,J32-H32)</f>
        <v/>
      </c>
      <c r="J32" s="30">
        <f>IF($D32="Actual",U32+V32,IFERROR(H32/(1-AD32),0))</f>
        <v/>
      </c>
      <c r="K32" s="10">
        <f>IF($D32="Actual",IFERROR(S32/T32,0),CPLH_Forecast!AN25)</f>
        <v/>
      </c>
      <c r="L32" s="34">
        <f>IF($D32="Actual",IFERROR(U32/T32,0),N(AE32))</f>
        <v/>
      </c>
      <c r="M32" s="35">
        <f>IFERROR(J32/F32,0)</f>
        <v/>
      </c>
      <c r="N32" s="36">
        <f>IFERROR(J32/E32,0)</f>
        <v/>
      </c>
      <c r="O32" s="36">
        <f>IFERROR(I32/J32,0)</f>
        <v/>
      </c>
      <c r="R32" s="52">
        <f>IF($D32="Actual",SUMIFS(Data_Actuals!$C$2:$C$5000,Data_Actuals!$A$2:$A$5000,$A32,Data_Actuals!$B$2:$B$5000,$B$2),"")</f>
        <v/>
      </c>
      <c r="S32" s="52">
        <f>IF($D32="Actual",SUMIFS(Data_Actuals!$D$2:$D$5000,Data_Actuals!$A$2:$A$5000,$A32,Data_Actuals!$B$2:$B$5000,$B$2),"")</f>
        <v/>
      </c>
      <c r="T32" s="52">
        <f>IF($D32="Actual",SUMIFS(Data_Actuals!$E$2:$E$5000,Data_Actuals!$A$2:$A$5000,$A32,Data_Actuals!$B$2:$B$5000,$B$2),"")</f>
        <v/>
      </c>
      <c r="U32" s="52">
        <f>IF($D32="Actual",SUMIFS(Data_Actuals!$F$2:$F$5000,Data_Actuals!$A$2:$A$5000,$A32,Data_Actuals!$B$2:$B$5000,$B$2),"")</f>
        <v/>
      </c>
      <c r="V32" s="52">
        <f>IF($D32="Actual",SUMIFS(Data_Actuals!$G$2:$G$5000,Data_Actuals!$A$2:$A$5000,$A32,Data_Actuals!$B$2:$B$5000,$B$2),"")</f>
        <v/>
      </c>
      <c r="W32" s="52">
        <f>SUMIFS(Plan_Inputs!$C$2:$C$5000,Plan_Inputs!$A$2:$A$5000,$A32,Plan_Inputs!$B$2:$B$5000,$B$2)</f>
        <v/>
      </c>
      <c r="X32" s="53">
        <f>IF($D32="Actual",IFERROR(S32/T32,""),X20)</f>
        <v/>
      </c>
      <c r="Y32" s="52">
        <f>E32</f>
        <v/>
      </c>
      <c r="Z32" s="54">
        <f>INDEX(Calendar!$H$5:$L$52,MATCH($A32,Calendar!$A$5:$A$52,0),MATCH($D$2,Calendar!$H$4:$L$4,0))</f>
        <v/>
      </c>
      <c r="AA32" s="54">
        <f>INDEX(Calendar!$M$5:$M$52,MATCH($A32,Calendar!$A$5:$A$52,0))</f>
        <v/>
      </c>
      <c r="AB32" s="55">
        <f>IF($D32="Actual",IFERROR(S32/Y32,""),AB20)</f>
        <v/>
      </c>
      <c r="AC32" s="56">
        <f>IF($D32="Actual",IFERROR(U32/T32/Z32/AA32,""),AC20)</f>
        <v/>
      </c>
      <c r="AD32" s="57">
        <f>IF($D32="Actual",IFERROR(V32/(U32+V32),""),$K$2)</f>
        <v/>
      </c>
      <c r="AE32" s="56">
        <f>IFERROR(AC32*Z32*AA32,"")</f>
        <v/>
      </c>
      <c r="AF32" s="53">
        <f>K20</f>
        <v/>
      </c>
      <c r="AG32" s="57">
        <f>IF($D32="Forecast",IFERROR(K32/AF32-1,""),"")</f>
        <v/>
      </c>
      <c r="AH32" s="53">
        <f>IF(CPLHSource="National breakdown",CPLH_Breakdown!AO37,SUMIFS(Plan_Inputs!$D$2:$D$5000,Plan_Inputs!$A$2:$A$5000,$A32,Plan_Inputs!$B$2:$B$5000,$B$2))</f>
        <v/>
      </c>
      <c r="AJ32" s="15">
        <f>F32*$AK$11</f>
        <v/>
      </c>
      <c r="AK32" s="9">
        <f>G32*$AK$11</f>
        <v/>
      </c>
      <c r="AL32" s="30">
        <f>H32*$AK$11</f>
        <v/>
      </c>
      <c r="AM32" s="30">
        <f>I32*$AK$11</f>
        <v/>
      </c>
      <c r="AN32" s="30">
        <f>J32*$AK$11</f>
        <v/>
      </c>
      <c r="AP32" s="15">
        <f>F32*$AQ$11</f>
        <v/>
      </c>
      <c r="AQ32" s="9">
        <f>G32*$AQ$11</f>
        <v/>
      </c>
      <c r="AR32" s="30">
        <f>H32*$AQ$11</f>
        <v/>
      </c>
      <c r="AS32" s="30">
        <f>I32*$AQ$11</f>
        <v/>
      </c>
      <c r="AT32" s="30">
        <f>J32*$AQ$11</f>
        <v/>
      </c>
      <c r="AV32" s="15">
        <f>F32*$AW$11</f>
        <v/>
      </c>
      <c r="AW32" s="9">
        <f>G32*$AW$11</f>
        <v/>
      </c>
      <c r="AX32" s="30">
        <f>H32*$AW$11</f>
        <v/>
      </c>
      <c r="AY32" s="30">
        <f>I32*$AW$11</f>
        <v/>
      </c>
      <c r="AZ32" s="30">
        <f>J32*$AW$11</f>
        <v/>
      </c>
    </row>
    <row r="33">
      <c r="A33" s="8" t="n">
        <v>46204</v>
      </c>
      <c r="B33" s="33">
        <f>YEAR(A33)</f>
        <v/>
      </c>
      <c r="C33" s="33">
        <f>MONTH(A33)</f>
        <v/>
      </c>
      <c r="D33">
        <f>IF(A33&lt;=LastActual,"Actual","Forecast")</f>
        <v/>
      </c>
      <c r="E33" s="30">
        <f>IF($D33="Actual",R33,W33)</f>
        <v/>
      </c>
      <c r="F33" s="15">
        <f>IF($D33="Actual",S33,Cases_Forecast!AN26)</f>
        <v/>
      </c>
      <c r="G33" s="9">
        <f>IF($D33="Actual",T33,IFERROR(F33/K33,0))</f>
        <v/>
      </c>
      <c r="H33" s="30">
        <f>IF($D33="Actual",U33,G33*L33)</f>
        <v/>
      </c>
      <c r="I33" s="30">
        <f>IF($D33="Actual",V33,J33-H33)</f>
        <v/>
      </c>
      <c r="J33" s="30">
        <f>IF($D33="Actual",U33+V33,IFERROR(H33/(1-AD33),0))</f>
        <v/>
      </c>
      <c r="K33" s="10">
        <f>IF($D33="Actual",IFERROR(S33/T33,0),CPLH_Forecast!AN26)</f>
        <v/>
      </c>
      <c r="L33" s="34">
        <f>IF($D33="Actual",IFERROR(U33/T33,0),N(AE33))</f>
        <v/>
      </c>
      <c r="M33" s="35">
        <f>IFERROR(J33/F33,0)</f>
        <v/>
      </c>
      <c r="N33" s="36">
        <f>IFERROR(J33/E33,0)</f>
        <v/>
      </c>
      <c r="O33" s="36">
        <f>IFERROR(I33/J33,0)</f>
        <v/>
      </c>
      <c r="R33" s="52">
        <f>IF($D33="Actual",SUMIFS(Data_Actuals!$C$2:$C$5000,Data_Actuals!$A$2:$A$5000,$A33,Data_Actuals!$B$2:$B$5000,$B$2),"")</f>
        <v/>
      </c>
      <c r="S33" s="52">
        <f>IF($D33="Actual",SUMIFS(Data_Actuals!$D$2:$D$5000,Data_Actuals!$A$2:$A$5000,$A33,Data_Actuals!$B$2:$B$5000,$B$2),"")</f>
        <v/>
      </c>
      <c r="T33" s="52">
        <f>IF($D33="Actual",SUMIFS(Data_Actuals!$E$2:$E$5000,Data_Actuals!$A$2:$A$5000,$A33,Data_Actuals!$B$2:$B$5000,$B$2),"")</f>
        <v/>
      </c>
      <c r="U33" s="52">
        <f>IF($D33="Actual",SUMIFS(Data_Actuals!$F$2:$F$5000,Data_Actuals!$A$2:$A$5000,$A33,Data_Actuals!$B$2:$B$5000,$B$2),"")</f>
        <v/>
      </c>
      <c r="V33" s="52">
        <f>IF($D33="Actual",SUMIFS(Data_Actuals!$G$2:$G$5000,Data_Actuals!$A$2:$A$5000,$A33,Data_Actuals!$B$2:$B$5000,$B$2),"")</f>
        <v/>
      </c>
      <c r="W33" s="52">
        <f>SUMIFS(Plan_Inputs!$C$2:$C$5000,Plan_Inputs!$A$2:$A$5000,$A33,Plan_Inputs!$B$2:$B$5000,$B$2)</f>
        <v/>
      </c>
      <c r="X33" s="53">
        <f>IF($D33="Actual",IFERROR(S33/T33,""),X21)</f>
        <v/>
      </c>
      <c r="Y33" s="52">
        <f>E33</f>
        <v/>
      </c>
      <c r="Z33" s="54">
        <f>INDEX(Calendar!$H$5:$L$52,MATCH($A33,Calendar!$A$5:$A$52,0),MATCH($D$2,Calendar!$H$4:$L$4,0))</f>
        <v/>
      </c>
      <c r="AA33" s="54">
        <f>INDEX(Calendar!$M$5:$M$52,MATCH($A33,Calendar!$A$5:$A$52,0))</f>
        <v/>
      </c>
      <c r="AB33" s="55">
        <f>IF($D33="Actual",IFERROR(S33/Y33,""),AB21)</f>
        <v/>
      </c>
      <c r="AC33" s="56">
        <f>IF($D33="Actual",IFERROR(U33/T33/Z33/AA33,""),AC21)</f>
        <v/>
      </c>
      <c r="AD33" s="57">
        <f>IF($D33="Actual",IFERROR(V33/(U33+V33),""),$K$2)</f>
        <v/>
      </c>
      <c r="AE33" s="56">
        <f>IFERROR(AC33*Z33*AA33,"")</f>
        <v/>
      </c>
      <c r="AF33" s="53">
        <f>K21</f>
        <v/>
      </c>
      <c r="AG33" s="57">
        <f>IF($D33="Forecast",IFERROR(K33/AF33-1,""),"")</f>
        <v/>
      </c>
      <c r="AH33" s="53">
        <f>IF(CPLHSource="National breakdown",CPLH_Breakdown!AO38,SUMIFS(Plan_Inputs!$D$2:$D$5000,Plan_Inputs!$A$2:$A$5000,$A33,Plan_Inputs!$B$2:$B$5000,$B$2))</f>
        <v/>
      </c>
      <c r="AJ33" s="15">
        <f>F33*$AK$11</f>
        <v/>
      </c>
      <c r="AK33" s="9">
        <f>G33*$AK$11</f>
        <v/>
      </c>
      <c r="AL33" s="30">
        <f>H33*$AK$11</f>
        <v/>
      </c>
      <c r="AM33" s="30">
        <f>I33*$AK$11</f>
        <v/>
      </c>
      <c r="AN33" s="30">
        <f>J33*$AK$11</f>
        <v/>
      </c>
      <c r="AP33" s="15">
        <f>F33*$AQ$11</f>
        <v/>
      </c>
      <c r="AQ33" s="9">
        <f>G33*$AQ$11</f>
        <v/>
      </c>
      <c r="AR33" s="30">
        <f>H33*$AQ$11</f>
        <v/>
      </c>
      <c r="AS33" s="30">
        <f>I33*$AQ$11</f>
        <v/>
      </c>
      <c r="AT33" s="30">
        <f>J33*$AQ$11</f>
        <v/>
      </c>
      <c r="AV33" s="15">
        <f>F33*$AW$11</f>
        <v/>
      </c>
      <c r="AW33" s="9">
        <f>G33*$AW$11</f>
        <v/>
      </c>
      <c r="AX33" s="30">
        <f>H33*$AW$11</f>
        <v/>
      </c>
      <c r="AY33" s="30">
        <f>I33*$AW$11</f>
        <v/>
      </c>
      <c r="AZ33" s="30">
        <f>J33*$AW$11</f>
        <v/>
      </c>
    </row>
    <row r="34">
      <c r="A34" s="8" t="n">
        <v>46235</v>
      </c>
      <c r="B34" s="33">
        <f>YEAR(A34)</f>
        <v/>
      </c>
      <c r="C34" s="33">
        <f>MONTH(A34)</f>
        <v/>
      </c>
      <c r="D34">
        <f>IF(A34&lt;=LastActual,"Actual","Forecast")</f>
        <v/>
      </c>
      <c r="E34" s="30">
        <f>IF($D34="Actual",R34,W34)</f>
        <v/>
      </c>
      <c r="F34" s="15">
        <f>IF($D34="Actual",S34,Cases_Forecast!AN27)</f>
        <v/>
      </c>
      <c r="G34" s="9">
        <f>IF($D34="Actual",T34,IFERROR(F34/K34,0))</f>
        <v/>
      </c>
      <c r="H34" s="30">
        <f>IF($D34="Actual",U34,G34*L34)</f>
        <v/>
      </c>
      <c r="I34" s="30">
        <f>IF($D34="Actual",V34,J34-H34)</f>
        <v/>
      </c>
      <c r="J34" s="30">
        <f>IF($D34="Actual",U34+V34,IFERROR(H34/(1-AD34),0))</f>
        <v/>
      </c>
      <c r="K34" s="10">
        <f>IF($D34="Actual",IFERROR(S34/T34,0),CPLH_Forecast!AN27)</f>
        <v/>
      </c>
      <c r="L34" s="34">
        <f>IF($D34="Actual",IFERROR(U34/T34,0),N(AE34))</f>
        <v/>
      </c>
      <c r="M34" s="35">
        <f>IFERROR(J34/F34,0)</f>
        <v/>
      </c>
      <c r="N34" s="36">
        <f>IFERROR(J34/E34,0)</f>
        <v/>
      </c>
      <c r="O34" s="36">
        <f>IFERROR(I34/J34,0)</f>
        <v/>
      </c>
      <c r="R34" s="52">
        <f>IF($D34="Actual",SUMIFS(Data_Actuals!$C$2:$C$5000,Data_Actuals!$A$2:$A$5000,$A34,Data_Actuals!$B$2:$B$5000,$B$2),"")</f>
        <v/>
      </c>
      <c r="S34" s="52">
        <f>IF($D34="Actual",SUMIFS(Data_Actuals!$D$2:$D$5000,Data_Actuals!$A$2:$A$5000,$A34,Data_Actuals!$B$2:$B$5000,$B$2),"")</f>
        <v/>
      </c>
      <c r="T34" s="52">
        <f>IF($D34="Actual",SUMIFS(Data_Actuals!$E$2:$E$5000,Data_Actuals!$A$2:$A$5000,$A34,Data_Actuals!$B$2:$B$5000,$B$2),"")</f>
        <v/>
      </c>
      <c r="U34" s="52">
        <f>IF($D34="Actual",SUMIFS(Data_Actuals!$F$2:$F$5000,Data_Actuals!$A$2:$A$5000,$A34,Data_Actuals!$B$2:$B$5000,$B$2),"")</f>
        <v/>
      </c>
      <c r="V34" s="52">
        <f>IF($D34="Actual",SUMIFS(Data_Actuals!$G$2:$G$5000,Data_Actuals!$A$2:$A$5000,$A34,Data_Actuals!$B$2:$B$5000,$B$2),"")</f>
        <v/>
      </c>
      <c r="W34" s="52">
        <f>SUMIFS(Plan_Inputs!$C$2:$C$5000,Plan_Inputs!$A$2:$A$5000,$A34,Plan_Inputs!$B$2:$B$5000,$B$2)</f>
        <v/>
      </c>
      <c r="X34" s="53">
        <f>IF($D34="Actual",IFERROR(S34/T34,""),X22)</f>
        <v/>
      </c>
      <c r="Y34" s="52">
        <f>E34</f>
        <v/>
      </c>
      <c r="Z34" s="54">
        <f>INDEX(Calendar!$H$5:$L$52,MATCH($A34,Calendar!$A$5:$A$52,0),MATCH($D$2,Calendar!$H$4:$L$4,0))</f>
        <v/>
      </c>
      <c r="AA34" s="54">
        <f>INDEX(Calendar!$M$5:$M$52,MATCH($A34,Calendar!$A$5:$A$52,0))</f>
        <v/>
      </c>
      <c r="AB34" s="55">
        <f>IF($D34="Actual",IFERROR(S34/Y34,""),AB22)</f>
        <v/>
      </c>
      <c r="AC34" s="56">
        <f>IF($D34="Actual",IFERROR(U34/T34/Z34/AA34,""),AC22)</f>
        <v/>
      </c>
      <c r="AD34" s="57">
        <f>IF($D34="Actual",IFERROR(V34/(U34+V34),""),$K$2)</f>
        <v/>
      </c>
      <c r="AE34" s="56">
        <f>IFERROR(AC34*Z34*AA34,"")</f>
        <v/>
      </c>
      <c r="AF34" s="53">
        <f>K22</f>
        <v/>
      </c>
      <c r="AG34" s="57">
        <f>IF($D34="Forecast",IFERROR(K34/AF34-1,""),"")</f>
        <v/>
      </c>
      <c r="AH34" s="53">
        <f>IF(CPLHSource="National breakdown",CPLH_Breakdown!AO39,SUMIFS(Plan_Inputs!$D$2:$D$5000,Plan_Inputs!$A$2:$A$5000,$A34,Plan_Inputs!$B$2:$B$5000,$B$2))</f>
        <v/>
      </c>
      <c r="AJ34" s="15">
        <f>F34*$AK$11</f>
        <v/>
      </c>
      <c r="AK34" s="9">
        <f>G34*$AK$11</f>
        <v/>
      </c>
      <c r="AL34" s="30">
        <f>H34*$AK$11</f>
        <v/>
      </c>
      <c r="AM34" s="30">
        <f>I34*$AK$11</f>
        <v/>
      </c>
      <c r="AN34" s="30">
        <f>J34*$AK$11</f>
        <v/>
      </c>
      <c r="AP34" s="15">
        <f>F34*$AQ$11</f>
        <v/>
      </c>
      <c r="AQ34" s="9">
        <f>G34*$AQ$11</f>
        <v/>
      </c>
      <c r="AR34" s="30">
        <f>H34*$AQ$11</f>
        <v/>
      </c>
      <c r="AS34" s="30">
        <f>I34*$AQ$11</f>
        <v/>
      </c>
      <c r="AT34" s="30">
        <f>J34*$AQ$11</f>
        <v/>
      </c>
      <c r="AV34" s="15">
        <f>F34*$AW$11</f>
        <v/>
      </c>
      <c r="AW34" s="9">
        <f>G34*$AW$11</f>
        <v/>
      </c>
      <c r="AX34" s="30">
        <f>H34*$AW$11</f>
        <v/>
      </c>
      <c r="AY34" s="30">
        <f>I34*$AW$11</f>
        <v/>
      </c>
      <c r="AZ34" s="30">
        <f>J34*$AW$11</f>
        <v/>
      </c>
    </row>
    <row r="35">
      <c r="A35" s="8" t="n">
        <v>46266</v>
      </c>
      <c r="B35" s="33">
        <f>YEAR(A35)</f>
        <v/>
      </c>
      <c r="C35" s="33">
        <f>MONTH(A35)</f>
        <v/>
      </c>
      <c r="D35">
        <f>IF(A35&lt;=LastActual,"Actual","Forecast")</f>
        <v/>
      </c>
      <c r="E35" s="30">
        <f>IF($D35="Actual",R35,W35)</f>
        <v/>
      </c>
      <c r="F35" s="15">
        <f>IF($D35="Actual",S35,Cases_Forecast!AN28)</f>
        <v/>
      </c>
      <c r="G35" s="9">
        <f>IF($D35="Actual",T35,IFERROR(F35/K35,0))</f>
        <v/>
      </c>
      <c r="H35" s="30">
        <f>IF($D35="Actual",U35,G35*L35)</f>
        <v/>
      </c>
      <c r="I35" s="30">
        <f>IF($D35="Actual",V35,J35-H35)</f>
        <v/>
      </c>
      <c r="J35" s="30">
        <f>IF($D35="Actual",U35+V35,IFERROR(H35/(1-AD35),0))</f>
        <v/>
      </c>
      <c r="K35" s="10">
        <f>IF($D35="Actual",IFERROR(S35/T35,0),CPLH_Forecast!AN28)</f>
        <v/>
      </c>
      <c r="L35" s="34">
        <f>IF($D35="Actual",IFERROR(U35/T35,0),N(AE35))</f>
        <v/>
      </c>
      <c r="M35" s="35">
        <f>IFERROR(J35/F35,0)</f>
        <v/>
      </c>
      <c r="N35" s="36">
        <f>IFERROR(J35/E35,0)</f>
        <v/>
      </c>
      <c r="O35" s="36">
        <f>IFERROR(I35/J35,0)</f>
        <v/>
      </c>
      <c r="R35" s="52">
        <f>IF($D35="Actual",SUMIFS(Data_Actuals!$C$2:$C$5000,Data_Actuals!$A$2:$A$5000,$A35,Data_Actuals!$B$2:$B$5000,$B$2),"")</f>
        <v/>
      </c>
      <c r="S35" s="52">
        <f>IF($D35="Actual",SUMIFS(Data_Actuals!$D$2:$D$5000,Data_Actuals!$A$2:$A$5000,$A35,Data_Actuals!$B$2:$B$5000,$B$2),"")</f>
        <v/>
      </c>
      <c r="T35" s="52">
        <f>IF($D35="Actual",SUMIFS(Data_Actuals!$E$2:$E$5000,Data_Actuals!$A$2:$A$5000,$A35,Data_Actuals!$B$2:$B$5000,$B$2),"")</f>
        <v/>
      </c>
      <c r="U35" s="52">
        <f>IF($D35="Actual",SUMIFS(Data_Actuals!$F$2:$F$5000,Data_Actuals!$A$2:$A$5000,$A35,Data_Actuals!$B$2:$B$5000,$B$2),"")</f>
        <v/>
      </c>
      <c r="V35" s="52">
        <f>IF($D35="Actual",SUMIFS(Data_Actuals!$G$2:$G$5000,Data_Actuals!$A$2:$A$5000,$A35,Data_Actuals!$B$2:$B$5000,$B$2),"")</f>
        <v/>
      </c>
      <c r="W35" s="52">
        <f>SUMIFS(Plan_Inputs!$C$2:$C$5000,Plan_Inputs!$A$2:$A$5000,$A35,Plan_Inputs!$B$2:$B$5000,$B$2)</f>
        <v/>
      </c>
      <c r="X35" s="53">
        <f>IF($D35="Actual",IFERROR(S35/T35,""),X23)</f>
        <v/>
      </c>
      <c r="Y35" s="52">
        <f>E35</f>
        <v/>
      </c>
      <c r="Z35" s="54">
        <f>INDEX(Calendar!$H$5:$L$52,MATCH($A35,Calendar!$A$5:$A$52,0),MATCH($D$2,Calendar!$H$4:$L$4,0))</f>
        <v/>
      </c>
      <c r="AA35" s="54">
        <f>INDEX(Calendar!$M$5:$M$52,MATCH($A35,Calendar!$A$5:$A$52,0))</f>
        <v/>
      </c>
      <c r="AB35" s="55">
        <f>IF($D35="Actual",IFERROR(S35/Y35,""),AB23)</f>
        <v/>
      </c>
      <c r="AC35" s="56">
        <f>IF($D35="Actual",IFERROR(U35/T35/Z35/AA35,""),AC23)</f>
        <v/>
      </c>
      <c r="AD35" s="57">
        <f>IF($D35="Actual",IFERROR(V35/(U35+V35),""),$K$2)</f>
        <v/>
      </c>
      <c r="AE35" s="56">
        <f>IFERROR(AC35*Z35*AA35,"")</f>
        <v/>
      </c>
      <c r="AF35" s="53">
        <f>K23</f>
        <v/>
      </c>
      <c r="AG35" s="57">
        <f>IF($D35="Forecast",IFERROR(K35/AF35-1,""),"")</f>
        <v/>
      </c>
      <c r="AH35" s="53">
        <f>IF(CPLHSource="National breakdown",CPLH_Breakdown!AO40,SUMIFS(Plan_Inputs!$D$2:$D$5000,Plan_Inputs!$A$2:$A$5000,$A35,Plan_Inputs!$B$2:$B$5000,$B$2))</f>
        <v/>
      </c>
      <c r="AJ35" s="15">
        <f>F35*$AK$11</f>
        <v/>
      </c>
      <c r="AK35" s="9">
        <f>G35*$AK$11</f>
        <v/>
      </c>
      <c r="AL35" s="30">
        <f>H35*$AK$11</f>
        <v/>
      </c>
      <c r="AM35" s="30">
        <f>I35*$AK$11</f>
        <v/>
      </c>
      <c r="AN35" s="30">
        <f>J35*$AK$11</f>
        <v/>
      </c>
      <c r="AP35" s="15">
        <f>F35*$AQ$11</f>
        <v/>
      </c>
      <c r="AQ35" s="9">
        <f>G35*$AQ$11</f>
        <v/>
      </c>
      <c r="AR35" s="30">
        <f>H35*$AQ$11</f>
        <v/>
      </c>
      <c r="AS35" s="30">
        <f>I35*$AQ$11</f>
        <v/>
      </c>
      <c r="AT35" s="30">
        <f>J35*$AQ$11</f>
        <v/>
      </c>
      <c r="AV35" s="15">
        <f>F35*$AW$11</f>
        <v/>
      </c>
      <c r="AW35" s="9">
        <f>G35*$AW$11</f>
        <v/>
      </c>
      <c r="AX35" s="30">
        <f>H35*$AW$11</f>
        <v/>
      </c>
      <c r="AY35" s="30">
        <f>I35*$AW$11</f>
        <v/>
      </c>
      <c r="AZ35" s="30">
        <f>J35*$AW$11</f>
        <v/>
      </c>
    </row>
    <row r="36">
      <c r="A36" s="8" t="n">
        <v>46296</v>
      </c>
      <c r="B36" s="33">
        <f>YEAR(A36)</f>
        <v/>
      </c>
      <c r="C36" s="33">
        <f>MONTH(A36)</f>
        <v/>
      </c>
      <c r="D36">
        <f>IF(A36&lt;=LastActual,"Actual","Forecast")</f>
        <v/>
      </c>
      <c r="E36" s="30">
        <f>IF($D36="Actual",R36,W36)</f>
        <v/>
      </c>
      <c r="F36" s="15">
        <f>IF($D36="Actual",S36,Cases_Forecast!AN29)</f>
        <v/>
      </c>
      <c r="G36" s="9">
        <f>IF($D36="Actual",T36,IFERROR(F36/K36,0))</f>
        <v/>
      </c>
      <c r="H36" s="30">
        <f>IF($D36="Actual",U36,G36*L36)</f>
        <v/>
      </c>
      <c r="I36" s="30">
        <f>IF($D36="Actual",V36,J36-H36)</f>
        <v/>
      </c>
      <c r="J36" s="30">
        <f>IF($D36="Actual",U36+V36,IFERROR(H36/(1-AD36),0))</f>
        <v/>
      </c>
      <c r="K36" s="10">
        <f>IF($D36="Actual",IFERROR(S36/T36,0),CPLH_Forecast!AN29)</f>
        <v/>
      </c>
      <c r="L36" s="34">
        <f>IF($D36="Actual",IFERROR(U36/T36,0),N(AE36))</f>
        <v/>
      </c>
      <c r="M36" s="35">
        <f>IFERROR(J36/F36,0)</f>
        <v/>
      </c>
      <c r="N36" s="36">
        <f>IFERROR(J36/E36,0)</f>
        <v/>
      </c>
      <c r="O36" s="36">
        <f>IFERROR(I36/J36,0)</f>
        <v/>
      </c>
      <c r="R36" s="52">
        <f>IF($D36="Actual",SUMIFS(Data_Actuals!$C$2:$C$5000,Data_Actuals!$A$2:$A$5000,$A36,Data_Actuals!$B$2:$B$5000,$B$2),"")</f>
        <v/>
      </c>
      <c r="S36" s="52">
        <f>IF($D36="Actual",SUMIFS(Data_Actuals!$D$2:$D$5000,Data_Actuals!$A$2:$A$5000,$A36,Data_Actuals!$B$2:$B$5000,$B$2),"")</f>
        <v/>
      </c>
      <c r="T36" s="52">
        <f>IF($D36="Actual",SUMIFS(Data_Actuals!$E$2:$E$5000,Data_Actuals!$A$2:$A$5000,$A36,Data_Actuals!$B$2:$B$5000,$B$2),"")</f>
        <v/>
      </c>
      <c r="U36" s="52">
        <f>IF($D36="Actual",SUMIFS(Data_Actuals!$F$2:$F$5000,Data_Actuals!$A$2:$A$5000,$A36,Data_Actuals!$B$2:$B$5000,$B$2),"")</f>
        <v/>
      </c>
      <c r="V36" s="52">
        <f>IF($D36="Actual",SUMIFS(Data_Actuals!$G$2:$G$5000,Data_Actuals!$A$2:$A$5000,$A36,Data_Actuals!$B$2:$B$5000,$B$2),"")</f>
        <v/>
      </c>
      <c r="W36" s="52">
        <f>SUMIFS(Plan_Inputs!$C$2:$C$5000,Plan_Inputs!$A$2:$A$5000,$A36,Plan_Inputs!$B$2:$B$5000,$B$2)</f>
        <v/>
      </c>
      <c r="X36" s="53">
        <f>IF($D36="Actual",IFERROR(S36/T36,""),X24)</f>
        <v/>
      </c>
      <c r="Y36" s="52">
        <f>E36</f>
        <v/>
      </c>
      <c r="Z36" s="54">
        <f>INDEX(Calendar!$H$5:$L$52,MATCH($A36,Calendar!$A$5:$A$52,0),MATCH($D$2,Calendar!$H$4:$L$4,0))</f>
        <v/>
      </c>
      <c r="AA36" s="54">
        <f>INDEX(Calendar!$M$5:$M$52,MATCH($A36,Calendar!$A$5:$A$52,0))</f>
        <v/>
      </c>
      <c r="AB36" s="55">
        <f>IF($D36="Actual",IFERROR(S36/Y36,""),AB24)</f>
        <v/>
      </c>
      <c r="AC36" s="56">
        <f>IF($D36="Actual",IFERROR(U36/T36/Z36/AA36,""),AC24)</f>
        <v/>
      </c>
      <c r="AD36" s="57">
        <f>IF($D36="Actual",IFERROR(V36/(U36+V36),""),$K$2)</f>
        <v/>
      </c>
      <c r="AE36" s="56">
        <f>IFERROR(AC36*Z36*AA36,"")</f>
        <v/>
      </c>
      <c r="AF36" s="53">
        <f>K24</f>
        <v/>
      </c>
      <c r="AG36" s="57">
        <f>IF($D36="Forecast",IFERROR(K36/AF36-1,""),"")</f>
        <v/>
      </c>
      <c r="AH36" s="53">
        <f>IF(CPLHSource="National breakdown",CPLH_Breakdown!AO41,SUMIFS(Plan_Inputs!$D$2:$D$5000,Plan_Inputs!$A$2:$A$5000,$A36,Plan_Inputs!$B$2:$B$5000,$B$2))</f>
        <v/>
      </c>
      <c r="AJ36" s="15">
        <f>F36*$AK$11</f>
        <v/>
      </c>
      <c r="AK36" s="9">
        <f>G36*$AK$11</f>
        <v/>
      </c>
      <c r="AL36" s="30">
        <f>H36*$AK$11</f>
        <v/>
      </c>
      <c r="AM36" s="30">
        <f>I36*$AK$11</f>
        <v/>
      </c>
      <c r="AN36" s="30">
        <f>J36*$AK$11</f>
        <v/>
      </c>
      <c r="AP36" s="15">
        <f>F36*$AQ$11</f>
        <v/>
      </c>
      <c r="AQ36" s="9">
        <f>G36*$AQ$11</f>
        <v/>
      </c>
      <c r="AR36" s="30">
        <f>H36*$AQ$11</f>
        <v/>
      </c>
      <c r="AS36" s="30">
        <f>I36*$AQ$11</f>
        <v/>
      </c>
      <c r="AT36" s="30">
        <f>J36*$AQ$11</f>
        <v/>
      </c>
      <c r="AV36" s="15">
        <f>F36*$AW$11</f>
        <v/>
      </c>
      <c r="AW36" s="9">
        <f>G36*$AW$11</f>
        <v/>
      </c>
      <c r="AX36" s="30">
        <f>H36*$AW$11</f>
        <v/>
      </c>
      <c r="AY36" s="30">
        <f>I36*$AW$11</f>
        <v/>
      </c>
      <c r="AZ36" s="30">
        <f>J36*$AW$11</f>
        <v/>
      </c>
    </row>
    <row r="37">
      <c r="A37" s="8" t="n">
        <v>46327</v>
      </c>
      <c r="B37" s="33">
        <f>YEAR(A37)</f>
        <v/>
      </c>
      <c r="C37" s="33">
        <f>MONTH(A37)</f>
        <v/>
      </c>
      <c r="D37">
        <f>IF(A37&lt;=LastActual,"Actual","Forecast")</f>
        <v/>
      </c>
      <c r="E37" s="30">
        <f>IF($D37="Actual",R37,W37)</f>
        <v/>
      </c>
      <c r="F37" s="15">
        <f>IF($D37="Actual",S37,Cases_Forecast!AN30)</f>
        <v/>
      </c>
      <c r="G37" s="9">
        <f>IF($D37="Actual",T37,IFERROR(F37/K37,0))</f>
        <v/>
      </c>
      <c r="H37" s="30">
        <f>IF($D37="Actual",U37,G37*L37)</f>
        <v/>
      </c>
      <c r="I37" s="30">
        <f>IF($D37="Actual",V37,J37-H37)</f>
        <v/>
      </c>
      <c r="J37" s="30">
        <f>IF($D37="Actual",U37+V37,IFERROR(H37/(1-AD37),0))</f>
        <v/>
      </c>
      <c r="K37" s="10">
        <f>IF($D37="Actual",IFERROR(S37/T37,0),CPLH_Forecast!AN30)</f>
        <v/>
      </c>
      <c r="L37" s="34">
        <f>IF($D37="Actual",IFERROR(U37/T37,0),N(AE37))</f>
        <v/>
      </c>
      <c r="M37" s="35">
        <f>IFERROR(J37/F37,0)</f>
        <v/>
      </c>
      <c r="N37" s="36">
        <f>IFERROR(J37/E37,0)</f>
        <v/>
      </c>
      <c r="O37" s="36">
        <f>IFERROR(I37/J37,0)</f>
        <v/>
      </c>
      <c r="R37" s="52">
        <f>IF($D37="Actual",SUMIFS(Data_Actuals!$C$2:$C$5000,Data_Actuals!$A$2:$A$5000,$A37,Data_Actuals!$B$2:$B$5000,$B$2),"")</f>
        <v/>
      </c>
      <c r="S37" s="52">
        <f>IF($D37="Actual",SUMIFS(Data_Actuals!$D$2:$D$5000,Data_Actuals!$A$2:$A$5000,$A37,Data_Actuals!$B$2:$B$5000,$B$2),"")</f>
        <v/>
      </c>
      <c r="T37" s="52">
        <f>IF($D37="Actual",SUMIFS(Data_Actuals!$E$2:$E$5000,Data_Actuals!$A$2:$A$5000,$A37,Data_Actuals!$B$2:$B$5000,$B$2),"")</f>
        <v/>
      </c>
      <c r="U37" s="52">
        <f>IF($D37="Actual",SUMIFS(Data_Actuals!$F$2:$F$5000,Data_Actuals!$A$2:$A$5000,$A37,Data_Actuals!$B$2:$B$5000,$B$2),"")</f>
        <v/>
      </c>
      <c r="V37" s="52">
        <f>IF($D37="Actual",SUMIFS(Data_Actuals!$G$2:$G$5000,Data_Actuals!$A$2:$A$5000,$A37,Data_Actuals!$B$2:$B$5000,$B$2),"")</f>
        <v/>
      </c>
      <c r="W37" s="52">
        <f>SUMIFS(Plan_Inputs!$C$2:$C$5000,Plan_Inputs!$A$2:$A$5000,$A37,Plan_Inputs!$B$2:$B$5000,$B$2)</f>
        <v/>
      </c>
      <c r="X37" s="53">
        <f>IF($D37="Actual",IFERROR(S37/T37,""),X25)</f>
        <v/>
      </c>
      <c r="Y37" s="52">
        <f>E37</f>
        <v/>
      </c>
      <c r="Z37" s="54">
        <f>INDEX(Calendar!$H$5:$L$52,MATCH($A37,Calendar!$A$5:$A$52,0),MATCH($D$2,Calendar!$H$4:$L$4,0))</f>
        <v/>
      </c>
      <c r="AA37" s="54">
        <f>INDEX(Calendar!$M$5:$M$52,MATCH($A37,Calendar!$A$5:$A$52,0))</f>
        <v/>
      </c>
      <c r="AB37" s="55">
        <f>IF($D37="Actual",IFERROR(S37/Y37,""),AB25)</f>
        <v/>
      </c>
      <c r="AC37" s="56">
        <f>IF($D37="Actual",IFERROR(U37/T37/Z37/AA37,""),AC25)</f>
        <v/>
      </c>
      <c r="AD37" s="57">
        <f>IF($D37="Actual",IFERROR(V37/(U37+V37),""),$K$2)</f>
        <v/>
      </c>
      <c r="AE37" s="56">
        <f>IFERROR(AC37*Z37*AA37,"")</f>
        <v/>
      </c>
      <c r="AF37" s="53">
        <f>K25</f>
        <v/>
      </c>
      <c r="AG37" s="57">
        <f>IF($D37="Forecast",IFERROR(K37/AF37-1,""),"")</f>
        <v/>
      </c>
      <c r="AH37" s="53">
        <f>IF(CPLHSource="National breakdown",CPLH_Breakdown!AO42,SUMIFS(Plan_Inputs!$D$2:$D$5000,Plan_Inputs!$A$2:$A$5000,$A37,Plan_Inputs!$B$2:$B$5000,$B$2))</f>
        <v/>
      </c>
      <c r="AJ37" s="15">
        <f>F37*$AK$11</f>
        <v/>
      </c>
      <c r="AK37" s="9">
        <f>G37*$AK$11</f>
        <v/>
      </c>
      <c r="AL37" s="30">
        <f>H37*$AK$11</f>
        <v/>
      </c>
      <c r="AM37" s="30">
        <f>I37*$AK$11</f>
        <v/>
      </c>
      <c r="AN37" s="30">
        <f>J37*$AK$11</f>
        <v/>
      </c>
      <c r="AP37" s="15">
        <f>F37*$AQ$11</f>
        <v/>
      </c>
      <c r="AQ37" s="9">
        <f>G37*$AQ$11</f>
        <v/>
      </c>
      <c r="AR37" s="30">
        <f>H37*$AQ$11</f>
        <v/>
      </c>
      <c r="AS37" s="30">
        <f>I37*$AQ$11</f>
        <v/>
      </c>
      <c r="AT37" s="30">
        <f>J37*$AQ$11</f>
        <v/>
      </c>
      <c r="AV37" s="15">
        <f>F37*$AW$11</f>
        <v/>
      </c>
      <c r="AW37" s="9">
        <f>G37*$AW$11</f>
        <v/>
      </c>
      <c r="AX37" s="30">
        <f>H37*$AW$11</f>
        <v/>
      </c>
      <c r="AY37" s="30">
        <f>I37*$AW$11</f>
        <v/>
      </c>
      <c r="AZ37" s="30">
        <f>J37*$AW$11</f>
        <v/>
      </c>
    </row>
    <row r="38">
      <c r="A38" s="37" t="n">
        <v>46357</v>
      </c>
      <c r="B38" s="38">
        <f>YEAR(A38)</f>
        <v/>
      </c>
      <c r="C38" s="38">
        <f>MONTH(A38)</f>
        <v/>
      </c>
      <c r="D38" s="39">
        <f>IF(A38&lt;=LastActual,"Actual","Forecast")</f>
        <v/>
      </c>
      <c r="E38" s="40">
        <f>IF($D38="Actual",R38,W38)</f>
        <v/>
      </c>
      <c r="F38" s="41">
        <f>IF($D38="Actual",S38,Cases_Forecast!AN31)</f>
        <v/>
      </c>
      <c r="G38" s="42">
        <f>IF($D38="Actual",T38,IFERROR(F38/K38,0))</f>
        <v/>
      </c>
      <c r="H38" s="40">
        <f>IF($D38="Actual",U38,G38*L38)</f>
        <v/>
      </c>
      <c r="I38" s="40">
        <f>IF($D38="Actual",V38,J38-H38)</f>
        <v/>
      </c>
      <c r="J38" s="40">
        <f>IF($D38="Actual",U38+V38,IFERROR(H38/(1-AD38),0))</f>
        <v/>
      </c>
      <c r="K38" s="43">
        <f>IF($D38="Actual",IFERROR(S38/T38,0),CPLH_Forecast!AN31)</f>
        <v/>
      </c>
      <c r="L38" s="44">
        <f>IF($D38="Actual",IFERROR(U38/T38,0),N(AE38))</f>
        <v/>
      </c>
      <c r="M38" s="45">
        <f>IFERROR(J38/F38,0)</f>
        <v/>
      </c>
      <c r="N38" s="46">
        <f>IFERROR(J38/E38,0)</f>
        <v/>
      </c>
      <c r="O38" s="46">
        <f>IFERROR(I38/J38,0)</f>
        <v/>
      </c>
      <c r="R38" s="52">
        <f>IF($D38="Actual",SUMIFS(Data_Actuals!$C$2:$C$5000,Data_Actuals!$A$2:$A$5000,$A38,Data_Actuals!$B$2:$B$5000,$B$2),"")</f>
        <v/>
      </c>
      <c r="S38" s="52">
        <f>IF($D38="Actual",SUMIFS(Data_Actuals!$D$2:$D$5000,Data_Actuals!$A$2:$A$5000,$A38,Data_Actuals!$B$2:$B$5000,$B$2),"")</f>
        <v/>
      </c>
      <c r="T38" s="52">
        <f>IF($D38="Actual",SUMIFS(Data_Actuals!$E$2:$E$5000,Data_Actuals!$A$2:$A$5000,$A38,Data_Actuals!$B$2:$B$5000,$B$2),"")</f>
        <v/>
      </c>
      <c r="U38" s="52">
        <f>IF($D38="Actual",SUMIFS(Data_Actuals!$F$2:$F$5000,Data_Actuals!$A$2:$A$5000,$A38,Data_Actuals!$B$2:$B$5000,$B$2),"")</f>
        <v/>
      </c>
      <c r="V38" s="52">
        <f>IF($D38="Actual",SUMIFS(Data_Actuals!$G$2:$G$5000,Data_Actuals!$A$2:$A$5000,$A38,Data_Actuals!$B$2:$B$5000,$B$2),"")</f>
        <v/>
      </c>
      <c r="W38" s="52">
        <f>SUMIFS(Plan_Inputs!$C$2:$C$5000,Plan_Inputs!$A$2:$A$5000,$A38,Plan_Inputs!$B$2:$B$5000,$B$2)</f>
        <v/>
      </c>
      <c r="X38" s="53">
        <f>IF($D38="Actual",IFERROR(S38/T38,""),X26)</f>
        <v/>
      </c>
      <c r="Y38" s="52">
        <f>E38</f>
        <v/>
      </c>
      <c r="Z38" s="54">
        <f>INDEX(Calendar!$H$5:$L$52,MATCH($A38,Calendar!$A$5:$A$52,0),MATCH($D$2,Calendar!$H$4:$L$4,0))</f>
        <v/>
      </c>
      <c r="AA38" s="54">
        <f>INDEX(Calendar!$M$5:$M$52,MATCH($A38,Calendar!$A$5:$A$52,0))</f>
        <v/>
      </c>
      <c r="AB38" s="55">
        <f>IF($D38="Actual",IFERROR(S38/Y38,""),AB26)</f>
        <v/>
      </c>
      <c r="AC38" s="56">
        <f>IF($D38="Actual",IFERROR(U38/T38/Z38/AA38,""),AC26)</f>
        <v/>
      </c>
      <c r="AD38" s="57">
        <f>IF($D38="Actual",IFERROR(V38/(U38+V38),""),$K$2)</f>
        <v/>
      </c>
      <c r="AE38" s="56">
        <f>IFERROR(AC38*Z38*AA38,"")</f>
        <v/>
      </c>
      <c r="AF38" s="53">
        <f>K26</f>
        <v/>
      </c>
      <c r="AG38" s="57">
        <f>IF($D38="Forecast",IFERROR(K38/AF38-1,""),"")</f>
        <v/>
      </c>
      <c r="AH38" s="53">
        <f>IF(CPLHSource="National breakdown",CPLH_Breakdown!AO43,SUMIFS(Plan_Inputs!$D$2:$D$5000,Plan_Inputs!$A$2:$A$5000,$A38,Plan_Inputs!$B$2:$B$5000,$B$2))</f>
        <v/>
      </c>
      <c r="AJ38" s="41">
        <f>F38*$AK$11</f>
        <v/>
      </c>
      <c r="AK38" s="42">
        <f>G38*$AK$11</f>
        <v/>
      </c>
      <c r="AL38" s="40">
        <f>H38*$AK$11</f>
        <v/>
      </c>
      <c r="AM38" s="40">
        <f>I38*$AK$11</f>
        <v/>
      </c>
      <c r="AN38" s="40">
        <f>J38*$AK$11</f>
        <v/>
      </c>
      <c r="AP38" s="41">
        <f>F38*$AQ$11</f>
        <v/>
      </c>
      <c r="AQ38" s="42">
        <f>G38*$AQ$11</f>
        <v/>
      </c>
      <c r="AR38" s="40">
        <f>H38*$AQ$11</f>
        <v/>
      </c>
      <c r="AS38" s="40">
        <f>I38*$AQ$11</f>
        <v/>
      </c>
      <c r="AT38" s="40">
        <f>J38*$AQ$11</f>
        <v/>
      </c>
      <c r="AV38" s="41">
        <f>F38*$AW$11</f>
        <v/>
      </c>
      <c r="AW38" s="42">
        <f>G38*$AW$11</f>
        <v/>
      </c>
      <c r="AX38" s="40">
        <f>H38*$AW$11</f>
        <v/>
      </c>
      <c r="AY38" s="40">
        <f>I38*$AW$11</f>
        <v/>
      </c>
      <c r="AZ38" s="40">
        <f>J38*$AW$11</f>
        <v/>
      </c>
    </row>
    <row r="39">
      <c r="A39" s="8" t="n">
        <v>46388</v>
      </c>
      <c r="B39" s="33">
        <f>YEAR(A39)</f>
        <v/>
      </c>
      <c r="C39" s="33">
        <f>MONTH(A39)</f>
        <v/>
      </c>
      <c r="D39">
        <f>IF(A39&lt;=LastActual,"Actual","Forecast")</f>
        <v/>
      </c>
      <c r="E39" s="30">
        <f>IF($D39="Actual",R39,W39)</f>
        <v/>
      </c>
      <c r="F39" s="15">
        <f>IF($D39="Actual",S39,Cases_Forecast!AN32)</f>
        <v/>
      </c>
      <c r="G39" s="9">
        <f>IF($D39="Actual",T39,IFERROR(F39/K39,0))</f>
        <v/>
      </c>
      <c r="H39" s="30">
        <f>IF($D39="Actual",U39,G39*L39)</f>
        <v/>
      </c>
      <c r="I39" s="30">
        <f>IF($D39="Actual",V39,J39-H39)</f>
        <v/>
      </c>
      <c r="J39" s="30">
        <f>IF($D39="Actual",U39+V39,IFERROR(H39/(1-AD39),0))</f>
        <v/>
      </c>
      <c r="K39" s="10">
        <f>IF($D39="Actual",IFERROR(S39/T39,0),CPLH_Forecast!AN32)</f>
        <v/>
      </c>
      <c r="L39" s="34">
        <f>IF($D39="Actual",IFERROR(U39/T39,0),N(AE39))</f>
        <v/>
      </c>
      <c r="M39" s="35">
        <f>IFERROR(J39/F39,0)</f>
        <v/>
      </c>
      <c r="N39" s="36">
        <f>IFERROR(J39/E39,0)</f>
        <v/>
      </c>
      <c r="O39" s="36">
        <f>IFERROR(I39/J39,0)</f>
        <v/>
      </c>
      <c r="R39" s="52">
        <f>IF($D39="Actual",SUMIFS(Data_Actuals!$C$2:$C$5000,Data_Actuals!$A$2:$A$5000,$A39,Data_Actuals!$B$2:$B$5000,$B$2),"")</f>
        <v/>
      </c>
      <c r="S39" s="52">
        <f>IF($D39="Actual",SUMIFS(Data_Actuals!$D$2:$D$5000,Data_Actuals!$A$2:$A$5000,$A39,Data_Actuals!$B$2:$B$5000,$B$2),"")</f>
        <v/>
      </c>
      <c r="T39" s="52">
        <f>IF($D39="Actual",SUMIFS(Data_Actuals!$E$2:$E$5000,Data_Actuals!$A$2:$A$5000,$A39,Data_Actuals!$B$2:$B$5000,$B$2),"")</f>
        <v/>
      </c>
      <c r="U39" s="52">
        <f>IF($D39="Actual",SUMIFS(Data_Actuals!$F$2:$F$5000,Data_Actuals!$A$2:$A$5000,$A39,Data_Actuals!$B$2:$B$5000,$B$2),"")</f>
        <v/>
      </c>
      <c r="V39" s="52">
        <f>IF($D39="Actual",SUMIFS(Data_Actuals!$G$2:$G$5000,Data_Actuals!$A$2:$A$5000,$A39,Data_Actuals!$B$2:$B$5000,$B$2),"")</f>
        <v/>
      </c>
      <c r="W39" s="52">
        <f>SUMIFS(Plan_Inputs!$C$2:$C$5000,Plan_Inputs!$A$2:$A$5000,$A39,Plan_Inputs!$B$2:$B$5000,$B$2)</f>
        <v/>
      </c>
      <c r="X39" s="53">
        <f>IF($D39="Actual",IFERROR(S39/T39,""),X27)</f>
        <v/>
      </c>
      <c r="Y39" s="52">
        <f>E39</f>
        <v/>
      </c>
      <c r="Z39" s="54">
        <f>INDEX(Calendar!$H$5:$L$52,MATCH($A39,Calendar!$A$5:$A$52,0),MATCH($D$2,Calendar!$H$4:$L$4,0))</f>
        <v/>
      </c>
      <c r="AA39" s="54">
        <f>INDEX(Calendar!$M$5:$M$52,MATCH($A39,Calendar!$A$5:$A$52,0))</f>
        <v/>
      </c>
      <c r="AB39" s="55">
        <f>IF($D39="Actual",IFERROR(S39/Y39,""),AB27)</f>
        <v/>
      </c>
      <c r="AC39" s="56">
        <f>IF($D39="Actual",IFERROR(U39/T39/Z39/AA39,""),AC27)</f>
        <v/>
      </c>
      <c r="AD39" s="57">
        <f>IF($D39="Actual",IFERROR(V39/(U39+V39),""),$K$2)</f>
        <v/>
      </c>
      <c r="AE39" s="56">
        <f>IFERROR(AC39*Z39*AA39,"")</f>
        <v/>
      </c>
      <c r="AF39" s="53">
        <f>K27</f>
        <v/>
      </c>
      <c r="AG39" s="57">
        <f>IF($D39="Forecast",IFERROR(K39/AF39-1,""),"")</f>
        <v/>
      </c>
      <c r="AH39" s="53">
        <f>IF(CPLHSource="National breakdown",CPLH_Breakdown!AO44,SUMIFS(Plan_Inputs!$D$2:$D$5000,Plan_Inputs!$A$2:$A$5000,$A39,Plan_Inputs!$B$2:$B$5000,$B$2))</f>
        <v/>
      </c>
      <c r="AJ39" s="15">
        <f>F39*$AK$11</f>
        <v/>
      </c>
      <c r="AK39" s="9">
        <f>G39*$AK$11</f>
        <v/>
      </c>
      <c r="AL39" s="30">
        <f>H39*$AK$11</f>
        <v/>
      </c>
      <c r="AM39" s="30">
        <f>I39*$AK$11</f>
        <v/>
      </c>
      <c r="AN39" s="30">
        <f>J39*$AK$11</f>
        <v/>
      </c>
      <c r="AP39" s="15">
        <f>F39*$AQ$11</f>
        <v/>
      </c>
      <c r="AQ39" s="9">
        <f>G39*$AQ$11</f>
        <v/>
      </c>
      <c r="AR39" s="30">
        <f>H39*$AQ$11</f>
        <v/>
      </c>
      <c r="AS39" s="30">
        <f>I39*$AQ$11</f>
        <v/>
      </c>
      <c r="AT39" s="30">
        <f>J39*$AQ$11</f>
        <v/>
      </c>
      <c r="AV39" s="15">
        <f>F39*$AW$11</f>
        <v/>
      </c>
      <c r="AW39" s="9">
        <f>G39*$AW$11</f>
        <v/>
      </c>
      <c r="AX39" s="30">
        <f>H39*$AW$11</f>
        <v/>
      </c>
      <c r="AY39" s="30">
        <f>I39*$AW$11</f>
        <v/>
      </c>
      <c r="AZ39" s="30">
        <f>J39*$AW$11</f>
        <v/>
      </c>
    </row>
    <row r="40">
      <c r="A40" s="8" t="n">
        <v>46419</v>
      </c>
      <c r="B40" s="33">
        <f>YEAR(A40)</f>
        <v/>
      </c>
      <c r="C40" s="33">
        <f>MONTH(A40)</f>
        <v/>
      </c>
      <c r="D40">
        <f>IF(A40&lt;=LastActual,"Actual","Forecast")</f>
        <v/>
      </c>
      <c r="E40" s="30">
        <f>IF($D40="Actual",R40,W40)</f>
        <v/>
      </c>
      <c r="F40" s="15">
        <f>IF($D40="Actual",S40,Cases_Forecast!AN33)</f>
        <v/>
      </c>
      <c r="G40" s="9">
        <f>IF($D40="Actual",T40,IFERROR(F40/K40,0))</f>
        <v/>
      </c>
      <c r="H40" s="30">
        <f>IF($D40="Actual",U40,G40*L40)</f>
        <v/>
      </c>
      <c r="I40" s="30">
        <f>IF($D40="Actual",V40,J40-H40)</f>
        <v/>
      </c>
      <c r="J40" s="30">
        <f>IF($D40="Actual",U40+V40,IFERROR(H40/(1-AD40),0))</f>
        <v/>
      </c>
      <c r="K40" s="10">
        <f>IF($D40="Actual",IFERROR(S40/T40,0),CPLH_Forecast!AN33)</f>
        <v/>
      </c>
      <c r="L40" s="34">
        <f>IF($D40="Actual",IFERROR(U40/T40,0),N(AE40))</f>
        <v/>
      </c>
      <c r="M40" s="35">
        <f>IFERROR(J40/F40,0)</f>
        <v/>
      </c>
      <c r="N40" s="36">
        <f>IFERROR(J40/E40,0)</f>
        <v/>
      </c>
      <c r="O40" s="36">
        <f>IFERROR(I40/J40,0)</f>
        <v/>
      </c>
      <c r="R40" s="52">
        <f>IF($D40="Actual",SUMIFS(Data_Actuals!$C$2:$C$5000,Data_Actuals!$A$2:$A$5000,$A40,Data_Actuals!$B$2:$B$5000,$B$2),"")</f>
        <v/>
      </c>
      <c r="S40" s="52">
        <f>IF($D40="Actual",SUMIFS(Data_Actuals!$D$2:$D$5000,Data_Actuals!$A$2:$A$5000,$A40,Data_Actuals!$B$2:$B$5000,$B$2),"")</f>
        <v/>
      </c>
      <c r="T40" s="52">
        <f>IF($D40="Actual",SUMIFS(Data_Actuals!$E$2:$E$5000,Data_Actuals!$A$2:$A$5000,$A40,Data_Actuals!$B$2:$B$5000,$B$2),"")</f>
        <v/>
      </c>
      <c r="U40" s="52">
        <f>IF($D40="Actual",SUMIFS(Data_Actuals!$F$2:$F$5000,Data_Actuals!$A$2:$A$5000,$A40,Data_Actuals!$B$2:$B$5000,$B$2),"")</f>
        <v/>
      </c>
      <c r="V40" s="52">
        <f>IF($D40="Actual",SUMIFS(Data_Actuals!$G$2:$G$5000,Data_Actuals!$A$2:$A$5000,$A40,Data_Actuals!$B$2:$B$5000,$B$2),"")</f>
        <v/>
      </c>
      <c r="W40" s="52">
        <f>SUMIFS(Plan_Inputs!$C$2:$C$5000,Plan_Inputs!$A$2:$A$5000,$A40,Plan_Inputs!$B$2:$B$5000,$B$2)</f>
        <v/>
      </c>
      <c r="X40" s="53">
        <f>IF($D40="Actual",IFERROR(S40/T40,""),X28)</f>
        <v/>
      </c>
      <c r="Y40" s="52">
        <f>E40</f>
        <v/>
      </c>
      <c r="Z40" s="54">
        <f>INDEX(Calendar!$H$5:$L$52,MATCH($A40,Calendar!$A$5:$A$52,0),MATCH($D$2,Calendar!$H$4:$L$4,0))</f>
        <v/>
      </c>
      <c r="AA40" s="54">
        <f>INDEX(Calendar!$M$5:$M$52,MATCH($A40,Calendar!$A$5:$A$52,0))</f>
        <v/>
      </c>
      <c r="AB40" s="55">
        <f>IF($D40="Actual",IFERROR(S40/Y40,""),AB28)</f>
        <v/>
      </c>
      <c r="AC40" s="56">
        <f>IF($D40="Actual",IFERROR(U40/T40/Z40/AA40,""),AC28)</f>
        <v/>
      </c>
      <c r="AD40" s="57">
        <f>IF($D40="Actual",IFERROR(V40/(U40+V40),""),$K$2)</f>
        <v/>
      </c>
      <c r="AE40" s="56">
        <f>IFERROR(AC40*Z40*AA40,"")</f>
        <v/>
      </c>
      <c r="AF40" s="53">
        <f>K28</f>
        <v/>
      </c>
      <c r="AG40" s="57">
        <f>IF($D40="Forecast",IFERROR(K40/AF40-1,""),"")</f>
        <v/>
      </c>
      <c r="AH40" s="53">
        <f>IF(CPLHSource="National breakdown",CPLH_Breakdown!AO45,SUMIFS(Plan_Inputs!$D$2:$D$5000,Plan_Inputs!$A$2:$A$5000,$A40,Plan_Inputs!$B$2:$B$5000,$B$2))</f>
        <v/>
      </c>
      <c r="AJ40" s="15">
        <f>F40*$AK$11</f>
        <v/>
      </c>
      <c r="AK40" s="9">
        <f>G40*$AK$11</f>
        <v/>
      </c>
      <c r="AL40" s="30">
        <f>H40*$AK$11</f>
        <v/>
      </c>
      <c r="AM40" s="30">
        <f>I40*$AK$11</f>
        <v/>
      </c>
      <c r="AN40" s="30">
        <f>J40*$AK$11</f>
        <v/>
      </c>
      <c r="AP40" s="15">
        <f>F40*$AQ$11</f>
        <v/>
      </c>
      <c r="AQ40" s="9">
        <f>G40*$AQ$11</f>
        <v/>
      </c>
      <c r="AR40" s="30">
        <f>H40*$AQ$11</f>
        <v/>
      </c>
      <c r="AS40" s="30">
        <f>I40*$AQ$11</f>
        <v/>
      </c>
      <c r="AT40" s="30">
        <f>J40*$AQ$11</f>
        <v/>
      </c>
      <c r="AV40" s="15">
        <f>F40*$AW$11</f>
        <v/>
      </c>
      <c r="AW40" s="9">
        <f>G40*$AW$11</f>
        <v/>
      </c>
      <c r="AX40" s="30">
        <f>H40*$AW$11</f>
        <v/>
      </c>
      <c r="AY40" s="30">
        <f>I40*$AW$11</f>
        <v/>
      </c>
      <c r="AZ40" s="30">
        <f>J40*$AW$11</f>
        <v/>
      </c>
    </row>
    <row r="41">
      <c r="A41" s="8" t="n">
        <v>46447</v>
      </c>
      <c r="B41" s="33">
        <f>YEAR(A41)</f>
        <v/>
      </c>
      <c r="C41" s="33">
        <f>MONTH(A41)</f>
        <v/>
      </c>
      <c r="D41">
        <f>IF(A41&lt;=LastActual,"Actual","Forecast")</f>
        <v/>
      </c>
      <c r="E41" s="30">
        <f>IF($D41="Actual",R41,W41)</f>
        <v/>
      </c>
      <c r="F41" s="15">
        <f>IF($D41="Actual",S41,Cases_Forecast!AN34)</f>
        <v/>
      </c>
      <c r="G41" s="9">
        <f>IF($D41="Actual",T41,IFERROR(F41/K41,0))</f>
        <v/>
      </c>
      <c r="H41" s="30">
        <f>IF($D41="Actual",U41,G41*L41)</f>
        <v/>
      </c>
      <c r="I41" s="30">
        <f>IF($D41="Actual",V41,J41-H41)</f>
        <v/>
      </c>
      <c r="J41" s="30">
        <f>IF($D41="Actual",U41+V41,IFERROR(H41/(1-AD41),0))</f>
        <v/>
      </c>
      <c r="K41" s="10">
        <f>IF($D41="Actual",IFERROR(S41/T41,0),CPLH_Forecast!AN34)</f>
        <v/>
      </c>
      <c r="L41" s="34">
        <f>IF($D41="Actual",IFERROR(U41/T41,0),N(AE41))</f>
        <v/>
      </c>
      <c r="M41" s="35">
        <f>IFERROR(J41/F41,0)</f>
        <v/>
      </c>
      <c r="N41" s="36">
        <f>IFERROR(J41/E41,0)</f>
        <v/>
      </c>
      <c r="O41" s="36">
        <f>IFERROR(I41/J41,0)</f>
        <v/>
      </c>
      <c r="R41" s="52">
        <f>IF($D41="Actual",SUMIFS(Data_Actuals!$C$2:$C$5000,Data_Actuals!$A$2:$A$5000,$A41,Data_Actuals!$B$2:$B$5000,$B$2),"")</f>
        <v/>
      </c>
      <c r="S41" s="52">
        <f>IF($D41="Actual",SUMIFS(Data_Actuals!$D$2:$D$5000,Data_Actuals!$A$2:$A$5000,$A41,Data_Actuals!$B$2:$B$5000,$B$2),"")</f>
        <v/>
      </c>
      <c r="T41" s="52">
        <f>IF($D41="Actual",SUMIFS(Data_Actuals!$E$2:$E$5000,Data_Actuals!$A$2:$A$5000,$A41,Data_Actuals!$B$2:$B$5000,$B$2),"")</f>
        <v/>
      </c>
      <c r="U41" s="52">
        <f>IF($D41="Actual",SUMIFS(Data_Actuals!$F$2:$F$5000,Data_Actuals!$A$2:$A$5000,$A41,Data_Actuals!$B$2:$B$5000,$B$2),"")</f>
        <v/>
      </c>
      <c r="V41" s="52">
        <f>IF($D41="Actual",SUMIFS(Data_Actuals!$G$2:$G$5000,Data_Actuals!$A$2:$A$5000,$A41,Data_Actuals!$B$2:$B$5000,$B$2),"")</f>
        <v/>
      </c>
      <c r="W41" s="52">
        <f>SUMIFS(Plan_Inputs!$C$2:$C$5000,Plan_Inputs!$A$2:$A$5000,$A41,Plan_Inputs!$B$2:$B$5000,$B$2)</f>
        <v/>
      </c>
      <c r="X41" s="53">
        <f>IF($D41="Actual",IFERROR(S41/T41,""),X29)</f>
        <v/>
      </c>
      <c r="Y41" s="52">
        <f>E41</f>
        <v/>
      </c>
      <c r="Z41" s="54">
        <f>INDEX(Calendar!$H$5:$L$52,MATCH($A41,Calendar!$A$5:$A$52,0),MATCH($D$2,Calendar!$H$4:$L$4,0))</f>
        <v/>
      </c>
      <c r="AA41" s="54">
        <f>INDEX(Calendar!$M$5:$M$52,MATCH($A41,Calendar!$A$5:$A$52,0))</f>
        <v/>
      </c>
      <c r="AB41" s="55">
        <f>IF($D41="Actual",IFERROR(S41/Y41,""),AB29)</f>
        <v/>
      </c>
      <c r="AC41" s="56">
        <f>IF($D41="Actual",IFERROR(U41/T41/Z41/AA41,""),AC29)</f>
        <v/>
      </c>
      <c r="AD41" s="57">
        <f>IF($D41="Actual",IFERROR(V41/(U41+V41),""),$K$2)</f>
        <v/>
      </c>
      <c r="AE41" s="56">
        <f>IFERROR(AC41*Z41*AA41,"")</f>
        <v/>
      </c>
      <c r="AF41" s="53">
        <f>K29</f>
        <v/>
      </c>
      <c r="AG41" s="57">
        <f>IF($D41="Forecast",IFERROR(K41/AF41-1,""),"")</f>
        <v/>
      </c>
      <c r="AH41" s="53">
        <f>IF(CPLHSource="National breakdown",CPLH_Breakdown!AO46,SUMIFS(Plan_Inputs!$D$2:$D$5000,Plan_Inputs!$A$2:$A$5000,$A41,Plan_Inputs!$B$2:$B$5000,$B$2))</f>
        <v/>
      </c>
      <c r="AJ41" s="15">
        <f>F41*$AK$11</f>
        <v/>
      </c>
      <c r="AK41" s="9">
        <f>G41*$AK$11</f>
        <v/>
      </c>
      <c r="AL41" s="30">
        <f>H41*$AK$11</f>
        <v/>
      </c>
      <c r="AM41" s="30">
        <f>I41*$AK$11</f>
        <v/>
      </c>
      <c r="AN41" s="30">
        <f>J41*$AK$11</f>
        <v/>
      </c>
      <c r="AP41" s="15">
        <f>F41*$AQ$11</f>
        <v/>
      </c>
      <c r="AQ41" s="9">
        <f>G41*$AQ$11</f>
        <v/>
      </c>
      <c r="AR41" s="30">
        <f>H41*$AQ$11</f>
        <v/>
      </c>
      <c r="AS41" s="30">
        <f>I41*$AQ$11</f>
        <v/>
      </c>
      <c r="AT41" s="30">
        <f>J41*$AQ$11</f>
        <v/>
      </c>
      <c r="AV41" s="15">
        <f>F41*$AW$11</f>
        <v/>
      </c>
      <c r="AW41" s="9">
        <f>G41*$AW$11</f>
        <v/>
      </c>
      <c r="AX41" s="30">
        <f>H41*$AW$11</f>
        <v/>
      </c>
      <c r="AY41" s="30">
        <f>I41*$AW$11</f>
        <v/>
      </c>
      <c r="AZ41" s="30">
        <f>J41*$AW$11</f>
        <v/>
      </c>
    </row>
    <row r="42">
      <c r="A42" s="8" t="n">
        <v>46478</v>
      </c>
      <c r="B42" s="33">
        <f>YEAR(A42)</f>
        <v/>
      </c>
      <c r="C42" s="33">
        <f>MONTH(A42)</f>
        <v/>
      </c>
      <c r="D42">
        <f>IF(A42&lt;=LastActual,"Actual","Forecast")</f>
        <v/>
      </c>
      <c r="E42" s="30">
        <f>IF($D42="Actual",R42,W42)</f>
        <v/>
      </c>
      <c r="F42" s="15">
        <f>IF($D42="Actual",S42,Cases_Forecast!AN35)</f>
        <v/>
      </c>
      <c r="G42" s="9">
        <f>IF($D42="Actual",T42,IFERROR(F42/K42,0))</f>
        <v/>
      </c>
      <c r="H42" s="30">
        <f>IF($D42="Actual",U42,G42*L42)</f>
        <v/>
      </c>
      <c r="I42" s="30">
        <f>IF($D42="Actual",V42,J42-H42)</f>
        <v/>
      </c>
      <c r="J42" s="30">
        <f>IF($D42="Actual",U42+V42,IFERROR(H42/(1-AD42),0))</f>
        <v/>
      </c>
      <c r="K42" s="10">
        <f>IF($D42="Actual",IFERROR(S42/T42,0),CPLH_Forecast!AN35)</f>
        <v/>
      </c>
      <c r="L42" s="34">
        <f>IF($D42="Actual",IFERROR(U42/T42,0),N(AE42))</f>
        <v/>
      </c>
      <c r="M42" s="35">
        <f>IFERROR(J42/F42,0)</f>
        <v/>
      </c>
      <c r="N42" s="36">
        <f>IFERROR(J42/E42,0)</f>
        <v/>
      </c>
      <c r="O42" s="36">
        <f>IFERROR(I42/J42,0)</f>
        <v/>
      </c>
      <c r="R42" s="52">
        <f>IF($D42="Actual",SUMIFS(Data_Actuals!$C$2:$C$5000,Data_Actuals!$A$2:$A$5000,$A42,Data_Actuals!$B$2:$B$5000,$B$2),"")</f>
        <v/>
      </c>
      <c r="S42" s="52">
        <f>IF($D42="Actual",SUMIFS(Data_Actuals!$D$2:$D$5000,Data_Actuals!$A$2:$A$5000,$A42,Data_Actuals!$B$2:$B$5000,$B$2),"")</f>
        <v/>
      </c>
      <c r="T42" s="52">
        <f>IF($D42="Actual",SUMIFS(Data_Actuals!$E$2:$E$5000,Data_Actuals!$A$2:$A$5000,$A42,Data_Actuals!$B$2:$B$5000,$B$2),"")</f>
        <v/>
      </c>
      <c r="U42" s="52">
        <f>IF($D42="Actual",SUMIFS(Data_Actuals!$F$2:$F$5000,Data_Actuals!$A$2:$A$5000,$A42,Data_Actuals!$B$2:$B$5000,$B$2),"")</f>
        <v/>
      </c>
      <c r="V42" s="52">
        <f>IF($D42="Actual",SUMIFS(Data_Actuals!$G$2:$G$5000,Data_Actuals!$A$2:$A$5000,$A42,Data_Actuals!$B$2:$B$5000,$B$2),"")</f>
        <v/>
      </c>
      <c r="W42" s="52">
        <f>SUMIFS(Plan_Inputs!$C$2:$C$5000,Plan_Inputs!$A$2:$A$5000,$A42,Plan_Inputs!$B$2:$B$5000,$B$2)</f>
        <v/>
      </c>
      <c r="X42" s="53">
        <f>IF($D42="Actual",IFERROR(S42/T42,""),X30)</f>
        <v/>
      </c>
      <c r="Y42" s="52">
        <f>E42</f>
        <v/>
      </c>
      <c r="Z42" s="54">
        <f>INDEX(Calendar!$H$5:$L$52,MATCH($A42,Calendar!$A$5:$A$52,0),MATCH($D$2,Calendar!$H$4:$L$4,0))</f>
        <v/>
      </c>
      <c r="AA42" s="54">
        <f>INDEX(Calendar!$M$5:$M$52,MATCH($A42,Calendar!$A$5:$A$52,0))</f>
        <v/>
      </c>
      <c r="AB42" s="55">
        <f>IF($D42="Actual",IFERROR(S42/Y42,""),AB30)</f>
        <v/>
      </c>
      <c r="AC42" s="56">
        <f>IF($D42="Actual",IFERROR(U42/T42/Z42/AA42,""),AC30)</f>
        <v/>
      </c>
      <c r="AD42" s="57">
        <f>IF($D42="Actual",IFERROR(V42/(U42+V42),""),$K$2)</f>
        <v/>
      </c>
      <c r="AE42" s="56">
        <f>IFERROR(AC42*Z42*AA42,"")</f>
        <v/>
      </c>
      <c r="AF42" s="53">
        <f>K30</f>
        <v/>
      </c>
      <c r="AG42" s="57">
        <f>IF($D42="Forecast",IFERROR(K42/AF42-1,""),"")</f>
        <v/>
      </c>
      <c r="AH42" s="53">
        <f>IF(CPLHSource="National breakdown",CPLH_Breakdown!AO47,SUMIFS(Plan_Inputs!$D$2:$D$5000,Plan_Inputs!$A$2:$A$5000,$A42,Plan_Inputs!$B$2:$B$5000,$B$2))</f>
        <v/>
      </c>
      <c r="AJ42" s="15">
        <f>F42*$AK$11</f>
        <v/>
      </c>
      <c r="AK42" s="9">
        <f>G42*$AK$11</f>
        <v/>
      </c>
      <c r="AL42" s="30">
        <f>H42*$AK$11</f>
        <v/>
      </c>
      <c r="AM42" s="30">
        <f>I42*$AK$11</f>
        <v/>
      </c>
      <c r="AN42" s="30">
        <f>J42*$AK$11</f>
        <v/>
      </c>
      <c r="AP42" s="15">
        <f>F42*$AQ$11</f>
        <v/>
      </c>
      <c r="AQ42" s="9">
        <f>G42*$AQ$11</f>
        <v/>
      </c>
      <c r="AR42" s="30">
        <f>H42*$AQ$11</f>
        <v/>
      </c>
      <c r="AS42" s="30">
        <f>I42*$AQ$11</f>
        <v/>
      </c>
      <c r="AT42" s="30">
        <f>J42*$AQ$11</f>
        <v/>
      </c>
      <c r="AV42" s="15">
        <f>F42*$AW$11</f>
        <v/>
      </c>
      <c r="AW42" s="9">
        <f>G42*$AW$11</f>
        <v/>
      </c>
      <c r="AX42" s="30">
        <f>H42*$AW$11</f>
        <v/>
      </c>
      <c r="AY42" s="30">
        <f>I42*$AW$11</f>
        <v/>
      </c>
      <c r="AZ42" s="30">
        <f>J42*$AW$11</f>
        <v/>
      </c>
    </row>
    <row r="43">
      <c r="A43" s="8" t="n">
        <v>46508</v>
      </c>
      <c r="B43" s="33">
        <f>YEAR(A43)</f>
        <v/>
      </c>
      <c r="C43" s="33">
        <f>MONTH(A43)</f>
        <v/>
      </c>
      <c r="D43">
        <f>IF(A43&lt;=LastActual,"Actual","Forecast")</f>
        <v/>
      </c>
      <c r="E43" s="30">
        <f>IF($D43="Actual",R43,W43)</f>
        <v/>
      </c>
      <c r="F43" s="15">
        <f>IF($D43="Actual",S43,Cases_Forecast!AN36)</f>
        <v/>
      </c>
      <c r="G43" s="9">
        <f>IF($D43="Actual",T43,IFERROR(F43/K43,0))</f>
        <v/>
      </c>
      <c r="H43" s="30">
        <f>IF($D43="Actual",U43,G43*L43)</f>
        <v/>
      </c>
      <c r="I43" s="30">
        <f>IF($D43="Actual",V43,J43-H43)</f>
        <v/>
      </c>
      <c r="J43" s="30">
        <f>IF($D43="Actual",U43+V43,IFERROR(H43/(1-AD43),0))</f>
        <v/>
      </c>
      <c r="K43" s="10">
        <f>IF($D43="Actual",IFERROR(S43/T43,0),CPLH_Forecast!AN36)</f>
        <v/>
      </c>
      <c r="L43" s="34">
        <f>IF($D43="Actual",IFERROR(U43/T43,0),N(AE43))</f>
        <v/>
      </c>
      <c r="M43" s="35">
        <f>IFERROR(J43/F43,0)</f>
        <v/>
      </c>
      <c r="N43" s="36">
        <f>IFERROR(J43/E43,0)</f>
        <v/>
      </c>
      <c r="O43" s="36">
        <f>IFERROR(I43/J43,0)</f>
        <v/>
      </c>
      <c r="R43" s="52">
        <f>IF($D43="Actual",SUMIFS(Data_Actuals!$C$2:$C$5000,Data_Actuals!$A$2:$A$5000,$A43,Data_Actuals!$B$2:$B$5000,$B$2),"")</f>
        <v/>
      </c>
      <c r="S43" s="52">
        <f>IF($D43="Actual",SUMIFS(Data_Actuals!$D$2:$D$5000,Data_Actuals!$A$2:$A$5000,$A43,Data_Actuals!$B$2:$B$5000,$B$2),"")</f>
        <v/>
      </c>
      <c r="T43" s="52">
        <f>IF($D43="Actual",SUMIFS(Data_Actuals!$E$2:$E$5000,Data_Actuals!$A$2:$A$5000,$A43,Data_Actuals!$B$2:$B$5000,$B$2),"")</f>
        <v/>
      </c>
      <c r="U43" s="52">
        <f>IF($D43="Actual",SUMIFS(Data_Actuals!$F$2:$F$5000,Data_Actuals!$A$2:$A$5000,$A43,Data_Actuals!$B$2:$B$5000,$B$2),"")</f>
        <v/>
      </c>
      <c r="V43" s="52">
        <f>IF($D43="Actual",SUMIFS(Data_Actuals!$G$2:$G$5000,Data_Actuals!$A$2:$A$5000,$A43,Data_Actuals!$B$2:$B$5000,$B$2),"")</f>
        <v/>
      </c>
      <c r="W43" s="52">
        <f>SUMIFS(Plan_Inputs!$C$2:$C$5000,Plan_Inputs!$A$2:$A$5000,$A43,Plan_Inputs!$B$2:$B$5000,$B$2)</f>
        <v/>
      </c>
      <c r="X43" s="53">
        <f>IF($D43="Actual",IFERROR(S43/T43,""),X31)</f>
        <v/>
      </c>
      <c r="Y43" s="52">
        <f>E43</f>
        <v/>
      </c>
      <c r="Z43" s="54">
        <f>INDEX(Calendar!$H$5:$L$52,MATCH($A43,Calendar!$A$5:$A$52,0),MATCH($D$2,Calendar!$H$4:$L$4,0))</f>
        <v/>
      </c>
      <c r="AA43" s="54">
        <f>INDEX(Calendar!$M$5:$M$52,MATCH($A43,Calendar!$A$5:$A$52,0))</f>
        <v/>
      </c>
      <c r="AB43" s="55">
        <f>IF($D43="Actual",IFERROR(S43/Y43,""),AB31)</f>
        <v/>
      </c>
      <c r="AC43" s="56">
        <f>IF($D43="Actual",IFERROR(U43/T43/Z43/AA43,""),AC31)</f>
        <v/>
      </c>
      <c r="AD43" s="57">
        <f>IF($D43="Actual",IFERROR(V43/(U43+V43),""),$K$2)</f>
        <v/>
      </c>
      <c r="AE43" s="56">
        <f>IFERROR(AC43*Z43*AA43,"")</f>
        <v/>
      </c>
      <c r="AF43" s="53">
        <f>K31</f>
        <v/>
      </c>
      <c r="AG43" s="57">
        <f>IF($D43="Forecast",IFERROR(K43/AF43-1,""),"")</f>
        <v/>
      </c>
      <c r="AH43" s="53">
        <f>IF(CPLHSource="National breakdown",CPLH_Breakdown!AO48,SUMIFS(Plan_Inputs!$D$2:$D$5000,Plan_Inputs!$A$2:$A$5000,$A43,Plan_Inputs!$B$2:$B$5000,$B$2))</f>
        <v/>
      </c>
      <c r="AJ43" s="15">
        <f>F43*$AK$11</f>
        <v/>
      </c>
      <c r="AK43" s="9">
        <f>G43*$AK$11</f>
        <v/>
      </c>
      <c r="AL43" s="30">
        <f>H43*$AK$11</f>
        <v/>
      </c>
      <c r="AM43" s="30">
        <f>I43*$AK$11</f>
        <v/>
      </c>
      <c r="AN43" s="30">
        <f>J43*$AK$11</f>
        <v/>
      </c>
      <c r="AP43" s="15">
        <f>F43*$AQ$11</f>
        <v/>
      </c>
      <c r="AQ43" s="9">
        <f>G43*$AQ$11</f>
        <v/>
      </c>
      <c r="AR43" s="30">
        <f>H43*$AQ$11</f>
        <v/>
      </c>
      <c r="AS43" s="30">
        <f>I43*$AQ$11</f>
        <v/>
      </c>
      <c r="AT43" s="30">
        <f>J43*$AQ$11</f>
        <v/>
      </c>
      <c r="AV43" s="15">
        <f>F43*$AW$11</f>
        <v/>
      </c>
      <c r="AW43" s="9">
        <f>G43*$AW$11</f>
        <v/>
      </c>
      <c r="AX43" s="30">
        <f>H43*$AW$11</f>
        <v/>
      </c>
      <c r="AY43" s="30">
        <f>I43*$AW$11</f>
        <v/>
      </c>
      <c r="AZ43" s="30">
        <f>J43*$AW$11</f>
        <v/>
      </c>
    </row>
    <row r="44">
      <c r="A44" s="8" t="n">
        <v>46539</v>
      </c>
      <c r="B44" s="33">
        <f>YEAR(A44)</f>
        <v/>
      </c>
      <c r="C44" s="33">
        <f>MONTH(A44)</f>
        <v/>
      </c>
      <c r="D44">
        <f>IF(A44&lt;=LastActual,"Actual","Forecast")</f>
        <v/>
      </c>
      <c r="E44" s="30">
        <f>IF($D44="Actual",R44,W44)</f>
        <v/>
      </c>
      <c r="F44" s="15">
        <f>IF($D44="Actual",S44,Cases_Forecast!AN37)</f>
        <v/>
      </c>
      <c r="G44" s="9">
        <f>IF($D44="Actual",T44,IFERROR(F44/K44,0))</f>
        <v/>
      </c>
      <c r="H44" s="30">
        <f>IF($D44="Actual",U44,G44*L44)</f>
        <v/>
      </c>
      <c r="I44" s="30">
        <f>IF($D44="Actual",V44,J44-H44)</f>
        <v/>
      </c>
      <c r="J44" s="30">
        <f>IF($D44="Actual",U44+V44,IFERROR(H44/(1-AD44),0))</f>
        <v/>
      </c>
      <c r="K44" s="10">
        <f>IF($D44="Actual",IFERROR(S44/T44,0),CPLH_Forecast!AN37)</f>
        <v/>
      </c>
      <c r="L44" s="34">
        <f>IF($D44="Actual",IFERROR(U44/T44,0),N(AE44))</f>
        <v/>
      </c>
      <c r="M44" s="35">
        <f>IFERROR(J44/F44,0)</f>
        <v/>
      </c>
      <c r="N44" s="36">
        <f>IFERROR(J44/E44,0)</f>
        <v/>
      </c>
      <c r="O44" s="36">
        <f>IFERROR(I44/J44,0)</f>
        <v/>
      </c>
      <c r="R44" s="52">
        <f>IF($D44="Actual",SUMIFS(Data_Actuals!$C$2:$C$5000,Data_Actuals!$A$2:$A$5000,$A44,Data_Actuals!$B$2:$B$5000,$B$2),"")</f>
        <v/>
      </c>
      <c r="S44" s="52">
        <f>IF($D44="Actual",SUMIFS(Data_Actuals!$D$2:$D$5000,Data_Actuals!$A$2:$A$5000,$A44,Data_Actuals!$B$2:$B$5000,$B$2),"")</f>
        <v/>
      </c>
      <c r="T44" s="52">
        <f>IF($D44="Actual",SUMIFS(Data_Actuals!$E$2:$E$5000,Data_Actuals!$A$2:$A$5000,$A44,Data_Actuals!$B$2:$B$5000,$B$2),"")</f>
        <v/>
      </c>
      <c r="U44" s="52">
        <f>IF($D44="Actual",SUMIFS(Data_Actuals!$F$2:$F$5000,Data_Actuals!$A$2:$A$5000,$A44,Data_Actuals!$B$2:$B$5000,$B$2),"")</f>
        <v/>
      </c>
      <c r="V44" s="52">
        <f>IF($D44="Actual",SUMIFS(Data_Actuals!$G$2:$G$5000,Data_Actuals!$A$2:$A$5000,$A44,Data_Actuals!$B$2:$B$5000,$B$2),"")</f>
        <v/>
      </c>
      <c r="W44" s="52">
        <f>SUMIFS(Plan_Inputs!$C$2:$C$5000,Plan_Inputs!$A$2:$A$5000,$A44,Plan_Inputs!$B$2:$B$5000,$B$2)</f>
        <v/>
      </c>
      <c r="X44" s="53">
        <f>IF($D44="Actual",IFERROR(S44/T44,""),X32)</f>
        <v/>
      </c>
      <c r="Y44" s="52">
        <f>E44</f>
        <v/>
      </c>
      <c r="Z44" s="54">
        <f>INDEX(Calendar!$H$5:$L$52,MATCH($A44,Calendar!$A$5:$A$52,0),MATCH($D$2,Calendar!$H$4:$L$4,0))</f>
        <v/>
      </c>
      <c r="AA44" s="54">
        <f>INDEX(Calendar!$M$5:$M$52,MATCH($A44,Calendar!$A$5:$A$52,0))</f>
        <v/>
      </c>
      <c r="AB44" s="55">
        <f>IF($D44="Actual",IFERROR(S44/Y44,""),AB32)</f>
        <v/>
      </c>
      <c r="AC44" s="56">
        <f>IF($D44="Actual",IFERROR(U44/T44/Z44/AA44,""),AC32)</f>
        <v/>
      </c>
      <c r="AD44" s="57">
        <f>IF($D44="Actual",IFERROR(V44/(U44+V44),""),$K$2)</f>
        <v/>
      </c>
      <c r="AE44" s="56">
        <f>IFERROR(AC44*Z44*AA44,"")</f>
        <v/>
      </c>
      <c r="AF44" s="53">
        <f>K32</f>
        <v/>
      </c>
      <c r="AG44" s="57">
        <f>IF($D44="Forecast",IFERROR(K44/AF44-1,""),"")</f>
        <v/>
      </c>
      <c r="AH44" s="53">
        <f>IF(CPLHSource="National breakdown",CPLH_Breakdown!AO49,SUMIFS(Plan_Inputs!$D$2:$D$5000,Plan_Inputs!$A$2:$A$5000,$A44,Plan_Inputs!$B$2:$B$5000,$B$2))</f>
        <v/>
      </c>
      <c r="AJ44" s="15">
        <f>F44*$AK$11</f>
        <v/>
      </c>
      <c r="AK44" s="9">
        <f>G44*$AK$11</f>
        <v/>
      </c>
      <c r="AL44" s="30">
        <f>H44*$AK$11</f>
        <v/>
      </c>
      <c r="AM44" s="30">
        <f>I44*$AK$11</f>
        <v/>
      </c>
      <c r="AN44" s="30">
        <f>J44*$AK$11</f>
        <v/>
      </c>
      <c r="AP44" s="15">
        <f>F44*$AQ$11</f>
        <v/>
      </c>
      <c r="AQ44" s="9">
        <f>G44*$AQ$11</f>
        <v/>
      </c>
      <c r="AR44" s="30">
        <f>H44*$AQ$11</f>
        <v/>
      </c>
      <c r="AS44" s="30">
        <f>I44*$AQ$11</f>
        <v/>
      </c>
      <c r="AT44" s="30">
        <f>J44*$AQ$11</f>
        <v/>
      </c>
      <c r="AV44" s="15">
        <f>F44*$AW$11</f>
        <v/>
      </c>
      <c r="AW44" s="9">
        <f>G44*$AW$11</f>
        <v/>
      </c>
      <c r="AX44" s="30">
        <f>H44*$AW$11</f>
        <v/>
      </c>
      <c r="AY44" s="30">
        <f>I44*$AW$11</f>
        <v/>
      </c>
      <c r="AZ44" s="30">
        <f>J44*$AW$11</f>
        <v/>
      </c>
    </row>
    <row r="45">
      <c r="A45" s="8" t="n">
        <v>46569</v>
      </c>
      <c r="B45" s="33">
        <f>YEAR(A45)</f>
        <v/>
      </c>
      <c r="C45" s="33">
        <f>MONTH(A45)</f>
        <v/>
      </c>
      <c r="D45">
        <f>IF(A45&lt;=LastActual,"Actual","Forecast")</f>
        <v/>
      </c>
      <c r="E45" s="30">
        <f>IF($D45="Actual",R45,W45)</f>
        <v/>
      </c>
      <c r="F45" s="15">
        <f>IF($D45="Actual",S45,Cases_Forecast!AN38)</f>
        <v/>
      </c>
      <c r="G45" s="9">
        <f>IF($D45="Actual",T45,IFERROR(F45/K45,0))</f>
        <v/>
      </c>
      <c r="H45" s="30">
        <f>IF($D45="Actual",U45,G45*L45)</f>
        <v/>
      </c>
      <c r="I45" s="30">
        <f>IF($D45="Actual",V45,J45-H45)</f>
        <v/>
      </c>
      <c r="J45" s="30">
        <f>IF($D45="Actual",U45+V45,IFERROR(H45/(1-AD45),0))</f>
        <v/>
      </c>
      <c r="K45" s="10">
        <f>IF($D45="Actual",IFERROR(S45/T45,0),CPLH_Forecast!AN38)</f>
        <v/>
      </c>
      <c r="L45" s="34">
        <f>IF($D45="Actual",IFERROR(U45/T45,0),N(AE45))</f>
        <v/>
      </c>
      <c r="M45" s="35">
        <f>IFERROR(J45/F45,0)</f>
        <v/>
      </c>
      <c r="N45" s="36">
        <f>IFERROR(J45/E45,0)</f>
        <v/>
      </c>
      <c r="O45" s="36">
        <f>IFERROR(I45/J45,0)</f>
        <v/>
      </c>
      <c r="R45" s="52">
        <f>IF($D45="Actual",SUMIFS(Data_Actuals!$C$2:$C$5000,Data_Actuals!$A$2:$A$5000,$A45,Data_Actuals!$B$2:$B$5000,$B$2),"")</f>
        <v/>
      </c>
      <c r="S45" s="52">
        <f>IF($D45="Actual",SUMIFS(Data_Actuals!$D$2:$D$5000,Data_Actuals!$A$2:$A$5000,$A45,Data_Actuals!$B$2:$B$5000,$B$2),"")</f>
        <v/>
      </c>
      <c r="T45" s="52">
        <f>IF($D45="Actual",SUMIFS(Data_Actuals!$E$2:$E$5000,Data_Actuals!$A$2:$A$5000,$A45,Data_Actuals!$B$2:$B$5000,$B$2),"")</f>
        <v/>
      </c>
      <c r="U45" s="52">
        <f>IF($D45="Actual",SUMIFS(Data_Actuals!$F$2:$F$5000,Data_Actuals!$A$2:$A$5000,$A45,Data_Actuals!$B$2:$B$5000,$B$2),"")</f>
        <v/>
      </c>
      <c r="V45" s="52">
        <f>IF($D45="Actual",SUMIFS(Data_Actuals!$G$2:$G$5000,Data_Actuals!$A$2:$A$5000,$A45,Data_Actuals!$B$2:$B$5000,$B$2),"")</f>
        <v/>
      </c>
      <c r="W45" s="52">
        <f>SUMIFS(Plan_Inputs!$C$2:$C$5000,Plan_Inputs!$A$2:$A$5000,$A45,Plan_Inputs!$B$2:$B$5000,$B$2)</f>
        <v/>
      </c>
      <c r="X45" s="53">
        <f>IF($D45="Actual",IFERROR(S45/T45,""),X33)</f>
        <v/>
      </c>
      <c r="Y45" s="52">
        <f>E45</f>
        <v/>
      </c>
      <c r="Z45" s="54">
        <f>INDEX(Calendar!$H$5:$L$52,MATCH($A45,Calendar!$A$5:$A$52,0),MATCH($D$2,Calendar!$H$4:$L$4,0))</f>
        <v/>
      </c>
      <c r="AA45" s="54">
        <f>INDEX(Calendar!$M$5:$M$52,MATCH($A45,Calendar!$A$5:$A$52,0))</f>
        <v/>
      </c>
      <c r="AB45" s="55">
        <f>IF($D45="Actual",IFERROR(S45/Y45,""),AB33)</f>
        <v/>
      </c>
      <c r="AC45" s="56">
        <f>IF($D45="Actual",IFERROR(U45/T45/Z45/AA45,""),AC33)</f>
        <v/>
      </c>
      <c r="AD45" s="57">
        <f>IF($D45="Actual",IFERROR(V45/(U45+V45),""),$K$2)</f>
        <v/>
      </c>
      <c r="AE45" s="56">
        <f>IFERROR(AC45*Z45*AA45,"")</f>
        <v/>
      </c>
      <c r="AF45" s="53">
        <f>K33</f>
        <v/>
      </c>
      <c r="AG45" s="57">
        <f>IF($D45="Forecast",IFERROR(K45/AF45-1,""),"")</f>
        <v/>
      </c>
      <c r="AH45" s="53">
        <f>IF(CPLHSource="National breakdown",CPLH_Breakdown!AO50,SUMIFS(Plan_Inputs!$D$2:$D$5000,Plan_Inputs!$A$2:$A$5000,$A45,Plan_Inputs!$B$2:$B$5000,$B$2))</f>
        <v/>
      </c>
      <c r="AJ45" s="15">
        <f>F45*$AK$11</f>
        <v/>
      </c>
      <c r="AK45" s="9">
        <f>G45*$AK$11</f>
        <v/>
      </c>
      <c r="AL45" s="30">
        <f>H45*$AK$11</f>
        <v/>
      </c>
      <c r="AM45" s="30">
        <f>I45*$AK$11</f>
        <v/>
      </c>
      <c r="AN45" s="30">
        <f>J45*$AK$11</f>
        <v/>
      </c>
      <c r="AP45" s="15">
        <f>F45*$AQ$11</f>
        <v/>
      </c>
      <c r="AQ45" s="9">
        <f>G45*$AQ$11</f>
        <v/>
      </c>
      <c r="AR45" s="30">
        <f>H45*$AQ$11</f>
        <v/>
      </c>
      <c r="AS45" s="30">
        <f>I45*$AQ$11</f>
        <v/>
      </c>
      <c r="AT45" s="30">
        <f>J45*$AQ$11</f>
        <v/>
      </c>
      <c r="AV45" s="15">
        <f>F45*$AW$11</f>
        <v/>
      </c>
      <c r="AW45" s="9">
        <f>G45*$AW$11</f>
        <v/>
      </c>
      <c r="AX45" s="30">
        <f>H45*$AW$11</f>
        <v/>
      </c>
      <c r="AY45" s="30">
        <f>I45*$AW$11</f>
        <v/>
      </c>
      <c r="AZ45" s="30">
        <f>J45*$AW$11</f>
        <v/>
      </c>
    </row>
    <row r="46">
      <c r="A46" s="8" t="n">
        <v>46600</v>
      </c>
      <c r="B46" s="33">
        <f>YEAR(A46)</f>
        <v/>
      </c>
      <c r="C46" s="33">
        <f>MONTH(A46)</f>
        <v/>
      </c>
      <c r="D46">
        <f>IF(A46&lt;=LastActual,"Actual","Forecast")</f>
        <v/>
      </c>
      <c r="E46" s="30">
        <f>IF($D46="Actual",R46,W46)</f>
        <v/>
      </c>
      <c r="F46" s="15">
        <f>IF($D46="Actual",S46,Cases_Forecast!AN39)</f>
        <v/>
      </c>
      <c r="G46" s="9">
        <f>IF($D46="Actual",T46,IFERROR(F46/K46,0))</f>
        <v/>
      </c>
      <c r="H46" s="30">
        <f>IF($D46="Actual",U46,G46*L46)</f>
        <v/>
      </c>
      <c r="I46" s="30">
        <f>IF($D46="Actual",V46,J46-H46)</f>
        <v/>
      </c>
      <c r="J46" s="30">
        <f>IF($D46="Actual",U46+V46,IFERROR(H46/(1-AD46),0))</f>
        <v/>
      </c>
      <c r="K46" s="10">
        <f>IF($D46="Actual",IFERROR(S46/T46,0),CPLH_Forecast!AN39)</f>
        <v/>
      </c>
      <c r="L46" s="34">
        <f>IF($D46="Actual",IFERROR(U46/T46,0),N(AE46))</f>
        <v/>
      </c>
      <c r="M46" s="35">
        <f>IFERROR(J46/F46,0)</f>
        <v/>
      </c>
      <c r="N46" s="36">
        <f>IFERROR(J46/E46,0)</f>
        <v/>
      </c>
      <c r="O46" s="36">
        <f>IFERROR(I46/J46,0)</f>
        <v/>
      </c>
      <c r="R46" s="52">
        <f>IF($D46="Actual",SUMIFS(Data_Actuals!$C$2:$C$5000,Data_Actuals!$A$2:$A$5000,$A46,Data_Actuals!$B$2:$B$5000,$B$2),"")</f>
        <v/>
      </c>
      <c r="S46" s="52">
        <f>IF($D46="Actual",SUMIFS(Data_Actuals!$D$2:$D$5000,Data_Actuals!$A$2:$A$5000,$A46,Data_Actuals!$B$2:$B$5000,$B$2),"")</f>
        <v/>
      </c>
      <c r="T46" s="52">
        <f>IF($D46="Actual",SUMIFS(Data_Actuals!$E$2:$E$5000,Data_Actuals!$A$2:$A$5000,$A46,Data_Actuals!$B$2:$B$5000,$B$2),"")</f>
        <v/>
      </c>
      <c r="U46" s="52">
        <f>IF($D46="Actual",SUMIFS(Data_Actuals!$F$2:$F$5000,Data_Actuals!$A$2:$A$5000,$A46,Data_Actuals!$B$2:$B$5000,$B$2),"")</f>
        <v/>
      </c>
      <c r="V46" s="52">
        <f>IF($D46="Actual",SUMIFS(Data_Actuals!$G$2:$G$5000,Data_Actuals!$A$2:$A$5000,$A46,Data_Actuals!$B$2:$B$5000,$B$2),"")</f>
        <v/>
      </c>
      <c r="W46" s="52">
        <f>SUMIFS(Plan_Inputs!$C$2:$C$5000,Plan_Inputs!$A$2:$A$5000,$A46,Plan_Inputs!$B$2:$B$5000,$B$2)</f>
        <v/>
      </c>
      <c r="X46" s="53">
        <f>IF($D46="Actual",IFERROR(S46/T46,""),X34)</f>
        <v/>
      </c>
      <c r="Y46" s="52">
        <f>E46</f>
        <v/>
      </c>
      <c r="Z46" s="54">
        <f>INDEX(Calendar!$H$5:$L$52,MATCH($A46,Calendar!$A$5:$A$52,0),MATCH($D$2,Calendar!$H$4:$L$4,0))</f>
        <v/>
      </c>
      <c r="AA46" s="54">
        <f>INDEX(Calendar!$M$5:$M$52,MATCH($A46,Calendar!$A$5:$A$52,0))</f>
        <v/>
      </c>
      <c r="AB46" s="55">
        <f>IF($D46="Actual",IFERROR(S46/Y46,""),AB34)</f>
        <v/>
      </c>
      <c r="AC46" s="56">
        <f>IF($D46="Actual",IFERROR(U46/T46/Z46/AA46,""),AC34)</f>
        <v/>
      </c>
      <c r="AD46" s="57">
        <f>IF($D46="Actual",IFERROR(V46/(U46+V46),""),$K$2)</f>
        <v/>
      </c>
      <c r="AE46" s="56">
        <f>IFERROR(AC46*Z46*AA46,"")</f>
        <v/>
      </c>
      <c r="AF46" s="53">
        <f>K34</f>
        <v/>
      </c>
      <c r="AG46" s="57">
        <f>IF($D46="Forecast",IFERROR(K46/AF46-1,""),"")</f>
        <v/>
      </c>
      <c r="AH46" s="53">
        <f>IF(CPLHSource="National breakdown",CPLH_Breakdown!AO51,SUMIFS(Plan_Inputs!$D$2:$D$5000,Plan_Inputs!$A$2:$A$5000,$A46,Plan_Inputs!$B$2:$B$5000,$B$2))</f>
        <v/>
      </c>
      <c r="AJ46" s="15">
        <f>F46*$AK$11</f>
        <v/>
      </c>
      <c r="AK46" s="9">
        <f>G46*$AK$11</f>
        <v/>
      </c>
      <c r="AL46" s="30">
        <f>H46*$AK$11</f>
        <v/>
      </c>
      <c r="AM46" s="30">
        <f>I46*$AK$11</f>
        <v/>
      </c>
      <c r="AN46" s="30">
        <f>J46*$AK$11</f>
        <v/>
      </c>
      <c r="AP46" s="15">
        <f>F46*$AQ$11</f>
        <v/>
      </c>
      <c r="AQ46" s="9">
        <f>G46*$AQ$11</f>
        <v/>
      </c>
      <c r="AR46" s="30">
        <f>H46*$AQ$11</f>
        <v/>
      </c>
      <c r="AS46" s="30">
        <f>I46*$AQ$11</f>
        <v/>
      </c>
      <c r="AT46" s="30">
        <f>J46*$AQ$11</f>
        <v/>
      </c>
      <c r="AV46" s="15">
        <f>F46*$AW$11</f>
        <v/>
      </c>
      <c r="AW46" s="9">
        <f>G46*$AW$11</f>
        <v/>
      </c>
      <c r="AX46" s="30">
        <f>H46*$AW$11</f>
        <v/>
      </c>
      <c r="AY46" s="30">
        <f>I46*$AW$11</f>
        <v/>
      </c>
      <c r="AZ46" s="30">
        <f>J46*$AW$11</f>
        <v/>
      </c>
    </row>
    <row r="47">
      <c r="A47" s="8" t="n">
        <v>46631</v>
      </c>
      <c r="B47" s="33">
        <f>YEAR(A47)</f>
        <v/>
      </c>
      <c r="C47" s="33">
        <f>MONTH(A47)</f>
        <v/>
      </c>
      <c r="D47">
        <f>IF(A47&lt;=LastActual,"Actual","Forecast")</f>
        <v/>
      </c>
      <c r="E47" s="30">
        <f>IF($D47="Actual",R47,W47)</f>
        <v/>
      </c>
      <c r="F47" s="15">
        <f>IF($D47="Actual",S47,Cases_Forecast!AN40)</f>
        <v/>
      </c>
      <c r="G47" s="9">
        <f>IF($D47="Actual",T47,IFERROR(F47/K47,0))</f>
        <v/>
      </c>
      <c r="H47" s="30">
        <f>IF($D47="Actual",U47,G47*L47)</f>
        <v/>
      </c>
      <c r="I47" s="30">
        <f>IF($D47="Actual",V47,J47-H47)</f>
        <v/>
      </c>
      <c r="J47" s="30">
        <f>IF($D47="Actual",U47+V47,IFERROR(H47/(1-AD47),0))</f>
        <v/>
      </c>
      <c r="K47" s="10">
        <f>IF($D47="Actual",IFERROR(S47/T47,0),CPLH_Forecast!AN40)</f>
        <v/>
      </c>
      <c r="L47" s="34">
        <f>IF($D47="Actual",IFERROR(U47/T47,0),N(AE47))</f>
        <v/>
      </c>
      <c r="M47" s="35">
        <f>IFERROR(J47/F47,0)</f>
        <v/>
      </c>
      <c r="N47" s="36">
        <f>IFERROR(J47/E47,0)</f>
        <v/>
      </c>
      <c r="O47" s="36">
        <f>IFERROR(I47/J47,0)</f>
        <v/>
      </c>
      <c r="R47" s="52">
        <f>IF($D47="Actual",SUMIFS(Data_Actuals!$C$2:$C$5000,Data_Actuals!$A$2:$A$5000,$A47,Data_Actuals!$B$2:$B$5000,$B$2),"")</f>
        <v/>
      </c>
      <c r="S47" s="52">
        <f>IF($D47="Actual",SUMIFS(Data_Actuals!$D$2:$D$5000,Data_Actuals!$A$2:$A$5000,$A47,Data_Actuals!$B$2:$B$5000,$B$2),"")</f>
        <v/>
      </c>
      <c r="T47" s="52">
        <f>IF($D47="Actual",SUMIFS(Data_Actuals!$E$2:$E$5000,Data_Actuals!$A$2:$A$5000,$A47,Data_Actuals!$B$2:$B$5000,$B$2),"")</f>
        <v/>
      </c>
      <c r="U47" s="52">
        <f>IF($D47="Actual",SUMIFS(Data_Actuals!$F$2:$F$5000,Data_Actuals!$A$2:$A$5000,$A47,Data_Actuals!$B$2:$B$5000,$B$2),"")</f>
        <v/>
      </c>
      <c r="V47" s="52">
        <f>IF($D47="Actual",SUMIFS(Data_Actuals!$G$2:$G$5000,Data_Actuals!$A$2:$A$5000,$A47,Data_Actuals!$B$2:$B$5000,$B$2),"")</f>
        <v/>
      </c>
      <c r="W47" s="52">
        <f>SUMIFS(Plan_Inputs!$C$2:$C$5000,Plan_Inputs!$A$2:$A$5000,$A47,Plan_Inputs!$B$2:$B$5000,$B$2)</f>
        <v/>
      </c>
      <c r="X47" s="53">
        <f>IF($D47="Actual",IFERROR(S47/T47,""),X35)</f>
        <v/>
      </c>
      <c r="Y47" s="52">
        <f>E47</f>
        <v/>
      </c>
      <c r="Z47" s="54">
        <f>INDEX(Calendar!$H$5:$L$52,MATCH($A47,Calendar!$A$5:$A$52,0),MATCH($D$2,Calendar!$H$4:$L$4,0))</f>
        <v/>
      </c>
      <c r="AA47" s="54">
        <f>INDEX(Calendar!$M$5:$M$52,MATCH($A47,Calendar!$A$5:$A$52,0))</f>
        <v/>
      </c>
      <c r="AB47" s="55">
        <f>IF($D47="Actual",IFERROR(S47/Y47,""),AB35)</f>
        <v/>
      </c>
      <c r="AC47" s="56">
        <f>IF($D47="Actual",IFERROR(U47/T47/Z47/AA47,""),AC35)</f>
        <v/>
      </c>
      <c r="AD47" s="57">
        <f>IF($D47="Actual",IFERROR(V47/(U47+V47),""),$K$2)</f>
        <v/>
      </c>
      <c r="AE47" s="56">
        <f>IFERROR(AC47*Z47*AA47,"")</f>
        <v/>
      </c>
      <c r="AF47" s="53">
        <f>K35</f>
        <v/>
      </c>
      <c r="AG47" s="57">
        <f>IF($D47="Forecast",IFERROR(K47/AF47-1,""),"")</f>
        <v/>
      </c>
      <c r="AH47" s="53">
        <f>IF(CPLHSource="National breakdown",CPLH_Breakdown!AO52,SUMIFS(Plan_Inputs!$D$2:$D$5000,Plan_Inputs!$A$2:$A$5000,$A47,Plan_Inputs!$B$2:$B$5000,$B$2))</f>
        <v/>
      </c>
      <c r="AJ47" s="15">
        <f>F47*$AK$11</f>
        <v/>
      </c>
      <c r="AK47" s="9">
        <f>G47*$AK$11</f>
        <v/>
      </c>
      <c r="AL47" s="30">
        <f>H47*$AK$11</f>
        <v/>
      </c>
      <c r="AM47" s="30">
        <f>I47*$AK$11</f>
        <v/>
      </c>
      <c r="AN47" s="30">
        <f>J47*$AK$11</f>
        <v/>
      </c>
      <c r="AP47" s="15">
        <f>F47*$AQ$11</f>
        <v/>
      </c>
      <c r="AQ47" s="9">
        <f>G47*$AQ$11</f>
        <v/>
      </c>
      <c r="AR47" s="30">
        <f>H47*$AQ$11</f>
        <v/>
      </c>
      <c r="AS47" s="30">
        <f>I47*$AQ$11</f>
        <v/>
      </c>
      <c r="AT47" s="30">
        <f>J47*$AQ$11</f>
        <v/>
      </c>
      <c r="AV47" s="15">
        <f>F47*$AW$11</f>
        <v/>
      </c>
      <c r="AW47" s="9">
        <f>G47*$AW$11</f>
        <v/>
      </c>
      <c r="AX47" s="30">
        <f>H47*$AW$11</f>
        <v/>
      </c>
      <c r="AY47" s="30">
        <f>I47*$AW$11</f>
        <v/>
      </c>
      <c r="AZ47" s="30">
        <f>J47*$AW$11</f>
        <v/>
      </c>
    </row>
    <row r="48">
      <c r="A48" s="8" t="n">
        <v>46661</v>
      </c>
      <c r="B48" s="33">
        <f>YEAR(A48)</f>
        <v/>
      </c>
      <c r="C48" s="33">
        <f>MONTH(A48)</f>
        <v/>
      </c>
      <c r="D48">
        <f>IF(A48&lt;=LastActual,"Actual","Forecast")</f>
        <v/>
      </c>
      <c r="E48" s="30">
        <f>IF($D48="Actual",R48,W48)</f>
        <v/>
      </c>
      <c r="F48" s="15">
        <f>IF($D48="Actual",S48,Cases_Forecast!AN41)</f>
        <v/>
      </c>
      <c r="G48" s="9">
        <f>IF($D48="Actual",T48,IFERROR(F48/K48,0))</f>
        <v/>
      </c>
      <c r="H48" s="30">
        <f>IF($D48="Actual",U48,G48*L48)</f>
        <v/>
      </c>
      <c r="I48" s="30">
        <f>IF($D48="Actual",V48,J48-H48)</f>
        <v/>
      </c>
      <c r="J48" s="30">
        <f>IF($D48="Actual",U48+V48,IFERROR(H48/(1-AD48),0))</f>
        <v/>
      </c>
      <c r="K48" s="10">
        <f>IF($D48="Actual",IFERROR(S48/T48,0),CPLH_Forecast!AN41)</f>
        <v/>
      </c>
      <c r="L48" s="34">
        <f>IF($D48="Actual",IFERROR(U48/T48,0),N(AE48))</f>
        <v/>
      </c>
      <c r="M48" s="35">
        <f>IFERROR(J48/F48,0)</f>
        <v/>
      </c>
      <c r="N48" s="36">
        <f>IFERROR(J48/E48,0)</f>
        <v/>
      </c>
      <c r="O48" s="36">
        <f>IFERROR(I48/J48,0)</f>
        <v/>
      </c>
      <c r="R48" s="52">
        <f>IF($D48="Actual",SUMIFS(Data_Actuals!$C$2:$C$5000,Data_Actuals!$A$2:$A$5000,$A48,Data_Actuals!$B$2:$B$5000,$B$2),"")</f>
        <v/>
      </c>
      <c r="S48" s="52">
        <f>IF($D48="Actual",SUMIFS(Data_Actuals!$D$2:$D$5000,Data_Actuals!$A$2:$A$5000,$A48,Data_Actuals!$B$2:$B$5000,$B$2),"")</f>
        <v/>
      </c>
      <c r="T48" s="52">
        <f>IF($D48="Actual",SUMIFS(Data_Actuals!$E$2:$E$5000,Data_Actuals!$A$2:$A$5000,$A48,Data_Actuals!$B$2:$B$5000,$B$2),"")</f>
        <v/>
      </c>
      <c r="U48" s="52">
        <f>IF($D48="Actual",SUMIFS(Data_Actuals!$F$2:$F$5000,Data_Actuals!$A$2:$A$5000,$A48,Data_Actuals!$B$2:$B$5000,$B$2),"")</f>
        <v/>
      </c>
      <c r="V48" s="52">
        <f>IF($D48="Actual",SUMIFS(Data_Actuals!$G$2:$G$5000,Data_Actuals!$A$2:$A$5000,$A48,Data_Actuals!$B$2:$B$5000,$B$2),"")</f>
        <v/>
      </c>
      <c r="W48" s="52">
        <f>SUMIFS(Plan_Inputs!$C$2:$C$5000,Plan_Inputs!$A$2:$A$5000,$A48,Plan_Inputs!$B$2:$B$5000,$B$2)</f>
        <v/>
      </c>
      <c r="X48" s="53">
        <f>IF($D48="Actual",IFERROR(S48/T48,""),X36)</f>
        <v/>
      </c>
      <c r="Y48" s="52">
        <f>E48</f>
        <v/>
      </c>
      <c r="Z48" s="54">
        <f>INDEX(Calendar!$H$5:$L$52,MATCH($A48,Calendar!$A$5:$A$52,0),MATCH($D$2,Calendar!$H$4:$L$4,0))</f>
        <v/>
      </c>
      <c r="AA48" s="54">
        <f>INDEX(Calendar!$M$5:$M$52,MATCH($A48,Calendar!$A$5:$A$52,0))</f>
        <v/>
      </c>
      <c r="AB48" s="55">
        <f>IF($D48="Actual",IFERROR(S48/Y48,""),AB36)</f>
        <v/>
      </c>
      <c r="AC48" s="56">
        <f>IF($D48="Actual",IFERROR(U48/T48/Z48/AA48,""),AC36)</f>
        <v/>
      </c>
      <c r="AD48" s="57">
        <f>IF($D48="Actual",IFERROR(V48/(U48+V48),""),$K$2)</f>
        <v/>
      </c>
      <c r="AE48" s="56">
        <f>IFERROR(AC48*Z48*AA48,"")</f>
        <v/>
      </c>
      <c r="AF48" s="53">
        <f>K36</f>
        <v/>
      </c>
      <c r="AG48" s="57">
        <f>IF($D48="Forecast",IFERROR(K48/AF48-1,""),"")</f>
        <v/>
      </c>
      <c r="AH48" s="53">
        <f>IF(CPLHSource="National breakdown",CPLH_Breakdown!AO53,SUMIFS(Plan_Inputs!$D$2:$D$5000,Plan_Inputs!$A$2:$A$5000,$A48,Plan_Inputs!$B$2:$B$5000,$B$2))</f>
        <v/>
      </c>
      <c r="AJ48" s="15">
        <f>F48*$AK$11</f>
        <v/>
      </c>
      <c r="AK48" s="9">
        <f>G48*$AK$11</f>
        <v/>
      </c>
      <c r="AL48" s="30">
        <f>H48*$AK$11</f>
        <v/>
      </c>
      <c r="AM48" s="30">
        <f>I48*$AK$11</f>
        <v/>
      </c>
      <c r="AN48" s="30">
        <f>J48*$AK$11</f>
        <v/>
      </c>
      <c r="AP48" s="15">
        <f>F48*$AQ$11</f>
        <v/>
      </c>
      <c r="AQ48" s="9">
        <f>G48*$AQ$11</f>
        <v/>
      </c>
      <c r="AR48" s="30">
        <f>H48*$AQ$11</f>
        <v/>
      </c>
      <c r="AS48" s="30">
        <f>I48*$AQ$11</f>
        <v/>
      </c>
      <c r="AT48" s="30">
        <f>J48*$AQ$11</f>
        <v/>
      </c>
      <c r="AV48" s="15">
        <f>F48*$AW$11</f>
        <v/>
      </c>
      <c r="AW48" s="9">
        <f>G48*$AW$11</f>
        <v/>
      </c>
      <c r="AX48" s="30">
        <f>H48*$AW$11</f>
        <v/>
      </c>
      <c r="AY48" s="30">
        <f>I48*$AW$11</f>
        <v/>
      </c>
      <c r="AZ48" s="30">
        <f>J48*$AW$11</f>
        <v/>
      </c>
    </row>
    <row r="49">
      <c r="A49" s="8" t="n">
        <v>46692</v>
      </c>
      <c r="B49" s="33">
        <f>YEAR(A49)</f>
        <v/>
      </c>
      <c r="C49" s="33">
        <f>MONTH(A49)</f>
        <v/>
      </c>
      <c r="D49">
        <f>IF(A49&lt;=LastActual,"Actual","Forecast")</f>
        <v/>
      </c>
      <c r="E49" s="30">
        <f>IF($D49="Actual",R49,W49)</f>
        <v/>
      </c>
      <c r="F49" s="15">
        <f>IF($D49="Actual",S49,Cases_Forecast!AN42)</f>
        <v/>
      </c>
      <c r="G49" s="9">
        <f>IF($D49="Actual",T49,IFERROR(F49/K49,0))</f>
        <v/>
      </c>
      <c r="H49" s="30">
        <f>IF($D49="Actual",U49,G49*L49)</f>
        <v/>
      </c>
      <c r="I49" s="30">
        <f>IF($D49="Actual",V49,J49-H49)</f>
        <v/>
      </c>
      <c r="J49" s="30">
        <f>IF($D49="Actual",U49+V49,IFERROR(H49/(1-AD49),0))</f>
        <v/>
      </c>
      <c r="K49" s="10">
        <f>IF($D49="Actual",IFERROR(S49/T49,0),CPLH_Forecast!AN42)</f>
        <v/>
      </c>
      <c r="L49" s="34">
        <f>IF($D49="Actual",IFERROR(U49/T49,0),N(AE49))</f>
        <v/>
      </c>
      <c r="M49" s="35">
        <f>IFERROR(J49/F49,0)</f>
        <v/>
      </c>
      <c r="N49" s="36">
        <f>IFERROR(J49/E49,0)</f>
        <v/>
      </c>
      <c r="O49" s="36">
        <f>IFERROR(I49/J49,0)</f>
        <v/>
      </c>
      <c r="R49" s="52">
        <f>IF($D49="Actual",SUMIFS(Data_Actuals!$C$2:$C$5000,Data_Actuals!$A$2:$A$5000,$A49,Data_Actuals!$B$2:$B$5000,$B$2),"")</f>
        <v/>
      </c>
      <c r="S49" s="52">
        <f>IF($D49="Actual",SUMIFS(Data_Actuals!$D$2:$D$5000,Data_Actuals!$A$2:$A$5000,$A49,Data_Actuals!$B$2:$B$5000,$B$2),"")</f>
        <v/>
      </c>
      <c r="T49" s="52">
        <f>IF($D49="Actual",SUMIFS(Data_Actuals!$E$2:$E$5000,Data_Actuals!$A$2:$A$5000,$A49,Data_Actuals!$B$2:$B$5000,$B$2),"")</f>
        <v/>
      </c>
      <c r="U49" s="52">
        <f>IF($D49="Actual",SUMIFS(Data_Actuals!$F$2:$F$5000,Data_Actuals!$A$2:$A$5000,$A49,Data_Actuals!$B$2:$B$5000,$B$2),"")</f>
        <v/>
      </c>
      <c r="V49" s="52">
        <f>IF($D49="Actual",SUMIFS(Data_Actuals!$G$2:$G$5000,Data_Actuals!$A$2:$A$5000,$A49,Data_Actuals!$B$2:$B$5000,$B$2),"")</f>
        <v/>
      </c>
      <c r="W49" s="52">
        <f>SUMIFS(Plan_Inputs!$C$2:$C$5000,Plan_Inputs!$A$2:$A$5000,$A49,Plan_Inputs!$B$2:$B$5000,$B$2)</f>
        <v/>
      </c>
      <c r="X49" s="53">
        <f>IF($D49="Actual",IFERROR(S49/T49,""),X37)</f>
        <v/>
      </c>
      <c r="Y49" s="52">
        <f>E49</f>
        <v/>
      </c>
      <c r="Z49" s="54">
        <f>INDEX(Calendar!$H$5:$L$52,MATCH($A49,Calendar!$A$5:$A$52,0),MATCH($D$2,Calendar!$H$4:$L$4,0))</f>
        <v/>
      </c>
      <c r="AA49" s="54">
        <f>INDEX(Calendar!$M$5:$M$52,MATCH($A49,Calendar!$A$5:$A$52,0))</f>
        <v/>
      </c>
      <c r="AB49" s="55">
        <f>IF($D49="Actual",IFERROR(S49/Y49,""),AB37)</f>
        <v/>
      </c>
      <c r="AC49" s="56">
        <f>IF($D49="Actual",IFERROR(U49/T49/Z49/AA49,""),AC37)</f>
        <v/>
      </c>
      <c r="AD49" s="57">
        <f>IF($D49="Actual",IFERROR(V49/(U49+V49),""),$K$2)</f>
        <v/>
      </c>
      <c r="AE49" s="56">
        <f>IFERROR(AC49*Z49*AA49,"")</f>
        <v/>
      </c>
      <c r="AF49" s="53">
        <f>K37</f>
        <v/>
      </c>
      <c r="AG49" s="57">
        <f>IF($D49="Forecast",IFERROR(K49/AF49-1,""),"")</f>
        <v/>
      </c>
      <c r="AH49" s="53">
        <f>IF(CPLHSource="National breakdown",CPLH_Breakdown!AO54,SUMIFS(Plan_Inputs!$D$2:$D$5000,Plan_Inputs!$A$2:$A$5000,$A49,Plan_Inputs!$B$2:$B$5000,$B$2))</f>
        <v/>
      </c>
      <c r="AJ49" s="15">
        <f>F49*$AK$11</f>
        <v/>
      </c>
      <c r="AK49" s="9">
        <f>G49*$AK$11</f>
        <v/>
      </c>
      <c r="AL49" s="30">
        <f>H49*$AK$11</f>
        <v/>
      </c>
      <c r="AM49" s="30">
        <f>I49*$AK$11</f>
        <v/>
      </c>
      <c r="AN49" s="30">
        <f>J49*$AK$11</f>
        <v/>
      </c>
      <c r="AP49" s="15">
        <f>F49*$AQ$11</f>
        <v/>
      </c>
      <c r="AQ49" s="9">
        <f>G49*$AQ$11</f>
        <v/>
      </c>
      <c r="AR49" s="30">
        <f>H49*$AQ$11</f>
        <v/>
      </c>
      <c r="AS49" s="30">
        <f>I49*$AQ$11</f>
        <v/>
      </c>
      <c r="AT49" s="30">
        <f>J49*$AQ$11</f>
        <v/>
      </c>
      <c r="AV49" s="15">
        <f>F49*$AW$11</f>
        <v/>
      </c>
      <c r="AW49" s="9">
        <f>G49*$AW$11</f>
        <v/>
      </c>
      <c r="AX49" s="30">
        <f>H49*$AW$11</f>
        <v/>
      </c>
      <c r="AY49" s="30">
        <f>I49*$AW$11</f>
        <v/>
      </c>
      <c r="AZ49" s="30">
        <f>J49*$AW$11</f>
        <v/>
      </c>
    </row>
    <row r="50">
      <c r="A50" s="37" t="n">
        <v>46722</v>
      </c>
      <c r="B50" s="38">
        <f>YEAR(A50)</f>
        <v/>
      </c>
      <c r="C50" s="38">
        <f>MONTH(A50)</f>
        <v/>
      </c>
      <c r="D50" s="39">
        <f>IF(A50&lt;=LastActual,"Actual","Forecast")</f>
        <v/>
      </c>
      <c r="E50" s="40">
        <f>IF($D50="Actual",R50,W50)</f>
        <v/>
      </c>
      <c r="F50" s="41">
        <f>IF($D50="Actual",S50,Cases_Forecast!AN43)</f>
        <v/>
      </c>
      <c r="G50" s="42">
        <f>IF($D50="Actual",T50,IFERROR(F50/K50,0))</f>
        <v/>
      </c>
      <c r="H50" s="40">
        <f>IF($D50="Actual",U50,G50*L50)</f>
        <v/>
      </c>
      <c r="I50" s="40">
        <f>IF($D50="Actual",V50,J50-H50)</f>
        <v/>
      </c>
      <c r="J50" s="40">
        <f>IF($D50="Actual",U50+V50,IFERROR(H50/(1-AD50),0))</f>
        <v/>
      </c>
      <c r="K50" s="43">
        <f>IF($D50="Actual",IFERROR(S50/T50,0),CPLH_Forecast!AN43)</f>
        <v/>
      </c>
      <c r="L50" s="44">
        <f>IF($D50="Actual",IFERROR(U50/T50,0),N(AE50))</f>
        <v/>
      </c>
      <c r="M50" s="45">
        <f>IFERROR(J50/F50,0)</f>
        <v/>
      </c>
      <c r="N50" s="46">
        <f>IFERROR(J50/E50,0)</f>
        <v/>
      </c>
      <c r="O50" s="46">
        <f>IFERROR(I50/J50,0)</f>
        <v/>
      </c>
      <c r="R50" s="52">
        <f>IF($D50="Actual",SUMIFS(Data_Actuals!$C$2:$C$5000,Data_Actuals!$A$2:$A$5000,$A50,Data_Actuals!$B$2:$B$5000,$B$2),"")</f>
        <v/>
      </c>
      <c r="S50" s="52">
        <f>IF($D50="Actual",SUMIFS(Data_Actuals!$D$2:$D$5000,Data_Actuals!$A$2:$A$5000,$A50,Data_Actuals!$B$2:$B$5000,$B$2),"")</f>
        <v/>
      </c>
      <c r="T50" s="52">
        <f>IF($D50="Actual",SUMIFS(Data_Actuals!$E$2:$E$5000,Data_Actuals!$A$2:$A$5000,$A50,Data_Actuals!$B$2:$B$5000,$B$2),"")</f>
        <v/>
      </c>
      <c r="U50" s="52">
        <f>IF($D50="Actual",SUMIFS(Data_Actuals!$F$2:$F$5000,Data_Actuals!$A$2:$A$5000,$A50,Data_Actuals!$B$2:$B$5000,$B$2),"")</f>
        <v/>
      </c>
      <c r="V50" s="52">
        <f>IF($D50="Actual",SUMIFS(Data_Actuals!$G$2:$G$5000,Data_Actuals!$A$2:$A$5000,$A50,Data_Actuals!$B$2:$B$5000,$B$2),"")</f>
        <v/>
      </c>
      <c r="W50" s="52">
        <f>SUMIFS(Plan_Inputs!$C$2:$C$5000,Plan_Inputs!$A$2:$A$5000,$A50,Plan_Inputs!$B$2:$B$5000,$B$2)</f>
        <v/>
      </c>
      <c r="X50" s="53">
        <f>IF($D50="Actual",IFERROR(S50/T50,""),X38)</f>
        <v/>
      </c>
      <c r="Y50" s="52">
        <f>E50</f>
        <v/>
      </c>
      <c r="Z50" s="54">
        <f>INDEX(Calendar!$H$5:$L$52,MATCH($A50,Calendar!$A$5:$A$52,0),MATCH($D$2,Calendar!$H$4:$L$4,0))</f>
        <v/>
      </c>
      <c r="AA50" s="54">
        <f>INDEX(Calendar!$M$5:$M$52,MATCH($A50,Calendar!$A$5:$A$52,0))</f>
        <v/>
      </c>
      <c r="AB50" s="55">
        <f>IF($D50="Actual",IFERROR(S50/Y50,""),AB38)</f>
        <v/>
      </c>
      <c r="AC50" s="56">
        <f>IF($D50="Actual",IFERROR(U50/T50/Z50/AA50,""),AC38)</f>
        <v/>
      </c>
      <c r="AD50" s="57">
        <f>IF($D50="Actual",IFERROR(V50/(U50+V50),""),$K$2)</f>
        <v/>
      </c>
      <c r="AE50" s="56">
        <f>IFERROR(AC50*Z50*AA50,"")</f>
        <v/>
      </c>
      <c r="AF50" s="53">
        <f>K38</f>
        <v/>
      </c>
      <c r="AG50" s="57">
        <f>IF($D50="Forecast",IFERROR(K50/AF50-1,""),"")</f>
        <v/>
      </c>
      <c r="AH50" s="53">
        <f>IF(CPLHSource="National breakdown",CPLH_Breakdown!AO55,SUMIFS(Plan_Inputs!$D$2:$D$5000,Plan_Inputs!$A$2:$A$5000,$A50,Plan_Inputs!$B$2:$B$5000,$B$2))</f>
        <v/>
      </c>
      <c r="AJ50" s="41">
        <f>F50*$AK$11</f>
        <v/>
      </c>
      <c r="AK50" s="42">
        <f>G50*$AK$11</f>
        <v/>
      </c>
      <c r="AL50" s="40">
        <f>H50*$AK$11</f>
        <v/>
      </c>
      <c r="AM50" s="40">
        <f>I50*$AK$11</f>
        <v/>
      </c>
      <c r="AN50" s="40">
        <f>J50*$AK$11</f>
        <v/>
      </c>
      <c r="AP50" s="41">
        <f>F50*$AQ$11</f>
        <v/>
      </c>
      <c r="AQ50" s="42">
        <f>G50*$AQ$11</f>
        <v/>
      </c>
      <c r="AR50" s="40">
        <f>H50*$AQ$11</f>
        <v/>
      </c>
      <c r="AS50" s="40">
        <f>I50*$AQ$11</f>
        <v/>
      </c>
      <c r="AT50" s="40">
        <f>J50*$AQ$11</f>
        <v/>
      </c>
      <c r="AV50" s="41">
        <f>F50*$AW$11</f>
        <v/>
      </c>
      <c r="AW50" s="42">
        <f>G50*$AW$11</f>
        <v/>
      </c>
      <c r="AX50" s="40">
        <f>H50*$AW$11</f>
        <v/>
      </c>
      <c r="AY50" s="40">
        <f>I50*$AW$11</f>
        <v/>
      </c>
      <c r="AZ50" s="40">
        <f>J50*$AW$11</f>
        <v/>
      </c>
    </row>
    <row r="51">
      <c r="A51" s="8" t="n">
        <v>46753</v>
      </c>
      <c r="B51" s="33">
        <f>YEAR(A51)</f>
        <v/>
      </c>
      <c r="C51" s="33">
        <f>MONTH(A51)</f>
        <v/>
      </c>
      <c r="D51">
        <f>IF(A51&lt;=LastActual,"Actual","Forecast")</f>
        <v/>
      </c>
      <c r="E51" s="30">
        <f>IF($D51="Actual",R51,W51)</f>
        <v/>
      </c>
      <c r="F51" s="15">
        <f>IF($D51="Actual",S51,Cases_Forecast!AN44)</f>
        <v/>
      </c>
      <c r="G51" s="9">
        <f>IF($D51="Actual",T51,IFERROR(F51/K51,0))</f>
        <v/>
      </c>
      <c r="H51" s="30">
        <f>IF($D51="Actual",U51,G51*L51)</f>
        <v/>
      </c>
      <c r="I51" s="30">
        <f>IF($D51="Actual",V51,J51-H51)</f>
        <v/>
      </c>
      <c r="J51" s="30">
        <f>IF($D51="Actual",U51+V51,IFERROR(H51/(1-AD51),0))</f>
        <v/>
      </c>
      <c r="K51" s="10">
        <f>IF($D51="Actual",IFERROR(S51/T51,0),CPLH_Forecast!AN44)</f>
        <v/>
      </c>
      <c r="L51" s="34">
        <f>IF($D51="Actual",IFERROR(U51/T51,0),N(AE51))</f>
        <v/>
      </c>
      <c r="M51" s="35">
        <f>IFERROR(J51/F51,0)</f>
        <v/>
      </c>
      <c r="N51" s="36">
        <f>IFERROR(J51/E51,0)</f>
        <v/>
      </c>
      <c r="O51" s="36">
        <f>IFERROR(I51/J51,0)</f>
        <v/>
      </c>
      <c r="R51" s="52">
        <f>IF($D51="Actual",SUMIFS(Data_Actuals!$C$2:$C$5000,Data_Actuals!$A$2:$A$5000,$A51,Data_Actuals!$B$2:$B$5000,$B$2),"")</f>
        <v/>
      </c>
      <c r="S51" s="52">
        <f>IF($D51="Actual",SUMIFS(Data_Actuals!$D$2:$D$5000,Data_Actuals!$A$2:$A$5000,$A51,Data_Actuals!$B$2:$B$5000,$B$2),"")</f>
        <v/>
      </c>
      <c r="T51" s="52">
        <f>IF($D51="Actual",SUMIFS(Data_Actuals!$E$2:$E$5000,Data_Actuals!$A$2:$A$5000,$A51,Data_Actuals!$B$2:$B$5000,$B$2),"")</f>
        <v/>
      </c>
      <c r="U51" s="52">
        <f>IF($D51="Actual",SUMIFS(Data_Actuals!$F$2:$F$5000,Data_Actuals!$A$2:$A$5000,$A51,Data_Actuals!$B$2:$B$5000,$B$2),"")</f>
        <v/>
      </c>
      <c r="V51" s="52">
        <f>IF($D51="Actual",SUMIFS(Data_Actuals!$G$2:$G$5000,Data_Actuals!$A$2:$A$5000,$A51,Data_Actuals!$B$2:$B$5000,$B$2),"")</f>
        <v/>
      </c>
      <c r="W51" s="52">
        <f>SUMIFS(Plan_Inputs!$C$2:$C$5000,Plan_Inputs!$A$2:$A$5000,$A51,Plan_Inputs!$B$2:$B$5000,$B$2)</f>
        <v/>
      </c>
      <c r="X51" s="53">
        <f>IF($D51="Actual",IFERROR(S51/T51,""),X39)</f>
        <v/>
      </c>
      <c r="Y51" s="52">
        <f>E51</f>
        <v/>
      </c>
      <c r="Z51" s="54">
        <f>INDEX(Calendar!$H$5:$L$52,MATCH($A51,Calendar!$A$5:$A$52,0),MATCH($D$2,Calendar!$H$4:$L$4,0))</f>
        <v/>
      </c>
      <c r="AA51" s="54">
        <f>INDEX(Calendar!$M$5:$M$52,MATCH($A51,Calendar!$A$5:$A$52,0))</f>
        <v/>
      </c>
      <c r="AB51" s="55">
        <f>IF($D51="Actual",IFERROR(S51/Y51,""),AB39)</f>
        <v/>
      </c>
      <c r="AC51" s="56">
        <f>IF($D51="Actual",IFERROR(U51/T51/Z51/AA51,""),AC39)</f>
        <v/>
      </c>
      <c r="AD51" s="57">
        <f>IF($D51="Actual",IFERROR(V51/(U51+V51),""),$K$2)</f>
        <v/>
      </c>
      <c r="AE51" s="56">
        <f>IFERROR(AC51*Z51*AA51,"")</f>
        <v/>
      </c>
      <c r="AF51" s="53">
        <f>K39</f>
        <v/>
      </c>
      <c r="AG51" s="57">
        <f>IF($D51="Forecast",IFERROR(K51/AF51-1,""),"")</f>
        <v/>
      </c>
      <c r="AH51" s="53">
        <f>IF(CPLHSource="National breakdown",CPLH_Breakdown!AO56,SUMIFS(Plan_Inputs!$D$2:$D$5000,Plan_Inputs!$A$2:$A$5000,$A51,Plan_Inputs!$B$2:$B$5000,$B$2))</f>
        <v/>
      </c>
      <c r="AJ51" s="15">
        <f>F51*$AK$11</f>
        <v/>
      </c>
      <c r="AK51" s="9">
        <f>G51*$AK$11</f>
        <v/>
      </c>
      <c r="AL51" s="30">
        <f>H51*$AK$11</f>
        <v/>
      </c>
      <c r="AM51" s="30">
        <f>I51*$AK$11</f>
        <v/>
      </c>
      <c r="AN51" s="30">
        <f>J51*$AK$11</f>
        <v/>
      </c>
      <c r="AP51" s="15">
        <f>F51*$AQ$11</f>
        <v/>
      </c>
      <c r="AQ51" s="9">
        <f>G51*$AQ$11</f>
        <v/>
      </c>
      <c r="AR51" s="30">
        <f>H51*$AQ$11</f>
        <v/>
      </c>
      <c r="AS51" s="30">
        <f>I51*$AQ$11</f>
        <v/>
      </c>
      <c r="AT51" s="30">
        <f>J51*$AQ$11</f>
        <v/>
      </c>
      <c r="AV51" s="15">
        <f>F51*$AW$11</f>
        <v/>
      </c>
      <c r="AW51" s="9">
        <f>G51*$AW$11</f>
        <v/>
      </c>
      <c r="AX51" s="30">
        <f>H51*$AW$11</f>
        <v/>
      </c>
      <c r="AY51" s="30">
        <f>I51*$AW$11</f>
        <v/>
      </c>
      <c r="AZ51" s="30">
        <f>J51*$AW$11</f>
        <v/>
      </c>
    </row>
    <row r="52">
      <c r="A52" s="8" t="n">
        <v>46784</v>
      </c>
      <c r="B52" s="33">
        <f>YEAR(A52)</f>
        <v/>
      </c>
      <c r="C52" s="33">
        <f>MONTH(A52)</f>
        <v/>
      </c>
      <c r="D52">
        <f>IF(A52&lt;=LastActual,"Actual","Forecast")</f>
        <v/>
      </c>
      <c r="E52" s="30">
        <f>IF($D52="Actual",R52,W52)</f>
        <v/>
      </c>
      <c r="F52" s="15">
        <f>IF($D52="Actual",S52,Cases_Forecast!AN45)</f>
        <v/>
      </c>
      <c r="G52" s="9">
        <f>IF($D52="Actual",T52,IFERROR(F52/K52,0))</f>
        <v/>
      </c>
      <c r="H52" s="30">
        <f>IF($D52="Actual",U52,G52*L52)</f>
        <v/>
      </c>
      <c r="I52" s="30">
        <f>IF($D52="Actual",V52,J52-H52)</f>
        <v/>
      </c>
      <c r="J52" s="30">
        <f>IF($D52="Actual",U52+V52,IFERROR(H52/(1-AD52),0))</f>
        <v/>
      </c>
      <c r="K52" s="10">
        <f>IF($D52="Actual",IFERROR(S52/T52,0),CPLH_Forecast!AN45)</f>
        <v/>
      </c>
      <c r="L52" s="34">
        <f>IF($D52="Actual",IFERROR(U52/T52,0),N(AE52))</f>
        <v/>
      </c>
      <c r="M52" s="35">
        <f>IFERROR(J52/F52,0)</f>
        <v/>
      </c>
      <c r="N52" s="36">
        <f>IFERROR(J52/E52,0)</f>
        <v/>
      </c>
      <c r="O52" s="36">
        <f>IFERROR(I52/J52,0)</f>
        <v/>
      </c>
      <c r="R52" s="52">
        <f>IF($D52="Actual",SUMIFS(Data_Actuals!$C$2:$C$5000,Data_Actuals!$A$2:$A$5000,$A52,Data_Actuals!$B$2:$B$5000,$B$2),"")</f>
        <v/>
      </c>
      <c r="S52" s="52">
        <f>IF($D52="Actual",SUMIFS(Data_Actuals!$D$2:$D$5000,Data_Actuals!$A$2:$A$5000,$A52,Data_Actuals!$B$2:$B$5000,$B$2),"")</f>
        <v/>
      </c>
      <c r="T52" s="52">
        <f>IF($D52="Actual",SUMIFS(Data_Actuals!$E$2:$E$5000,Data_Actuals!$A$2:$A$5000,$A52,Data_Actuals!$B$2:$B$5000,$B$2),"")</f>
        <v/>
      </c>
      <c r="U52" s="52">
        <f>IF($D52="Actual",SUMIFS(Data_Actuals!$F$2:$F$5000,Data_Actuals!$A$2:$A$5000,$A52,Data_Actuals!$B$2:$B$5000,$B$2),"")</f>
        <v/>
      </c>
      <c r="V52" s="52">
        <f>IF($D52="Actual",SUMIFS(Data_Actuals!$G$2:$G$5000,Data_Actuals!$A$2:$A$5000,$A52,Data_Actuals!$B$2:$B$5000,$B$2),"")</f>
        <v/>
      </c>
      <c r="W52" s="52">
        <f>SUMIFS(Plan_Inputs!$C$2:$C$5000,Plan_Inputs!$A$2:$A$5000,$A52,Plan_Inputs!$B$2:$B$5000,$B$2)</f>
        <v/>
      </c>
      <c r="X52" s="53">
        <f>IF($D52="Actual",IFERROR(S52/T52,""),X40)</f>
        <v/>
      </c>
      <c r="Y52" s="52">
        <f>E52</f>
        <v/>
      </c>
      <c r="Z52" s="54">
        <f>INDEX(Calendar!$H$5:$L$52,MATCH($A52,Calendar!$A$5:$A$52,0),MATCH($D$2,Calendar!$H$4:$L$4,0))</f>
        <v/>
      </c>
      <c r="AA52" s="54">
        <f>INDEX(Calendar!$M$5:$M$52,MATCH($A52,Calendar!$A$5:$A$52,0))</f>
        <v/>
      </c>
      <c r="AB52" s="55">
        <f>IF($D52="Actual",IFERROR(S52/Y52,""),AB40)</f>
        <v/>
      </c>
      <c r="AC52" s="56">
        <f>IF($D52="Actual",IFERROR(U52/T52/Z52/AA52,""),AC40)</f>
        <v/>
      </c>
      <c r="AD52" s="57">
        <f>IF($D52="Actual",IFERROR(V52/(U52+V52),""),$K$2)</f>
        <v/>
      </c>
      <c r="AE52" s="56">
        <f>IFERROR(AC52*Z52*AA52,"")</f>
        <v/>
      </c>
      <c r="AF52" s="53">
        <f>K40</f>
        <v/>
      </c>
      <c r="AG52" s="57">
        <f>IF($D52="Forecast",IFERROR(K52/AF52-1,""),"")</f>
        <v/>
      </c>
      <c r="AH52" s="53">
        <f>IF(CPLHSource="National breakdown",CPLH_Breakdown!AO57,SUMIFS(Plan_Inputs!$D$2:$D$5000,Plan_Inputs!$A$2:$A$5000,$A52,Plan_Inputs!$B$2:$B$5000,$B$2))</f>
        <v/>
      </c>
      <c r="AJ52" s="15">
        <f>F52*$AK$11</f>
        <v/>
      </c>
      <c r="AK52" s="9">
        <f>G52*$AK$11</f>
        <v/>
      </c>
      <c r="AL52" s="30">
        <f>H52*$AK$11</f>
        <v/>
      </c>
      <c r="AM52" s="30">
        <f>I52*$AK$11</f>
        <v/>
      </c>
      <c r="AN52" s="30">
        <f>J52*$AK$11</f>
        <v/>
      </c>
      <c r="AP52" s="15">
        <f>F52*$AQ$11</f>
        <v/>
      </c>
      <c r="AQ52" s="9">
        <f>G52*$AQ$11</f>
        <v/>
      </c>
      <c r="AR52" s="30">
        <f>H52*$AQ$11</f>
        <v/>
      </c>
      <c r="AS52" s="30">
        <f>I52*$AQ$11</f>
        <v/>
      </c>
      <c r="AT52" s="30">
        <f>J52*$AQ$11</f>
        <v/>
      </c>
      <c r="AV52" s="15">
        <f>F52*$AW$11</f>
        <v/>
      </c>
      <c r="AW52" s="9">
        <f>G52*$AW$11</f>
        <v/>
      </c>
      <c r="AX52" s="30">
        <f>H52*$AW$11</f>
        <v/>
      </c>
      <c r="AY52" s="30">
        <f>I52*$AW$11</f>
        <v/>
      </c>
      <c r="AZ52" s="30">
        <f>J52*$AW$11</f>
        <v/>
      </c>
    </row>
    <row r="53">
      <c r="A53" s="8" t="n">
        <v>46813</v>
      </c>
      <c r="B53" s="33">
        <f>YEAR(A53)</f>
        <v/>
      </c>
      <c r="C53" s="33">
        <f>MONTH(A53)</f>
        <v/>
      </c>
      <c r="D53">
        <f>IF(A53&lt;=LastActual,"Actual","Forecast")</f>
        <v/>
      </c>
      <c r="E53" s="30">
        <f>IF($D53="Actual",R53,W53)</f>
        <v/>
      </c>
      <c r="F53" s="15">
        <f>IF($D53="Actual",S53,Cases_Forecast!AN46)</f>
        <v/>
      </c>
      <c r="G53" s="9">
        <f>IF($D53="Actual",T53,IFERROR(F53/K53,0))</f>
        <v/>
      </c>
      <c r="H53" s="30">
        <f>IF($D53="Actual",U53,G53*L53)</f>
        <v/>
      </c>
      <c r="I53" s="30">
        <f>IF($D53="Actual",V53,J53-H53)</f>
        <v/>
      </c>
      <c r="J53" s="30">
        <f>IF($D53="Actual",U53+V53,IFERROR(H53/(1-AD53),0))</f>
        <v/>
      </c>
      <c r="K53" s="10">
        <f>IF($D53="Actual",IFERROR(S53/T53,0),CPLH_Forecast!AN46)</f>
        <v/>
      </c>
      <c r="L53" s="34">
        <f>IF($D53="Actual",IFERROR(U53/T53,0),N(AE53))</f>
        <v/>
      </c>
      <c r="M53" s="35">
        <f>IFERROR(J53/F53,0)</f>
        <v/>
      </c>
      <c r="N53" s="36">
        <f>IFERROR(J53/E53,0)</f>
        <v/>
      </c>
      <c r="O53" s="36">
        <f>IFERROR(I53/J53,0)</f>
        <v/>
      </c>
      <c r="R53" s="52">
        <f>IF($D53="Actual",SUMIFS(Data_Actuals!$C$2:$C$5000,Data_Actuals!$A$2:$A$5000,$A53,Data_Actuals!$B$2:$B$5000,$B$2),"")</f>
        <v/>
      </c>
      <c r="S53" s="52">
        <f>IF($D53="Actual",SUMIFS(Data_Actuals!$D$2:$D$5000,Data_Actuals!$A$2:$A$5000,$A53,Data_Actuals!$B$2:$B$5000,$B$2),"")</f>
        <v/>
      </c>
      <c r="T53" s="52">
        <f>IF($D53="Actual",SUMIFS(Data_Actuals!$E$2:$E$5000,Data_Actuals!$A$2:$A$5000,$A53,Data_Actuals!$B$2:$B$5000,$B$2),"")</f>
        <v/>
      </c>
      <c r="U53" s="52">
        <f>IF($D53="Actual",SUMIFS(Data_Actuals!$F$2:$F$5000,Data_Actuals!$A$2:$A$5000,$A53,Data_Actuals!$B$2:$B$5000,$B$2),"")</f>
        <v/>
      </c>
      <c r="V53" s="52">
        <f>IF($D53="Actual",SUMIFS(Data_Actuals!$G$2:$G$5000,Data_Actuals!$A$2:$A$5000,$A53,Data_Actuals!$B$2:$B$5000,$B$2),"")</f>
        <v/>
      </c>
      <c r="W53" s="52">
        <f>SUMIFS(Plan_Inputs!$C$2:$C$5000,Plan_Inputs!$A$2:$A$5000,$A53,Plan_Inputs!$B$2:$B$5000,$B$2)</f>
        <v/>
      </c>
      <c r="X53" s="53">
        <f>IF($D53="Actual",IFERROR(S53/T53,""),X41)</f>
        <v/>
      </c>
      <c r="Y53" s="52">
        <f>E53</f>
        <v/>
      </c>
      <c r="Z53" s="54">
        <f>INDEX(Calendar!$H$5:$L$52,MATCH($A53,Calendar!$A$5:$A$52,0),MATCH($D$2,Calendar!$H$4:$L$4,0))</f>
        <v/>
      </c>
      <c r="AA53" s="54">
        <f>INDEX(Calendar!$M$5:$M$52,MATCH($A53,Calendar!$A$5:$A$52,0))</f>
        <v/>
      </c>
      <c r="AB53" s="55">
        <f>IF($D53="Actual",IFERROR(S53/Y53,""),AB41)</f>
        <v/>
      </c>
      <c r="AC53" s="56">
        <f>IF($D53="Actual",IFERROR(U53/T53/Z53/AA53,""),AC41)</f>
        <v/>
      </c>
      <c r="AD53" s="57">
        <f>IF($D53="Actual",IFERROR(V53/(U53+V53),""),$K$2)</f>
        <v/>
      </c>
      <c r="AE53" s="56">
        <f>IFERROR(AC53*Z53*AA53,"")</f>
        <v/>
      </c>
      <c r="AF53" s="53">
        <f>K41</f>
        <v/>
      </c>
      <c r="AG53" s="57">
        <f>IF($D53="Forecast",IFERROR(K53/AF53-1,""),"")</f>
        <v/>
      </c>
      <c r="AH53" s="53">
        <f>IF(CPLHSource="National breakdown",CPLH_Breakdown!AO58,SUMIFS(Plan_Inputs!$D$2:$D$5000,Plan_Inputs!$A$2:$A$5000,$A53,Plan_Inputs!$B$2:$B$5000,$B$2))</f>
        <v/>
      </c>
      <c r="AJ53" s="15">
        <f>F53*$AK$11</f>
        <v/>
      </c>
      <c r="AK53" s="9">
        <f>G53*$AK$11</f>
        <v/>
      </c>
      <c r="AL53" s="30">
        <f>H53*$AK$11</f>
        <v/>
      </c>
      <c r="AM53" s="30">
        <f>I53*$AK$11</f>
        <v/>
      </c>
      <c r="AN53" s="30">
        <f>J53*$AK$11</f>
        <v/>
      </c>
      <c r="AP53" s="15">
        <f>F53*$AQ$11</f>
        <v/>
      </c>
      <c r="AQ53" s="9">
        <f>G53*$AQ$11</f>
        <v/>
      </c>
      <c r="AR53" s="30">
        <f>H53*$AQ$11</f>
        <v/>
      </c>
      <c r="AS53" s="30">
        <f>I53*$AQ$11</f>
        <v/>
      </c>
      <c r="AT53" s="30">
        <f>J53*$AQ$11</f>
        <v/>
      </c>
      <c r="AV53" s="15">
        <f>F53*$AW$11</f>
        <v/>
      </c>
      <c r="AW53" s="9">
        <f>G53*$AW$11</f>
        <v/>
      </c>
      <c r="AX53" s="30">
        <f>H53*$AW$11</f>
        <v/>
      </c>
      <c r="AY53" s="30">
        <f>I53*$AW$11</f>
        <v/>
      </c>
      <c r="AZ53" s="30">
        <f>J53*$AW$11</f>
        <v/>
      </c>
    </row>
    <row r="54">
      <c r="A54" s="8" t="n">
        <v>46844</v>
      </c>
      <c r="B54" s="33">
        <f>YEAR(A54)</f>
        <v/>
      </c>
      <c r="C54" s="33">
        <f>MONTH(A54)</f>
        <v/>
      </c>
      <c r="D54">
        <f>IF(A54&lt;=LastActual,"Actual","Forecast")</f>
        <v/>
      </c>
      <c r="E54" s="30">
        <f>IF($D54="Actual",R54,W54)</f>
        <v/>
      </c>
      <c r="F54" s="15">
        <f>IF($D54="Actual",S54,Cases_Forecast!AN47)</f>
        <v/>
      </c>
      <c r="G54" s="9">
        <f>IF($D54="Actual",T54,IFERROR(F54/K54,0))</f>
        <v/>
      </c>
      <c r="H54" s="30">
        <f>IF($D54="Actual",U54,G54*L54)</f>
        <v/>
      </c>
      <c r="I54" s="30">
        <f>IF($D54="Actual",V54,J54-H54)</f>
        <v/>
      </c>
      <c r="J54" s="30">
        <f>IF($D54="Actual",U54+V54,IFERROR(H54/(1-AD54),0))</f>
        <v/>
      </c>
      <c r="K54" s="10">
        <f>IF($D54="Actual",IFERROR(S54/T54,0),CPLH_Forecast!AN47)</f>
        <v/>
      </c>
      <c r="L54" s="34">
        <f>IF($D54="Actual",IFERROR(U54/T54,0),N(AE54))</f>
        <v/>
      </c>
      <c r="M54" s="35">
        <f>IFERROR(J54/F54,0)</f>
        <v/>
      </c>
      <c r="N54" s="36">
        <f>IFERROR(J54/E54,0)</f>
        <v/>
      </c>
      <c r="O54" s="36">
        <f>IFERROR(I54/J54,0)</f>
        <v/>
      </c>
      <c r="R54" s="52">
        <f>IF($D54="Actual",SUMIFS(Data_Actuals!$C$2:$C$5000,Data_Actuals!$A$2:$A$5000,$A54,Data_Actuals!$B$2:$B$5000,$B$2),"")</f>
        <v/>
      </c>
      <c r="S54" s="52">
        <f>IF($D54="Actual",SUMIFS(Data_Actuals!$D$2:$D$5000,Data_Actuals!$A$2:$A$5000,$A54,Data_Actuals!$B$2:$B$5000,$B$2),"")</f>
        <v/>
      </c>
      <c r="T54" s="52">
        <f>IF($D54="Actual",SUMIFS(Data_Actuals!$E$2:$E$5000,Data_Actuals!$A$2:$A$5000,$A54,Data_Actuals!$B$2:$B$5000,$B$2),"")</f>
        <v/>
      </c>
      <c r="U54" s="52">
        <f>IF($D54="Actual",SUMIFS(Data_Actuals!$F$2:$F$5000,Data_Actuals!$A$2:$A$5000,$A54,Data_Actuals!$B$2:$B$5000,$B$2),"")</f>
        <v/>
      </c>
      <c r="V54" s="52">
        <f>IF($D54="Actual",SUMIFS(Data_Actuals!$G$2:$G$5000,Data_Actuals!$A$2:$A$5000,$A54,Data_Actuals!$B$2:$B$5000,$B$2),"")</f>
        <v/>
      </c>
      <c r="W54" s="52">
        <f>SUMIFS(Plan_Inputs!$C$2:$C$5000,Plan_Inputs!$A$2:$A$5000,$A54,Plan_Inputs!$B$2:$B$5000,$B$2)</f>
        <v/>
      </c>
      <c r="X54" s="53">
        <f>IF($D54="Actual",IFERROR(S54/T54,""),X42)</f>
        <v/>
      </c>
      <c r="Y54" s="52">
        <f>E54</f>
        <v/>
      </c>
      <c r="Z54" s="54">
        <f>INDEX(Calendar!$H$5:$L$52,MATCH($A54,Calendar!$A$5:$A$52,0),MATCH($D$2,Calendar!$H$4:$L$4,0))</f>
        <v/>
      </c>
      <c r="AA54" s="54">
        <f>INDEX(Calendar!$M$5:$M$52,MATCH($A54,Calendar!$A$5:$A$52,0))</f>
        <v/>
      </c>
      <c r="AB54" s="55">
        <f>IF($D54="Actual",IFERROR(S54/Y54,""),AB42)</f>
        <v/>
      </c>
      <c r="AC54" s="56">
        <f>IF($D54="Actual",IFERROR(U54/T54/Z54/AA54,""),AC42)</f>
        <v/>
      </c>
      <c r="AD54" s="57">
        <f>IF($D54="Actual",IFERROR(V54/(U54+V54),""),$K$2)</f>
        <v/>
      </c>
      <c r="AE54" s="56">
        <f>IFERROR(AC54*Z54*AA54,"")</f>
        <v/>
      </c>
      <c r="AF54" s="53">
        <f>K42</f>
        <v/>
      </c>
      <c r="AG54" s="57">
        <f>IF($D54="Forecast",IFERROR(K54/AF54-1,""),"")</f>
        <v/>
      </c>
      <c r="AH54" s="53">
        <f>IF(CPLHSource="National breakdown",CPLH_Breakdown!AO59,SUMIFS(Plan_Inputs!$D$2:$D$5000,Plan_Inputs!$A$2:$A$5000,$A54,Plan_Inputs!$B$2:$B$5000,$B$2))</f>
        <v/>
      </c>
      <c r="AJ54" s="15">
        <f>F54*$AK$11</f>
        <v/>
      </c>
      <c r="AK54" s="9">
        <f>G54*$AK$11</f>
        <v/>
      </c>
      <c r="AL54" s="30">
        <f>H54*$AK$11</f>
        <v/>
      </c>
      <c r="AM54" s="30">
        <f>I54*$AK$11</f>
        <v/>
      </c>
      <c r="AN54" s="30">
        <f>J54*$AK$11</f>
        <v/>
      </c>
      <c r="AP54" s="15">
        <f>F54*$AQ$11</f>
        <v/>
      </c>
      <c r="AQ54" s="9">
        <f>G54*$AQ$11</f>
        <v/>
      </c>
      <c r="AR54" s="30">
        <f>H54*$AQ$11</f>
        <v/>
      </c>
      <c r="AS54" s="30">
        <f>I54*$AQ$11</f>
        <v/>
      </c>
      <c r="AT54" s="30">
        <f>J54*$AQ$11</f>
        <v/>
      </c>
      <c r="AV54" s="15">
        <f>F54*$AW$11</f>
        <v/>
      </c>
      <c r="AW54" s="9">
        <f>G54*$AW$11</f>
        <v/>
      </c>
      <c r="AX54" s="30">
        <f>H54*$AW$11</f>
        <v/>
      </c>
      <c r="AY54" s="30">
        <f>I54*$AW$11</f>
        <v/>
      </c>
      <c r="AZ54" s="30">
        <f>J54*$AW$11</f>
        <v/>
      </c>
    </row>
    <row r="55">
      <c r="A55" s="8" t="n">
        <v>46874</v>
      </c>
      <c r="B55" s="33">
        <f>YEAR(A55)</f>
        <v/>
      </c>
      <c r="C55" s="33">
        <f>MONTH(A55)</f>
        <v/>
      </c>
      <c r="D55">
        <f>IF(A55&lt;=LastActual,"Actual","Forecast")</f>
        <v/>
      </c>
      <c r="E55" s="30">
        <f>IF($D55="Actual",R55,W55)</f>
        <v/>
      </c>
      <c r="F55" s="15">
        <f>IF($D55="Actual",S55,Cases_Forecast!AN48)</f>
        <v/>
      </c>
      <c r="G55" s="9">
        <f>IF($D55="Actual",T55,IFERROR(F55/K55,0))</f>
        <v/>
      </c>
      <c r="H55" s="30">
        <f>IF($D55="Actual",U55,G55*L55)</f>
        <v/>
      </c>
      <c r="I55" s="30">
        <f>IF($D55="Actual",V55,J55-H55)</f>
        <v/>
      </c>
      <c r="J55" s="30">
        <f>IF($D55="Actual",U55+V55,IFERROR(H55/(1-AD55),0))</f>
        <v/>
      </c>
      <c r="K55" s="10">
        <f>IF($D55="Actual",IFERROR(S55/T55,0),CPLH_Forecast!AN48)</f>
        <v/>
      </c>
      <c r="L55" s="34">
        <f>IF($D55="Actual",IFERROR(U55/T55,0),N(AE55))</f>
        <v/>
      </c>
      <c r="M55" s="35">
        <f>IFERROR(J55/F55,0)</f>
        <v/>
      </c>
      <c r="N55" s="36">
        <f>IFERROR(J55/E55,0)</f>
        <v/>
      </c>
      <c r="O55" s="36">
        <f>IFERROR(I55/J55,0)</f>
        <v/>
      </c>
      <c r="R55" s="52">
        <f>IF($D55="Actual",SUMIFS(Data_Actuals!$C$2:$C$5000,Data_Actuals!$A$2:$A$5000,$A55,Data_Actuals!$B$2:$B$5000,$B$2),"")</f>
        <v/>
      </c>
      <c r="S55" s="52">
        <f>IF($D55="Actual",SUMIFS(Data_Actuals!$D$2:$D$5000,Data_Actuals!$A$2:$A$5000,$A55,Data_Actuals!$B$2:$B$5000,$B$2),"")</f>
        <v/>
      </c>
      <c r="T55" s="52">
        <f>IF($D55="Actual",SUMIFS(Data_Actuals!$E$2:$E$5000,Data_Actuals!$A$2:$A$5000,$A55,Data_Actuals!$B$2:$B$5000,$B$2),"")</f>
        <v/>
      </c>
      <c r="U55" s="52">
        <f>IF($D55="Actual",SUMIFS(Data_Actuals!$F$2:$F$5000,Data_Actuals!$A$2:$A$5000,$A55,Data_Actuals!$B$2:$B$5000,$B$2),"")</f>
        <v/>
      </c>
      <c r="V55" s="52">
        <f>IF($D55="Actual",SUMIFS(Data_Actuals!$G$2:$G$5000,Data_Actuals!$A$2:$A$5000,$A55,Data_Actuals!$B$2:$B$5000,$B$2),"")</f>
        <v/>
      </c>
      <c r="W55" s="52">
        <f>SUMIFS(Plan_Inputs!$C$2:$C$5000,Plan_Inputs!$A$2:$A$5000,$A55,Plan_Inputs!$B$2:$B$5000,$B$2)</f>
        <v/>
      </c>
      <c r="X55" s="53">
        <f>IF($D55="Actual",IFERROR(S55/T55,""),X43)</f>
        <v/>
      </c>
      <c r="Y55" s="52">
        <f>E55</f>
        <v/>
      </c>
      <c r="Z55" s="54">
        <f>INDEX(Calendar!$H$5:$L$52,MATCH($A55,Calendar!$A$5:$A$52,0),MATCH($D$2,Calendar!$H$4:$L$4,0))</f>
        <v/>
      </c>
      <c r="AA55" s="54">
        <f>INDEX(Calendar!$M$5:$M$52,MATCH($A55,Calendar!$A$5:$A$52,0))</f>
        <v/>
      </c>
      <c r="AB55" s="55">
        <f>IF($D55="Actual",IFERROR(S55/Y55,""),AB43)</f>
        <v/>
      </c>
      <c r="AC55" s="56">
        <f>IF($D55="Actual",IFERROR(U55/T55/Z55/AA55,""),AC43)</f>
        <v/>
      </c>
      <c r="AD55" s="57">
        <f>IF($D55="Actual",IFERROR(V55/(U55+V55),""),$K$2)</f>
        <v/>
      </c>
      <c r="AE55" s="56">
        <f>IFERROR(AC55*Z55*AA55,"")</f>
        <v/>
      </c>
      <c r="AF55" s="53">
        <f>K43</f>
        <v/>
      </c>
      <c r="AG55" s="57">
        <f>IF($D55="Forecast",IFERROR(K55/AF55-1,""),"")</f>
        <v/>
      </c>
      <c r="AH55" s="53">
        <f>IF(CPLHSource="National breakdown",CPLH_Breakdown!AO60,SUMIFS(Plan_Inputs!$D$2:$D$5000,Plan_Inputs!$A$2:$A$5000,$A55,Plan_Inputs!$B$2:$B$5000,$B$2))</f>
        <v/>
      </c>
      <c r="AJ55" s="15">
        <f>F55*$AK$11</f>
        <v/>
      </c>
      <c r="AK55" s="9">
        <f>G55*$AK$11</f>
        <v/>
      </c>
      <c r="AL55" s="30">
        <f>H55*$AK$11</f>
        <v/>
      </c>
      <c r="AM55" s="30">
        <f>I55*$AK$11</f>
        <v/>
      </c>
      <c r="AN55" s="30">
        <f>J55*$AK$11</f>
        <v/>
      </c>
      <c r="AP55" s="15">
        <f>F55*$AQ$11</f>
        <v/>
      </c>
      <c r="AQ55" s="9">
        <f>G55*$AQ$11</f>
        <v/>
      </c>
      <c r="AR55" s="30">
        <f>H55*$AQ$11</f>
        <v/>
      </c>
      <c r="AS55" s="30">
        <f>I55*$AQ$11</f>
        <v/>
      </c>
      <c r="AT55" s="30">
        <f>J55*$AQ$11</f>
        <v/>
      </c>
      <c r="AV55" s="15">
        <f>F55*$AW$11</f>
        <v/>
      </c>
      <c r="AW55" s="9">
        <f>G55*$AW$11</f>
        <v/>
      </c>
      <c r="AX55" s="30">
        <f>H55*$AW$11</f>
        <v/>
      </c>
      <c r="AY55" s="30">
        <f>I55*$AW$11</f>
        <v/>
      </c>
      <c r="AZ55" s="30">
        <f>J55*$AW$11</f>
        <v/>
      </c>
    </row>
    <row r="56">
      <c r="A56" s="8" t="n">
        <v>46905</v>
      </c>
      <c r="B56" s="33">
        <f>YEAR(A56)</f>
        <v/>
      </c>
      <c r="C56" s="33">
        <f>MONTH(A56)</f>
        <v/>
      </c>
      <c r="D56">
        <f>IF(A56&lt;=LastActual,"Actual","Forecast")</f>
        <v/>
      </c>
      <c r="E56" s="30">
        <f>IF($D56="Actual",R56,W56)</f>
        <v/>
      </c>
      <c r="F56" s="15">
        <f>IF($D56="Actual",S56,Cases_Forecast!AN49)</f>
        <v/>
      </c>
      <c r="G56" s="9">
        <f>IF($D56="Actual",T56,IFERROR(F56/K56,0))</f>
        <v/>
      </c>
      <c r="H56" s="30">
        <f>IF($D56="Actual",U56,G56*L56)</f>
        <v/>
      </c>
      <c r="I56" s="30">
        <f>IF($D56="Actual",V56,J56-H56)</f>
        <v/>
      </c>
      <c r="J56" s="30">
        <f>IF($D56="Actual",U56+V56,IFERROR(H56/(1-AD56),0))</f>
        <v/>
      </c>
      <c r="K56" s="10">
        <f>IF($D56="Actual",IFERROR(S56/T56,0),CPLH_Forecast!AN49)</f>
        <v/>
      </c>
      <c r="L56" s="34">
        <f>IF($D56="Actual",IFERROR(U56/T56,0),N(AE56))</f>
        <v/>
      </c>
      <c r="M56" s="35">
        <f>IFERROR(J56/F56,0)</f>
        <v/>
      </c>
      <c r="N56" s="36">
        <f>IFERROR(J56/E56,0)</f>
        <v/>
      </c>
      <c r="O56" s="36">
        <f>IFERROR(I56/J56,0)</f>
        <v/>
      </c>
      <c r="R56" s="52">
        <f>IF($D56="Actual",SUMIFS(Data_Actuals!$C$2:$C$5000,Data_Actuals!$A$2:$A$5000,$A56,Data_Actuals!$B$2:$B$5000,$B$2),"")</f>
        <v/>
      </c>
      <c r="S56" s="52">
        <f>IF($D56="Actual",SUMIFS(Data_Actuals!$D$2:$D$5000,Data_Actuals!$A$2:$A$5000,$A56,Data_Actuals!$B$2:$B$5000,$B$2),"")</f>
        <v/>
      </c>
      <c r="T56" s="52">
        <f>IF($D56="Actual",SUMIFS(Data_Actuals!$E$2:$E$5000,Data_Actuals!$A$2:$A$5000,$A56,Data_Actuals!$B$2:$B$5000,$B$2),"")</f>
        <v/>
      </c>
      <c r="U56" s="52">
        <f>IF($D56="Actual",SUMIFS(Data_Actuals!$F$2:$F$5000,Data_Actuals!$A$2:$A$5000,$A56,Data_Actuals!$B$2:$B$5000,$B$2),"")</f>
        <v/>
      </c>
      <c r="V56" s="52">
        <f>IF($D56="Actual",SUMIFS(Data_Actuals!$G$2:$G$5000,Data_Actuals!$A$2:$A$5000,$A56,Data_Actuals!$B$2:$B$5000,$B$2),"")</f>
        <v/>
      </c>
      <c r="W56" s="52">
        <f>SUMIFS(Plan_Inputs!$C$2:$C$5000,Plan_Inputs!$A$2:$A$5000,$A56,Plan_Inputs!$B$2:$B$5000,$B$2)</f>
        <v/>
      </c>
      <c r="X56" s="53">
        <f>IF($D56="Actual",IFERROR(S56/T56,""),X44)</f>
        <v/>
      </c>
      <c r="Y56" s="52">
        <f>E56</f>
        <v/>
      </c>
      <c r="Z56" s="54">
        <f>INDEX(Calendar!$H$5:$L$52,MATCH($A56,Calendar!$A$5:$A$52,0),MATCH($D$2,Calendar!$H$4:$L$4,0))</f>
        <v/>
      </c>
      <c r="AA56" s="54">
        <f>INDEX(Calendar!$M$5:$M$52,MATCH($A56,Calendar!$A$5:$A$52,0))</f>
        <v/>
      </c>
      <c r="AB56" s="55">
        <f>IF($D56="Actual",IFERROR(S56/Y56,""),AB44)</f>
        <v/>
      </c>
      <c r="AC56" s="56">
        <f>IF($D56="Actual",IFERROR(U56/T56/Z56/AA56,""),AC44)</f>
        <v/>
      </c>
      <c r="AD56" s="57">
        <f>IF($D56="Actual",IFERROR(V56/(U56+V56),""),$K$2)</f>
        <v/>
      </c>
      <c r="AE56" s="56">
        <f>IFERROR(AC56*Z56*AA56,"")</f>
        <v/>
      </c>
      <c r="AF56" s="53">
        <f>K44</f>
        <v/>
      </c>
      <c r="AG56" s="57">
        <f>IF($D56="Forecast",IFERROR(K56/AF56-1,""),"")</f>
        <v/>
      </c>
      <c r="AH56" s="53">
        <f>IF(CPLHSource="National breakdown",CPLH_Breakdown!AO61,SUMIFS(Plan_Inputs!$D$2:$D$5000,Plan_Inputs!$A$2:$A$5000,$A56,Plan_Inputs!$B$2:$B$5000,$B$2))</f>
        <v/>
      </c>
      <c r="AJ56" s="15">
        <f>F56*$AK$11</f>
        <v/>
      </c>
      <c r="AK56" s="9">
        <f>G56*$AK$11</f>
        <v/>
      </c>
      <c r="AL56" s="30">
        <f>H56*$AK$11</f>
        <v/>
      </c>
      <c r="AM56" s="30">
        <f>I56*$AK$11</f>
        <v/>
      </c>
      <c r="AN56" s="30">
        <f>J56*$AK$11</f>
        <v/>
      </c>
      <c r="AP56" s="15">
        <f>F56*$AQ$11</f>
        <v/>
      </c>
      <c r="AQ56" s="9">
        <f>G56*$AQ$11</f>
        <v/>
      </c>
      <c r="AR56" s="30">
        <f>H56*$AQ$11</f>
        <v/>
      </c>
      <c r="AS56" s="30">
        <f>I56*$AQ$11</f>
        <v/>
      </c>
      <c r="AT56" s="30">
        <f>J56*$AQ$11</f>
        <v/>
      </c>
      <c r="AV56" s="15">
        <f>F56*$AW$11</f>
        <v/>
      </c>
      <c r="AW56" s="9">
        <f>G56*$AW$11</f>
        <v/>
      </c>
      <c r="AX56" s="30">
        <f>H56*$AW$11</f>
        <v/>
      </c>
      <c r="AY56" s="30">
        <f>I56*$AW$11</f>
        <v/>
      </c>
      <c r="AZ56" s="30">
        <f>J56*$AW$11</f>
        <v/>
      </c>
    </row>
    <row r="57">
      <c r="A57" s="8" t="n">
        <v>46935</v>
      </c>
      <c r="B57" s="33">
        <f>YEAR(A57)</f>
        <v/>
      </c>
      <c r="C57" s="33">
        <f>MONTH(A57)</f>
        <v/>
      </c>
      <c r="D57">
        <f>IF(A57&lt;=LastActual,"Actual","Forecast")</f>
        <v/>
      </c>
      <c r="E57" s="30">
        <f>IF($D57="Actual",R57,W57)</f>
        <v/>
      </c>
      <c r="F57" s="15">
        <f>IF($D57="Actual",S57,Cases_Forecast!AN50)</f>
        <v/>
      </c>
      <c r="G57" s="9">
        <f>IF($D57="Actual",T57,IFERROR(F57/K57,0))</f>
        <v/>
      </c>
      <c r="H57" s="30">
        <f>IF($D57="Actual",U57,G57*L57)</f>
        <v/>
      </c>
      <c r="I57" s="30">
        <f>IF($D57="Actual",V57,J57-H57)</f>
        <v/>
      </c>
      <c r="J57" s="30">
        <f>IF($D57="Actual",U57+V57,IFERROR(H57/(1-AD57),0))</f>
        <v/>
      </c>
      <c r="K57" s="10">
        <f>IF($D57="Actual",IFERROR(S57/T57,0),CPLH_Forecast!AN50)</f>
        <v/>
      </c>
      <c r="L57" s="34">
        <f>IF($D57="Actual",IFERROR(U57/T57,0),N(AE57))</f>
        <v/>
      </c>
      <c r="M57" s="35">
        <f>IFERROR(J57/F57,0)</f>
        <v/>
      </c>
      <c r="N57" s="36">
        <f>IFERROR(J57/E57,0)</f>
        <v/>
      </c>
      <c r="O57" s="36">
        <f>IFERROR(I57/J57,0)</f>
        <v/>
      </c>
      <c r="R57" s="52">
        <f>IF($D57="Actual",SUMIFS(Data_Actuals!$C$2:$C$5000,Data_Actuals!$A$2:$A$5000,$A57,Data_Actuals!$B$2:$B$5000,$B$2),"")</f>
        <v/>
      </c>
      <c r="S57" s="52">
        <f>IF($D57="Actual",SUMIFS(Data_Actuals!$D$2:$D$5000,Data_Actuals!$A$2:$A$5000,$A57,Data_Actuals!$B$2:$B$5000,$B$2),"")</f>
        <v/>
      </c>
      <c r="T57" s="52">
        <f>IF($D57="Actual",SUMIFS(Data_Actuals!$E$2:$E$5000,Data_Actuals!$A$2:$A$5000,$A57,Data_Actuals!$B$2:$B$5000,$B$2),"")</f>
        <v/>
      </c>
      <c r="U57" s="52">
        <f>IF($D57="Actual",SUMIFS(Data_Actuals!$F$2:$F$5000,Data_Actuals!$A$2:$A$5000,$A57,Data_Actuals!$B$2:$B$5000,$B$2),"")</f>
        <v/>
      </c>
      <c r="V57" s="52">
        <f>IF($D57="Actual",SUMIFS(Data_Actuals!$G$2:$G$5000,Data_Actuals!$A$2:$A$5000,$A57,Data_Actuals!$B$2:$B$5000,$B$2),"")</f>
        <v/>
      </c>
      <c r="W57" s="52">
        <f>SUMIFS(Plan_Inputs!$C$2:$C$5000,Plan_Inputs!$A$2:$A$5000,$A57,Plan_Inputs!$B$2:$B$5000,$B$2)</f>
        <v/>
      </c>
      <c r="X57" s="53">
        <f>IF($D57="Actual",IFERROR(S57/T57,""),X45)</f>
        <v/>
      </c>
      <c r="Y57" s="52">
        <f>E57</f>
        <v/>
      </c>
      <c r="Z57" s="54">
        <f>INDEX(Calendar!$H$5:$L$52,MATCH($A57,Calendar!$A$5:$A$52,0),MATCH($D$2,Calendar!$H$4:$L$4,0))</f>
        <v/>
      </c>
      <c r="AA57" s="54">
        <f>INDEX(Calendar!$M$5:$M$52,MATCH($A57,Calendar!$A$5:$A$52,0))</f>
        <v/>
      </c>
      <c r="AB57" s="55">
        <f>IF($D57="Actual",IFERROR(S57/Y57,""),AB45)</f>
        <v/>
      </c>
      <c r="AC57" s="56">
        <f>IF($D57="Actual",IFERROR(U57/T57/Z57/AA57,""),AC45)</f>
        <v/>
      </c>
      <c r="AD57" s="57">
        <f>IF($D57="Actual",IFERROR(V57/(U57+V57),""),$K$2)</f>
        <v/>
      </c>
      <c r="AE57" s="56">
        <f>IFERROR(AC57*Z57*AA57,"")</f>
        <v/>
      </c>
      <c r="AF57" s="53">
        <f>K45</f>
        <v/>
      </c>
      <c r="AG57" s="57">
        <f>IF($D57="Forecast",IFERROR(K57/AF57-1,""),"")</f>
        <v/>
      </c>
      <c r="AH57" s="53">
        <f>IF(CPLHSource="National breakdown",CPLH_Breakdown!AO62,SUMIFS(Plan_Inputs!$D$2:$D$5000,Plan_Inputs!$A$2:$A$5000,$A57,Plan_Inputs!$B$2:$B$5000,$B$2))</f>
        <v/>
      </c>
      <c r="AJ57" s="15">
        <f>F57*$AK$11</f>
        <v/>
      </c>
      <c r="AK57" s="9">
        <f>G57*$AK$11</f>
        <v/>
      </c>
      <c r="AL57" s="30">
        <f>H57*$AK$11</f>
        <v/>
      </c>
      <c r="AM57" s="30">
        <f>I57*$AK$11</f>
        <v/>
      </c>
      <c r="AN57" s="30">
        <f>J57*$AK$11</f>
        <v/>
      </c>
      <c r="AP57" s="15">
        <f>F57*$AQ$11</f>
        <v/>
      </c>
      <c r="AQ57" s="9">
        <f>G57*$AQ$11</f>
        <v/>
      </c>
      <c r="AR57" s="30">
        <f>H57*$AQ$11</f>
        <v/>
      </c>
      <c r="AS57" s="30">
        <f>I57*$AQ$11</f>
        <v/>
      </c>
      <c r="AT57" s="30">
        <f>J57*$AQ$11</f>
        <v/>
      </c>
      <c r="AV57" s="15">
        <f>F57*$AW$11</f>
        <v/>
      </c>
      <c r="AW57" s="9">
        <f>G57*$AW$11</f>
        <v/>
      </c>
      <c r="AX57" s="30">
        <f>H57*$AW$11</f>
        <v/>
      </c>
      <c r="AY57" s="30">
        <f>I57*$AW$11</f>
        <v/>
      </c>
      <c r="AZ57" s="30">
        <f>J57*$AW$11</f>
        <v/>
      </c>
    </row>
    <row r="58">
      <c r="A58" s="8" t="n">
        <v>46966</v>
      </c>
      <c r="B58" s="33">
        <f>YEAR(A58)</f>
        <v/>
      </c>
      <c r="C58" s="33">
        <f>MONTH(A58)</f>
        <v/>
      </c>
      <c r="D58">
        <f>IF(A58&lt;=LastActual,"Actual","Forecast")</f>
        <v/>
      </c>
      <c r="E58" s="30">
        <f>IF($D58="Actual",R58,W58)</f>
        <v/>
      </c>
      <c r="F58" s="15">
        <f>IF($D58="Actual",S58,Cases_Forecast!AN51)</f>
        <v/>
      </c>
      <c r="G58" s="9">
        <f>IF($D58="Actual",T58,IFERROR(F58/K58,0))</f>
        <v/>
      </c>
      <c r="H58" s="30">
        <f>IF($D58="Actual",U58,G58*L58)</f>
        <v/>
      </c>
      <c r="I58" s="30">
        <f>IF($D58="Actual",V58,J58-H58)</f>
        <v/>
      </c>
      <c r="J58" s="30">
        <f>IF($D58="Actual",U58+V58,IFERROR(H58/(1-AD58),0))</f>
        <v/>
      </c>
      <c r="K58" s="10">
        <f>IF($D58="Actual",IFERROR(S58/T58,0),CPLH_Forecast!AN51)</f>
        <v/>
      </c>
      <c r="L58" s="34">
        <f>IF($D58="Actual",IFERROR(U58/T58,0),N(AE58))</f>
        <v/>
      </c>
      <c r="M58" s="35">
        <f>IFERROR(J58/F58,0)</f>
        <v/>
      </c>
      <c r="N58" s="36">
        <f>IFERROR(J58/E58,0)</f>
        <v/>
      </c>
      <c r="O58" s="36">
        <f>IFERROR(I58/J58,0)</f>
        <v/>
      </c>
      <c r="R58" s="52">
        <f>IF($D58="Actual",SUMIFS(Data_Actuals!$C$2:$C$5000,Data_Actuals!$A$2:$A$5000,$A58,Data_Actuals!$B$2:$B$5000,$B$2),"")</f>
        <v/>
      </c>
      <c r="S58" s="52">
        <f>IF($D58="Actual",SUMIFS(Data_Actuals!$D$2:$D$5000,Data_Actuals!$A$2:$A$5000,$A58,Data_Actuals!$B$2:$B$5000,$B$2),"")</f>
        <v/>
      </c>
      <c r="T58" s="52">
        <f>IF($D58="Actual",SUMIFS(Data_Actuals!$E$2:$E$5000,Data_Actuals!$A$2:$A$5000,$A58,Data_Actuals!$B$2:$B$5000,$B$2),"")</f>
        <v/>
      </c>
      <c r="U58" s="52">
        <f>IF($D58="Actual",SUMIFS(Data_Actuals!$F$2:$F$5000,Data_Actuals!$A$2:$A$5000,$A58,Data_Actuals!$B$2:$B$5000,$B$2),"")</f>
        <v/>
      </c>
      <c r="V58" s="52">
        <f>IF($D58="Actual",SUMIFS(Data_Actuals!$G$2:$G$5000,Data_Actuals!$A$2:$A$5000,$A58,Data_Actuals!$B$2:$B$5000,$B$2),"")</f>
        <v/>
      </c>
      <c r="W58" s="52">
        <f>SUMIFS(Plan_Inputs!$C$2:$C$5000,Plan_Inputs!$A$2:$A$5000,$A58,Plan_Inputs!$B$2:$B$5000,$B$2)</f>
        <v/>
      </c>
      <c r="X58" s="53">
        <f>IF($D58="Actual",IFERROR(S58/T58,""),X46)</f>
        <v/>
      </c>
      <c r="Y58" s="52">
        <f>E58</f>
        <v/>
      </c>
      <c r="Z58" s="54">
        <f>INDEX(Calendar!$H$5:$L$52,MATCH($A58,Calendar!$A$5:$A$52,0),MATCH($D$2,Calendar!$H$4:$L$4,0))</f>
        <v/>
      </c>
      <c r="AA58" s="54">
        <f>INDEX(Calendar!$M$5:$M$52,MATCH($A58,Calendar!$A$5:$A$52,0))</f>
        <v/>
      </c>
      <c r="AB58" s="55">
        <f>IF($D58="Actual",IFERROR(S58/Y58,""),AB46)</f>
        <v/>
      </c>
      <c r="AC58" s="56">
        <f>IF($D58="Actual",IFERROR(U58/T58/Z58/AA58,""),AC46)</f>
        <v/>
      </c>
      <c r="AD58" s="57">
        <f>IF($D58="Actual",IFERROR(V58/(U58+V58),""),$K$2)</f>
        <v/>
      </c>
      <c r="AE58" s="56">
        <f>IFERROR(AC58*Z58*AA58,"")</f>
        <v/>
      </c>
      <c r="AF58" s="53">
        <f>K46</f>
        <v/>
      </c>
      <c r="AG58" s="57">
        <f>IF($D58="Forecast",IFERROR(K58/AF58-1,""),"")</f>
        <v/>
      </c>
      <c r="AH58" s="53">
        <f>IF(CPLHSource="National breakdown",CPLH_Breakdown!AO63,SUMIFS(Plan_Inputs!$D$2:$D$5000,Plan_Inputs!$A$2:$A$5000,$A58,Plan_Inputs!$B$2:$B$5000,$B$2))</f>
        <v/>
      </c>
      <c r="AJ58" s="15">
        <f>F58*$AK$11</f>
        <v/>
      </c>
      <c r="AK58" s="9">
        <f>G58*$AK$11</f>
        <v/>
      </c>
      <c r="AL58" s="30">
        <f>H58*$AK$11</f>
        <v/>
      </c>
      <c r="AM58" s="30">
        <f>I58*$AK$11</f>
        <v/>
      </c>
      <c r="AN58" s="30">
        <f>J58*$AK$11</f>
        <v/>
      </c>
      <c r="AP58" s="15">
        <f>F58*$AQ$11</f>
        <v/>
      </c>
      <c r="AQ58" s="9">
        <f>G58*$AQ$11</f>
        <v/>
      </c>
      <c r="AR58" s="30">
        <f>H58*$AQ$11</f>
        <v/>
      </c>
      <c r="AS58" s="30">
        <f>I58*$AQ$11</f>
        <v/>
      </c>
      <c r="AT58" s="30">
        <f>J58*$AQ$11</f>
        <v/>
      </c>
      <c r="AV58" s="15">
        <f>F58*$AW$11</f>
        <v/>
      </c>
      <c r="AW58" s="9">
        <f>G58*$AW$11</f>
        <v/>
      </c>
      <c r="AX58" s="30">
        <f>H58*$AW$11</f>
        <v/>
      </c>
      <c r="AY58" s="30">
        <f>I58*$AW$11</f>
        <v/>
      </c>
      <c r="AZ58" s="30">
        <f>J58*$AW$11</f>
        <v/>
      </c>
    </row>
    <row r="59">
      <c r="A59" s="8" t="n">
        <v>46997</v>
      </c>
      <c r="B59" s="33">
        <f>YEAR(A59)</f>
        <v/>
      </c>
      <c r="C59" s="33">
        <f>MONTH(A59)</f>
        <v/>
      </c>
      <c r="D59">
        <f>IF(A59&lt;=LastActual,"Actual","Forecast")</f>
        <v/>
      </c>
      <c r="E59" s="30">
        <f>IF($D59="Actual",R59,W59)</f>
        <v/>
      </c>
      <c r="F59" s="15">
        <f>IF($D59="Actual",S59,Cases_Forecast!AN52)</f>
        <v/>
      </c>
      <c r="G59" s="9">
        <f>IF($D59="Actual",T59,IFERROR(F59/K59,0))</f>
        <v/>
      </c>
      <c r="H59" s="30">
        <f>IF($D59="Actual",U59,G59*L59)</f>
        <v/>
      </c>
      <c r="I59" s="30">
        <f>IF($D59="Actual",V59,J59-H59)</f>
        <v/>
      </c>
      <c r="J59" s="30">
        <f>IF($D59="Actual",U59+V59,IFERROR(H59/(1-AD59),0))</f>
        <v/>
      </c>
      <c r="K59" s="10">
        <f>IF($D59="Actual",IFERROR(S59/T59,0),CPLH_Forecast!AN52)</f>
        <v/>
      </c>
      <c r="L59" s="34">
        <f>IF($D59="Actual",IFERROR(U59/T59,0),N(AE59))</f>
        <v/>
      </c>
      <c r="M59" s="35">
        <f>IFERROR(J59/F59,0)</f>
        <v/>
      </c>
      <c r="N59" s="36">
        <f>IFERROR(J59/E59,0)</f>
        <v/>
      </c>
      <c r="O59" s="36">
        <f>IFERROR(I59/J59,0)</f>
        <v/>
      </c>
      <c r="R59" s="52">
        <f>IF($D59="Actual",SUMIFS(Data_Actuals!$C$2:$C$5000,Data_Actuals!$A$2:$A$5000,$A59,Data_Actuals!$B$2:$B$5000,$B$2),"")</f>
        <v/>
      </c>
      <c r="S59" s="52">
        <f>IF($D59="Actual",SUMIFS(Data_Actuals!$D$2:$D$5000,Data_Actuals!$A$2:$A$5000,$A59,Data_Actuals!$B$2:$B$5000,$B$2),"")</f>
        <v/>
      </c>
      <c r="T59" s="52">
        <f>IF($D59="Actual",SUMIFS(Data_Actuals!$E$2:$E$5000,Data_Actuals!$A$2:$A$5000,$A59,Data_Actuals!$B$2:$B$5000,$B$2),"")</f>
        <v/>
      </c>
      <c r="U59" s="52">
        <f>IF($D59="Actual",SUMIFS(Data_Actuals!$F$2:$F$5000,Data_Actuals!$A$2:$A$5000,$A59,Data_Actuals!$B$2:$B$5000,$B$2),"")</f>
        <v/>
      </c>
      <c r="V59" s="52">
        <f>IF($D59="Actual",SUMIFS(Data_Actuals!$G$2:$G$5000,Data_Actuals!$A$2:$A$5000,$A59,Data_Actuals!$B$2:$B$5000,$B$2),"")</f>
        <v/>
      </c>
      <c r="W59" s="52">
        <f>SUMIFS(Plan_Inputs!$C$2:$C$5000,Plan_Inputs!$A$2:$A$5000,$A59,Plan_Inputs!$B$2:$B$5000,$B$2)</f>
        <v/>
      </c>
      <c r="X59" s="53">
        <f>IF($D59="Actual",IFERROR(S59/T59,""),X47)</f>
        <v/>
      </c>
      <c r="Y59" s="52">
        <f>E59</f>
        <v/>
      </c>
      <c r="Z59" s="54">
        <f>INDEX(Calendar!$H$5:$L$52,MATCH($A59,Calendar!$A$5:$A$52,0),MATCH($D$2,Calendar!$H$4:$L$4,0))</f>
        <v/>
      </c>
      <c r="AA59" s="54">
        <f>INDEX(Calendar!$M$5:$M$52,MATCH($A59,Calendar!$A$5:$A$52,0))</f>
        <v/>
      </c>
      <c r="AB59" s="55">
        <f>IF($D59="Actual",IFERROR(S59/Y59,""),AB47)</f>
        <v/>
      </c>
      <c r="AC59" s="56">
        <f>IF($D59="Actual",IFERROR(U59/T59/Z59/AA59,""),AC47)</f>
        <v/>
      </c>
      <c r="AD59" s="57">
        <f>IF($D59="Actual",IFERROR(V59/(U59+V59),""),$K$2)</f>
        <v/>
      </c>
      <c r="AE59" s="56">
        <f>IFERROR(AC59*Z59*AA59,"")</f>
        <v/>
      </c>
      <c r="AF59" s="53">
        <f>K47</f>
        <v/>
      </c>
      <c r="AG59" s="57">
        <f>IF($D59="Forecast",IFERROR(K59/AF59-1,""),"")</f>
        <v/>
      </c>
      <c r="AH59" s="53">
        <f>IF(CPLHSource="National breakdown",CPLH_Breakdown!AO64,SUMIFS(Plan_Inputs!$D$2:$D$5000,Plan_Inputs!$A$2:$A$5000,$A59,Plan_Inputs!$B$2:$B$5000,$B$2))</f>
        <v/>
      </c>
      <c r="AJ59" s="15">
        <f>F59*$AK$11</f>
        <v/>
      </c>
      <c r="AK59" s="9">
        <f>G59*$AK$11</f>
        <v/>
      </c>
      <c r="AL59" s="30">
        <f>H59*$AK$11</f>
        <v/>
      </c>
      <c r="AM59" s="30">
        <f>I59*$AK$11</f>
        <v/>
      </c>
      <c r="AN59" s="30">
        <f>J59*$AK$11</f>
        <v/>
      </c>
      <c r="AP59" s="15">
        <f>F59*$AQ$11</f>
        <v/>
      </c>
      <c r="AQ59" s="9">
        <f>G59*$AQ$11</f>
        <v/>
      </c>
      <c r="AR59" s="30">
        <f>H59*$AQ$11</f>
        <v/>
      </c>
      <c r="AS59" s="30">
        <f>I59*$AQ$11</f>
        <v/>
      </c>
      <c r="AT59" s="30">
        <f>J59*$AQ$11</f>
        <v/>
      </c>
      <c r="AV59" s="15">
        <f>F59*$AW$11</f>
        <v/>
      </c>
      <c r="AW59" s="9">
        <f>G59*$AW$11</f>
        <v/>
      </c>
      <c r="AX59" s="30">
        <f>H59*$AW$11</f>
        <v/>
      </c>
      <c r="AY59" s="30">
        <f>I59*$AW$11</f>
        <v/>
      </c>
      <c r="AZ59" s="30">
        <f>J59*$AW$11</f>
        <v/>
      </c>
    </row>
    <row r="60">
      <c r="A60" s="8" t="n">
        <v>47027</v>
      </c>
      <c r="B60" s="33">
        <f>YEAR(A60)</f>
        <v/>
      </c>
      <c r="C60" s="33">
        <f>MONTH(A60)</f>
        <v/>
      </c>
      <c r="D60">
        <f>IF(A60&lt;=LastActual,"Actual","Forecast")</f>
        <v/>
      </c>
      <c r="E60" s="30">
        <f>IF($D60="Actual",R60,W60)</f>
        <v/>
      </c>
      <c r="F60" s="15">
        <f>IF($D60="Actual",S60,Cases_Forecast!AN53)</f>
        <v/>
      </c>
      <c r="G60" s="9">
        <f>IF($D60="Actual",T60,IFERROR(F60/K60,0))</f>
        <v/>
      </c>
      <c r="H60" s="30">
        <f>IF($D60="Actual",U60,G60*L60)</f>
        <v/>
      </c>
      <c r="I60" s="30">
        <f>IF($D60="Actual",V60,J60-H60)</f>
        <v/>
      </c>
      <c r="J60" s="30">
        <f>IF($D60="Actual",U60+V60,IFERROR(H60/(1-AD60),0))</f>
        <v/>
      </c>
      <c r="K60" s="10">
        <f>IF($D60="Actual",IFERROR(S60/T60,0),CPLH_Forecast!AN53)</f>
        <v/>
      </c>
      <c r="L60" s="34">
        <f>IF($D60="Actual",IFERROR(U60/T60,0),N(AE60))</f>
        <v/>
      </c>
      <c r="M60" s="35">
        <f>IFERROR(J60/F60,0)</f>
        <v/>
      </c>
      <c r="N60" s="36">
        <f>IFERROR(J60/E60,0)</f>
        <v/>
      </c>
      <c r="O60" s="36">
        <f>IFERROR(I60/J60,0)</f>
        <v/>
      </c>
      <c r="R60" s="52">
        <f>IF($D60="Actual",SUMIFS(Data_Actuals!$C$2:$C$5000,Data_Actuals!$A$2:$A$5000,$A60,Data_Actuals!$B$2:$B$5000,$B$2),"")</f>
        <v/>
      </c>
      <c r="S60" s="52">
        <f>IF($D60="Actual",SUMIFS(Data_Actuals!$D$2:$D$5000,Data_Actuals!$A$2:$A$5000,$A60,Data_Actuals!$B$2:$B$5000,$B$2),"")</f>
        <v/>
      </c>
      <c r="T60" s="52">
        <f>IF($D60="Actual",SUMIFS(Data_Actuals!$E$2:$E$5000,Data_Actuals!$A$2:$A$5000,$A60,Data_Actuals!$B$2:$B$5000,$B$2),"")</f>
        <v/>
      </c>
      <c r="U60" s="52">
        <f>IF($D60="Actual",SUMIFS(Data_Actuals!$F$2:$F$5000,Data_Actuals!$A$2:$A$5000,$A60,Data_Actuals!$B$2:$B$5000,$B$2),"")</f>
        <v/>
      </c>
      <c r="V60" s="52">
        <f>IF($D60="Actual",SUMIFS(Data_Actuals!$G$2:$G$5000,Data_Actuals!$A$2:$A$5000,$A60,Data_Actuals!$B$2:$B$5000,$B$2),"")</f>
        <v/>
      </c>
      <c r="W60" s="52">
        <f>SUMIFS(Plan_Inputs!$C$2:$C$5000,Plan_Inputs!$A$2:$A$5000,$A60,Plan_Inputs!$B$2:$B$5000,$B$2)</f>
        <v/>
      </c>
      <c r="X60" s="53">
        <f>IF($D60="Actual",IFERROR(S60/T60,""),X48)</f>
        <v/>
      </c>
      <c r="Y60" s="52">
        <f>E60</f>
        <v/>
      </c>
      <c r="Z60" s="54">
        <f>INDEX(Calendar!$H$5:$L$52,MATCH($A60,Calendar!$A$5:$A$52,0),MATCH($D$2,Calendar!$H$4:$L$4,0))</f>
        <v/>
      </c>
      <c r="AA60" s="54">
        <f>INDEX(Calendar!$M$5:$M$52,MATCH($A60,Calendar!$A$5:$A$52,0))</f>
        <v/>
      </c>
      <c r="AB60" s="55">
        <f>IF($D60="Actual",IFERROR(S60/Y60,""),AB48)</f>
        <v/>
      </c>
      <c r="AC60" s="56">
        <f>IF($D60="Actual",IFERROR(U60/T60/Z60/AA60,""),AC48)</f>
        <v/>
      </c>
      <c r="AD60" s="57">
        <f>IF($D60="Actual",IFERROR(V60/(U60+V60),""),$K$2)</f>
        <v/>
      </c>
      <c r="AE60" s="56">
        <f>IFERROR(AC60*Z60*AA60,"")</f>
        <v/>
      </c>
      <c r="AF60" s="53">
        <f>K48</f>
        <v/>
      </c>
      <c r="AG60" s="57">
        <f>IF($D60="Forecast",IFERROR(K60/AF60-1,""),"")</f>
        <v/>
      </c>
      <c r="AH60" s="53">
        <f>IF(CPLHSource="National breakdown",CPLH_Breakdown!AO65,SUMIFS(Plan_Inputs!$D$2:$D$5000,Plan_Inputs!$A$2:$A$5000,$A60,Plan_Inputs!$B$2:$B$5000,$B$2))</f>
        <v/>
      </c>
      <c r="AJ60" s="15">
        <f>F60*$AK$11</f>
        <v/>
      </c>
      <c r="AK60" s="9">
        <f>G60*$AK$11</f>
        <v/>
      </c>
      <c r="AL60" s="30">
        <f>H60*$AK$11</f>
        <v/>
      </c>
      <c r="AM60" s="30">
        <f>I60*$AK$11</f>
        <v/>
      </c>
      <c r="AN60" s="30">
        <f>J60*$AK$11</f>
        <v/>
      </c>
      <c r="AP60" s="15">
        <f>F60*$AQ$11</f>
        <v/>
      </c>
      <c r="AQ60" s="9">
        <f>G60*$AQ$11</f>
        <v/>
      </c>
      <c r="AR60" s="30">
        <f>H60*$AQ$11</f>
        <v/>
      </c>
      <c r="AS60" s="30">
        <f>I60*$AQ$11</f>
        <v/>
      </c>
      <c r="AT60" s="30">
        <f>J60*$AQ$11</f>
        <v/>
      </c>
      <c r="AV60" s="15">
        <f>F60*$AW$11</f>
        <v/>
      </c>
      <c r="AW60" s="9">
        <f>G60*$AW$11</f>
        <v/>
      </c>
      <c r="AX60" s="30">
        <f>H60*$AW$11</f>
        <v/>
      </c>
      <c r="AY60" s="30">
        <f>I60*$AW$11</f>
        <v/>
      </c>
      <c r="AZ60" s="30">
        <f>J60*$AW$11</f>
        <v/>
      </c>
    </row>
    <row r="61">
      <c r="A61" s="8" t="n">
        <v>47058</v>
      </c>
      <c r="B61" s="33">
        <f>YEAR(A61)</f>
        <v/>
      </c>
      <c r="C61" s="33">
        <f>MONTH(A61)</f>
        <v/>
      </c>
      <c r="D61">
        <f>IF(A61&lt;=LastActual,"Actual","Forecast")</f>
        <v/>
      </c>
      <c r="E61" s="30">
        <f>IF($D61="Actual",R61,W61)</f>
        <v/>
      </c>
      <c r="F61" s="15">
        <f>IF($D61="Actual",S61,Cases_Forecast!AN54)</f>
        <v/>
      </c>
      <c r="G61" s="9">
        <f>IF($D61="Actual",T61,IFERROR(F61/K61,0))</f>
        <v/>
      </c>
      <c r="H61" s="30">
        <f>IF($D61="Actual",U61,G61*L61)</f>
        <v/>
      </c>
      <c r="I61" s="30">
        <f>IF($D61="Actual",V61,J61-H61)</f>
        <v/>
      </c>
      <c r="J61" s="30">
        <f>IF($D61="Actual",U61+V61,IFERROR(H61/(1-AD61),0))</f>
        <v/>
      </c>
      <c r="K61" s="10">
        <f>IF($D61="Actual",IFERROR(S61/T61,0),CPLH_Forecast!AN54)</f>
        <v/>
      </c>
      <c r="L61" s="34">
        <f>IF($D61="Actual",IFERROR(U61/T61,0),N(AE61))</f>
        <v/>
      </c>
      <c r="M61" s="35">
        <f>IFERROR(J61/F61,0)</f>
        <v/>
      </c>
      <c r="N61" s="36">
        <f>IFERROR(J61/E61,0)</f>
        <v/>
      </c>
      <c r="O61" s="36">
        <f>IFERROR(I61/J61,0)</f>
        <v/>
      </c>
      <c r="R61" s="52">
        <f>IF($D61="Actual",SUMIFS(Data_Actuals!$C$2:$C$5000,Data_Actuals!$A$2:$A$5000,$A61,Data_Actuals!$B$2:$B$5000,$B$2),"")</f>
        <v/>
      </c>
      <c r="S61" s="52">
        <f>IF($D61="Actual",SUMIFS(Data_Actuals!$D$2:$D$5000,Data_Actuals!$A$2:$A$5000,$A61,Data_Actuals!$B$2:$B$5000,$B$2),"")</f>
        <v/>
      </c>
      <c r="T61" s="52">
        <f>IF($D61="Actual",SUMIFS(Data_Actuals!$E$2:$E$5000,Data_Actuals!$A$2:$A$5000,$A61,Data_Actuals!$B$2:$B$5000,$B$2),"")</f>
        <v/>
      </c>
      <c r="U61" s="52">
        <f>IF($D61="Actual",SUMIFS(Data_Actuals!$F$2:$F$5000,Data_Actuals!$A$2:$A$5000,$A61,Data_Actuals!$B$2:$B$5000,$B$2),"")</f>
        <v/>
      </c>
      <c r="V61" s="52">
        <f>IF($D61="Actual",SUMIFS(Data_Actuals!$G$2:$G$5000,Data_Actuals!$A$2:$A$5000,$A61,Data_Actuals!$B$2:$B$5000,$B$2),"")</f>
        <v/>
      </c>
      <c r="W61" s="52">
        <f>SUMIFS(Plan_Inputs!$C$2:$C$5000,Plan_Inputs!$A$2:$A$5000,$A61,Plan_Inputs!$B$2:$B$5000,$B$2)</f>
        <v/>
      </c>
      <c r="X61" s="53">
        <f>IF($D61="Actual",IFERROR(S61/T61,""),X49)</f>
        <v/>
      </c>
      <c r="Y61" s="52">
        <f>E61</f>
        <v/>
      </c>
      <c r="Z61" s="54">
        <f>INDEX(Calendar!$H$5:$L$52,MATCH($A61,Calendar!$A$5:$A$52,0),MATCH($D$2,Calendar!$H$4:$L$4,0))</f>
        <v/>
      </c>
      <c r="AA61" s="54">
        <f>INDEX(Calendar!$M$5:$M$52,MATCH($A61,Calendar!$A$5:$A$52,0))</f>
        <v/>
      </c>
      <c r="AB61" s="55">
        <f>IF($D61="Actual",IFERROR(S61/Y61,""),AB49)</f>
        <v/>
      </c>
      <c r="AC61" s="56">
        <f>IF($D61="Actual",IFERROR(U61/T61/Z61/AA61,""),AC49)</f>
        <v/>
      </c>
      <c r="AD61" s="57">
        <f>IF($D61="Actual",IFERROR(V61/(U61+V61),""),$K$2)</f>
        <v/>
      </c>
      <c r="AE61" s="56">
        <f>IFERROR(AC61*Z61*AA61,"")</f>
        <v/>
      </c>
      <c r="AF61" s="53">
        <f>K49</f>
        <v/>
      </c>
      <c r="AG61" s="57">
        <f>IF($D61="Forecast",IFERROR(K61/AF61-1,""),"")</f>
        <v/>
      </c>
      <c r="AH61" s="53">
        <f>IF(CPLHSource="National breakdown",CPLH_Breakdown!AO66,SUMIFS(Plan_Inputs!$D$2:$D$5000,Plan_Inputs!$A$2:$A$5000,$A61,Plan_Inputs!$B$2:$B$5000,$B$2))</f>
        <v/>
      </c>
      <c r="AJ61" s="15">
        <f>F61*$AK$11</f>
        <v/>
      </c>
      <c r="AK61" s="9">
        <f>G61*$AK$11</f>
        <v/>
      </c>
      <c r="AL61" s="30">
        <f>H61*$AK$11</f>
        <v/>
      </c>
      <c r="AM61" s="30">
        <f>I61*$AK$11</f>
        <v/>
      </c>
      <c r="AN61" s="30">
        <f>J61*$AK$11</f>
        <v/>
      </c>
      <c r="AP61" s="15">
        <f>F61*$AQ$11</f>
        <v/>
      </c>
      <c r="AQ61" s="9">
        <f>G61*$AQ$11</f>
        <v/>
      </c>
      <c r="AR61" s="30">
        <f>H61*$AQ$11</f>
        <v/>
      </c>
      <c r="AS61" s="30">
        <f>I61*$AQ$11</f>
        <v/>
      </c>
      <c r="AT61" s="30">
        <f>J61*$AQ$11</f>
        <v/>
      </c>
      <c r="AV61" s="15">
        <f>F61*$AW$11</f>
        <v/>
      </c>
      <c r="AW61" s="9">
        <f>G61*$AW$11</f>
        <v/>
      </c>
      <c r="AX61" s="30">
        <f>H61*$AW$11</f>
        <v/>
      </c>
      <c r="AY61" s="30">
        <f>I61*$AW$11</f>
        <v/>
      </c>
      <c r="AZ61" s="30">
        <f>J61*$AW$11</f>
        <v/>
      </c>
    </row>
    <row r="62">
      <c r="A62" s="37" t="n">
        <v>47088</v>
      </c>
      <c r="B62" s="38">
        <f>YEAR(A62)</f>
        <v/>
      </c>
      <c r="C62" s="38">
        <f>MONTH(A62)</f>
        <v/>
      </c>
      <c r="D62" s="39">
        <f>IF(A62&lt;=LastActual,"Actual","Forecast")</f>
        <v/>
      </c>
      <c r="E62" s="40">
        <f>IF($D62="Actual",R62,W62)</f>
        <v/>
      </c>
      <c r="F62" s="41">
        <f>IF($D62="Actual",S62,Cases_Forecast!AN55)</f>
        <v/>
      </c>
      <c r="G62" s="42">
        <f>IF($D62="Actual",T62,IFERROR(F62/K62,0))</f>
        <v/>
      </c>
      <c r="H62" s="40">
        <f>IF($D62="Actual",U62,G62*L62)</f>
        <v/>
      </c>
      <c r="I62" s="40">
        <f>IF($D62="Actual",V62,J62-H62)</f>
        <v/>
      </c>
      <c r="J62" s="40">
        <f>IF($D62="Actual",U62+V62,IFERROR(H62/(1-AD62),0))</f>
        <v/>
      </c>
      <c r="K62" s="43">
        <f>IF($D62="Actual",IFERROR(S62/T62,0),CPLH_Forecast!AN55)</f>
        <v/>
      </c>
      <c r="L62" s="44">
        <f>IF($D62="Actual",IFERROR(U62/T62,0),N(AE62))</f>
        <v/>
      </c>
      <c r="M62" s="45">
        <f>IFERROR(J62/F62,0)</f>
        <v/>
      </c>
      <c r="N62" s="46">
        <f>IFERROR(J62/E62,0)</f>
        <v/>
      </c>
      <c r="O62" s="46">
        <f>IFERROR(I62/J62,0)</f>
        <v/>
      </c>
      <c r="R62" s="52">
        <f>IF($D62="Actual",SUMIFS(Data_Actuals!$C$2:$C$5000,Data_Actuals!$A$2:$A$5000,$A62,Data_Actuals!$B$2:$B$5000,$B$2),"")</f>
        <v/>
      </c>
      <c r="S62" s="52">
        <f>IF($D62="Actual",SUMIFS(Data_Actuals!$D$2:$D$5000,Data_Actuals!$A$2:$A$5000,$A62,Data_Actuals!$B$2:$B$5000,$B$2),"")</f>
        <v/>
      </c>
      <c r="T62" s="52">
        <f>IF($D62="Actual",SUMIFS(Data_Actuals!$E$2:$E$5000,Data_Actuals!$A$2:$A$5000,$A62,Data_Actuals!$B$2:$B$5000,$B$2),"")</f>
        <v/>
      </c>
      <c r="U62" s="52">
        <f>IF($D62="Actual",SUMIFS(Data_Actuals!$F$2:$F$5000,Data_Actuals!$A$2:$A$5000,$A62,Data_Actuals!$B$2:$B$5000,$B$2),"")</f>
        <v/>
      </c>
      <c r="V62" s="52">
        <f>IF($D62="Actual",SUMIFS(Data_Actuals!$G$2:$G$5000,Data_Actuals!$A$2:$A$5000,$A62,Data_Actuals!$B$2:$B$5000,$B$2),"")</f>
        <v/>
      </c>
      <c r="W62" s="52">
        <f>SUMIFS(Plan_Inputs!$C$2:$C$5000,Plan_Inputs!$A$2:$A$5000,$A62,Plan_Inputs!$B$2:$B$5000,$B$2)</f>
        <v/>
      </c>
      <c r="X62" s="53">
        <f>IF($D62="Actual",IFERROR(S62/T62,""),X50)</f>
        <v/>
      </c>
      <c r="Y62" s="52">
        <f>E62</f>
        <v/>
      </c>
      <c r="Z62" s="54">
        <f>INDEX(Calendar!$H$5:$L$52,MATCH($A62,Calendar!$A$5:$A$52,0),MATCH($D$2,Calendar!$H$4:$L$4,0))</f>
        <v/>
      </c>
      <c r="AA62" s="54">
        <f>INDEX(Calendar!$M$5:$M$52,MATCH($A62,Calendar!$A$5:$A$52,0))</f>
        <v/>
      </c>
      <c r="AB62" s="55">
        <f>IF($D62="Actual",IFERROR(S62/Y62,""),AB50)</f>
        <v/>
      </c>
      <c r="AC62" s="56">
        <f>IF($D62="Actual",IFERROR(U62/T62/Z62/AA62,""),AC50)</f>
        <v/>
      </c>
      <c r="AD62" s="57">
        <f>IF($D62="Actual",IFERROR(V62/(U62+V62),""),$K$2)</f>
        <v/>
      </c>
      <c r="AE62" s="56">
        <f>IFERROR(AC62*Z62*AA62,"")</f>
        <v/>
      </c>
      <c r="AF62" s="53">
        <f>K50</f>
        <v/>
      </c>
      <c r="AG62" s="57">
        <f>IF($D62="Forecast",IFERROR(K62/AF62-1,""),"")</f>
        <v/>
      </c>
      <c r="AH62" s="53">
        <f>IF(CPLHSource="National breakdown",CPLH_Breakdown!AO67,SUMIFS(Plan_Inputs!$D$2:$D$5000,Plan_Inputs!$A$2:$A$5000,$A62,Plan_Inputs!$B$2:$B$5000,$B$2))</f>
        <v/>
      </c>
      <c r="AJ62" s="41">
        <f>F62*$AK$11</f>
        <v/>
      </c>
      <c r="AK62" s="42">
        <f>G62*$AK$11</f>
        <v/>
      </c>
      <c r="AL62" s="40">
        <f>H62*$AK$11</f>
        <v/>
      </c>
      <c r="AM62" s="40">
        <f>I62*$AK$11</f>
        <v/>
      </c>
      <c r="AN62" s="40">
        <f>J62*$AK$11</f>
        <v/>
      </c>
      <c r="AP62" s="41">
        <f>F62*$AQ$11</f>
        <v/>
      </c>
      <c r="AQ62" s="42">
        <f>G62*$AQ$11</f>
        <v/>
      </c>
      <c r="AR62" s="40">
        <f>H62*$AQ$11</f>
        <v/>
      </c>
      <c r="AS62" s="40">
        <f>I62*$AQ$11</f>
        <v/>
      </c>
      <c r="AT62" s="40">
        <f>J62*$AQ$11</f>
        <v/>
      </c>
      <c r="AV62" s="41">
        <f>F62*$AW$11</f>
        <v/>
      </c>
      <c r="AW62" s="42">
        <f>G62*$AW$11</f>
        <v/>
      </c>
      <c r="AX62" s="40">
        <f>H62*$AW$11</f>
        <v/>
      </c>
      <c r="AY62" s="40">
        <f>I62*$AW$11</f>
        <v/>
      </c>
      <c r="AZ62" s="40">
        <f>J62*$AW$11</f>
        <v/>
      </c>
    </row>
  </sheetData>
  <mergeCells count="6">
    <mergeCell ref="K12:O12"/>
    <mergeCell ref="AV12:AZ12"/>
    <mergeCell ref="AJ12:AN12"/>
    <mergeCell ref="AP12:AT12"/>
    <mergeCell ref="R12:AH12"/>
    <mergeCell ref="E12:J12"/>
  </mergeCells>
  <conditionalFormatting sqref="A15:O62">
    <cfRule type="expression" priority="1" dxfId="4">
      <formula>$D15="Forecast"</formula>
    </cfRule>
  </conditionalFormatting>
  <conditionalFormatting sqref="AJ15:AZ62">
    <cfRule type="expression" priority="2" dxfId="4">
      <formula>$D15="Forecast"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F3864"/>
    <outlinePr summaryBelow="1" summaryRight="1"/>
    <pageSetUpPr/>
  </sheetPr>
  <dimension ref="A1:AZ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  <col width="10" customWidth="1" min="34" max="34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2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2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2" customWidth="1" min="53" max="53"/>
  </cols>
  <sheetData>
    <row r="1">
      <c r="A1" s="2">
        <f>$B$2&amp;"  |  Region  |  QLD"</f>
        <v/>
      </c>
    </row>
    <row r="2">
      <c r="A2" t="inlineStr">
        <is>
          <t>Code</t>
        </is>
      </c>
      <c r="B2" s="1">
        <f>Inputs!$A$41</f>
        <v/>
      </c>
      <c r="C2" t="inlineStr">
        <is>
          <t>State</t>
        </is>
      </c>
      <c r="D2" s="1" t="inlineStr">
        <is>
          <t>QLD</t>
        </is>
      </c>
      <c r="F2" t="inlineStr">
        <is>
          <t>Leadership share of total payroll, last actual month</t>
        </is>
      </c>
      <c r="K2" s="50">
        <f>IFERROR(INDEX($V$15:$V$62,MATCH(LastActual,$A$15:$A$62,0))/(INDEX($U$15:$U$62,MATCH(LastActual,$A$15:$A$62,0))+INDEX($V$15:$V$62,MATCH(LastActual,$A$15:$A$62,0))),0)</f>
        <v/>
      </c>
    </row>
    <row r="5" ht="45" customHeight="1">
      <c r="A5" s="7" t="inlineStr">
        <is>
          <t>FY</t>
        </is>
      </c>
      <c r="D5" s="7" t="inlineStr">
        <is>
          <t>Status</t>
        </is>
      </c>
      <c r="E5" s="7" t="inlineStr">
        <is>
          <t>Sales</t>
        </is>
      </c>
      <c r="F5" s="7" t="inlineStr">
        <is>
          <t>Cases picked</t>
        </is>
      </c>
      <c r="G5" s="7" t="inlineStr">
        <is>
          <t>WH hours worked</t>
        </is>
      </c>
      <c r="H5" s="7" t="inlineStr">
        <is>
          <t>Staff payroll</t>
        </is>
      </c>
      <c r="I5" s="7" t="inlineStr">
        <is>
          <t>Leadership payroll</t>
        </is>
      </c>
      <c r="J5" s="7" t="inlineStr">
        <is>
          <t>Total payroll</t>
        </is>
      </c>
      <c r="K5" s="7" t="inlineStr">
        <is>
          <t>CPLH (cases / hr)</t>
        </is>
      </c>
      <c r="L5" s="7" t="inlineStr">
        <is>
          <t>Cost per hour (staff)</t>
        </is>
      </c>
      <c r="M5" s="7" t="inlineStr">
        <is>
          <t>Cost per case (total payroll)</t>
        </is>
      </c>
      <c r="N5" s="7" t="inlineStr">
        <is>
          <t>Total payroll % sales</t>
        </is>
      </c>
      <c r="O5" s="7" t="inlineStr">
        <is>
          <t>Leadership % of total payroll</t>
        </is>
      </c>
      <c r="AJ5" s="20" t="inlineStr">
        <is>
          <t>Cases picked</t>
        </is>
      </c>
      <c r="AK5" s="20" t="inlineStr">
        <is>
          <t>WH hours worked</t>
        </is>
      </c>
      <c r="AL5" s="20" t="inlineStr">
        <is>
          <t>Staff payroll</t>
        </is>
      </c>
      <c r="AM5" s="20" t="inlineStr">
        <is>
          <t>Leadership payroll</t>
        </is>
      </c>
      <c r="AN5" s="20" t="inlineStr">
        <is>
          <t>Total payroll</t>
        </is>
      </c>
      <c r="AP5" s="20" t="inlineStr">
        <is>
          <t>Cases picked</t>
        </is>
      </c>
      <c r="AQ5" s="20" t="inlineStr">
        <is>
          <t>WH hours worked</t>
        </is>
      </c>
      <c r="AR5" s="20" t="inlineStr">
        <is>
          <t>Staff payroll</t>
        </is>
      </c>
      <c r="AS5" s="20" t="inlineStr">
        <is>
          <t>Leadership payroll</t>
        </is>
      </c>
      <c r="AT5" s="20" t="inlineStr">
        <is>
          <t>Total payroll</t>
        </is>
      </c>
      <c r="AV5" s="20" t="inlineStr">
        <is>
          <t>Cases picked</t>
        </is>
      </c>
      <c r="AW5" s="20" t="inlineStr">
        <is>
          <t>WH hours worked</t>
        </is>
      </c>
      <c r="AX5" s="20" t="inlineStr">
        <is>
          <t>Staff payroll</t>
        </is>
      </c>
      <c r="AY5" s="20" t="inlineStr">
        <is>
          <t>Leadership payroll</t>
        </is>
      </c>
      <c r="AZ5" s="20" t="inlineStr">
        <is>
          <t>Total payroll</t>
        </is>
      </c>
    </row>
    <row r="6">
      <c r="A6" s="21" t="n">
        <v>2025</v>
      </c>
      <c r="D6" s="22">
        <f>IF(DATE(A6,12,1)&lt;=LastActual,"Actual",IF(DATE(A6,1,1)&gt;LastActual,"Forecast","Blended"))</f>
        <v/>
      </c>
      <c r="E6" s="23">
        <f>SUMIFS($E$15:$E$62,$B$15:$B$62,$A6)</f>
        <v/>
      </c>
      <c r="F6" s="24">
        <f>SUMIFS($F$15:$F$62,$B$15:$B$62,$A6)</f>
        <v/>
      </c>
      <c r="G6" s="25">
        <f>SUMIFS($G$15:$G$62,$B$15:$B$62,$A6)</f>
        <v/>
      </c>
      <c r="H6" s="23">
        <f>SUMIFS($H$15:$H$62,$B$15:$B$62,$A6)</f>
        <v/>
      </c>
      <c r="I6" s="23">
        <f>SUMIFS($I$15:$I$62,$B$15:$B$62,$A6)</f>
        <v/>
      </c>
      <c r="J6" s="23">
        <f>SUMIFS($J$15:$J$62,$B$15:$B$62,$A6)</f>
        <v/>
      </c>
      <c r="K6" s="26">
        <f>IFERROR(F6/G6,0)</f>
        <v/>
      </c>
      <c r="L6" s="27">
        <f>IFERROR(H6/G6,0)</f>
        <v/>
      </c>
      <c r="M6" s="28">
        <f>IFERROR(J6/F6,0)</f>
        <v/>
      </c>
      <c r="N6" s="29">
        <f>IFERROR(J6/E6,0)</f>
        <v/>
      </c>
      <c r="O6" s="29">
        <f>IFERROR(I6/J6,0)</f>
        <v/>
      </c>
      <c r="AJ6" s="24">
        <f>SUMIFS($AJ$15:$AJ$62,$B$15:$B$62,$A6)</f>
        <v/>
      </c>
      <c r="AK6" s="25">
        <f>SUMIFS($AK$15:$AK$62,$B$15:$B$62,$A6)</f>
        <v/>
      </c>
      <c r="AL6" s="23">
        <f>SUMIFS($AL$15:$AL$62,$B$15:$B$62,$A6)</f>
        <v/>
      </c>
      <c r="AM6" s="23">
        <f>SUMIFS($AM$15:$AM$62,$B$15:$B$62,$A6)</f>
        <v/>
      </c>
      <c r="AN6" s="23">
        <f>SUMIFS($AN$15:$AN$62,$B$15:$B$62,$A6)</f>
        <v/>
      </c>
      <c r="AP6" s="24">
        <f>SUMIFS($AP$15:$AP$62,$B$15:$B$62,$A6)</f>
        <v/>
      </c>
      <c r="AQ6" s="25">
        <f>SUMIFS($AQ$15:$AQ$62,$B$15:$B$62,$A6)</f>
        <v/>
      </c>
      <c r="AR6" s="23">
        <f>SUMIFS($AR$15:$AR$62,$B$15:$B$62,$A6)</f>
        <v/>
      </c>
      <c r="AS6" s="23">
        <f>SUMIFS($AS$15:$AS$62,$B$15:$B$62,$A6)</f>
        <v/>
      </c>
      <c r="AT6" s="23">
        <f>SUMIFS($AT$15:$AT$62,$B$15:$B$62,$A6)</f>
        <v/>
      </c>
      <c r="AV6" s="24">
        <f>SUMIFS($AV$15:$AV$62,$B$15:$B$62,$A6)</f>
        <v/>
      </c>
      <c r="AW6" s="25">
        <f>SUMIFS($AW$15:$AW$62,$B$15:$B$62,$A6)</f>
        <v/>
      </c>
      <c r="AX6" s="23">
        <f>SUMIFS($AX$15:$AX$62,$B$15:$B$62,$A6)</f>
        <v/>
      </c>
      <c r="AY6" s="23">
        <f>SUMIFS($AY$15:$AY$62,$B$15:$B$62,$A6)</f>
        <v/>
      </c>
      <c r="AZ6" s="23">
        <f>SUMIFS($AZ$15:$AZ$62,$B$15:$B$62,$A6)</f>
        <v/>
      </c>
    </row>
    <row r="7">
      <c r="A7" s="21" t="n">
        <v>2026</v>
      </c>
      <c r="D7" s="22">
        <f>IF(DATE(A7,12,1)&lt;=LastActual,"Actual",IF(DATE(A7,1,1)&gt;LastActual,"Forecast","Blended"))</f>
        <v/>
      </c>
      <c r="E7" s="23">
        <f>SUMIFS($E$15:$E$62,$B$15:$B$62,$A7)</f>
        <v/>
      </c>
      <c r="F7" s="24">
        <f>SUMIFS($F$15:$F$62,$B$15:$B$62,$A7)</f>
        <v/>
      </c>
      <c r="G7" s="25">
        <f>SUMIFS($G$15:$G$62,$B$15:$B$62,$A7)</f>
        <v/>
      </c>
      <c r="H7" s="23">
        <f>SUMIFS($H$15:$H$62,$B$15:$B$62,$A7)</f>
        <v/>
      </c>
      <c r="I7" s="23">
        <f>SUMIFS($I$15:$I$62,$B$15:$B$62,$A7)</f>
        <v/>
      </c>
      <c r="J7" s="23">
        <f>SUMIFS($J$15:$J$62,$B$15:$B$62,$A7)</f>
        <v/>
      </c>
      <c r="K7" s="26">
        <f>IFERROR(F7/G7,0)</f>
        <v/>
      </c>
      <c r="L7" s="27">
        <f>IFERROR(H7/G7,0)</f>
        <v/>
      </c>
      <c r="M7" s="28">
        <f>IFERROR(J7/F7,0)</f>
        <v/>
      </c>
      <c r="N7" s="29">
        <f>IFERROR(J7/E7,0)</f>
        <v/>
      </c>
      <c r="O7" s="29">
        <f>IFERROR(I7/J7,0)</f>
        <v/>
      </c>
      <c r="AJ7" s="24">
        <f>SUMIFS($AJ$15:$AJ$62,$B$15:$B$62,$A7)</f>
        <v/>
      </c>
      <c r="AK7" s="25">
        <f>SUMIFS($AK$15:$AK$62,$B$15:$B$62,$A7)</f>
        <v/>
      </c>
      <c r="AL7" s="23">
        <f>SUMIFS($AL$15:$AL$62,$B$15:$B$62,$A7)</f>
        <v/>
      </c>
      <c r="AM7" s="23">
        <f>SUMIFS($AM$15:$AM$62,$B$15:$B$62,$A7)</f>
        <v/>
      </c>
      <c r="AN7" s="23">
        <f>SUMIFS($AN$15:$AN$62,$B$15:$B$62,$A7)</f>
        <v/>
      </c>
      <c r="AP7" s="24">
        <f>SUMIFS($AP$15:$AP$62,$B$15:$B$62,$A7)</f>
        <v/>
      </c>
      <c r="AQ7" s="25">
        <f>SUMIFS($AQ$15:$AQ$62,$B$15:$B$62,$A7)</f>
        <v/>
      </c>
      <c r="AR7" s="23">
        <f>SUMIFS($AR$15:$AR$62,$B$15:$B$62,$A7)</f>
        <v/>
      </c>
      <c r="AS7" s="23">
        <f>SUMIFS($AS$15:$AS$62,$B$15:$B$62,$A7)</f>
        <v/>
      </c>
      <c r="AT7" s="23">
        <f>SUMIFS($AT$15:$AT$62,$B$15:$B$62,$A7)</f>
        <v/>
      </c>
      <c r="AV7" s="24">
        <f>SUMIFS($AV$15:$AV$62,$B$15:$B$62,$A7)</f>
        <v/>
      </c>
      <c r="AW7" s="25">
        <f>SUMIFS($AW$15:$AW$62,$B$15:$B$62,$A7)</f>
        <v/>
      </c>
      <c r="AX7" s="23">
        <f>SUMIFS($AX$15:$AX$62,$B$15:$B$62,$A7)</f>
        <v/>
      </c>
      <c r="AY7" s="23">
        <f>SUMIFS($AY$15:$AY$62,$B$15:$B$62,$A7)</f>
        <v/>
      </c>
      <c r="AZ7" s="23">
        <f>SUMIFS($AZ$15:$AZ$62,$B$15:$B$62,$A7)</f>
        <v/>
      </c>
    </row>
    <row r="8">
      <c r="A8" s="21" t="n">
        <v>2027</v>
      </c>
      <c r="D8" s="22">
        <f>IF(DATE(A8,12,1)&lt;=LastActual,"Actual",IF(DATE(A8,1,1)&gt;LastActual,"Forecast","Blended"))</f>
        <v/>
      </c>
      <c r="E8" s="23">
        <f>SUMIFS($E$15:$E$62,$B$15:$B$62,$A8)</f>
        <v/>
      </c>
      <c r="F8" s="24">
        <f>SUMIFS($F$15:$F$62,$B$15:$B$62,$A8)</f>
        <v/>
      </c>
      <c r="G8" s="25">
        <f>SUMIFS($G$15:$G$62,$B$15:$B$62,$A8)</f>
        <v/>
      </c>
      <c r="H8" s="23">
        <f>SUMIFS($H$15:$H$62,$B$15:$B$62,$A8)</f>
        <v/>
      </c>
      <c r="I8" s="23">
        <f>SUMIFS($I$15:$I$62,$B$15:$B$62,$A8)</f>
        <v/>
      </c>
      <c r="J8" s="23">
        <f>SUMIFS($J$15:$J$62,$B$15:$B$62,$A8)</f>
        <v/>
      </c>
      <c r="K8" s="26">
        <f>IFERROR(F8/G8,0)</f>
        <v/>
      </c>
      <c r="L8" s="27">
        <f>IFERROR(H8/G8,0)</f>
        <v/>
      </c>
      <c r="M8" s="28">
        <f>IFERROR(J8/F8,0)</f>
        <v/>
      </c>
      <c r="N8" s="29">
        <f>IFERROR(J8/E8,0)</f>
        <v/>
      </c>
      <c r="O8" s="29">
        <f>IFERROR(I8/J8,0)</f>
        <v/>
      </c>
      <c r="AJ8" s="24">
        <f>SUMIFS($AJ$15:$AJ$62,$B$15:$B$62,$A8)</f>
        <v/>
      </c>
      <c r="AK8" s="25">
        <f>SUMIFS($AK$15:$AK$62,$B$15:$B$62,$A8)</f>
        <v/>
      </c>
      <c r="AL8" s="23">
        <f>SUMIFS($AL$15:$AL$62,$B$15:$B$62,$A8)</f>
        <v/>
      </c>
      <c r="AM8" s="23">
        <f>SUMIFS($AM$15:$AM$62,$B$15:$B$62,$A8)</f>
        <v/>
      </c>
      <c r="AN8" s="23">
        <f>SUMIFS($AN$15:$AN$62,$B$15:$B$62,$A8)</f>
        <v/>
      </c>
      <c r="AP8" s="24">
        <f>SUMIFS($AP$15:$AP$62,$B$15:$B$62,$A8)</f>
        <v/>
      </c>
      <c r="AQ8" s="25">
        <f>SUMIFS($AQ$15:$AQ$62,$B$15:$B$62,$A8)</f>
        <v/>
      </c>
      <c r="AR8" s="23">
        <f>SUMIFS($AR$15:$AR$62,$B$15:$B$62,$A8)</f>
        <v/>
      </c>
      <c r="AS8" s="23">
        <f>SUMIFS($AS$15:$AS$62,$B$15:$B$62,$A8)</f>
        <v/>
      </c>
      <c r="AT8" s="23">
        <f>SUMIFS($AT$15:$AT$62,$B$15:$B$62,$A8)</f>
        <v/>
      </c>
      <c r="AV8" s="24">
        <f>SUMIFS($AV$15:$AV$62,$B$15:$B$62,$A8)</f>
        <v/>
      </c>
      <c r="AW8" s="25">
        <f>SUMIFS($AW$15:$AW$62,$B$15:$B$62,$A8)</f>
        <v/>
      </c>
      <c r="AX8" s="23">
        <f>SUMIFS($AX$15:$AX$62,$B$15:$B$62,$A8)</f>
        <v/>
      </c>
      <c r="AY8" s="23">
        <f>SUMIFS($AY$15:$AY$62,$B$15:$B$62,$A8)</f>
        <v/>
      </c>
      <c r="AZ8" s="23">
        <f>SUMIFS($AZ$15:$AZ$62,$B$15:$B$62,$A8)</f>
        <v/>
      </c>
    </row>
    <row r="9">
      <c r="A9" s="21" t="n">
        <v>2028</v>
      </c>
      <c r="D9" s="22">
        <f>IF(DATE(A9,12,1)&lt;=LastActual,"Actual",IF(DATE(A9,1,1)&gt;LastActual,"Forecast","Blended"))</f>
        <v/>
      </c>
      <c r="E9" s="23">
        <f>SUMIFS($E$15:$E$62,$B$15:$B$62,$A9)</f>
        <v/>
      </c>
      <c r="F9" s="24">
        <f>SUMIFS($F$15:$F$62,$B$15:$B$62,$A9)</f>
        <v/>
      </c>
      <c r="G9" s="25">
        <f>SUMIFS($G$15:$G$62,$B$15:$B$62,$A9)</f>
        <v/>
      </c>
      <c r="H9" s="23">
        <f>SUMIFS($H$15:$H$62,$B$15:$B$62,$A9)</f>
        <v/>
      </c>
      <c r="I9" s="23">
        <f>SUMIFS($I$15:$I$62,$B$15:$B$62,$A9)</f>
        <v/>
      </c>
      <c r="J9" s="23">
        <f>SUMIFS($J$15:$J$62,$B$15:$B$62,$A9)</f>
        <v/>
      </c>
      <c r="K9" s="26">
        <f>IFERROR(F9/G9,0)</f>
        <v/>
      </c>
      <c r="L9" s="27">
        <f>IFERROR(H9/G9,0)</f>
        <v/>
      </c>
      <c r="M9" s="28">
        <f>IFERROR(J9/F9,0)</f>
        <v/>
      </c>
      <c r="N9" s="29">
        <f>IFERROR(J9/E9,0)</f>
        <v/>
      </c>
      <c r="O9" s="29">
        <f>IFERROR(I9/J9,0)</f>
        <v/>
      </c>
      <c r="AJ9" s="24">
        <f>SUMIFS($AJ$15:$AJ$62,$B$15:$B$62,$A9)</f>
        <v/>
      </c>
      <c r="AK9" s="25">
        <f>SUMIFS($AK$15:$AK$62,$B$15:$B$62,$A9)</f>
        <v/>
      </c>
      <c r="AL9" s="23">
        <f>SUMIFS($AL$15:$AL$62,$B$15:$B$62,$A9)</f>
        <v/>
      </c>
      <c r="AM9" s="23">
        <f>SUMIFS($AM$15:$AM$62,$B$15:$B$62,$A9)</f>
        <v/>
      </c>
      <c r="AN9" s="23">
        <f>SUMIFS($AN$15:$AN$62,$B$15:$B$62,$A9)</f>
        <v/>
      </c>
      <c r="AP9" s="24">
        <f>SUMIFS($AP$15:$AP$62,$B$15:$B$62,$A9)</f>
        <v/>
      </c>
      <c r="AQ9" s="25">
        <f>SUMIFS($AQ$15:$AQ$62,$B$15:$B$62,$A9)</f>
        <v/>
      </c>
      <c r="AR9" s="23">
        <f>SUMIFS($AR$15:$AR$62,$B$15:$B$62,$A9)</f>
        <v/>
      </c>
      <c r="AS9" s="23">
        <f>SUMIFS($AS$15:$AS$62,$B$15:$B$62,$A9)</f>
        <v/>
      </c>
      <c r="AT9" s="23">
        <f>SUMIFS($AT$15:$AT$62,$B$15:$B$62,$A9)</f>
        <v/>
      </c>
      <c r="AV9" s="24">
        <f>SUMIFS($AV$15:$AV$62,$B$15:$B$62,$A9)</f>
        <v/>
      </c>
      <c r="AW9" s="25">
        <f>SUMIFS($AW$15:$AW$62,$B$15:$B$62,$A9)</f>
        <v/>
      </c>
      <c r="AX9" s="23">
        <f>SUMIFS($AX$15:$AX$62,$B$15:$B$62,$A9)</f>
        <v/>
      </c>
      <c r="AY9" s="23">
        <f>SUMIFS($AY$15:$AY$62,$B$15:$B$62,$A9)</f>
        <v/>
      </c>
      <c r="AZ9" s="23">
        <f>SUMIFS($AZ$15:$AZ$62,$B$15:$B$62,$A9)</f>
        <v/>
      </c>
    </row>
    <row r="10">
      <c r="AJ10" s="1" t="inlineStr">
        <is>
          <t>Chamber split (same CPLH and cost per hour in every chamber; mix from Chamber Weights)</t>
        </is>
      </c>
    </row>
    <row r="11">
      <c r="AJ11" s="6" t="inlineStr">
        <is>
          <t>Case mix</t>
        </is>
      </c>
      <c r="AK11" s="31">
        <f>IFERROR(INDEX('Chamber Weights'!$B$24:$K$26,MATCH($AJ$12,'Chamber Weights'!$A$24:$A$26,0),MATCH($B$2,'Chamber Weights'!$B$23:$K$23,0)),0)</f>
        <v/>
      </c>
      <c r="AP11" s="6" t="inlineStr">
        <is>
          <t>Case mix</t>
        </is>
      </c>
      <c r="AQ11" s="31">
        <f>IFERROR(INDEX('Chamber Weights'!$B$24:$K$26,MATCH($AP$12,'Chamber Weights'!$A$24:$A$26,0),MATCH($B$2,'Chamber Weights'!$B$23:$K$23,0)),0)</f>
        <v/>
      </c>
      <c r="AV11" s="6" t="inlineStr">
        <is>
          <t>Case mix</t>
        </is>
      </c>
      <c r="AW11" s="31">
        <f>IFERROR(INDEX('Chamber Weights'!$B$24:$K$26,MATCH($AV$12,'Chamber Weights'!$A$24:$A$26,0),MATCH($B$2,'Chamber Weights'!$B$23:$K$23,0)),0)</f>
        <v/>
      </c>
    </row>
    <row r="12">
      <c r="E12" s="7" t="inlineStr">
        <is>
          <t>Drivers</t>
        </is>
      </c>
      <c r="K12" s="7" t="inlineStr">
        <is>
          <t>Metrics</t>
        </is>
      </c>
      <c r="R12" s="7" t="inlineStr">
        <is>
          <t>Helper calculations (actuals, plan, same-month-last-year rates)</t>
        </is>
      </c>
      <c r="AJ12" s="20" t="inlineStr">
        <is>
          <t>Ambient</t>
        </is>
      </c>
      <c r="AP12" s="20" t="inlineStr">
        <is>
          <t>Chiller</t>
        </is>
      </c>
      <c r="AV12" s="20" t="inlineStr">
        <is>
          <t>Freezer</t>
        </is>
      </c>
    </row>
    <row r="13" ht="60" customHeight="1">
      <c r="A13" s="7" t="inlineStr">
        <is>
          <t>Month</t>
        </is>
      </c>
      <c r="B13" s="7" t="inlineStr">
        <is>
          <t>Year</t>
        </is>
      </c>
      <c r="C13" s="7" t="inlineStr">
        <is>
          <t>Mth</t>
        </is>
      </c>
      <c r="D13" s="7" t="inlineStr">
        <is>
          <t>Status</t>
        </is>
      </c>
      <c r="E13" s="7" t="inlineStr">
        <is>
          <t>Sales</t>
        </is>
      </c>
      <c r="F13" s="7" t="inlineStr">
        <is>
          <t>Cases picked</t>
        </is>
      </c>
      <c r="G13" s="7" t="inlineStr">
        <is>
          <t>WH hours worked</t>
        </is>
      </c>
      <c r="H13" s="7" t="inlineStr">
        <is>
          <t>Staff payroll</t>
        </is>
      </c>
      <c r="I13" s="7" t="inlineStr">
        <is>
          <t>Leadership payroll</t>
        </is>
      </c>
      <c r="J13" s="7" t="inlineStr">
        <is>
          <t>Total payroll</t>
        </is>
      </c>
      <c r="K13" s="7" t="inlineStr">
        <is>
          <t>CPLH (cases / hr)</t>
        </is>
      </c>
      <c r="L13" s="7" t="inlineStr">
        <is>
          <t>Cost per hour (staff)</t>
        </is>
      </c>
      <c r="M13" s="7" t="inlineStr">
        <is>
          <t>Cost per case (total payroll)</t>
        </is>
      </c>
      <c r="N13" s="7" t="inlineStr">
        <is>
          <t>Total payroll % sales</t>
        </is>
      </c>
      <c r="O13" s="7" t="inlineStr">
        <is>
          <t>Leadership % of total payroll</t>
        </is>
      </c>
      <c r="R13" s="51" t="inlineStr">
        <is>
          <t>Act sales</t>
        </is>
      </c>
      <c r="S13" s="51" t="inlineStr">
        <is>
          <t>Act cases</t>
        </is>
      </c>
      <c r="T13" s="51" t="inlineStr">
        <is>
          <t>Act hours</t>
        </is>
      </c>
      <c r="U13" s="51" t="inlineStr">
        <is>
          <t>Act staff $</t>
        </is>
      </c>
      <c r="V13" s="51" t="inlineStr">
        <is>
          <t>Act leadership $</t>
        </is>
      </c>
      <c r="W13" s="51" t="inlineStr">
        <is>
          <t>Plan sales</t>
        </is>
      </c>
      <c r="X13" s="51" t="inlineStr">
        <is>
          <t>CPLH run rate (actual, else same month LY)</t>
        </is>
      </c>
      <c r="Y13" s="51" t="inlineStr">
        <is>
          <t>Volume driver sales</t>
        </is>
      </c>
      <c r="Z13" s="51" t="inlineStr">
        <is>
          <t>PH factor</t>
        </is>
      </c>
      <c r="AA13" s="51" t="inlineStr">
        <is>
          <t>Wage index</t>
        </is>
      </c>
      <c r="AB13" s="51" t="inlineStr">
        <is>
          <t>Cases per $ (actual, else same month LY)</t>
        </is>
      </c>
      <c r="AC13" s="51" t="inlineStr">
        <is>
          <t>Cost per hour ex PH &amp; wage (actual, else same month LY)</t>
        </is>
      </c>
      <c r="AD13" s="51" t="inlineStr">
        <is>
          <t>Leadership share of total payroll (actual, else last actual month)</t>
        </is>
      </c>
      <c r="AE13" s="51" t="inlineStr">
        <is>
          <t>Fcst cost per hour (AC x PH x wage)</t>
        </is>
      </c>
      <c r="AF13" s="51" t="inlineStr">
        <is>
          <t>LY CPLH (same month, as used)</t>
        </is>
      </c>
      <c r="AG13" s="51" t="inlineStr">
        <is>
          <t>Fcst CPLH vs LY</t>
        </is>
      </c>
      <c r="AH13" s="51" t="inlineStr">
        <is>
          <t>Plan CPLH (Plan_Inputs or CPLH_Breakdown)</t>
        </is>
      </c>
      <c r="AJ13" s="20" t="inlineStr">
        <is>
          <t>Cases picked</t>
        </is>
      </c>
      <c r="AK13" s="20" t="inlineStr">
        <is>
          <t>WH hours worked</t>
        </is>
      </c>
      <c r="AL13" s="20" t="inlineStr">
        <is>
          <t>Staff payroll</t>
        </is>
      </c>
      <c r="AM13" s="20" t="inlineStr">
        <is>
          <t>Leadership payroll</t>
        </is>
      </c>
      <c r="AN13" s="20" t="inlineStr">
        <is>
          <t>Total payroll</t>
        </is>
      </c>
      <c r="AP13" s="20" t="inlineStr">
        <is>
          <t>Cases picked</t>
        </is>
      </c>
      <c r="AQ13" s="20" t="inlineStr">
        <is>
          <t>WH hours worked</t>
        </is>
      </c>
      <c r="AR13" s="20" t="inlineStr">
        <is>
          <t>Staff payroll</t>
        </is>
      </c>
      <c r="AS13" s="20" t="inlineStr">
        <is>
          <t>Leadership payroll</t>
        </is>
      </c>
      <c r="AT13" s="20" t="inlineStr">
        <is>
          <t>Total payroll</t>
        </is>
      </c>
      <c r="AV13" s="20" t="inlineStr">
        <is>
          <t>Cases picked</t>
        </is>
      </c>
      <c r="AW13" s="20" t="inlineStr">
        <is>
          <t>WH hours worked</t>
        </is>
      </c>
      <c r="AX13" s="20" t="inlineStr">
        <is>
          <t>Staff payroll</t>
        </is>
      </c>
      <c r="AY13" s="20" t="inlineStr">
        <is>
          <t>Leadership payroll</t>
        </is>
      </c>
      <c r="AZ13" s="20" t="inlineStr">
        <is>
          <t>Total payroll</t>
        </is>
      </c>
    </row>
    <row r="14">
      <c r="E14" s="32" t="inlineStr">
        <is>
          <t>$m</t>
        </is>
      </c>
      <c r="F14" s="32" t="inlineStr">
        <is>
          <t>m</t>
        </is>
      </c>
      <c r="G14" s="32" t="inlineStr">
        <is>
          <t>#</t>
        </is>
      </c>
      <c r="H14" s="32" t="inlineStr">
        <is>
          <t>$m</t>
        </is>
      </c>
      <c r="I14" s="32" t="inlineStr">
        <is>
          <t>$m</t>
        </is>
      </c>
      <c r="J14" s="32" t="inlineStr">
        <is>
          <t>$m</t>
        </is>
      </c>
      <c r="K14" s="32" t="inlineStr">
        <is>
          <t>#</t>
        </is>
      </c>
      <c r="L14" s="32" t="inlineStr">
        <is>
          <t>$</t>
        </is>
      </c>
      <c r="M14" s="32" t="inlineStr">
        <is>
          <t>$</t>
        </is>
      </c>
      <c r="N14" s="32" t="inlineStr">
        <is>
          <t>%</t>
        </is>
      </c>
      <c r="O14" s="32" t="inlineStr">
        <is>
          <t>%</t>
        </is>
      </c>
      <c r="AJ14" s="32" t="inlineStr">
        <is>
          <t>m</t>
        </is>
      </c>
      <c r="AK14" s="32" t="inlineStr">
        <is>
          <t>#</t>
        </is>
      </c>
      <c r="AL14" s="32" t="inlineStr">
        <is>
          <t>$m</t>
        </is>
      </c>
      <c r="AM14" s="32" t="inlineStr">
        <is>
          <t>$m</t>
        </is>
      </c>
      <c r="AN14" s="32" t="inlineStr">
        <is>
          <t>$m</t>
        </is>
      </c>
      <c r="AP14" s="32" t="inlineStr">
        <is>
          <t>m</t>
        </is>
      </c>
      <c r="AQ14" s="32" t="inlineStr">
        <is>
          <t>#</t>
        </is>
      </c>
      <c r="AR14" s="32" t="inlineStr">
        <is>
          <t>$m</t>
        </is>
      </c>
      <c r="AS14" s="32" t="inlineStr">
        <is>
          <t>$m</t>
        </is>
      </c>
      <c r="AT14" s="32" t="inlineStr">
        <is>
          <t>$m</t>
        </is>
      </c>
      <c r="AV14" s="32" t="inlineStr">
        <is>
          <t>m</t>
        </is>
      </c>
      <c r="AW14" s="32" t="inlineStr">
        <is>
          <t>#</t>
        </is>
      </c>
      <c r="AX14" s="32" t="inlineStr">
        <is>
          <t>$m</t>
        </is>
      </c>
      <c r="AY14" s="32" t="inlineStr">
        <is>
          <t>$m</t>
        </is>
      </c>
      <c r="AZ14" s="32" t="inlineStr">
        <is>
          <t>$m</t>
        </is>
      </c>
    </row>
    <row r="15">
      <c r="A15" s="8" t="n">
        <v>45658</v>
      </c>
      <c r="B15" s="33">
        <f>YEAR(A15)</f>
        <v/>
      </c>
      <c r="C15" s="33">
        <f>MONTH(A15)</f>
        <v/>
      </c>
      <c r="D15">
        <f>IF(A15&lt;=LastActual,"Actual","Forecast")</f>
        <v/>
      </c>
      <c r="E15" s="30">
        <f>IF($D15="Actual",R15,W15)</f>
        <v/>
      </c>
      <c r="F15" s="15">
        <f>IF($D15="Actual",S15,Cases_Forecast!AO8)</f>
        <v/>
      </c>
      <c r="G15" s="9">
        <f>IF($D15="Actual",T15,IFERROR(F15/K15,0))</f>
        <v/>
      </c>
      <c r="H15" s="30">
        <f>IF($D15="Actual",U15,G15*L15)</f>
        <v/>
      </c>
      <c r="I15" s="30">
        <f>IF($D15="Actual",V15,J15-H15)</f>
        <v/>
      </c>
      <c r="J15" s="30">
        <f>IF($D15="Actual",U15+V15,IFERROR(H15/(1-AD15),0))</f>
        <v/>
      </c>
      <c r="K15" s="10">
        <f>IF($D15="Actual",IFERROR(S15/T15,0),CPLH_Forecast!AO8)</f>
        <v/>
      </c>
      <c r="L15" s="34">
        <f>IF($D15="Actual",IFERROR(U15/T15,0),N(AE15))</f>
        <v/>
      </c>
      <c r="M15" s="35">
        <f>IFERROR(J15/F15,0)</f>
        <v/>
      </c>
      <c r="N15" s="36">
        <f>IFERROR(J15/E15,0)</f>
        <v/>
      </c>
      <c r="O15" s="36">
        <f>IFERROR(I15/J15,0)</f>
        <v/>
      </c>
      <c r="R15" s="52">
        <f>IF($D15="Actual",SUMIFS(Data_Actuals!$C$2:$C$5000,Data_Actuals!$A$2:$A$5000,$A15,Data_Actuals!$B$2:$B$5000,$B$2),"")</f>
        <v/>
      </c>
      <c r="S15" s="52">
        <f>IF($D15="Actual",SUMIFS(Data_Actuals!$D$2:$D$5000,Data_Actuals!$A$2:$A$5000,$A15,Data_Actuals!$B$2:$B$5000,$B$2),"")</f>
        <v/>
      </c>
      <c r="T15" s="52">
        <f>IF($D15="Actual",SUMIFS(Data_Actuals!$E$2:$E$5000,Data_Actuals!$A$2:$A$5000,$A15,Data_Actuals!$B$2:$B$5000,$B$2),"")</f>
        <v/>
      </c>
      <c r="U15" s="52">
        <f>IF($D15="Actual",SUMIFS(Data_Actuals!$F$2:$F$5000,Data_Actuals!$A$2:$A$5000,$A15,Data_Actuals!$B$2:$B$5000,$B$2),"")</f>
        <v/>
      </c>
      <c r="V15" s="52">
        <f>IF($D15="Actual",SUMIFS(Data_Actuals!$G$2:$G$5000,Data_Actuals!$A$2:$A$5000,$A15,Data_Actuals!$B$2:$B$5000,$B$2),"")</f>
        <v/>
      </c>
      <c r="W15" s="52">
        <f>SUMIFS(Plan_Inputs!$C$2:$C$5000,Plan_Inputs!$A$2:$A$5000,$A15,Plan_Inputs!$B$2:$B$5000,$B$2)</f>
        <v/>
      </c>
      <c r="X15" s="53">
        <f>IF($D15="Actual",IFERROR(S15/T15,""),"")</f>
        <v/>
      </c>
      <c r="Y15" s="52">
        <f>E15</f>
        <v/>
      </c>
      <c r="Z15" s="54">
        <f>INDEX(Calendar!$H$5:$L$52,MATCH($A15,Calendar!$A$5:$A$52,0),MATCH($D$2,Calendar!$H$4:$L$4,0))</f>
        <v/>
      </c>
      <c r="AA15" s="54">
        <f>INDEX(Calendar!$M$5:$M$52,MATCH($A15,Calendar!$A$5:$A$52,0))</f>
        <v/>
      </c>
      <c r="AB15" s="55">
        <f>IF($D15="Actual",IFERROR(S15/Y15,""),"")</f>
        <v/>
      </c>
      <c r="AC15" s="56">
        <f>IF($D15="Actual",IFERROR(U15/T15/Z15/AA15,""),"")</f>
        <v/>
      </c>
      <c r="AD15" s="57">
        <f>IF($D15="Actual",IFERROR(V15/(U15+V15),""),$K$2)</f>
        <v/>
      </c>
      <c r="AE15" s="56">
        <f>IFERROR(AC15*Z15*AA15,"")</f>
        <v/>
      </c>
      <c r="AF15" s="53" t="n"/>
      <c r="AG15" s="57">
        <f>IF($D15="Forecast",IFERROR(K15/AF15-1,""),"")</f>
        <v/>
      </c>
      <c r="AH15" s="53">
        <f>IF(CPLHSource="National breakdown",CPLH_Breakdown!AP20,SUMIFS(Plan_Inputs!$D$2:$D$5000,Plan_Inputs!$A$2:$A$5000,$A15,Plan_Inputs!$B$2:$B$5000,$B$2))</f>
        <v/>
      </c>
      <c r="AJ15" s="15">
        <f>F15*$AK$11</f>
        <v/>
      </c>
      <c r="AK15" s="9">
        <f>G15*$AK$11</f>
        <v/>
      </c>
      <c r="AL15" s="30">
        <f>H15*$AK$11</f>
        <v/>
      </c>
      <c r="AM15" s="30">
        <f>I15*$AK$11</f>
        <v/>
      </c>
      <c r="AN15" s="30">
        <f>J15*$AK$11</f>
        <v/>
      </c>
      <c r="AP15" s="15">
        <f>F15*$AQ$11</f>
        <v/>
      </c>
      <c r="AQ15" s="9">
        <f>G15*$AQ$11</f>
        <v/>
      </c>
      <c r="AR15" s="30">
        <f>H15*$AQ$11</f>
        <v/>
      </c>
      <c r="AS15" s="30">
        <f>I15*$AQ$11</f>
        <v/>
      </c>
      <c r="AT15" s="30">
        <f>J15*$AQ$11</f>
        <v/>
      </c>
      <c r="AV15" s="15">
        <f>F15*$AW$11</f>
        <v/>
      </c>
      <c r="AW15" s="9">
        <f>G15*$AW$11</f>
        <v/>
      </c>
      <c r="AX15" s="30">
        <f>H15*$AW$11</f>
        <v/>
      </c>
      <c r="AY15" s="30">
        <f>I15*$AW$11</f>
        <v/>
      </c>
      <c r="AZ15" s="30">
        <f>J15*$AW$11</f>
        <v/>
      </c>
    </row>
    <row r="16">
      <c r="A16" s="8" t="n">
        <v>45689</v>
      </c>
      <c r="B16" s="33">
        <f>YEAR(A16)</f>
        <v/>
      </c>
      <c r="C16" s="33">
        <f>MONTH(A16)</f>
        <v/>
      </c>
      <c r="D16">
        <f>IF(A16&lt;=LastActual,"Actual","Forecast")</f>
        <v/>
      </c>
      <c r="E16" s="30">
        <f>IF($D16="Actual",R16,W16)</f>
        <v/>
      </c>
      <c r="F16" s="15">
        <f>IF($D16="Actual",S16,Cases_Forecast!AO9)</f>
        <v/>
      </c>
      <c r="G16" s="9">
        <f>IF($D16="Actual",T16,IFERROR(F16/K16,0))</f>
        <v/>
      </c>
      <c r="H16" s="30">
        <f>IF($D16="Actual",U16,G16*L16)</f>
        <v/>
      </c>
      <c r="I16" s="30">
        <f>IF($D16="Actual",V16,J16-H16)</f>
        <v/>
      </c>
      <c r="J16" s="30">
        <f>IF($D16="Actual",U16+V16,IFERROR(H16/(1-AD16),0))</f>
        <v/>
      </c>
      <c r="K16" s="10">
        <f>IF($D16="Actual",IFERROR(S16/T16,0),CPLH_Forecast!AO9)</f>
        <v/>
      </c>
      <c r="L16" s="34">
        <f>IF($D16="Actual",IFERROR(U16/T16,0),N(AE16))</f>
        <v/>
      </c>
      <c r="M16" s="35">
        <f>IFERROR(J16/F16,0)</f>
        <v/>
      </c>
      <c r="N16" s="36">
        <f>IFERROR(J16/E16,0)</f>
        <v/>
      </c>
      <c r="O16" s="36">
        <f>IFERROR(I16/J16,0)</f>
        <v/>
      </c>
      <c r="R16" s="52">
        <f>IF($D16="Actual",SUMIFS(Data_Actuals!$C$2:$C$5000,Data_Actuals!$A$2:$A$5000,$A16,Data_Actuals!$B$2:$B$5000,$B$2),"")</f>
        <v/>
      </c>
      <c r="S16" s="52">
        <f>IF($D16="Actual",SUMIFS(Data_Actuals!$D$2:$D$5000,Data_Actuals!$A$2:$A$5000,$A16,Data_Actuals!$B$2:$B$5000,$B$2),"")</f>
        <v/>
      </c>
      <c r="T16" s="52">
        <f>IF($D16="Actual",SUMIFS(Data_Actuals!$E$2:$E$5000,Data_Actuals!$A$2:$A$5000,$A16,Data_Actuals!$B$2:$B$5000,$B$2),"")</f>
        <v/>
      </c>
      <c r="U16" s="52">
        <f>IF($D16="Actual",SUMIFS(Data_Actuals!$F$2:$F$5000,Data_Actuals!$A$2:$A$5000,$A16,Data_Actuals!$B$2:$B$5000,$B$2),"")</f>
        <v/>
      </c>
      <c r="V16" s="52">
        <f>IF($D16="Actual",SUMIFS(Data_Actuals!$G$2:$G$5000,Data_Actuals!$A$2:$A$5000,$A16,Data_Actuals!$B$2:$B$5000,$B$2),"")</f>
        <v/>
      </c>
      <c r="W16" s="52">
        <f>SUMIFS(Plan_Inputs!$C$2:$C$5000,Plan_Inputs!$A$2:$A$5000,$A16,Plan_Inputs!$B$2:$B$5000,$B$2)</f>
        <v/>
      </c>
      <c r="X16" s="53">
        <f>IF($D16="Actual",IFERROR(S16/T16,""),"")</f>
        <v/>
      </c>
      <c r="Y16" s="52">
        <f>E16</f>
        <v/>
      </c>
      <c r="Z16" s="54">
        <f>INDEX(Calendar!$H$5:$L$52,MATCH($A16,Calendar!$A$5:$A$52,0),MATCH($D$2,Calendar!$H$4:$L$4,0))</f>
        <v/>
      </c>
      <c r="AA16" s="54">
        <f>INDEX(Calendar!$M$5:$M$52,MATCH($A16,Calendar!$A$5:$A$52,0))</f>
        <v/>
      </c>
      <c r="AB16" s="55">
        <f>IF($D16="Actual",IFERROR(S16/Y16,""),"")</f>
        <v/>
      </c>
      <c r="AC16" s="56">
        <f>IF($D16="Actual",IFERROR(U16/T16/Z16/AA16,""),"")</f>
        <v/>
      </c>
      <c r="AD16" s="57">
        <f>IF($D16="Actual",IFERROR(V16/(U16+V16),""),$K$2)</f>
        <v/>
      </c>
      <c r="AE16" s="56">
        <f>IFERROR(AC16*Z16*AA16,"")</f>
        <v/>
      </c>
      <c r="AF16" s="53" t="n"/>
      <c r="AG16" s="57">
        <f>IF($D16="Forecast",IFERROR(K16/AF16-1,""),"")</f>
        <v/>
      </c>
      <c r="AH16" s="53">
        <f>IF(CPLHSource="National breakdown",CPLH_Breakdown!AP21,SUMIFS(Plan_Inputs!$D$2:$D$5000,Plan_Inputs!$A$2:$A$5000,$A16,Plan_Inputs!$B$2:$B$5000,$B$2))</f>
        <v/>
      </c>
      <c r="AJ16" s="15">
        <f>F16*$AK$11</f>
        <v/>
      </c>
      <c r="AK16" s="9">
        <f>G16*$AK$11</f>
        <v/>
      </c>
      <c r="AL16" s="30">
        <f>H16*$AK$11</f>
        <v/>
      </c>
      <c r="AM16" s="30">
        <f>I16*$AK$11</f>
        <v/>
      </c>
      <c r="AN16" s="30">
        <f>J16*$AK$11</f>
        <v/>
      </c>
      <c r="AP16" s="15">
        <f>F16*$AQ$11</f>
        <v/>
      </c>
      <c r="AQ16" s="9">
        <f>G16*$AQ$11</f>
        <v/>
      </c>
      <c r="AR16" s="30">
        <f>H16*$AQ$11</f>
        <v/>
      </c>
      <c r="AS16" s="30">
        <f>I16*$AQ$11</f>
        <v/>
      </c>
      <c r="AT16" s="30">
        <f>J16*$AQ$11</f>
        <v/>
      </c>
      <c r="AV16" s="15">
        <f>F16*$AW$11</f>
        <v/>
      </c>
      <c r="AW16" s="9">
        <f>G16*$AW$11</f>
        <v/>
      </c>
      <c r="AX16" s="30">
        <f>H16*$AW$11</f>
        <v/>
      </c>
      <c r="AY16" s="30">
        <f>I16*$AW$11</f>
        <v/>
      </c>
      <c r="AZ16" s="30">
        <f>J16*$AW$11</f>
        <v/>
      </c>
    </row>
    <row r="17">
      <c r="A17" s="8" t="n">
        <v>45717</v>
      </c>
      <c r="B17" s="33">
        <f>YEAR(A17)</f>
        <v/>
      </c>
      <c r="C17" s="33">
        <f>MONTH(A17)</f>
        <v/>
      </c>
      <c r="D17">
        <f>IF(A17&lt;=LastActual,"Actual","Forecast")</f>
        <v/>
      </c>
      <c r="E17" s="30">
        <f>IF($D17="Actual",R17,W17)</f>
        <v/>
      </c>
      <c r="F17" s="15">
        <f>IF($D17="Actual",S17,Cases_Forecast!AO10)</f>
        <v/>
      </c>
      <c r="G17" s="9">
        <f>IF($D17="Actual",T17,IFERROR(F17/K17,0))</f>
        <v/>
      </c>
      <c r="H17" s="30">
        <f>IF($D17="Actual",U17,G17*L17)</f>
        <v/>
      </c>
      <c r="I17" s="30">
        <f>IF($D17="Actual",V17,J17-H17)</f>
        <v/>
      </c>
      <c r="J17" s="30">
        <f>IF($D17="Actual",U17+V17,IFERROR(H17/(1-AD17),0))</f>
        <v/>
      </c>
      <c r="K17" s="10">
        <f>IF($D17="Actual",IFERROR(S17/T17,0),CPLH_Forecast!AO10)</f>
        <v/>
      </c>
      <c r="L17" s="34">
        <f>IF($D17="Actual",IFERROR(U17/T17,0),N(AE17))</f>
        <v/>
      </c>
      <c r="M17" s="35">
        <f>IFERROR(J17/F17,0)</f>
        <v/>
      </c>
      <c r="N17" s="36">
        <f>IFERROR(J17/E17,0)</f>
        <v/>
      </c>
      <c r="O17" s="36">
        <f>IFERROR(I17/J17,0)</f>
        <v/>
      </c>
      <c r="R17" s="52">
        <f>IF($D17="Actual",SUMIFS(Data_Actuals!$C$2:$C$5000,Data_Actuals!$A$2:$A$5000,$A17,Data_Actuals!$B$2:$B$5000,$B$2),"")</f>
        <v/>
      </c>
      <c r="S17" s="52">
        <f>IF($D17="Actual",SUMIFS(Data_Actuals!$D$2:$D$5000,Data_Actuals!$A$2:$A$5000,$A17,Data_Actuals!$B$2:$B$5000,$B$2),"")</f>
        <v/>
      </c>
      <c r="T17" s="52">
        <f>IF($D17="Actual",SUMIFS(Data_Actuals!$E$2:$E$5000,Data_Actuals!$A$2:$A$5000,$A17,Data_Actuals!$B$2:$B$5000,$B$2),"")</f>
        <v/>
      </c>
      <c r="U17" s="52">
        <f>IF($D17="Actual",SUMIFS(Data_Actuals!$F$2:$F$5000,Data_Actuals!$A$2:$A$5000,$A17,Data_Actuals!$B$2:$B$5000,$B$2),"")</f>
        <v/>
      </c>
      <c r="V17" s="52">
        <f>IF($D17="Actual",SUMIFS(Data_Actuals!$G$2:$G$5000,Data_Actuals!$A$2:$A$5000,$A17,Data_Actuals!$B$2:$B$5000,$B$2),"")</f>
        <v/>
      </c>
      <c r="W17" s="52">
        <f>SUMIFS(Plan_Inputs!$C$2:$C$5000,Plan_Inputs!$A$2:$A$5000,$A17,Plan_Inputs!$B$2:$B$5000,$B$2)</f>
        <v/>
      </c>
      <c r="X17" s="53">
        <f>IF($D17="Actual",IFERROR(S17/T17,""),"")</f>
        <v/>
      </c>
      <c r="Y17" s="52">
        <f>E17</f>
        <v/>
      </c>
      <c r="Z17" s="54">
        <f>INDEX(Calendar!$H$5:$L$52,MATCH($A17,Calendar!$A$5:$A$52,0),MATCH($D$2,Calendar!$H$4:$L$4,0))</f>
        <v/>
      </c>
      <c r="AA17" s="54">
        <f>INDEX(Calendar!$M$5:$M$52,MATCH($A17,Calendar!$A$5:$A$52,0))</f>
        <v/>
      </c>
      <c r="AB17" s="55">
        <f>IF($D17="Actual",IFERROR(S17/Y17,""),"")</f>
        <v/>
      </c>
      <c r="AC17" s="56">
        <f>IF($D17="Actual",IFERROR(U17/T17/Z17/AA17,""),"")</f>
        <v/>
      </c>
      <c r="AD17" s="57">
        <f>IF($D17="Actual",IFERROR(V17/(U17+V17),""),$K$2)</f>
        <v/>
      </c>
      <c r="AE17" s="56">
        <f>IFERROR(AC17*Z17*AA17,"")</f>
        <v/>
      </c>
      <c r="AF17" s="53" t="n"/>
      <c r="AG17" s="57">
        <f>IF($D17="Forecast",IFERROR(K17/AF17-1,""),"")</f>
        <v/>
      </c>
      <c r="AH17" s="53">
        <f>IF(CPLHSource="National breakdown",CPLH_Breakdown!AP22,SUMIFS(Plan_Inputs!$D$2:$D$5000,Plan_Inputs!$A$2:$A$5000,$A17,Plan_Inputs!$B$2:$B$5000,$B$2))</f>
        <v/>
      </c>
      <c r="AJ17" s="15">
        <f>F17*$AK$11</f>
        <v/>
      </c>
      <c r="AK17" s="9">
        <f>G17*$AK$11</f>
        <v/>
      </c>
      <c r="AL17" s="30">
        <f>H17*$AK$11</f>
        <v/>
      </c>
      <c r="AM17" s="30">
        <f>I17*$AK$11</f>
        <v/>
      </c>
      <c r="AN17" s="30">
        <f>J17*$AK$11</f>
        <v/>
      </c>
      <c r="AP17" s="15">
        <f>F17*$AQ$11</f>
        <v/>
      </c>
      <c r="AQ17" s="9">
        <f>G17*$AQ$11</f>
        <v/>
      </c>
      <c r="AR17" s="30">
        <f>H17*$AQ$11</f>
        <v/>
      </c>
      <c r="AS17" s="30">
        <f>I17*$AQ$11</f>
        <v/>
      </c>
      <c r="AT17" s="30">
        <f>J17*$AQ$11</f>
        <v/>
      </c>
      <c r="AV17" s="15">
        <f>F17*$AW$11</f>
        <v/>
      </c>
      <c r="AW17" s="9">
        <f>G17*$AW$11</f>
        <v/>
      </c>
      <c r="AX17" s="30">
        <f>H17*$AW$11</f>
        <v/>
      </c>
      <c r="AY17" s="30">
        <f>I17*$AW$11</f>
        <v/>
      </c>
      <c r="AZ17" s="30">
        <f>J17*$AW$11</f>
        <v/>
      </c>
    </row>
    <row r="18">
      <c r="A18" s="8" t="n">
        <v>45748</v>
      </c>
      <c r="B18" s="33">
        <f>YEAR(A18)</f>
        <v/>
      </c>
      <c r="C18" s="33">
        <f>MONTH(A18)</f>
        <v/>
      </c>
      <c r="D18">
        <f>IF(A18&lt;=LastActual,"Actual","Forecast")</f>
        <v/>
      </c>
      <c r="E18" s="30">
        <f>IF($D18="Actual",R18,W18)</f>
        <v/>
      </c>
      <c r="F18" s="15">
        <f>IF($D18="Actual",S18,Cases_Forecast!AO11)</f>
        <v/>
      </c>
      <c r="G18" s="9">
        <f>IF($D18="Actual",T18,IFERROR(F18/K18,0))</f>
        <v/>
      </c>
      <c r="H18" s="30">
        <f>IF($D18="Actual",U18,G18*L18)</f>
        <v/>
      </c>
      <c r="I18" s="30">
        <f>IF($D18="Actual",V18,J18-H18)</f>
        <v/>
      </c>
      <c r="J18" s="30">
        <f>IF($D18="Actual",U18+V18,IFERROR(H18/(1-AD18),0))</f>
        <v/>
      </c>
      <c r="K18" s="10">
        <f>IF($D18="Actual",IFERROR(S18/T18,0),CPLH_Forecast!AO11)</f>
        <v/>
      </c>
      <c r="L18" s="34">
        <f>IF($D18="Actual",IFERROR(U18/T18,0),N(AE18))</f>
        <v/>
      </c>
      <c r="M18" s="35">
        <f>IFERROR(J18/F18,0)</f>
        <v/>
      </c>
      <c r="N18" s="36">
        <f>IFERROR(J18/E18,0)</f>
        <v/>
      </c>
      <c r="O18" s="36">
        <f>IFERROR(I18/J18,0)</f>
        <v/>
      </c>
      <c r="R18" s="52">
        <f>IF($D18="Actual",SUMIFS(Data_Actuals!$C$2:$C$5000,Data_Actuals!$A$2:$A$5000,$A18,Data_Actuals!$B$2:$B$5000,$B$2),"")</f>
        <v/>
      </c>
      <c r="S18" s="52">
        <f>IF($D18="Actual",SUMIFS(Data_Actuals!$D$2:$D$5000,Data_Actuals!$A$2:$A$5000,$A18,Data_Actuals!$B$2:$B$5000,$B$2),"")</f>
        <v/>
      </c>
      <c r="T18" s="52">
        <f>IF($D18="Actual",SUMIFS(Data_Actuals!$E$2:$E$5000,Data_Actuals!$A$2:$A$5000,$A18,Data_Actuals!$B$2:$B$5000,$B$2),"")</f>
        <v/>
      </c>
      <c r="U18" s="52">
        <f>IF($D18="Actual",SUMIFS(Data_Actuals!$F$2:$F$5000,Data_Actuals!$A$2:$A$5000,$A18,Data_Actuals!$B$2:$B$5000,$B$2),"")</f>
        <v/>
      </c>
      <c r="V18" s="52">
        <f>IF($D18="Actual",SUMIFS(Data_Actuals!$G$2:$G$5000,Data_Actuals!$A$2:$A$5000,$A18,Data_Actuals!$B$2:$B$5000,$B$2),"")</f>
        <v/>
      </c>
      <c r="W18" s="52">
        <f>SUMIFS(Plan_Inputs!$C$2:$C$5000,Plan_Inputs!$A$2:$A$5000,$A18,Plan_Inputs!$B$2:$B$5000,$B$2)</f>
        <v/>
      </c>
      <c r="X18" s="53">
        <f>IF($D18="Actual",IFERROR(S18/T18,""),"")</f>
        <v/>
      </c>
      <c r="Y18" s="52">
        <f>E18</f>
        <v/>
      </c>
      <c r="Z18" s="54">
        <f>INDEX(Calendar!$H$5:$L$52,MATCH($A18,Calendar!$A$5:$A$52,0),MATCH($D$2,Calendar!$H$4:$L$4,0))</f>
        <v/>
      </c>
      <c r="AA18" s="54">
        <f>INDEX(Calendar!$M$5:$M$52,MATCH($A18,Calendar!$A$5:$A$52,0))</f>
        <v/>
      </c>
      <c r="AB18" s="55">
        <f>IF($D18="Actual",IFERROR(S18/Y18,""),"")</f>
        <v/>
      </c>
      <c r="AC18" s="56">
        <f>IF($D18="Actual",IFERROR(U18/T18/Z18/AA18,""),"")</f>
        <v/>
      </c>
      <c r="AD18" s="57">
        <f>IF($D18="Actual",IFERROR(V18/(U18+V18),""),$K$2)</f>
        <v/>
      </c>
      <c r="AE18" s="56">
        <f>IFERROR(AC18*Z18*AA18,"")</f>
        <v/>
      </c>
      <c r="AF18" s="53" t="n"/>
      <c r="AG18" s="57">
        <f>IF($D18="Forecast",IFERROR(K18/AF18-1,""),"")</f>
        <v/>
      </c>
      <c r="AH18" s="53">
        <f>IF(CPLHSource="National breakdown",CPLH_Breakdown!AP23,SUMIFS(Plan_Inputs!$D$2:$D$5000,Plan_Inputs!$A$2:$A$5000,$A18,Plan_Inputs!$B$2:$B$5000,$B$2))</f>
        <v/>
      </c>
      <c r="AJ18" s="15">
        <f>F18*$AK$11</f>
        <v/>
      </c>
      <c r="AK18" s="9">
        <f>G18*$AK$11</f>
        <v/>
      </c>
      <c r="AL18" s="30">
        <f>H18*$AK$11</f>
        <v/>
      </c>
      <c r="AM18" s="30">
        <f>I18*$AK$11</f>
        <v/>
      </c>
      <c r="AN18" s="30">
        <f>J18*$AK$11</f>
        <v/>
      </c>
      <c r="AP18" s="15">
        <f>F18*$AQ$11</f>
        <v/>
      </c>
      <c r="AQ18" s="9">
        <f>G18*$AQ$11</f>
        <v/>
      </c>
      <c r="AR18" s="30">
        <f>H18*$AQ$11</f>
        <v/>
      </c>
      <c r="AS18" s="30">
        <f>I18*$AQ$11</f>
        <v/>
      </c>
      <c r="AT18" s="30">
        <f>J18*$AQ$11</f>
        <v/>
      </c>
      <c r="AV18" s="15">
        <f>F18*$AW$11</f>
        <v/>
      </c>
      <c r="AW18" s="9">
        <f>G18*$AW$11</f>
        <v/>
      </c>
      <c r="AX18" s="30">
        <f>H18*$AW$11</f>
        <v/>
      </c>
      <c r="AY18" s="30">
        <f>I18*$AW$11</f>
        <v/>
      </c>
      <c r="AZ18" s="30">
        <f>J18*$AW$11</f>
        <v/>
      </c>
    </row>
    <row r="19">
      <c r="A19" s="8" t="n">
        <v>45778</v>
      </c>
      <c r="B19" s="33">
        <f>YEAR(A19)</f>
        <v/>
      </c>
      <c r="C19" s="33">
        <f>MONTH(A19)</f>
        <v/>
      </c>
      <c r="D19">
        <f>IF(A19&lt;=LastActual,"Actual","Forecast")</f>
        <v/>
      </c>
      <c r="E19" s="30">
        <f>IF($D19="Actual",R19,W19)</f>
        <v/>
      </c>
      <c r="F19" s="15">
        <f>IF($D19="Actual",S19,Cases_Forecast!AO12)</f>
        <v/>
      </c>
      <c r="G19" s="9">
        <f>IF($D19="Actual",T19,IFERROR(F19/K19,0))</f>
        <v/>
      </c>
      <c r="H19" s="30">
        <f>IF($D19="Actual",U19,G19*L19)</f>
        <v/>
      </c>
      <c r="I19" s="30">
        <f>IF($D19="Actual",V19,J19-H19)</f>
        <v/>
      </c>
      <c r="J19" s="30">
        <f>IF($D19="Actual",U19+V19,IFERROR(H19/(1-AD19),0))</f>
        <v/>
      </c>
      <c r="K19" s="10">
        <f>IF($D19="Actual",IFERROR(S19/T19,0),CPLH_Forecast!AO12)</f>
        <v/>
      </c>
      <c r="L19" s="34">
        <f>IF($D19="Actual",IFERROR(U19/T19,0),N(AE19))</f>
        <v/>
      </c>
      <c r="M19" s="35">
        <f>IFERROR(J19/F19,0)</f>
        <v/>
      </c>
      <c r="N19" s="36">
        <f>IFERROR(J19/E19,0)</f>
        <v/>
      </c>
      <c r="O19" s="36">
        <f>IFERROR(I19/J19,0)</f>
        <v/>
      </c>
      <c r="R19" s="52">
        <f>IF($D19="Actual",SUMIFS(Data_Actuals!$C$2:$C$5000,Data_Actuals!$A$2:$A$5000,$A19,Data_Actuals!$B$2:$B$5000,$B$2),"")</f>
        <v/>
      </c>
      <c r="S19" s="52">
        <f>IF($D19="Actual",SUMIFS(Data_Actuals!$D$2:$D$5000,Data_Actuals!$A$2:$A$5000,$A19,Data_Actuals!$B$2:$B$5000,$B$2),"")</f>
        <v/>
      </c>
      <c r="T19" s="52">
        <f>IF($D19="Actual",SUMIFS(Data_Actuals!$E$2:$E$5000,Data_Actuals!$A$2:$A$5000,$A19,Data_Actuals!$B$2:$B$5000,$B$2),"")</f>
        <v/>
      </c>
      <c r="U19" s="52">
        <f>IF($D19="Actual",SUMIFS(Data_Actuals!$F$2:$F$5000,Data_Actuals!$A$2:$A$5000,$A19,Data_Actuals!$B$2:$B$5000,$B$2),"")</f>
        <v/>
      </c>
      <c r="V19" s="52">
        <f>IF($D19="Actual",SUMIFS(Data_Actuals!$G$2:$G$5000,Data_Actuals!$A$2:$A$5000,$A19,Data_Actuals!$B$2:$B$5000,$B$2),"")</f>
        <v/>
      </c>
      <c r="W19" s="52">
        <f>SUMIFS(Plan_Inputs!$C$2:$C$5000,Plan_Inputs!$A$2:$A$5000,$A19,Plan_Inputs!$B$2:$B$5000,$B$2)</f>
        <v/>
      </c>
      <c r="X19" s="53">
        <f>IF($D19="Actual",IFERROR(S19/T19,""),"")</f>
        <v/>
      </c>
      <c r="Y19" s="52">
        <f>E19</f>
        <v/>
      </c>
      <c r="Z19" s="54">
        <f>INDEX(Calendar!$H$5:$L$52,MATCH($A19,Calendar!$A$5:$A$52,0),MATCH($D$2,Calendar!$H$4:$L$4,0))</f>
        <v/>
      </c>
      <c r="AA19" s="54">
        <f>INDEX(Calendar!$M$5:$M$52,MATCH($A19,Calendar!$A$5:$A$52,0))</f>
        <v/>
      </c>
      <c r="AB19" s="55">
        <f>IF($D19="Actual",IFERROR(S19/Y19,""),"")</f>
        <v/>
      </c>
      <c r="AC19" s="56">
        <f>IF($D19="Actual",IFERROR(U19/T19/Z19/AA19,""),"")</f>
        <v/>
      </c>
      <c r="AD19" s="57">
        <f>IF($D19="Actual",IFERROR(V19/(U19+V19),""),$K$2)</f>
        <v/>
      </c>
      <c r="AE19" s="56">
        <f>IFERROR(AC19*Z19*AA19,"")</f>
        <v/>
      </c>
      <c r="AF19" s="53" t="n"/>
      <c r="AG19" s="57">
        <f>IF($D19="Forecast",IFERROR(K19/AF19-1,""),"")</f>
        <v/>
      </c>
      <c r="AH19" s="53">
        <f>IF(CPLHSource="National breakdown",CPLH_Breakdown!AP24,SUMIFS(Plan_Inputs!$D$2:$D$5000,Plan_Inputs!$A$2:$A$5000,$A19,Plan_Inputs!$B$2:$B$5000,$B$2))</f>
        <v/>
      </c>
      <c r="AJ19" s="15">
        <f>F19*$AK$11</f>
        <v/>
      </c>
      <c r="AK19" s="9">
        <f>G19*$AK$11</f>
        <v/>
      </c>
      <c r="AL19" s="30">
        <f>H19*$AK$11</f>
        <v/>
      </c>
      <c r="AM19" s="30">
        <f>I19*$AK$11</f>
        <v/>
      </c>
      <c r="AN19" s="30">
        <f>J19*$AK$11</f>
        <v/>
      </c>
      <c r="AP19" s="15">
        <f>F19*$AQ$11</f>
        <v/>
      </c>
      <c r="AQ19" s="9">
        <f>G19*$AQ$11</f>
        <v/>
      </c>
      <c r="AR19" s="30">
        <f>H19*$AQ$11</f>
        <v/>
      </c>
      <c r="AS19" s="30">
        <f>I19*$AQ$11</f>
        <v/>
      </c>
      <c r="AT19" s="30">
        <f>J19*$AQ$11</f>
        <v/>
      </c>
      <c r="AV19" s="15">
        <f>F19*$AW$11</f>
        <v/>
      </c>
      <c r="AW19" s="9">
        <f>G19*$AW$11</f>
        <v/>
      </c>
      <c r="AX19" s="30">
        <f>H19*$AW$11</f>
        <v/>
      </c>
      <c r="AY19" s="30">
        <f>I19*$AW$11</f>
        <v/>
      </c>
      <c r="AZ19" s="30">
        <f>J19*$AW$11</f>
        <v/>
      </c>
    </row>
    <row r="20">
      <c r="A20" s="8" t="n">
        <v>45809</v>
      </c>
      <c r="B20" s="33">
        <f>YEAR(A20)</f>
        <v/>
      </c>
      <c r="C20" s="33">
        <f>MONTH(A20)</f>
        <v/>
      </c>
      <c r="D20">
        <f>IF(A20&lt;=LastActual,"Actual","Forecast")</f>
        <v/>
      </c>
      <c r="E20" s="30">
        <f>IF($D20="Actual",R20,W20)</f>
        <v/>
      </c>
      <c r="F20" s="15">
        <f>IF($D20="Actual",S20,Cases_Forecast!AO13)</f>
        <v/>
      </c>
      <c r="G20" s="9">
        <f>IF($D20="Actual",T20,IFERROR(F20/K20,0))</f>
        <v/>
      </c>
      <c r="H20" s="30">
        <f>IF($D20="Actual",U20,G20*L20)</f>
        <v/>
      </c>
      <c r="I20" s="30">
        <f>IF($D20="Actual",V20,J20-H20)</f>
        <v/>
      </c>
      <c r="J20" s="30">
        <f>IF($D20="Actual",U20+V20,IFERROR(H20/(1-AD20),0))</f>
        <v/>
      </c>
      <c r="K20" s="10">
        <f>IF($D20="Actual",IFERROR(S20/T20,0),CPLH_Forecast!AO13)</f>
        <v/>
      </c>
      <c r="L20" s="34">
        <f>IF($D20="Actual",IFERROR(U20/T20,0),N(AE20))</f>
        <v/>
      </c>
      <c r="M20" s="35">
        <f>IFERROR(J20/F20,0)</f>
        <v/>
      </c>
      <c r="N20" s="36">
        <f>IFERROR(J20/E20,0)</f>
        <v/>
      </c>
      <c r="O20" s="36">
        <f>IFERROR(I20/J20,0)</f>
        <v/>
      </c>
      <c r="R20" s="52">
        <f>IF($D20="Actual",SUMIFS(Data_Actuals!$C$2:$C$5000,Data_Actuals!$A$2:$A$5000,$A20,Data_Actuals!$B$2:$B$5000,$B$2),"")</f>
        <v/>
      </c>
      <c r="S20" s="52">
        <f>IF($D20="Actual",SUMIFS(Data_Actuals!$D$2:$D$5000,Data_Actuals!$A$2:$A$5000,$A20,Data_Actuals!$B$2:$B$5000,$B$2),"")</f>
        <v/>
      </c>
      <c r="T20" s="52">
        <f>IF($D20="Actual",SUMIFS(Data_Actuals!$E$2:$E$5000,Data_Actuals!$A$2:$A$5000,$A20,Data_Actuals!$B$2:$B$5000,$B$2),"")</f>
        <v/>
      </c>
      <c r="U20" s="52">
        <f>IF($D20="Actual",SUMIFS(Data_Actuals!$F$2:$F$5000,Data_Actuals!$A$2:$A$5000,$A20,Data_Actuals!$B$2:$B$5000,$B$2),"")</f>
        <v/>
      </c>
      <c r="V20" s="52">
        <f>IF($D20="Actual",SUMIFS(Data_Actuals!$G$2:$G$5000,Data_Actuals!$A$2:$A$5000,$A20,Data_Actuals!$B$2:$B$5000,$B$2),"")</f>
        <v/>
      </c>
      <c r="W20" s="52">
        <f>SUMIFS(Plan_Inputs!$C$2:$C$5000,Plan_Inputs!$A$2:$A$5000,$A20,Plan_Inputs!$B$2:$B$5000,$B$2)</f>
        <v/>
      </c>
      <c r="X20" s="53">
        <f>IF($D20="Actual",IFERROR(S20/T20,""),"")</f>
        <v/>
      </c>
      <c r="Y20" s="52">
        <f>E20</f>
        <v/>
      </c>
      <c r="Z20" s="54">
        <f>INDEX(Calendar!$H$5:$L$52,MATCH($A20,Calendar!$A$5:$A$52,0),MATCH($D$2,Calendar!$H$4:$L$4,0))</f>
        <v/>
      </c>
      <c r="AA20" s="54">
        <f>INDEX(Calendar!$M$5:$M$52,MATCH($A20,Calendar!$A$5:$A$52,0))</f>
        <v/>
      </c>
      <c r="AB20" s="55">
        <f>IF($D20="Actual",IFERROR(S20/Y20,""),"")</f>
        <v/>
      </c>
      <c r="AC20" s="56">
        <f>IF($D20="Actual",IFERROR(U20/T20/Z20/AA20,""),"")</f>
        <v/>
      </c>
      <c r="AD20" s="57">
        <f>IF($D20="Actual",IFERROR(V20/(U20+V20),""),$K$2)</f>
        <v/>
      </c>
      <c r="AE20" s="56">
        <f>IFERROR(AC20*Z20*AA20,"")</f>
        <v/>
      </c>
      <c r="AF20" s="53" t="n"/>
      <c r="AG20" s="57">
        <f>IF($D20="Forecast",IFERROR(K20/AF20-1,""),"")</f>
        <v/>
      </c>
      <c r="AH20" s="53">
        <f>IF(CPLHSource="National breakdown",CPLH_Breakdown!AP25,SUMIFS(Plan_Inputs!$D$2:$D$5000,Plan_Inputs!$A$2:$A$5000,$A20,Plan_Inputs!$B$2:$B$5000,$B$2))</f>
        <v/>
      </c>
      <c r="AJ20" s="15">
        <f>F20*$AK$11</f>
        <v/>
      </c>
      <c r="AK20" s="9">
        <f>G20*$AK$11</f>
        <v/>
      </c>
      <c r="AL20" s="30">
        <f>H20*$AK$11</f>
        <v/>
      </c>
      <c r="AM20" s="30">
        <f>I20*$AK$11</f>
        <v/>
      </c>
      <c r="AN20" s="30">
        <f>J20*$AK$11</f>
        <v/>
      </c>
      <c r="AP20" s="15">
        <f>F20*$AQ$11</f>
        <v/>
      </c>
      <c r="AQ20" s="9">
        <f>G20*$AQ$11</f>
        <v/>
      </c>
      <c r="AR20" s="30">
        <f>H20*$AQ$11</f>
        <v/>
      </c>
      <c r="AS20" s="30">
        <f>I20*$AQ$11</f>
        <v/>
      </c>
      <c r="AT20" s="30">
        <f>J20*$AQ$11</f>
        <v/>
      </c>
      <c r="AV20" s="15">
        <f>F20*$AW$11</f>
        <v/>
      </c>
      <c r="AW20" s="9">
        <f>G20*$AW$11</f>
        <v/>
      </c>
      <c r="AX20" s="30">
        <f>H20*$AW$11</f>
        <v/>
      </c>
      <c r="AY20" s="30">
        <f>I20*$AW$11</f>
        <v/>
      </c>
      <c r="AZ20" s="30">
        <f>J20*$AW$11</f>
        <v/>
      </c>
    </row>
    <row r="21">
      <c r="A21" s="8" t="n">
        <v>45839</v>
      </c>
      <c r="B21" s="33">
        <f>YEAR(A21)</f>
        <v/>
      </c>
      <c r="C21" s="33">
        <f>MONTH(A21)</f>
        <v/>
      </c>
      <c r="D21">
        <f>IF(A21&lt;=LastActual,"Actual","Forecast")</f>
        <v/>
      </c>
      <c r="E21" s="30">
        <f>IF($D21="Actual",R21,W21)</f>
        <v/>
      </c>
      <c r="F21" s="15">
        <f>IF($D21="Actual",S21,Cases_Forecast!AO14)</f>
        <v/>
      </c>
      <c r="G21" s="9">
        <f>IF($D21="Actual",T21,IFERROR(F21/K21,0))</f>
        <v/>
      </c>
      <c r="H21" s="30">
        <f>IF($D21="Actual",U21,G21*L21)</f>
        <v/>
      </c>
      <c r="I21" s="30">
        <f>IF($D21="Actual",V21,J21-H21)</f>
        <v/>
      </c>
      <c r="J21" s="30">
        <f>IF($D21="Actual",U21+V21,IFERROR(H21/(1-AD21),0))</f>
        <v/>
      </c>
      <c r="K21" s="10">
        <f>IF($D21="Actual",IFERROR(S21/T21,0),CPLH_Forecast!AO14)</f>
        <v/>
      </c>
      <c r="L21" s="34">
        <f>IF($D21="Actual",IFERROR(U21/T21,0),N(AE21))</f>
        <v/>
      </c>
      <c r="M21" s="35">
        <f>IFERROR(J21/F21,0)</f>
        <v/>
      </c>
      <c r="N21" s="36">
        <f>IFERROR(J21/E21,0)</f>
        <v/>
      </c>
      <c r="O21" s="36">
        <f>IFERROR(I21/J21,0)</f>
        <v/>
      </c>
      <c r="R21" s="52">
        <f>IF($D21="Actual",SUMIFS(Data_Actuals!$C$2:$C$5000,Data_Actuals!$A$2:$A$5000,$A21,Data_Actuals!$B$2:$B$5000,$B$2),"")</f>
        <v/>
      </c>
      <c r="S21" s="52">
        <f>IF($D21="Actual",SUMIFS(Data_Actuals!$D$2:$D$5000,Data_Actuals!$A$2:$A$5000,$A21,Data_Actuals!$B$2:$B$5000,$B$2),"")</f>
        <v/>
      </c>
      <c r="T21" s="52">
        <f>IF($D21="Actual",SUMIFS(Data_Actuals!$E$2:$E$5000,Data_Actuals!$A$2:$A$5000,$A21,Data_Actuals!$B$2:$B$5000,$B$2),"")</f>
        <v/>
      </c>
      <c r="U21" s="52">
        <f>IF($D21="Actual",SUMIFS(Data_Actuals!$F$2:$F$5000,Data_Actuals!$A$2:$A$5000,$A21,Data_Actuals!$B$2:$B$5000,$B$2),"")</f>
        <v/>
      </c>
      <c r="V21" s="52">
        <f>IF($D21="Actual",SUMIFS(Data_Actuals!$G$2:$G$5000,Data_Actuals!$A$2:$A$5000,$A21,Data_Actuals!$B$2:$B$5000,$B$2),"")</f>
        <v/>
      </c>
      <c r="W21" s="52">
        <f>SUMIFS(Plan_Inputs!$C$2:$C$5000,Plan_Inputs!$A$2:$A$5000,$A21,Plan_Inputs!$B$2:$B$5000,$B$2)</f>
        <v/>
      </c>
      <c r="X21" s="53">
        <f>IF($D21="Actual",IFERROR(S21/T21,""),"")</f>
        <v/>
      </c>
      <c r="Y21" s="52">
        <f>E21</f>
        <v/>
      </c>
      <c r="Z21" s="54">
        <f>INDEX(Calendar!$H$5:$L$52,MATCH($A21,Calendar!$A$5:$A$52,0),MATCH($D$2,Calendar!$H$4:$L$4,0))</f>
        <v/>
      </c>
      <c r="AA21" s="54">
        <f>INDEX(Calendar!$M$5:$M$52,MATCH($A21,Calendar!$A$5:$A$52,0))</f>
        <v/>
      </c>
      <c r="AB21" s="55">
        <f>IF($D21="Actual",IFERROR(S21/Y21,""),"")</f>
        <v/>
      </c>
      <c r="AC21" s="56">
        <f>IF($D21="Actual",IFERROR(U21/T21/Z21/AA21,""),"")</f>
        <v/>
      </c>
      <c r="AD21" s="57">
        <f>IF($D21="Actual",IFERROR(V21/(U21+V21),""),$K$2)</f>
        <v/>
      </c>
      <c r="AE21" s="56">
        <f>IFERROR(AC21*Z21*AA21,"")</f>
        <v/>
      </c>
      <c r="AF21" s="53" t="n"/>
      <c r="AG21" s="57">
        <f>IF($D21="Forecast",IFERROR(K21/AF21-1,""),"")</f>
        <v/>
      </c>
      <c r="AH21" s="53">
        <f>IF(CPLHSource="National breakdown",CPLH_Breakdown!AP26,SUMIFS(Plan_Inputs!$D$2:$D$5000,Plan_Inputs!$A$2:$A$5000,$A21,Plan_Inputs!$B$2:$B$5000,$B$2))</f>
        <v/>
      </c>
      <c r="AJ21" s="15">
        <f>F21*$AK$11</f>
        <v/>
      </c>
      <c r="AK21" s="9">
        <f>G21*$AK$11</f>
        <v/>
      </c>
      <c r="AL21" s="30">
        <f>H21*$AK$11</f>
        <v/>
      </c>
      <c r="AM21" s="30">
        <f>I21*$AK$11</f>
        <v/>
      </c>
      <c r="AN21" s="30">
        <f>J21*$AK$11</f>
        <v/>
      </c>
      <c r="AP21" s="15">
        <f>F21*$AQ$11</f>
        <v/>
      </c>
      <c r="AQ21" s="9">
        <f>G21*$AQ$11</f>
        <v/>
      </c>
      <c r="AR21" s="30">
        <f>H21*$AQ$11</f>
        <v/>
      </c>
      <c r="AS21" s="30">
        <f>I21*$AQ$11</f>
        <v/>
      </c>
      <c r="AT21" s="30">
        <f>J21*$AQ$11</f>
        <v/>
      </c>
      <c r="AV21" s="15">
        <f>F21*$AW$11</f>
        <v/>
      </c>
      <c r="AW21" s="9">
        <f>G21*$AW$11</f>
        <v/>
      </c>
      <c r="AX21" s="30">
        <f>H21*$AW$11</f>
        <v/>
      </c>
      <c r="AY21" s="30">
        <f>I21*$AW$11</f>
        <v/>
      </c>
      <c r="AZ21" s="30">
        <f>J21*$AW$11</f>
        <v/>
      </c>
    </row>
    <row r="22">
      <c r="A22" s="8" t="n">
        <v>45870</v>
      </c>
      <c r="B22" s="33">
        <f>YEAR(A22)</f>
        <v/>
      </c>
      <c r="C22" s="33">
        <f>MONTH(A22)</f>
        <v/>
      </c>
      <c r="D22">
        <f>IF(A22&lt;=LastActual,"Actual","Forecast")</f>
        <v/>
      </c>
      <c r="E22" s="30">
        <f>IF($D22="Actual",R22,W22)</f>
        <v/>
      </c>
      <c r="F22" s="15">
        <f>IF($D22="Actual",S22,Cases_Forecast!AO15)</f>
        <v/>
      </c>
      <c r="G22" s="9">
        <f>IF($D22="Actual",T22,IFERROR(F22/K22,0))</f>
        <v/>
      </c>
      <c r="H22" s="30">
        <f>IF($D22="Actual",U22,G22*L22)</f>
        <v/>
      </c>
      <c r="I22" s="30">
        <f>IF($D22="Actual",V22,J22-H22)</f>
        <v/>
      </c>
      <c r="J22" s="30">
        <f>IF($D22="Actual",U22+V22,IFERROR(H22/(1-AD22),0))</f>
        <v/>
      </c>
      <c r="K22" s="10">
        <f>IF($D22="Actual",IFERROR(S22/T22,0),CPLH_Forecast!AO15)</f>
        <v/>
      </c>
      <c r="L22" s="34">
        <f>IF($D22="Actual",IFERROR(U22/T22,0),N(AE22))</f>
        <v/>
      </c>
      <c r="M22" s="35">
        <f>IFERROR(J22/F22,0)</f>
        <v/>
      </c>
      <c r="N22" s="36">
        <f>IFERROR(J22/E22,0)</f>
        <v/>
      </c>
      <c r="O22" s="36">
        <f>IFERROR(I22/J22,0)</f>
        <v/>
      </c>
      <c r="R22" s="52">
        <f>IF($D22="Actual",SUMIFS(Data_Actuals!$C$2:$C$5000,Data_Actuals!$A$2:$A$5000,$A22,Data_Actuals!$B$2:$B$5000,$B$2),"")</f>
        <v/>
      </c>
      <c r="S22" s="52">
        <f>IF($D22="Actual",SUMIFS(Data_Actuals!$D$2:$D$5000,Data_Actuals!$A$2:$A$5000,$A22,Data_Actuals!$B$2:$B$5000,$B$2),"")</f>
        <v/>
      </c>
      <c r="T22" s="52">
        <f>IF($D22="Actual",SUMIFS(Data_Actuals!$E$2:$E$5000,Data_Actuals!$A$2:$A$5000,$A22,Data_Actuals!$B$2:$B$5000,$B$2),"")</f>
        <v/>
      </c>
      <c r="U22" s="52">
        <f>IF($D22="Actual",SUMIFS(Data_Actuals!$F$2:$F$5000,Data_Actuals!$A$2:$A$5000,$A22,Data_Actuals!$B$2:$B$5000,$B$2),"")</f>
        <v/>
      </c>
      <c r="V22" s="52">
        <f>IF($D22="Actual",SUMIFS(Data_Actuals!$G$2:$G$5000,Data_Actuals!$A$2:$A$5000,$A22,Data_Actuals!$B$2:$B$5000,$B$2),"")</f>
        <v/>
      </c>
      <c r="W22" s="52">
        <f>SUMIFS(Plan_Inputs!$C$2:$C$5000,Plan_Inputs!$A$2:$A$5000,$A22,Plan_Inputs!$B$2:$B$5000,$B$2)</f>
        <v/>
      </c>
      <c r="X22" s="53">
        <f>IF($D22="Actual",IFERROR(S22/T22,""),"")</f>
        <v/>
      </c>
      <c r="Y22" s="52">
        <f>E22</f>
        <v/>
      </c>
      <c r="Z22" s="54">
        <f>INDEX(Calendar!$H$5:$L$52,MATCH($A22,Calendar!$A$5:$A$52,0),MATCH($D$2,Calendar!$H$4:$L$4,0))</f>
        <v/>
      </c>
      <c r="AA22" s="54">
        <f>INDEX(Calendar!$M$5:$M$52,MATCH($A22,Calendar!$A$5:$A$52,0))</f>
        <v/>
      </c>
      <c r="AB22" s="55">
        <f>IF($D22="Actual",IFERROR(S22/Y22,""),"")</f>
        <v/>
      </c>
      <c r="AC22" s="56">
        <f>IF($D22="Actual",IFERROR(U22/T22/Z22/AA22,""),"")</f>
        <v/>
      </c>
      <c r="AD22" s="57">
        <f>IF($D22="Actual",IFERROR(V22/(U22+V22),""),$K$2)</f>
        <v/>
      </c>
      <c r="AE22" s="56">
        <f>IFERROR(AC22*Z22*AA22,"")</f>
        <v/>
      </c>
      <c r="AF22" s="53" t="n"/>
      <c r="AG22" s="57">
        <f>IF($D22="Forecast",IFERROR(K22/AF22-1,""),"")</f>
        <v/>
      </c>
      <c r="AH22" s="53">
        <f>IF(CPLHSource="National breakdown",CPLH_Breakdown!AP27,SUMIFS(Plan_Inputs!$D$2:$D$5000,Plan_Inputs!$A$2:$A$5000,$A22,Plan_Inputs!$B$2:$B$5000,$B$2))</f>
        <v/>
      </c>
      <c r="AJ22" s="15">
        <f>F22*$AK$11</f>
        <v/>
      </c>
      <c r="AK22" s="9">
        <f>G22*$AK$11</f>
        <v/>
      </c>
      <c r="AL22" s="30">
        <f>H22*$AK$11</f>
        <v/>
      </c>
      <c r="AM22" s="30">
        <f>I22*$AK$11</f>
        <v/>
      </c>
      <c r="AN22" s="30">
        <f>J22*$AK$11</f>
        <v/>
      </c>
      <c r="AP22" s="15">
        <f>F22*$AQ$11</f>
        <v/>
      </c>
      <c r="AQ22" s="9">
        <f>G22*$AQ$11</f>
        <v/>
      </c>
      <c r="AR22" s="30">
        <f>H22*$AQ$11</f>
        <v/>
      </c>
      <c r="AS22" s="30">
        <f>I22*$AQ$11</f>
        <v/>
      </c>
      <c r="AT22" s="30">
        <f>J22*$AQ$11</f>
        <v/>
      </c>
      <c r="AV22" s="15">
        <f>F22*$AW$11</f>
        <v/>
      </c>
      <c r="AW22" s="9">
        <f>G22*$AW$11</f>
        <v/>
      </c>
      <c r="AX22" s="30">
        <f>H22*$AW$11</f>
        <v/>
      </c>
      <c r="AY22" s="30">
        <f>I22*$AW$11</f>
        <v/>
      </c>
      <c r="AZ22" s="30">
        <f>J22*$AW$11</f>
        <v/>
      </c>
    </row>
    <row r="23">
      <c r="A23" s="8" t="n">
        <v>45901</v>
      </c>
      <c r="B23" s="33">
        <f>YEAR(A23)</f>
        <v/>
      </c>
      <c r="C23" s="33">
        <f>MONTH(A23)</f>
        <v/>
      </c>
      <c r="D23">
        <f>IF(A23&lt;=LastActual,"Actual","Forecast")</f>
        <v/>
      </c>
      <c r="E23" s="30">
        <f>IF($D23="Actual",R23,W23)</f>
        <v/>
      </c>
      <c r="F23" s="15">
        <f>IF($D23="Actual",S23,Cases_Forecast!AO16)</f>
        <v/>
      </c>
      <c r="G23" s="9">
        <f>IF($D23="Actual",T23,IFERROR(F23/K23,0))</f>
        <v/>
      </c>
      <c r="H23" s="30">
        <f>IF($D23="Actual",U23,G23*L23)</f>
        <v/>
      </c>
      <c r="I23" s="30">
        <f>IF($D23="Actual",V23,J23-H23)</f>
        <v/>
      </c>
      <c r="J23" s="30">
        <f>IF($D23="Actual",U23+V23,IFERROR(H23/(1-AD23),0))</f>
        <v/>
      </c>
      <c r="K23" s="10">
        <f>IF($D23="Actual",IFERROR(S23/T23,0),CPLH_Forecast!AO16)</f>
        <v/>
      </c>
      <c r="L23" s="34">
        <f>IF($D23="Actual",IFERROR(U23/T23,0),N(AE23))</f>
        <v/>
      </c>
      <c r="M23" s="35">
        <f>IFERROR(J23/F23,0)</f>
        <v/>
      </c>
      <c r="N23" s="36">
        <f>IFERROR(J23/E23,0)</f>
        <v/>
      </c>
      <c r="O23" s="36">
        <f>IFERROR(I23/J23,0)</f>
        <v/>
      </c>
      <c r="R23" s="52">
        <f>IF($D23="Actual",SUMIFS(Data_Actuals!$C$2:$C$5000,Data_Actuals!$A$2:$A$5000,$A23,Data_Actuals!$B$2:$B$5000,$B$2),"")</f>
        <v/>
      </c>
      <c r="S23" s="52">
        <f>IF($D23="Actual",SUMIFS(Data_Actuals!$D$2:$D$5000,Data_Actuals!$A$2:$A$5000,$A23,Data_Actuals!$B$2:$B$5000,$B$2),"")</f>
        <v/>
      </c>
      <c r="T23" s="52">
        <f>IF($D23="Actual",SUMIFS(Data_Actuals!$E$2:$E$5000,Data_Actuals!$A$2:$A$5000,$A23,Data_Actuals!$B$2:$B$5000,$B$2),"")</f>
        <v/>
      </c>
      <c r="U23" s="52">
        <f>IF($D23="Actual",SUMIFS(Data_Actuals!$F$2:$F$5000,Data_Actuals!$A$2:$A$5000,$A23,Data_Actuals!$B$2:$B$5000,$B$2),"")</f>
        <v/>
      </c>
      <c r="V23" s="52">
        <f>IF($D23="Actual",SUMIFS(Data_Actuals!$G$2:$G$5000,Data_Actuals!$A$2:$A$5000,$A23,Data_Actuals!$B$2:$B$5000,$B$2),"")</f>
        <v/>
      </c>
      <c r="W23" s="52">
        <f>SUMIFS(Plan_Inputs!$C$2:$C$5000,Plan_Inputs!$A$2:$A$5000,$A23,Plan_Inputs!$B$2:$B$5000,$B$2)</f>
        <v/>
      </c>
      <c r="X23" s="53">
        <f>IF($D23="Actual",IFERROR(S23/T23,""),"")</f>
        <v/>
      </c>
      <c r="Y23" s="52">
        <f>E23</f>
        <v/>
      </c>
      <c r="Z23" s="54">
        <f>INDEX(Calendar!$H$5:$L$52,MATCH($A23,Calendar!$A$5:$A$52,0),MATCH($D$2,Calendar!$H$4:$L$4,0))</f>
        <v/>
      </c>
      <c r="AA23" s="54">
        <f>INDEX(Calendar!$M$5:$M$52,MATCH($A23,Calendar!$A$5:$A$52,0))</f>
        <v/>
      </c>
      <c r="AB23" s="55">
        <f>IF($D23="Actual",IFERROR(S23/Y23,""),"")</f>
        <v/>
      </c>
      <c r="AC23" s="56">
        <f>IF($D23="Actual",IFERROR(U23/T23/Z23/AA23,""),"")</f>
        <v/>
      </c>
      <c r="AD23" s="57">
        <f>IF($D23="Actual",IFERROR(V23/(U23+V23),""),$K$2)</f>
        <v/>
      </c>
      <c r="AE23" s="56">
        <f>IFERROR(AC23*Z23*AA23,"")</f>
        <v/>
      </c>
      <c r="AF23" s="53" t="n"/>
      <c r="AG23" s="57">
        <f>IF($D23="Forecast",IFERROR(K23/AF23-1,""),"")</f>
        <v/>
      </c>
      <c r="AH23" s="53">
        <f>IF(CPLHSource="National breakdown",CPLH_Breakdown!AP28,SUMIFS(Plan_Inputs!$D$2:$D$5000,Plan_Inputs!$A$2:$A$5000,$A23,Plan_Inputs!$B$2:$B$5000,$B$2))</f>
        <v/>
      </c>
      <c r="AJ23" s="15">
        <f>F23*$AK$11</f>
        <v/>
      </c>
      <c r="AK23" s="9">
        <f>G23*$AK$11</f>
        <v/>
      </c>
      <c r="AL23" s="30">
        <f>H23*$AK$11</f>
        <v/>
      </c>
      <c r="AM23" s="30">
        <f>I23*$AK$11</f>
        <v/>
      </c>
      <c r="AN23" s="30">
        <f>J23*$AK$11</f>
        <v/>
      </c>
      <c r="AP23" s="15">
        <f>F23*$AQ$11</f>
        <v/>
      </c>
      <c r="AQ23" s="9">
        <f>G23*$AQ$11</f>
        <v/>
      </c>
      <c r="AR23" s="30">
        <f>H23*$AQ$11</f>
        <v/>
      </c>
      <c r="AS23" s="30">
        <f>I23*$AQ$11</f>
        <v/>
      </c>
      <c r="AT23" s="30">
        <f>J23*$AQ$11</f>
        <v/>
      </c>
      <c r="AV23" s="15">
        <f>F23*$AW$11</f>
        <v/>
      </c>
      <c r="AW23" s="9">
        <f>G23*$AW$11</f>
        <v/>
      </c>
      <c r="AX23" s="30">
        <f>H23*$AW$11</f>
        <v/>
      </c>
      <c r="AY23" s="30">
        <f>I23*$AW$11</f>
        <v/>
      </c>
      <c r="AZ23" s="30">
        <f>J23*$AW$11</f>
        <v/>
      </c>
    </row>
    <row r="24">
      <c r="A24" s="8" t="n">
        <v>45931</v>
      </c>
      <c r="B24" s="33">
        <f>YEAR(A24)</f>
        <v/>
      </c>
      <c r="C24" s="33">
        <f>MONTH(A24)</f>
        <v/>
      </c>
      <c r="D24">
        <f>IF(A24&lt;=LastActual,"Actual","Forecast")</f>
        <v/>
      </c>
      <c r="E24" s="30">
        <f>IF($D24="Actual",R24,W24)</f>
        <v/>
      </c>
      <c r="F24" s="15">
        <f>IF($D24="Actual",S24,Cases_Forecast!AO17)</f>
        <v/>
      </c>
      <c r="G24" s="9">
        <f>IF($D24="Actual",T24,IFERROR(F24/K24,0))</f>
        <v/>
      </c>
      <c r="H24" s="30">
        <f>IF($D24="Actual",U24,G24*L24)</f>
        <v/>
      </c>
      <c r="I24" s="30">
        <f>IF($D24="Actual",V24,J24-H24)</f>
        <v/>
      </c>
      <c r="J24" s="30">
        <f>IF($D24="Actual",U24+V24,IFERROR(H24/(1-AD24),0))</f>
        <v/>
      </c>
      <c r="K24" s="10">
        <f>IF($D24="Actual",IFERROR(S24/T24,0),CPLH_Forecast!AO17)</f>
        <v/>
      </c>
      <c r="L24" s="34">
        <f>IF($D24="Actual",IFERROR(U24/T24,0),N(AE24))</f>
        <v/>
      </c>
      <c r="M24" s="35">
        <f>IFERROR(J24/F24,0)</f>
        <v/>
      </c>
      <c r="N24" s="36">
        <f>IFERROR(J24/E24,0)</f>
        <v/>
      </c>
      <c r="O24" s="36">
        <f>IFERROR(I24/J24,0)</f>
        <v/>
      </c>
      <c r="R24" s="52">
        <f>IF($D24="Actual",SUMIFS(Data_Actuals!$C$2:$C$5000,Data_Actuals!$A$2:$A$5000,$A24,Data_Actuals!$B$2:$B$5000,$B$2),"")</f>
        <v/>
      </c>
      <c r="S24" s="52">
        <f>IF($D24="Actual",SUMIFS(Data_Actuals!$D$2:$D$5000,Data_Actuals!$A$2:$A$5000,$A24,Data_Actuals!$B$2:$B$5000,$B$2),"")</f>
        <v/>
      </c>
      <c r="T24" s="52">
        <f>IF($D24="Actual",SUMIFS(Data_Actuals!$E$2:$E$5000,Data_Actuals!$A$2:$A$5000,$A24,Data_Actuals!$B$2:$B$5000,$B$2),"")</f>
        <v/>
      </c>
      <c r="U24" s="52">
        <f>IF($D24="Actual",SUMIFS(Data_Actuals!$F$2:$F$5000,Data_Actuals!$A$2:$A$5000,$A24,Data_Actuals!$B$2:$B$5000,$B$2),"")</f>
        <v/>
      </c>
      <c r="V24" s="52">
        <f>IF($D24="Actual",SUMIFS(Data_Actuals!$G$2:$G$5000,Data_Actuals!$A$2:$A$5000,$A24,Data_Actuals!$B$2:$B$5000,$B$2),"")</f>
        <v/>
      </c>
      <c r="W24" s="52">
        <f>SUMIFS(Plan_Inputs!$C$2:$C$5000,Plan_Inputs!$A$2:$A$5000,$A24,Plan_Inputs!$B$2:$B$5000,$B$2)</f>
        <v/>
      </c>
      <c r="X24" s="53">
        <f>IF($D24="Actual",IFERROR(S24/T24,""),"")</f>
        <v/>
      </c>
      <c r="Y24" s="52">
        <f>E24</f>
        <v/>
      </c>
      <c r="Z24" s="54">
        <f>INDEX(Calendar!$H$5:$L$52,MATCH($A24,Calendar!$A$5:$A$52,0),MATCH($D$2,Calendar!$H$4:$L$4,0))</f>
        <v/>
      </c>
      <c r="AA24" s="54">
        <f>INDEX(Calendar!$M$5:$M$52,MATCH($A24,Calendar!$A$5:$A$52,0))</f>
        <v/>
      </c>
      <c r="AB24" s="55">
        <f>IF($D24="Actual",IFERROR(S24/Y24,""),"")</f>
        <v/>
      </c>
      <c r="AC24" s="56">
        <f>IF($D24="Actual",IFERROR(U24/T24/Z24/AA24,""),"")</f>
        <v/>
      </c>
      <c r="AD24" s="57">
        <f>IF($D24="Actual",IFERROR(V24/(U24+V24),""),$K$2)</f>
        <v/>
      </c>
      <c r="AE24" s="56">
        <f>IFERROR(AC24*Z24*AA24,"")</f>
        <v/>
      </c>
      <c r="AF24" s="53" t="n"/>
      <c r="AG24" s="57">
        <f>IF($D24="Forecast",IFERROR(K24/AF24-1,""),"")</f>
        <v/>
      </c>
      <c r="AH24" s="53">
        <f>IF(CPLHSource="National breakdown",CPLH_Breakdown!AP29,SUMIFS(Plan_Inputs!$D$2:$D$5000,Plan_Inputs!$A$2:$A$5000,$A24,Plan_Inputs!$B$2:$B$5000,$B$2))</f>
        <v/>
      </c>
      <c r="AJ24" s="15">
        <f>F24*$AK$11</f>
        <v/>
      </c>
      <c r="AK24" s="9">
        <f>G24*$AK$11</f>
        <v/>
      </c>
      <c r="AL24" s="30">
        <f>H24*$AK$11</f>
        <v/>
      </c>
      <c r="AM24" s="30">
        <f>I24*$AK$11</f>
        <v/>
      </c>
      <c r="AN24" s="30">
        <f>J24*$AK$11</f>
        <v/>
      </c>
      <c r="AP24" s="15">
        <f>F24*$AQ$11</f>
        <v/>
      </c>
      <c r="AQ24" s="9">
        <f>G24*$AQ$11</f>
        <v/>
      </c>
      <c r="AR24" s="30">
        <f>H24*$AQ$11</f>
        <v/>
      </c>
      <c r="AS24" s="30">
        <f>I24*$AQ$11</f>
        <v/>
      </c>
      <c r="AT24" s="30">
        <f>J24*$AQ$11</f>
        <v/>
      </c>
      <c r="AV24" s="15">
        <f>F24*$AW$11</f>
        <v/>
      </c>
      <c r="AW24" s="9">
        <f>G24*$AW$11</f>
        <v/>
      </c>
      <c r="AX24" s="30">
        <f>H24*$AW$11</f>
        <v/>
      </c>
      <c r="AY24" s="30">
        <f>I24*$AW$11</f>
        <v/>
      </c>
      <c r="AZ24" s="30">
        <f>J24*$AW$11</f>
        <v/>
      </c>
    </row>
    <row r="25">
      <c r="A25" s="8" t="n">
        <v>45962</v>
      </c>
      <c r="B25" s="33">
        <f>YEAR(A25)</f>
        <v/>
      </c>
      <c r="C25" s="33">
        <f>MONTH(A25)</f>
        <v/>
      </c>
      <c r="D25">
        <f>IF(A25&lt;=LastActual,"Actual","Forecast")</f>
        <v/>
      </c>
      <c r="E25" s="30">
        <f>IF($D25="Actual",R25,W25)</f>
        <v/>
      </c>
      <c r="F25" s="15">
        <f>IF($D25="Actual",S25,Cases_Forecast!AO18)</f>
        <v/>
      </c>
      <c r="G25" s="9">
        <f>IF($D25="Actual",T25,IFERROR(F25/K25,0))</f>
        <v/>
      </c>
      <c r="H25" s="30">
        <f>IF($D25="Actual",U25,G25*L25)</f>
        <v/>
      </c>
      <c r="I25" s="30">
        <f>IF($D25="Actual",V25,J25-H25)</f>
        <v/>
      </c>
      <c r="J25" s="30">
        <f>IF($D25="Actual",U25+V25,IFERROR(H25/(1-AD25),0))</f>
        <v/>
      </c>
      <c r="K25" s="10">
        <f>IF($D25="Actual",IFERROR(S25/T25,0),CPLH_Forecast!AO18)</f>
        <v/>
      </c>
      <c r="L25" s="34">
        <f>IF($D25="Actual",IFERROR(U25/T25,0),N(AE25))</f>
        <v/>
      </c>
      <c r="M25" s="35">
        <f>IFERROR(J25/F25,0)</f>
        <v/>
      </c>
      <c r="N25" s="36">
        <f>IFERROR(J25/E25,0)</f>
        <v/>
      </c>
      <c r="O25" s="36">
        <f>IFERROR(I25/J25,0)</f>
        <v/>
      </c>
      <c r="R25" s="52">
        <f>IF($D25="Actual",SUMIFS(Data_Actuals!$C$2:$C$5000,Data_Actuals!$A$2:$A$5000,$A25,Data_Actuals!$B$2:$B$5000,$B$2),"")</f>
        <v/>
      </c>
      <c r="S25" s="52">
        <f>IF($D25="Actual",SUMIFS(Data_Actuals!$D$2:$D$5000,Data_Actuals!$A$2:$A$5000,$A25,Data_Actuals!$B$2:$B$5000,$B$2),"")</f>
        <v/>
      </c>
      <c r="T25" s="52">
        <f>IF($D25="Actual",SUMIFS(Data_Actuals!$E$2:$E$5000,Data_Actuals!$A$2:$A$5000,$A25,Data_Actuals!$B$2:$B$5000,$B$2),"")</f>
        <v/>
      </c>
      <c r="U25" s="52">
        <f>IF($D25="Actual",SUMIFS(Data_Actuals!$F$2:$F$5000,Data_Actuals!$A$2:$A$5000,$A25,Data_Actuals!$B$2:$B$5000,$B$2),"")</f>
        <v/>
      </c>
      <c r="V25" s="52">
        <f>IF($D25="Actual",SUMIFS(Data_Actuals!$G$2:$G$5000,Data_Actuals!$A$2:$A$5000,$A25,Data_Actuals!$B$2:$B$5000,$B$2),"")</f>
        <v/>
      </c>
      <c r="W25" s="52">
        <f>SUMIFS(Plan_Inputs!$C$2:$C$5000,Plan_Inputs!$A$2:$A$5000,$A25,Plan_Inputs!$B$2:$B$5000,$B$2)</f>
        <v/>
      </c>
      <c r="X25" s="53">
        <f>IF($D25="Actual",IFERROR(S25/T25,""),"")</f>
        <v/>
      </c>
      <c r="Y25" s="52">
        <f>E25</f>
        <v/>
      </c>
      <c r="Z25" s="54">
        <f>INDEX(Calendar!$H$5:$L$52,MATCH($A25,Calendar!$A$5:$A$52,0),MATCH($D$2,Calendar!$H$4:$L$4,0))</f>
        <v/>
      </c>
      <c r="AA25" s="54">
        <f>INDEX(Calendar!$M$5:$M$52,MATCH($A25,Calendar!$A$5:$A$52,0))</f>
        <v/>
      </c>
      <c r="AB25" s="55">
        <f>IF($D25="Actual",IFERROR(S25/Y25,""),"")</f>
        <v/>
      </c>
      <c r="AC25" s="56">
        <f>IF($D25="Actual",IFERROR(U25/T25/Z25/AA25,""),"")</f>
        <v/>
      </c>
      <c r="AD25" s="57">
        <f>IF($D25="Actual",IFERROR(V25/(U25+V25),""),$K$2)</f>
        <v/>
      </c>
      <c r="AE25" s="56">
        <f>IFERROR(AC25*Z25*AA25,"")</f>
        <v/>
      </c>
      <c r="AF25" s="53" t="n"/>
      <c r="AG25" s="57">
        <f>IF($D25="Forecast",IFERROR(K25/AF25-1,""),"")</f>
        <v/>
      </c>
      <c r="AH25" s="53">
        <f>IF(CPLHSource="National breakdown",CPLH_Breakdown!AP30,SUMIFS(Plan_Inputs!$D$2:$D$5000,Plan_Inputs!$A$2:$A$5000,$A25,Plan_Inputs!$B$2:$B$5000,$B$2))</f>
        <v/>
      </c>
      <c r="AJ25" s="15">
        <f>F25*$AK$11</f>
        <v/>
      </c>
      <c r="AK25" s="9">
        <f>G25*$AK$11</f>
        <v/>
      </c>
      <c r="AL25" s="30">
        <f>H25*$AK$11</f>
        <v/>
      </c>
      <c r="AM25" s="30">
        <f>I25*$AK$11</f>
        <v/>
      </c>
      <c r="AN25" s="30">
        <f>J25*$AK$11</f>
        <v/>
      </c>
      <c r="AP25" s="15">
        <f>F25*$AQ$11</f>
        <v/>
      </c>
      <c r="AQ25" s="9">
        <f>G25*$AQ$11</f>
        <v/>
      </c>
      <c r="AR25" s="30">
        <f>H25*$AQ$11</f>
        <v/>
      </c>
      <c r="AS25" s="30">
        <f>I25*$AQ$11</f>
        <v/>
      </c>
      <c r="AT25" s="30">
        <f>J25*$AQ$11</f>
        <v/>
      </c>
      <c r="AV25" s="15">
        <f>F25*$AW$11</f>
        <v/>
      </c>
      <c r="AW25" s="9">
        <f>G25*$AW$11</f>
        <v/>
      </c>
      <c r="AX25" s="30">
        <f>H25*$AW$11</f>
        <v/>
      </c>
      <c r="AY25" s="30">
        <f>I25*$AW$11</f>
        <v/>
      </c>
      <c r="AZ25" s="30">
        <f>J25*$AW$11</f>
        <v/>
      </c>
    </row>
    <row r="26">
      <c r="A26" s="37" t="n">
        <v>45992</v>
      </c>
      <c r="B26" s="38">
        <f>YEAR(A26)</f>
        <v/>
      </c>
      <c r="C26" s="38">
        <f>MONTH(A26)</f>
        <v/>
      </c>
      <c r="D26" s="39">
        <f>IF(A26&lt;=LastActual,"Actual","Forecast")</f>
        <v/>
      </c>
      <c r="E26" s="40">
        <f>IF($D26="Actual",R26,W26)</f>
        <v/>
      </c>
      <c r="F26" s="41">
        <f>IF($D26="Actual",S26,Cases_Forecast!AO19)</f>
        <v/>
      </c>
      <c r="G26" s="42">
        <f>IF($D26="Actual",T26,IFERROR(F26/K26,0))</f>
        <v/>
      </c>
      <c r="H26" s="40">
        <f>IF($D26="Actual",U26,G26*L26)</f>
        <v/>
      </c>
      <c r="I26" s="40">
        <f>IF($D26="Actual",V26,J26-H26)</f>
        <v/>
      </c>
      <c r="J26" s="40">
        <f>IF($D26="Actual",U26+V26,IFERROR(H26/(1-AD26),0))</f>
        <v/>
      </c>
      <c r="K26" s="43">
        <f>IF($D26="Actual",IFERROR(S26/T26,0),CPLH_Forecast!AO19)</f>
        <v/>
      </c>
      <c r="L26" s="44">
        <f>IF($D26="Actual",IFERROR(U26/T26,0),N(AE26))</f>
        <v/>
      </c>
      <c r="M26" s="45">
        <f>IFERROR(J26/F26,0)</f>
        <v/>
      </c>
      <c r="N26" s="46">
        <f>IFERROR(J26/E26,0)</f>
        <v/>
      </c>
      <c r="O26" s="46">
        <f>IFERROR(I26/J26,0)</f>
        <v/>
      </c>
      <c r="R26" s="52">
        <f>IF($D26="Actual",SUMIFS(Data_Actuals!$C$2:$C$5000,Data_Actuals!$A$2:$A$5000,$A26,Data_Actuals!$B$2:$B$5000,$B$2),"")</f>
        <v/>
      </c>
      <c r="S26" s="52">
        <f>IF($D26="Actual",SUMIFS(Data_Actuals!$D$2:$D$5000,Data_Actuals!$A$2:$A$5000,$A26,Data_Actuals!$B$2:$B$5000,$B$2),"")</f>
        <v/>
      </c>
      <c r="T26" s="52">
        <f>IF($D26="Actual",SUMIFS(Data_Actuals!$E$2:$E$5000,Data_Actuals!$A$2:$A$5000,$A26,Data_Actuals!$B$2:$B$5000,$B$2),"")</f>
        <v/>
      </c>
      <c r="U26" s="52">
        <f>IF($D26="Actual",SUMIFS(Data_Actuals!$F$2:$F$5000,Data_Actuals!$A$2:$A$5000,$A26,Data_Actuals!$B$2:$B$5000,$B$2),"")</f>
        <v/>
      </c>
      <c r="V26" s="52">
        <f>IF($D26="Actual",SUMIFS(Data_Actuals!$G$2:$G$5000,Data_Actuals!$A$2:$A$5000,$A26,Data_Actuals!$B$2:$B$5000,$B$2),"")</f>
        <v/>
      </c>
      <c r="W26" s="52">
        <f>SUMIFS(Plan_Inputs!$C$2:$C$5000,Plan_Inputs!$A$2:$A$5000,$A26,Plan_Inputs!$B$2:$B$5000,$B$2)</f>
        <v/>
      </c>
      <c r="X26" s="53">
        <f>IF($D26="Actual",IFERROR(S26/T26,""),"")</f>
        <v/>
      </c>
      <c r="Y26" s="52">
        <f>E26</f>
        <v/>
      </c>
      <c r="Z26" s="54">
        <f>INDEX(Calendar!$H$5:$L$52,MATCH($A26,Calendar!$A$5:$A$52,0),MATCH($D$2,Calendar!$H$4:$L$4,0))</f>
        <v/>
      </c>
      <c r="AA26" s="54">
        <f>INDEX(Calendar!$M$5:$M$52,MATCH($A26,Calendar!$A$5:$A$52,0))</f>
        <v/>
      </c>
      <c r="AB26" s="55">
        <f>IF($D26="Actual",IFERROR(S26/Y26,""),"")</f>
        <v/>
      </c>
      <c r="AC26" s="56">
        <f>IF($D26="Actual",IFERROR(U26/T26/Z26/AA26,""),"")</f>
        <v/>
      </c>
      <c r="AD26" s="57">
        <f>IF($D26="Actual",IFERROR(V26/(U26+V26),""),$K$2)</f>
        <v/>
      </c>
      <c r="AE26" s="56">
        <f>IFERROR(AC26*Z26*AA26,"")</f>
        <v/>
      </c>
      <c r="AF26" s="53" t="n"/>
      <c r="AG26" s="57">
        <f>IF($D26="Forecast",IFERROR(K26/AF26-1,""),"")</f>
        <v/>
      </c>
      <c r="AH26" s="53">
        <f>IF(CPLHSource="National breakdown",CPLH_Breakdown!AP31,SUMIFS(Plan_Inputs!$D$2:$D$5000,Plan_Inputs!$A$2:$A$5000,$A26,Plan_Inputs!$B$2:$B$5000,$B$2))</f>
        <v/>
      </c>
      <c r="AJ26" s="41">
        <f>F26*$AK$11</f>
        <v/>
      </c>
      <c r="AK26" s="42">
        <f>G26*$AK$11</f>
        <v/>
      </c>
      <c r="AL26" s="40">
        <f>H26*$AK$11</f>
        <v/>
      </c>
      <c r="AM26" s="40">
        <f>I26*$AK$11</f>
        <v/>
      </c>
      <c r="AN26" s="40">
        <f>J26*$AK$11</f>
        <v/>
      </c>
      <c r="AP26" s="41">
        <f>F26*$AQ$11</f>
        <v/>
      </c>
      <c r="AQ26" s="42">
        <f>G26*$AQ$11</f>
        <v/>
      </c>
      <c r="AR26" s="40">
        <f>H26*$AQ$11</f>
        <v/>
      </c>
      <c r="AS26" s="40">
        <f>I26*$AQ$11</f>
        <v/>
      </c>
      <c r="AT26" s="40">
        <f>J26*$AQ$11</f>
        <v/>
      </c>
      <c r="AV26" s="41">
        <f>F26*$AW$11</f>
        <v/>
      </c>
      <c r="AW26" s="42">
        <f>G26*$AW$11</f>
        <v/>
      </c>
      <c r="AX26" s="40">
        <f>H26*$AW$11</f>
        <v/>
      </c>
      <c r="AY26" s="40">
        <f>I26*$AW$11</f>
        <v/>
      </c>
      <c r="AZ26" s="40">
        <f>J26*$AW$11</f>
        <v/>
      </c>
    </row>
    <row r="27">
      <c r="A27" s="8" t="n">
        <v>46023</v>
      </c>
      <c r="B27" s="33">
        <f>YEAR(A27)</f>
        <v/>
      </c>
      <c r="C27" s="33">
        <f>MONTH(A27)</f>
        <v/>
      </c>
      <c r="D27">
        <f>IF(A27&lt;=LastActual,"Actual","Forecast")</f>
        <v/>
      </c>
      <c r="E27" s="30">
        <f>IF($D27="Actual",R27,W27)</f>
        <v/>
      </c>
      <c r="F27" s="15">
        <f>IF($D27="Actual",S27,Cases_Forecast!AO20)</f>
        <v/>
      </c>
      <c r="G27" s="9">
        <f>IF($D27="Actual",T27,IFERROR(F27/K27,0))</f>
        <v/>
      </c>
      <c r="H27" s="30">
        <f>IF($D27="Actual",U27,G27*L27)</f>
        <v/>
      </c>
      <c r="I27" s="30">
        <f>IF($D27="Actual",V27,J27-H27)</f>
        <v/>
      </c>
      <c r="J27" s="30">
        <f>IF($D27="Actual",U27+V27,IFERROR(H27/(1-AD27),0))</f>
        <v/>
      </c>
      <c r="K27" s="10">
        <f>IF($D27="Actual",IFERROR(S27/T27,0),CPLH_Forecast!AO20)</f>
        <v/>
      </c>
      <c r="L27" s="34">
        <f>IF($D27="Actual",IFERROR(U27/T27,0),N(AE27))</f>
        <v/>
      </c>
      <c r="M27" s="35">
        <f>IFERROR(J27/F27,0)</f>
        <v/>
      </c>
      <c r="N27" s="36">
        <f>IFERROR(J27/E27,0)</f>
        <v/>
      </c>
      <c r="O27" s="36">
        <f>IFERROR(I27/J27,0)</f>
        <v/>
      </c>
      <c r="R27" s="52">
        <f>IF($D27="Actual",SUMIFS(Data_Actuals!$C$2:$C$5000,Data_Actuals!$A$2:$A$5000,$A27,Data_Actuals!$B$2:$B$5000,$B$2),"")</f>
        <v/>
      </c>
      <c r="S27" s="52">
        <f>IF($D27="Actual",SUMIFS(Data_Actuals!$D$2:$D$5000,Data_Actuals!$A$2:$A$5000,$A27,Data_Actuals!$B$2:$B$5000,$B$2),"")</f>
        <v/>
      </c>
      <c r="T27" s="52">
        <f>IF($D27="Actual",SUMIFS(Data_Actuals!$E$2:$E$5000,Data_Actuals!$A$2:$A$5000,$A27,Data_Actuals!$B$2:$B$5000,$B$2),"")</f>
        <v/>
      </c>
      <c r="U27" s="52">
        <f>IF($D27="Actual",SUMIFS(Data_Actuals!$F$2:$F$5000,Data_Actuals!$A$2:$A$5000,$A27,Data_Actuals!$B$2:$B$5000,$B$2),"")</f>
        <v/>
      </c>
      <c r="V27" s="52">
        <f>IF($D27="Actual",SUMIFS(Data_Actuals!$G$2:$G$5000,Data_Actuals!$A$2:$A$5000,$A27,Data_Actuals!$B$2:$B$5000,$B$2),"")</f>
        <v/>
      </c>
      <c r="W27" s="52">
        <f>SUMIFS(Plan_Inputs!$C$2:$C$5000,Plan_Inputs!$A$2:$A$5000,$A27,Plan_Inputs!$B$2:$B$5000,$B$2)</f>
        <v/>
      </c>
      <c r="X27" s="53">
        <f>IF($D27="Actual",IFERROR(S27/T27,""),X15)</f>
        <v/>
      </c>
      <c r="Y27" s="52">
        <f>E27</f>
        <v/>
      </c>
      <c r="Z27" s="54">
        <f>INDEX(Calendar!$H$5:$L$52,MATCH($A27,Calendar!$A$5:$A$52,0),MATCH($D$2,Calendar!$H$4:$L$4,0))</f>
        <v/>
      </c>
      <c r="AA27" s="54">
        <f>INDEX(Calendar!$M$5:$M$52,MATCH($A27,Calendar!$A$5:$A$52,0))</f>
        <v/>
      </c>
      <c r="AB27" s="55">
        <f>IF($D27="Actual",IFERROR(S27/Y27,""),AB15)</f>
        <v/>
      </c>
      <c r="AC27" s="56">
        <f>IF($D27="Actual",IFERROR(U27/T27/Z27/AA27,""),AC15)</f>
        <v/>
      </c>
      <c r="AD27" s="57">
        <f>IF($D27="Actual",IFERROR(V27/(U27+V27),""),$K$2)</f>
        <v/>
      </c>
      <c r="AE27" s="56">
        <f>IFERROR(AC27*Z27*AA27,"")</f>
        <v/>
      </c>
      <c r="AF27" s="53">
        <f>K15</f>
        <v/>
      </c>
      <c r="AG27" s="57">
        <f>IF($D27="Forecast",IFERROR(K27/AF27-1,""),"")</f>
        <v/>
      </c>
      <c r="AH27" s="53">
        <f>IF(CPLHSource="National breakdown",CPLH_Breakdown!AP32,SUMIFS(Plan_Inputs!$D$2:$D$5000,Plan_Inputs!$A$2:$A$5000,$A27,Plan_Inputs!$B$2:$B$5000,$B$2))</f>
        <v/>
      </c>
      <c r="AJ27" s="15">
        <f>F27*$AK$11</f>
        <v/>
      </c>
      <c r="AK27" s="9">
        <f>G27*$AK$11</f>
        <v/>
      </c>
      <c r="AL27" s="30">
        <f>H27*$AK$11</f>
        <v/>
      </c>
      <c r="AM27" s="30">
        <f>I27*$AK$11</f>
        <v/>
      </c>
      <c r="AN27" s="30">
        <f>J27*$AK$11</f>
        <v/>
      </c>
      <c r="AP27" s="15">
        <f>F27*$AQ$11</f>
        <v/>
      </c>
      <c r="AQ27" s="9">
        <f>G27*$AQ$11</f>
        <v/>
      </c>
      <c r="AR27" s="30">
        <f>H27*$AQ$11</f>
        <v/>
      </c>
      <c r="AS27" s="30">
        <f>I27*$AQ$11</f>
        <v/>
      </c>
      <c r="AT27" s="30">
        <f>J27*$AQ$11</f>
        <v/>
      </c>
      <c r="AV27" s="15">
        <f>F27*$AW$11</f>
        <v/>
      </c>
      <c r="AW27" s="9">
        <f>G27*$AW$11</f>
        <v/>
      </c>
      <c r="AX27" s="30">
        <f>H27*$AW$11</f>
        <v/>
      </c>
      <c r="AY27" s="30">
        <f>I27*$AW$11</f>
        <v/>
      </c>
      <c r="AZ27" s="30">
        <f>J27*$AW$11</f>
        <v/>
      </c>
    </row>
    <row r="28">
      <c r="A28" s="8" t="n">
        <v>46054</v>
      </c>
      <c r="B28" s="33">
        <f>YEAR(A28)</f>
        <v/>
      </c>
      <c r="C28" s="33">
        <f>MONTH(A28)</f>
        <v/>
      </c>
      <c r="D28">
        <f>IF(A28&lt;=LastActual,"Actual","Forecast")</f>
        <v/>
      </c>
      <c r="E28" s="30">
        <f>IF($D28="Actual",R28,W28)</f>
        <v/>
      </c>
      <c r="F28" s="15">
        <f>IF($D28="Actual",S28,Cases_Forecast!AO21)</f>
        <v/>
      </c>
      <c r="G28" s="9">
        <f>IF($D28="Actual",T28,IFERROR(F28/K28,0))</f>
        <v/>
      </c>
      <c r="H28" s="30">
        <f>IF($D28="Actual",U28,G28*L28)</f>
        <v/>
      </c>
      <c r="I28" s="30">
        <f>IF($D28="Actual",V28,J28-H28)</f>
        <v/>
      </c>
      <c r="J28" s="30">
        <f>IF($D28="Actual",U28+V28,IFERROR(H28/(1-AD28),0))</f>
        <v/>
      </c>
      <c r="K28" s="10">
        <f>IF($D28="Actual",IFERROR(S28/T28,0),CPLH_Forecast!AO21)</f>
        <v/>
      </c>
      <c r="L28" s="34">
        <f>IF($D28="Actual",IFERROR(U28/T28,0),N(AE28))</f>
        <v/>
      </c>
      <c r="M28" s="35">
        <f>IFERROR(J28/F28,0)</f>
        <v/>
      </c>
      <c r="N28" s="36">
        <f>IFERROR(J28/E28,0)</f>
        <v/>
      </c>
      <c r="O28" s="36">
        <f>IFERROR(I28/J28,0)</f>
        <v/>
      </c>
      <c r="R28" s="52">
        <f>IF($D28="Actual",SUMIFS(Data_Actuals!$C$2:$C$5000,Data_Actuals!$A$2:$A$5000,$A28,Data_Actuals!$B$2:$B$5000,$B$2),"")</f>
        <v/>
      </c>
      <c r="S28" s="52">
        <f>IF($D28="Actual",SUMIFS(Data_Actuals!$D$2:$D$5000,Data_Actuals!$A$2:$A$5000,$A28,Data_Actuals!$B$2:$B$5000,$B$2),"")</f>
        <v/>
      </c>
      <c r="T28" s="52">
        <f>IF($D28="Actual",SUMIFS(Data_Actuals!$E$2:$E$5000,Data_Actuals!$A$2:$A$5000,$A28,Data_Actuals!$B$2:$B$5000,$B$2),"")</f>
        <v/>
      </c>
      <c r="U28" s="52">
        <f>IF($D28="Actual",SUMIFS(Data_Actuals!$F$2:$F$5000,Data_Actuals!$A$2:$A$5000,$A28,Data_Actuals!$B$2:$B$5000,$B$2),"")</f>
        <v/>
      </c>
      <c r="V28" s="52">
        <f>IF($D28="Actual",SUMIFS(Data_Actuals!$G$2:$G$5000,Data_Actuals!$A$2:$A$5000,$A28,Data_Actuals!$B$2:$B$5000,$B$2),"")</f>
        <v/>
      </c>
      <c r="W28" s="52">
        <f>SUMIFS(Plan_Inputs!$C$2:$C$5000,Plan_Inputs!$A$2:$A$5000,$A28,Plan_Inputs!$B$2:$B$5000,$B$2)</f>
        <v/>
      </c>
      <c r="X28" s="53">
        <f>IF($D28="Actual",IFERROR(S28/T28,""),X16)</f>
        <v/>
      </c>
      <c r="Y28" s="52">
        <f>E28</f>
        <v/>
      </c>
      <c r="Z28" s="54">
        <f>INDEX(Calendar!$H$5:$L$52,MATCH($A28,Calendar!$A$5:$A$52,0),MATCH($D$2,Calendar!$H$4:$L$4,0))</f>
        <v/>
      </c>
      <c r="AA28" s="54">
        <f>INDEX(Calendar!$M$5:$M$52,MATCH($A28,Calendar!$A$5:$A$52,0))</f>
        <v/>
      </c>
      <c r="AB28" s="55">
        <f>IF($D28="Actual",IFERROR(S28/Y28,""),AB16)</f>
        <v/>
      </c>
      <c r="AC28" s="56">
        <f>IF($D28="Actual",IFERROR(U28/T28/Z28/AA28,""),AC16)</f>
        <v/>
      </c>
      <c r="AD28" s="57">
        <f>IF($D28="Actual",IFERROR(V28/(U28+V28),""),$K$2)</f>
        <v/>
      </c>
      <c r="AE28" s="56">
        <f>IFERROR(AC28*Z28*AA28,"")</f>
        <v/>
      </c>
      <c r="AF28" s="53">
        <f>K16</f>
        <v/>
      </c>
      <c r="AG28" s="57">
        <f>IF($D28="Forecast",IFERROR(K28/AF28-1,""),"")</f>
        <v/>
      </c>
      <c r="AH28" s="53">
        <f>IF(CPLHSource="National breakdown",CPLH_Breakdown!AP33,SUMIFS(Plan_Inputs!$D$2:$D$5000,Plan_Inputs!$A$2:$A$5000,$A28,Plan_Inputs!$B$2:$B$5000,$B$2))</f>
        <v/>
      </c>
      <c r="AJ28" s="15">
        <f>F28*$AK$11</f>
        <v/>
      </c>
      <c r="AK28" s="9">
        <f>G28*$AK$11</f>
        <v/>
      </c>
      <c r="AL28" s="30">
        <f>H28*$AK$11</f>
        <v/>
      </c>
      <c r="AM28" s="30">
        <f>I28*$AK$11</f>
        <v/>
      </c>
      <c r="AN28" s="30">
        <f>J28*$AK$11</f>
        <v/>
      </c>
      <c r="AP28" s="15">
        <f>F28*$AQ$11</f>
        <v/>
      </c>
      <c r="AQ28" s="9">
        <f>G28*$AQ$11</f>
        <v/>
      </c>
      <c r="AR28" s="30">
        <f>H28*$AQ$11</f>
        <v/>
      </c>
      <c r="AS28" s="30">
        <f>I28*$AQ$11</f>
        <v/>
      </c>
      <c r="AT28" s="30">
        <f>J28*$AQ$11</f>
        <v/>
      </c>
      <c r="AV28" s="15">
        <f>F28*$AW$11</f>
        <v/>
      </c>
      <c r="AW28" s="9">
        <f>G28*$AW$11</f>
        <v/>
      </c>
      <c r="AX28" s="30">
        <f>H28*$AW$11</f>
        <v/>
      </c>
      <c r="AY28" s="30">
        <f>I28*$AW$11</f>
        <v/>
      </c>
      <c r="AZ28" s="30">
        <f>J28*$AW$11</f>
        <v/>
      </c>
    </row>
    <row r="29">
      <c r="A29" s="8" t="n">
        <v>46082</v>
      </c>
      <c r="B29" s="33">
        <f>YEAR(A29)</f>
        <v/>
      </c>
      <c r="C29" s="33">
        <f>MONTH(A29)</f>
        <v/>
      </c>
      <c r="D29">
        <f>IF(A29&lt;=LastActual,"Actual","Forecast")</f>
        <v/>
      </c>
      <c r="E29" s="30">
        <f>IF($D29="Actual",R29,W29)</f>
        <v/>
      </c>
      <c r="F29" s="15">
        <f>IF($D29="Actual",S29,Cases_Forecast!AO22)</f>
        <v/>
      </c>
      <c r="G29" s="9">
        <f>IF($D29="Actual",T29,IFERROR(F29/K29,0))</f>
        <v/>
      </c>
      <c r="H29" s="30">
        <f>IF($D29="Actual",U29,G29*L29)</f>
        <v/>
      </c>
      <c r="I29" s="30">
        <f>IF($D29="Actual",V29,J29-H29)</f>
        <v/>
      </c>
      <c r="J29" s="30">
        <f>IF($D29="Actual",U29+V29,IFERROR(H29/(1-AD29),0))</f>
        <v/>
      </c>
      <c r="K29" s="10">
        <f>IF($D29="Actual",IFERROR(S29/T29,0),CPLH_Forecast!AO22)</f>
        <v/>
      </c>
      <c r="L29" s="34">
        <f>IF($D29="Actual",IFERROR(U29/T29,0),N(AE29))</f>
        <v/>
      </c>
      <c r="M29" s="35">
        <f>IFERROR(J29/F29,0)</f>
        <v/>
      </c>
      <c r="N29" s="36">
        <f>IFERROR(J29/E29,0)</f>
        <v/>
      </c>
      <c r="O29" s="36">
        <f>IFERROR(I29/J29,0)</f>
        <v/>
      </c>
      <c r="R29" s="52">
        <f>IF($D29="Actual",SUMIFS(Data_Actuals!$C$2:$C$5000,Data_Actuals!$A$2:$A$5000,$A29,Data_Actuals!$B$2:$B$5000,$B$2),"")</f>
        <v/>
      </c>
      <c r="S29" s="52">
        <f>IF($D29="Actual",SUMIFS(Data_Actuals!$D$2:$D$5000,Data_Actuals!$A$2:$A$5000,$A29,Data_Actuals!$B$2:$B$5000,$B$2),"")</f>
        <v/>
      </c>
      <c r="T29" s="52">
        <f>IF($D29="Actual",SUMIFS(Data_Actuals!$E$2:$E$5000,Data_Actuals!$A$2:$A$5000,$A29,Data_Actuals!$B$2:$B$5000,$B$2),"")</f>
        <v/>
      </c>
      <c r="U29" s="52">
        <f>IF($D29="Actual",SUMIFS(Data_Actuals!$F$2:$F$5000,Data_Actuals!$A$2:$A$5000,$A29,Data_Actuals!$B$2:$B$5000,$B$2),"")</f>
        <v/>
      </c>
      <c r="V29" s="52">
        <f>IF($D29="Actual",SUMIFS(Data_Actuals!$G$2:$G$5000,Data_Actuals!$A$2:$A$5000,$A29,Data_Actuals!$B$2:$B$5000,$B$2),"")</f>
        <v/>
      </c>
      <c r="W29" s="52">
        <f>SUMIFS(Plan_Inputs!$C$2:$C$5000,Plan_Inputs!$A$2:$A$5000,$A29,Plan_Inputs!$B$2:$B$5000,$B$2)</f>
        <v/>
      </c>
      <c r="X29" s="53">
        <f>IF($D29="Actual",IFERROR(S29/T29,""),X17)</f>
        <v/>
      </c>
      <c r="Y29" s="52">
        <f>E29</f>
        <v/>
      </c>
      <c r="Z29" s="54">
        <f>INDEX(Calendar!$H$5:$L$52,MATCH($A29,Calendar!$A$5:$A$52,0),MATCH($D$2,Calendar!$H$4:$L$4,0))</f>
        <v/>
      </c>
      <c r="AA29" s="54">
        <f>INDEX(Calendar!$M$5:$M$52,MATCH($A29,Calendar!$A$5:$A$52,0))</f>
        <v/>
      </c>
      <c r="AB29" s="55">
        <f>IF($D29="Actual",IFERROR(S29/Y29,""),AB17)</f>
        <v/>
      </c>
      <c r="AC29" s="56">
        <f>IF($D29="Actual",IFERROR(U29/T29/Z29/AA29,""),AC17)</f>
        <v/>
      </c>
      <c r="AD29" s="57">
        <f>IF($D29="Actual",IFERROR(V29/(U29+V29),""),$K$2)</f>
        <v/>
      </c>
      <c r="AE29" s="56">
        <f>IFERROR(AC29*Z29*AA29,"")</f>
        <v/>
      </c>
      <c r="AF29" s="53">
        <f>K17</f>
        <v/>
      </c>
      <c r="AG29" s="57">
        <f>IF($D29="Forecast",IFERROR(K29/AF29-1,""),"")</f>
        <v/>
      </c>
      <c r="AH29" s="53">
        <f>IF(CPLHSource="National breakdown",CPLH_Breakdown!AP34,SUMIFS(Plan_Inputs!$D$2:$D$5000,Plan_Inputs!$A$2:$A$5000,$A29,Plan_Inputs!$B$2:$B$5000,$B$2))</f>
        <v/>
      </c>
      <c r="AJ29" s="15">
        <f>F29*$AK$11</f>
        <v/>
      </c>
      <c r="AK29" s="9">
        <f>G29*$AK$11</f>
        <v/>
      </c>
      <c r="AL29" s="30">
        <f>H29*$AK$11</f>
        <v/>
      </c>
      <c r="AM29" s="30">
        <f>I29*$AK$11</f>
        <v/>
      </c>
      <c r="AN29" s="30">
        <f>J29*$AK$11</f>
        <v/>
      </c>
      <c r="AP29" s="15">
        <f>F29*$AQ$11</f>
        <v/>
      </c>
      <c r="AQ29" s="9">
        <f>G29*$AQ$11</f>
        <v/>
      </c>
      <c r="AR29" s="30">
        <f>H29*$AQ$11</f>
        <v/>
      </c>
      <c r="AS29" s="30">
        <f>I29*$AQ$11</f>
        <v/>
      </c>
      <c r="AT29" s="30">
        <f>J29*$AQ$11</f>
        <v/>
      </c>
      <c r="AV29" s="15">
        <f>F29*$AW$11</f>
        <v/>
      </c>
      <c r="AW29" s="9">
        <f>G29*$AW$11</f>
        <v/>
      </c>
      <c r="AX29" s="30">
        <f>H29*$AW$11</f>
        <v/>
      </c>
      <c r="AY29" s="30">
        <f>I29*$AW$11</f>
        <v/>
      </c>
      <c r="AZ29" s="30">
        <f>J29*$AW$11</f>
        <v/>
      </c>
    </row>
    <row r="30">
      <c r="A30" s="8" t="n">
        <v>46113</v>
      </c>
      <c r="B30" s="33">
        <f>YEAR(A30)</f>
        <v/>
      </c>
      <c r="C30" s="33">
        <f>MONTH(A30)</f>
        <v/>
      </c>
      <c r="D30">
        <f>IF(A30&lt;=LastActual,"Actual","Forecast")</f>
        <v/>
      </c>
      <c r="E30" s="30">
        <f>IF($D30="Actual",R30,W30)</f>
        <v/>
      </c>
      <c r="F30" s="15">
        <f>IF($D30="Actual",S30,Cases_Forecast!AO23)</f>
        <v/>
      </c>
      <c r="G30" s="9">
        <f>IF($D30="Actual",T30,IFERROR(F30/K30,0))</f>
        <v/>
      </c>
      <c r="H30" s="30">
        <f>IF($D30="Actual",U30,G30*L30)</f>
        <v/>
      </c>
      <c r="I30" s="30">
        <f>IF($D30="Actual",V30,J30-H30)</f>
        <v/>
      </c>
      <c r="J30" s="30">
        <f>IF($D30="Actual",U30+V30,IFERROR(H30/(1-AD30),0))</f>
        <v/>
      </c>
      <c r="K30" s="10">
        <f>IF($D30="Actual",IFERROR(S30/T30,0),CPLH_Forecast!AO23)</f>
        <v/>
      </c>
      <c r="L30" s="34">
        <f>IF($D30="Actual",IFERROR(U30/T30,0),N(AE30))</f>
        <v/>
      </c>
      <c r="M30" s="35">
        <f>IFERROR(J30/F30,0)</f>
        <v/>
      </c>
      <c r="N30" s="36">
        <f>IFERROR(J30/E30,0)</f>
        <v/>
      </c>
      <c r="O30" s="36">
        <f>IFERROR(I30/J30,0)</f>
        <v/>
      </c>
      <c r="R30" s="52">
        <f>IF($D30="Actual",SUMIFS(Data_Actuals!$C$2:$C$5000,Data_Actuals!$A$2:$A$5000,$A30,Data_Actuals!$B$2:$B$5000,$B$2),"")</f>
        <v/>
      </c>
      <c r="S30" s="52">
        <f>IF($D30="Actual",SUMIFS(Data_Actuals!$D$2:$D$5000,Data_Actuals!$A$2:$A$5000,$A30,Data_Actuals!$B$2:$B$5000,$B$2),"")</f>
        <v/>
      </c>
      <c r="T30" s="52">
        <f>IF($D30="Actual",SUMIFS(Data_Actuals!$E$2:$E$5000,Data_Actuals!$A$2:$A$5000,$A30,Data_Actuals!$B$2:$B$5000,$B$2),"")</f>
        <v/>
      </c>
      <c r="U30" s="52">
        <f>IF($D30="Actual",SUMIFS(Data_Actuals!$F$2:$F$5000,Data_Actuals!$A$2:$A$5000,$A30,Data_Actuals!$B$2:$B$5000,$B$2),"")</f>
        <v/>
      </c>
      <c r="V30" s="52">
        <f>IF($D30="Actual",SUMIFS(Data_Actuals!$G$2:$G$5000,Data_Actuals!$A$2:$A$5000,$A30,Data_Actuals!$B$2:$B$5000,$B$2),"")</f>
        <v/>
      </c>
      <c r="W30" s="52">
        <f>SUMIFS(Plan_Inputs!$C$2:$C$5000,Plan_Inputs!$A$2:$A$5000,$A30,Plan_Inputs!$B$2:$B$5000,$B$2)</f>
        <v/>
      </c>
      <c r="X30" s="53">
        <f>IF($D30="Actual",IFERROR(S30/T30,""),X18)</f>
        <v/>
      </c>
      <c r="Y30" s="52">
        <f>E30</f>
        <v/>
      </c>
      <c r="Z30" s="54">
        <f>INDEX(Calendar!$H$5:$L$52,MATCH($A30,Calendar!$A$5:$A$52,0),MATCH($D$2,Calendar!$H$4:$L$4,0))</f>
        <v/>
      </c>
      <c r="AA30" s="54">
        <f>INDEX(Calendar!$M$5:$M$52,MATCH($A30,Calendar!$A$5:$A$52,0))</f>
        <v/>
      </c>
      <c r="AB30" s="55">
        <f>IF($D30="Actual",IFERROR(S30/Y30,""),AB18)</f>
        <v/>
      </c>
      <c r="AC30" s="56">
        <f>IF($D30="Actual",IFERROR(U30/T30/Z30/AA30,""),AC18)</f>
        <v/>
      </c>
      <c r="AD30" s="57">
        <f>IF($D30="Actual",IFERROR(V30/(U30+V30),""),$K$2)</f>
        <v/>
      </c>
      <c r="AE30" s="56">
        <f>IFERROR(AC30*Z30*AA30,"")</f>
        <v/>
      </c>
      <c r="AF30" s="53">
        <f>K18</f>
        <v/>
      </c>
      <c r="AG30" s="57">
        <f>IF($D30="Forecast",IFERROR(K30/AF30-1,""),"")</f>
        <v/>
      </c>
      <c r="AH30" s="53">
        <f>IF(CPLHSource="National breakdown",CPLH_Breakdown!AP35,SUMIFS(Plan_Inputs!$D$2:$D$5000,Plan_Inputs!$A$2:$A$5000,$A30,Plan_Inputs!$B$2:$B$5000,$B$2))</f>
        <v/>
      </c>
      <c r="AJ30" s="15">
        <f>F30*$AK$11</f>
        <v/>
      </c>
      <c r="AK30" s="9">
        <f>G30*$AK$11</f>
        <v/>
      </c>
      <c r="AL30" s="30">
        <f>H30*$AK$11</f>
        <v/>
      </c>
      <c r="AM30" s="30">
        <f>I30*$AK$11</f>
        <v/>
      </c>
      <c r="AN30" s="30">
        <f>J30*$AK$11</f>
        <v/>
      </c>
      <c r="AP30" s="15">
        <f>F30*$AQ$11</f>
        <v/>
      </c>
      <c r="AQ30" s="9">
        <f>G30*$AQ$11</f>
        <v/>
      </c>
      <c r="AR30" s="30">
        <f>H30*$AQ$11</f>
        <v/>
      </c>
      <c r="AS30" s="30">
        <f>I30*$AQ$11</f>
        <v/>
      </c>
      <c r="AT30" s="30">
        <f>J30*$AQ$11</f>
        <v/>
      </c>
      <c r="AV30" s="15">
        <f>F30*$AW$11</f>
        <v/>
      </c>
      <c r="AW30" s="9">
        <f>G30*$AW$11</f>
        <v/>
      </c>
      <c r="AX30" s="30">
        <f>H30*$AW$11</f>
        <v/>
      </c>
      <c r="AY30" s="30">
        <f>I30*$AW$11</f>
        <v/>
      </c>
      <c r="AZ30" s="30">
        <f>J30*$AW$11</f>
        <v/>
      </c>
    </row>
    <row r="31">
      <c r="A31" s="8" t="n">
        <v>46143</v>
      </c>
      <c r="B31" s="33">
        <f>YEAR(A31)</f>
        <v/>
      </c>
      <c r="C31" s="33">
        <f>MONTH(A31)</f>
        <v/>
      </c>
      <c r="D31">
        <f>IF(A31&lt;=LastActual,"Actual","Forecast")</f>
        <v/>
      </c>
      <c r="E31" s="30">
        <f>IF($D31="Actual",R31,W31)</f>
        <v/>
      </c>
      <c r="F31" s="15">
        <f>IF($D31="Actual",S31,Cases_Forecast!AO24)</f>
        <v/>
      </c>
      <c r="G31" s="9">
        <f>IF($D31="Actual",T31,IFERROR(F31/K31,0))</f>
        <v/>
      </c>
      <c r="H31" s="30">
        <f>IF($D31="Actual",U31,G31*L31)</f>
        <v/>
      </c>
      <c r="I31" s="30">
        <f>IF($D31="Actual",V31,J31-H31)</f>
        <v/>
      </c>
      <c r="J31" s="30">
        <f>IF($D31="Actual",U31+V31,IFERROR(H31/(1-AD31),0))</f>
        <v/>
      </c>
      <c r="K31" s="10">
        <f>IF($D31="Actual",IFERROR(S31/T31,0),CPLH_Forecast!AO24)</f>
        <v/>
      </c>
      <c r="L31" s="34">
        <f>IF($D31="Actual",IFERROR(U31/T31,0),N(AE31))</f>
        <v/>
      </c>
      <c r="M31" s="35">
        <f>IFERROR(J31/F31,0)</f>
        <v/>
      </c>
      <c r="N31" s="36">
        <f>IFERROR(J31/E31,0)</f>
        <v/>
      </c>
      <c r="O31" s="36">
        <f>IFERROR(I31/J31,0)</f>
        <v/>
      </c>
      <c r="R31" s="52">
        <f>IF($D31="Actual",SUMIFS(Data_Actuals!$C$2:$C$5000,Data_Actuals!$A$2:$A$5000,$A31,Data_Actuals!$B$2:$B$5000,$B$2),"")</f>
        <v/>
      </c>
      <c r="S31" s="52">
        <f>IF($D31="Actual",SUMIFS(Data_Actuals!$D$2:$D$5000,Data_Actuals!$A$2:$A$5000,$A31,Data_Actuals!$B$2:$B$5000,$B$2),"")</f>
        <v/>
      </c>
      <c r="T31" s="52">
        <f>IF($D31="Actual",SUMIFS(Data_Actuals!$E$2:$E$5000,Data_Actuals!$A$2:$A$5000,$A31,Data_Actuals!$B$2:$B$5000,$B$2),"")</f>
        <v/>
      </c>
      <c r="U31" s="52">
        <f>IF($D31="Actual",SUMIFS(Data_Actuals!$F$2:$F$5000,Data_Actuals!$A$2:$A$5000,$A31,Data_Actuals!$B$2:$B$5000,$B$2),"")</f>
        <v/>
      </c>
      <c r="V31" s="52">
        <f>IF($D31="Actual",SUMIFS(Data_Actuals!$G$2:$G$5000,Data_Actuals!$A$2:$A$5000,$A31,Data_Actuals!$B$2:$B$5000,$B$2),"")</f>
        <v/>
      </c>
      <c r="W31" s="52">
        <f>SUMIFS(Plan_Inputs!$C$2:$C$5000,Plan_Inputs!$A$2:$A$5000,$A31,Plan_Inputs!$B$2:$B$5000,$B$2)</f>
        <v/>
      </c>
      <c r="X31" s="53">
        <f>IF($D31="Actual",IFERROR(S31/T31,""),X19)</f>
        <v/>
      </c>
      <c r="Y31" s="52">
        <f>E31</f>
        <v/>
      </c>
      <c r="Z31" s="54">
        <f>INDEX(Calendar!$H$5:$L$52,MATCH($A31,Calendar!$A$5:$A$52,0),MATCH($D$2,Calendar!$H$4:$L$4,0))</f>
        <v/>
      </c>
      <c r="AA31" s="54">
        <f>INDEX(Calendar!$M$5:$M$52,MATCH($A31,Calendar!$A$5:$A$52,0))</f>
        <v/>
      </c>
      <c r="AB31" s="55">
        <f>IF($D31="Actual",IFERROR(S31/Y31,""),AB19)</f>
        <v/>
      </c>
      <c r="AC31" s="56">
        <f>IF($D31="Actual",IFERROR(U31/T31/Z31/AA31,""),AC19)</f>
        <v/>
      </c>
      <c r="AD31" s="57">
        <f>IF($D31="Actual",IFERROR(V31/(U31+V31),""),$K$2)</f>
        <v/>
      </c>
      <c r="AE31" s="56">
        <f>IFERROR(AC31*Z31*AA31,"")</f>
        <v/>
      </c>
      <c r="AF31" s="53">
        <f>K19</f>
        <v/>
      </c>
      <c r="AG31" s="57">
        <f>IF($D31="Forecast",IFERROR(K31/AF31-1,""),"")</f>
        <v/>
      </c>
      <c r="AH31" s="53">
        <f>IF(CPLHSource="National breakdown",CPLH_Breakdown!AP36,SUMIFS(Plan_Inputs!$D$2:$D$5000,Plan_Inputs!$A$2:$A$5000,$A31,Plan_Inputs!$B$2:$B$5000,$B$2))</f>
        <v/>
      </c>
      <c r="AJ31" s="15">
        <f>F31*$AK$11</f>
        <v/>
      </c>
      <c r="AK31" s="9">
        <f>G31*$AK$11</f>
        <v/>
      </c>
      <c r="AL31" s="30">
        <f>H31*$AK$11</f>
        <v/>
      </c>
      <c r="AM31" s="30">
        <f>I31*$AK$11</f>
        <v/>
      </c>
      <c r="AN31" s="30">
        <f>J31*$AK$11</f>
        <v/>
      </c>
      <c r="AP31" s="15">
        <f>F31*$AQ$11</f>
        <v/>
      </c>
      <c r="AQ31" s="9">
        <f>G31*$AQ$11</f>
        <v/>
      </c>
      <c r="AR31" s="30">
        <f>H31*$AQ$11</f>
        <v/>
      </c>
      <c r="AS31" s="30">
        <f>I31*$AQ$11</f>
        <v/>
      </c>
      <c r="AT31" s="30">
        <f>J31*$AQ$11</f>
        <v/>
      </c>
      <c r="AV31" s="15">
        <f>F31*$AW$11</f>
        <v/>
      </c>
      <c r="AW31" s="9">
        <f>G31*$AW$11</f>
        <v/>
      </c>
      <c r="AX31" s="30">
        <f>H31*$AW$11</f>
        <v/>
      </c>
      <c r="AY31" s="30">
        <f>I31*$AW$11</f>
        <v/>
      </c>
      <c r="AZ31" s="30">
        <f>J31*$AW$11</f>
        <v/>
      </c>
    </row>
    <row r="32">
      <c r="A32" s="8" t="n">
        <v>46174</v>
      </c>
      <c r="B32" s="33">
        <f>YEAR(A32)</f>
        <v/>
      </c>
      <c r="C32" s="33">
        <f>MONTH(A32)</f>
        <v/>
      </c>
      <c r="D32">
        <f>IF(A32&lt;=LastActual,"Actual","Forecast")</f>
        <v/>
      </c>
      <c r="E32" s="30">
        <f>IF($D32="Actual",R32,W32)</f>
        <v/>
      </c>
      <c r="F32" s="15">
        <f>IF($D32="Actual",S32,Cases_Forecast!AO25)</f>
        <v/>
      </c>
      <c r="G32" s="9">
        <f>IF($D32="Actual",T32,IFERROR(F32/K32,0))</f>
        <v/>
      </c>
      <c r="H32" s="30">
        <f>IF($D32="Actual",U32,G32*L32)</f>
        <v/>
      </c>
      <c r="I32" s="30">
        <f>IF($D32="Actual",V32,J32-H32)</f>
        <v/>
      </c>
      <c r="J32" s="30">
        <f>IF($D32="Actual",U32+V32,IFERROR(H32/(1-AD32),0))</f>
        <v/>
      </c>
      <c r="K32" s="10">
        <f>IF($D32="Actual",IFERROR(S32/T32,0),CPLH_Forecast!AO25)</f>
        <v/>
      </c>
      <c r="L32" s="34">
        <f>IF($D32="Actual",IFERROR(U32/T32,0),N(AE32))</f>
        <v/>
      </c>
      <c r="M32" s="35">
        <f>IFERROR(J32/F32,0)</f>
        <v/>
      </c>
      <c r="N32" s="36">
        <f>IFERROR(J32/E32,0)</f>
        <v/>
      </c>
      <c r="O32" s="36">
        <f>IFERROR(I32/J32,0)</f>
        <v/>
      </c>
      <c r="R32" s="52">
        <f>IF($D32="Actual",SUMIFS(Data_Actuals!$C$2:$C$5000,Data_Actuals!$A$2:$A$5000,$A32,Data_Actuals!$B$2:$B$5000,$B$2),"")</f>
        <v/>
      </c>
      <c r="S32" s="52">
        <f>IF($D32="Actual",SUMIFS(Data_Actuals!$D$2:$D$5000,Data_Actuals!$A$2:$A$5000,$A32,Data_Actuals!$B$2:$B$5000,$B$2),"")</f>
        <v/>
      </c>
      <c r="T32" s="52">
        <f>IF($D32="Actual",SUMIFS(Data_Actuals!$E$2:$E$5000,Data_Actuals!$A$2:$A$5000,$A32,Data_Actuals!$B$2:$B$5000,$B$2),"")</f>
        <v/>
      </c>
      <c r="U32" s="52">
        <f>IF($D32="Actual",SUMIFS(Data_Actuals!$F$2:$F$5000,Data_Actuals!$A$2:$A$5000,$A32,Data_Actuals!$B$2:$B$5000,$B$2),"")</f>
        <v/>
      </c>
      <c r="V32" s="52">
        <f>IF($D32="Actual",SUMIFS(Data_Actuals!$G$2:$G$5000,Data_Actuals!$A$2:$A$5000,$A32,Data_Actuals!$B$2:$B$5000,$B$2),"")</f>
        <v/>
      </c>
      <c r="W32" s="52">
        <f>SUMIFS(Plan_Inputs!$C$2:$C$5000,Plan_Inputs!$A$2:$A$5000,$A32,Plan_Inputs!$B$2:$B$5000,$B$2)</f>
        <v/>
      </c>
      <c r="X32" s="53">
        <f>IF($D32="Actual",IFERROR(S32/T32,""),X20)</f>
        <v/>
      </c>
      <c r="Y32" s="52">
        <f>E32</f>
        <v/>
      </c>
      <c r="Z32" s="54">
        <f>INDEX(Calendar!$H$5:$L$52,MATCH($A32,Calendar!$A$5:$A$52,0),MATCH($D$2,Calendar!$H$4:$L$4,0))</f>
        <v/>
      </c>
      <c r="AA32" s="54">
        <f>INDEX(Calendar!$M$5:$M$52,MATCH($A32,Calendar!$A$5:$A$52,0))</f>
        <v/>
      </c>
      <c r="AB32" s="55">
        <f>IF($D32="Actual",IFERROR(S32/Y32,""),AB20)</f>
        <v/>
      </c>
      <c r="AC32" s="56">
        <f>IF($D32="Actual",IFERROR(U32/T32/Z32/AA32,""),AC20)</f>
        <v/>
      </c>
      <c r="AD32" s="57">
        <f>IF($D32="Actual",IFERROR(V32/(U32+V32),""),$K$2)</f>
        <v/>
      </c>
      <c r="AE32" s="56">
        <f>IFERROR(AC32*Z32*AA32,"")</f>
        <v/>
      </c>
      <c r="AF32" s="53">
        <f>K20</f>
        <v/>
      </c>
      <c r="AG32" s="57">
        <f>IF($D32="Forecast",IFERROR(K32/AF32-1,""),"")</f>
        <v/>
      </c>
      <c r="AH32" s="53">
        <f>IF(CPLHSource="National breakdown",CPLH_Breakdown!AP37,SUMIFS(Plan_Inputs!$D$2:$D$5000,Plan_Inputs!$A$2:$A$5000,$A32,Plan_Inputs!$B$2:$B$5000,$B$2))</f>
        <v/>
      </c>
      <c r="AJ32" s="15">
        <f>F32*$AK$11</f>
        <v/>
      </c>
      <c r="AK32" s="9">
        <f>G32*$AK$11</f>
        <v/>
      </c>
      <c r="AL32" s="30">
        <f>H32*$AK$11</f>
        <v/>
      </c>
      <c r="AM32" s="30">
        <f>I32*$AK$11</f>
        <v/>
      </c>
      <c r="AN32" s="30">
        <f>J32*$AK$11</f>
        <v/>
      </c>
      <c r="AP32" s="15">
        <f>F32*$AQ$11</f>
        <v/>
      </c>
      <c r="AQ32" s="9">
        <f>G32*$AQ$11</f>
        <v/>
      </c>
      <c r="AR32" s="30">
        <f>H32*$AQ$11</f>
        <v/>
      </c>
      <c r="AS32" s="30">
        <f>I32*$AQ$11</f>
        <v/>
      </c>
      <c r="AT32" s="30">
        <f>J32*$AQ$11</f>
        <v/>
      </c>
      <c r="AV32" s="15">
        <f>F32*$AW$11</f>
        <v/>
      </c>
      <c r="AW32" s="9">
        <f>G32*$AW$11</f>
        <v/>
      </c>
      <c r="AX32" s="30">
        <f>H32*$AW$11</f>
        <v/>
      </c>
      <c r="AY32" s="30">
        <f>I32*$AW$11</f>
        <v/>
      </c>
      <c r="AZ32" s="30">
        <f>J32*$AW$11</f>
        <v/>
      </c>
    </row>
    <row r="33">
      <c r="A33" s="8" t="n">
        <v>46204</v>
      </c>
      <c r="B33" s="33">
        <f>YEAR(A33)</f>
        <v/>
      </c>
      <c r="C33" s="33">
        <f>MONTH(A33)</f>
        <v/>
      </c>
      <c r="D33">
        <f>IF(A33&lt;=LastActual,"Actual","Forecast")</f>
        <v/>
      </c>
      <c r="E33" s="30">
        <f>IF($D33="Actual",R33,W33)</f>
        <v/>
      </c>
      <c r="F33" s="15">
        <f>IF($D33="Actual",S33,Cases_Forecast!AO26)</f>
        <v/>
      </c>
      <c r="G33" s="9">
        <f>IF($D33="Actual",T33,IFERROR(F33/K33,0))</f>
        <v/>
      </c>
      <c r="H33" s="30">
        <f>IF($D33="Actual",U33,G33*L33)</f>
        <v/>
      </c>
      <c r="I33" s="30">
        <f>IF($D33="Actual",V33,J33-H33)</f>
        <v/>
      </c>
      <c r="J33" s="30">
        <f>IF($D33="Actual",U33+V33,IFERROR(H33/(1-AD33),0))</f>
        <v/>
      </c>
      <c r="K33" s="10">
        <f>IF($D33="Actual",IFERROR(S33/T33,0),CPLH_Forecast!AO26)</f>
        <v/>
      </c>
      <c r="L33" s="34">
        <f>IF($D33="Actual",IFERROR(U33/T33,0),N(AE33))</f>
        <v/>
      </c>
      <c r="M33" s="35">
        <f>IFERROR(J33/F33,0)</f>
        <v/>
      </c>
      <c r="N33" s="36">
        <f>IFERROR(J33/E33,0)</f>
        <v/>
      </c>
      <c r="O33" s="36">
        <f>IFERROR(I33/J33,0)</f>
        <v/>
      </c>
      <c r="R33" s="52">
        <f>IF($D33="Actual",SUMIFS(Data_Actuals!$C$2:$C$5000,Data_Actuals!$A$2:$A$5000,$A33,Data_Actuals!$B$2:$B$5000,$B$2),"")</f>
        <v/>
      </c>
      <c r="S33" s="52">
        <f>IF($D33="Actual",SUMIFS(Data_Actuals!$D$2:$D$5000,Data_Actuals!$A$2:$A$5000,$A33,Data_Actuals!$B$2:$B$5000,$B$2),"")</f>
        <v/>
      </c>
      <c r="T33" s="52">
        <f>IF($D33="Actual",SUMIFS(Data_Actuals!$E$2:$E$5000,Data_Actuals!$A$2:$A$5000,$A33,Data_Actuals!$B$2:$B$5000,$B$2),"")</f>
        <v/>
      </c>
      <c r="U33" s="52">
        <f>IF($D33="Actual",SUMIFS(Data_Actuals!$F$2:$F$5000,Data_Actuals!$A$2:$A$5000,$A33,Data_Actuals!$B$2:$B$5000,$B$2),"")</f>
        <v/>
      </c>
      <c r="V33" s="52">
        <f>IF($D33="Actual",SUMIFS(Data_Actuals!$G$2:$G$5000,Data_Actuals!$A$2:$A$5000,$A33,Data_Actuals!$B$2:$B$5000,$B$2),"")</f>
        <v/>
      </c>
      <c r="W33" s="52">
        <f>SUMIFS(Plan_Inputs!$C$2:$C$5000,Plan_Inputs!$A$2:$A$5000,$A33,Plan_Inputs!$B$2:$B$5000,$B$2)</f>
        <v/>
      </c>
      <c r="X33" s="53">
        <f>IF($D33="Actual",IFERROR(S33/T33,""),X21)</f>
        <v/>
      </c>
      <c r="Y33" s="52">
        <f>E33</f>
        <v/>
      </c>
      <c r="Z33" s="54">
        <f>INDEX(Calendar!$H$5:$L$52,MATCH($A33,Calendar!$A$5:$A$52,0),MATCH($D$2,Calendar!$H$4:$L$4,0))</f>
        <v/>
      </c>
      <c r="AA33" s="54">
        <f>INDEX(Calendar!$M$5:$M$52,MATCH($A33,Calendar!$A$5:$A$52,0))</f>
        <v/>
      </c>
      <c r="AB33" s="55">
        <f>IF($D33="Actual",IFERROR(S33/Y33,""),AB21)</f>
        <v/>
      </c>
      <c r="AC33" s="56">
        <f>IF($D33="Actual",IFERROR(U33/T33/Z33/AA33,""),AC21)</f>
        <v/>
      </c>
      <c r="AD33" s="57">
        <f>IF($D33="Actual",IFERROR(V33/(U33+V33),""),$K$2)</f>
        <v/>
      </c>
      <c r="AE33" s="56">
        <f>IFERROR(AC33*Z33*AA33,"")</f>
        <v/>
      </c>
      <c r="AF33" s="53">
        <f>K21</f>
        <v/>
      </c>
      <c r="AG33" s="57">
        <f>IF($D33="Forecast",IFERROR(K33/AF33-1,""),"")</f>
        <v/>
      </c>
      <c r="AH33" s="53">
        <f>IF(CPLHSource="National breakdown",CPLH_Breakdown!AP38,SUMIFS(Plan_Inputs!$D$2:$D$5000,Plan_Inputs!$A$2:$A$5000,$A33,Plan_Inputs!$B$2:$B$5000,$B$2))</f>
        <v/>
      </c>
      <c r="AJ33" s="15">
        <f>F33*$AK$11</f>
        <v/>
      </c>
      <c r="AK33" s="9">
        <f>G33*$AK$11</f>
        <v/>
      </c>
      <c r="AL33" s="30">
        <f>H33*$AK$11</f>
        <v/>
      </c>
      <c r="AM33" s="30">
        <f>I33*$AK$11</f>
        <v/>
      </c>
      <c r="AN33" s="30">
        <f>J33*$AK$11</f>
        <v/>
      </c>
      <c r="AP33" s="15">
        <f>F33*$AQ$11</f>
        <v/>
      </c>
      <c r="AQ33" s="9">
        <f>G33*$AQ$11</f>
        <v/>
      </c>
      <c r="AR33" s="30">
        <f>H33*$AQ$11</f>
        <v/>
      </c>
      <c r="AS33" s="30">
        <f>I33*$AQ$11</f>
        <v/>
      </c>
      <c r="AT33" s="30">
        <f>J33*$AQ$11</f>
        <v/>
      </c>
      <c r="AV33" s="15">
        <f>F33*$AW$11</f>
        <v/>
      </c>
      <c r="AW33" s="9">
        <f>G33*$AW$11</f>
        <v/>
      </c>
      <c r="AX33" s="30">
        <f>H33*$AW$11</f>
        <v/>
      </c>
      <c r="AY33" s="30">
        <f>I33*$AW$11</f>
        <v/>
      </c>
      <c r="AZ33" s="30">
        <f>J33*$AW$11</f>
        <v/>
      </c>
    </row>
    <row r="34">
      <c r="A34" s="8" t="n">
        <v>46235</v>
      </c>
      <c r="B34" s="33">
        <f>YEAR(A34)</f>
        <v/>
      </c>
      <c r="C34" s="33">
        <f>MONTH(A34)</f>
        <v/>
      </c>
      <c r="D34">
        <f>IF(A34&lt;=LastActual,"Actual","Forecast")</f>
        <v/>
      </c>
      <c r="E34" s="30">
        <f>IF($D34="Actual",R34,W34)</f>
        <v/>
      </c>
      <c r="F34" s="15">
        <f>IF($D34="Actual",S34,Cases_Forecast!AO27)</f>
        <v/>
      </c>
      <c r="G34" s="9">
        <f>IF($D34="Actual",T34,IFERROR(F34/K34,0))</f>
        <v/>
      </c>
      <c r="H34" s="30">
        <f>IF($D34="Actual",U34,G34*L34)</f>
        <v/>
      </c>
      <c r="I34" s="30">
        <f>IF($D34="Actual",V34,J34-H34)</f>
        <v/>
      </c>
      <c r="J34" s="30">
        <f>IF($D34="Actual",U34+V34,IFERROR(H34/(1-AD34),0))</f>
        <v/>
      </c>
      <c r="K34" s="10">
        <f>IF($D34="Actual",IFERROR(S34/T34,0),CPLH_Forecast!AO27)</f>
        <v/>
      </c>
      <c r="L34" s="34">
        <f>IF($D34="Actual",IFERROR(U34/T34,0),N(AE34))</f>
        <v/>
      </c>
      <c r="M34" s="35">
        <f>IFERROR(J34/F34,0)</f>
        <v/>
      </c>
      <c r="N34" s="36">
        <f>IFERROR(J34/E34,0)</f>
        <v/>
      </c>
      <c r="O34" s="36">
        <f>IFERROR(I34/J34,0)</f>
        <v/>
      </c>
      <c r="R34" s="52">
        <f>IF($D34="Actual",SUMIFS(Data_Actuals!$C$2:$C$5000,Data_Actuals!$A$2:$A$5000,$A34,Data_Actuals!$B$2:$B$5000,$B$2),"")</f>
        <v/>
      </c>
      <c r="S34" s="52">
        <f>IF($D34="Actual",SUMIFS(Data_Actuals!$D$2:$D$5000,Data_Actuals!$A$2:$A$5000,$A34,Data_Actuals!$B$2:$B$5000,$B$2),"")</f>
        <v/>
      </c>
      <c r="T34" s="52">
        <f>IF($D34="Actual",SUMIFS(Data_Actuals!$E$2:$E$5000,Data_Actuals!$A$2:$A$5000,$A34,Data_Actuals!$B$2:$B$5000,$B$2),"")</f>
        <v/>
      </c>
      <c r="U34" s="52">
        <f>IF($D34="Actual",SUMIFS(Data_Actuals!$F$2:$F$5000,Data_Actuals!$A$2:$A$5000,$A34,Data_Actuals!$B$2:$B$5000,$B$2),"")</f>
        <v/>
      </c>
      <c r="V34" s="52">
        <f>IF($D34="Actual",SUMIFS(Data_Actuals!$G$2:$G$5000,Data_Actuals!$A$2:$A$5000,$A34,Data_Actuals!$B$2:$B$5000,$B$2),"")</f>
        <v/>
      </c>
      <c r="W34" s="52">
        <f>SUMIFS(Plan_Inputs!$C$2:$C$5000,Plan_Inputs!$A$2:$A$5000,$A34,Plan_Inputs!$B$2:$B$5000,$B$2)</f>
        <v/>
      </c>
      <c r="X34" s="53">
        <f>IF($D34="Actual",IFERROR(S34/T34,""),X22)</f>
        <v/>
      </c>
      <c r="Y34" s="52">
        <f>E34</f>
        <v/>
      </c>
      <c r="Z34" s="54">
        <f>INDEX(Calendar!$H$5:$L$52,MATCH($A34,Calendar!$A$5:$A$52,0),MATCH($D$2,Calendar!$H$4:$L$4,0))</f>
        <v/>
      </c>
      <c r="AA34" s="54">
        <f>INDEX(Calendar!$M$5:$M$52,MATCH($A34,Calendar!$A$5:$A$52,0))</f>
        <v/>
      </c>
      <c r="AB34" s="55">
        <f>IF($D34="Actual",IFERROR(S34/Y34,""),AB22)</f>
        <v/>
      </c>
      <c r="AC34" s="56">
        <f>IF($D34="Actual",IFERROR(U34/T34/Z34/AA34,""),AC22)</f>
        <v/>
      </c>
      <c r="AD34" s="57">
        <f>IF($D34="Actual",IFERROR(V34/(U34+V34),""),$K$2)</f>
        <v/>
      </c>
      <c r="AE34" s="56">
        <f>IFERROR(AC34*Z34*AA34,"")</f>
        <v/>
      </c>
      <c r="AF34" s="53">
        <f>K22</f>
        <v/>
      </c>
      <c r="AG34" s="57">
        <f>IF($D34="Forecast",IFERROR(K34/AF34-1,""),"")</f>
        <v/>
      </c>
      <c r="AH34" s="53">
        <f>IF(CPLHSource="National breakdown",CPLH_Breakdown!AP39,SUMIFS(Plan_Inputs!$D$2:$D$5000,Plan_Inputs!$A$2:$A$5000,$A34,Plan_Inputs!$B$2:$B$5000,$B$2))</f>
        <v/>
      </c>
      <c r="AJ34" s="15">
        <f>F34*$AK$11</f>
        <v/>
      </c>
      <c r="AK34" s="9">
        <f>G34*$AK$11</f>
        <v/>
      </c>
      <c r="AL34" s="30">
        <f>H34*$AK$11</f>
        <v/>
      </c>
      <c r="AM34" s="30">
        <f>I34*$AK$11</f>
        <v/>
      </c>
      <c r="AN34" s="30">
        <f>J34*$AK$11</f>
        <v/>
      </c>
      <c r="AP34" s="15">
        <f>F34*$AQ$11</f>
        <v/>
      </c>
      <c r="AQ34" s="9">
        <f>G34*$AQ$11</f>
        <v/>
      </c>
      <c r="AR34" s="30">
        <f>H34*$AQ$11</f>
        <v/>
      </c>
      <c r="AS34" s="30">
        <f>I34*$AQ$11</f>
        <v/>
      </c>
      <c r="AT34" s="30">
        <f>J34*$AQ$11</f>
        <v/>
      </c>
      <c r="AV34" s="15">
        <f>F34*$AW$11</f>
        <v/>
      </c>
      <c r="AW34" s="9">
        <f>G34*$AW$11</f>
        <v/>
      </c>
      <c r="AX34" s="30">
        <f>H34*$AW$11</f>
        <v/>
      </c>
      <c r="AY34" s="30">
        <f>I34*$AW$11</f>
        <v/>
      </c>
      <c r="AZ34" s="30">
        <f>J34*$AW$11</f>
        <v/>
      </c>
    </row>
    <row r="35">
      <c r="A35" s="8" t="n">
        <v>46266</v>
      </c>
      <c r="B35" s="33">
        <f>YEAR(A35)</f>
        <v/>
      </c>
      <c r="C35" s="33">
        <f>MONTH(A35)</f>
        <v/>
      </c>
      <c r="D35">
        <f>IF(A35&lt;=LastActual,"Actual","Forecast")</f>
        <v/>
      </c>
      <c r="E35" s="30">
        <f>IF($D35="Actual",R35,W35)</f>
        <v/>
      </c>
      <c r="F35" s="15">
        <f>IF($D35="Actual",S35,Cases_Forecast!AO28)</f>
        <v/>
      </c>
      <c r="G35" s="9">
        <f>IF($D35="Actual",T35,IFERROR(F35/K35,0))</f>
        <v/>
      </c>
      <c r="H35" s="30">
        <f>IF($D35="Actual",U35,G35*L35)</f>
        <v/>
      </c>
      <c r="I35" s="30">
        <f>IF($D35="Actual",V35,J35-H35)</f>
        <v/>
      </c>
      <c r="J35" s="30">
        <f>IF($D35="Actual",U35+V35,IFERROR(H35/(1-AD35),0))</f>
        <v/>
      </c>
      <c r="K35" s="10">
        <f>IF($D35="Actual",IFERROR(S35/T35,0),CPLH_Forecast!AO28)</f>
        <v/>
      </c>
      <c r="L35" s="34">
        <f>IF($D35="Actual",IFERROR(U35/T35,0),N(AE35))</f>
        <v/>
      </c>
      <c r="M35" s="35">
        <f>IFERROR(J35/F35,0)</f>
        <v/>
      </c>
      <c r="N35" s="36">
        <f>IFERROR(J35/E35,0)</f>
        <v/>
      </c>
      <c r="O35" s="36">
        <f>IFERROR(I35/J35,0)</f>
        <v/>
      </c>
      <c r="R35" s="52">
        <f>IF($D35="Actual",SUMIFS(Data_Actuals!$C$2:$C$5000,Data_Actuals!$A$2:$A$5000,$A35,Data_Actuals!$B$2:$B$5000,$B$2),"")</f>
        <v/>
      </c>
      <c r="S35" s="52">
        <f>IF($D35="Actual",SUMIFS(Data_Actuals!$D$2:$D$5000,Data_Actuals!$A$2:$A$5000,$A35,Data_Actuals!$B$2:$B$5000,$B$2),"")</f>
        <v/>
      </c>
      <c r="T35" s="52">
        <f>IF($D35="Actual",SUMIFS(Data_Actuals!$E$2:$E$5000,Data_Actuals!$A$2:$A$5000,$A35,Data_Actuals!$B$2:$B$5000,$B$2),"")</f>
        <v/>
      </c>
      <c r="U35" s="52">
        <f>IF($D35="Actual",SUMIFS(Data_Actuals!$F$2:$F$5000,Data_Actuals!$A$2:$A$5000,$A35,Data_Actuals!$B$2:$B$5000,$B$2),"")</f>
        <v/>
      </c>
      <c r="V35" s="52">
        <f>IF($D35="Actual",SUMIFS(Data_Actuals!$G$2:$G$5000,Data_Actuals!$A$2:$A$5000,$A35,Data_Actuals!$B$2:$B$5000,$B$2),"")</f>
        <v/>
      </c>
      <c r="W35" s="52">
        <f>SUMIFS(Plan_Inputs!$C$2:$C$5000,Plan_Inputs!$A$2:$A$5000,$A35,Plan_Inputs!$B$2:$B$5000,$B$2)</f>
        <v/>
      </c>
      <c r="X35" s="53">
        <f>IF($D35="Actual",IFERROR(S35/T35,""),X23)</f>
        <v/>
      </c>
      <c r="Y35" s="52">
        <f>E35</f>
        <v/>
      </c>
      <c r="Z35" s="54">
        <f>INDEX(Calendar!$H$5:$L$52,MATCH($A35,Calendar!$A$5:$A$52,0),MATCH($D$2,Calendar!$H$4:$L$4,0))</f>
        <v/>
      </c>
      <c r="AA35" s="54">
        <f>INDEX(Calendar!$M$5:$M$52,MATCH($A35,Calendar!$A$5:$A$52,0))</f>
        <v/>
      </c>
      <c r="AB35" s="55">
        <f>IF($D35="Actual",IFERROR(S35/Y35,""),AB23)</f>
        <v/>
      </c>
      <c r="AC35" s="56">
        <f>IF($D35="Actual",IFERROR(U35/T35/Z35/AA35,""),AC23)</f>
        <v/>
      </c>
      <c r="AD35" s="57">
        <f>IF($D35="Actual",IFERROR(V35/(U35+V35),""),$K$2)</f>
        <v/>
      </c>
      <c r="AE35" s="56">
        <f>IFERROR(AC35*Z35*AA35,"")</f>
        <v/>
      </c>
      <c r="AF35" s="53">
        <f>K23</f>
        <v/>
      </c>
      <c r="AG35" s="57">
        <f>IF($D35="Forecast",IFERROR(K35/AF35-1,""),"")</f>
        <v/>
      </c>
      <c r="AH35" s="53">
        <f>IF(CPLHSource="National breakdown",CPLH_Breakdown!AP40,SUMIFS(Plan_Inputs!$D$2:$D$5000,Plan_Inputs!$A$2:$A$5000,$A35,Plan_Inputs!$B$2:$B$5000,$B$2))</f>
        <v/>
      </c>
      <c r="AJ35" s="15">
        <f>F35*$AK$11</f>
        <v/>
      </c>
      <c r="AK35" s="9">
        <f>G35*$AK$11</f>
        <v/>
      </c>
      <c r="AL35" s="30">
        <f>H35*$AK$11</f>
        <v/>
      </c>
      <c r="AM35" s="30">
        <f>I35*$AK$11</f>
        <v/>
      </c>
      <c r="AN35" s="30">
        <f>J35*$AK$11</f>
        <v/>
      </c>
      <c r="AP35" s="15">
        <f>F35*$AQ$11</f>
        <v/>
      </c>
      <c r="AQ35" s="9">
        <f>G35*$AQ$11</f>
        <v/>
      </c>
      <c r="AR35" s="30">
        <f>H35*$AQ$11</f>
        <v/>
      </c>
      <c r="AS35" s="30">
        <f>I35*$AQ$11</f>
        <v/>
      </c>
      <c r="AT35" s="30">
        <f>J35*$AQ$11</f>
        <v/>
      </c>
      <c r="AV35" s="15">
        <f>F35*$AW$11</f>
        <v/>
      </c>
      <c r="AW35" s="9">
        <f>G35*$AW$11</f>
        <v/>
      </c>
      <c r="AX35" s="30">
        <f>H35*$AW$11</f>
        <v/>
      </c>
      <c r="AY35" s="30">
        <f>I35*$AW$11</f>
        <v/>
      </c>
      <c r="AZ35" s="30">
        <f>J35*$AW$11</f>
        <v/>
      </c>
    </row>
    <row r="36">
      <c r="A36" s="8" t="n">
        <v>46296</v>
      </c>
      <c r="B36" s="33">
        <f>YEAR(A36)</f>
        <v/>
      </c>
      <c r="C36" s="33">
        <f>MONTH(A36)</f>
        <v/>
      </c>
      <c r="D36">
        <f>IF(A36&lt;=LastActual,"Actual","Forecast")</f>
        <v/>
      </c>
      <c r="E36" s="30">
        <f>IF($D36="Actual",R36,W36)</f>
        <v/>
      </c>
      <c r="F36" s="15">
        <f>IF($D36="Actual",S36,Cases_Forecast!AO29)</f>
        <v/>
      </c>
      <c r="G36" s="9">
        <f>IF($D36="Actual",T36,IFERROR(F36/K36,0))</f>
        <v/>
      </c>
      <c r="H36" s="30">
        <f>IF($D36="Actual",U36,G36*L36)</f>
        <v/>
      </c>
      <c r="I36" s="30">
        <f>IF($D36="Actual",V36,J36-H36)</f>
        <v/>
      </c>
      <c r="J36" s="30">
        <f>IF($D36="Actual",U36+V36,IFERROR(H36/(1-AD36),0))</f>
        <v/>
      </c>
      <c r="K36" s="10">
        <f>IF($D36="Actual",IFERROR(S36/T36,0),CPLH_Forecast!AO29)</f>
        <v/>
      </c>
      <c r="L36" s="34">
        <f>IF($D36="Actual",IFERROR(U36/T36,0),N(AE36))</f>
        <v/>
      </c>
      <c r="M36" s="35">
        <f>IFERROR(J36/F36,0)</f>
        <v/>
      </c>
      <c r="N36" s="36">
        <f>IFERROR(J36/E36,0)</f>
        <v/>
      </c>
      <c r="O36" s="36">
        <f>IFERROR(I36/J36,0)</f>
        <v/>
      </c>
      <c r="R36" s="52">
        <f>IF($D36="Actual",SUMIFS(Data_Actuals!$C$2:$C$5000,Data_Actuals!$A$2:$A$5000,$A36,Data_Actuals!$B$2:$B$5000,$B$2),"")</f>
        <v/>
      </c>
      <c r="S36" s="52">
        <f>IF($D36="Actual",SUMIFS(Data_Actuals!$D$2:$D$5000,Data_Actuals!$A$2:$A$5000,$A36,Data_Actuals!$B$2:$B$5000,$B$2),"")</f>
        <v/>
      </c>
      <c r="T36" s="52">
        <f>IF($D36="Actual",SUMIFS(Data_Actuals!$E$2:$E$5000,Data_Actuals!$A$2:$A$5000,$A36,Data_Actuals!$B$2:$B$5000,$B$2),"")</f>
        <v/>
      </c>
      <c r="U36" s="52">
        <f>IF($D36="Actual",SUMIFS(Data_Actuals!$F$2:$F$5000,Data_Actuals!$A$2:$A$5000,$A36,Data_Actuals!$B$2:$B$5000,$B$2),"")</f>
        <v/>
      </c>
      <c r="V36" s="52">
        <f>IF($D36="Actual",SUMIFS(Data_Actuals!$G$2:$G$5000,Data_Actuals!$A$2:$A$5000,$A36,Data_Actuals!$B$2:$B$5000,$B$2),"")</f>
        <v/>
      </c>
      <c r="W36" s="52">
        <f>SUMIFS(Plan_Inputs!$C$2:$C$5000,Plan_Inputs!$A$2:$A$5000,$A36,Plan_Inputs!$B$2:$B$5000,$B$2)</f>
        <v/>
      </c>
      <c r="X36" s="53">
        <f>IF($D36="Actual",IFERROR(S36/T36,""),X24)</f>
        <v/>
      </c>
      <c r="Y36" s="52">
        <f>E36</f>
        <v/>
      </c>
      <c r="Z36" s="54">
        <f>INDEX(Calendar!$H$5:$L$52,MATCH($A36,Calendar!$A$5:$A$52,0),MATCH($D$2,Calendar!$H$4:$L$4,0))</f>
        <v/>
      </c>
      <c r="AA36" s="54">
        <f>INDEX(Calendar!$M$5:$M$52,MATCH($A36,Calendar!$A$5:$A$52,0))</f>
        <v/>
      </c>
      <c r="AB36" s="55">
        <f>IF($D36="Actual",IFERROR(S36/Y36,""),AB24)</f>
        <v/>
      </c>
      <c r="AC36" s="56">
        <f>IF($D36="Actual",IFERROR(U36/T36/Z36/AA36,""),AC24)</f>
        <v/>
      </c>
      <c r="AD36" s="57">
        <f>IF($D36="Actual",IFERROR(V36/(U36+V36),""),$K$2)</f>
        <v/>
      </c>
      <c r="AE36" s="56">
        <f>IFERROR(AC36*Z36*AA36,"")</f>
        <v/>
      </c>
      <c r="AF36" s="53">
        <f>K24</f>
        <v/>
      </c>
      <c r="AG36" s="57">
        <f>IF($D36="Forecast",IFERROR(K36/AF36-1,""),"")</f>
        <v/>
      </c>
      <c r="AH36" s="53">
        <f>IF(CPLHSource="National breakdown",CPLH_Breakdown!AP41,SUMIFS(Plan_Inputs!$D$2:$D$5000,Plan_Inputs!$A$2:$A$5000,$A36,Plan_Inputs!$B$2:$B$5000,$B$2))</f>
        <v/>
      </c>
      <c r="AJ36" s="15">
        <f>F36*$AK$11</f>
        <v/>
      </c>
      <c r="AK36" s="9">
        <f>G36*$AK$11</f>
        <v/>
      </c>
      <c r="AL36" s="30">
        <f>H36*$AK$11</f>
        <v/>
      </c>
      <c r="AM36" s="30">
        <f>I36*$AK$11</f>
        <v/>
      </c>
      <c r="AN36" s="30">
        <f>J36*$AK$11</f>
        <v/>
      </c>
      <c r="AP36" s="15">
        <f>F36*$AQ$11</f>
        <v/>
      </c>
      <c r="AQ36" s="9">
        <f>G36*$AQ$11</f>
        <v/>
      </c>
      <c r="AR36" s="30">
        <f>H36*$AQ$11</f>
        <v/>
      </c>
      <c r="AS36" s="30">
        <f>I36*$AQ$11</f>
        <v/>
      </c>
      <c r="AT36" s="30">
        <f>J36*$AQ$11</f>
        <v/>
      </c>
      <c r="AV36" s="15">
        <f>F36*$AW$11</f>
        <v/>
      </c>
      <c r="AW36" s="9">
        <f>G36*$AW$11</f>
        <v/>
      </c>
      <c r="AX36" s="30">
        <f>H36*$AW$11</f>
        <v/>
      </c>
      <c r="AY36" s="30">
        <f>I36*$AW$11</f>
        <v/>
      </c>
      <c r="AZ36" s="30">
        <f>J36*$AW$11</f>
        <v/>
      </c>
    </row>
    <row r="37">
      <c r="A37" s="8" t="n">
        <v>46327</v>
      </c>
      <c r="B37" s="33">
        <f>YEAR(A37)</f>
        <v/>
      </c>
      <c r="C37" s="33">
        <f>MONTH(A37)</f>
        <v/>
      </c>
      <c r="D37">
        <f>IF(A37&lt;=LastActual,"Actual","Forecast")</f>
        <v/>
      </c>
      <c r="E37" s="30">
        <f>IF($D37="Actual",R37,W37)</f>
        <v/>
      </c>
      <c r="F37" s="15">
        <f>IF($D37="Actual",S37,Cases_Forecast!AO30)</f>
        <v/>
      </c>
      <c r="G37" s="9">
        <f>IF($D37="Actual",T37,IFERROR(F37/K37,0))</f>
        <v/>
      </c>
      <c r="H37" s="30">
        <f>IF($D37="Actual",U37,G37*L37)</f>
        <v/>
      </c>
      <c r="I37" s="30">
        <f>IF($D37="Actual",V37,J37-H37)</f>
        <v/>
      </c>
      <c r="J37" s="30">
        <f>IF($D37="Actual",U37+V37,IFERROR(H37/(1-AD37),0))</f>
        <v/>
      </c>
      <c r="K37" s="10">
        <f>IF($D37="Actual",IFERROR(S37/T37,0),CPLH_Forecast!AO30)</f>
        <v/>
      </c>
      <c r="L37" s="34">
        <f>IF($D37="Actual",IFERROR(U37/T37,0),N(AE37))</f>
        <v/>
      </c>
      <c r="M37" s="35">
        <f>IFERROR(J37/F37,0)</f>
        <v/>
      </c>
      <c r="N37" s="36">
        <f>IFERROR(J37/E37,0)</f>
        <v/>
      </c>
      <c r="O37" s="36">
        <f>IFERROR(I37/J37,0)</f>
        <v/>
      </c>
      <c r="R37" s="52">
        <f>IF($D37="Actual",SUMIFS(Data_Actuals!$C$2:$C$5000,Data_Actuals!$A$2:$A$5000,$A37,Data_Actuals!$B$2:$B$5000,$B$2),"")</f>
        <v/>
      </c>
      <c r="S37" s="52">
        <f>IF($D37="Actual",SUMIFS(Data_Actuals!$D$2:$D$5000,Data_Actuals!$A$2:$A$5000,$A37,Data_Actuals!$B$2:$B$5000,$B$2),"")</f>
        <v/>
      </c>
      <c r="T37" s="52">
        <f>IF($D37="Actual",SUMIFS(Data_Actuals!$E$2:$E$5000,Data_Actuals!$A$2:$A$5000,$A37,Data_Actuals!$B$2:$B$5000,$B$2),"")</f>
        <v/>
      </c>
      <c r="U37" s="52">
        <f>IF($D37="Actual",SUMIFS(Data_Actuals!$F$2:$F$5000,Data_Actuals!$A$2:$A$5000,$A37,Data_Actuals!$B$2:$B$5000,$B$2),"")</f>
        <v/>
      </c>
      <c r="V37" s="52">
        <f>IF($D37="Actual",SUMIFS(Data_Actuals!$G$2:$G$5000,Data_Actuals!$A$2:$A$5000,$A37,Data_Actuals!$B$2:$B$5000,$B$2),"")</f>
        <v/>
      </c>
      <c r="W37" s="52">
        <f>SUMIFS(Plan_Inputs!$C$2:$C$5000,Plan_Inputs!$A$2:$A$5000,$A37,Plan_Inputs!$B$2:$B$5000,$B$2)</f>
        <v/>
      </c>
      <c r="X37" s="53">
        <f>IF($D37="Actual",IFERROR(S37/T37,""),X25)</f>
        <v/>
      </c>
      <c r="Y37" s="52">
        <f>E37</f>
        <v/>
      </c>
      <c r="Z37" s="54">
        <f>INDEX(Calendar!$H$5:$L$52,MATCH($A37,Calendar!$A$5:$A$52,0),MATCH($D$2,Calendar!$H$4:$L$4,0))</f>
        <v/>
      </c>
      <c r="AA37" s="54">
        <f>INDEX(Calendar!$M$5:$M$52,MATCH($A37,Calendar!$A$5:$A$52,0))</f>
        <v/>
      </c>
      <c r="AB37" s="55">
        <f>IF($D37="Actual",IFERROR(S37/Y37,""),AB25)</f>
        <v/>
      </c>
      <c r="AC37" s="56">
        <f>IF($D37="Actual",IFERROR(U37/T37/Z37/AA37,""),AC25)</f>
        <v/>
      </c>
      <c r="AD37" s="57">
        <f>IF($D37="Actual",IFERROR(V37/(U37+V37),""),$K$2)</f>
        <v/>
      </c>
      <c r="AE37" s="56">
        <f>IFERROR(AC37*Z37*AA37,"")</f>
        <v/>
      </c>
      <c r="AF37" s="53">
        <f>K25</f>
        <v/>
      </c>
      <c r="AG37" s="57">
        <f>IF($D37="Forecast",IFERROR(K37/AF37-1,""),"")</f>
        <v/>
      </c>
      <c r="AH37" s="53">
        <f>IF(CPLHSource="National breakdown",CPLH_Breakdown!AP42,SUMIFS(Plan_Inputs!$D$2:$D$5000,Plan_Inputs!$A$2:$A$5000,$A37,Plan_Inputs!$B$2:$B$5000,$B$2))</f>
        <v/>
      </c>
      <c r="AJ37" s="15">
        <f>F37*$AK$11</f>
        <v/>
      </c>
      <c r="AK37" s="9">
        <f>G37*$AK$11</f>
        <v/>
      </c>
      <c r="AL37" s="30">
        <f>H37*$AK$11</f>
        <v/>
      </c>
      <c r="AM37" s="30">
        <f>I37*$AK$11</f>
        <v/>
      </c>
      <c r="AN37" s="30">
        <f>J37*$AK$11</f>
        <v/>
      </c>
      <c r="AP37" s="15">
        <f>F37*$AQ$11</f>
        <v/>
      </c>
      <c r="AQ37" s="9">
        <f>G37*$AQ$11</f>
        <v/>
      </c>
      <c r="AR37" s="30">
        <f>H37*$AQ$11</f>
        <v/>
      </c>
      <c r="AS37" s="30">
        <f>I37*$AQ$11</f>
        <v/>
      </c>
      <c r="AT37" s="30">
        <f>J37*$AQ$11</f>
        <v/>
      </c>
      <c r="AV37" s="15">
        <f>F37*$AW$11</f>
        <v/>
      </c>
      <c r="AW37" s="9">
        <f>G37*$AW$11</f>
        <v/>
      </c>
      <c r="AX37" s="30">
        <f>H37*$AW$11</f>
        <v/>
      </c>
      <c r="AY37" s="30">
        <f>I37*$AW$11</f>
        <v/>
      </c>
      <c r="AZ37" s="30">
        <f>J37*$AW$11</f>
        <v/>
      </c>
    </row>
    <row r="38">
      <c r="A38" s="37" t="n">
        <v>46357</v>
      </c>
      <c r="B38" s="38">
        <f>YEAR(A38)</f>
        <v/>
      </c>
      <c r="C38" s="38">
        <f>MONTH(A38)</f>
        <v/>
      </c>
      <c r="D38" s="39">
        <f>IF(A38&lt;=LastActual,"Actual","Forecast")</f>
        <v/>
      </c>
      <c r="E38" s="40">
        <f>IF($D38="Actual",R38,W38)</f>
        <v/>
      </c>
      <c r="F38" s="41">
        <f>IF($D38="Actual",S38,Cases_Forecast!AO31)</f>
        <v/>
      </c>
      <c r="G38" s="42">
        <f>IF($D38="Actual",T38,IFERROR(F38/K38,0))</f>
        <v/>
      </c>
      <c r="H38" s="40">
        <f>IF($D38="Actual",U38,G38*L38)</f>
        <v/>
      </c>
      <c r="I38" s="40">
        <f>IF($D38="Actual",V38,J38-H38)</f>
        <v/>
      </c>
      <c r="J38" s="40">
        <f>IF($D38="Actual",U38+V38,IFERROR(H38/(1-AD38),0))</f>
        <v/>
      </c>
      <c r="K38" s="43">
        <f>IF($D38="Actual",IFERROR(S38/T38,0),CPLH_Forecast!AO31)</f>
        <v/>
      </c>
      <c r="L38" s="44">
        <f>IF($D38="Actual",IFERROR(U38/T38,0),N(AE38))</f>
        <v/>
      </c>
      <c r="M38" s="45">
        <f>IFERROR(J38/F38,0)</f>
        <v/>
      </c>
      <c r="N38" s="46">
        <f>IFERROR(J38/E38,0)</f>
        <v/>
      </c>
      <c r="O38" s="46">
        <f>IFERROR(I38/J38,0)</f>
        <v/>
      </c>
      <c r="R38" s="52">
        <f>IF($D38="Actual",SUMIFS(Data_Actuals!$C$2:$C$5000,Data_Actuals!$A$2:$A$5000,$A38,Data_Actuals!$B$2:$B$5000,$B$2),"")</f>
        <v/>
      </c>
      <c r="S38" s="52">
        <f>IF($D38="Actual",SUMIFS(Data_Actuals!$D$2:$D$5000,Data_Actuals!$A$2:$A$5000,$A38,Data_Actuals!$B$2:$B$5000,$B$2),"")</f>
        <v/>
      </c>
      <c r="T38" s="52">
        <f>IF($D38="Actual",SUMIFS(Data_Actuals!$E$2:$E$5000,Data_Actuals!$A$2:$A$5000,$A38,Data_Actuals!$B$2:$B$5000,$B$2),"")</f>
        <v/>
      </c>
      <c r="U38" s="52">
        <f>IF($D38="Actual",SUMIFS(Data_Actuals!$F$2:$F$5000,Data_Actuals!$A$2:$A$5000,$A38,Data_Actuals!$B$2:$B$5000,$B$2),"")</f>
        <v/>
      </c>
      <c r="V38" s="52">
        <f>IF($D38="Actual",SUMIFS(Data_Actuals!$G$2:$G$5000,Data_Actuals!$A$2:$A$5000,$A38,Data_Actuals!$B$2:$B$5000,$B$2),"")</f>
        <v/>
      </c>
      <c r="W38" s="52">
        <f>SUMIFS(Plan_Inputs!$C$2:$C$5000,Plan_Inputs!$A$2:$A$5000,$A38,Plan_Inputs!$B$2:$B$5000,$B$2)</f>
        <v/>
      </c>
      <c r="X38" s="53">
        <f>IF($D38="Actual",IFERROR(S38/T38,""),X26)</f>
        <v/>
      </c>
      <c r="Y38" s="52">
        <f>E38</f>
        <v/>
      </c>
      <c r="Z38" s="54">
        <f>INDEX(Calendar!$H$5:$L$52,MATCH($A38,Calendar!$A$5:$A$52,0),MATCH($D$2,Calendar!$H$4:$L$4,0))</f>
        <v/>
      </c>
      <c r="AA38" s="54">
        <f>INDEX(Calendar!$M$5:$M$52,MATCH($A38,Calendar!$A$5:$A$52,0))</f>
        <v/>
      </c>
      <c r="AB38" s="55">
        <f>IF($D38="Actual",IFERROR(S38/Y38,""),AB26)</f>
        <v/>
      </c>
      <c r="AC38" s="56">
        <f>IF($D38="Actual",IFERROR(U38/T38/Z38/AA38,""),AC26)</f>
        <v/>
      </c>
      <c r="AD38" s="57">
        <f>IF($D38="Actual",IFERROR(V38/(U38+V38),""),$K$2)</f>
        <v/>
      </c>
      <c r="AE38" s="56">
        <f>IFERROR(AC38*Z38*AA38,"")</f>
        <v/>
      </c>
      <c r="AF38" s="53">
        <f>K26</f>
        <v/>
      </c>
      <c r="AG38" s="57">
        <f>IF($D38="Forecast",IFERROR(K38/AF38-1,""),"")</f>
        <v/>
      </c>
      <c r="AH38" s="53">
        <f>IF(CPLHSource="National breakdown",CPLH_Breakdown!AP43,SUMIFS(Plan_Inputs!$D$2:$D$5000,Plan_Inputs!$A$2:$A$5000,$A38,Plan_Inputs!$B$2:$B$5000,$B$2))</f>
        <v/>
      </c>
      <c r="AJ38" s="41">
        <f>F38*$AK$11</f>
        <v/>
      </c>
      <c r="AK38" s="42">
        <f>G38*$AK$11</f>
        <v/>
      </c>
      <c r="AL38" s="40">
        <f>H38*$AK$11</f>
        <v/>
      </c>
      <c r="AM38" s="40">
        <f>I38*$AK$11</f>
        <v/>
      </c>
      <c r="AN38" s="40">
        <f>J38*$AK$11</f>
        <v/>
      </c>
      <c r="AP38" s="41">
        <f>F38*$AQ$11</f>
        <v/>
      </c>
      <c r="AQ38" s="42">
        <f>G38*$AQ$11</f>
        <v/>
      </c>
      <c r="AR38" s="40">
        <f>H38*$AQ$11</f>
        <v/>
      </c>
      <c r="AS38" s="40">
        <f>I38*$AQ$11</f>
        <v/>
      </c>
      <c r="AT38" s="40">
        <f>J38*$AQ$11</f>
        <v/>
      </c>
      <c r="AV38" s="41">
        <f>F38*$AW$11</f>
        <v/>
      </c>
      <c r="AW38" s="42">
        <f>G38*$AW$11</f>
        <v/>
      </c>
      <c r="AX38" s="40">
        <f>H38*$AW$11</f>
        <v/>
      </c>
      <c r="AY38" s="40">
        <f>I38*$AW$11</f>
        <v/>
      </c>
      <c r="AZ38" s="40">
        <f>J38*$AW$11</f>
        <v/>
      </c>
    </row>
    <row r="39">
      <c r="A39" s="8" t="n">
        <v>46388</v>
      </c>
      <c r="B39" s="33">
        <f>YEAR(A39)</f>
        <v/>
      </c>
      <c r="C39" s="33">
        <f>MONTH(A39)</f>
        <v/>
      </c>
      <c r="D39">
        <f>IF(A39&lt;=LastActual,"Actual","Forecast")</f>
        <v/>
      </c>
      <c r="E39" s="30">
        <f>IF($D39="Actual",R39,W39)</f>
        <v/>
      </c>
      <c r="F39" s="15">
        <f>IF($D39="Actual",S39,Cases_Forecast!AO32)</f>
        <v/>
      </c>
      <c r="G39" s="9">
        <f>IF($D39="Actual",T39,IFERROR(F39/K39,0))</f>
        <v/>
      </c>
      <c r="H39" s="30">
        <f>IF($D39="Actual",U39,G39*L39)</f>
        <v/>
      </c>
      <c r="I39" s="30">
        <f>IF($D39="Actual",V39,J39-H39)</f>
        <v/>
      </c>
      <c r="J39" s="30">
        <f>IF($D39="Actual",U39+V39,IFERROR(H39/(1-AD39),0))</f>
        <v/>
      </c>
      <c r="K39" s="10">
        <f>IF($D39="Actual",IFERROR(S39/T39,0),CPLH_Forecast!AO32)</f>
        <v/>
      </c>
      <c r="L39" s="34">
        <f>IF($D39="Actual",IFERROR(U39/T39,0),N(AE39))</f>
        <v/>
      </c>
      <c r="M39" s="35">
        <f>IFERROR(J39/F39,0)</f>
        <v/>
      </c>
      <c r="N39" s="36">
        <f>IFERROR(J39/E39,0)</f>
        <v/>
      </c>
      <c r="O39" s="36">
        <f>IFERROR(I39/J39,0)</f>
        <v/>
      </c>
      <c r="R39" s="52">
        <f>IF($D39="Actual",SUMIFS(Data_Actuals!$C$2:$C$5000,Data_Actuals!$A$2:$A$5000,$A39,Data_Actuals!$B$2:$B$5000,$B$2),"")</f>
        <v/>
      </c>
      <c r="S39" s="52">
        <f>IF($D39="Actual",SUMIFS(Data_Actuals!$D$2:$D$5000,Data_Actuals!$A$2:$A$5000,$A39,Data_Actuals!$B$2:$B$5000,$B$2),"")</f>
        <v/>
      </c>
      <c r="T39" s="52">
        <f>IF($D39="Actual",SUMIFS(Data_Actuals!$E$2:$E$5000,Data_Actuals!$A$2:$A$5000,$A39,Data_Actuals!$B$2:$B$5000,$B$2),"")</f>
        <v/>
      </c>
      <c r="U39" s="52">
        <f>IF($D39="Actual",SUMIFS(Data_Actuals!$F$2:$F$5000,Data_Actuals!$A$2:$A$5000,$A39,Data_Actuals!$B$2:$B$5000,$B$2),"")</f>
        <v/>
      </c>
      <c r="V39" s="52">
        <f>IF($D39="Actual",SUMIFS(Data_Actuals!$G$2:$G$5000,Data_Actuals!$A$2:$A$5000,$A39,Data_Actuals!$B$2:$B$5000,$B$2),"")</f>
        <v/>
      </c>
      <c r="W39" s="52">
        <f>SUMIFS(Plan_Inputs!$C$2:$C$5000,Plan_Inputs!$A$2:$A$5000,$A39,Plan_Inputs!$B$2:$B$5000,$B$2)</f>
        <v/>
      </c>
      <c r="X39" s="53">
        <f>IF($D39="Actual",IFERROR(S39/T39,""),X27)</f>
        <v/>
      </c>
      <c r="Y39" s="52">
        <f>E39</f>
        <v/>
      </c>
      <c r="Z39" s="54">
        <f>INDEX(Calendar!$H$5:$L$52,MATCH($A39,Calendar!$A$5:$A$52,0),MATCH($D$2,Calendar!$H$4:$L$4,0))</f>
        <v/>
      </c>
      <c r="AA39" s="54">
        <f>INDEX(Calendar!$M$5:$M$52,MATCH($A39,Calendar!$A$5:$A$52,0))</f>
        <v/>
      </c>
      <c r="AB39" s="55">
        <f>IF($D39="Actual",IFERROR(S39/Y39,""),AB27)</f>
        <v/>
      </c>
      <c r="AC39" s="56">
        <f>IF($D39="Actual",IFERROR(U39/T39/Z39/AA39,""),AC27)</f>
        <v/>
      </c>
      <c r="AD39" s="57">
        <f>IF($D39="Actual",IFERROR(V39/(U39+V39),""),$K$2)</f>
        <v/>
      </c>
      <c r="AE39" s="56">
        <f>IFERROR(AC39*Z39*AA39,"")</f>
        <v/>
      </c>
      <c r="AF39" s="53">
        <f>K27</f>
        <v/>
      </c>
      <c r="AG39" s="57">
        <f>IF($D39="Forecast",IFERROR(K39/AF39-1,""),"")</f>
        <v/>
      </c>
      <c r="AH39" s="53">
        <f>IF(CPLHSource="National breakdown",CPLH_Breakdown!AP44,SUMIFS(Plan_Inputs!$D$2:$D$5000,Plan_Inputs!$A$2:$A$5000,$A39,Plan_Inputs!$B$2:$B$5000,$B$2))</f>
        <v/>
      </c>
      <c r="AJ39" s="15">
        <f>F39*$AK$11</f>
        <v/>
      </c>
      <c r="AK39" s="9">
        <f>G39*$AK$11</f>
        <v/>
      </c>
      <c r="AL39" s="30">
        <f>H39*$AK$11</f>
        <v/>
      </c>
      <c r="AM39" s="30">
        <f>I39*$AK$11</f>
        <v/>
      </c>
      <c r="AN39" s="30">
        <f>J39*$AK$11</f>
        <v/>
      </c>
      <c r="AP39" s="15">
        <f>F39*$AQ$11</f>
        <v/>
      </c>
      <c r="AQ39" s="9">
        <f>G39*$AQ$11</f>
        <v/>
      </c>
      <c r="AR39" s="30">
        <f>H39*$AQ$11</f>
        <v/>
      </c>
      <c r="AS39" s="30">
        <f>I39*$AQ$11</f>
        <v/>
      </c>
      <c r="AT39" s="30">
        <f>J39*$AQ$11</f>
        <v/>
      </c>
      <c r="AV39" s="15">
        <f>F39*$AW$11</f>
        <v/>
      </c>
      <c r="AW39" s="9">
        <f>G39*$AW$11</f>
        <v/>
      </c>
      <c r="AX39" s="30">
        <f>H39*$AW$11</f>
        <v/>
      </c>
      <c r="AY39" s="30">
        <f>I39*$AW$11</f>
        <v/>
      </c>
      <c r="AZ39" s="30">
        <f>J39*$AW$11</f>
        <v/>
      </c>
    </row>
    <row r="40">
      <c r="A40" s="8" t="n">
        <v>46419</v>
      </c>
      <c r="B40" s="33">
        <f>YEAR(A40)</f>
        <v/>
      </c>
      <c r="C40" s="33">
        <f>MONTH(A40)</f>
        <v/>
      </c>
      <c r="D40">
        <f>IF(A40&lt;=LastActual,"Actual","Forecast")</f>
        <v/>
      </c>
      <c r="E40" s="30">
        <f>IF($D40="Actual",R40,W40)</f>
        <v/>
      </c>
      <c r="F40" s="15">
        <f>IF($D40="Actual",S40,Cases_Forecast!AO33)</f>
        <v/>
      </c>
      <c r="G40" s="9">
        <f>IF($D40="Actual",T40,IFERROR(F40/K40,0))</f>
        <v/>
      </c>
      <c r="H40" s="30">
        <f>IF($D40="Actual",U40,G40*L40)</f>
        <v/>
      </c>
      <c r="I40" s="30">
        <f>IF($D40="Actual",V40,J40-H40)</f>
        <v/>
      </c>
      <c r="J40" s="30">
        <f>IF($D40="Actual",U40+V40,IFERROR(H40/(1-AD40),0))</f>
        <v/>
      </c>
      <c r="K40" s="10">
        <f>IF($D40="Actual",IFERROR(S40/T40,0),CPLH_Forecast!AO33)</f>
        <v/>
      </c>
      <c r="L40" s="34">
        <f>IF($D40="Actual",IFERROR(U40/T40,0),N(AE40))</f>
        <v/>
      </c>
      <c r="M40" s="35">
        <f>IFERROR(J40/F40,0)</f>
        <v/>
      </c>
      <c r="N40" s="36">
        <f>IFERROR(J40/E40,0)</f>
        <v/>
      </c>
      <c r="O40" s="36">
        <f>IFERROR(I40/J40,0)</f>
        <v/>
      </c>
      <c r="R40" s="52">
        <f>IF($D40="Actual",SUMIFS(Data_Actuals!$C$2:$C$5000,Data_Actuals!$A$2:$A$5000,$A40,Data_Actuals!$B$2:$B$5000,$B$2),"")</f>
        <v/>
      </c>
      <c r="S40" s="52">
        <f>IF($D40="Actual",SUMIFS(Data_Actuals!$D$2:$D$5000,Data_Actuals!$A$2:$A$5000,$A40,Data_Actuals!$B$2:$B$5000,$B$2),"")</f>
        <v/>
      </c>
      <c r="T40" s="52">
        <f>IF($D40="Actual",SUMIFS(Data_Actuals!$E$2:$E$5000,Data_Actuals!$A$2:$A$5000,$A40,Data_Actuals!$B$2:$B$5000,$B$2),"")</f>
        <v/>
      </c>
      <c r="U40" s="52">
        <f>IF($D40="Actual",SUMIFS(Data_Actuals!$F$2:$F$5000,Data_Actuals!$A$2:$A$5000,$A40,Data_Actuals!$B$2:$B$5000,$B$2),"")</f>
        <v/>
      </c>
      <c r="V40" s="52">
        <f>IF($D40="Actual",SUMIFS(Data_Actuals!$G$2:$G$5000,Data_Actuals!$A$2:$A$5000,$A40,Data_Actuals!$B$2:$B$5000,$B$2),"")</f>
        <v/>
      </c>
      <c r="W40" s="52">
        <f>SUMIFS(Plan_Inputs!$C$2:$C$5000,Plan_Inputs!$A$2:$A$5000,$A40,Plan_Inputs!$B$2:$B$5000,$B$2)</f>
        <v/>
      </c>
      <c r="X40" s="53">
        <f>IF($D40="Actual",IFERROR(S40/T40,""),X28)</f>
        <v/>
      </c>
      <c r="Y40" s="52">
        <f>E40</f>
        <v/>
      </c>
      <c r="Z40" s="54">
        <f>INDEX(Calendar!$H$5:$L$52,MATCH($A40,Calendar!$A$5:$A$52,0),MATCH($D$2,Calendar!$H$4:$L$4,0))</f>
        <v/>
      </c>
      <c r="AA40" s="54">
        <f>INDEX(Calendar!$M$5:$M$52,MATCH($A40,Calendar!$A$5:$A$52,0))</f>
        <v/>
      </c>
      <c r="AB40" s="55">
        <f>IF($D40="Actual",IFERROR(S40/Y40,""),AB28)</f>
        <v/>
      </c>
      <c r="AC40" s="56">
        <f>IF($D40="Actual",IFERROR(U40/T40/Z40/AA40,""),AC28)</f>
        <v/>
      </c>
      <c r="AD40" s="57">
        <f>IF($D40="Actual",IFERROR(V40/(U40+V40),""),$K$2)</f>
        <v/>
      </c>
      <c r="AE40" s="56">
        <f>IFERROR(AC40*Z40*AA40,"")</f>
        <v/>
      </c>
      <c r="AF40" s="53">
        <f>K28</f>
        <v/>
      </c>
      <c r="AG40" s="57">
        <f>IF($D40="Forecast",IFERROR(K40/AF40-1,""),"")</f>
        <v/>
      </c>
      <c r="AH40" s="53">
        <f>IF(CPLHSource="National breakdown",CPLH_Breakdown!AP45,SUMIFS(Plan_Inputs!$D$2:$D$5000,Plan_Inputs!$A$2:$A$5000,$A40,Plan_Inputs!$B$2:$B$5000,$B$2))</f>
        <v/>
      </c>
      <c r="AJ40" s="15">
        <f>F40*$AK$11</f>
        <v/>
      </c>
      <c r="AK40" s="9">
        <f>G40*$AK$11</f>
        <v/>
      </c>
      <c r="AL40" s="30">
        <f>H40*$AK$11</f>
        <v/>
      </c>
      <c r="AM40" s="30">
        <f>I40*$AK$11</f>
        <v/>
      </c>
      <c r="AN40" s="30">
        <f>J40*$AK$11</f>
        <v/>
      </c>
      <c r="AP40" s="15">
        <f>F40*$AQ$11</f>
        <v/>
      </c>
      <c r="AQ40" s="9">
        <f>G40*$AQ$11</f>
        <v/>
      </c>
      <c r="AR40" s="30">
        <f>H40*$AQ$11</f>
        <v/>
      </c>
      <c r="AS40" s="30">
        <f>I40*$AQ$11</f>
        <v/>
      </c>
      <c r="AT40" s="30">
        <f>J40*$AQ$11</f>
        <v/>
      </c>
      <c r="AV40" s="15">
        <f>F40*$AW$11</f>
        <v/>
      </c>
      <c r="AW40" s="9">
        <f>G40*$AW$11</f>
        <v/>
      </c>
      <c r="AX40" s="30">
        <f>H40*$AW$11</f>
        <v/>
      </c>
      <c r="AY40" s="30">
        <f>I40*$AW$11</f>
        <v/>
      </c>
      <c r="AZ40" s="30">
        <f>J40*$AW$11</f>
        <v/>
      </c>
    </row>
    <row r="41">
      <c r="A41" s="8" t="n">
        <v>46447</v>
      </c>
      <c r="B41" s="33">
        <f>YEAR(A41)</f>
        <v/>
      </c>
      <c r="C41" s="33">
        <f>MONTH(A41)</f>
        <v/>
      </c>
      <c r="D41">
        <f>IF(A41&lt;=LastActual,"Actual","Forecast")</f>
        <v/>
      </c>
      <c r="E41" s="30">
        <f>IF($D41="Actual",R41,W41)</f>
        <v/>
      </c>
      <c r="F41" s="15">
        <f>IF($D41="Actual",S41,Cases_Forecast!AO34)</f>
        <v/>
      </c>
      <c r="G41" s="9">
        <f>IF($D41="Actual",T41,IFERROR(F41/K41,0))</f>
        <v/>
      </c>
      <c r="H41" s="30">
        <f>IF($D41="Actual",U41,G41*L41)</f>
        <v/>
      </c>
      <c r="I41" s="30">
        <f>IF($D41="Actual",V41,J41-H41)</f>
        <v/>
      </c>
      <c r="J41" s="30">
        <f>IF($D41="Actual",U41+V41,IFERROR(H41/(1-AD41),0))</f>
        <v/>
      </c>
      <c r="K41" s="10">
        <f>IF($D41="Actual",IFERROR(S41/T41,0),CPLH_Forecast!AO34)</f>
        <v/>
      </c>
      <c r="L41" s="34">
        <f>IF($D41="Actual",IFERROR(U41/T41,0),N(AE41))</f>
        <v/>
      </c>
      <c r="M41" s="35">
        <f>IFERROR(J41/F41,0)</f>
        <v/>
      </c>
      <c r="N41" s="36">
        <f>IFERROR(J41/E41,0)</f>
        <v/>
      </c>
      <c r="O41" s="36">
        <f>IFERROR(I41/J41,0)</f>
        <v/>
      </c>
      <c r="R41" s="52">
        <f>IF($D41="Actual",SUMIFS(Data_Actuals!$C$2:$C$5000,Data_Actuals!$A$2:$A$5000,$A41,Data_Actuals!$B$2:$B$5000,$B$2),"")</f>
        <v/>
      </c>
      <c r="S41" s="52">
        <f>IF($D41="Actual",SUMIFS(Data_Actuals!$D$2:$D$5000,Data_Actuals!$A$2:$A$5000,$A41,Data_Actuals!$B$2:$B$5000,$B$2),"")</f>
        <v/>
      </c>
      <c r="T41" s="52">
        <f>IF($D41="Actual",SUMIFS(Data_Actuals!$E$2:$E$5000,Data_Actuals!$A$2:$A$5000,$A41,Data_Actuals!$B$2:$B$5000,$B$2),"")</f>
        <v/>
      </c>
      <c r="U41" s="52">
        <f>IF($D41="Actual",SUMIFS(Data_Actuals!$F$2:$F$5000,Data_Actuals!$A$2:$A$5000,$A41,Data_Actuals!$B$2:$B$5000,$B$2),"")</f>
        <v/>
      </c>
      <c r="V41" s="52">
        <f>IF($D41="Actual",SUMIFS(Data_Actuals!$G$2:$G$5000,Data_Actuals!$A$2:$A$5000,$A41,Data_Actuals!$B$2:$B$5000,$B$2),"")</f>
        <v/>
      </c>
      <c r="W41" s="52">
        <f>SUMIFS(Plan_Inputs!$C$2:$C$5000,Plan_Inputs!$A$2:$A$5000,$A41,Plan_Inputs!$B$2:$B$5000,$B$2)</f>
        <v/>
      </c>
      <c r="X41" s="53">
        <f>IF($D41="Actual",IFERROR(S41/T41,""),X29)</f>
        <v/>
      </c>
      <c r="Y41" s="52">
        <f>E41</f>
        <v/>
      </c>
      <c r="Z41" s="54">
        <f>INDEX(Calendar!$H$5:$L$52,MATCH($A41,Calendar!$A$5:$A$52,0),MATCH($D$2,Calendar!$H$4:$L$4,0))</f>
        <v/>
      </c>
      <c r="AA41" s="54">
        <f>INDEX(Calendar!$M$5:$M$52,MATCH($A41,Calendar!$A$5:$A$52,0))</f>
        <v/>
      </c>
      <c r="AB41" s="55">
        <f>IF($D41="Actual",IFERROR(S41/Y41,""),AB29)</f>
        <v/>
      </c>
      <c r="AC41" s="56">
        <f>IF($D41="Actual",IFERROR(U41/T41/Z41/AA41,""),AC29)</f>
        <v/>
      </c>
      <c r="AD41" s="57">
        <f>IF($D41="Actual",IFERROR(V41/(U41+V41),""),$K$2)</f>
        <v/>
      </c>
      <c r="AE41" s="56">
        <f>IFERROR(AC41*Z41*AA41,"")</f>
        <v/>
      </c>
      <c r="AF41" s="53">
        <f>K29</f>
        <v/>
      </c>
      <c r="AG41" s="57">
        <f>IF($D41="Forecast",IFERROR(K41/AF41-1,""),"")</f>
        <v/>
      </c>
      <c r="AH41" s="53">
        <f>IF(CPLHSource="National breakdown",CPLH_Breakdown!AP46,SUMIFS(Plan_Inputs!$D$2:$D$5000,Plan_Inputs!$A$2:$A$5000,$A41,Plan_Inputs!$B$2:$B$5000,$B$2))</f>
        <v/>
      </c>
      <c r="AJ41" s="15">
        <f>F41*$AK$11</f>
        <v/>
      </c>
      <c r="AK41" s="9">
        <f>G41*$AK$11</f>
        <v/>
      </c>
      <c r="AL41" s="30">
        <f>H41*$AK$11</f>
        <v/>
      </c>
      <c r="AM41" s="30">
        <f>I41*$AK$11</f>
        <v/>
      </c>
      <c r="AN41" s="30">
        <f>J41*$AK$11</f>
        <v/>
      </c>
      <c r="AP41" s="15">
        <f>F41*$AQ$11</f>
        <v/>
      </c>
      <c r="AQ41" s="9">
        <f>G41*$AQ$11</f>
        <v/>
      </c>
      <c r="AR41" s="30">
        <f>H41*$AQ$11</f>
        <v/>
      </c>
      <c r="AS41" s="30">
        <f>I41*$AQ$11</f>
        <v/>
      </c>
      <c r="AT41" s="30">
        <f>J41*$AQ$11</f>
        <v/>
      </c>
      <c r="AV41" s="15">
        <f>F41*$AW$11</f>
        <v/>
      </c>
      <c r="AW41" s="9">
        <f>G41*$AW$11</f>
        <v/>
      </c>
      <c r="AX41" s="30">
        <f>H41*$AW$11</f>
        <v/>
      </c>
      <c r="AY41" s="30">
        <f>I41*$AW$11</f>
        <v/>
      </c>
      <c r="AZ41" s="30">
        <f>J41*$AW$11</f>
        <v/>
      </c>
    </row>
    <row r="42">
      <c r="A42" s="8" t="n">
        <v>46478</v>
      </c>
      <c r="B42" s="33">
        <f>YEAR(A42)</f>
        <v/>
      </c>
      <c r="C42" s="33">
        <f>MONTH(A42)</f>
        <v/>
      </c>
      <c r="D42">
        <f>IF(A42&lt;=LastActual,"Actual","Forecast")</f>
        <v/>
      </c>
      <c r="E42" s="30">
        <f>IF($D42="Actual",R42,W42)</f>
        <v/>
      </c>
      <c r="F42" s="15">
        <f>IF($D42="Actual",S42,Cases_Forecast!AO35)</f>
        <v/>
      </c>
      <c r="G42" s="9">
        <f>IF($D42="Actual",T42,IFERROR(F42/K42,0))</f>
        <v/>
      </c>
      <c r="H42" s="30">
        <f>IF($D42="Actual",U42,G42*L42)</f>
        <v/>
      </c>
      <c r="I42" s="30">
        <f>IF($D42="Actual",V42,J42-H42)</f>
        <v/>
      </c>
      <c r="J42" s="30">
        <f>IF($D42="Actual",U42+V42,IFERROR(H42/(1-AD42),0))</f>
        <v/>
      </c>
      <c r="K42" s="10">
        <f>IF($D42="Actual",IFERROR(S42/T42,0),CPLH_Forecast!AO35)</f>
        <v/>
      </c>
      <c r="L42" s="34">
        <f>IF($D42="Actual",IFERROR(U42/T42,0),N(AE42))</f>
        <v/>
      </c>
      <c r="M42" s="35">
        <f>IFERROR(J42/F42,0)</f>
        <v/>
      </c>
      <c r="N42" s="36">
        <f>IFERROR(J42/E42,0)</f>
        <v/>
      </c>
      <c r="O42" s="36">
        <f>IFERROR(I42/J42,0)</f>
        <v/>
      </c>
      <c r="R42" s="52">
        <f>IF($D42="Actual",SUMIFS(Data_Actuals!$C$2:$C$5000,Data_Actuals!$A$2:$A$5000,$A42,Data_Actuals!$B$2:$B$5000,$B$2),"")</f>
        <v/>
      </c>
      <c r="S42" s="52">
        <f>IF($D42="Actual",SUMIFS(Data_Actuals!$D$2:$D$5000,Data_Actuals!$A$2:$A$5000,$A42,Data_Actuals!$B$2:$B$5000,$B$2),"")</f>
        <v/>
      </c>
      <c r="T42" s="52">
        <f>IF($D42="Actual",SUMIFS(Data_Actuals!$E$2:$E$5000,Data_Actuals!$A$2:$A$5000,$A42,Data_Actuals!$B$2:$B$5000,$B$2),"")</f>
        <v/>
      </c>
      <c r="U42" s="52">
        <f>IF($D42="Actual",SUMIFS(Data_Actuals!$F$2:$F$5000,Data_Actuals!$A$2:$A$5000,$A42,Data_Actuals!$B$2:$B$5000,$B$2),"")</f>
        <v/>
      </c>
      <c r="V42" s="52">
        <f>IF($D42="Actual",SUMIFS(Data_Actuals!$G$2:$G$5000,Data_Actuals!$A$2:$A$5000,$A42,Data_Actuals!$B$2:$B$5000,$B$2),"")</f>
        <v/>
      </c>
      <c r="W42" s="52">
        <f>SUMIFS(Plan_Inputs!$C$2:$C$5000,Plan_Inputs!$A$2:$A$5000,$A42,Plan_Inputs!$B$2:$B$5000,$B$2)</f>
        <v/>
      </c>
      <c r="X42" s="53">
        <f>IF($D42="Actual",IFERROR(S42/T42,""),X30)</f>
        <v/>
      </c>
      <c r="Y42" s="52">
        <f>E42</f>
        <v/>
      </c>
      <c r="Z42" s="54">
        <f>INDEX(Calendar!$H$5:$L$52,MATCH($A42,Calendar!$A$5:$A$52,0),MATCH($D$2,Calendar!$H$4:$L$4,0))</f>
        <v/>
      </c>
      <c r="AA42" s="54">
        <f>INDEX(Calendar!$M$5:$M$52,MATCH($A42,Calendar!$A$5:$A$52,0))</f>
        <v/>
      </c>
      <c r="AB42" s="55">
        <f>IF($D42="Actual",IFERROR(S42/Y42,""),AB30)</f>
        <v/>
      </c>
      <c r="AC42" s="56">
        <f>IF($D42="Actual",IFERROR(U42/T42/Z42/AA42,""),AC30)</f>
        <v/>
      </c>
      <c r="AD42" s="57">
        <f>IF($D42="Actual",IFERROR(V42/(U42+V42),""),$K$2)</f>
        <v/>
      </c>
      <c r="AE42" s="56">
        <f>IFERROR(AC42*Z42*AA42,"")</f>
        <v/>
      </c>
      <c r="AF42" s="53">
        <f>K30</f>
        <v/>
      </c>
      <c r="AG42" s="57">
        <f>IF($D42="Forecast",IFERROR(K42/AF42-1,""),"")</f>
        <v/>
      </c>
      <c r="AH42" s="53">
        <f>IF(CPLHSource="National breakdown",CPLH_Breakdown!AP47,SUMIFS(Plan_Inputs!$D$2:$D$5000,Plan_Inputs!$A$2:$A$5000,$A42,Plan_Inputs!$B$2:$B$5000,$B$2))</f>
        <v/>
      </c>
      <c r="AJ42" s="15">
        <f>F42*$AK$11</f>
        <v/>
      </c>
      <c r="AK42" s="9">
        <f>G42*$AK$11</f>
        <v/>
      </c>
      <c r="AL42" s="30">
        <f>H42*$AK$11</f>
        <v/>
      </c>
      <c r="AM42" s="30">
        <f>I42*$AK$11</f>
        <v/>
      </c>
      <c r="AN42" s="30">
        <f>J42*$AK$11</f>
        <v/>
      </c>
      <c r="AP42" s="15">
        <f>F42*$AQ$11</f>
        <v/>
      </c>
      <c r="AQ42" s="9">
        <f>G42*$AQ$11</f>
        <v/>
      </c>
      <c r="AR42" s="30">
        <f>H42*$AQ$11</f>
        <v/>
      </c>
      <c r="AS42" s="30">
        <f>I42*$AQ$11</f>
        <v/>
      </c>
      <c r="AT42" s="30">
        <f>J42*$AQ$11</f>
        <v/>
      </c>
      <c r="AV42" s="15">
        <f>F42*$AW$11</f>
        <v/>
      </c>
      <c r="AW42" s="9">
        <f>G42*$AW$11</f>
        <v/>
      </c>
      <c r="AX42" s="30">
        <f>H42*$AW$11</f>
        <v/>
      </c>
      <c r="AY42" s="30">
        <f>I42*$AW$11</f>
        <v/>
      </c>
      <c r="AZ42" s="30">
        <f>J42*$AW$11</f>
        <v/>
      </c>
    </row>
    <row r="43">
      <c r="A43" s="8" t="n">
        <v>46508</v>
      </c>
      <c r="B43" s="33">
        <f>YEAR(A43)</f>
        <v/>
      </c>
      <c r="C43" s="33">
        <f>MONTH(A43)</f>
        <v/>
      </c>
      <c r="D43">
        <f>IF(A43&lt;=LastActual,"Actual","Forecast")</f>
        <v/>
      </c>
      <c r="E43" s="30">
        <f>IF($D43="Actual",R43,W43)</f>
        <v/>
      </c>
      <c r="F43" s="15">
        <f>IF($D43="Actual",S43,Cases_Forecast!AO36)</f>
        <v/>
      </c>
      <c r="G43" s="9">
        <f>IF($D43="Actual",T43,IFERROR(F43/K43,0))</f>
        <v/>
      </c>
      <c r="H43" s="30">
        <f>IF($D43="Actual",U43,G43*L43)</f>
        <v/>
      </c>
      <c r="I43" s="30">
        <f>IF($D43="Actual",V43,J43-H43)</f>
        <v/>
      </c>
      <c r="J43" s="30">
        <f>IF($D43="Actual",U43+V43,IFERROR(H43/(1-AD43),0))</f>
        <v/>
      </c>
      <c r="K43" s="10">
        <f>IF($D43="Actual",IFERROR(S43/T43,0),CPLH_Forecast!AO36)</f>
        <v/>
      </c>
      <c r="L43" s="34">
        <f>IF($D43="Actual",IFERROR(U43/T43,0),N(AE43))</f>
        <v/>
      </c>
      <c r="M43" s="35">
        <f>IFERROR(J43/F43,0)</f>
        <v/>
      </c>
      <c r="N43" s="36">
        <f>IFERROR(J43/E43,0)</f>
        <v/>
      </c>
      <c r="O43" s="36">
        <f>IFERROR(I43/J43,0)</f>
        <v/>
      </c>
      <c r="R43" s="52">
        <f>IF($D43="Actual",SUMIFS(Data_Actuals!$C$2:$C$5000,Data_Actuals!$A$2:$A$5000,$A43,Data_Actuals!$B$2:$B$5000,$B$2),"")</f>
        <v/>
      </c>
      <c r="S43" s="52">
        <f>IF($D43="Actual",SUMIFS(Data_Actuals!$D$2:$D$5000,Data_Actuals!$A$2:$A$5000,$A43,Data_Actuals!$B$2:$B$5000,$B$2),"")</f>
        <v/>
      </c>
      <c r="T43" s="52">
        <f>IF($D43="Actual",SUMIFS(Data_Actuals!$E$2:$E$5000,Data_Actuals!$A$2:$A$5000,$A43,Data_Actuals!$B$2:$B$5000,$B$2),"")</f>
        <v/>
      </c>
      <c r="U43" s="52">
        <f>IF($D43="Actual",SUMIFS(Data_Actuals!$F$2:$F$5000,Data_Actuals!$A$2:$A$5000,$A43,Data_Actuals!$B$2:$B$5000,$B$2),"")</f>
        <v/>
      </c>
      <c r="V43" s="52">
        <f>IF($D43="Actual",SUMIFS(Data_Actuals!$G$2:$G$5000,Data_Actuals!$A$2:$A$5000,$A43,Data_Actuals!$B$2:$B$5000,$B$2),"")</f>
        <v/>
      </c>
      <c r="W43" s="52">
        <f>SUMIFS(Plan_Inputs!$C$2:$C$5000,Plan_Inputs!$A$2:$A$5000,$A43,Plan_Inputs!$B$2:$B$5000,$B$2)</f>
        <v/>
      </c>
      <c r="X43" s="53">
        <f>IF($D43="Actual",IFERROR(S43/T43,""),X31)</f>
        <v/>
      </c>
      <c r="Y43" s="52">
        <f>E43</f>
        <v/>
      </c>
      <c r="Z43" s="54">
        <f>INDEX(Calendar!$H$5:$L$52,MATCH($A43,Calendar!$A$5:$A$52,0),MATCH($D$2,Calendar!$H$4:$L$4,0))</f>
        <v/>
      </c>
      <c r="AA43" s="54">
        <f>INDEX(Calendar!$M$5:$M$52,MATCH($A43,Calendar!$A$5:$A$52,0))</f>
        <v/>
      </c>
      <c r="AB43" s="55">
        <f>IF($D43="Actual",IFERROR(S43/Y43,""),AB31)</f>
        <v/>
      </c>
      <c r="AC43" s="56">
        <f>IF($D43="Actual",IFERROR(U43/T43/Z43/AA43,""),AC31)</f>
        <v/>
      </c>
      <c r="AD43" s="57">
        <f>IF($D43="Actual",IFERROR(V43/(U43+V43),""),$K$2)</f>
        <v/>
      </c>
      <c r="AE43" s="56">
        <f>IFERROR(AC43*Z43*AA43,"")</f>
        <v/>
      </c>
      <c r="AF43" s="53">
        <f>K31</f>
        <v/>
      </c>
      <c r="AG43" s="57">
        <f>IF($D43="Forecast",IFERROR(K43/AF43-1,""),"")</f>
        <v/>
      </c>
      <c r="AH43" s="53">
        <f>IF(CPLHSource="National breakdown",CPLH_Breakdown!AP48,SUMIFS(Plan_Inputs!$D$2:$D$5000,Plan_Inputs!$A$2:$A$5000,$A43,Plan_Inputs!$B$2:$B$5000,$B$2))</f>
        <v/>
      </c>
      <c r="AJ43" s="15">
        <f>F43*$AK$11</f>
        <v/>
      </c>
      <c r="AK43" s="9">
        <f>G43*$AK$11</f>
        <v/>
      </c>
      <c r="AL43" s="30">
        <f>H43*$AK$11</f>
        <v/>
      </c>
      <c r="AM43" s="30">
        <f>I43*$AK$11</f>
        <v/>
      </c>
      <c r="AN43" s="30">
        <f>J43*$AK$11</f>
        <v/>
      </c>
      <c r="AP43" s="15">
        <f>F43*$AQ$11</f>
        <v/>
      </c>
      <c r="AQ43" s="9">
        <f>G43*$AQ$11</f>
        <v/>
      </c>
      <c r="AR43" s="30">
        <f>H43*$AQ$11</f>
        <v/>
      </c>
      <c r="AS43" s="30">
        <f>I43*$AQ$11</f>
        <v/>
      </c>
      <c r="AT43" s="30">
        <f>J43*$AQ$11</f>
        <v/>
      </c>
      <c r="AV43" s="15">
        <f>F43*$AW$11</f>
        <v/>
      </c>
      <c r="AW43" s="9">
        <f>G43*$AW$11</f>
        <v/>
      </c>
      <c r="AX43" s="30">
        <f>H43*$AW$11</f>
        <v/>
      </c>
      <c r="AY43" s="30">
        <f>I43*$AW$11</f>
        <v/>
      </c>
      <c r="AZ43" s="30">
        <f>J43*$AW$11</f>
        <v/>
      </c>
    </row>
    <row r="44">
      <c r="A44" s="8" t="n">
        <v>46539</v>
      </c>
      <c r="B44" s="33">
        <f>YEAR(A44)</f>
        <v/>
      </c>
      <c r="C44" s="33">
        <f>MONTH(A44)</f>
        <v/>
      </c>
      <c r="D44">
        <f>IF(A44&lt;=LastActual,"Actual","Forecast")</f>
        <v/>
      </c>
      <c r="E44" s="30">
        <f>IF($D44="Actual",R44,W44)</f>
        <v/>
      </c>
      <c r="F44" s="15">
        <f>IF($D44="Actual",S44,Cases_Forecast!AO37)</f>
        <v/>
      </c>
      <c r="G44" s="9">
        <f>IF($D44="Actual",T44,IFERROR(F44/K44,0))</f>
        <v/>
      </c>
      <c r="H44" s="30">
        <f>IF($D44="Actual",U44,G44*L44)</f>
        <v/>
      </c>
      <c r="I44" s="30">
        <f>IF($D44="Actual",V44,J44-H44)</f>
        <v/>
      </c>
      <c r="J44" s="30">
        <f>IF($D44="Actual",U44+V44,IFERROR(H44/(1-AD44),0))</f>
        <v/>
      </c>
      <c r="K44" s="10">
        <f>IF($D44="Actual",IFERROR(S44/T44,0),CPLH_Forecast!AO37)</f>
        <v/>
      </c>
      <c r="L44" s="34">
        <f>IF($D44="Actual",IFERROR(U44/T44,0),N(AE44))</f>
        <v/>
      </c>
      <c r="M44" s="35">
        <f>IFERROR(J44/F44,0)</f>
        <v/>
      </c>
      <c r="N44" s="36">
        <f>IFERROR(J44/E44,0)</f>
        <v/>
      </c>
      <c r="O44" s="36">
        <f>IFERROR(I44/J44,0)</f>
        <v/>
      </c>
      <c r="R44" s="52">
        <f>IF($D44="Actual",SUMIFS(Data_Actuals!$C$2:$C$5000,Data_Actuals!$A$2:$A$5000,$A44,Data_Actuals!$B$2:$B$5000,$B$2),"")</f>
        <v/>
      </c>
      <c r="S44" s="52">
        <f>IF($D44="Actual",SUMIFS(Data_Actuals!$D$2:$D$5000,Data_Actuals!$A$2:$A$5000,$A44,Data_Actuals!$B$2:$B$5000,$B$2),"")</f>
        <v/>
      </c>
      <c r="T44" s="52">
        <f>IF($D44="Actual",SUMIFS(Data_Actuals!$E$2:$E$5000,Data_Actuals!$A$2:$A$5000,$A44,Data_Actuals!$B$2:$B$5000,$B$2),"")</f>
        <v/>
      </c>
      <c r="U44" s="52">
        <f>IF($D44="Actual",SUMIFS(Data_Actuals!$F$2:$F$5000,Data_Actuals!$A$2:$A$5000,$A44,Data_Actuals!$B$2:$B$5000,$B$2),"")</f>
        <v/>
      </c>
      <c r="V44" s="52">
        <f>IF($D44="Actual",SUMIFS(Data_Actuals!$G$2:$G$5000,Data_Actuals!$A$2:$A$5000,$A44,Data_Actuals!$B$2:$B$5000,$B$2),"")</f>
        <v/>
      </c>
      <c r="W44" s="52">
        <f>SUMIFS(Plan_Inputs!$C$2:$C$5000,Plan_Inputs!$A$2:$A$5000,$A44,Plan_Inputs!$B$2:$B$5000,$B$2)</f>
        <v/>
      </c>
      <c r="X44" s="53">
        <f>IF($D44="Actual",IFERROR(S44/T44,""),X32)</f>
        <v/>
      </c>
      <c r="Y44" s="52">
        <f>E44</f>
        <v/>
      </c>
      <c r="Z44" s="54">
        <f>INDEX(Calendar!$H$5:$L$52,MATCH($A44,Calendar!$A$5:$A$52,0),MATCH($D$2,Calendar!$H$4:$L$4,0))</f>
        <v/>
      </c>
      <c r="AA44" s="54">
        <f>INDEX(Calendar!$M$5:$M$52,MATCH($A44,Calendar!$A$5:$A$52,0))</f>
        <v/>
      </c>
      <c r="AB44" s="55">
        <f>IF($D44="Actual",IFERROR(S44/Y44,""),AB32)</f>
        <v/>
      </c>
      <c r="AC44" s="56">
        <f>IF($D44="Actual",IFERROR(U44/T44/Z44/AA44,""),AC32)</f>
        <v/>
      </c>
      <c r="AD44" s="57">
        <f>IF($D44="Actual",IFERROR(V44/(U44+V44),""),$K$2)</f>
        <v/>
      </c>
      <c r="AE44" s="56">
        <f>IFERROR(AC44*Z44*AA44,"")</f>
        <v/>
      </c>
      <c r="AF44" s="53">
        <f>K32</f>
        <v/>
      </c>
      <c r="AG44" s="57">
        <f>IF($D44="Forecast",IFERROR(K44/AF44-1,""),"")</f>
        <v/>
      </c>
      <c r="AH44" s="53">
        <f>IF(CPLHSource="National breakdown",CPLH_Breakdown!AP49,SUMIFS(Plan_Inputs!$D$2:$D$5000,Plan_Inputs!$A$2:$A$5000,$A44,Plan_Inputs!$B$2:$B$5000,$B$2))</f>
        <v/>
      </c>
      <c r="AJ44" s="15">
        <f>F44*$AK$11</f>
        <v/>
      </c>
      <c r="AK44" s="9">
        <f>G44*$AK$11</f>
        <v/>
      </c>
      <c r="AL44" s="30">
        <f>H44*$AK$11</f>
        <v/>
      </c>
      <c r="AM44" s="30">
        <f>I44*$AK$11</f>
        <v/>
      </c>
      <c r="AN44" s="30">
        <f>J44*$AK$11</f>
        <v/>
      </c>
      <c r="AP44" s="15">
        <f>F44*$AQ$11</f>
        <v/>
      </c>
      <c r="AQ44" s="9">
        <f>G44*$AQ$11</f>
        <v/>
      </c>
      <c r="AR44" s="30">
        <f>H44*$AQ$11</f>
        <v/>
      </c>
      <c r="AS44" s="30">
        <f>I44*$AQ$11</f>
        <v/>
      </c>
      <c r="AT44" s="30">
        <f>J44*$AQ$11</f>
        <v/>
      </c>
      <c r="AV44" s="15">
        <f>F44*$AW$11</f>
        <v/>
      </c>
      <c r="AW44" s="9">
        <f>G44*$AW$11</f>
        <v/>
      </c>
      <c r="AX44" s="30">
        <f>H44*$AW$11</f>
        <v/>
      </c>
      <c r="AY44" s="30">
        <f>I44*$AW$11</f>
        <v/>
      </c>
      <c r="AZ44" s="30">
        <f>J44*$AW$11</f>
        <v/>
      </c>
    </row>
    <row r="45">
      <c r="A45" s="8" t="n">
        <v>46569</v>
      </c>
      <c r="B45" s="33">
        <f>YEAR(A45)</f>
        <v/>
      </c>
      <c r="C45" s="33">
        <f>MONTH(A45)</f>
        <v/>
      </c>
      <c r="D45">
        <f>IF(A45&lt;=LastActual,"Actual","Forecast")</f>
        <v/>
      </c>
      <c r="E45" s="30">
        <f>IF($D45="Actual",R45,W45)</f>
        <v/>
      </c>
      <c r="F45" s="15">
        <f>IF($D45="Actual",S45,Cases_Forecast!AO38)</f>
        <v/>
      </c>
      <c r="G45" s="9">
        <f>IF($D45="Actual",T45,IFERROR(F45/K45,0))</f>
        <v/>
      </c>
      <c r="H45" s="30">
        <f>IF($D45="Actual",U45,G45*L45)</f>
        <v/>
      </c>
      <c r="I45" s="30">
        <f>IF($D45="Actual",V45,J45-H45)</f>
        <v/>
      </c>
      <c r="J45" s="30">
        <f>IF($D45="Actual",U45+V45,IFERROR(H45/(1-AD45),0))</f>
        <v/>
      </c>
      <c r="K45" s="10">
        <f>IF($D45="Actual",IFERROR(S45/T45,0),CPLH_Forecast!AO38)</f>
        <v/>
      </c>
      <c r="L45" s="34">
        <f>IF($D45="Actual",IFERROR(U45/T45,0),N(AE45))</f>
        <v/>
      </c>
      <c r="M45" s="35">
        <f>IFERROR(J45/F45,0)</f>
        <v/>
      </c>
      <c r="N45" s="36">
        <f>IFERROR(J45/E45,0)</f>
        <v/>
      </c>
      <c r="O45" s="36">
        <f>IFERROR(I45/J45,0)</f>
        <v/>
      </c>
      <c r="R45" s="52">
        <f>IF($D45="Actual",SUMIFS(Data_Actuals!$C$2:$C$5000,Data_Actuals!$A$2:$A$5000,$A45,Data_Actuals!$B$2:$B$5000,$B$2),"")</f>
        <v/>
      </c>
      <c r="S45" s="52">
        <f>IF($D45="Actual",SUMIFS(Data_Actuals!$D$2:$D$5000,Data_Actuals!$A$2:$A$5000,$A45,Data_Actuals!$B$2:$B$5000,$B$2),"")</f>
        <v/>
      </c>
      <c r="T45" s="52">
        <f>IF($D45="Actual",SUMIFS(Data_Actuals!$E$2:$E$5000,Data_Actuals!$A$2:$A$5000,$A45,Data_Actuals!$B$2:$B$5000,$B$2),"")</f>
        <v/>
      </c>
      <c r="U45" s="52">
        <f>IF($D45="Actual",SUMIFS(Data_Actuals!$F$2:$F$5000,Data_Actuals!$A$2:$A$5000,$A45,Data_Actuals!$B$2:$B$5000,$B$2),"")</f>
        <v/>
      </c>
      <c r="V45" s="52">
        <f>IF($D45="Actual",SUMIFS(Data_Actuals!$G$2:$G$5000,Data_Actuals!$A$2:$A$5000,$A45,Data_Actuals!$B$2:$B$5000,$B$2),"")</f>
        <v/>
      </c>
      <c r="W45" s="52">
        <f>SUMIFS(Plan_Inputs!$C$2:$C$5000,Plan_Inputs!$A$2:$A$5000,$A45,Plan_Inputs!$B$2:$B$5000,$B$2)</f>
        <v/>
      </c>
      <c r="X45" s="53">
        <f>IF($D45="Actual",IFERROR(S45/T45,""),X33)</f>
        <v/>
      </c>
      <c r="Y45" s="52">
        <f>E45</f>
        <v/>
      </c>
      <c r="Z45" s="54">
        <f>INDEX(Calendar!$H$5:$L$52,MATCH($A45,Calendar!$A$5:$A$52,0),MATCH($D$2,Calendar!$H$4:$L$4,0))</f>
        <v/>
      </c>
      <c r="AA45" s="54">
        <f>INDEX(Calendar!$M$5:$M$52,MATCH($A45,Calendar!$A$5:$A$52,0))</f>
        <v/>
      </c>
      <c r="AB45" s="55">
        <f>IF($D45="Actual",IFERROR(S45/Y45,""),AB33)</f>
        <v/>
      </c>
      <c r="AC45" s="56">
        <f>IF($D45="Actual",IFERROR(U45/T45/Z45/AA45,""),AC33)</f>
        <v/>
      </c>
      <c r="AD45" s="57">
        <f>IF($D45="Actual",IFERROR(V45/(U45+V45),""),$K$2)</f>
        <v/>
      </c>
      <c r="AE45" s="56">
        <f>IFERROR(AC45*Z45*AA45,"")</f>
        <v/>
      </c>
      <c r="AF45" s="53">
        <f>K33</f>
        <v/>
      </c>
      <c r="AG45" s="57">
        <f>IF($D45="Forecast",IFERROR(K45/AF45-1,""),"")</f>
        <v/>
      </c>
      <c r="AH45" s="53">
        <f>IF(CPLHSource="National breakdown",CPLH_Breakdown!AP50,SUMIFS(Plan_Inputs!$D$2:$D$5000,Plan_Inputs!$A$2:$A$5000,$A45,Plan_Inputs!$B$2:$B$5000,$B$2))</f>
        <v/>
      </c>
      <c r="AJ45" s="15">
        <f>F45*$AK$11</f>
        <v/>
      </c>
      <c r="AK45" s="9">
        <f>G45*$AK$11</f>
        <v/>
      </c>
      <c r="AL45" s="30">
        <f>H45*$AK$11</f>
        <v/>
      </c>
      <c r="AM45" s="30">
        <f>I45*$AK$11</f>
        <v/>
      </c>
      <c r="AN45" s="30">
        <f>J45*$AK$11</f>
        <v/>
      </c>
      <c r="AP45" s="15">
        <f>F45*$AQ$11</f>
        <v/>
      </c>
      <c r="AQ45" s="9">
        <f>G45*$AQ$11</f>
        <v/>
      </c>
      <c r="AR45" s="30">
        <f>H45*$AQ$11</f>
        <v/>
      </c>
      <c r="AS45" s="30">
        <f>I45*$AQ$11</f>
        <v/>
      </c>
      <c r="AT45" s="30">
        <f>J45*$AQ$11</f>
        <v/>
      </c>
      <c r="AV45" s="15">
        <f>F45*$AW$11</f>
        <v/>
      </c>
      <c r="AW45" s="9">
        <f>G45*$AW$11</f>
        <v/>
      </c>
      <c r="AX45" s="30">
        <f>H45*$AW$11</f>
        <v/>
      </c>
      <c r="AY45" s="30">
        <f>I45*$AW$11</f>
        <v/>
      </c>
      <c r="AZ45" s="30">
        <f>J45*$AW$11</f>
        <v/>
      </c>
    </row>
    <row r="46">
      <c r="A46" s="8" t="n">
        <v>46600</v>
      </c>
      <c r="B46" s="33">
        <f>YEAR(A46)</f>
        <v/>
      </c>
      <c r="C46" s="33">
        <f>MONTH(A46)</f>
        <v/>
      </c>
      <c r="D46">
        <f>IF(A46&lt;=LastActual,"Actual","Forecast")</f>
        <v/>
      </c>
      <c r="E46" s="30">
        <f>IF($D46="Actual",R46,W46)</f>
        <v/>
      </c>
      <c r="F46" s="15">
        <f>IF($D46="Actual",S46,Cases_Forecast!AO39)</f>
        <v/>
      </c>
      <c r="G46" s="9">
        <f>IF($D46="Actual",T46,IFERROR(F46/K46,0))</f>
        <v/>
      </c>
      <c r="H46" s="30">
        <f>IF($D46="Actual",U46,G46*L46)</f>
        <v/>
      </c>
      <c r="I46" s="30">
        <f>IF($D46="Actual",V46,J46-H46)</f>
        <v/>
      </c>
      <c r="J46" s="30">
        <f>IF($D46="Actual",U46+V46,IFERROR(H46/(1-AD46),0))</f>
        <v/>
      </c>
      <c r="K46" s="10">
        <f>IF($D46="Actual",IFERROR(S46/T46,0),CPLH_Forecast!AO39)</f>
        <v/>
      </c>
      <c r="L46" s="34">
        <f>IF($D46="Actual",IFERROR(U46/T46,0),N(AE46))</f>
        <v/>
      </c>
      <c r="M46" s="35">
        <f>IFERROR(J46/F46,0)</f>
        <v/>
      </c>
      <c r="N46" s="36">
        <f>IFERROR(J46/E46,0)</f>
        <v/>
      </c>
      <c r="O46" s="36">
        <f>IFERROR(I46/J46,0)</f>
        <v/>
      </c>
      <c r="R46" s="52">
        <f>IF($D46="Actual",SUMIFS(Data_Actuals!$C$2:$C$5000,Data_Actuals!$A$2:$A$5000,$A46,Data_Actuals!$B$2:$B$5000,$B$2),"")</f>
        <v/>
      </c>
      <c r="S46" s="52">
        <f>IF($D46="Actual",SUMIFS(Data_Actuals!$D$2:$D$5000,Data_Actuals!$A$2:$A$5000,$A46,Data_Actuals!$B$2:$B$5000,$B$2),"")</f>
        <v/>
      </c>
      <c r="T46" s="52">
        <f>IF($D46="Actual",SUMIFS(Data_Actuals!$E$2:$E$5000,Data_Actuals!$A$2:$A$5000,$A46,Data_Actuals!$B$2:$B$5000,$B$2),"")</f>
        <v/>
      </c>
      <c r="U46" s="52">
        <f>IF($D46="Actual",SUMIFS(Data_Actuals!$F$2:$F$5000,Data_Actuals!$A$2:$A$5000,$A46,Data_Actuals!$B$2:$B$5000,$B$2),"")</f>
        <v/>
      </c>
      <c r="V46" s="52">
        <f>IF($D46="Actual",SUMIFS(Data_Actuals!$G$2:$G$5000,Data_Actuals!$A$2:$A$5000,$A46,Data_Actuals!$B$2:$B$5000,$B$2),"")</f>
        <v/>
      </c>
      <c r="W46" s="52">
        <f>SUMIFS(Plan_Inputs!$C$2:$C$5000,Plan_Inputs!$A$2:$A$5000,$A46,Plan_Inputs!$B$2:$B$5000,$B$2)</f>
        <v/>
      </c>
      <c r="X46" s="53">
        <f>IF($D46="Actual",IFERROR(S46/T46,""),X34)</f>
        <v/>
      </c>
      <c r="Y46" s="52">
        <f>E46</f>
        <v/>
      </c>
      <c r="Z46" s="54">
        <f>INDEX(Calendar!$H$5:$L$52,MATCH($A46,Calendar!$A$5:$A$52,0),MATCH($D$2,Calendar!$H$4:$L$4,0))</f>
        <v/>
      </c>
      <c r="AA46" s="54">
        <f>INDEX(Calendar!$M$5:$M$52,MATCH($A46,Calendar!$A$5:$A$52,0))</f>
        <v/>
      </c>
      <c r="AB46" s="55">
        <f>IF($D46="Actual",IFERROR(S46/Y46,""),AB34)</f>
        <v/>
      </c>
      <c r="AC46" s="56">
        <f>IF($D46="Actual",IFERROR(U46/T46/Z46/AA46,""),AC34)</f>
        <v/>
      </c>
      <c r="AD46" s="57">
        <f>IF($D46="Actual",IFERROR(V46/(U46+V46),""),$K$2)</f>
        <v/>
      </c>
      <c r="AE46" s="56">
        <f>IFERROR(AC46*Z46*AA46,"")</f>
        <v/>
      </c>
      <c r="AF46" s="53">
        <f>K34</f>
        <v/>
      </c>
      <c r="AG46" s="57">
        <f>IF($D46="Forecast",IFERROR(K46/AF46-1,""),"")</f>
        <v/>
      </c>
      <c r="AH46" s="53">
        <f>IF(CPLHSource="National breakdown",CPLH_Breakdown!AP51,SUMIFS(Plan_Inputs!$D$2:$D$5000,Plan_Inputs!$A$2:$A$5000,$A46,Plan_Inputs!$B$2:$B$5000,$B$2))</f>
        <v/>
      </c>
      <c r="AJ46" s="15">
        <f>F46*$AK$11</f>
        <v/>
      </c>
      <c r="AK46" s="9">
        <f>G46*$AK$11</f>
        <v/>
      </c>
      <c r="AL46" s="30">
        <f>H46*$AK$11</f>
        <v/>
      </c>
      <c r="AM46" s="30">
        <f>I46*$AK$11</f>
        <v/>
      </c>
      <c r="AN46" s="30">
        <f>J46*$AK$11</f>
        <v/>
      </c>
      <c r="AP46" s="15">
        <f>F46*$AQ$11</f>
        <v/>
      </c>
      <c r="AQ46" s="9">
        <f>G46*$AQ$11</f>
        <v/>
      </c>
      <c r="AR46" s="30">
        <f>H46*$AQ$11</f>
        <v/>
      </c>
      <c r="AS46" s="30">
        <f>I46*$AQ$11</f>
        <v/>
      </c>
      <c r="AT46" s="30">
        <f>J46*$AQ$11</f>
        <v/>
      </c>
      <c r="AV46" s="15">
        <f>F46*$AW$11</f>
        <v/>
      </c>
      <c r="AW46" s="9">
        <f>G46*$AW$11</f>
        <v/>
      </c>
      <c r="AX46" s="30">
        <f>H46*$AW$11</f>
        <v/>
      </c>
      <c r="AY46" s="30">
        <f>I46*$AW$11</f>
        <v/>
      </c>
      <c r="AZ46" s="30">
        <f>J46*$AW$11</f>
        <v/>
      </c>
    </row>
    <row r="47">
      <c r="A47" s="8" t="n">
        <v>46631</v>
      </c>
      <c r="B47" s="33">
        <f>YEAR(A47)</f>
        <v/>
      </c>
      <c r="C47" s="33">
        <f>MONTH(A47)</f>
        <v/>
      </c>
      <c r="D47">
        <f>IF(A47&lt;=LastActual,"Actual","Forecast")</f>
        <v/>
      </c>
      <c r="E47" s="30">
        <f>IF($D47="Actual",R47,W47)</f>
        <v/>
      </c>
      <c r="F47" s="15">
        <f>IF($D47="Actual",S47,Cases_Forecast!AO40)</f>
        <v/>
      </c>
      <c r="G47" s="9">
        <f>IF($D47="Actual",T47,IFERROR(F47/K47,0))</f>
        <v/>
      </c>
      <c r="H47" s="30">
        <f>IF($D47="Actual",U47,G47*L47)</f>
        <v/>
      </c>
      <c r="I47" s="30">
        <f>IF($D47="Actual",V47,J47-H47)</f>
        <v/>
      </c>
      <c r="J47" s="30">
        <f>IF($D47="Actual",U47+V47,IFERROR(H47/(1-AD47),0))</f>
        <v/>
      </c>
      <c r="K47" s="10">
        <f>IF($D47="Actual",IFERROR(S47/T47,0),CPLH_Forecast!AO40)</f>
        <v/>
      </c>
      <c r="L47" s="34">
        <f>IF($D47="Actual",IFERROR(U47/T47,0),N(AE47))</f>
        <v/>
      </c>
      <c r="M47" s="35">
        <f>IFERROR(J47/F47,0)</f>
        <v/>
      </c>
      <c r="N47" s="36">
        <f>IFERROR(J47/E47,0)</f>
        <v/>
      </c>
      <c r="O47" s="36">
        <f>IFERROR(I47/J47,0)</f>
        <v/>
      </c>
      <c r="R47" s="52">
        <f>IF($D47="Actual",SUMIFS(Data_Actuals!$C$2:$C$5000,Data_Actuals!$A$2:$A$5000,$A47,Data_Actuals!$B$2:$B$5000,$B$2),"")</f>
        <v/>
      </c>
      <c r="S47" s="52">
        <f>IF($D47="Actual",SUMIFS(Data_Actuals!$D$2:$D$5000,Data_Actuals!$A$2:$A$5000,$A47,Data_Actuals!$B$2:$B$5000,$B$2),"")</f>
        <v/>
      </c>
      <c r="T47" s="52">
        <f>IF($D47="Actual",SUMIFS(Data_Actuals!$E$2:$E$5000,Data_Actuals!$A$2:$A$5000,$A47,Data_Actuals!$B$2:$B$5000,$B$2),"")</f>
        <v/>
      </c>
      <c r="U47" s="52">
        <f>IF($D47="Actual",SUMIFS(Data_Actuals!$F$2:$F$5000,Data_Actuals!$A$2:$A$5000,$A47,Data_Actuals!$B$2:$B$5000,$B$2),"")</f>
        <v/>
      </c>
      <c r="V47" s="52">
        <f>IF($D47="Actual",SUMIFS(Data_Actuals!$G$2:$G$5000,Data_Actuals!$A$2:$A$5000,$A47,Data_Actuals!$B$2:$B$5000,$B$2),"")</f>
        <v/>
      </c>
      <c r="W47" s="52">
        <f>SUMIFS(Plan_Inputs!$C$2:$C$5000,Plan_Inputs!$A$2:$A$5000,$A47,Plan_Inputs!$B$2:$B$5000,$B$2)</f>
        <v/>
      </c>
      <c r="X47" s="53">
        <f>IF($D47="Actual",IFERROR(S47/T47,""),X35)</f>
        <v/>
      </c>
      <c r="Y47" s="52">
        <f>E47</f>
        <v/>
      </c>
      <c r="Z47" s="54">
        <f>INDEX(Calendar!$H$5:$L$52,MATCH($A47,Calendar!$A$5:$A$52,0),MATCH($D$2,Calendar!$H$4:$L$4,0))</f>
        <v/>
      </c>
      <c r="AA47" s="54">
        <f>INDEX(Calendar!$M$5:$M$52,MATCH($A47,Calendar!$A$5:$A$52,0))</f>
        <v/>
      </c>
      <c r="AB47" s="55">
        <f>IF($D47="Actual",IFERROR(S47/Y47,""),AB35)</f>
        <v/>
      </c>
      <c r="AC47" s="56">
        <f>IF($D47="Actual",IFERROR(U47/T47/Z47/AA47,""),AC35)</f>
        <v/>
      </c>
      <c r="AD47" s="57">
        <f>IF($D47="Actual",IFERROR(V47/(U47+V47),""),$K$2)</f>
        <v/>
      </c>
      <c r="AE47" s="56">
        <f>IFERROR(AC47*Z47*AA47,"")</f>
        <v/>
      </c>
      <c r="AF47" s="53">
        <f>K35</f>
        <v/>
      </c>
      <c r="AG47" s="57">
        <f>IF($D47="Forecast",IFERROR(K47/AF47-1,""),"")</f>
        <v/>
      </c>
      <c r="AH47" s="53">
        <f>IF(CPLHSource="National breakdown",CPLH_Breakdown!AP52,SUMIFS(Plan_Inputs!$D$2:$D$5000,Plan_Inputs!$A$2:$A$5000,$A47,Plan_Inputs!$B$2:$B$5000,$B$2))</f>
        <v/>
      </c>
      <c r="AJ47" s="15">
        <f>F47*$AK$11</f>
        <v/>
      </c>
      <c r="AK47" s="9">
        <f>G47*$AK$11</f>
        <v/>
      </c>
      <c r="AL47" s="30">
        <f>H47*$AK$11</f>
        <v/>
      </c>
      <c r="AM47" s="30">
        <f>I47*$AK$11</f>
        <v/>
      </c>
      <c r="AN47" s="30">
        <f>J47*$AK$11</f>
        <v/>
      </c>
      <c r="AP47" s="15">
        <f>F47*$AQ$11</f>
        <v/>
      </c>
      <c r="AQ47" s="9">
        <f>G47*$AQ$11</f>
        <v/>
      </c>
      <c r="AR47" s="30">
        <f>H47*$AQ$11</f>
        <v/>
      </c>
      <c r="AS47" s="30">
        <f>I47*$AQ$11</f>
        <v/>
      </c>
      <c r="AT47" s="30">
        <f>J47*$AQ$11</f>
        <v/>
      </c>
      <c r="AV47" s="15">
        <f>F47*$AW$11</f>
        <v/>
      </c>
      <c r="AW47" s="9">
        <f>G47*$AW$11</f>
        <v/>
      </c>
      <c r="AX47" s="30">
        <f>H47*$AW$11</f>
        <v/>
      </c>
      <c r="AY47" s="30">
        <f>I47*$AW$11</f>
        <v/>
      </c>
      <c r="AZ47" s="30">
        <f>J47*$AW$11</f>
        <v/>
      </c>
    </row>
    <row r="48">
      <c r="A48" s="8" t="n">
        <v>46661</v>
      </c>
      <c r="B48" s="33">
        <f>YEAR(A48)</f>
        <v/>
      </c>
      <c r="C48" s="33">
        <f>MONTH(A48)</f>
        <v/>
      </c>
      <c r="D48">
        <f>IF(A48&lt;=LastActual,"Actual","Forecast")</f>
        <v/>
      </c>
      <c r="E48" s="30">
        <f>IF($D48="Actual",R48,W48)</f>
        <v/>
      </c>
      <c r="F48" s="15">
        <f>IF($D48="Actual",S48,Cases_Forecast!AO41)</f>
        <v/>
      </c>
      <c r="G48" s="9">
        <f>IF($D48="Actual",T48,IFERROR(F48/K48,0))</f>
        <v/>
      </c>
      <c r="H48" s="30">
        <f>IF($D48="Actual",U48,G48*L48)</f>
        <v/>
      </c>
      <c r="I48" s="30">
        <f>IF($D48="Actual",V48,J48-H48)</f>
        <v/>
      </c>
      <c r="J48" s="30">
        <f>IF($D48="Actual",U48+V48,IFERROR(H48/(1-AD48),0))</f>
        <v/>
      </c>
      <c r="K48" s="10">
        <f>IF($D48="Actual",IFERROR(S48/T48,0),CPLH_Forecast!AO41)</f>
        <v/>
      </c>
      <c r="L48" s="34">
        <f>IF($D48="Actual",IFERROR(U48/T48,0),N(AE48))</f>
        <v/>
      </c>
      <c r="M48" s="35">
        <f>IFERROR(J48/F48,0)</f>
        <v/>
      </c>
      <c r="N48" s="36">
        <f>IFERROR(J48/E48,0)</f>
        <v/>
      </c>
      <c r="O48" s="36">
        <f>IFERROR(I48/J48,0)</f>
        <v/>
      </c>
      <c r="R48" s="52">
        <f>IF($D48="Actual",SUMIFS(Data_Actuals!$C$2:$C$5000,Data_Actuals!$A$2:$A$5000,$A48,Data_Actuals!$B$2:$B$5000,$B$2),"")</f>
        <v/>
      </c>
      <c r="S48" s="52">
        <f>IF($D48="Actual",SUMIFS(Data_Actuals!$D$2:$D$5000,Data_Actuals!$A$2:$A$5000,$A48,Data_Actuals!$B$2:$B$5000,$B$2),"")</f>
        <v/>
      </c>
      <c r="T48" s="52">
        <f>IF($D48="Actual",SUMIFS(Data_Actuals!$E$2:$E$5000,Data_Actuals!$A$2:$A$5000,$A48,Data_Actuals!$B$2:$B$5000,$B$2),"")</f>
        <v/>
      </c>
      <c r="U48" s="52">
        <f>IF($D48="Actual",SUMIFS(Data_Actuals!$F$2:$F$5000,Data_Actuals!$A$2:$A$5000,$A48,Data_Actuals!$B$2:$B$5000,$B$2),"")</f>
        <v/>
      </c>
      <c r="V48" s="52">
        <f>IF($D48="Actual",SUMIFS(Data_Actuals!$G$2:$G$5000,Data_Actuals!$A$2:$A$5000,$A48,Data_Actuals!$B$2:$B$5000,$B$2),"")</f>
        <v/>
      </c>
      <c r="W48" s="52">
        <f>SUMIFS(Plan_Inputs!$C$2:$C$5000,Plan_Inputs!$A$2:$A$5000,$A48,Plan_Inputs!$B$2:$B$5000,$B$2)</f>
        <v/>
      </c>
      <c r="X48" s="53">
        <f>IF($D48="Actual",IFERROR(S48/T48,""),X36)</f>
        <v/>
      </c>
      <c r="Y48" s="52">
        <f>E48</f>
        <v/>
      </c>
      <c r="Z48" s="54">
        <f>INDEX(Calendar!$H$5:$L$52,MATCH($A48,Calendar!$A$5:$A$52,0),MATCH($D$2,Calendar!$H$4:$L$4,0))</f>
        <v/>
      </c>
      <c r="AA48" s="54">
        <f>INDEX(Calendar!$M$5:$M$52,MATCH($A48,Calendar!$A$5:$A$52,0))</f>
        <v/>
      </c>
      <c r="AB48" s="55">
        <f>IF($D48="Actual",IFERROR(S48/Y48,""),AB36)</f>
        <v/>
      </c>
      <c r="AC48" s="56">
        <f>IF($D48="Actual",IFERROR(U48/T48/Z48/AA48,""),AC36)</f>
        <v/>
      </c>
      <c r="AD48" s="57">
        <f>IF($D48="Actual",IFERROR(V48/(U48+V48),""),$K$2)</f>
        <v/>
      </c>
      <c r="AE48" s="56">
        <f>IFERROR(AC48*Z48*AA48,"")</f>
        <v/>
      </c>
      <c r="AF48" s="53">
        <f>K36</f>
        <v/>
      </c>
      <c r="AG48" s="57">
        <f>IF($D48="Forecast",IFERROR(K48/AF48-1,""),"")</f>
        <v/>
      </c>
      <c r="AH48" s="53">
        <f>IF(CPLHSource="National breakdown",CPLH_Breakdown!AP53,SUMIFS(Plan_Inputs!$D$2:$D$5000,Plan_Inputs!$A$2:$A$5000,$A48,Plan_Inputs!$B$2:$B$5000,$B$2))</f>
        <v/>
      </c>
      <c r="AJ48" s="15">
        <f>F48*$AK$11</f>
        <v/>
      </c>
      <c r="AK48" s="9">
        <f>G48*$AK$11</f>
        <v/>
      </c>
      <c r="AL48" s="30">
        <f>H48*$AK$11</f>
        <v/>
      </c>
      <c r="AM48" s="30">
        <f>I48*$AK$11</f>
        <v/>
      </c>
      <c r="AN48" s="30">
        <f>J48*$AK$11</f>
        <v/>
      </c>
      <c r="AP48" s="15">
        <f>F48*$AQ$11</f>
        <v/>
      </c>
      <c r="AQ48" s="9">
        <f>G48*$AQ$11</f>
        <v/>
      </c>
      <c r="AR48" s="30">
        <f>H48*$AQ$11</f>
        <v/>
      </c>
      <c r="AS48" s="30">
        <f>I48*$AQ$11</f>
        <v/>
      </c>
      <c r="AT48" s="30">
        <f>J48*$AQ$11</f>
        <v/>
      </c>
      <c r="AV48" s="15">
        <f>F48*$AW$11</f>
        <v/>
      </c>
      <c r="AW48" s="9">
        <f>G48*$AW$11</f>
        <v/>
      </c>
      <c r="AX48" s="30">
        <f>H48*$AW$11</f>
        <v/>
      </c>
      <c r="AY48" s="30">
        <f>I48*$AW$11</f>
        <v/>
      </c>
      <c r="AZ48" s="30">
        <f>J48*$AW$11</f>
        <v/>
      </c>
    </row>
    <row r="49">
      <c r="A49" s="8" t="n">
        <v>46692</v>
      </c>
      <c r="B49" s="33">
        <f>YEAR(A49)</f>
        <v/>
      </c>
      <c r="C49" s="33">
        <f>MONTH(A49)</f>
        <v/>
      </c>
      <c r="D49">
        <f>IF(A49&lt;=LastActual,"Actual","Forecast")</f>
        <v/>
      </c>
      <c r="E49" s="30">
        <f>IF($D49="Actual",R49,W49)</f>
        <v/>
      </c>
      <c r="F49" s="15">
        <f>IF($D49="Actual",S49,Cases_Forecast!AO42)</f>
        <v/>
      </c>
      <c r="G49" s="9">
        <f>IF($D49="Actual",T49,IFERROR(F49/K49,0))</f>
        <v/>
      </c>
      <c r="H49" s="30">
        <f>IF($D49="Actual",U49,G49*L49)</f>
        <v/>
      </c>
      <c r="I49" s="30">
        <f>IF($D49="Actual",V49,J49-H49)</f>
        <v/>
      </c>
      <c r="J49" s="30">
        <f>IF($D49="Actual",U49+V49,IFERROR(H49/(1-AD49),0))</f>
        <v/>
      </c>
      <c r="K49" s="10">
        <f>IF($D49="Actual",IFERROR(S49/T49,0),CPLH_Forecast!AO42)</f>
        <v/>
      </c>
      <c r="L49" s="34">
        <f>IF($D49="Actual",IFERROR(U49/T49,0),N(AE49))</f>
        <v/>
      </c>
      <c r="M49" s="35">
        <f>IFERROR(J49/F49,0)</f>
        <v/>
      </c>
      <c r="N49" s="36">
        <f>IFERROR(J49/E49,0)</f>
        <v/>
      </c>
      <c r="O49" s="36">
        <f>IFERROR(I49/J49,0)</f>
        <v/>
      </c>
      <c r="R49" s="52">
        <f>IF($D49="Actual",SUMIFS(Data_Actuals!$C$2:$C$5000,Data_Actuals!$A$2:$A$5000,$A49,Data_Actuals!$B$2:$B$5000,$B$2),"")</f>
        <v/>
      </c>
      <c r="S49" s="52">
        <f>IF($D49="Actual",SUMIFS(Data_Actuals!$D$2:$D$5000,Data_Actuals!$A$2:$A$5000,$A49,Data_Actuals!$B$2:$B$5000,$B$2),"")</f>
        <v/>
      </c>
      <c r="T49" s="52">
        <f>IF($D49="Actual",SUMIFS(Data_Actuals!$E$2:$E$5000,Data_Actuals!$A$2:$A$5000,$A49,Data_Actuals!$B$2:$B$5000,$B$2),"")</f>
        <v/>
      </c>
      <c r="U49" s="52">
        <f>IF($D49="Actual",SUMIFS(Data_Actuals!$F$2:$F$5000,Data_Actuals!$A$2:$A$5000,$A49,Data_Actuals!$B$2:$B$5000,$B$2),"")</f>
        <v/>
      </c>
      <c r="V49" s="52">
        <f>IF($D49="Actual",SUMIFS(Data_Actuals!$G$2:$G$5000,Data_Actuals!$A$2:$A$5000,$A49,Data_Actuals!$B$2:$B$5000,$B$2),"")</f>
        <v/>
      </c>
      <c r="W49" s="52">
        <f>SUMIFS(Plan_Inputs!$C$2:$C$5000,Plan_Inputs!$A$2:$A$5000,$A49,Plan_Inputs!$B$2:$B$5000,$B$2)</f>
        <v/>
      </c>
      <c r="X49" s="53">
        <f>IF($D49="Actual",IFERROR(S49/T49,""),X37)</f>
        <v/>
      </c>
      <c r="Y49" s="52">
        <f>E49</f>
        <v/>
      </c>
      <c r="Z49" s="54">
        <f>INDEX(Calendar!$H$5:$L$52,MATCH($A49,Calendar!$A$5:$A$52,0),MATCH($D$2,Calendar!$H$4:$L$4,0))</f>
        <v/>
      </c>
      <c r="AA49" s="54">
        <f>INDEX(Calendar!$M$5:$M$52,MATCH($A49,Calendar!$A$5:$A$52,0))</f>
        <v/>
      </c>
      <c r="AB49" s="55">
        <f>IF($D49="Actual",IFERROR(S49/Y49,""),AB37)</f>
        <v/>
      </c>
      <c r="AC49" s="56">
        <f>IF($D49="Actual",IFERROR(U49/T49/Z49/AA49,""),AC37)</f>
        <v/>
      </c>
      <c r="AD49" s="57">
        <f>IF($D49="Actual",IFERROR(V49/(U49+V49),""),$K$2)</f>
        <v/>
      </c>
      <c r="AE49" s="56">
        <f>IFERROR(AC49*Z49*AA49,"")</f>
        <v/>
      </c>
      <c r="AF49" s="53">
        <f>K37</f>
        <v/>
      </c>
      <c r="AG49" s="57">
        <f>IF($D49="Forecast",IFERROR(K49/AF49-1,""),"")</f>
        <v/>
      </c>
      <c r="AH49" s="53">
        <f>IF(CPLHSource="National breakdown",CPLH_Breakdown!AP54,SUMIFS(Plan_Inputs!$D$2:$D$5000,Plan_Inputs!$A$2:$A$5000,$A49,Plan_Inputs!$B$2:$B$5000,$B$2))</f>
        <v/>
      </c>
      <c r="AJ49" s="15">
        <f>F49*$AK$11</f>
        <v/>
      </c>
      <c r="AK49" s="9">
        <f>G49*$AK$11</f>
        <v/>
      </c>
      <c r="AL49" s="30">
        <f>H49*$AK$11</f>
        <v/>
      </c>
      <c r="AM49" s="30">
        <f>I49*$AK$11</f>
        <v/>
      </c>
      <c r="AN49" s="30">
        <f>J49*$AK$11</f>
        <v/>
      </c>
      <c r="AP49" s="15">
        <f>F49*$AQ$11</f>
        <v/>
      </c>
      <c r="AQ49" s="9">
        <f>G49*$AQ$11</f>
        <v/>
      </c>
      <c r="AR49" s="30">
        <f>H49*$AQ$11</f>
        <v/>
      </c>
      <c r="AS49" s="30">
        <f>I49*$AQ$11</f>
        <v/>
      </c>
      <c r="AT49" s="30">
        <f>J49*$AQ$11</f>
        <v/>
      </c>
      <c r="AV49" s="15">
        <f>F49*$AW$11</f>
        <v/>
      </c>
      <c r="AW49" s="9">
        <f>G49*$AW$11</f>
        <v/>
      </c>
      <c r="AX49" s="30">
        <f>H49*$AW$11</f>
        <v/>
      </c>
      <c r="AY49" s="30">
        <f>I49*$AW$11</f>
        <v/>
      </c>
      <c r="AZ49" s="30">
        <f>J49*$AW$11</f>
        <v/>
      </c>
    </row>
    <row r="50">
      <c r="A50" s="37" t="n">
        <v>46722</v>
      </c>
      <c r="B50" s="38">
        <f>YEAR(A50)</f>
        <v/>
      </c>
      <c r="C50" s="38">
        <f>MONTH(A50)</f>
        <v/>
      </c>
      <c r="D50" s="39">
        <f>IF(A50&lt;=LastActual,"Actual","Forecast")</f>
        <v/>
      </c>
      <c r="E50" s="40">
        <f>IF($D50="Actual",R50,W50)</f>
        <v/>
      </c>
      <c r="F50" s="41">
        <f>IF($D50="Actual",S50,Cases_Forecast!AO43)</f>
        <v/>
      </c>
      <c r="G50" s="42">
        <f>IF($D50="Actual",T50,IFERROR(F50/K50,0))</f>
        <v/>
      </c>
      <c r="H50" s="40">
        <f>IF($D50="Actual",U50,G50*L50)</f>
        <v/>
      </c>
      <c r="I50" s="40">
        <f>IF($D50="Actual",V50,J50-H50)</f>
        <v/>
      </c>
      <c r="J50" s="40">
        <f>IF($D50="Actual",U50+V50,IFERROR(H50/(1-AD50),0))</f>
        <v/>
      </c>
      <c r="K50" s="43">
        <f>IF($D50="Actual",IFERROR(S50/T50,0),CPLH_Forecast!AO43)</f>
        <v/>
      </c>
      <c r="L50" s="44">
        <f>IF($D50="Actual",IFERROR(U50/T50,0),N(AE50))</f>
        <v/>
      </c>
      <c r="M50" s="45">
        <f>IFERROR(J50/F50,0)</f>
        <v/>
      </c>
      <c r="N50" s="46">
        <f>IFERROR(J50/E50,0)</f>
        <v/>
      </c>
      <c r="O50" s="46">
        <f>IFERROR(I50/J50,0)</f>
        <v/>
      </c>
      <c r="R50" s="52">
        <f>IF($D50="Actual",SUMIFS(Data_Actuals!$C$2:$C$5000,Data_Actuals!$A$2:$A$5000,$A50,Data_Actuals!$B$2:$B$5000,$B$2),"")</f>
        <v/>
      </c>
      <c r="S50" s="52">
        <f>IF($D50="Actual",SUMIFS(Data_Actuals!$D$2:$D$5000,Data_Actuals!$A$2:$A$5000,$A50,Data_Actuals!$B$2:$B$5000,$B$2),"")</f>
        <v/>
      </c>
      <c r="T50" s="52">
        <f>IF($D50="Actual",SUMIFS(Data_Actuals!$E$2:$E$5000,Data_Actuals!$A$2:$A$5000,$A50,Data_Actuals!$B$2:$B$5000,$B$2),"")</f>
        <v/>
      </c>
      <c r="U50" s="52">
        <f>IF($D50="Actual",SUMIFS(Data_Actuals!$F$2:$F$5000,Data_Actuals!$A$2:$A$5000,$A50,Data_Actuals!$B$2:$B$5000,$B$2),"")</f>
        <v/>
      </c>
      <c r="V50" s="52">
        <f>IF($D50="Actual",SUMIFS(Data_Actuals!$G$2:$G$5000,Data_Actuals!$A$2:$A$5000,$A50,Data_Actuals!$B$2:$B$5000,$B$2),"")</f>
        <v/>
      </c>
      <c r="W50" s="52">
        <f>SUMIFS(Plan_Inputs!$C$2:$C$5000,Plan_Inputs!$A$2:$A$5000,$A50,Plan_Inputs!$B$2:$B$5000,$B$2)</f>
        <v/>
      </c>
      <c r="X50" s="53">
        <f>IF($D50="Actual",IFERROR(S50/T50,""),X38)</f>
        <v/>
      </c>
      <c r="Y50" s="52">
        <f>E50</f>
        <v/>
      </c>
      <c r="Z50" s="54">
        <f>INDEX(Calendar!$H$5:$L$52,MATCH($A50,Calendar!$A$5:$A$52,0),MATCH($D$2,Calendar!$H$4:$L$4,0))</f>
        <v/>
      </c>
      <c r="AA50" s="54">
        <f>INDEX(Calendar!$M$5:$M$52,MATCH($A50,Calendar!$A$5:$A$52,0))</f>
        <v/>
      </c>
      <c r="AB50" s="55">
        <f>IF($D50="Actual",IFERROR(S50/Y50,""),AB38)</f>
        <v/>
      </c>
      <c r="AC50" s="56">
        <f>IF($D50="Actual",IFERROR(U50/T50/Z50/AA50,""),AC38)</f>
        <v/>
      </c>
      <c r="AD50" s="57">
        <f>IF($D50="Actual",IFERROR(V50/(U50+V50),""),$K$2)</f>
        <v/>
      </c>
      <c r="AE50" s="56">
        <f>IFERROR(AC50*Z50*AA50,"")</f>
        <v/>
      </c>
      <c r="AF50" s="53">
        <f>K38</f>
        <v/>
      </c>
      <c r="AG50" s="57">
        <f>IF($D50="Forecast",IFERROR(K50/AF50-1,""),"")</f>
        <v/>
      </c>
      <c r="AH50" s="53">
        <f>IF(CPLHSource="National breakdown",CPLH_Breakdown!AP55,SUMIFS(Plan_Inputs!$D$2:$D$5000,Plan_Inputs!$A$2:$A$5000,$A50,Plan_Inputs!$B$2:$B$5000,$B$2))</f>
        <v/>
      </c>
      <c r="AJ50" s="41">
        <f>F50*$AK$11</f>
        <v/>
      </c>
      <c r="AK50" s="42">
        <f>G50*$AK$11</f>
        <v/>
      </c>
      <c r="AL50" s="40">
        <f>H50*$AK$11</f>
        <v/>
      </c>
      <c r="AM50" s="40">
        <f>I50*$AK$11</f>
        <v/>
      </c>
      <c r="AN50" s="40">
        <f>J50*$AK$11</f>
        <v/>
      </c>
      <c r="AP50" s="41">
        <f>F50*$AQ$11</f>
        <v/>
      </c>
      <c r="AQ50" s="42">
        <f>G50*$AQ$11</f>
        <v/>
      </c>
      <c r="AR50" s="40">
        <f>H50*$AQ$11</f>
        <v/>
      </c>
      <c r="AS50" s="40">
        <f>I50*$AQ$11</f>
        <v/>
      </c>
      <c r="AT50" s="40">
        <f>J50*$AQ$11</f>
        <v/>
      </c>
      <c r="AV50" s="41">
        <f>F50*$AW$11</f>
        <v/>
      </c>
      <c r="AW50" s="42">
        <f>G50*$AW$11</f>
        <v/>
      </c>
      <c r="AX50" s="40">
        <f>H50*$AW$11</f>
        <v/>
      </c>
      <c r="AY50" s="40">
        <f>I50*$AW$11</f>
        <v/>
      </c>
      <c r="AZ50" s="40">
        <f>J50*$AW$11</f>
        <v/>
      </c>
    </row>
    <row r="51">
      <c r="A51" s="8" t="n">
        <v>46753</v>
      </c>
      <c r="B51" s="33">
        <f>YEAR(A51)</f>
        <v/>
      </c>
      <c r="C51" s="33">
        <f>MONTH(A51)</f>
        <v/>
      </c>
      <c r="D51">
        <f>IF(A51&lt;=LastActual,"Actual","Forecast")</f>
        <v/>
      </c>
      <c r="E51" s="30">
        <f>IF($D51="Actual",R51,W51)</f>
        <v/>
      </c>
      <c r="F51" s="15">
        <f>IF($D51="Actual",S51,Cases_Forecast!AO44)</f>
        <v/>
      </c>
      <c r="G51" s="9">
        <f>IF($D51="Actual",T51,IFERROR(F51/K51,0))</f>
        <v/>
      </c>
      <c r="H51" s="30">
        <f>IF($D51="Actual",U51,G51*L51)</f>
        <v/>
      </c>
      <c r="I51" s="30">
        <f>IF($D51="Actual",V51,J51-H51)</f>
        <v/>
      </c>
      <c r="J51" s="30">
        <f>IF($D51="Actual",U51+V51,IFERROR(H51/(1-AD51),0))</f>
        <v/>
      </c>
      <c r="K51" s="10">
        <f>IF($D51="Actual",IFERROR(S51/T51,0),CPLH_Forecast!AO44)</f>
        <v/>
      </c>
      <c r="L51" s="34">
        <f>IF($D51="Actual",IFERROR(U51/T51,0),N(AE51))</f>
        <v/>
      </c>
      <c r="M51" s="35">
        <f>IFERROR(J51/F51,0)</f>
        <v/>
      </c>
      <c r="N51" s="36">
        <f>IFERROR(J51/E51,0)</f>
        <v/>
      </c>
      <c r="O51" s="36">
        <f>IFERROR(I51/J51,0)</f>
        <v/>
      </c>
      <c r="R51" s="52">
        <f>IF($D51="Actual",SUMIFS(Data_Actuals!$C$2:$C$5000,Data_Actuals!$A$2:$A$5000,$A51,Data_Actuals!$B$2:$B$5000,$B$2),"")</f>
        <v/>
      </c>
      <c r="S51" s="52">
        <f>IF($D51="Actual",SUMIFS(Data_Actuals!$D$2:$D$5000,Data_Actuals!$A$2:$A$5000,$A51,Data_Actuals!$B$2:$B$5000,$B$2),"")</f>
        <v/>
      </c>
      <c r="T51" s="52">
        <f>IF($D51="Actual",SUMIFS(Data_Actuals!$E$2:$E$5000,Data_Actuals!$A$2:$A$5000,$A51,Data_Actuals!$B$2:$B$5000,$B$2),"")</f>
        <v/>
      </c>
      <c r="U51" s="52">
        <f>IF($D51="Actual",SUMIFS(Data_Actuals!$F$2:$F$5000,Data_Actuals!$A$2:$A$5000,$A51,Data_Actuals!$B$2:$B$5000,$B$2),"")</f>
        <v/>
      </c>
      <c r="V51" s="52">
        <f>IF($D51="Actual",SUMIFS(Data_Actuals!$G$2:$G$5000,Data_Actuals!$A$2:$A$5000,$A51,Data_Actuals!$B$2:$B$5000,$B$2),"")</f>
        <v/>
      </c>
      <c r="W51" s="52">
        <f>SUMIFS(Plan_Inputs!$C$2:$C$5000,Plan_Inputs!$A$2:$A$5000,$A51,Plan_Inputs!$B$2:$B$5000,$B$2)</f>
        <v/>
      </c>
      <c r="X51" s="53">
        <f>IF($D51="Actual",IFERROR(S51/T51,""),X39)</f>
        <v/>
      </c>
      <c r="Y51" s="52">
        <f>E51</f>
        <v/>
      </c>
      <c r="Z51" s="54">
        <f>INDEX(Calendar!$H$5:$L$52,MATCH($A51,Calendar!$A$5:$A$52,0),MATCH($D$2,Calendar!$H$4:$L$4,0))</f>
        <v/>
      </c>
      <c r="AA51" s="54">
        <f>INDEX(Calendar!$M$5:$M$52,MATCH($A51,Calendar!$A$5:$A$52,0))</f>
        <v/>
      </c>
      <c r="AB51" s="55">
        <f>IF($D51="Actual",IFERROR(S51/Y51,""),AB39)</f>
        <v/>
      </c>
      <c r="AC51" s="56">
        <f>IF($D51="Actual",IFERROR(U51/T51/Z51/AA51,""),AC39)</f>
        <v/>
      </c>
      <c r="AD51" s="57">
        <f>IF($D51="Actual",IFERROR(V51/(U51+V51),""),$K$2)</f>
        <v/>
      </c>
      <c r="AE51" s="56">
        <f>IFERROR(AC51*Z51*AA51,"")</f>
        <v/>
      </c>
      <c r="AF51" s="53">
        <f>K39</f>
        <v/>
      </c>
      <c r="AG51" s="57">
        <f>IF($D51="Forecast",IFERROR(K51/AF51-1,""),"")</f>
        <v/>
      </c>
      <c r="AH51" s="53">
        <f>IF(CPLHSource="National breakdown",CPLH_Breakdown!AP56,SUMIFS(Plan_Inputs!$D$2:$D$5000,Plan_Inputs!$A$2:$A$5000,$A51,Plan_Inputs!$B$2:$B$5000,$B$2))</f>
        <v/>
      </c>
      <c r="AJ51" s="15">
        <f>F51*$AK$11</f>
        <v/>
      </c>
      <c r="AK51" s="9">
        <f>G51*$AK$11</f>
        <v/>
      </c>
      <c r="AL51" s="30">
        <f>H51*$AK$11</f>
        <v/>
      </c>
      <c r="AM51" s="30">
        <f>I51*$AK$11</f>
        <v/>
      </c>
      <c r="AN51" s="30">
        <f>J51*$AK$11</f>
        <v/>
      </c>
      <c r="AP51" s="15">
        <f>F51*$AQ$11</f>
        <v/>
      </c>
      <c r="AQ51" s="9">
        <f>G51*$AQ$11</f>
        <v/>
      </c>
      <c r="AR51" s="30">
        <f>H51*$AQ$11</f>
        <v/>
      </c>
      <c r="AS51" s="30">
        <f>I51*$AQ$11</f>
        <v/>
      </c>
      <c r="AT51" s="30">
        <f>J51*$AQ$11</f>
        <v/>
      </c>
      <c r="AV51" s="15">
        <f>F51*$AW$11</f>
        <v/>
      </c>
      <c r="AW51" s="9">
        <f>G51*$AW$11</f>
        <v/>
      </c>
      <c r="AX51" s="30">
        <f>H51*$AW$11</f>
        <v/>
      </c>
      <c r="AY51" s="30">
        <f>I51*$AW$11</f>
        <v/>
      </c>
      <c r="AZ51" s="30">
        <f>J51*$AW$11</f>
        <v/>
      </c>
    </row>
    <row r="52">
      <c r="A52" s="8" t="n">
        <v>46784</v>
      </c>
      <c r="B52" s="33">
        <f>YEAR(A52)</f>
        <v/>
      </c>
      <c r="C52" s="33">
        <f>MONTH(A52)</f>
        <v/>
      </c>
      <c r="D52">
        <f>IF(A52&lt;=LastActual,"Actual","Forecast")</f>
        <v/>
      </c>
      <c r="E52" s="30">
        <f>IF($D52="Actual",R52,W52)</f>
        <v/>
      </c>
      <c r="F52" s="15">
        <f>IF($D52="Actual",S52,Cases_Forecast!AO45)</f>
        <v/>
      </c>
      <c r="G52" s="9">
        <f>IF($D52="Actual",T52,IFERROR(F52/K52,0))</f>
        <v/>
      </c>
      <c r="H52" s="30">
        <f>IF($D52="Actual",U52,G52*L52)</f>
        <v/>
      </c>
      <c r="I52" s="30">
        <f>IF($D52="Actual",V52,J52-H52)</f>
        <v/>
      </c>
      <c r="J52" s="30">
        <f>IF($D52="Actual",U52+V52,IFERROR(H52/(1-AD52),0))</f>
        <v/>
      </c>
      <c r="K52" s="10">
        <f>IF($D52="Actual",IFERROR(S52/T52,0),CPLH_Forecast!AO45)</f>
        <v/>
      </c>
      <c r="L52" s="34">
        <f>IF($D52="Actual",IFERROR(U52/T52,0),N(AE52))</f>
        <v/>
      </c>
      <c r="M52" s="35">
        <f>IFERROR(J52/F52,0)</f>
        <v/>
      </c>
      <c r="N52" s="36">
        <f>IFERROR(J52/E52,0)</f>
        <v/>
      </c>
      <c r="O52" s="36">
        <f>IFERROR(I52/J52,0)</f>
        <v/>
      </c>
      <c r="R52" s="52">
        <f>IF($D52="Actual",SUMIFS(Data_Actuals!$C$2:$C$5000,Data_Actuals!$A$2:$A$5000,$A52,Data_Actuals!$B$2:$B$5000,$B$2),"")</f>
        <v/>
      </c>
      <c r="S52" s="52">
        <f>IF($D52="Actual",SUMIFS(Data_Actuals!$D$2:$D$5000,Data_Actuals!$A$2:$A$5000,$A52,Data_Actuals!$B$2:$B$5000,$B$2),"")</f>
        <v/>
      </c>
      <c r="T52" s="52">
        <f>IF($D52="Actual",SUMIFS(Data_Actuals!$E$2:$E$5000,Data_Actuals!$A$2:$A$5000,$A52,Data_Actuals!$B$2:$B$5000,$B$2),"")</f>
        <v/>
      </c>
      <c r="U52" s="52">
        <f>IF($D52="Actual",SUMIFS(Data_Actuals!$F$2:$F$5000,Data_Actuals!$A$2:$A$5000,$A52,Data_Actuals!$B$2:$B$5000,$B$2),"")</f>
        <v/>
      </c>
      <c r="V52" s="52">
        <f>IF($D52="Actual",SUMIFS(Data_Actuals!$G$2:$G$5000,Data_Actuals!$A$2:$A$5000,$A52,Data_Actuals!$B$2:$B$5000,$B$2),"")</f>
        <v/>
      </c>
      <c r="W52" s="52">
        <f>SUMIFS(Plan_Inputs!$C$2:$C$5000,Plan_Inputs!$A$2:$A$5000,$A52,Plan_Inputs!$B$2:$B$5000,$B$2)</f>
        <v/>
      </c>
      <c r="X52" s="53">
        <f>IF($D52="Actual",IFERROR(S52/T52,""),X40)</f>
        <v/>
      </c>
      <c r="Y52" s="52">
        <f>E52</f>
        <v/>
      </c>
      <c r="Z52" s="54">
        <f>INDEX(Calendar!$H$5:$L$52,MATCH($A52,Calendar!$A$5:$A$52,0),MATCH($D$2,Calendar!$H$4:$L$4,0))</f>
        <v/>
      </c>
      <c r="AA52" s="54">
        <f>INDEX(Calendar!$M$5:$M$52,MATCH($A52,Calendar!$A$5:$A$52,0))</f>
        <v/>
      </c>
      <c r="AB52" s="55">
        <f>IF($D52="Actual",IFERROR(S52/Y52,""),AB40)</f>
        <v/>
      </c>
      <c r="AC52" s="56">
        <f>IF($D52="Actual",IFERROR(U52/T52/Z52/AA52,""),AC40)</f>
        <v/>
      </c>
      <c r="AD52" s="57">
        <f>IF($D52="Actual",IFERROR(V52/(U52+V52),""),$K$2)</f>
        <v/>
      </c>
      <c r="AE52" s="56">
        <f>IFERROR(AC52*Z52*AA52,"")</f>
        <v/>
      </c>
      <c r="AF52" s="53">
        <f>K40</f>
        <v/>
      </c>
      <c r="AG52" s="57">
        <f>IF($D52="Forecast",IFERROR(K52/AF52-1,""),"")</f>
        <v/>
      </c>
      <c r="AH52" s="53">
        <f>IF(CPLHSource="National breakdown",CPLH_Breakdown!AP57,SUMIFS(Plan_Inputs!$D$2:$D$5000,Plan_Inputs!$A$2:$A$5000,$A52,Plan_Inputs!$B$2:$B$5000,$B$2))</f>
        <v/>
      </c>
      <c r="AJ52" s="15">
        <f>F52*$AK$11</f>
        <v/>
      </c>
      <c r="AK52" s="9">
        <f>G52*$AK$11</f>
        <v/>
      </c>
      <c r="AL52" s="30">
        <f>H52*$AK$11</f>
        <v/>
      </c>
      <c r="AM52" s="30">
        <f>I52*$AK$11</f>
        <v/>
      </c>
      <c r="AN52" s="30">
        <f>J52*$AK$11</f>
        <v/>
      </c>
      <c r="AP52" s="15">
        <f>F52*$AQ$11</f>
        <v/>
      </c>
      <c r="AQ52" s="9">
        <f>G52*$AQ$11</f>
        <v/>
      </c>
      <c r="AR52" s="30">
        <f>H52*$AQ$11</f>
        <v/>
      </c>
      <c r="AS52" s="30">
        <f>I52*$AQ$11</f>
        <v/>
      </c>
      <c r="AT52" s="30">
        <f>J52*$AQ$11</f>
        <v/>
      </c>
      <c r="AV52" s="15">
        <f>F52*$AW$11</f>
        <v/>
      </c>
      <c r="AW52" s="9">
        <f>G52*$AW$11</f>
        <v/>
      </c>
      <c r="AX52" s="30">
        <f>H52*$AW$11</f>
        <v/>
      </c>
      <c r="AY52" s="30">
        <f>I52*$AW$11</f>
        <v/>
      </c>
      <c r="AZ52" s="30">
        <f>J52*$AW$11</f>
        <v/>
      </c>
    </row>
    <row r="53">
      <c r="A53" s="8" t="n">
        <v>46813</v>
      </c>
      <c r="B53" s="33">
        <f>YEAR(A53)</f>
        <v/>
      </c>
      <c r="C53" s="33">
        <f>MONTH(A53)</f>
        <v/>
      </c>
      <c r="D53">
        <f>IF(A53&lt;=LastActual,"Actual","Forecast")</f>
        <v/>
      </c>
      <c r="E53" s="30">
        <f>IF($D53="Actual",R53,W53)</f>
        <v/>
      </c>
      <c r="F53" s="15">
        <f>IF($D53="Actual",S53,Cases_Forecast!AO46)</f>
        <v/>
      </c>
      <c r="G53" s="9">
        <f>IF($D53="Actual",T53,IFERROR(F53/K53,0))</f>
        <v/>
      </c>
      <c r="H53" s="30">
        <f>IF($D53="Actual",U53,G53*L53)</f>
        <v/>
      </c>
      <c r="I53" s="30">
        <f>IF($D53="Actual",V53,J53-H53)</f>
        <v/>
      </c>
      <c r="J53" s="30">
        <f>IF($D53="Actual",U53+V53,IFERROR(H53/(1-AD53),0))</f>
        <v/>
      </c>
      <c r="K53" s="10">
        <f>IF($D53="Actual",IFERROR(S53/T53,0),CPLH_Forecast!AO46)</f>
        <v/>
      </c>
      <c r="L53" s="34">
        <f>IF($D53="Actual",IFERROR(U53/T53,0),N(AE53))</f>
        <v/>
      </c>
      <c r="M53" s="35">
        <f>IFERROR(J53/F53,0)</f>
        <v/>
      </c>
      <c r="N53" s="36">
        <f>IFERROR(J53/E53,0)</f>
        <v/>
      </c>
      <c r="O53" s="36">
        <f>IFERROR(I53/J53,0)</f>
        <v/>
      </c>
      <c r="R53" s="52">
        <f>IF($D53="Actual",SUMIFS(Data_Actuals!$C$2:$C$5000,Data_Actuals!$A$2:$A$5000,$A53,Data_Actuals!$B$2:$B$5000,$B$2),"")</f>
        <v/>
      </c>
      <c r="S53" s="52">
        <f>IF($D53="Actual",SUMIFS(Data_Actuals!$D$2:$D$5000,Data_Actuals!$A$2:$A$5000,$A53,Data_Actuals!$B$2:$B$5000,$B$2),"")</f>
        <v/>
      </c>
      <c r="T53" s="52">
        <f>IF($D53="Actual",SUMIFS(Data_Actuals!$E$2:$E$5000,Data_Actuals!$A$2:$A$5000,$A53,Data_Actuals!$B$2:$B$5000,$B$2),"")</f>
        <v/>
      </c>
      <c r="U53" s="52">
        <f>IF($D53="Actual",SUMIFS(Data_Actuals!$F$2:$F$5000,Data_Actuals!$A$2:$A$5000,$A53,Data_Actuals!$B$2:$B$5000,$B$2),"")</f>
        <v/>
      </c>
      <c r="V53" s="52">
        <f>IF($D53="Actual",SUMIFS(Data_Actuals!$G$2:$G$5000,Data_Actuals!$A$2:$A$5000,$A53,Data_Actuals!$B$2:$B$5000,$B$2),"")</f>
        <v/>
      </c>
      <c r="W53" s="52">
        <f>SUMIFS(Plan_Inputs!$C$2:$C$5000,Plan_Inputs!$A$2:$A$5000,$A53,Plan_Inputs!$B$2:$B$5000,$B$2)</f>
        <v/>
      </c>
      <c r="X53" s="53">
        <f>IF($D53="Actual",IFERROR(S53/T53,""),X41)</f>
        <v/>
      </c>
      <c r="Y53" s="52">
        <f>E53</f>
        <v/>
      </c>
      <c r="Z53" s="54">
        <f>INDEX(Calendar!$H$5:$L$52,MATCH($A53,Calendar!$A$5:$A$52,0),MATCH($D$2,Calendar!$H$4:$L$4,0))</f>
        <v/>
      </c>
      <c r="AA53" s="54">
        <f>INDEX(Calendar!$M$5:$M$52,MATCH($A53,Calendar!$A$5:$A$52,0))</f>
        <v/>
      </c>
      <c r="AB53" s="55">
        <f>IF($D53="Actual",IFERROR(S53/Y53,""),AB41)</f>
        <v/>
      </c>
      <c r="AC53" s="56">
        <f>IF($D53="Actual",IFERROR(U53/T53/Z53/AA53,""),AC41)</f>
        <v/>
      </c>
      <c r="AD53" s="57">
        <f>IF($D53="Actual",IFERROR(V53/(U53+V53),""),$K$2)</f>
        <v/>
      </c>
      <c r="AE53" s="56">
        <f>IFERROR(AC53*Z53*AA53,"")</f>
        <v/>
      </c>
      <c r="AF53" s="53">
        <f>K41</f>
        <v/>
      </c>
      <c r="AG53" s="57">
        <f>IF($D53="Forecast",IFERROR(K53/AF53-1,""),"")</f>
        <v/>
      </c>
      <c r="AH53" s="53">
        <f>IF(CPLHSource="National breakdown",CPLH_Breakdown!AP58,SUMIFS(Plan_Inputs!$D$2:$D$5000,Plan_Inputs!$A$2:$A$5000,$A53,Plan_Inputs!$B$2:$B$5000,$B$2))</f>
        <v/>
      </c>
      <c r="AJ53" s="15">
        <f>F53*$AK$11</f>
        <v/>
      </c>
      <c r="AK53" s="9">
        <f>G53*$AK$11</f>
        <v/>
      </c>
      <c r="AL53" s="30">
        <f>H53*$AK$11</f>
        <v/>
      </c>
      <c r="AM53" s="30">
        <f>I53*$AK$11</f>
        <v/>
      </c>
      <c r="AN53" s="30">
        <f>J53*$AK$11</f>
        <v/>
      </c>
      <c r="AP53" s="15">
        <f>F53*$AQ$11</f>
        <v/>
      </c>
      <c r="AQ53" s="9">
        <f>G53*$AQ$11</f>
        <v/>
      </c>
      <c r="AR53" s="30">
        <f>H53*$AQ$11</f>
        <v/>
      </c>
      <c r="AS53" s="30">
        <f>I53*$AQ$11</f>
        <v/>
      </c>
      <c r="AT53" s="30">
        <f>J53*$AQ$11</f>
        <v/>
      </c>
      <c r="AV53" s="15">
        <f>F53*$AW$11</f>
        <v/>
      </c>
      <c r="AW53" s="9">
        <f>G53*$AW$11</f>
        <v/>
      </c>
      <c r="AX53" s="30">
        <f>H53*$AW$11</f>
        <v/>
      </c>
      <c r="AY53" s="30">
        <f>I53*$AW$11</f>
        <v/>
      </c>
      <c r="AZ53" s="30">
        <f>J53*$AW$11</f>
        <v/>
      </c>
    </row>
    <row r="54">
      <c r="A54" s="8" t="n">
        <v>46844</v>
      </c>
      <c r="B54" s="33">
        <f>YEAR(A54)</f>
        <v/>
      </c>
      <c r="C54" s="33">
        <f>MONTH(A54)</f>
        <v/>
      </c>
      <c r="D54">
        <f>IF(A54&lt;=LastActual,"Actual","Forecast")</f>
        <v/>
      </c>
      <c r="E54" s="30">
        <f>IF($D54="Actual",R54,W54)</f>
        <v/>
      </c>
      <c r="F54" s="15">
        <f>IF($D54="Actual",S54,Cases_Forecast!AO47)</f>
        <v/>
      </c>
      <c r="G54" s="9">
        <f>IF($D54="Actual",T54,IFERROR(F54/K54,0))</f>
        <v/>
      </c>
      <c r="H54" s="30">
        <f>IF($D54="Actual",U54,G54*L54)</f>
        <v/>
      </c>
      <c r="I54" s="30">
        <f>IF($D54="Actual",V54,J54-H54)</f>
        <v/>
      </c>
      <c r="J54" s="30">
        <f>IF($D54="Actual",U54+V54,IFERROR(H54/(1-AD54),0))</f>
        <v/>
      </c>
      <c r="K54" s="10">
        <f>IF($D54="Actual",IFERROR(S54/T54,0),CPLH_Forecast!AO47)</f>
        <v/>
      </c>
      <c r="L54" s="34">
        <f>IF($D54="Actual",IFERROR(U54/T54,0),N(AE54))</f>
        <v/>
      </c>
      <c r="M54" s="35">
        <f>IFERROR(J54/F54,0)</f>
        <v/>
      </c>
      <c r="N54" s="36">
        <f>IFERROR(J54/E54,0)</f>
        <v/>
      </c>
      <c r="O54" s="36">
        <f>IFERROR(I54/J54,0)</f>
        <v/>
      </c>
      <c r="R54" s="52">
        <f>IF($D54="Actual",SUMIFS(Data_Actuals!$C$2:$C$5000,Data_Actuals!$A$2:$A$5000,$A54,Data_Actuals!$B$2:$B$5000,$B$2),"")</f>
        <v/>
      </c>
      <c r="S54" s="52">
        <f>IF($D54="Actual",SUMIFS(Data_Actuals!$D$2:$D$5000,Data_Actuals!$A$2:$A$5000,$A54,Data_Actuals!$B$2:$B$5000,$B$2),"")</f>
        <v/>
      </c>
      <c r="T54" s="52">
        <f>IF($D54="Actual",SUMIFS(Data_Actuals!$E$2:$E$5000,Data_Actuals!$A$2:$A$5000,$A54,Data_Actuals!$B$2:$B$5000,$B$2),"")</f>
        <v/>
      </c>
      <c r="U54" s="52">
        <f>IF($D54="Actual",SUMIFS(Data_Actuals!$F$2:$F$5000,Data_Actuals!$A$2:$A$5000,$A54,Data_Actuals!$B$2:$B$5000,$B$2),"")</f>
        <v/>
      </c>
      <c r="V54" s="52">
        <f>IF($D54="Actual",SUMIFS(Data_Actuals!$G$2:$G$5000,Data_Actuals!$A$2:$A$5000,$A54,Data_Actuals!$B$2:$B$5000,$B$2),"")</f>
        <v/>
      </c>
      <c r="W54" s="52">
        <f>SUMIFS(Plan_Inputs!$C$2:$C$5000,Plan_Inputs!$A$2:$A$5000,$A54,Plan_Inputs!$B$2:$B$5000,$B$2)</f>
        <v/>
      </c>
      <c r="X54" s="53">
        <f>IF($D54="Actual",IFERROR(S54/T54,""),X42)</f>
        <v/>
      </c>
      <c r="Y54" s="52">
        <f>E54</f>
        <v/>
      </c>
      <c r="Z54" s="54">
        <f>INDEX(Calendar!$H$5:$L$52,MATCH($A54,Calendar!$A$5:$A$52,0),MATCH($D$2,Calendar!$H$4:$L$4,0))</f>
        <v/>
      </c>
      <c r="AA54" s="54">
        <f>INDEX(Calendar!$M$5:$M$52,MATCH($A54,Calendar!$A$5:$A$52,0))</f>
        <v/>
      </c>
      <c r="AB54" s="55">
        <f>IF($D54="Actual",IFERROR(S54/Y54,""),AB42)</f>
        <v/>
      </c>
      <c r="AC54" s="56">
        <f>IF($D54="Actual",IFERROR(U54/T54/Z54/AA54,""),AC42)</f>
        <v/>
      </c>
      <c r="AD54" s="57">
        <f>IF($D54="Actual",IFERROR(V54/(U54+V54),""),$K$2)</f>
        <v/>
      </c>
      <c r="AE54" s="56">
        <f>IFERROR(AC54*Z54*AA54,"")</f>
        <v/>
      </c>
      <c r="AF54" s="53">
        <f>K42</f>
        <v/>
      </c>
      <c r="AG54" s="57">
        <f>IF($D54="Forecast",IFERROR(K54/AF54-1,""),"")</f>
        <v/>
      </c>
      <c r="AH54" s="53">
        <f>IF(CPLHSource="National breakdown",CPLH_Breakdown!AP59,SUMIFS(Plan_Inputs!$D$2:$D$5000,Plan_Inputs!$A$2:$A$5000,$A54,Plan_Inputs!$B$2:$B$5000,$B$2))</f>
        <v/>
      </c>
      <c r="AJ54" s="15">
        <f>F54*$AK$11</f>
        <v/>
      </c>
      <c r="AK54" s="9">
        <f>G54*$AK$11</f>
        <v/>
      </c>
      <c r="AL54" s="30">
        <f>H54*$AK$11</f>
        <v/>
      </c>
      <c r="AM54" s="30">
        <f>I54*$AK$11</f>
        <v/>
      </c>
      <c r="AN54" s="30">
        <f>J54*$AK$11</f>
        <v/>
      </c>
      <c r="AP54" s="15">
        <f>F54*$AQ$11</f>
        <v/>
      </c>
      <c r="AQ54" s="9">
        <f>G54*$AQ$11</f>
        <v/>
      </c>
      <c r="AR54" s="30">
        <f>H54*$AQ$11</f>
        <v/>
      </c>
      <c r="AS54" s="30">
        <f>I54*$AQ$11</f>
        <v/>
      </c>
      <c r="AT54" s="30">
        <f>J54*$AQ$11</f>
        <v/>
      </c>
      <c r="AV54" s="15">
        <f>F54*$AW$11</f>
        <v/>
      </c>
      <c r="AW54" s="9">
        <f>G54*$AW$11</f>
        <v/>
      </c>
      <c r="AX54" s="30">
        <f>H54*$AW$11</f>
        <v/>
      </c>
      <c r="AY54" s="30">
        <f>I54*$AW$11</f>
        <v/>
      </c>
      <c r="AZ54" s="30">
        <f>J54*$AW$11</f>
        <v/>
      </c>
    </row>
    <row r="55">
      <c r="A55" s="8" t="n">
        <v>46874</v>
      </c>
      <c r="B55" s="33">
        <f>YEAR(A55)</f>
        <v/>
      </c>
      <c r="C55" s="33">
        <f>MONTH(A55)</f>
        <v/>
      </c>
      <c r="D55">
        <f>IF(A55&lt;=LastActual,"Actual","Forecast")</f>
        <v/>
      </c>
      <c r="E55" s="30">
        <f>IF($D55="Actual",R55,W55)</f>
        <v/>
      </c>
      <c r="F55" s="15">
        <f>IF($D55="Actual",S55,Cases_Forecast!AO48)</f>
        <v/>
      </c>
      <c r="G55" s="9">
        <f>IF($D55="Actual",T55,IFERROR(F55/K55,0))</f>
        <v/>
      </c>
      <c r="H55" s="30">
        <f>IF($D55="Actual",U55,G55*L55)</f>
        <v/>
      </c>
      <c r="I55" s="30">
        <f>IF($D55="Actual",V55,J55-H55)</f>
        <v/>
      </c>
      <c r="J55" s="30">
        <f>IF($D55="Actual",U55+V55,IFERROR(H55/(1-AD55),0))</f>
        <v/>
      </c>
      <c r="K55" s="10">
        <f>IF($D55="Actual",IFERROR(S55/T55,0),CPLH_Forecast!AO48)</f>
        <v/>
      </c>
      <c r="L55" s="34">
        <f>IF($D55="Actual",IFERROR(U55/T55,0),N(AE55))</f>
        <v/>
      </c>
      <c r="M55" s="35">
        <f>IFERROR(J55/F55,0)</f>
        <v/>
      </c>
      <c r="N55" s="36">
        <f>IFERROR(J55/E55,0)</f>
        <v/>
      </c>
      <c r="O55" s="36">
        <f>IFERROR(I55/J55,0)</f>
        <v/>
      </c>
      <c r="R55" s="52">
        <f>IF($D55="Actual",SUMIFS(Data_Actuals!$C$2:$C$5000,Data_Actuals!$A$2:$A$5000,$A55,Data_Actuals!$B$2:$B$5000,$B$2),"")</f>
        <v/>
      </c>
      <c r="S55" s="52">
        <f>IF($D55="Actual",SUMIFS(Data_Actuals!$D$2:$D$5000,Data_Actuals!$A$2:$A$5000,$A55,Data_Actuals!$B$2:$B$5000,$B$2),"")</f>
        <v/>
      </c>
      <c r="T55" s="52">
        <f>IF($D55="Actual",SUMIFS(Data_Actuals!$E$2:$E$5000,Data_Actuals!$A$2:$A$5000,$A55,Data_Actuals!$B$2:$B$5000,$B$2),"")</f>
        <v/>
      </c>
      <c r="U55" s="52">
        <f>IF($D55="Actual",SUMIFS(Data_Actuals!$F$2:$F$5000,Data_Actuals!$A$2:$A$5000,$A55,Data_Actuals!$B$2:$B$5000,$B$2),"")</f>
        <v/>
      </c>
      <c r="V55" s="52">
        <f>IF($D55="Actual",SUMIFS(Data_Actuals!$G$2:$G$5000,Data_Actuals!$A$2:$A$5000,$A55,Data_Actuals!$B$2:$B$5000,$B$2),"")</f>
        <v/>
      </c>
      <c r="W55" s="52">
        <f>SUMIFS(Plan_Inputs!$C$2:$C$5000,Plan_Inputs!$A$2:$A$5000,$A55,Plan_Inputs!$B$2:$B$5000,$B$2)</f>
        <v/>
      </c>
      <c r="X55" s="53">
        <f>IF($D55="Actual",IFERROR(S55/T55,""),X43)</f>
        <v/>
      </c>
      <c r="Y55" s="52">
        <f>E55</f>
        <v/>
      </c>
      <c r="Z55" s="54">
        <f>INDEX(Calendar!$H$5:$L$52,MATCH($A55,Calendar!$A$5:$A$52,0),MATCH($D$2,Calendar!$H$4:$L$4,0))</f>
        <v/>
      </c>
      <c r="AA55" s="54">
        <f>INDEX(Calendar!$M$5:$M$52,MATCH($A55,Calendar!$A$5:$A$52,0))</f>
        <v/>
      </c>
      <c r="AB55" s="55">
        <f>IF($D55="Actual",IFERROR(S55/Y55,""),AB43)</f>
        <v/>
      </c>
      <c r="AC55" s="56">
        <f>IF($D55="Actual",IFERROR(U55/T55/Z55/AA55,""),AC43)</f>
        <v/>
      </c>
      <c r="AD55" s="57">
        <f>IF($D55="Actual",IFERROR(V55/(U55+V55),""),$K$2)</f>
        <v/>
      </c>
      <c r="AE55" s="56">
        <f>IFERROR(AC55*Z55*AA55,"")</f>
        <v/>
      </c>
      <c r="AF55" s="53">
        <f>K43</f>
        <v/>
      </c>
      <c r="AG55" s="57">
        <f>IF($D55="Forecast",IFERROR(K55/AF55-1,""),"")</f>
        <v/>
      </c>
      <c r="AH55" s="53">
        <f>IF(CPLHSource="National breakdown",CPLH_Breakdown!AP60,SUMIFS(Plan_Inputs!$D$2:$D$5000,Plan_Inputs!$A$2:$A$5000,$A55,Plan_Inputs!$B$2:$B$5000,$B$2))</f>
        <v/>
      </c>
      <c r="AJ55" s="15">
        <f>F55*$AK$11</f>
        <v/>
      </c>
      <c r="AK55" s="9">
        <f>G55*$AK$11</f>
        <v/>
      </c>
      <c r="AL55" s="30">
        <f>H55*$AK$11</f>
        <v/>
      </c>
      <c r="AM55" s="30">
        <f>I55*$AK$11</f>
        <v/>
      </c>
      <c r="AN55" s="30">
        <f>J55*$AK$11</f>
        <v/>
      </c>
      <c r="AP55" s="15">
        <f>F55*$AQ$11</f>
        <v/>
      </c>
      <c r="AQ55" s="9">
        <f>G55*$AQ$11</f>
        <v/>
      </c>
      <c r="AR55" s="30">
        <f>H55*$AQ$11</f>
        <v/>
      </c>
      <c r="AS55" s="30">
        <f>I55*$AQ$11</f>
        <v/>
      </c>
      <c r="AT55" s="30">
        <f>J55*$AQ$11</f>
        <v/>
      </c>
      <c r="AV55" s="15">
        <f>F55*$AW$11</f>
        <v/>
      </c>
      <c r="AW55" s="9">
        <f>G55*$AW$11</f>
        <v/>
      </c>
      <c r="AX55" s="30">
        <f>H55*$AW$11</f>
        <v/>
      </c>
      <c r="AY55" s="30">
        <f>I55*$AW$11</f>
        <v/>
      </c>
      <c r="AZ55" s="30">
        <f>J55*$AW$11</f>
        <v/>
      </c>
    </row>
    <row r="56">
      <c r="A56" s="8" t="n">
        <v>46905</v>
      </c>
      <c r="B56" s="33">
        <f>YEAR(A56)</f>
        <v/>
      </c>
      <c r="C56" s="33">
        <f>MONTH(A56)</f>
        <v/>
      </c>
      <c r="D56">
        <f>IF(A56&lt;=LastActual,"Actual","Forecast")</f>
        <v/>
      </c>
      <c r="E56" s="30">
        <f>IF($D56="Actual",R56,W56)</f>
        <v/>
      </c>
      <c r="F56" s="15">
        <f>IF($D56="Actual",S56,Cases_Forecast!AO49)</f>
        <v/>
      </c>
      <c r="G56" s="9">
        <f>IF($D56="Actual",T56,IFERROR(F56/K56,0))</f>
        <v/>
      </c>
      <c r="H56" s="30">
        <f>IF($D56="Actual",U56,G56*L56)</f>
        <v/>
      </c>
      <c r="I56" s="30">
        <f>IF($D56="Actual",V56,J56-H56)</f>
        <v/>
      </c>
      <c r="J56" s="30">
        <f>IF($D56="Actual",U56+V56,IFERROR(H56/(1-AD56),0))</f>
        <v/>
      </c>
      <c r="K56" s="10">
        <f>IF($D56="Actual",IFERROR(S56/T56,0),CPLH_Forecast!AO49)</f>
        <v/>
      </c>
      <c r="L56" s="34">
        <f>IF($D56="Actual",IFERROR(U56/T56,0),N(AE56))</f>
        <v/>
      </c>
      <c r="M56" s="35">
        <f>IFERROR(J56/F56,0)</f>
        <v/>
      </c>
      <c r="N56" s="36">
        <f>IFERROR(J56/E56,0)</f>
        <v/>
      </c>
      <c r="O56" s="36">
        <f>IFERROR(I56/J56,0)</f>
        <v/>
      </c>
      <c r="R56" s="52">
        <f>IF($D56="Actual",SUMIFS(Data_Actuals!$C$2:$C$5000,Data_Actuals!$A$2:$A$5000,$A56,Data_Actuals!$B$2:$B$5000,$B$2),"")</f>
        <v/>
      </c>
      <c r="S56" s="52">
        <f>IF($D56="Actual",SUMIFS(Data_Actuals!$D$2:$D$5000,Data_Actuals!$A$2:$A$5000,$A56,Data_Actuals!$B$2:$B$5000,$B$2),"")</f>
        <v/>
      </c>
      <c r="T56" s="52">
        <f>IF($D56="Actual",SUMIFS(Data_Actuals!$E$2:$E$5000,Data_Actuals!$A$2:$A$5000,$A56,Data_Actuals!$B$2:$B$5000,$B$2),"")</f>
        <v/>
      </c>
      <c r="U56" s="52">
        <f>IF($D56="Actual",SUMIFS(Data_Actuals!$F$2:$F$5000,Data_Actuals!$A$2:$A$5000,$A56,Data_Actuals!$B$2:$B$5000,$B$2),"")</f>
        <v/>
      </c>
      <c r="V56" s="52">
        <f>IF($D56="Actual",SUMIFS(Data_Actuals!$G$2:$G$5000,Data_Actuals!$A$2:$A$5000,$A56,Data_Actuals!$B$2:$B$5000,$B$2),"")</f>
        <v/>
      </c>
      <c r="W56" s="52">
        <f>SUMIFS(Plan_Inputs!$C$2:$C$5000,Plan_Inputs!$A$2:$A$5000,$A56,Plan_Inputs!$B$2:$B$5000,$B$2)</f>
        <v/>
      </c>
      <c r="X56" s="53">
        <f>IF($D56="Actual",IFERROR(S56/T56,""),X44)</f>
        <v/>
      </c>
      <c r="Y56" s="52">
        <f>E56</f>
        <v/>
      </c>
      <c r="Z56" s="54">
        <f>INDEX(Calendar!$H$5:$L$52,MATCH($A56,Calendar!$A$5:$A$52,0),MATCH($D$2,Calendar!$H$4:$L$4,0))</f>
        <v/>
      </c>
      <c r="AA56" s="54">
        <f>INDEX(Calendar!$M$5:$M$52,MATCH($A56,Calendar!$A$5:$A$52,0))</f>
        <v/>
      </c>
      <c r="AB56" s="55">
        <f>IF($D56="Actual",IFERROR(S56/Y56,""),AB44)</f>
        <v/>
      </c>
      <c r="AC56" s="56">
        <f>IF($D56="Actual",IFERROR(U56/T56/Z56/AA56,""),AC44)</f>
        <v/>
      </c>
      <c r="AD56" s="57">
        <f>IF($D56="Actual",IFERROR(V56/(U56+V56),""),$K$2)</f>
        <v/>
      </c>
      <c r="AE56" s="56">
        <f>IFERROR(AC56*Z56*AA56,"")</f>
        <v/>
      </c>
      <c r="AF56" s="53">
        <f>K44</f>
        <v/>
      </c>
      <c r="AG56" s="57">
        <f>IF($D56="Forecast",IFERROR(K56/AF56-1,""),"")</f>
        <v/>
      </c>
      <c r="AH56" s="53">
        <f>IF(CPLHSource="National breakdown",CPLH_Breakdown!AP61,SUMIFS(Plan_Inputs!$D$2:$D$5000,Plan_Inputs!$A$2:$A$5000,$A56,Plan_Inputs!$B$2:$B$5000,$B$2))</f>
        <v/>
      </c>
      <c r="AJ56" s="15">
        <f>F56*$AK$11</f>
        <v/>
      </c>
      <c r="AK56" s="9">
        <f>G56*$AK$11</f>
        <v/>
      </c>
      <c r="AL56" s="30">
        <f>H56*$AK$11</f>
        <v/>
      </c>
      <c r="AM56" s="30">
        <f>I56*$AK$11</f>
        <v/>
      </c>
      <c r="AN56" s="30">
        <f>J56*$AK$11</f>
        <v/>
      </c>
      <c r="AP56" s="15">
        <f>F56*$AQ$11</f>
        <v/>
      </c>
      <c r="AQ56" s="9">
        <f>G56*$AQ$11</f>
        <v/>
      </c>
      <c r="AR56" s="30">
        <f>H56*$AQ$11</f>
        <v/>
      </c>
      <c r="AS56" s="30">
        <f>I56*$AQ$11</f>
        <v/>
      </c>
      <c r="AT56" s="30">
        <f>J56*$AQ$11</f>
        <v/>
      </c>
      <c r="AV56" s="15">
        <f>F56*$AW$11</f>
        <v/>
      </c>
      <c r="AW56" s="9">
        <f>G56*$AW$11</f>
        <v/>
      </c>
      <c r="AX56" s="30">
        <f>H56*$AW$11</f>
        <v/>
      </c>
      <c r="AY56" s="30">
        <f>I56*$AW$11</f>
        <v/>
      </c>
      <c r="AZ56" s="30">
        <f>J56*$AW$11</f>
        <v/>
      </c>
    </row>
    <row r="57">
      <c r="A57" s="8" t="n">
        <v>46935</v>
      </c>
      <c r="B57" s="33">
        <f>YEAR(A57)</f>
        <v/>
      </c>
      <c r="C57" s="33">
        <f>MONTH(A57)</f>
        <v/>
      </c>
      <c r="D57">
        <f>IF(A57&lt;=LastActual,"Actual","Forecast")</f>
        <v/>
      </c>
      <c r="E57" s="30">
        <f>IF($D57="Actual",R57,W57)</f>
        <v/>
      </c>
      <c r="F57" s="15">
        <f>IF($D57="Actual",S57,Cases_Forecast!AO50)</f>
        <v/>
      </c>
      <c r="G57" s="9">
        <f>IF($D57="Actual",T57,IFERROR(F57/K57,0))</f>
        <v/>
      </c>
      <c r="H57" s="30">
        <f>IF($D57="Actual",U57,G57*L57)</f>
        <v/>
      </c>
      <c r="I57" s="30">
        <f>IF($D57="Actual",V57,J57-H57)</f>
        <v/>
      </c>
      <c r="J57" s="30">
        <f>IF($D57="Actual",U57+V57,IFERROR(H57/(1-AD57),0))</f>
        <v/>
      </c>
      <c r="K57" s="10">
        <f>IF($D57="Actual",IFERROR(S57/T57,0),CPLH_Forecast!AO50)</f>
        <v/>
      </c>
      <c r="L57" s="34">
        <f>IF($D57="Actual",IFERROR(U57/T57,0),N(AE57))</f>
        <v/>
      </c>
      <c r="M57" s="35">
        <f>IFERROR(J57/F57,0)</f>
        <v/>
      </c>
      <c r="N57" s="36">
        <f>IFERROR(J57/E57,0)</f>
        <v/>
      </c>
      <c r="O57" s="36">
        <f>IFERROR(I57/J57,0)</f>
        <v/>
      </c>
      <c r="R57" s="52">
        <f>IF($D57="Actual",SUMIFS(Data_Actuals!$C$2:$C$5000,Data_Actuals!$A$2:$A$5000,$A57,Data_Actuals!$B$2:$B$5000,$B$2),"")</f>
        <v/>
      </c>
      <c r="S57" s="52">
        <f>IF($D57="Actual",SUMIFS(Data_Actuals!$D$2:$D$5000,Data_Actuals!$A$2:$A$5000,$A57,Data_Actuals!$B$2:$B$5000,$B$2),"")</f>
        <v/>
      </c>
      <c r="T57" s="52">
        <f>IF($D57="Actual",SUMIFS(Data_Actuals!$E$2:$E$5000,Data_Actuals!$A$2:$A$5000,$A57,Data_Actuals!$B$2:$B$5000,$B$2),"")</f>
        <v/>
      </c>
      <c r="U57" s="52">
        <f>IF($D57="Actual",SUMIFS(Data_Actuals!$F$2:$F$5000,Data_Actuals!$A$2:$A$5000,$A57,Data_Actuals!$B$2:$B$5000,$B$2),"")</f>
        <v/>
      </c>
      <c r="V57" s="52">
        <f>IF($D57="Actual",SUMIFS(Data_Actuals!$G$2:$G$5000,Data_Actuals!$A$2:$A$5000,$A57,Data_Actuals!$B$2:$B$5000,$B$2),"")</f>
        <v/>
      </c>
      <c r="W57" s="52">
        <f>SUMIFS(Plan_Inputs!$C$2:$C$5000,Plan_Inputs!$A$2:$A$5000,$A57,Plan_Inputs!$B$2:$B$5000,$B$2)</f>
        <v/>
      </c>
      <c r="X57" s="53">
        <f>IF($D57="Actual",IFERROR(S57/T57,""),X45)</f>
        <v/>
      </c>
      <c r="Y57" s="52">
        <f>E57</f>
        <v/>
      </c>
      <c r="Z57" s="54">
        <f>INDEX(Calendar!$H$5:$L$52,MATCH($A57,Calendar!$A$5:$A$52,0),MATCH($D$2,Calendar!$H$4:$L$4,0))</f>
        <v/>
      </c>
      <c r="AA57" s="54">
        <f>INDEX(Calendar!$M$5:$M$52,MATCH($A57,Calendar!$A$5:$A$52,0))</f>
        <v/>
      </c>
      <c r="AB57" s="55">
        <f>IF($D57="Actual",IFERROR(S57/Y57,""),AB45)</f>
        <v/>
      </c>
      <c r="AC57" s="56">
        <f>IF($D57="Actual",IFERROR(U57/T57/Z57/AA57,""),AC45)</f>
        <v/>
      </c>
      <c r="AD57" s="57">
        <f>IF($D57="Actual",IFERROR(V57/(U57+V57),""),$K$2)</f>
        <v/>
      </c>
      <c r="AE57" s="56">
        <f>IFERROR(AC57*Z57*AA57,"")</f>
        <v/>
      </c>
      <c r="AF57" s="53">
        <f>K45</f>
        <v/>
      </c>
      <c r="AG57" s="57">
        <f>IF($D57="Forecast",IFERROR(K57/AF57-1,""),"")</f>
        <v/>
      </c>
      <c r="AH57" s="53">
        <f>IF(CPLHSource="National breakdown",CPLH_Breakdown!AP62,SUMIFS(Plan_Inputs!$D$2:$D$5000,Plan_Inputs!$A$2:$A$5000,$A57,Plan_Inputs!$B$2:$B$5000,$B$2))</f>
        <v/>
      </c>
      <c r="AJ57" s="15">
        <f>F57*$AK$11</f>
        <v/>
      </c>
      <c r="AK57" s="9">
        <f>G57*$AK$11</f>
        <v/>
      </c>
      <c r="AL57" s="30">
        <f>H57*$AK$11</f>
        <v/>
      </c>
      <c r="AM57" s="30">
        <f>I57*$AK$11</f>
        <v/>
      </c>
      <c r="AN57" s="30">
        <f>J57*$AK$11</f>
        <v/>
      </c>
      <c r="AP57" s="15">
        <f>F57*$AQ$11</f>
        <v/>
      </c>
      <c r="AQ57" s="9">
        <f>G57*$AQ$11</f>
        <v/>
      </c>
      <c r="AR57" s="30">
        <f>H57*$AQ$11</f>
        <v/>
      </c>
      <c r="AS57" s="30">
        <f>I57*$AQ$11</f>
        <v/>
      </c>
      <c r="AT57" s="30">
        <f>J57*$AQ$11</f>
        <v/>
      </c>
      <c r="AV57" s="15">
        <f>F57*$AW$11</f>
        <v/>
      </c>
      <c r="AW57" s="9">
        <f>G57*$AW$11</f>
        <v/>
      </c>
      <c r="AX57" s="30">
        <f>H57*$AW$11</f>
        <v/>
      </c>
      <c r="AY57" s="30">
        <f>I57*$AW$11</f>
        <v/>
      </c>
      <c r="AZ57" s="30">
        <f>J57*$AW$11</f>
        <v/>
      </c>
    </row>
    <row r="58">
      <c r="A58" s="8" t="n">
        <v>46966</v>
      </c>
      <c r="B58" s="33">
        <f>YEAR(A58)</f>
        <v/>
      </c>
      <c r="C58" s="33">
        <f>MONTH(A58)</f>
        <v/>
      </c>
      <c r="D58">
        <f>IF(A58&lt;=LastActual,"Actual","Forecast")</f>
        <v/>
      </c>
      <c r="E58" s="30">
        <f>IF($D58="Actual",R58,W58)</f>
        <v/>
      </c>
      <c r="F58" s="15">
        <f>IF($D58="Actual",S58,Cases_Forecast!AO51)</f>
        <v/>
      </c>
      <c r="G58" s="9">
        <f>IF($D58="Actual",T58,IFERROR(F58/K58,0))</f>
        <v/>
      </c>
      <c r="H58" s="30">
        <f>IF($D58="Actual",U58,G58*L58)</f>
        <v/>
      </c>
      <c r="I58" s="30">
        <f>IF($D58="Actual",V58,J58-H58)</f>
        <v/>
      </c>
      <c r="J58" s="30">
        <f>IF($D58="Actual",U58+V58,IFERROR(H58/(1-AD58),0))</f>
        <v/>
      </c>
      <c r="K58" s="10">
        <f>IF($D58="Actual",IFERROR(S58/T58,0),CPLH_Forecast!AO51)</f>
        <v/>
      </c>
      <c r="L58" s="34">
        <f>IF($D58="Actual",IFERROR(U58/T58,0),N(AE58))</f>
        <v/>
      </c>
      <c r="M58" s="35">
        <f>IFERROR(J58/F58,0)</f>
        <v/>
      </c>
      <c r="N58" s="36">
        <f>IFERROR(J58/E58,0)</f>
        <v/>
      </c>
      <c r="O58" s="36">
        <f>IFERROR(I58/J58,0)</f>
        <v/>
      </c>
      <c r="R58" s="52">
        <f>IF($D58="Actual",SUMIFS(Data_Actuals!$C$2:$C$5000,Data_Actuals!$A$2:$A$5000,$A58,Data_Actuals!$B$2:$B$5000,$B$2),"")</f>
        <v/>
      </c>
      <c r="S58" s="52">
        <f>IF($D58="Actual",SUMIFS(Data_Actuals!$D$2:$D$5000,Data_Actuals!$A$2:$A$5000,$A58,Data_Actuals!$B$2:$B$5000,$B$2),"")</f>
        <v/>
      </c>
      <c r="T58" s="52">
        <f>IF($D58="Actual",SUMIFS(Data_Actuals!$E$2:$E$5000,Data_Actuals!$A$2:$A$5000,$A58,Data_Actuals!$B$2:$B$5000,$B$2),"")</f>
        <v/>
      </c>
      <c r="U58" s="52">
        <f>IF($D58="Actual",SUMIFS(Data_Actuals!$F$2:$F$5000,Data_Actuals!$A$2:$A$5000,$A58,Data_Actuals!$B$2:$B$5000,$B$2),"")</f>
        <v/>
      </c>
      <c r="V58" s="52">
        <f>IF($D58="Actual",SUMIFS(Data_Actuals!$G$2:$G$5000,Data_Actuals!$A$2:$A$5000,$A58,Data_Actuals!$B$2:$B$5000,$B$2),"")</f>
        <v/>
      </c>
      <c r="W58" s="52">
        <f>SUMIFS(Plan_Inputs!$C$2:$C$5000,Plan_Inputs!$A$2:$A$5000,$A58,Plan_Inputs!$B$2:$B$5000,$B$2)</f>
        <v/>
      </c>
      <c r="X58" s="53">
        <f>IF($D58="Actual",IFERROR(S58/T58,""),X46)</f>
        <v/>
      </c>
      <c r="Y58" s="52">
        <f>E58</f>
        <v/>
      </c>
      <c r="Z58" s="54">
        <f>INDEX(Calendar!$H$5:$L$52,MATCH($A58,Calendar!$A$5:$A$52,0),MATCH($D$2,Calendar!$H$4:$L$4,0))</f>
        <v/>
      </c>
      <c r="AA58" s="54">
        <f>INDEX(Calendar!$M$5:$M$52,MATCH($A58,Calendar!$A$5:$A$52,0))</f>
        <v/>
      </c>
      <c r="AB58" s="55">
        <f>IF($D58="Actual",IFERROR(S58/Y58,""),AB46)</f>
        <v/>
      </c>
      <c r="AC58" s="56">
        <f>IF($D58="Actual",IFERROR(U58/T58/Z58/AA58,""),AC46)</f>
        <v/>
      </c>
      <c r="AD58" s="57">
        <f>IF($D58="Actual",IFERROR(V58/(U58+V58),""),$K$2)</f>
        <v/>
      </c>
      <c r="AE58" s="56">
        <f>IFERROR(AC58*Z58*AA58,"")</f>
        <v/>
      </c>
      <c r="AF58" s="53">
        <f>K46</f>
        <v/>
      </c>
      <c r="AG58" s="57">
        <f>IF($D58="Forecast",IFERROR(K58/AF58-1,""),"")</f>
        <v/>
      </c>
      <c r="AH58" s="53">
        <f>IF(CPLHSource="National breakdown",CPLH_Breakdown!AP63,SUMIFS(Plan_Inputs!$D$2:$D$5000,Plan_Inputs!$A$2:$A$5000,$A58,Plan_Inputs!$B$2:$B$5000,$B$2))</f>
        <v/>
      </c>
      <c r="AJ58" s="15">
        <f>F58*$AK$11</f>
        <v/>
      </c>
      <c r="AK58" s="9">
        <f>G58*$AK$11</f>
        <v/>
      </c>
      <c r="AL58" s="30">
        <f>H58*$AK$11</f>
        <v/>
      </c>
      <c r="AM58" s="30">
        <f>I58*$AK$11</f>
        <v/>
      </c>
      <c r="AN58" s="30">
        <f>J58*$AK$11</f>
        <v/>
      </c>
      <c r="AP58" s="15">
        <f>F58*$AQ$11</f>
        <v/>
      </c>
      <c r="AQ58" s="9">
        <f>G58*$AQ$11</f>
        <v/>
      </c>
      <c r="AR58" s="30">
        <f>H58*$AQ$11</f>
        <v/>
      </c>
      <c r="AS58" s="30">
        <f>I58*$AQ$11</f>
        <v/>
      </c>
      <c r="AT58" s="30">
        <f>J58*$AQ$11</f>
        <v/>
      </c>
      <c r="AV58" s="15">
        <f>F58*$AW$11</f>
        <v/>
      </c>
      <c r="AW58" s="9">
        <f>G58*$AW$11</f>
        <v/>
      </c>
      <c r="AX58" s="30">
        <f>H58*$AW$11</f>
        <v/>
      </c>
      <c r="AY58" s="30">
        <f>I58*$AW$11</f>
        <v/>
      </c>
      <c r="AZ58" s="30">
        <f>J58*$AW$11</f>
        <v/>
      </c>
    </row>
    <row r="59">
      <c r="A59" s="8" t="n">
        <v>46997</v>
      </c>
      <c r="B59" s="33">
        <f>YEAR(A59)</f>
        <v/>
      </c>
      <c r="C59" s="33">
        <f>MONTH(A59)</f>
        <v/>
      </c>
      <c r="D59">
        <f>IF(A59&lt;=LastActual,"Actual","Forecast")</f>
        <v/>
      </c>
      <c r="E59" s="30">
        <f>IF($D59="Actual",R59,W59)</f>
        <v/>
      </c>
      <c r="F59" s="15">
        <f>IF($D59="Actual",S59,Cases_Forecast!AO52)</f>
        <v/>
      </c>
      <c r="G59" s="9">
        <f>IF($D59="Actual",T59,IFERROR(F59/K59,0))</f>
        <v/>
      </c>
      <c r="H59" s="30">
        <f>IF($D59="Actual",U59,G59*L59)</f>
        <v/>
      </c>
      <c r="I59" s="30">
        <f>IF($D59="Actual",V59,J59-H59)</f>
        <v/>
      </c>
      <c r="J59" s="30">
        <f>IF($D59="Actual",U59+V59,IFERROR(H59/(1-AD59),0))</f>
        <v/>
      </c>
      <c r="K59" s="10">
        <f>IF($D59="Actual",IFERROR(S59/T59,0),CPLH_Forecast!AO52)</f>
        <v/>
      </c>
      <c r="L59" s="34">
        <f>IF($D59="Actual",IFERROR(U59/T59,0),N(AE59))</f>
        <v/>
      </c>
      <c r="M59" s="35">
        <f>IFERROR(J59/F59,0)</f>
        <v/>
      </c>
      <c r="N59" s="36">
        <f>IFERROR(J59/E59,0)</f>
        <v/>
      </c>
      <c r="O59" s="36">
        <f>IFERROR(I59/J59,0)</f>
        <v/>
      </c>
      <c r="R59" s="52">
        <f>IF($D59="Actual",SUMIFS(Data_Actuals!$C$2:$C$5000,Data_Actuals!$A$2:$A$5000,$A59,Data_Actuals!$B$2:$B$5000,$B$2),"")</f>
        <v/>
      </c>
      <c r="S59" s="52">
        <f>IF($D59="Actual",SUMIFS(Data_Actuals!$D$2:$D$5000,Data_Actuals!$A$2:$A$5000,$A59,Data_Actuals!$B$2:$B$5000,$B$2),"")</f>
        <v/>
      </c>
      <c r="T59" s="52">
        <f>IF($D59="Actual",SUMIFS(Data_Actuals!$E$2:$E$5000,Data_Actuals!$A$2:$A$5000,$A59,Data_Actuals!$B$2:$B$5000,$B$2),"")</f>
        <v/>
      </c>
      <c r="U59" s="52">
        <f>IF($D59="Actual",SUMIFS(Data_Actuals!$F$2:$F$5000,Data_Actuals!$A$2:$A$5000,$A59,Data_Actuals!$B$2:$B$5000,$B$2),"")</f>
        <v/>
      </c>
      <c r="V59" s="52">
        <f>IF($D59="Actual",SUMIFS(Data_Actuals!$G$2:$G$5000,Data_Actuals!$A$2:$A$5000,$A59,Data_Actuals!$B$2:$B$5000,$B$2),"")</f>
        <v/>
      </c>
      <c r="W59" s="52">
        <f>SUMIFS(Plan_Inputs!$C$2:$C$5000,Plan_Inputs!$A$2:$A$5000,$A59,Plan_Inputs!$B$2:$B$5000,$B$2)</f>
        <v/>
      </c>
      <c r="X59" s="53">
        <f>IF($D59="Actual",IFERROR(S59/T59,""),X47)</f>
        <v/>
      </c>
      <c r="Y59" s="52">
        <f>E59</f>
        <v/>
      </c>
      <c r="Z59" s="54">
        <f>INDEX(Calendar!$H$5:$L$52,MATCH($A59,Calendar!$A$5:$A$52,0),MATCH($D$2,Calendar!$H$4:$L$4,0))</f>
        <v/>
      </c>
      <c r="AA59" s="54">
        <f>INDEX(Calendar!$M$5:$M$52,MATCH($A59,Calendar!$A$5:$A$52,0))</f>
        <v/>
      </c>
      <c r="AB59" s="55">
        <f>IF($D59="Actual",IFERROR(S59/Y59,""),AB47)</f>
        <v/>
      </c>
      <c r="AC59" s="56">
        <f>IF($D59="Actual",IFERROR(U59/T59/Z59/AA59,""),AC47)</f>
        <v/>
      </c>
      <c r="AD59" s="57">
        <f>IF($D59="Actual",IFERROR(V59/(U59+V59),""),$K$2)</f>
        <v/>
      </c>
      <c r="AE59" s="56">
        <f>IFERROR(AC59*Z59*AA59,"")</f>
        <v/>
      </c>
      <c r="AF59" s="53">
        <f>K47</f>
        <v/>
      </c>
      <c r="AG59" s="57">
        <f>IF($D59="Forecast",IFERROR(K59/AF59-1,""),"")</f>
        <v/>
      </c>
      <c r="AH59" s="53">
        <f>IF(CPLHSource="National breakdown",CPLH_Breakdown!AP64,SUMIFS(Plan_Inputs!$D$2:$D$5000,Plan_Inputs!$A$2:$A$5000,$A59,Plan_Inputs!$B$2:$B$5000,$B$2))</f>
        <v/>
      </c>
      <c r="AJ59" s="15">
        <f>F59*$AK$11</f>
        <v/>
      </c>
      <c r="AK59" s="9">
        <f>G59*$AK$11</f>
        <v/>
      </c>
      <c r="AL59" s="30">
        <f>H59*$AK$11</f>
        <v/>
      </c>
      <c r="AM59" s="30">
        <f>I59*$AK$11</f>
        <v/>
      </c>
      <c r="AN59" s="30">
        <f>J59*$AK$11</f>
        <v/>
      </c>
      <c r="AP59" s="15">
        <f>F59*$AQ$11</f>
        <v/>
      </c>
      <c r="AQ59" s="9">
        <f>G59*$AQ$11</f>
        <v/>
      </c>
      <c r="AR59" s="30">
        <f>H59*$AQ$11</f>
        <v/>
      </c>
      <c r="AS59" s="30">
        <f>I59*$AQ$11</f>
        <v/>
      </c>
      <c r="AT59" s="30">
        <f>J59*$AQ$11</f>
        <v/>
      </c>
      <c r="AV59" s="15">
        <f>F59*$AW$11</f>
        <v/>
      </c>
      <c r="AW59" s="9">
        <f>G59*$AW$11</f>
        <v/>
      </c>
      <c r="AX59" s="30">
        <f>H59*$AW$11</f>
        <v/>
      </c>
      <c r="AY59" s="30">
        <f>I59*$AW$11</f>
        <v/>
      </c>
      <c r="AZ59" s="30">
        <f>J59*$AW$11</f>
        <v/>
      </c>
    </row>
    <row r="60">
      <c r="A60" s="8" t="n">
        <v>47027</v>
      </c>
      <c r="B60" s="33">
        <f>YEAR(A60)</f>
        <v/>
      </c>
      <c r="C60" s="33">
        <f>MONTH(A60)</f>
        <v/>
      </c>
      <c r="D60">
        <f>IF(A60&lt;=LastActual,"Actual","Forecast")</f>
        <v/>
      </c>
      <c r="E60" s="30">
        <f>IF($D60="Actual",R60,W60)</f>
        <v/>
      </c>
      <c r="F60" s="15">
        <f>IF($D60="Actual",S60,Cases_Forecast!AO53)</f>
        <v/>
      </c>
      <c r="G60" s="9">
        <f>IF($D60="Actual",T60,IFERROR(F60/K60,0))</f>
        <v/>
      </c>
      <c r="H60" s="30">
        <f>IF($D60="Actual",U60,G60*L60)</f>
        <v/>
      </c>
      <c r="I60" s="30">
        <f>IF($D60="Actual",V60,J60-H60)</f>
        <v/>
      </c>
      <c r="J60" s="30">
        <f>IF($D60="Actual",U60+V60,IFERROR(H60/(1-AD60),0))</f>
        <v/>
      </c>
      <c r="K60" s="10">
        <f>IF($D60="Actual",IFERROR(S60/T60,0),CPLH_Forecast!AO53)</f>
        <v/>
      </c>
      <c r="L60" s="34">
        <f>IF($D60="Actual",IFERROR(U60/T60,0),N(AE60))</f>
        <v/>
      </c>
      <c r="M60" s="35">
        <f>IFERROR(J60/F60,0)</f>
        <v/>
      </c>
      <c r="N60" s="36">
        <f>IFERROR(J60/E60,0)</f>
        <v/>
      </c>
      <c r="O60" s="36">
        <f>IFERROR(I60/J60,0)</f>
        <v/>
      </c>
      <c r="R60" s="52">
        <f>IF($D60="Actual",SUMIFS(Data_Actuals!$C$2:$C$5000,Data_Actuals!$A$2:$A$5000,$A60,Data_Actuals!$B$2:$B$5000,$B$2),"")</f>
        <v/>
      </c>
      <c r="S60" s="52">
        <f>IF($D60="Actual",SUMIFS(Data_Actuals!$D$2:$D$5000,Data_Actuals!$A$2:$A$5000,$A60,Data_Actuals!$B$2:$B$5000,$B$2),"")</f>
        <v/>
      </c>
      <c r="T60" s="52">
        <f>IF($D60="Actual",SUMIFS(Data_Actuals!$E$2:$E$5000,Data_Actuals!$A$2:$A$5000,$A60,Data_Actuals!$B$2:$B$5000,$B$2),"")</f>
        <v/>
      </c>
      <c r="U60" s="52">
        <f>IF($D60="Actual",SUMIFS(Data_Actuals!$F$2:$F$5000,Data_Actuals!$A$2:$A$5000,$A60,Data_Actuals!$B$2:$B$5000,$B$2),"")</f>
        <v/>
      </c>
      <c r="V60" s="52">
        <f>IF($D60="Actual",SUMIFS(Data_Actuals!$G$2:$G$5000,Data_Actuals!$A$2:$A$5000,$A60,Data_Actuals!$B$2:$B$5000,$B$2),"")</f>
        <v/>
      </c>
      <c r="W60" s="52">
        <f>SUMIFS(Plan_Inputs!$C$2:$C$5000,Plan_Inputs!$A$2:$A$5000,$A60,Plan_Inputs!$B$2:$B$5000,$B$2)</f>
        <v/>
      </c>
      <c r="X60" s="53">
        <f>IF($D60="Actual",IFERROR(S60/T60,""),X48)</f>
        <v/>
      </c>
      <c r="Y60" s="52">
        <f>E60</f>
        <v/>
      </c>
      <c r="Z60" s="54">
        <f>INDEX(Calendar!$H$5:$L$52,MATCH($A60,Calendar!$A$5:$A$52,0),MATCH($D$2,Calendar!$H$4:$L$4,0))</f>
        <v/>
      </c>
      <c r="AA60" s="54">
        <f>INDEX(Calendar!$M$5:$M$52,MATCH($A60,Calendar!$A$5:$A$52,0))</f>
        <v/>
      </c>
      <c r="AB60" s="55">
        <f>IF($D60="Actual",IFERROR(S60/Y60,""),AB48)</f>
        <v/>
      </c>
      <c r="AC60" s="56">
        <f>IF($D60="Actual",IFERROR(U60/T60/Z60/AA60,""),AC48)</f>
        <v/>
      </c>
      <c r="AD60" s="57">
        <f>IF($D60="Actual",IFERROR(V60/(U60+V60),""),$K$2)</f>
        <v/>
      </c>
      <c r="AE60" s="56">
        <f>IFERROR(AC60*Z60*AA60,"")</f>
        <v/>
      </c>
      <c r="AF60" s="53">
        <f>K48</f>
        <v/>
      </c>
      <c r="AG60" s="57">
        <f>IF($D60="Forecast",IFERROR(K60/AF60-1,""),"")</f>
        <v/>
      </c>
      <c r="AH60" s="53">
        <f>IF(CPLHSource="National breakdown",CPLH_Breakdown!AP65,SUMIFS(Plan_Inputs!$D$2:$D$5000,Plan_Inputs!$A$2:$A$5000,$A60,Plan_Inputs!$B$2:$B$5000,$B$2))</f>
        <v/>
      </c>
      <c r="AJ60" s="15">
        <f>F60*$AK$11</f>
        <v/>
      </c>
      <c r="AK60" s="9">
        <f>G60*$AK$11</f>
        <v/>
      </c>
      <c r="AL60" s="30">
        <f>H60*$AK$11</f>
        <v/>
      </c>
      <c r="AM60" s="30">
        <f>I60*$AK$11</f>
        <v/>
      </c>
      <c r="AN60" s="30">
        <f>J60*$AK$11</f>
        <v/>
      </c>
      <c r="AP60" s="15">
        <f>F60*$AQ$11</f>
        <v/>
      </c>
      <c r="AQ60" s="9">
        <f>G60*$AQ$11</f>
        <v/>
      </c>
      <c r="AR60" s="30">
        <f>H60*$AQ$11</f>
        <v/>
      </c>
      <c r="AS60" s="30">
        <f>I60*$AQ$11</f>
        <v/>
      </c>
      <c r="AT60" s="30">
        <f>J60*$AQ$11</f>
        <v/>
      </c>
      <c r="AV60" s="15">
        <f>F60*$AW$11</f>
        <v/>
      </c>
      <c r="AW60" s="9">
        <f>G60*$AW$11</f>
        <v/>
      </c>
      <c r="AX60" s="30">
        <f>H60*$AW$11</f>
        <v/>
      </c>
      <c r="AY60" s="30">
        <f>I60*$AW$11</f>
        <v/>
      </c>
      <c r="AZ60" s="30">
        <f>J60*$AW$11</f>
        <v/>
      </c>
    </row>
    <row r="61">
      <c r="A61" s="8" t="n">
        <v>47058</v>
      </c>
      <c r="B61" s="33">
        <f>YEAR(A61)</f>
        <v/>
      </c>
      <c r="C61" s="33">
        <f>MONTH(A61)</f>
        <v/>
      </c>
      <c r="D61">
        <f>IF(A61&lt;=LastActual,"Actual","Forecast")</f>
        <v/>
      </c>
      <c r="E61" s="30">
        <f>IF($D61="Actual",R61,W61)</f>
        <v/>
      </c>
      <c r="F61" s="15">
        <f>IF($D61="Actual",S61,Cases_Forecast!AO54)</f>
        <v/>
      </c>
      <c r="G61" s="9">
        <f>IF($D61="Actual",T61,IFERROR(F61/K61,0))</f>
        <v/>
      </c>
      <c r="H61" s="30">
        <f>IF($D61="Actual",U61,G61*L61)</f>
        <v/>
      </c>
      <c r="I61" s="30">
        <f>IF($D61="Actual",V61,J61-H61)</f>
        <v/>
      </c>
      <c r="J61" s="30">
        <f>IF($D61="Actual",U61+V61,IFERROR(H61/(1-AD61),0))</f>
        <v/>
      </c>
      <c r="K61" s="10">
        <f>IF($D61="Actual",IFERROR(S61/T61,0),CPLH_Forecast!AO54)</f>
        <v/>
      </c>
      <c r="L61" s="34">
        <f>IF($D61="Actual",IFERROR(U61/T61,0),N(AE61))</f>
        <v/>
      </c>
      <c r="M61" s="35">
        <f>IFERROR(J61/F61,0)</f>
        <v/>
      </c>
      <c r="N61" s="36">
        <f>IFERROR(J61/E61,0)</f>
        <v/>
      </c>
      <c r="O61" s="36">
        <f>IFERROR(I61/J61,0)</f>
        <v/>
      </c>
      <c r="R61" s="52">
        <f>IF($D61="Actual",SUMIFS(Data_Actuals!$C$2:$C$5000,Data_Actuals!$A$2:$A$5000,$A61,Data_Actuals!$B$2:$B$5000,$B$2),"")</f>
        <v/>
      </c>
      <c r="S61" s="52">
        <f>IF($D61="Actual",SUMIFS(Data_Actuals!$D$2:$D$5000,Data_Actuals!$A$2:$A$5000,$A61,Data_Actuals!$B$2:$B$5000,$B$2),"")</f>
        <v/>
      </c>
      <c r="T61" s="52">
        <f>IF($D61="Actual",SUMIFS(Data_Actuals!$E$2:$E$5000,Data_Actuals!$A$2:$A$5000,$A61,Data_Actuals!$B$2:$B$5000,$B$2),"")</f>
        <v/>
      </c>
      <c r="U61" s="52">
        <f>IF($D61="Actual",SUMIFS(Data_Actuals!$F$2:$F$5000,Data_Actuals!$A$2:$A$5000,$A61,Data_Actuals!$B$2:$B$5000,$B$2),"")</f>
        <v/>
      </c>
      <c r="V61" s="52">
        <f>IF($D61="Actual",SUMIFS(Data_Actuals!$G$2:$G$5000,Data_Actuals!$A$2:$A$5000,$A61,Data_Actuals!$B$2:$B$5000,$B$2),"")</f>
        <v/>
      </c>
      <c r="W61" s="52">
        <f>SUMIFS(Plan_Inputs!$C$2:$C$5000,Plan_Inputs!$A$2:$A$5000,$A61,Plan_Inputs!$B$2:$B$5000,$B$2)</f>
        <v/>
      </c>
      <c r="X61" s="53">
        <f>IF($D61="Actual",IFERROR(S61/T61,""),X49)</f>
        <v/>
      </c>
      <c r="Y61" s="52">
        <f>E61</f>
        <v/>
      </c>
      <c r="Z61" s="54">
        <f>INDEX(Calendar!$H$5:$L$52,MATCH($A61,Calendar!$A$5:$A$52,0),MATCH($D$2,Calendar!$H$4:$L$4,0))</f>
        <v/>
      </c>
      <c r="AA61" s="54">
        <f>INDEX(Calendar!$M$5:$M$52,MATCH($A61,Calendar!$A$5:$A$52,0))</f>
        <v/>
      </c>
      <c r="AB61" s="55">
        <f>IF($D61="Actual",IFERROR(S61/Y61,""),AB49)</f>
        <v/>
      </c>
      <c r="AC61" s="56">
        <f>IF($D61="Actual",IFERROR(U61/T61/Z61/AA61,""),AC49)</f>
        <v/>
      </c>
      <c r="AD61" s="57">
        <f>IF($D61="Actual",IFERROR(V61/(U61+V61),""),$K$2)</f>
        <v/>
      </c>
      <c r="AE61" s="56">
        <f>IFERROR(AC61*Z61*AA61,"")</f>
        <v/>
      </c>
      <c r="AF61" s="53">
        <f>K49</f>
        <v/>
      </c>
      <c r="AG61" s="57">
        <f>IF($D61="Forecast",IFERROR(K61/AF61-1,""),"")</f>
        <v/>
      </c>
      <c r="AH61" s="53">
        <f>IF(CPLHSource="National breakdown",CPLH_Breakdown!AP66,SUMIFS(Plan_Inputs!$D$2:$D$5000,Plan_Inputs!$A$2:$A$5000,$A61,Plan_Inputs!$B$2:$B$5000,$B$2))</f>
        <v/>
      </c>
      <c r="AJ61" s="15">
        <f>F61*$AK$11</f>
        <v/>
      </c>
      <c r="AK61" s="9">
        <f>G61*$AK$11</f>
        <v/>
      </c>
      <c r="AL61" s="30">
        <f>H61*$AK$11</f>
        <v/>
      </c>
      <c r="AM61" s="30">
        <f>I61*$AK$11</f>
        <v/>
      </c>
      <c r="AN61" s="30">
        <f>J61*$AK$11</f>
        <v/>
      </c>
      <c r="AP61" s="15">
        <f>F61*$AQ$11</f>
        <v/>
      </c>
      <c r="AQ61" s="9">
        <f>G61*$AQ$11</f>
        <v/>
      </c>
      <c r="AR61" s="30">
        <f>H61*$AQ$11</f>
        <v/>
      </c>
      <c r="AS61" s="30">
        <f>I61*$AQ$11</f>
        <v/>
      </c>
      <c r="AT61" s="30">
        <f>J61*$AQ$11</f>
        <v/>
      </c>
      <c r="AV61" s="15">
        <f>F61*$AW$11</f>
        <v/>
      </c>
      <c r="AW61" s="9">
        <f>G61*$AW$11</f>
        <v/>
      </c>
      <c r="AX61" s="30">
        <f>H61*$AW$11</f>
        <v/>
      </c>
      <c r="AY61" s="30">
        <f>I61*$AW$11</f>
        <v/>
      </c>
      <c r="AZ61" s="30">
        <f>J61*$AW$11</f>
        <v/>
      </c>
    </row>
    <row r="62">
      <c r="A62" s="37" t="n">
        <v>47088</v>
      </c>
      <c r="B62" s="38">
        <f>YEAR(A62)</f>
        <v/>
      </c>
      <c r="C62" s="38">
        <f>MONTH(A62)</f>
        <v/>
      </c>
      <c r="D62" s="39">
        <f>IF(A62&lt;=LastActual,"Actual","Forecast")</f>
        <v/>
      </c>
      <c r="E62" s="40">
        <f>IF($D62="Actual",R62,W62)</f>
        <v/>
      </c>
      <c r="F62" s="41">
        <f>IF($D62="Actual",S62,Cases_Forecast!AO55)</f>
        <v/>
      </c>
      <c r="G62" s="42">
        <f>IF($D62="Actual",T62,IFERROR(F62/K62,0))</f>
        <v/>
      </c>
      <c r="H62" s="40">
        <f>IF($D62="Actual",U62,G62*L62)</f>
        <v/>
      </c>
      <c r="I62" s="40">
        <f>IF($D62="Actual",V62,J62-H62)</f>
        <v/>
      </c>
      <c r="J62" s="40">
        <f>IF($D62="Actual",U62+V62,IFERROR(H62/(1-AD62),0))</f>
        <v/>
      </c>
      <c r="K62" s="43">
        <f>IF($D62="Actual",IFERROR(S62/T62,0),CPLH_Forecast!AO55)</f>
        <v/>
      </c>
      <c r="L62" s="44">
        <f>IF($D62="Actual",IFERROR(U62/T62,0),N(AE62))</f>
        <v/>
      </c>
      <c r="M62" s="45">
        <f>IFERROR(J62/F62,0)</f>
        <v/>
      </c>
      <c r="N62" s="46">
        <f>IFERROR(J62/E62,0)</f>
        <v/>
      </c>
      <c r="O62" s="46">
        <f>IFERROR(I62/J62,0)</f>
        <v/>
      </c>
      <c r="R62" s="52">
        <f>IF($D62="Actual",SUMIFS(Data_Actuals!$C$2:$C$5000,Data_Actuals!$A$2:$A$5000,$A62,Data_Actuals!$B$2:$B$5000,$B$2),"")</f>
        <v/>
      </c>
      <c r="S62" s="52">
        <f>IF($D62="Actual",SUMIFS(Data_Actuals!$D$2:$D$5000,Data_Actuals!$A$2:$A$5000,$A62,Data_Actuals!$B$2:$B$5000,$B$2),"")</f>
        <v/>
      </c>
      <c r="T62" s="52">
        <f>IF($D62="Actual",SUMIFS(Data_Actuals!$E$2:$E$5000,Data_Actuals!$A$2:$A$5000,$A62,Data_Actuals!$B$2:$B$5000,$B$2),"")</f>
        <v/>
      </c>
      <c r="U62" s="52">
        <f>IF($D62="Actual",SUMIFS(Data_Actuals!$F$2:$F$5000,Data_Actuals!$A$2:$A$5000,$A62,Data_Actuals!$B$2:$B$5000,$B$2),"")</f>
        <v/>
      </c>
      <c r="V62" s="52">
        <f>IF($D62="Actual",SUMIFS(Data_Actuals!$G$2:$G$5000,Data_Actuals!$A$2:$A$5000,$A62,Data_Actuals!$B$2:$B$5000,$B$2),"")</f>
        <v/>
      </c>
      <c r="W62" s="52">
        <f>SUMIFS(Plan_Inputs!$C$2:$C$5000,Plan_Inputs!$A$2:$A$5000,$A62,Plan_Inputs!$B$2:$B$5000,$B$2)</f>
        <v/>
      </c>
      <c r="X62" s="53">
        <f>IF($D62="Actual",IFERROR(S62/T62,""),X50)</f>
        <v/>
      </c>
      <c r="Y62" s="52">
        <f>E62</f>
        <v/>
      </c>
      <c r="Z62" s="54">
        <f>INDEX(Calendar!$H$5:$L$52,MATCH($A62,Calendar!$A$5:$A$52,0),MATCH($D$2,Calendar!$H$4:$L$4,0))</f>
        <v/>
      </c>
      <c r="AA62" s="54">
        <f>INDEX(Calendar!$M$5:$M$52,MATCH($A62,Calendar!$A$5:$A$52,0))</f>
        <v/>
      </c>
      <c r="AB62" s="55">
        <f>IF($D62="Actual",IFERROR(S62/Y62,""),AB50)</f>
        <v/>
      </c>
      <c r="AC62" s="56">
        <f>IF($D62="Actual",IFERROR(U62/T62/Z62/AA62,""),AC50)</f>
        <v/>
      </c>
      <c r="AD62" s="57">
        <f>IF($D62="Actual",IFERROR(V62/(U62+V62),""),$K$2)</f>
        <v/>
      </c>
      <c r="AE62" s="56">
        <f>IFERROR(AC62*Z62*AA62,"")</f>
        <v/>
      </c>
      <c r="AF62" s="53">
        <f>K50</f>
        <v/>
      </c>
      <c r="AG62" s="57">
        <f>IF($D62="Forecast",IFERROR(K62/AF62-1,""),"")</f>
        <v/>
      </c>
      <c r="AH62" s="53">
        <f>IF(CPLHSource="National breakdown",CPLH_Breakdown!AP67,SUMIFS(Plan_Inputs!$D$2:$D$5000,Plan_Inputs!$A$2:$A$5000,$A62,Plan_Inputs!$B$2:$B$5000,$B$2))</f>
        <v/>
      </c>
      <c r="AJ62" s="41">
        <f>F62*$AK$11</f>
        <v/>
      </c>
      <c r="AK62" s="42">
        <f>G62*$AK$11</f>
        <v/>
      </c>
      <c r="AL62" s="40">
        <f>H62*$AK$11</f>
        <v/>
      </c>
      <c r="AM62" s="40">
        <f>I62*$AK$11</f>
        <v/>
      </c>
      <c r="AN62" s="40">
        <f>J62*$AK$11</f>
        <v/>
      </c>
      <c r="AP62" s="41">
        <f>F62*$AQ$11</f>
        <v/>
      </c>
      <c r="AQ62" s="42">
        <f>G62*$AQ$11</f>
        <v/>
      </c>
      <c r="AR62" s="40">
        <f>H62*$AQ$11</f>
        <v/>
      </c>
      <c r="AS62" s="40">
        <f>I62*$AQ$11</f>
        <v/>
      </c>
      <c r="AT62" s="40">
        <f>J62*$AQ$11</f>
        <v/>
      </c>
      <c r="AV62" s="41">
        <f>F62*$AW$11</f>
        <v/>
      </c>
      <c r="AW62" s="42">
        <f>G62*$AW$11</f>
        <v/>
      </c>
      <c r="AX62" s="40">
        <f>H62*$AW$11</f>
        <v/>
      </c>
      <c r="AY62" s="40">
        <f>I62*$AW$11</f>
        <v/>
      </c>
      <c r="AZ62" s="40">
        <f>J62*$AW$11</f>
        <v/>
      </c>
    </row>
  </sheetData>
  <mergeCells count="6">
    <mergeCell ref="K12:O12"/>
    <mergeCell ref="AV12:AZ12"/>
    <mergeCell ref="AJ12:AN12"/>
    <mergeCell ref="AP12:AT12"/>
    <mergeCell ref="R12:AH12"/>
    <mergeCell ref="E12:J12"/>
  </mergeCells>
  <conditionalFormatting sqref="A15:O62">
    <cfRule type="expression" priority="1" dxfId="4">
      <formula>$D15="Forecast"</formula>
    </cfRule>
  </conditionalFormatting>
  <conditionalFormatting sqref="AJ15:AZ62">
    <cfRule type="expression" priority="2" dxfId="4">
      <formula>$D15="Forecast"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F3864"/>
    <outlinePr summaryBelow="1" summaryRight="1"/>
    <pageSetUpPr/>
  </sheetPr>
  <dimension ref="A1:AZ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  <col width="10" customWidth="1" min="34" max="34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2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2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2" customWidth="1" min="53" max="53"/>
  </cols>
  <sheetData>
    <row r="1">
      <c r="A1" s="2">
        <f>$B$2&amp;"  |  Region  |  SA"</f>
        <v/>
      </c>
    </row>
    <row r="2">
      <c r="A2" t="inlineStr">
        <is>
          <t>Code</t>
        </is>
      </c>
      <c r="B2" s="1">
        <f>Inputs!$A$42</f>
        <v/>
      </c>
      <c r="C2" t="inlineStr">
        <is>
          <t>State</t>
        </is>
      </c>
      <c r="D2" s="1" t="inlineStr">
        <is>
          <t>SA</t>
        </is>
      </c>
      <c r="F2" t="inlineStr">
        <is>
          <t>Leadership share of total payroll, last actual month</t>
        </is>
      </c>
      <c r="K2" s="50">
        <f>IFERROR(INDEX($V$15:$V$62,MATCH(LastActual,$A$15:$A$62,0))/(INDEX($U$15:$U$62,MATCH(LastActual,$A$15:$A$62,0))+INDEX($V$15:$V$62,MATCH(LastActual,$A$15:$A$62,0))),0)</f>
        <v/>
      </c>
    </row>
    <row r="5" ht="45" customHeight="1">
      <c r="A5" s="7" t="inlineStr">
        <is>
          <t>FY</t>
        </is>
      </c>
      <c r="D5" s="7" t="inlineStr">
        <is>
          <t>Status</t>
        </is>
      </c>
      <c r="E5" s="7" t="inlineStr">
        <is>
          <t>Sales</t>
        </is>
      </c>
      <c r="F5" s="7" t="inlineStr">
        <is>
          <t>Cases picked</t>
        </is>
      </c>
      <c r="G5" s="7" t="inlineStr">
        <is>
          <t>WH hours worked</t>
        </is>
      </c>
      <c r="H5" s="7" t="inlineStr">
        <is>
          <t>Staff payroll</t>
        </is>
      </c>
      <c r="I5" s="7" t="inlineStr">
        <is>
          <t>Leadership payroll</t>
        </is>
      </c>
      <c r="J5" s="7" t="inlineStr">
        <is>
          <t>Total payroll</t>
        </is>
      </c>
      <c r="K5" s="7" t="inlineStr">
        <is>
          <t>CPLH (cases / hr)</t>
        </is>
      </c>
      <c r="L5" s="7" t="inlineStr">
        <is>
          <t>Cost per hour (staff)</t>
        </is>
      </c>
      <c r="M5" s="7" t="inlineStr">
        <is>
          <t>Cost per case (total payroll)</t>
        </is>
      </c>
      <c r="N5" s="7" t="inlineStr">
        <is>
          <t>Total payroll % sales</t>
        </is>
      </c>
      <c r="O5" s="7" t="inlineStr">
        <is>
          <t>Leadership % of total payroll</t>
        </is>
      </c>
      <c r="AJ5" s="20" t="inlineStr">
        <is>
          <t>Cases picked</t>
        </is>
      </c>
      <c r="AK5" s="20" t="inlineStr">
        <is>
          <t>WH hours worked</t>
        </is>
      </c>
      <c r="AL5" s="20" t="inlineStr">
        <is>
          <t>Staff payroll</t>
        </is>
      </c>
      <c r="AM5" s="20" t="inlineStr">
        <is>
          <t>Leadership payroll</t>
        </is>
      </c>
      <c r="AN5" s="20" t="inlineStr">
        <is>
          <t>Total payroll</t>
        </is>
      </c>
      <c r="AP5" s="20" t="inlineStr">
        <is>
          <t>Cases picked</t>
        </is>
      </c>
      <c r="AQ5" s="20" t="inlineStr">
        <is>
          <t>WH hours worked</t>
        </is>
      </c>
      <c r="AR5" s="20" t="inlineStr">
        <is>
          <t>Staff payroll</t>
        </is>
      </c>
      <c r="AS5" s="20" t="inlineStr">
        <is>
          <t>Leadership payroll</t>
        </is>
      </c>
      <c r="AT5" s="20" t="inlineStr">
        <is>
          <t>Total payroll</t>
        </is>
      </c>
      <c r="AV5" s="20" t="inlineStr">
        <is>
          <t>Cases picked</t>
        </is>
      </c>
      <c r="AW5" s="20" t="inlineStr">
        <is>
          <t>WH hours worked</t>
        </is>
      </c>
      <c r="AX5" s="20" t="inlineStr">
        <is>
          <t>Staff payroll</t>
        </is>
      </c>
      <c r="AY5" s="20" t="inlineStr">
        <is>
          <t>Leadership payroll</t>
        </is>
      </c>
      <c r="AZ5" s="20" t="inlineStr">
        <is>
          <t>Total payroll</t>
        </is>
      </c>
    </row>
    <row r="6">
      <c r="A6" s="21" t="n">
        <v>2025</v>
      </c>
      <c r="D6" s="22">
        <f>IF(DATE(A6,12,1)&lt;=LastActual,"Actual",IF(DATE(A6,1,1)&gt;LastActual,"Forecast","Blended"))</f>
        <v/>
      </c>
      <c r="E6" s="23">
        <f>SUMIFS($E$15:$E$62,$B$15:$B$62,$A6)</f>
        <v/>
      </c>
      <c r="F6" s="24">
        <f>SUMIFS($F$15:$F$62,$B$15:$B$62,$A6)</f>
        <v/>
      </c>
      <c r="G6" s="25">
        <f>SUMIFS($G$15:$G$62,$B$15:$B$62,$A6)</f>
        <v/>
      </c>
      <c r="H6" s="23">
        <f>SUMIFS($H$15:$H$62,$B$15:$B$62,$A6)</f>
        <v/>
      </c>
      <c r="I6" s="23">
        <f>SUMIFS($I$15:$I$62,$B$15:$B$62,$A6)</f>
        <v/>
      </c>
      <c r="J6" s="23">
        <f>SUMIFS($J$15:$J$62,$B$15:$B$62,$A6)</f>
        <v/>
      </c>
      <c r="K6" s="26">
        <f>IFERROR(F6/G6,0)</f>
        <v/>
      </c>
      <c r="L6" s="27">
        <f>IFERROR(H6/G6,0)</f>
        <v/>
      </c>
      <c r="M6" s="28">
        <f>IFERROR(J6/F6,0)</f>
        <v/>
      </c>
      <c r="N6" s="29">
        <f>IFERROR(J6/E6,0)</f>
        <v/>
      </c>
      <c r="O6" s="29">
        <f>IFERROR(I6/J6,0)</f>
        <v/>
      </c>
      <c r="AJ6" s="24">
        <f>SUMIFS($AJ$15:$AJ$62,$B$15:$B$62,$A6)</f>
        <v/>
      </c>
      <c r="AK6" s="25">
        <f>SUMIFS($AK$15:$AK$62,$B$15:$B$62,$A6)</f>
        <v/>
      </c>
      <c r="AL6" s="23">
        <f>SUMIFS($AL$15:$AL$62,$B$15:$B$62,$A6)</f>
        <v/>
      </c>
      <c r="AM6" s="23">
        <f>SUMIFS($AM$15:$AM$62,$B$15:$B$62,$A6)</f>
        <v/>
      </c>
      <c r="AN6" s="23">
        <f>SUMIFS($AN$15:$AN$62,$B$15:$B$62,$A6)</f>
        <v/>
      </c>
      <c r="AP6" s="24">
        <f>SUMIFS($AP$15:$AP$62,$B$15:$B$62,$A6)</f>
        <v/>
      </c>
      <c r="AQ6" s="25">
        <f>SUMIFS($AQ$15:$AQ$62,$B$15:$B$62,$A6)</f>
        <v/>
      </c>
      <c r="AR6" s="23">
        <f>SUMIFS($AR$15:$AR$62,$B$15:$B$62,$A6)</f>
        <v/>
      </c>
      <c r="AS6" s="23">
        <f>SUMIFS($AS$15:$AS$62,$B$15:$B$62,$A6)</f>
        <v/>
      </c>
      <c r="AT6" s="23">
        <f>SUMIFS($AT$15:$AT$62,$B$15:$B$62,$A6)</f>
        <v/>
      </c>
      <c r="AV6" s="24">
        <f>SUMIFS($AV$15:$AV$62,$B$15:$B$62,$A6)</f>
        <v/>
      </c>
      <c r="AW6" s="25">
        <f>SUMIFS($AW$15:$AW$62,$B$15:$B$62,$A6)</f>
        <v/>
      </c>
      <c r="AX6" s="23">
        <f>SUMIFS($AX$15:$AX$62,$B$15:$B$62,$A6)</f>
        <v/>
      </c>
      <c r="AY6" s="23">
        <f>SUMIFS($AY$15:$AY$62,$B$15:$B$62,$A6)</f>
        <v/>
      </c>
      <c r="AZ6" s="23">
        <f>SUMIFS($AZ$15:$AZ$62,$B$15:$B$62,$A6)</f>
        <v/>
      </c>
    </row>
    <row r="7">
      <c r="A7" s="21" t="n">
        <v>2026</v>
      </c>
      <c r="D7" s="22">
        <f>IF(DATE(A7,12,1)&lt;=LastActual,"Actual",IF(DATE(A7,1,1)&gt;LastActual,"Forecast","Blended"))</f>
        <v/>
      </c>
      <c r="E7" s="23">
        <f>SUMIFS($E$15:$E$62,$B$15:$B$62,$A7)</f>
        <v/>
      </c>
      <c r="F7" s="24">
        <f>SUMIFS($F$15:$F$62,$B$15:$B$62,$A7)</f>
        <v/>
      </c>
      <c r="G7" s="25">
        <f>SUMIFS($G$15:$G$62,$B$15:$B$62,$A7)</f>
        <v/>
      </c>
      <c r="H7" s="23">
        <f>SUMIFS($H$15:$H$62,$B$15:$B$62,$A7)</f>
        <v/>
      </c>
      <c r="I7" s="23">
        <f>SUMIFS($I$15:$I$62,$B$15:$B$62,$A7)</f>
        <v/>
      </c>
      <c r="J7" s="23">
        <f>SUMIFS($J$15:$J$62,$B$15:$B$62,$A7)</f>
        <v/>
      </c>
      <c r="K7" s="26">
        <f>IFERROR(F7/G7,0)</f>
        <v/>
      </c>
      <c r="L7" s="27">
        <f>IFERROR(H7/G7,0)</f>
        <v/>
      </c>
      <c r="M7" s="28">
        <f>IFERROR(J7/F7,0)</f>
        <v/>
      </c>
      <c r="N7" s="29">
        <f>IFERROR(J7/E7,0)</f>
        <v/>
      </c>
      <c r="O7" s="29">
        <f>IFERROR(I7/J7,0)</f>
        <v/>
      </c>
      <c r="AJ7" s="24">
        <f>SUMIFS($AJ$15:$AJ$62,$B$15:$B$62,$A7)</f>
        <v/>
      </c>
      <c r="AK7" s="25">
        <f>SUMIFS($AK$15:$AK$62,$B$15:$B$62,$A7)</f>
        <v/>
      </c>
      <c r="AL7" s="23">
        <f>SUMIFS($AL$15:$AL$62,$B$15:$B$62,$A7)</f>
        <v/>
      </c>
      <c r="AM7" s="23">
        <f>SUMIFS($AM$15:$AM$62,$B$15:$B$62,$A7)</f>
        <v/>
      </c>
      <c r="AN7" s="23">
        <f>SUMIFS($AN$15:$AN$62,$B$15:$B$62,$A7)</f>
        <v/>
      </c>
      <c r="AP7" s="24">
        <f>SUMIFS($AP$15:$AP$62,$B$15:$B$62,$A7)</f>
        <v/>
      </c>
      <c r="AQ7" s="25">
        <f>SUMIFS($AQ$15:$AQ$62,$B$15:$B$62,$A7)</f>
        <v/>
      </c>
      <c r="AR7" s="23">
        <f>SUMIFS($AR$15:$AR$62,$B$15:$B$62,$A7)</f>
        <v/>
      </c>
      <c r="AS7" s="23">
        <f>SUMIFS($AS$15:$AS$62,$B$15:$B$62,$A7)</f>
        <v/>
      </c>
      <c r="AT7" s="23">
        <f>SUMIFS($AT$15:$AT$62,$B$15:$B$62,$A7)</f>
        <v/>
      </c>
      <c r="AV7" s="24">
        <f>SUMIFS($AV$15:$AV$62,$B$15:$B$62,$A7)</f>
        <v/>
      </c>
      <c r="AW7" s="25">
        <f>SUMIFS($AW$15:$AW$62,$B$15:$B$62,$A7)</f>
        <v/>
      </c>
      <c r="AX7" s="23">
        <f>SUMIFS($AX$15:$AX$62,$B$15:$B$62,$A7)</f>
        <v/>
      </c>
      <c r="AY7" s="23">
        <f>SUMIFS($AY$15:$AY$62,$B$15:$B$62,$A7)</f>
        <v/>
      </c>
      <c r="AZ7" s="23">
        <f>SUMIFS($AZ$15:$AZ$62,$B$15:$B$62,$A7)</f>
        <v/>
      </c>
    </row>
    <row r="8">
      <c r="A8" s="21" t="n">
        <v>2027</v>
      </c>
      <c r="D8" s="22">
        <f>IF(DATE(A8,12,1)&lt;=LastActual,"Actual",IF(DATE(A8,1,1)&gt;LastActual,"Forecast","Blended"))</f>
        <v/>
      </c>
      <c r="E8" s="23">
        <f>SUMIFS($E$15:$E$62,$B$15:$B$62,$A8)</f>
        <v/>
      </c>
      <c r="F8" s="24">
        <f>SUMIFS($F$15:$F$62,$B$15:$B$62,$A8)</f>
        <v/>
      </c>
      <c r="G8" s="25">
        <f>SUMIFS($G$15:$G$62,$B$15:$B$62,$A8)</f>
        <v/>
      </c>
      <c r="H8" s="23">
        <f>SUMIFS($H$15:$H$62,$B$15:$B$62,$A8)</f>
        <v/>
      </c>
      <c r="I8" s="23">
        <f>SUMIFS($I$15:$I$62,$B$15:$B$62,$A8)</f>
        <v/>
      </c>
      <c r="J8" s="23">
        <f>SUMIFS($J$15:$J$62,$B$15:$B$62,$A8)</f>
        <v/>
      </c>
      <c r="K8" s="26">
        <f>IFERROR(F8/G8,0)</f>
        <v/>
      </c>
      <c r="L8" s="27">
        <f>IFERROR(H8/G8,0)</f>
        <v/>
      </c>
      <c r="M8" s="28">
        <f>IFERROR(J8/F8,0)</f>
        <v/>
      </c>
      <c r="N8" s="29">
        <f>IFERROR(J8/E8,0)</f>
        <v/>
      </c>
      <c r="O8" s="29">
        <f>IFERROR(I8/J8,0)</f>
        <v/>
      </c>
      <c r="AJ8" s="24">
        <f>SUMIFS($AJ$15:$AJ$62,$B$15:$B$62,$A8)</f>
        <v/>
      </c>
      <c r="AK8" s="25">
        <f>SUMIFS($AK$15:$AK$62,$B$15:$B$62,$A8)</f>
        <v/>
      </c>
      <c r="AL8" s="23">
        <f>SUMIFS($AL$15:$AL$62,$B$15:$B$62,$A8)</f>
        <v/>
      </c>
      <c r="AM8" s="23">
        <f>SUMIFS($AM$15:$AM$62,$B$15:$B$62,$A8)</f>
        <v/>
      </c>
      <c r="AN8" s="23">
        <f>SUMIFS($AN$15:$AN$62,$B$15:$B$62,$A8)</f>
        <v/>
      </c>
      <c r="AP8" s="24">
        <f>SUMIFS($AP$15:$AP$62,$B$15:$B$62,$A8)</f>
        <v/>
      </c>
      <c r="AQ8" s="25">
        <f>SUMIFS($AQ$15:$AQ$62,$B$15:$B$62,$A8)</f>
        <v/>
      </c>
      <c r="AR8" s="23">
        <f>SUMIFS($AR$15:$AR$62,$B$15:$B$62,$A8)</f>
        <v/>
      </c>
      <c r="AS8" s="23">
        <f>SUMIFS($AS$15:$AS$62,$B$15:$B$62,$A8)</f>
        <v/>
      </c>
      <c r="AT8" s="23">
        <f>SUMIFS($AT$15:$AT$62,$B$15:$B$62,$A8)</f>
        <v/>
      </c>
      <c r="AV8" s="24">
        <f>SUMIFS($AV$15:$AV$62,$B$15:$B$62,$A8)</f>
        <v/>
      </c>
      <c r="AW8" s="25">
        <f>SUMIFS($AW$15:$AW$62,$B$15:$B$62,$A8)</f>
        <v/>
      </c>
      <c r="AX8" s="23">
        <f>SUMIFS($AX$15:$AX$62,$B$15:$B$62,$A8)</f>
        <v/>
      </c>
      <c r="AY8" s="23">
        <f>SUMIFS($AY$15:$AY$62,$B$15:$B$62,$A8)</f>
        <v/>
      </c>
      <c r="AZ8" s="23">
        <f>SUMIFS($AZ$15:$AZ$62,$B$15:$B$62,$A8)</f>
        <v/>
      </c>
    </row>
    <row r="9">
      <c r="A9" s="21" t="n">
        <v>2028</v>
      </c>
      <c r="D9" s="22">
        <f>IF(DATE(A9,12,1)&lt;=LastActual,"Actual",IF(DATE(A9,1,1)&gt;LastActual,"Forecast","Blended"))</f>
        <v/>
      </c>
      <c r="E9" s="23">
        <f>SUMIFS($E$15:$E$62,$B$15:$B$62,$A9)</f>
        <v/>
      </c>
      <c r="F9" s="24">
        <f>SUMIFS($F$15:$F$62,$B$15:$B$62,$A9)</f>
        <v/>
      </c>
      <c r="G9" s="25">
        <f>SUMIFS($G$15:$G$62,$B$15:$B$62,$A9)</f>
        <v/>
      </c>
      <c r="H9" s="23">
        <f>SUMIFS($H$15:$H$62,$B$15:$B$62,$A9)</f>
        <v/>
      </c>
      <c r="I9" s="23">
        <f>SUMIFS($I$15:$I$62,$B$15:$B$62,$A9)</f>
        <v/>
      </c>
      <c r="J9" s="23">
        <f>SUMIFS($J$15:$J$62,$B$15:$B$62,$A9)</f>
        <v/>
      </c>
      <c r="K9" s="26">
        <f>IFERROR(F9/G9,0)</f>
        <v/>
      </c>
      <c r="L9" s="27">
        <f>IFERROR(H9/G9,0)</f>
        <v/>
      </c>
      <c r="M9" s="28">
        <f>IFERROR(J9/F9,0)</f>
        <v/>
      </c>
      <c r="N9" s="29">
        <f>IFERROR(J9/E9,0)</f>
        <v/>
      </c>
      <c r="O9" s="29">
        <f>IFERROR(I9/J9,0)</f>
        <v/>
      </c>
      <c r="AJ9" s="24">
        <f>SUMIFS($AJ$15:$AJ$62,$B$15:$B$62,$A9)</f>
        <v/>
      </c>
      <c r="AK9" s="25">
        <f>SUMIFS($AK$15:$AK$62,$B$15:$B$62,$A9)</f>
        <v/>
      </c>
      <c r="AL9" s="23">
        <f>SUMIFS($AL$15:$AL$62,$B$15:$B$62,$A9)</f>
        <v/>
      </c>
      <c r="AM9" s="23">
        <f>SUMIFS($AM$15:$AM$62,$B$15:$B$62,$A9)</f>
        <v/>
      </c>
      <c r="AN9" s="23">
        <f>SUMIFS($AN$15:$AN$62,$B$15:$B$62,$A9)</f>
        <v/>
      </c>
      <c r="AP9" s="24">
        <f>SUMIFS($AP$15:$AP$62,$B$15:$B$62,$A9)</f>
        <v/>
      </c>
      <c r="AQ9" s="25">
        <f>SUMIFS($AQ$15:$AQ$62,$B$15:$B$62,$A9)</f>
        <v/>
      </c>
      <c r="AR9" s="23">
        <f>SUMIFS($AR$15:$AR$62,$B$15:$B$62,$A9)</f>
        <v/>
      </c>
      <c r="AS9" s="23">
        <f>SUMIFS($AS$15:$AS$62,$B$15:$B$62,$A9)</f>
        <v/>
      </c>
      <c r="AT9" s="23">
        <f>SUMIFS($AT$15:$AT$62,$B$15:$B$62,$A9)</f>
        <v/>
      </c>
      <c r="AV9" s="24">
        <f>SUMIFS($AV$15:$AV$62,$B$15:$B$62,$A9)</f>
        <v/>
      </c>
      <c r="AW9" s="25">
        <f>SUMIFS($AW$15:$AW$62,$B$15:$B$62,$A9)</f>
        <v/>
      </c>
      <c r="AX9" s="23">
        <f>SUMIFS($AX$15:$AX$62,$B$15:$B$62,$A9)</f>
        <v/>
      </c>
      <c r="AY9" s="23">
        <f>SUMIFS($AY$15:$AY$62,$B$15:$B$62,$A9)</f>
        <v/>
      </c>
      <c r="AZ9" s="23">
        <f>SUMIFS($AZ$15:$AZ$62,$B$15:$B$62,$A9)</f>
        <v/>
      </c>
    </row>
    <row r="10">
      <c r="AJ10" s="1" t="inlineStr">
        <is>
          <t>Chamber split (same CPLH and cost per hour in every chamber; mix from Chamber Weights)</t>
        </is>
      </c>
    </row>
    <row r="11">
      <c r="AJ11" s="6" t="inlineStr">
        <is>
          <t>Case mix</t>
        </is>
      </c>
      <c r="AK11" s="31">
        <f>IFERROR(INDEX('Chamber Weights'!$B$24:$K$26,MATCH($AJ$12,'Chamber Weights'!$A$24:$A$26,0),MATCH($B$2,'Chamber Weights'!$B$23:$K$23,0)),0)</f>
        <v/>
      </c>
      <c r="AP11" s="6" t="inlineStr">
        <is>
          <t>Case mix</t>
        </is>
      </c>
      <c r="AQ11" s="31">
        <f>IFERROR(INDEX('Chamber Weights'!$B$24:$K$26,MATCH($AP$12,'Chamber Weights'!$A$24:$A$26,0),MATCH($B$2,'Chamber Weights'!$B$23:$K$23,0)),0)</f>
        <v/>
      </c>
      <c r="AV11" s="6" t="inlineStr">
        <is>
          <t>Case mix</t>
        </is>
      </c>
      <c r="AW11" s="31">
        <f>IFERROR(INDEX('Chamber Weights'!$B$24:$K$26,MATCH($AV$12,'Chamber Weights'!$A$24:$A$26,0),MATCH($B$2,'Chamber Weights'!$B$23:$K$23,0)),0)</f>
        <v/>
      </c>
    </row>
    <row r="12">
      <c r="E12" s="7" t="inlineStr">
        <is>
          <t>Drivers</t>
        </is>
      </c>
      <c r="K12" s="7" t="inlineStr">
        <is>
          <t>Metrics</t>
        </is>
      </c>
      <c r="R12" s="7" t="inlineStr">
        <is>
          <t>Helper calculations (actuals, plan, same-month-last-year rates)</t>
        </is>
      </c>
      <c r="AJ12" s="20" t="inlineStr">
        <is>
          <t>Ambient</t>
        </is>
      </c>
      <c r="AP12" s="20" t="inlineStr">
        <is>
          <t>Chiller</t>
        </is>
      </c>
      <c r="AV12" s="20" t="inlineStr">
        <is>
          <t>Freezer</t>
        </is>
      </c>
    </row>
    <row r="13" ht="60" customHeight="1">
      <c r="A13" s="7" t="inlineStr">
        <is>
          <t>Month</t>
        </is>
      </c>
      <c r="B13" s="7" t="inlineStr">
        <is>
          <t>Year</t>
        </is>
      </c>
      <c r="C13" s="7" t="inlineStr">
        <is>
          <t>Mth</t>
        </is>
      </c>
      <c r="D13" s="7" t="inlineStr">
        <is>
          <t>Status</t>
        </is>
      </c>
      <c r="E13" s="7" t="inlineStr">
        <is>
          <t>Sales</t>
        </is>
      </c>
      <c r="F13" s="7" t="inlineStr">
        <is>
          <t>Cases picked</t>
        </is>
      </c>
      <c r="G13" s="7" t="inlineStr">
        <is>
          <t>WH hours worked</t>
        </is>
      </c>
      <c r="H13" s="7" t="inlineStr">
        <is>
          <t>Staff payroll</t>
        </is>
      </c>
      <c r="I13" s="7" t="inlineStr">
        <is>
          <t>Leadership payroll</t>
        </is>
      </c>
      <c r="J13" s="7" t="inlineStr">
        <is>
          <t>Total payroll</t>
        </is>
      </c>
      <c r="K13" s="7" t="inlineStr">
        <is>
          <t>CPLH (cases / hr)</t>
        </is>
      </c>
      <c r="L13" s="7" t="inlineStr">
        <is>
          <t>Cost per hour (staff)</t>
        </is>
      </c>
      <c r="M13" s="7" t="inlineStr">
        <is>
          <t>Cost per case (total payroll)</t>
        </is>
      </c>
      <c r="N13" s="7" t="inlineStr">
        <is>
          <t>Total payroll % sales</t>
        </is>
      </c>
      <c r="O13" s="7" t="inlineStr">
        <is>
          <t>Leadership % of total payroll</t>
        </is>
      </c>
      <c r="R13" s="51" t="inlineStr">
        <is>
          <t>Act sales</t>
        </is>
      </c>
      <c r="S13" s="51" t="inlineStr">
        <is>
          <t>Act cases</t>
        </is>
      </c>
      <c r="T13" s="51" t="inlineStr">
        <is>
          <t>Act hours</t>
        </is>
      </c>
      <c r="U13" s="51" t="inlineStr">
        <is>
          <t>Act staff $</t>
        </is>
      </c>
      <c r="V13" s="51" t="inlineStr">
        <is>
          <t>Act leadership $</t>
        </is>
      </c>
      <c r="W13" s="51" t="inlineStr">
        <is>
          <t>Plan sales</t>
        </is>
      </c>
      <c r="X13" s="51" t="inlineStr">
        <is>
          <t>CPLH run rate (actual, else same month LY)</t>
        </is>
      </c>
      <c r="Y13" s="51" t="inlineStr">
        <is>
          <t>Volume driver sales</t>
        </is>
      </c>
      <c r="Z13" s="51" t="inlineStr">
        <is>
          <t>PH factor</t>
        </is>
      </c>
      <c r="AA13" s="51" t="inlineStr">
        <is>
          <t>Wage index</t>
        </is>
      </c>
      <c r="AB13" s="51" t="inlineStr">
        <is>
          <t>Cases per $ (actual, else same month LY)</t>
        </is>
      </c>
      <c r="AC13" s="51" t="inlineStr">
        <is>
          <t>Cost per hour ex PH &amp; wage (actual, else same month LY)</t>
        </is>
      </c>
      <c r="AD13" s="51" t="inlineStr">
        <is>
          <t>Leadership share of total payroll (actual, else last actual month)</t>
        </is>
      </c>
      <c r="AE13" s="51" t="inlineStr">
        <is>
          <t>Fcst cost per hour (AC x PH x wage)</t>
        </is>
      </c>
      <c r="AF13" s="51" t="inlineStr">
        <is>
          <t>LY CPLH (same month, as used)</t>
        </is>
      </c>
      <c r="AG13" s="51" t="inlineStr">
        <is>
          <t>Fcst CPLH vs LY</t>
        </is>
      </c>
      <c r="AH13" s="51" t="inlineStr">
        <is>
          <t>Plan CPLH (Plan_Inputs or CPLH_Breakdown)</t>
        </is>
      </c>
      <c r="AJ13" s="20" t="inlineStr">
        <is>
          <t>Cases picked</t>
        </is>
      </c>
      <c r="AK13" s="20" t="inlineStr">
        <is>
          <t>WH hours worked</t>
        </is>
      </c>
      <c r="AL13" s="20" t="inlineStr">
        <is>
          <t>Staff payroll</t>
        </is>
      </c>
      <c r="AM13" s="20" t="inlineStr">
        <is>
          <t>Leadership payroll</t>
        </is>
      </c>
      <c r="AN13" s="20" t="inlineStr">
        <is>
          <t>Total payroll</t>
        </is>
      </c>
      <c r="AP13" s="20" t="inlineStr">
        <is>
          <t>Cases picked</t>
        </is>
      </c>
      <c r="AQ13" s="20" t="inlineStr">
        <is>
          <t>WH hours worked</t>
        </is>
      </c>
      <c r="AR13" s="20" t="inlineStr">
        <is>
          <t>Staff payroll</t>
        </is>
      </c>
      <c r="AS13" s="20" t="inlineStr">
        <is>
          <t>Leadership payroll</t>
        </is>
      </c>
      <c r="AT13" s="20" t="inlineStr">
        <is>
          <t>Total payroll</t>
        </is>
      </c>
      <c r="AV13" s="20" t="inlineStr">
        <is>
          <t>Cases picked</t>
        </is>
      </c>
      <c r="AW13" s="20" t="inlineStr">
        <is>
          <t>WH hours worked</t>
        </is>
      </c>
      <c r="AX13" s="20" t="inlineStr">
        <is>
          <t>Staff payroll</t>
        </is>
      </c>
      <c r="AY13" s="20" t="inlineStr">
        <is>
          <t>Leadership payroll</t>
        </is>
      </c>
      <c r="AZ13" s="20" t="inlineStr">
        <is>
          <t>Total payroll</t>
        </is>
      </c>
    </row>
    <row r="14">
      <c r="E14" s="32" t="inlineStr">
        <is>
          <t>$m</t>
        </is>
      </c>
      <c r="F14" s="32" t="inlineStr">
        <is>
          <t>m</t>
        </is>
      </c>
      <c r="G14" s="32" t="inlineStr">
        <is>
          <t>#</t>
        </is>
      </c>
      <c r="H14" s="32" t="inlineStr">
        <is>
          <t>$m</t>
        </is>
      </c>
      <c r="I14" s="32" t="inlineStr">
        <is>
          <t>$m</t>
        </is>
      </c>
      <c r="J14" s="32" t="inlineStr">
        <is>
          <t>$m</t>
        </is>
      </c>
      <c r="K14" s="32" t="inlineStr">
        <is>
          <t>#</t>
        </is>
      </c>
      <c r="L14" s="32" t="inlineStr">
        <is>
          <t>$</t>
        </is>
      </c>
      <c r="M14" s="32" t="inlineStr">
        <is>
          <t>$</t>
        </is>
      </c>
      <c r="N14" s="32" t="inlineStr">
        <is>
          <t>%</t>
        </is>
      </c>
      <c r="O14" s="32" t="inlineStr">
        <is>
          <t>%</t>
        </is>
      </c>
      <c r="AJ14" s="32" t="inlineStr">
        <is>
          <t>m</t>
        </is>
      </c>
      <c r="AK14" s="32" t="inlineStr">
        <is>
          <t>#</t>
        </is>
      </c>
      <c r="AL14" s="32" t="inlineStr">
        <is>
          <t>$m</t>
        </is>
      </c>
      <c r="AM14" s="32" t="inlineStr">
        <is>
          <t>$m</t>
        </is>
      </c>
      <c r="AN14" s="32" t="inlineStr">
        <is>
          <t>$m</t>
        </is>
      </c>
      <c r="AP14" s="32" t="inlineStr">
        <is>
          <t>m</t>
        </is>
      </c>
      <c r="AQ14" s="32" t="inlineStr">
        <is>
          <t>#</t>
        </is>
      </c>
      <c r="AR14" s="32" t="inlineStr">
        <is>
          <t>$m</t>
        </is>
      </c>
      <c r="AS14" s="32" t="inlineStr">
        <is>
          <t>$m</t>
        </is>
      </c>
      <c r="AT14" s="32" t="inlineStr">
        <is>
          <t>$m</t>
        </is>
      </c>
      <c r="AV14" s="32" t="inlineStr">
        <is>
          <t>m</t>
        </is>
      </c>
      <c r="AW14" s="32" t="inlineStr">
        <is>
          <t>#</t>
        </is>
      </c>
      <c r="AX14" s="32" t="inlineStr">
        <is>
          <t>$m</t>
        </is>
      </c>
      <c r="AY14" s="32" t="inlineStr">
        <is>
          <t>$m</t>
        </is>
      </c>
      <c r="AZ14" s="32" t="inlineStr">
        <is>
          <t>$m</t>
        </is>
      </c>
    </row>
    <row r="15">
      <c r="A15" s="8" t="n">
        <v>45658</v>
      </c>
      <c r="B15" s="33">
        <f>YEAR(A15)</f>
        <v/>
      </c>
      <c r="C15" s="33">
        <f>MONTH(A15)</f>
        <v/>
      </c>
      <c r="D15">
        <f>IF(A15&lt;=LastActual,"Actual","Forecast")</f>
        <v/>
      </c>
      <c r="E15" s="30">
        <f>IF($D15="Actual",R15,W15)</f>
        <v/>
      </c>
      <c r="F15" s="15">
        <f>IF($D15="Actual",S15,Cases_Forecast!AP8)</f>
        <v/>
      </c>
      <c r="G15" s="9">
        <f>IF($D15="Actual",T15,IFERROR(F15/K15,0))</f>
        <v/>
      </c>
      <c r="H15" s="30">
        <f>IF($D15="Actual",U15,G15*L15)</f>
        <v/>
      </c>
      <c r="I15" s="30">
        <f>IF($D15="Actual",V15,J15-H15)</f>
        <v/>
      </c>
      <c r="J15" s="30">
        <f>IF($D15="Actual",U15+V15,IFERROR(H15/(1-AD15),0))</f>
        <v/>
      </c>
      <c r="K15" s="10">
        <f>IF($D15="Actual",IFERROR(S15/T15,0),CPLH_Forecast!AP8)</f>
        <v/>
      </c>
      <c r="L15" s="34">
        <f>IF($D15="Actual",IFERROR(U15/T15,0),N(AE15))</f>
        <v/>
      </c>
      <c r="M15" s="35">
        <f>IFERROR(J15/F15,0)</f>
        <v/>
      </c>
      <c r="N15" s="36">
        <f>IFERROR(J15/E15,0)</f>
        <v/>
      </c>
      <c r="O15" s="36">
        <f>IFERROR(I15/J15,0)</f>
        <v/>
      </c>
      <c r="R15" s="52">
        <f>IF($D15="Actual",SUMIFS(Data_Actuals!$C$2:$C$5000,Data_Actuals!$A$2:$A$5000,$A15,Data_Actuals!$B$2:$B$5000,$B$2),"")</f>
        <v/>
      </c>
      <c r="S15" s="52">
        <f>IF($D15="Actual",SUMIFS(Data_Actuals!$D$2:$D$5000,Data_Actuals!$A$2:$A$5000,$A15,Data_Actuals!$B$2:$B$5000,$B$2),"")</f>
        <v/>
      </c>
      <c r="T15" s="52">
        <f>IF($D15="Actual",SUMIFS(Data_Actuals!$E$2:$E$5000,Data_Actuals!$A$2:$A$5000,$A15,Data_Actuals!$B$2:$B$5000,$B$2),"")</f>
        <v/>
      </c>
      <c r="U15" s="52">
        <f>IF($D15="Actual",SUMIFS(Data_Actuals!$F$2:$F$5000,Data_Actuals!$A$2:$A$5000,$A15,Data_Actuals!$B$2:$B$5000,$B$2),"")</f>
        <v/>
      </c>
      <c r="V15" s="52">
        <f>IF($D15="Actual",SUMIFS(Data_Actuals!$G$2:$G$5000,Data_Actuals!$A$2:$A$5000,$A15,Data_Actuals!$B$2:$B$5000,$B$2),"")</f>
        <v/>
      </c>
      <c r="W15" s="52">
        <f>SUMIFS(Plan_Inputs!$C$2:$C$5000,Plan_Inputs!$A$2:$A$5000,$A15,Plan_Inputs!$B$2:$B$5000,$B$2)</f>
        <v/>
      </c>
      <c r="X15" s="53">
        <f>IF($D15="Actual",IFERROR(S15/T15,""),"")</f>
        <v/>
      </c>
      <c r="Y15" s="52">
        <f>E15</f>
        <v/>
      </c>
      <c r="Z15" s="54">
        <f>INDEX(Calendar!$H$5:$L$52,MATCH($A15,Calendar!$A$5:$A$52,0),MATCH($D$2,Calendar!$H$4:$L$4,0))</f>
        <v/>
      </c>
      <c r="AA15" s="54">
        <f>INDEX(Calendar!$M$5:$M$52,MATCH($A15,Calendar!$A$5:$A$52,0))</f>
        <v/>
      </c>
      <c r="AB15" s="55">
        <f>IF($D15="Actual",IFERROR(S15/Y15,""),"")</f>
        <v/>
      </c>
      <c r="AC15" s="56">
        <f>IF($D15="Actual",IFERROR(U15/T15/Z15/AA15,""),"")</f>
        <v/>
      </c>
      <c r="AD15" s="57">
        <f>IF($D15="Actual",IFERROR(V15/(U15+V15),""),$K$2)</f>
        <v/>
      </c>
      <c r="AE15" s="56">
        <f>IFERROR(AC15*Z15*AA15,"")</f>
        <v/>
      </c>
      <c r="AF15" s="53" t="n"/>
      <c r="AG15" s="57">
        <f>IF($D15="Forecast",IFERROR(K15/AF15-1,""),"")</f>
        <v/>
      </c>
      <c r="AH15" s="53">
        <f>IF(CPLHSource="National breakdown",CPLH_Breakdown!AQ20,SUMIFS(Plan_Inputs!$D$2:$D$5000,Plan_Inputs!$A$2:$A$5000,$A15,Plan_Inputs!$B$2:$B$5000,$B$2))</f>
        <v/>
      </c>
      <c r="AJ15" s="15">
        <f>F15*$AK$11</f>
        <v/>
      </c>
      <c r="AK15" s="9">
        <f>G15*$AK$11</f>
        <v/>
      </c>
      <c r="AL15" s="30">
        <f>H15*$AK$11</f>
        <v/>
      </c>
      <c r="AM15" s="30">
        <f>I15*$AK$11</f>
        <v/>
      </c>
      <c r="AN15" s="30">
        <f>J15*$AK$11</f>
        <v/>
      </c>
      <c r="AP15" s="15">
        <f>F15*$AQ$11</f>
        <v/>
      </c>
      <c r="AQ15" s="9">
        <f>G15*$AQ$11</f>
        <v/>
      </c>
      <c r="AR15" s="30">
        <f>H15*$AQ$11</f>
        <v/>
      </c>
      <c r="AS15" s="30">
        <f>I15*$AQ$11</f>
        <v/>
      </c>
      <c r="AT15" s="30">
        <f>J15*$AQ$11</f>
        <v/>
      </c>
      <c r="AV15" s="15">
        <f>F15*$AW$11</f>
        <v/>
      </c>
      <c r="AW15" s="9">
        <f>G15*$AW$11</f>
        <v/>
      </c>
      <c r="AX15" s="30">
        <f>H15*$AW$11</f>
        <v/>
      </c>
      <c r="AY15" s="30">
        <f>I15*$AW$11</f>
        <v/>
      </c>
      <c r="AZ15" s="30">
        <f>J15*$AW$11</f>
        <v/>
      </c>
    </row>
    <row r="16">
      <c r="A16" s="8" t="n">
        <v>45689</v>
      </c>
      <c r="B16" s="33">
        <f>YEAR(A16)</f>
        <v/>
      </c>
      <c r="C16" s="33">
        <f>MONTH(A16)</f>
        <v/>
      </c>
      <c r="D16">
        <f>IF(A16&lt;=LastActual,"Actual","Forecast")</f>
        <v/>
      </c>
      <c r="E16" s="30">
        <f>IF($D16="Actual",R16,W16)</f>
        <v/>
      </c>
      <c r="F16" s="15">
        <f>IF($D16="Actual",S16,Cases_Forecast!AP9)</f>
        <v/>
      </c>
      <c r="G16" s="9">
        <f>IF($D16="Actual",T16,IFERROR(F16/K16,0))</f>
        <v/>
      </c>
      <c r="H16" s="30">
        <f>IF($D16="Actual",U16,G16*L16)</f>
        <v/>
      </c>
      <c r="I16" s="30">
        <f>IF($D16="Actual",V16,J16-H16)</f>
        <v/>
      </c>
      <c r="J16" s="30">
        <f>IF($D16="Actual",U16+V16,IFERROR(H16/(1-AD16),0))</f>
        <v/>
      </c>
      <c r="K16" s="10">
        <f>IF($D16="Actual",IFERROR(S16/T16,0),CPLH_Forecast!AP9)</f>
        <v/>
      </c>
      <c r="L16" s="34">
        <f>IF($D16="Actual",IFERROR(U16/T16,0),N(AE16))</f>
        <v/>
      </c>
      <c r="M16" s="35">
        <f>IFERROR(J16/F16,0)</f>
        <v/>
      </c>
      <c r="N16" s="36">
        <f>IFERROR(J16/E16,0)</f>
        <v/>
      </c>
      <c r="O16" s="36">
        <f>IFERROR(I16/J16,0)</f>
        <v/>
      </c>
      <c r="R16" s="52">
        <f>IF($D16="Actual",SUMIFS(Data_Actuals!$C$2:$C$5000,Data_Actuals!$A$2:$A$5000,$A16,Data_Actuals!$B$2:$B$5000,$B$2),"")</f>
        <v/>
      </c>
      <c r="S16" s="52">
        <f>IF($D16="Actual",SUMIFS(Data_Actuals!$D$2:$D$5000,Data_Actuals!$A$2:$A$5000,$A16,Data_Actuals!$B$2:$B$5000,$B$2),"")</f>
        <v/>
      </c>
      <c r="T16" s="52">
        <f>IF($D16="Actual",SUMIFS(Data_Actuals!$E$2:$E$5000,Data_Actuals!$A$2:$A$5000,$A16,Data_Actuals!$B$2:$B$5000,$B$2),"")</f>
        <v/>
      </c>
      <c r="U16" s="52">
        <f>IF($D16="Actual",SUMIFS(Data_Actuals!$F$2:$F$5000,Data_Actuals!$A$2:$A$5000,$A16,Data_Actuals!$B$2:$B$5000,$B$2),"")</f>
        <v/>
      </c>
      <c r="V16" s="52">
        <f>IF($D16="Actual",SUMIFS(Data_Actuals!$G$2:$G$5000,Data_Actuals!$A$2:$A$5000,$A16,Data_Actuals!$B$2:$B$5000,$B$2),"")</f>
        <v/>
      </c>
      <c r="W16" s="52">
        <f>SUMIFS(Plan_Inputs!$C$2:$C$5000,Plan_Inputs!$A$2:$A$5000,$A16,Plan_Inputs!$B$2:$B$5000,$B$2)</f>
        <v/>
      </c>
      <c r="X16" s="53">
        <f>IF($D16="Actual",IFERROR(S16/T16,""),"")</f>
        <v/>
      </c>
      <c r="Y16" s="52">
        <f>E16</f>
        <v/>
      </c>
      <c r="Z16" s="54">
        <f>INDEX(Calendar!$H$5:$L$52,MATCH($A16,Calendar!$A$5:$A$52,0),MATCH($D$2,Calendar!$H$4:$L$4,0))</f>
        <v/>
      </c>
      <c r="AA16" s="54">
        <f>INDEX(Calendar!$M$5:$M$52,MATCH($A16,Calendar!$A$5:$A$52,0))</f>
        <v/>
      </c>
      <c r="AB16" s="55">
        <f>IF($D16="Actual",IFERROR(S16/Y16,""),"")</f>
        <v/>
      </c>
      <c r="AC16" s="56">
        <f>IF($D16="Actual",IFERROR(U16/T16/Z16/AA16,""),"")</f>
        <v/>
      </c>
      <c r="AD16" s="57">
        <f>IF($D16="Actual",IFERROR(V16/(U16+V16),""),$K$2)</f>
        <v/>
      </c>
      <c r="AE16" s="56">
        <f>IFERROR(AC16*Z16*AA16,"")</f>
        <v/>
      </c>
      <c r="AF16" s="53" t="n"/>
      <c r="AG16" s="57">
        <f>IF($D16="Forecast",IFERROR(K16/AF16-1,""),"")</f>
        <v/>
      </c>
      <c r="AH16" s="53">
        <f>IF(CPLHSource="National breakdown",CPLH_Breakdown!AQ21,SUMIFS(Plan_Inputs!$D$2:$D$5000,Plan_Inputs!$A$2:$A$5000,$A16,Plan_Inputs!$B$2:$B$5000,$B$2))</f>
        <v/>
      </c>
      <c r="AJ16" s="15">
        <f>F16*$AK$11</f>
        <v/>
      </c>
      <c r="AK16" s="9">
        <f>G16*$AK$11</f>
        <v/>
      </c>
      <c r="AL16" s="30">
        <f>H16*$AK$11</f>
        <v/>
      </c>
      <c r="AM16" s="30">
        <f>I16*$AK$11</f>
        <v/>
      </c>
      <c r="AN16" s="30">
        <f>J16*$AK$11</f>
        <v/>
      </c>
      <c r="AP16" s="15">
        <f>F16*$AQ$11</f>
        <v/>
      </c>
      <c r="AQ16" s="9">
        <f>G16*$AQ$11</f>
        <v/>
      </c>
      <c r="AR16" s="30">
        <f>H16*$AQ$11</f>
        <v/>
      </c>
      <c r="AS16" s="30">
        <f>I16*$AQ$11</f>
        <v/>
      </c>
      <c r="AT16" s="30">
        <f>J16*$AQ$11</f>
        <v/>
      </c>
      <c r="AV16" s="15">
        <f>F16*$AW$11</f>
        <v/>
      </c>
      <c r="AW16" s="9">
        <f>G16*$AW$11</f>
        <v/>
      </c>
      <c r="AX16" s="30">
        <f>H16*$AW$11</f>
        <v/>
      </c>
      <c r="AY16" s="30">
        <f>I16*$AW$11</f>
        <v/>
      </c>
      <c r="AZ16" s="30">
        <f>J16*$AW$11</f>
        <v/>
      </c>
    </row>
    <row r="17">
      <c r="A17" s="8" t="n">
        <v>45717</v>
      </c>
      <c r="B17" s="33">
        <f>YEAR(A17)</f>
        <v/>
      </c>
      <c r="C17" s="33">
        <f>MONTH(A17)</f>
        <v/>
      </c>
      <c r="D17">
        <f>IF(A17&lt;=LastActual,"Actual","Forecast")</f>
        <v/>
      </c>
      <c r="E17" s="30">
        <f>IF($D17="Actual",R17,W17)</f>
        <v/>
      </c>
      <c r="F17" s="15">
        <f>IF($D17="Actual",S17,Cases_Forecast!AP10)</f>
        <v/>
      </c>
      <c r="G17" s="9">
        <f>IF($D17="Actual",T17,IFERROR(F17/K17,0))</f>
        <v/>
      </c>
      <c r="H17" s="30">
        <f>IF($D17="Actual",U17,G17*L17)</f>
        <v/>
      </c>
      <c r="I17" s="30">
        <f>IF($D17="Actual",V17,J17-H17)</f>
        <v/>
      </c>
      <c r="J17" s="30">
        <f>IF($D17="Actual",U17+V17,IFERROR(H17/(1-AD17),0))</f>
        <v/>
      </c>
      <c r="K17" s="10">
        <f>IF($D17="Actual",IFERROR(S17/T17,0),CPLH_Forecast!AP10)</f>
        <v/>
      </c>
      <c r="L17" s="34">
        <f>IF($D17="Actual",IFERROR(U17/T17,0),N(AE17))</f>
        <v/>
      </c>
      <c r="M17" s="35">
        <f>IFERROR(J17/F17,0)</f>
        <v/>
      </c>
      <c r="N17" s="36">
        <f>IFERROR(J17/E17,0)</f>
        <v/>
      </c>
      <c r="O17" s="36">
        <f>IFERROR(I17/J17,0)</f>
        <v/>
      </c>
      <c r="R17" s="52">
        <f>IF($D17="Actual",SUMIFS(Data_Actuals!$C$2:$C$5000,Data_Actuals!$A$2:$A$5000,$A17,Data_Actuals!$B$2:$B$5000,$B$2),"")</f>
        <v/>
      </c>
      <c r="S17" s="52">
        <f>IF($D17="Actual",SUMIFS(Data_Actuals!$D$2:$D$5000,Data_Actuals!$A$2:$A$5000,$A17,Data_Actuals!$B$2:$B$5000,$B$2),"")</f>
        <v/>
      </c>
      <c r="T17" s="52">
        <f>IF($D17="Actual",SUMIFS(Data_Actuals!$E$2:$E$5000,Data_Actuals!$A$2:$A$5000,$A17,Data_Actuals!$B$2:$B$5000,$B$2),"")</f>
        <v/>
      </c>
      <c r="U17" s="52">
        <f>IF($D17="Actual",SUMIFS(Data_Actuals!$F$2:$F$5000,Data_Actuals!$A$2:$A$5000,$A17,Data_Actuals!$B$2:$B$5000,$B$2),"")</f>
        <v/>
      </c>
      <c r="V17" s="52">
        <f>IF($D17="Actual",SUMIFS(Data_Actuals!$G$2:$G$5000,Data_Actuals!$A$2:$A$5000,$A17,Data_Actuals!$B$2:$B$5000,$B$2),"")</f>
        <v/>
      </c>
      <c r="W17" s="52">
        <f>SUMIFS(Plan_Inputs!$C$2:$C$5000,Plan_Inputs!$A$2:$A$5000,$A17,Plan_Inputs!$B$2:$B$5000,$B$2)</f>
        <v/>
      </c>
      <c r="X17" s="53">
        <f>IF($D17="Actual",IFERROR(S17/T17,""),"")</f>
        <v/>
      </c>
      <c r="Y17" s="52">
        <f>E17</f>
        <v/>
      </c>
      <c r="Z17" s="54">
        <f>INDEX(Calendar!$H$5:$L$52,MATCH($A17,Calendar!$A$5:$A$52,0),MATCH($D$2,Calendar!$H$4:$L$4,0))</f>
        <v/>
      </c>
      <c r="AA17" s="54">
        <f>INDEX(Calendar!$M$5:$M$52,MATCH($A17,Calendar!$A$5:$A$52,0))</f>
        <v/>
      </c>
      <c r="AB17" s="55">
        <f>IF($D17="Actual",IFERROR(S17/Y17,""),"")</f>
        <v/>
      </c>
      <c r="AC17" s="56">
        <f>IF($D17="Actual",IFERROR(U17/T17/Z17/AA17,""),"")</f>
        <v/>
      </c>
      <c r="AD17" s="57">
        <f>IF($D17="Actual",IFERROR(V17/(U17+V17),""),$K$2)</f>
        <v/>
      </c>
      <c r="AE17" s="56">
        <f>IFERROR(AC17*Z17*AA17,"")</f>
        <v/>
      </c>
      <c r="AF17" s="53" t="n"/>
      <c r="AG17" s="57">
        <f>IF($D17="Forecast",IFERROR(K17/AF17-1,""),"")</f>
        <v/>
      </c>
      <c r="AH17" s="53">
        <f>IF(CPLHSource="National breakdown",CPLH_Breakdown!AQ22,SUMIFS(Plan_Inputs!$D$2:$D$5000,Plan_Inputs!$A$2:$A$5000,$A17,Plan_Inputs!$B$2:$B$5000,$B$2))</f>
        <v/>
      </c>
      <c r="AJ17" s="15">
        <f>F17*$AK$11</f>
        <v/>
      </c>
      <c r="AK17" s="9">
        <f>G17*$AK$11</f>
        <v/>
      </c>
      <c r="AL17" s="30">
        <f>H17*$AK$11</f>
        <v/>
      </c>
      <c r="AM17" s="30">
        <f>I17*$AK$11</f>
        <v/>
      </c>
      <c r="AN17" s="30">
        <f>J17*$AK$11</f>
        <v/>
      </c>
      <c r="AP17" s="15">
        <f>F17*$AQ$11</f>
        <v/>
      </c>
      <c r="AQ17" s="9">
        <f>G17*$AQ$11</f>
        <v/>
      </c>
      <c r="AR17" s="30">
        <f>H17*$AQ$11</f>
        <v/>
      </c>
      <c r="AS17" s="30">
        <f>I17*$AQ$11</f>
        <v/>
      </c>
      <c r="AT17" s="30">
        <f>J17*$AQ$11</f>
        <v/>
      </c>
      <c r="AV17" s="15">
        <f>F17*$AW$11</f>
        <v/>
      </c>
      <c r="AW17" s="9">
        <f>G17*$AW$11</f>
        <v/>
      </c>
      <c r="AX17" s="30">
        <f>H17*$AW$11</f>
        <v/>
      </c>
      <c r="AY17" s="30">
        <f>I17*$AW$11</f>
        <v/>
      </c>
      <c r="AZ17" s="30">
        <f>J17*$AW$11</f>
        <v/>
      </c>
    </row>
    <row r="18">
      <c r="A18" s="8" t="n">
        <v>45748</v>
      </c>
      <c r="B18" s="33">
        <f>YEAR(A18)</f>
        <v/>
      </c>
      <c r="C18" s="33">
        <f>MONTH(A18)</f>
        <v/>
      </c>
      <c r="D18">
        <f>IF(A18&lt;=LastActual,"Actual","Forecast")</f>
        <v/>
      </c>
      <c r="E18" s="30">
        <f>IF($D18="Actual",R18,W18)</f>
        <v/>
      </c>
      <c r="F18" s="15">
        <f>IF($D18="Actual",S18,Cases_Forecast!AP11)</f>
        <v/>
      </c>
      <c r="G18" s="9">
        <f>IF($D18="Actual",T18,IFERROR(F18/K18,0))</f>
        <v/>
      </c>
      <c r="H18" s="30">
        <f>IF($D18="Actual",U18,G18*L18)</f>
        <v/>
      </c>
      <c r="I18" s="30">
        <f>IF($D18="Actual",V18,J18-H18)</f>
        <v/>
      </c>
      <c r="J18" s="30">
        <f>IF($D18="Actual",U18+V18,IFERROR(H18/(1-AD18),0))</f>
        <v/>
      </c>
      <c r="K18" s="10">
        <f>IF($D18="Actual",IFERROR(S18/T18,0),CPLH_Forecast!AP11)</f>
        <v/>
      </c>
      <c r="L18" s="34">
        <f>IF($D18="Actual",IFERROR(U18/T18,0),N(AE18))</f>
        <v/>
      </c>
      <c r="M18" s="35">
        <f>IFERROR(J18/F18,0)</f>
        <v/>
      </c>
      <c r="N18" s="36">
        <f>IFERROR(J18/E18,0)</f>
        <v/>
      </c>
      <c r="O18" s="36">
        <f>IFERROR(I18/J18,0)</f>
        <v/>
      </c>
      <c r="R18" s="52">
        <f>IF($D18="Actual",SUMIFS(Data_Actuals!$C$2:$C$5000,Data_Actuals!$A$2:$A$5000,$A18,Data_Actuals!$B$2:$B$5000,$B$2),"")</f>
        <v/>
      </c>
      <c r="S18" s="52">
        <f>IF($D18="Actual",SUMIFS(Data_Actuals!$D$2:$D$5000,Data_Actuals!$A$2:$A$5000,$A18,Data_Actuals!$B$2:$B$5000,$B$2),"")</f>
        <v/>
      </c>
      <c r="T18" s="52">
        <f>IF($D18="Actual",SUMIFS(Data_Actuals!$E$2:$E$5000,Data_Actuals!$A$2:$A$5000,$A18,Data_Actuals!$B$2:$B$5000,$B$2),"")</f>
        <v/>
      </c>
      <c r="U18" s="52">
        <f>IF($D18="Actual",SUMIFS(Data_Actuals!$F$2:$F$5000,Data_Actuals!$A$2:$A$5000,$A18,Data_Actuals!$B$2:$B$5000,$B$2),"")</f>
        <v/>
      </c>
      <c r="V18" s="52">
        <f>IF($D18="Actual",SUMIFS(Data_Actuals!$G$2:$G$5000,Data_Actuals!$A$2:$A$5000,$A18,Data_Actuals!$B$2:$B$5000,$B$2),"")</f>
        <v/>
      </c>
      <c r="W18" s="52">
        <f>SUMIFS(Plan_Inputs!$C$2:$C$5000,Plan_Inputs!$A$2:$A$5000,$A18,Plan_Inputs!$B$2:$B$5000,$B$2)</f>
        <v/>
      </c>
      <c r="X18" s="53">
        <f>IF($D18="Actual",IFERROR(S18/T18,""),"")</f>
        <v/>
      </c>
      <c r="Y18" s="52">
        <f>E18</f>
        <v/>
      </c>
      <c r="Z18" s="54">
        <f>INDEX(Calendar!$H$5:$L$52,MATCH($A18,Calendar!$A$5:$A$52,0),MATCH($D$2,Calendar!$H$4:$L$4,0))</f>
        <v/>
      </c>
      <c r="AA18" s="54">
        <f>INDEX(Calendar!$M$5:$M$52,MATCH($A18,Calendar!$A$5:$A$52,0))</f>
        <v/>
      </c>
      <c r="AB18" s="55">
        <f>IF($D18="Actual",IFERROR(S18/Y18,""),"")</f>
        <v/>
      </c>
      <c r="AC18" s="56">
        <f>IF($D18="Actual",IFERROR(U18/T18/Z18/AA18,""),"")</f>
        <v/>
      </c>
      <c r="AD18" s="57">
        <f>IF($D18="Actual",IFERROR(V18/(U18+V18),""),$K$2)</f>
        <v/>
      </c>
      <c r="AE18" s="56">
        <f>IFERROR(AC18*Z18*AA18,"")</f>
        <v/>
      </c>
      <c r="AF18" s="53" t="n"/>
      <c r="AG18" s="57">
        <f>IF($D18="Forecast",IFERROR(K18/AF18-1,""),"")</f>
        <v/>
      </c>
      <c r="AH18" s="53">
        <f>IF(CPLHSource="National breakdown",CPLH_Breakdown!AQ23,SUMIFS(Plan_Inputs!$D$2:$D$5000,Plan_Inputs!$A$2:$A$5000,$A18,Plan_Inputs!$B$2:$B$5000,$B$2))</f>
        <v/>
      </c>
      <c r="AJ18" s="15">
        <f>F18*$AK$11</f>
        <v/>
      </c>
      <c r="AK18" s="9">
        <f>G18*$AK$11</f>
        <v/>
      </c>
      <c r="AL18" s="30">
        <f>H18*$AK$11</f>
        <v/>
      </c>
      <c r="AM18" s="30">
        <f>I18*$AK$11</f>
        <v/>
      </c>
      <c r="AN18" s="30">
        <f>J18*$AK$11</f>
        <v/>
      </c>
      <c r="AP18" s="15">
        <f>F18*$AQ$11</f>
        <v/>
      </c>
      <c r="AQ18" s="9">
        <f>G18*$AQ$11</f>
        <v/>
      </c>
      <c r="AR18" s="30">
        <f>H18*$AQ$11</f>
        <v/>
      </c>
      <c r="AS18" s="30">
        <f>I18*$AQ$11</f>
        <v/>
      </c>
      <c r="AT18" s="30">
        <f>J18*$AQ$11</f>
        <v/>
      </c>
      <c r="AV18" s="15">
        <f>F18*$AW$11</f>
        <v/>
      </c>
      <c r="AW18" s="9">
        <f>G18*$AW$11</f>
        <v/>
      </c>
      <c r="AX18" s="30">
        <f>H18*$AW$11</f>
        <v/>
      </c>
      <c r="AY18" s="30">
        <f>I18*$AW$11</f>
        <v/>
      </c>
      <c r="AZ18" s="30">
        <f>J18*$AW$11</f>
        <v/>
      </c>
    </row>
    <row r="19">
      <c r="A19" s="8" t="n">
        <v>45778</v>
      </c>
      <c r="B19" s="33">
        <f>YEAR(A19)</f>
        <v/>
      </c>
      <c r="C19" s="33">
        <f>MONTH(A19)</f>
        <v/>
      </c>
      <c r="D19">
        <f>IF(A19&lt;=LastActual,"Actual","Forecast")</f>
        <v/>
      </c>
      <c r="E19" s="30">
        <f>IF($D19="Actual",R19,W19)</f>
        <v/>
      </c>
      <c r="F19" s="15">
        <f>IF($D19="Actual",S19,Cases_Forecast!AP12)</f>
        <v/>
      </c>
      <c r="G19" s="9">
        <f>IF($D19="Actual",T19,IFERROR(F19/K19,0))</f>
        <v/>
      </c>
      <c r="H19" s="30">
        <f>IF($D19="Actual",U19,G19*L19)</f>
        <v/>
      </c>
      <c r="I19" s="30">
        <f>IF($D19="Actual",V19,J19-H19)</f>
        <v/>
      </c>
      <c r="J19" s="30">
        <f>IF($D19="Actual",U19+V19,IFERROR(H19/(1-AD19),0))</f>
        <v/>
      </c>
      <c r="K19" s="10">
        <f>IF($D19="Actual",IFERROR(S19/T19,0),CPLH_Forecast!AP12)</f>
        <v/>
      </c>
      <c r="L19" s="34">
        <f>IF($D19="Actual",IFERROR(U19/T19,0),N(AE19))</f>
        <v/>
      </c>
      <c r="M19" s="35">
        <f>IFERROR(J19/F19,0)</f>
        <v/>
      </c>
      <c r="N19" s="36">
        <f>IFERROR(J19/E19,0)</f>
        <v/>
      </c>
      <c r="O19" s="36">
        <f>IFERROR(I19/J19,0)</f>
        <v/>
      </c>
      <c r="R19" s="52">
        <f>IF($D19="Actual",SUMIFS(Data_Actuals!$C$2:$C$5000,Data_Actuals!$A$2:$A$5000,$A19,Data_Actuals!$B$2:$B$5000,$B$2),"")</f>
        <v/>
      </c>
      <c r="S19" s="52">
        <f>IF($D19="Actual",SUMIFS(Data_Actuals!$D$2:$D$5000,Data_Actuals!$A$2:$A$5000,$A19,Data_Actuals!$B$2:$B$5000,$B$2),"")</f>
        <v/>
      </c>
      <c r="T19" s="52">
        <f>IF($D19="Actual",SUMIFS(Data_Actuals!$E$2:$E$5000,Data_Actuals!$A$2:$A$5000,$A19,Data_Actuals!$B$2:$B$5000,$B$2),"")</f>
        <v/>
      </c>
      <c r="U19" s="52">
        <f>IF($D19="Actual",SUMIFS(Data_Actuals!$F$2:$F$5000,Data_Actuals!$A$2:$A$5000,$A19,Data_Actuals!$B$2:$B$5000,$B$2),"")</f>
        <v/>
      </c>
      <c r="V19" s="52">
        <f>IF($D19="Actual",SUMIFS(Data_Actuals!$G$2:$G$5000,Data_Actuals!$A$2:$A$5000,$A19,Data_Actuals!$B$2:$B$5000,$B$2),"")</f>
        <v/>
      </c>
      <c r="W19" s="52">
        <f>SUMIFS(Plan_Inputs!$C$2:$C$5000,Plan_Inputs!$A$2:$A$5000,$A19,Plan_Inputs!$B$2:$B$5000,$B$2)</f>
        <v/>
      </c>
      <c r="X19" s="53">
        <f>IF($D19="Actual",IFERROR(S19/T19,""),"")</f>
        <v/>
      </c>
      <c r="Y19" s="52">
        <f>E19</f>
        <v/>
      </c>
      <c r="Z19" s="54">
        <f>INDEX(Calendar!$H$5:$L$52,MATCH($A19,Calendar!$A$5:$A$52,0),MATCH($D$2,Calendar!$H$4:$L$4,0))</f>
        <v/>
      </c>
      <c r="AA19" s="54">
        <f>INDEX(Calendar!$M$5:$M$52,MATCH($A19,Calendar!$A$5:$A$52,0))</f>
        <v/>
      </c>
      <c r="AB19" s="55">
        <f>IF($D19="Actual",IFERROR(S19/Y19,""),"")</f>
        <v/>
      </c>
      <c r="AC19" s="56">
        <f>IF($D19="Actual",IFERROR(U19/T19/Z19/AA19,""),"")</f>
        <v/>
      </c>
      <c r="AD19" s="57">
        <f>IF($D19="Actual",IFERROR(V19/(U19+V19),""),$K$2)</f>
        <v/>
      </c>
      <c r="AE19" s="56">
        <f>IFERROR(AC19*Z19*AA19,"")</f>
        <v/>
      </c>
      <c r="AF19" s="53" t="n"/>
      <c r="AG19" s="57">
        <f>IF($D19="Forecast",IFERROR(K19/AF19-1,""),"")</f>
        <v/>
      </c>
      <c r="AH19" s="53">
        <f>IF(CPLHSource="National breakdown",CPLH_Breakdown!AQ24,SUMIFS(Plan_Inputs!$D$2:$D$5000,Plan_Inputs!$A$2:$A$5000,$A19,Plan_Inputs!$B$2:$B$5000,$B$2))</f>
        <v/>
      </c>
      <c r="AJ19" s="15">
        <f>F19*$AK$11</f>
        <v/>
      </c>
      <c r="AK19" s="9">
        <f>G19*$AK$11</f>
        <v/>
      </c>
      <c r="AL19" s="30">
        <f>H19*$AK$11</f>
        <v/>
      </c>
      <c r="AM19" s="30">
        <f>I19*$AK$11</f>
        <v/>
      </c>
      <c r="AN19" s="30">
        <f>J19*$AK$11</f>
        <v/>
      </c>
      <c r="AP19" s="15">
        <f>F19*$AQ$11</f>
        <v/>
      </c>
      <c r="AQ19" s="9">
        <f>G19*$AQ$11</f>
        <v/>
      </c>
      <c r="AR19" s="30">
        <f>H19*$AQ$11</f>
        <v/>
      </c>
      <c r="AS19" s="30">
        <f>I19*$AQ$11</f>
        <v/>
      </c>
      <c r="AT19" s="30">
        <f>J19*$AQ$11</f>
        <v/>
      </c>
      <c r="AV19" s="15">
        <f>F19*$AW$11</f>
        <v/>
      </c>
      <c r="AW19" s="9">
        <f>G19*$AW$11</f>
        <v/>
      </c>
      <c r="AX19" s="30">
        <f>H19*$AW$11</f>
        <v/>
      </c>
      <c r="AY19" s="30">
        <f>I19*$AW$11</f>
        <v/>
      </c>
      <c r="AZ19" s="30">
        <f>J19*$AW$11</f>
        <v/>
      </c>
    </row>
    <row r="20">
      <c r="A20" s="8" t="n">
        <v>45809</v>
      </c>
      <c r="B20" s="33">
        <f>YEAR(A20)</f>
        <v/>
      </c>
      <c r="C20" s="33">
        <f>MONTH(A20)</f>
        <v/>
      </c>
      <c r="D20">
        <f>IF(A20&lt;=LastActual,"Actual","Forecast")</f>
        <v/>
      </c>
      <c r="E20" s="30">
        <f>IF($D20="Actual",R20,W20)</f>
        <v/>
      </c>
      <c r="F20" s="15">
        <f>IF($D20="Actual",S20,Cases_Forecast!AP13)</f>
        <v/>
      </c>
      <c r="G20" s="9">
        <f>IF($D20="Actual",T20,IFERROR(F20/K20,0))</f>
        <v/>
      </c>
      <c r="H20" s="30">
        <f>IF($D20="Actual",U20,G20*L20)</f>
        <v/>
      </c>
      <c r="I20" s="30">
        <f>IF($D20="Actual",V20,J20-H20)</f>
        <v/>
      </c>
      <c r="J20" s="30">
        <f>IF($D20="Actual",U20+V20,IFERROR(H20/(1-AD20),0))</f>
        <v/>
      </c>
      <c r="K20" s="10">
        <f>IF($D20="Actual",IFERROR(S20/T20,0),CPLH_Forecast!AP13)</f>
        <v/>
      </c>
      <c r="L20" s="34">
        <f>IF($D20="Actual",IFERROR(U20/T20,0),N(AE20))</f>
        <v/>
      </c>
      <c r="M20" s="35">
        <f>IFERROR(J20/F20,0)</f>
        <v/>
      </c>
      <c r="N20" s="36">
        <f>IFERROR(J20/E20,0)</f>
        <v/>
      </c>
      <c r="O20" s="36">
        <f>IFERROR(I20/J20,0)</f>
        <v/>
      </c>
      <c r="R20" s="52">
        <f>IF($D20="Actual",SUMIFS(Data_Actuals!$C$2:$C$5000,Data_Actuals!$A$2:$A$5000,$A20,Data_Actuals!$B$2:$B$5000,$B$2),"")</f>
        <v/>
      </c>
      <c r="S20" s="52">
        <f>IF($D20="Actual",SUMIFS(Data_Actuals!$D$2:$D$5000,Data_Actuals!$A$2:$A$5000,$A20,Data_Actuals!$B$2:$B$5000,$B$2),"")</f>
        <v/>
      </c>
      <c r="T20" s="52">
        <f>IF($D20="Actual",SUMIFS(Data_Actuals!$E$2:$E$5000,Data_Actuals!$A$2:$A$5000,$A20,Data_Actuals!$B$2:$B$5000,$B$2),"")</f>
        <v/>
      </c>
      <c r="U20" s="52">
        <f>IF($D20="Actual",SUMIFS(Data_Actuals!$F$2:$F$5000,Data_Actuals!$A$2:$A$5000,$A20,Data_Actuals!$B$2:$B$5000,$B$2),"")</f>
        <v/>
      </c>
      <c r="V20" s="52">
        <f>IF($D20="Actual",SUMIFS(Data_Actuals!$G$2:$G$5000,Data_Actuals!$A$2:$A$5000,$A20,Data_Actuals!$B$2:$B$5000,$B$2),"")</f>
        <v/>
      </c>
      <c r="W20" s="52">
        <f>SUMIFS(Plan_Inputs!$C$2:$C$5000,Plan_Inputs!$A$2:$A$5000,$A20,Plan_Inputs!$B$2:$B$5000,$B$2)</f>
        <v/>
      </c>
      <c r="X20" s="53">
        <f>IF($D20="Actual",IFERROR(S20/T20,""),"")</f>
        <v/>
      </c>
      <c r="Y20" s="52">
        <f>E20</f>
        <v/>
      </c>
      <c r="Z20" s="54">
        <f>INDEX(Calendar!$H$5:$L$52,MATCH($A20,Calendar!$A$5:$A$52,0),MATCH($D$2,Calendar!$H$4:$L$4,0))</f>
        <v/>
      </c>
      <c r="AA20" s="54">
        <f>INDEX(Calendar!$M$5:$M$52,MATCH($A20,Calendar!$A$5:$A$52,0))</f>
        <v/>
      </c>
      <c r="AB20" s="55">
        <f>IF($D20="Actual",IFERROR(S20/Y20,""),"")</f>
        <v/>
      </c>
      <c r="AC20" s="56">
        <f>IF($D20="Actual",IFERROR(U20/T20/Z20/AA20,""),"")</f>
        <v/>
      </c>
      <c r="AD20" s="57">
        <f>IF($D20="Actual",IFERROR(V20/(U20+V20),""),$K$2)</f>
        <v/>
      </c>
      <c r="AE20" s="56">
        <f>IFERROR(AC20*Z20*AA20,"")</f>
        <v/>
      </c>
      <c r="AF20" s="53" t="n"/>
      <c r="AG20" s="57">
        <f>IF($D20="Forecast",IFERROR(K20/AF20-1,""),"")</f>
        <v/>
      </c>
      <c r="AH20" s="53">
        <f>IF(CPLHSource="National breakdown",CPLH_Breakdown!AQ25,SUMIFS(Plan_Inputs!$D$2:$D$5000,Plan_Inputs!$A$2:$A$5000,$A20,Plan_Inputs!$B$2:$B$5000,$B$2))</f>
        <v/>
      </c>
      <c r="AJ20" s="15">
        <f>F20*$AK$11</f>
        <v/>
      </c>
      <c r="AK20" s="9">
        <f>G20*$AK$11</f>
        <v/>
      </c>
      <c r="AL20" s="30">
        <f>H20*$AK$11</f>
        <v/>
      </c>
      <c r="AM20" s="30">
        <f>I20*$AK$11</f>
        <v/>
      </c>
      <c r="AN20" s="30">
        <f>J20*$AK$11</f>
        <v/>
      </c>
      <c r="AP20" s="15">
        <f>F20*$AQ$11</f>
        <v/>
      </c>
      <c r="AQ20" s="9">
        <f>G20*$AQ$11</f>
        <v/>
      </c>
      <c r="AR20" s="30">
        <f>H20*$AQ$11</f>
        <v/>
      </c>
      <c r="AS20" s="30">
        <f>I20*$AQ$11</f>
        <v/>
      </c>
      <c r="AT20" s="30">
        <f>J20*$AQ$11</f>
        <v/>
      </c>
      <c r="AV20" s="15">
        <f>F20*$AW$11</f>
        <v/>
      </c>
      <c r="AW20" s="9">
        <f>G20*$AW$11</f>
        <v/>
      </c>
      <c r="AX20" s="30">
        <f>H20*$AW$11</f>
        <v/>
      </c>
      <c r="AY20" s="30">
        <f>I20*$AW$11</f>
        <v/>
      </c>
      <c r="AZ20" s="30">
        <f>J20*$AW$11</f>
        <v/>
      </c>
    </row>
    <row r="21">
      <c r="A21" s="8" t="n">
        <v>45839</v>
      </c>
      <c r="B21" s="33">
        <f>YEAR(A21)</f>
        <v/>
      </c>
      <c r="C21" s="33">
        <f>MONTH(A21)</f>
        <v/>
      </c>
      <c r="D21">
        <f>IF(A21&lt;=LastActual,"Actual","Forecast")</f>
        <v/>
      </c>
      <c r="E21" s="30">
        <f>IF($D21="Actual",R21,W21)</f>
        <v/>
      </c>
      <c r="F21" s="15">
        <f>IF($D21="Actual",S21,Cases_Forecast!AP14)</f>
        <v/>
      </c>
      <c r="G21" s="9">
        <f>IF($D21="Actual",T21,IFERROR(F21/K21,0))</f>
        <v/>
      </c>
      <c r="H21" s="30">
        <f>IF($D21="Actual",U21,G21*L21)</f>
        <v/>
      </c>
      <c r="I21" s="30">
        <f>IF($D21="Actual",V21,J21-H21)</f>
        <v/>
      </c>
      <c r="J21" s="30">
        <f>IF($D21="Actual",U21+V21,IFERROR(H21/(1-AD21),0))</f>
        <v/>
      </c>
      <c r="K21" s="10">
        <f>IF($D21="Actual",IFERROR(S21/T21,0),CPLH_Forecast!AP14)</f>
        <v/>
      </c>
      <c r="L21" s="34">
        <f>IF($D21="Actual",IFERROR(U21/T21,0),N(AE21))</f>
        <v/>
      </c>
      <c r="M21" s="35">
        <f>IFERROR(J21/F21,0)</f>
        <v/>
      </c>
      <c r="N21" s="36">
        <f>IFERROR(J21/E21,0)</f>
        <v/>
      </c>
      <c r="O21" s="36">
        <f>IFERROR(I21/J21,0)</f>
        <v/>
      </c>
      <c r="R21" s="52">
        <f>IF($D21="Actual",SUMIFS(Data_Actuals!$C$2:$C$5000,Data_Actuals!$A$2:$A$5000,$A21,Data_Actuals!$B$2:$B$5000,$B$2),"")</f>
        <v/>
      </c>
      <c r="S21" s="52">
        <f>IF($D21="Actual",SUMIFS(Data_Actuals!$D$2:$D$5000,Data_Actuals!$A$2:$A$5000,$A21,Data_Actuals!$B$2:$B$5000,$B$2),"")</f>
        <v/>
      </c>
      <c r="T21" s="52">
        <f>IF($D21="Actual",SUMIFS(Data_Actuals!$E$2:$E$5000,Data_Actuals!$A$2:$A$5000,$A21,Data_Actuals!$B$2:$B$5000,$B$2),"")</f>
        <v/>
      </c>
      <c r="U21" s="52">
        <f>IF($D21="Actual",SUMIFS(Data_Actuals!$F$2:$F$5000,Data_Actuals!$A$2:$A$5000,$A21,Data_Actuals!$B$2:$B$5000,$B$2),"")</f>
        <v/>
      </c>
      <c r="V21" s="52">
        <f>IF($D21="Actual",SUMIFS(Data_Actuals!$G$2:$G$5000,Data_Actuals!$A$2:$A$5000,$A21,Data_Actuals!$B$2:$B$5000,$B$2),"")</f>
        <v/>
      </c>
      <c r="W21" s="52">
        <f>SUMIFS(Plan_Inputs!$C$2:$C$5000,Plan_Inputs!$A$2:$A$5000,$A21,Plan_Inputs!$B$2:$B$5000,$B$2)</f>
        <v/>
      </c>
      <c r="X21" s="53">
        <f>IF($D21="Actual",IFERROR(S21/T21,""),"")</f>
        <v/>
      </c>
      <c r="Y21" s="52">
        <f>E21</f>
        <v/>
      </c>
      <c r="Z21" s="54">
        <f>INDEX(Calendar!$H$5:$L$52,MATCH($A21,Calendar!$A$5:$A$52,0),MATCH($D$2,Calendar!$H$4:$L$4,0))</f>
        <v/>
      </c>
      <c r="AA21" s="54">
        <f>INDEX(Calendar!$M$5:$M$52,MATCH($A21,Calendar!$A$5:$A$52,0))</f>
        <v/>
      </c>
      <c r="AB21" s="55">
        <f>IF($D21="Actual",IFERROR(S21/Y21,""),"")</f>
        <v/>
      </c>
      <c r="AC21" s="56">
        <f>IF($D21="Actual",IFERROR(U21/T21/Z21/AA21,""),"")</f>
        <v/>
      </c>
      <c r="AD21" s="57">
        <f>IF($D21="Actual",IFERROR(V21/(U21+V21),""),$K$2)</f>
        <v/>
      </c>
      <c r="AE21" s="56">
        <f>IFERROR(AC21*Z21*AA21,"")</f>
        <v/>
      </c>
      <c r="AF21" s="53" t="n"/>
      <c r="AG21" s="57">
        <f>IF($D21="Forecast",IFERROR(K21/AF21-1,""),"")</f>
        <v/>
      </c>
      <c r="AH21" s="53">
        <f>IF(CPLHSource="National breakdown",CPLH_Breakdown!AQ26,SUMIFS(Plan_Inputs!$D$2:$D$5000,Plan_Inputs!$A$2:$A$5000,$A21,Plan_Inputs!$B$2:$B$5000,$B$2))</f>
        <v/>
      </c>
      <c r="AJ21" s="15">
        <f>F21*$AK$11</f>
        <v/>
      </c>
      <c r="AK21" s="9">
        <f>G21*$AK$11</f>
        <v/>
      </c>
      <c r="AL21" s="30">
        <f>H21*$AK$11</f>
        <v/>
      </c>
      <c r="AM21" s="30">
        <f>I21*$AK$11</f>
        <v/>
      </c>
      <c r="AN21" s="30">
        <f>J21*$AK$11</f>
        <v/>
      </c>
      <c r="AP21" s="15">
        <f>F21*$AQ$11</f>
        <v/>
      </c>
      <c r="AQ21" s="9">
        <f>G21*$AQ$11</f>
        <v/>
      </c>
      <c r="AR21" s="30">
        <f>H21*$AQ$11</f>
        <v/>
      </c>
      <c r="AS21" s="30">
        <f>I21*$AQ$11</f>
        <v/>
      </c>
      <c r="AT21" s="30">
        <f>J21*$AQ$11</f>
        <v/>
      </c>
      <c r="AV21" s="15">
        <f>F21*$AW$11</f>
        <v/>
      </c>
      <c r="AW21" s="9">
        <f>G21*$AW$11</f>
        <v/>
      </c>
      <c r="AX21" s="30">
        <f>H21*$AW$11</f>
        <v/>
      </c>
      <c r="AY21" s="30">
        <f>I21*$AW$11</f>
        <v/>
      </c>
      <c r="AZ21" s="30">
        <f>J21*$AW$11</f>
        <v/>
      </c>
    </row>
    <row r="22">
      <c r="A22" s="8" t="n">
        <v>45870</v>
      </c>
      <c r="B22" s="33">
        <f>YEAR(A22)</f>
        <v/>
      </c>
      <c r="C22" s="33">
        <f>MONTH(A22)</f>
        <v/>
      </c>
      <c r="D22">
        <f>IF(A22&lt;=LastActual,"Actual","Forecast")</f>
        <v/>
      </c>
      <c r="E22" s="30">
        <f>IF($D22="Actual",R22,W22)</f>
        <v/>
      </c>
      <c r="F22" s="15">
        <f>IF($D22="Actual",S22,Cases_Forecast!AP15)</f>
        <v/>
      </c>
      <c r="G22" s="9">
        <f>IF($D22="Actual",T22,IFERROR(F22/K22,0))</f>
        <v/>
      </c>
      <c r="H22" s="30">
        <f>IF($D22="Actual",U22,G22*L22)</f>
        <v/>
      </c>
      <c r="I22" s="30">
        <f>IF($D22="Actual",V22,J22-H22)</f>
        <v/>
      </c>
      <c r="J22" s="30">
        <f>IF($D22="Actual",U22+V22,IFERROR(H22/(1-AD22),0))</f>
        <v/>
      </c>
      <c r="K22" s="10">
        <f>IF($D22="Actual",IFERROR(S22/T22,0),CPLH_Forecast!AP15)</f>
        <v/>
      </c>
      <c r="L22" s="34">
        <f>IF($D22="Actual",IFERROR(U22/T22,0),N(AE22))</f>
        <v/>
      </c>
      <c r="M22" s="35">
        <f>IFERROR(J22/F22,0)</f>
        <v/>
      </c>
      <c r="N22" s="36">
        <f>IFERROR(J22/E22,0)</f>
        <v/>
      </c>
      <c r="O22" s="36">
        <f>IFERROR(I22/J22,0)</f>
        <v/>
      </c>
      <c r="R22" s="52">
        <f>IF($D22="Actual",SUMIFS(Data_Actuals!$C$2:$C$5000,Data_Actuals!$A$2:$A$5000,$A22,Data_Actuals!$B$2:$B$5000,$B$2),"")</f>
        <v/>
      </c>
      <c r="S22" s="52">
        <f>IF($D22="Actual",SUMIFS(Data_Actuals!$D$2:$D$5000,Data_Actuals!$A$2:$A$5000,$A22,Data_Actuals!$B$2:$B$5000,$B$2),"")</f>
        <v/>
      </c>
      <c r="T22" s="52">
        <f>IF($D22="Actual",SUMIFS(Data_Actuals!$E$2:$E$5000,Data_Actuals!$A$2:$A$5000,$A22,Data_Actuals!$B$2:$B$5000,$B$2),"")</f>
        <v/>
      </c>
      <c r="U22" s="52">
        <f>IF($D22="Actual",SUMIFS(Data_Actuals!$F$2:$F$5000,Data_Actuals!$A$2:$A$5000,$A22,Data_Actuals!$B$2:$B$5000,$B$2),"")</f>
        <v/>
      </c>
      <c r="V22" s="52">
        <f>IF($D22="Actual",SUMIFS(Data_Actuals!$G$2:$G$5000,Data_Actuals!$A$2:$A$5000,$A22,Data_Actuals!$B$2:$B$5000,$B$2),"")</f>
        <v/>
      </c>
      <c r="W22" s="52">
        <f>SUMIFS(Plan_Inputs!$C$2:$C$5000,Plan_Inputs!$A$2:$A$5000,$A22,Plan_Inputs!$B$2:$B$5000,$B$2)</f>
        <v/>
      </c>
      <c r="X22" s="53">
        <f>IF($D22="Actual",IFERROR(S22/T22,""),"")</f>
        <v/>
      </c>
      <c r="Y22" s="52">
        <f>E22</f>
        <v/>
      </c>
      <c r="Z22" s="54">
        <f>INDEX(Calendar!$H$5:$L$52,MATCH($A22,Calendar!$A$5:$A$52,0),MATCH($D$2,Calendar!$H$4:$L$4,0))</f>
        <v/>
      </c>
      <c r="AA22" s="54">
        <f>INDEX(Calendar!$M$5:$M$52,MATCH($A22,Calendar!$A$5:$A$52,0))</f>
        <v/>
      </c>
      <c r="AB22" s="55">
        <f>IF($D22="Actual",IFERROR(S22/Y22,""),"")</f>
        <v/>
      </c>
      <c r="AC22" s="56">
        <f>IF($D22="Actual",IFERROR(U22/T22/Z22/AA22,""),"")</f>
        <v/>
      </c>
      <c r="AD22" s="57">
        <f>IF($D22="Actual",IFERROR(V22/(U22+V22),""),$K$2)</f>
        <v/>
      </c>
      <c r="AE22" s="56">
        <f>IFERROR(AC22*Z22*AA22,"")</f>
        <v/>
      </c>
      <c r="AF22" s="53" t="n"/>
      <c r="AG22" s="57">
        <f>IF($D22="Forecast",IFERROR(K22/AF22-1,""),"")</f>
        <v/>
      </c>
      <c r="AH22" s="53">
        <f>IF(CPLHSource="National breakdown",CPLH_Breakdown!AQ27,SUMIFS(Plan_Inputs!$D$2:$D$5000,Plan_Inputs!$A$2:$A$5000,$A22,Plan_Inputs!$B$2:$B$5000,$B$2))</f>
        <v/>
      </c>
      <c r="AJ22" s="15">
        <f>F22*$AK$11</f>
        <v/>
      </c>
      <c r="AK22" s="9">
        <f>G22*$AK$11</f>
        <v/>
      </c>
      <c r="AL22" s="30">
        <f>H22*$AK$11</f>
        <v/>
      </c>
      <c r="AM22" s="30">
        <f>I22*$AK$11</f>
        <v/>
      </c>
      <c r="AN22" s="30">
        <f>J22*$AK$11</f>
        <v/>
      </c>
      <c r="AP22" s="15">
        <f>F22*$AQ$11</f>
        <v/>
      </c>
      <c r="AQ22" s="9">
        <f>G22*$AQ$11</f>
        <v/>
      </c>
      <c r="AR22" s="30">
        <f>H22*$AQ$11</f>
        <v/>
      </c>
      <c r="AS22" s="30">
        <f>I22*$AQ$11</f>
        <v/>
      </c>
      <c r="AT22" s="30">
        <f>J22*$AQ$11</f>
        <v/>
      </c>
      <c r="AV22" s="15">
        <f>F22*$AW$11</f>
        <v/>
      </c>
      <c r="AW22" s="9">
        <f>G22*$AW$11</f>
        <v/>
      </c>
      <c r="AX22" s="30">
        <f>H22*$AW$11</f>
        <v/>
      </c>
      <c r="AY22" s="30">
        <f>I22*$AW$11</f>
        <v/>
      </c>
      <c r="AZ22" s="30">
        <f>J22*$AW$11</f>
        <v/>
      </c>
    </row>
    <row r="23">
      <c r="A23" s="8" t="n">
        <v>45901</v>
      </c>
      <c r="B23" s="33">
        <f>YEAR(A23)</f>
        <v/>
      </c>
      <c r="C23" s="33">
        <f>MONTH(A23)</f>
        <v/>
      </c>
      <c r="D23">
        <f>IF(A23&lt;=LastActual,"Actual","Forecast")</f>
        <v/>
      </c>
      <c r="E23" s="30">
        <f>IF($D23="Actual",R23,W23)</f>
        <v/>
      </c>
      <c r="F23" s="15">
        <f>IF($D23="Actual",S23,Cases_Forecast!AP16)</f>
        <v/>
      </c>
      <c r="G23" s="9">
        <f>IF($D23="Actual",T23,IFERROR(F23/K23,0))</f>
        <v/>
      </c>
      <c r="H23" s="30">
        <f>IF($D23="Actual",U23,G23*L23)</f>
        <v/>
      </c>
      <c r="I23" s="30">
        <f>IF($D23="Actual",V23,J23-H23)</f>
        <v/>
      </c>
      <c r="J23" s="30">
        <f>IF($D23="Actual",U23+V23,IFERROR(H23/(1-AD23),0))</f>
        <v/>
      </c>
      <c r="K23" s="10">
        <f>IF($D23="Actual",IFERROR(S23/T23,0),CPLH_Forecast!AP16)</f>
        <v/>
      </c>
      <c r="L23" s="34">
        <f>IF($D23="Actual",IFERROR(U23/T23,0),N(AE23))</f>
        <v/>
      </c>
      <c r="M23" s="35">
        <f>IFERROR(J23/F23,0)</f>
        <v/>
      </c>
      <c r="N23" s="36">
        <f>IFERROR(J23/E23,0)</f>
        <v/>
      </c>
      <c r="O23" s="36">
        <f>IFERROR(I23/J23,0)</f>
        <v/>
      </c>
      <c r="R23" s="52">
        <f>IF($D23="Actual",SUMIFS(Data_Actuals!$C$2:$C$5000,Data_Actuals!$A$2:$A$5000,$A23,Data_Actuals!$B$2:$B$5000,$B$2),"")</f>
        <v/>
      </c>
      <c r="S23" s="52">
        <f>IF($D23="Actual",SUMIFS(Data_Actuals!$D$2:$D$5000,Data_Actuals!$A$2:$A$5000,$A23,Data_Actuals!$B$2:$B$5000,$B$2),"")</f>
        <v/>
      </c>
      <c r="T23" s="52">
        <f>IF($D23="Actual",SUMIFS(Data_Actuals!$E$2:$E$5000,Data_Actuals!$A$2:$A$5000,$A23,Data_Actuals!$B$2:$B$5000,$B$2),"")</f>
        <v/>
      </c>
      <c r="U23" s="52">
        <f>IF($D23="Actual",SUMIFS(Data_Actuals!$F$2:$F$5000,Data_Actuals!$A$2:$A$5000,$A23,Data_Actuals!$B$2:$B$5000,$B$2),"")</f>
        <v/>
      </c>
      <c r="V23" s="52">
        <f>IF($D23="Actual",SUMIFS(Data_Actuals!$G$2:$G$5000,Data_Actuals!$A$2:$A$5000,$A23,Data_Actuals!$B$2:$B$5000,$B$2),"")</f>
        <v/>
      </c>
      <c r="W23" s="52">
        <f>SUMIFS(Plan_Inputs!$C$2:$C$5000,Plan_Inputs!$A$2:$A$5000,$A23,Plan_Inputs!$B$2:$B$5000,$B$2)</f>
        <v/>
      </c>
      <c r="X23" s="53">
        <f>IF($D23="Actual",IFERROR(S23/T23,""),"")</f>
        <v/>
      </c>
      <c r="Y23" s="52">
        <f>E23</f>
        <v/>
      </c>
      <c r="Z23" s="54">
        <f>INDEX(Calendar!$H$5:$L$52,MATCH($A23,Calendar!$A$5:$A$52,0),MATCH($D$2,Calendar!$H$4:$L$4,0))</f>
        <v/>
      </c>
      <c r="AA23" s="54">
        <f>INDEX(Calendar!$M$5:$M$52,MATCH($A23,Calendar!$A$5:$A$52,0))</f>
        <v/>
      </c>
      <c r="AB23" s="55">
        <f>IF($D23="Actual",IFERROR(S23/Y23,""),"")</f>
        <v/>
      </c>
      <c r="AC23" s="56">
        <f>IF($D23="Actual",IFERROR(U23/T23/Z23/AA23,""),"")</f>
        <v/>
      </c>
      <c r="AD23" s="57">
        <f>IF($D23="Actual",IFERROR(V23/(U23+V23),""),$K$2)</f>
        <v/>
      </c>
      <c r="AE23" s="56">
        <f>IFERROR(AC23*Z23*AA23,"")</f>
        <v/>
      </c>
      <c r="AF23" s="53" t="n"/>
      <c r="AG23" s="57">
        <f>IF($D23="Forecast",IFERROR(K23/AF23-1,""),"")</f>
        <v/>
      </c>
      <c r="AH23" s="53">
        <f>IF(CPLHSource="National breakdown",CPLH_Breakdown!AQ28,SUMIFS(Plan_Inputs!$D$2:$D$5000,Plan_Inputs!$A$2:$A$5000,$A23,Plan_Inputs!$B$2:$B$5000,$B$2))</f>
        <v/>
      </c>
      <c r="AJ23" s="15">
        <f>F23*$AK$11</f>
        <v/>
      </c>
      <c r="AK23" s="9">
        <f>G23*$AK$11</f>
        <v/>
      </c>
      <c r="AL23" s="30">
        <f>H23*$AK$11</f>
        <v/>
      </c>
      <c r="AM23" s="30">
        <f>I23*$AK$11</f>
        <v/>
      </c>
      <c r="AN23" s="30">
        <f>J23*$AK$11</f>
        <v/>
      </c>
      <c r="AP23" s="15">
        <f>F23*$AQ$11</f>
        <v/>
      </c>
      <c r="AQ23" s="9">
        <f>G23*$AQ$11</f>
        <v/>
      </c>
      <c r="AR23" s="30">
        <f>H23*$AQ$11</f>
        <v/>
      </c>
      <c r="AS23" s="30">
        <f>I23*$AQ$11</f>
        <v/>
      </c>
      <c r="AT23" s="30">
        <f>J23*$AQ$11</f>
        <v/>
      </c>
      <c r="AV23" s="15">
        <f>F23*$AW$11</f>
        <v/>
      </c>
      <c r="AW23" s="9">
        <f>G23*$AW$11</f>
        <v/>
      </c>
      <c r="AX23" s="30">
        <f>H23*$AW$11</f>
        <v/>
      </c>
      <c r="AY23" s="30">
        <f>I23*$AW$11</f>
        <v/>
      </c>
      <c r="AZ23" s="30">
        <f>J23*$AW$11</f>
        <v/>
      </c>
    </row>
    <row r="24">
      <c r="A24" s="8" t="n">
        <v>45931</v>
      </c>
      <c r="B24" s="33">
        <f>YEAR(A24)</f>
        <v/>
      </c>
      <c r="C24" s="33">
        <f>MONTH(A24)</f>
        <v/>
      </c>
      <c r="D24">
        <f>IF(A24&lt;=LastActual,"Actual","Forecast")</f>
        <v/>
      </c>
      <c r="E24" s="30">
        <f>IF($D24="Actual",R24,W24)</f>
        <v/>
      </c>
      <c r="F24" s="15">
        <f>IF($D24="Actual",S24,Cases_Forecast!AP17)</f>
        <v/>
      </c>
      <c r="G24" s="9">
        <f>IF($D24="Actual",T24,IFERROR(F24/K24,0))</f>
        <v/>
      </c>
      <c r="H24" s="30">
        <f>IF($D24="Actual",U24,G24*L24)</f>
        <v/>
      </c>
      <c r="I24" s="30">
        <f>IF($D24="Actual",V24,J24-H24)</f>
        <v/>
      </c>
      <c r="J24" s="30">
        <f>IF($D24="Actual",U24+V24,IFERROR(H24/(1-AD24),0))</f>
        <v/>
      </c>
      <c r="K24" s="10">
        <f>IF($D24="Actual",IFERROR(S24/T24,0),CPLH_Forecast!AP17)</f>
        <v/>
      </c>
      <c r="L24" s="34">
        <f>IF($D24="Actual",IFERROR(U24/T24,0),N(AE24))</f>
        <v/>
      </c>
      <c r="M24" s="35">
        <f>IFERROR(J24/F24,0)</f>
        <v/>
      </c>
      <c r="N24" s="36">
        <f>IFERROR(J24/E24,0)</f>
        <v/>
      </c>
      <c r="O24" s="36">
        <f>IFERROR(I24/J24,0)</f>
        <v/>
      </c>
      <c r="R24" s="52">
        <f>IF($D24="Actual",SUMIFS(Data_Actuals!$C$2:$C$5000,Data_Actuals!$A$2:$A$5000,$A24,Data_Actuals!$B$2:$B$5000,$B$2),"")</f>
        <v/>
      </c>
      <c r="S24" s="52">
        <f>IF($D24="Actual",SUMIFS(Data_Actuals!$D$2:$D$5000,Data_Actuals!$A$2:$A$5000,$A24,Data_Actuals!$B$2:$B$5000,$B$2),"")</f>
        <v/>
      </c>
      <c r="T24" s="52">
        <f>IF($D24="Actual",SUMIFS(Data_Actuals!$E$2:$E$5000,Data_Actuals!$A$2:$A$5000,$A24,Data_Actuals!$B$2:$B$5000,$B$2),"")</f>
        <v/>
      </c>
      <c r="U24" s="52">
        <f>IF($D24="Actual",SUMIFS(Data_Actuals!$F$2:$F$5000,Data_Actuals!$A$2:$A$5000,$A24,Data_Actuals!$B$2:$B$5000,$B$2),"")</f>
        <v/>
      </c>
      <c r="V24" s="52">
        <f>IF($D24="Actual",SUMIFS(Data_Actuals!$G$2:$G$5000,Data_Actuals!$A$2:$A$5000,$A24,Data_Actuals!$B$2:$B$5000,$B$2),"")</f>
        <v/>
      </c>
      <c r="W24" s="52">
        <f>SUMIFS(Plan_Inputs!$C$2:$C$5000,Plan_Inputs!$A$2:$A$5000,$A24,Plan_Inputs!$B$2:$B$5000,$B$2)</f>
        <v/>
      </c>
      <c r="X24" s="53">
        <f>IF($D24="Actual",IFERROR(S24/T24,""),"")</f>
        <v/>
      </c>
      <c r="Y24" s="52">
        <f>E24</f>
        <v/>
      </c>
      <c r="Z24" s="54">
        <f>INDEX(Calendar!$H$5:$L$52,MATCH($A24,Calendar!$A$5:$A$52,0),MATCH($D$2,Calendar!$H$4:$L$4,0))</f>
        <v/>
      </c>
      <c r="AA24" s="54">
        <f>INDEX(Calendar!$M$5:$M$52,MATCH($A24,Calendar!$A$5:$A$52,0))</f>
        <v/>
      </c>
      <c r="AB24" s="55">
        <f>IF($D24="Actual",IFERROR(S24/Y24,""),"")</f>
        <v/>
      </c>
      <c r="AC24" s="56">
        <f>IF($D24="Actual",IFERROR(U24/T24/Z24/AA24,""),"")</f>
        <v/>
      </c>
      <c r="AD24" s="57">
        <f>IF($D24="Actual",IFERROR(V24/(U24+V24),""),$K$2)</f>
        <v/>
      </c>
      <c r="AE24" s="56">
        <f>IFERROR(AC24*Z24*AA24,"")</f>
        <v/>
      </c>
      <c r="AF24" s="53" t="n"/>
      <c r="AG24" s="57">
        <f>IF($D24="Forecast",IFERROR(K24/AF24-1,""),"")</f>
        <v/>
      </c>
      <c r="AH24" s="53">
        <f>IF(CPLHSource="National breakdown",CPLH_Breakdown!AQ29,SUMIFS(Plan_Inputs!$D$2:$D$5000,Plan_Inputs!$A$2:$A$5000,$A24,Plan_Inputs!$B$2:$B$5000,$B$2))</f>
        <v/>
      </c>
      <c r="AJ24" s="15">
        <f>F24*$AK$11</f>
        <v/>
      </c>
      <c r="AK24" s="9">
        <f>G24*$AK$11</f>
        <v/>
      </c>
      <c r="AL24" s="30">
        <f>H24*$AK$11</f>
        <v/>
      </c>
      <c r="AM24" s="30">
        <f>I24*$AK$11</f>
        <v/>
      </c>
      <c r="AN24" s="30">
        <f>J24*$AK$11</f>
        <v/>
      </c>
      <c r="AP24" s="15">
        <f>F24*$AQ$11</f>
        <v/>
      </c>
      <c r="AQ24" s="9">
        <f>G24*$AQ$11</f>
        <v/>
      </c>
      <c r="AR24" s="30">
        <f>H24*$AQ$11</f>
        <v/>
      </c>
      <c r="AS24" s="30">
        <f>I24*$AQ$11</f>
        <v/>
      </c>
      <c r="AT24" s="30">
        <f>J24*$AQ$11</f>
        <v/>
      </c>
      <c r="AV24" s="15">
        <f>F24*$AW$11</f>
        <v/>
      </c>
      <c r="AW24" s="9">
        <f>G24*$AW$11</f>
        <v/>
      </c>
      <c r="AX24" s="30">
        <f>H24*$AW$11</f>
        <v/>
      </c>
      <c r="AY24" s="30">
        <f>I24*$AW$11</f>
        <v/>
      </c>
      <c r="AZ24" s="30">
        <f>J24*$AW$11</f>
        <v/>
      </c>
    </row>
    <row r="25">
      <c r="A25" s="8" t="n">
        <v>45962</v>
      </c>
      <c r="B25" s="33">
        <f>YEAR(A25)</f>
        <v/>
      </c>
      <c r="C25" s="33">
        <f>MONTH(A25)</f>
        <v/>
      </c>
      <c r="D25">
        <f>IF(A25&lt;=LastActual,"Actual","Forecast")</f>
        <v/>
      </c>
      <c r="E25" s="30">
        <f>IF($D25="Actual",R25,W25)</f>
        <v/>
      </c>
      <c r="F25" s="15">
        <f>IF($D25="Actual",S25,Cases_Forecast!AP18)</f>
        <v/>
      </c>
      <c r="G25" s="9">
        <f>IF($D25="Actual",T25,IFERROR(F25/K25,0))</f>
        <v/>
      </c>
      <c r="H25" s="30">
        <f>IF($D25="Actual",U25,G25*L25)</f>
        <v/>
      </c>
      <c r="I25" s="30">
        <f>IF($D25="Actual",V25,J25-H25)</f>
        <v/>
      </c>
      <c r="J25" s="30">
        <f>IF($D25="Actual",U25+V25,IFERROR(H25/(1-AD25),0))</f>
        <v/>
      </c>
      <c r="K25" s="10">
        <f>IF($D25="Actual",IFERROR(S25/T25,0),CPLH_Forecast!AP18)</f>
        <v/>
      </c>
      <c r="L25" s="34">
        <f>IF($D25="Actual",IFERROR(U25/T25,0),N(AE25))</f>
        <v/>
      </c>
      <c r="M25" s="35">
        <f>IFERROR(J25/F25,0)</f>
        <v/>
      </c>
      <c r="N25" s="36">
        <f>IFERROR(J25/E25,0)</f>
        <v/>
      </c>
      <c r="O25" s="36">
        <f>IFERROR(I25/J25,0)</f>
        <v/>
      </c>
      <c r="R25" s="52">
        <f>IF($D25="Actual",SUMIFS(Data_Actuals!$C$2:$C$5000,Data_Actuals!$A$2:$A$5000,$A25,Data_Actuals!$B$2:$B$5000,$B$2),"")</f>
        <v/>
      </c>
      <c r="S25" s="52">
        <f>IF($D25="Actual",SUMIFS(Data_Actuals!$D$2:$D$5000,Data_Actuals!$A$2:$A$5000,$A25,Data_Actuals!$B$2:$B$5000,$B$2),"")</f>
        <v/>
      </c>
      <c r="T25" s="52">
        <f>IF($D25="Actual",SUMIFS(Data_Actuals!$E$2:$E$5000,Data_Actuals!$A$2:$A$5000,$A25,Data_Actuals!$B$2:$B$5000,$B$2),"")</f>
        <v/>
      </c>
      <c r="U25" s="52">
        <f>IF($D25="Actual",SUMIFS(Data_Actuals!$F$2:$F$5000,Data_Actuals!$A$2:$A$5000,$A25,Data_Actuals!$B$2:$B$5000,$B$2),"")</f>
        <v/>
      </c>
      <c r="V25" s="52">
        <f>IF($D25="Actual",SUMIFS(Data_Actuals!$G$2:$G$5000,Data_Actuals!$A$2:$A$5000,$A25,Data_Actuals!$B$2:$B$5000,$B$2),"")</f>
        <v/>
      </c>
      <c r="W25" s="52">
        <f>SUMIFS(Plan_Inputs!$C$2:$C$5000,Plan_Inputs!$A$2:$A$5000,$A25,Plan_Inputs!$B$2:$B$5000,$B$2)</f>
        <v/>
      </c>
      <c r="X25" s="53">
        <f>IF($D25="Actual",IFERROR(S25/T25,""),"")</f>
        <v/>
      </c>
      <c r="Y25" s="52">
        <f>E25</f>
        <v/>
      </c>
      <c r="Z25" s="54">
        <f>INDEX(Calendar!$H$5:$L$52,MATCH($A25,Calendar!$A$5:$A$52,0),MATCH($D$2,Calendar!$H$4:$L$4,0))</f>
        <v/>
      </c>
      <c r="AA25" s="54">
        <f>INDEX(Calendar!$M$5:$M$52,MATCH($A25,Calendar!$A$5:$A$52,0))</f>
        <v/>
      </c>
      <c r="AB25" s="55">
        <f>IF($D25="Actual",IFERROR(S25/Y25,""),"")</f>
        <v/>
      </c>
      <c r="AC25" s="56">
        <f>IF($D25="Actual",IFERROR(U25/T25/Z25/AA25,""),"")</f>
        <v/>
      </c>
      <c r="AD25" s="57">
        <f>IF($D25="Actual",IFERROR(V25/(U25+V25),""),$K$2)</f>
        <v/>
      </c>
      <c r="AE25" s="56">
        <f>IFERROR(AC25*Z25*AA25,"")</f>
        <v/>
      </c>
      <c r="AF25" s="53" t="n"/>
      <c r="AG25" s="57">
        <f>IF($D25="Forecast",IFERROR(K25/AF25-1,""),"")</f>
        <v/>
      </c>
      <c r="AH25" s="53">
        <f>IF(CPLHSource="National breakdown",CPLH_Breakdown!AQ30,SUMIFS(Plan_Inputs!$D$2:$D$5000,Plan_Inputs!$A$2:$A$5000,$A25,Plan_Inputs!$B$2:$B$5000,$B$2))</f>
        <v/>
      </c>
      <c r="AJ25" s="15">
        <f>F25*$AK$11</f>
        <v/>
      </c>
      <c r="AK25" s="9">
        <f>G25*$AK$11</f>
        <v/>
      </c>
      <c r="AL25" s="30">
        <f>H25*$AK$11</f>
        <v/>
      </c>
      <c r="AM25" s="30">
        <f>I25*$AK$11</f>
        <v/>
      </c>
      <c r="AN25" s="30">
        <f>J25*$AK$11</f>
        <v/>
      </c>
      <c r="AP25" s="15">
        <f>F25*$AQ$11</f>
        <v/>
      </c>
      <c r="AQ25" s="9">
        <f>G25*$AQ$11</f>
        <v/>
      </c>
      <c r="AR25" s="30">
        <f>H25*$AQ$11</f>
        <v/>
      </c>
      <c r="AS25" s="30">
        <f>I25*$AQ$11</f>
        <v/>
      </c>
      <c r="AT25" s="30">
        <f>J25*$AQ$11</f>
        <v/>
      </c>
      <c r="AV25" s="15">
        <f>F25*$AW$11</f>
        <v/>
      </c>
      <c r="AW25" s="9">
        <f>G25*$AW$11</f>
        <v/>
      </c>
      <c r="AX25" s="30">
        <f>H25*$AW$11</f>
        <v/>
      </c>
      <c r="AY25" s="30">
        <f>I25*$AW$11</f>
        <v/>
      </c>
      <c r="AZ25" s="30">
        <f>J25*$AW$11</f>
        <v/>
      </c>
    </row>
    <row r="26">
      <c r="A26" s="37" t="n">
        <v>45992</v>
      </c>
      <c r="B26" s="38">
        <f>YEAR(A26)</f>
        <v/>
      </c>
      <c r="C26" s="38">
        <f>MONTH(A26)</f>
        <v/>
      </c>
      <c r="D26" s="39">
        <f>IF(A26&lt;=LastActual,"Actual","Forecast")</f>
        <v/>
      </c>
      <c r="E26" s="40">
        <f>IF($D26="Actual",R26,W26)</f>
        <v/>
      </c>
      <c r="F26" s="41">
        <f>IF($D26="Actual",S26,Cases_Forecast!AP19)</f>
        <v/>
      </c>
      <c r="G26" s="42">
        <f>IF($D26="Actual",T26,IFERROR(F26/K26,0))</f>
        <v/>
      </c>
      <c r="H26" s="40">
        <f>IF($D26="Actual",U26,G26*L26)</f>
        <v/>
      </c>
      <c r="I26" s="40">
        <f>IF($D26="Actual",V26,J26-H26)</f>
        <v/>
      </c>
      <c r="J26" s="40">
        <f>IF($D26="Actual",U26+V26,IFERROR(H26/(1-AD26),0))</f>
        <v/>
      </c>
      <c r="K26" s="43">
        <f>IF($D26="Actual",IFERROR(S26/T26,0),CPLH_Forecast!AP19)</f>
        <v/>
      </c>
      <c r="L26" s="44">
        <f>IF($D26="Actual",IFERROR(U26/T26,0),N(AE26))</f>
        <v/>
      </c>
      <c r="M26" s="45">
        <f>IFERROR(J26/F26,0)</f>
        <v/>
      </c>
      <c r="N26" s="46">
        <f>IFERROR(J26/E26,0)</f>
        <v/>
      </c>
      <c r="O26" s="46">
        <f>IFERROR(I26/J26,0)</f>
        <v/>
      </c>
      <c r="R26" s="52">
        <f>IF($D26="Actual",SUMIFS(Data_Actuals!$C$2:$C$5000,Data_Actuals!$A$2:$A$5000,$A26,Data_Actuals!$B$2:$B$5000,$B$2),"")</f>
        <v/>
      </c>
      <c r="S26" s="52">
        <f>IF($D26="Actual",SUMIFS(Data_Actuals!$D$2:$D$5000,Data_Actuals!$A$2:$A$5000,$A26,Data_Actuals!$B$2:$B$5000,$B$2),"")</f>
        <v/>
      </c>
      <c r="T26" s="52">
        <f>IF($D26="Actual",SUMIFS(Data_Actuals!$E$2:$E$5000,Data_Actuals!$A$2:$A$5000,$A26,Data_Actuals!$B$2:$B$5000,$B$2),"")</f>
        <v/>
      </c>
      <c r="U26" s="52">
        <f>IF($D26="Actual",SUMIFS(Data_Actuals!$F$2:$F$5000,Data_Actuals!$A$2:$A$5000,$A26,Data_Actuals!$B$2:$B$5000,$B$2),"")</f>
        <v/>
      </c>
      <c r="V26" s="52">
        <f>IF($D26="Actual",SUMIFS(Data_Actuals!$G$2:$G$5000,Data_Actuals!$A$2:$A$5000,$A26,Data_Actuals!$B$2:$B$5000,$B$2),"")</f>
        <v/>
      </c>
      <c r="W26" s="52">
        <f>SUMIFS(Plan_Inputs!$C$2:$C$5000,Plan_Inputs!$A$2:$A$5000,$A26,Plan_Inputs!$B$2:$B$5000,$B$2)</f>
        <v/>
      </c>
      <c r="X26" s="53">
        <f>IF($D26="Actual",IFERROR(S26/T26,""),"")</f>
        <v/>
      </c>
      <c r="Y26" s="52">
        <f>E26</f>
        <v/>
      </c>
      <c r="Z26" s="54">
        <f>INDEX(Calendar!$H$5:$L$52,MATCH($A26,Calendar!$A$5:$A$52,0),MATCH($D$2,Calendar!$H$4:$L$4,0))</f>
        <v/>
      </c>
      <c r="AA26" s="54">
        <f>INDEX(Calendar!$M$5:$M$52,MATCH($A26,Calendar!$A$5:$A$52,0))</f>
        <v/>
      </c>
      <c r="AB26" s="55">
        <f>IF($D26="Actual",IFERROR(S26/Y26,""),"")</f>
        <v/>
      </c>
      <c r="AC26" s="56">
        <f>IF($D26="Actual",IFERROR(U26/T26/Z26/AA26,""),"")</f>
        <v/>
      </c>
      <c r="AD26" s="57">
        <f>IF($D26="Actual",IFERROR(V26/(U26+V26),""),$K$2)</f>
        <v/>
      </c>
      <c r="AE26" s="56">
        <f>IFERROR(AC26*Z26*AA26,"")</f>
        <v/>
      </c>
      <c r="AF26" s="53" t="n"/>
      <c r="AG26" s="57">
        <f>IF($D26="Forecast",IFERROR(K26/AF26-1,""),"")</f>
        <v/>
      </c>
      <c r="AH26" s="53">
        <f>IF(CPLHSource="National breakdown",CPLH_Breakdown!AQ31,SUMIFS(Plan_Inputs!$D$2:$D$5000,Plan_Inputs!$A$2:$A$5000,$A26,Plan_Inputs!$B$2:$B$5000,$B$2))</f>
        <v/>
      </c>
      <c r="AJ26" s="41">
        <f>F26*$AK$11</f>
        <v/>
      </c>
      <c r="AK26" s="42">
        <f>G26*$AK$11</f>
        <v/>
      </c>
      <c r="AL26" s="40">
        <f>H26*$AK$11</f>
        <v/>
      </c>
      <c r="AM26" s="40">
        <f>I26*$AK$11</f>
        <v/>
      </c>
      <c r="AN26" s="40">
        <f>J26*$AK$11</f>
        <v/>
      </c>
      <c r="AP26" s="41">
        <f>F26*$AQ$11</f>
        <v/>
      </c>
      <c r="AQ26" s="42">
        <f>G26*$AQ$11</f>
        <v/>
      </c>
      <c r="AR26" s="40">
        <f>H26*$AQ$11</f>
        <v/>
      </c>
      <c r="AS26" s="40">
        <f>I26*$AQ$11</f>
        <v/>
      </c>
      <c r="AT26" s="40">
        <f>J26*$AQ$11</f>
        <v/>
      </c>
      <c r="AV26" s="41">
        <f>F26*$AW$11</f>
        <v/>
      </c>
      <c r="AW26" s="42">
        <f>G26*$AW$11</f>
        <v/>
      </c>
      <c r="AX26" s="40">
        <f>H26*$AW$11</f>
        <v/>
      </c>
      <c r="AY26" s="40">
        <f>I26*$AW$11</f>
        <v/>
      </c>
      <c r="AZ26" s="40">
        <f>J26*$AW$11</f>
        <v/>
      </c>
    </row>
    <row r="27">
      <c r="A27" s="8" t="n">
        <v>46023</v>
      </c>
      <c r="B27" s="33">
        <f>YEAR(A27)</f>
        <v/>
      </c>
      <c r="C27" s="33">
        <f>MONTH(A27)</f>
        <v/>
      </c>
      <c r="D27">
        <f>IF(A27&lt;=LastActual,"Actual","Forecast")</f>
        <v/>
      </c>
      <c r="E27" s="30">
        <f>IF($D27="Actual",R27,W27)</f>
        <v/>
      </c>
      <c r="F27" s="15">
        <f>IF($D27="Actual",S27,Cases_Forecast!AP20)</f>
        <v/>
      </c>
      <c r="G27" s="9">
        <f>IF($D27="Actual",T27,IFERROR(F27/K27,0))</f>
        <v/>
      </c>
      <c r="H27" s="30">
        <f>IF($D27="Actual",U27,G27*L27)</f>
        <v/>
      </c>
      <c r="I27" s="30">
        <f>IF($D27="Actual",V27,J27-H27)</f>
        <v/>
      </c>
      <c r="J27" s="30">
        <f>IF($D27="Actual",U27+V27,IFERROR(H27/(1-AD27),0))</f>
        <v/>
      </c>
      <c r="K27" s="10">
        <f>IF($D27="Actual",IFERROR(S27/T27,0),CPLH_Forecast!AP20)</f>
        <v/>
      </c>
      <c r="L27" s="34">
        <f>IF($D27="Actual",IFERROR(U27/T27,0),N(AE27))</f>
        <v/>
      </c>
      <c r="M27" s="35">
        <f>IFERROR(J27/F27,0)</f>
        <v/>
      </c>
      <c r="N27" s="36">
        <f>IFERROR(J27/E27,0)</f>
        <v/>
      </c>
      <c r="O27" s="36">
        <f>IFERROR(I27/J27,0)</f>
        <v/>
      </c>
      <c r="R27" s="52">
        <f>IF($D27="Actual",SUMIFS(Data_Actuals!$C$2:$C$5000,Data_Actuals!$A$2:$A$5000,$A27,Data_Actuals!$B$2:$B$5000,$B$2),"")</f>
        <v/>
      </c>
      <c r="S27" s="52">
        <f>IF($D27="Actual",SUMIFS(Data_Actuals!$D$2:$D$5000,Data_Actuals!$A$2:$A$5000,$A27,Data_Actuals!$B$2:$B$5000,$B$2),"")</f>
        <v/>
      </c>
      <c r="T27" s="52">
        <f>IF($D27="Actual",SUMIFS(Data_Actuals!$E$2:$E$5000,Data_Actuals!$A$2:$A$5000,$A27,Data_Actuals!$B$2:$B$5000,$B$2),"")</f>
        <v/>
      </c>
      <c r="U27" s="52">
        <f>IF($D27="Actual",SUMIFS(Data_Actuals!$F$2:$F$5000,Data_Actuals!$A$2:$A$5000,$A27,Data_Actuals!$B$2:$B$5000,$B$2),"")</f>
        <v/>
      </c>
      <c r="V27" s="52">
        <f>IF($D27="Actual",SUMIFS(Data_Actuals!$G$2:$G$5000,Data_Actuals!$A$2:$A$5000,$A27,Data_Actuals!$B$2:$B$5000,$B$2),"")</f>
        <v/>
      </c>
      <c r="W27" s="52">
        <f>SUMIFS(Plan_Inputs!$C$2:$C$5000,Plan_Inputs!$A$2:$A$5000,$A27,Plan_Inputs!$B$2:$B$5000,$B$2)</f>
        <v/>
      </c>
      <c r="X27" s="53">
        <f>IF($D27="Actual",IFERROR(S27/T27,""),X15)</f>
        <v/>
      </c>
      <c r="Y27" s="52">
        <f>E27</f>
        <v/>
      </c>
      <c r="Z27" s="54">
        <f>INDEX(Calendar!$H$5:$L$52,MATCH($A27,Calendar!$A$5:$A$52,0),MATCH($D$2,Calendar!$H$4:$L$4,0))</f>
        <v/>
      </c>
      <c r="AA27" s="54">
        <f>INDEX(Calendar!$M$5:$M$52,MATCH($A27,Calendar!$A$5:$A$52,0))</f>
        <v/>
      </c>
      <c r="AB27" s="55">
        <f>IF($D27="Actual",IFERROR(S27/Y27,""),AB15)</f>
        <v/>
      </c>
      <c r="AC27" s="56">
        <f>IF($D27="Actual",IFERROR(U27/T27/Z27/AA27,""),AC15)</f>
        <v/>
      </c>
      <c r="AD27" s="57">
        <f>IF($D27="Actual",IFERROR(V27/(U27+V27),""),$K$2)</f>
        <v/>
      </c>
      <c r="AE27" s="56">
        <f>IFERROR(AC27*Z27*AA27,"")</f>
        <v/>
      </c>
      <c r="AF27" s="53">
        <f>K15</f>
        <v/>
      </c>
      <c r="AG27" s="57">
        <f>IF($D27="Forecast",IFERROR(K27/AF27-1,""),"")</f>
        <v/>
      </c>
      <c r="AH27" s="53">
        <f>IF(CPLHSource="National breakdown",CPLH_Breakdown!AQ32,SUMIFS(Plan_Inputs!$D$2:$D$5000,Plan_Inputs!$A$2:$A$5000,$A27,Plan_Inputs!$B$2:$B$5000,$B$2))</f>
        <v/>
      </c>
      <c r="AJ27" s="15">
        <f>F27*$AK$11</f>
        <v/>
      </c>
      <c r="AK27" s="9">
        <f>G27*$AK$11</f>
        <v/>
      </c>
      <c r="AL27" s="30">
        <f>H27*$AK$11</f>
        <v/>
      </c>
      <c r="AM27" s="30">
        <f>I27*$AK$11</f>
        <v/>
      </c>
      <c r="AN27" s="30">
        <f>J27*$AK$11</f>
        <v/>
      </c>
      <c r="AP27" s="15">
        <f>F27*$AQ$11</f>
        <v/>
      </c>
      <c r="AQ27" s="9">
        <f>G27*$AQ$11</f>
        <v/>
      </c>
      <c r="AR27" s="30">
        <f>H27*$AQ$11</f>
        <v/>
      </c>
      <c r="AS27" s="30">
        <f>I27*$AQ$11</f>
        <v/>
      </c>
      <c r="AT27" s="30">
        <f>J27*$AQ$11</f>
        <v/>
      </c>
      <c r="AV27" s="15">
        <f>F27*$AW$11</f>
        <v/>
      </c>
      <c r="AW27" s="9">
        <f>G27*$AW$11</f>
        <v/>
      </c>
      <c r="AX27" s="30">
        <f>H27*$AW$11</f>
        <v/>
      </c>
      <c r="AY27" s="30">
        <f>I27*$AW$11</f>
        <v/>
      </c>
      <c r="AZ27" s="30">
        <f>J27*$AW$11</f>
        <v/>
      </c>
    </row>
    <row r="28">
      <c r="A28" s="8" t="n">
        <v>46054</v>
      </c>
      <c r="B28" s="33">
        <f>YEAR(A28)</f>
        <v/>
      </c>
      <c r="C28" s="33">
        <f>MONTH(A28)</f>
        <v/>
      </c>
      <c r="D28">
        <f>IF(A28&lt;=LastActual,"Actual","Forecast")</f>
        <v/>
      </c>
      <c r="E28" s="30">
        <f>IF($D28="Actual",R28,W28)</f>
        <v/>
      </c>
      <c r="F28" s="15">
        <f>IF($D28="Actual",S28,Cases_Forecast!AP21)</f>
        <v/>
      </c>
      <c r="G28" s="9">
        <f>IF($D28="Actual",T28,IFERROR(F28/K28,0))</f>
        <v/>
      </c>
      <c r="H28" s="30">
        <f>IF($D28="Actual",U28,G28*L28)</f>
        <v/>
      </c>
      <c r="I28" s="30">
        <f>IF($D28="Actual",V28,J28-H28)</f>
        <v/>
      </c>
      <c r="J28" s="30">
        <f>IF($D28="Actual",U28+V28,IFERROR(H28/(1-AD28),0))</f>
        <v/>
      </c>
      <c r="K28" s="10">
        <f>IF($D28="Actual",IFERROR(S28/T28,0),CPLH_Forecast!AP21)</f>
        <v/>
      </c>
      <c r="L28" s="34">
        <f>IF($D28="Actual",IFERROR(U28/T28,0),N(AE28))</f>
        <v/>
      </c>
      <c r="M28" s="35">
        <f>IFERROR(J28/F28,0)</f>
        <v/>
      </c>
      <c r="N28" s="36">
        <f>IFERROR(J28/E28,0)</f>
        <v/>
      </c>
      <c r="O28" s="36">
        <f>IFERROR(I28/J28,0)</f>
        <v/>
      </c>
      <c r="R28" s="52">
        <f>IF($D28="Actual",SUMIFS(Data_Actuals!$C$2:$C$5000,Data_Actuals!$A$2:$A$5000,$A28,Data_Actuals!$B$2:$B$5000,$B$2),"")</f>
        <v/>
      </c>
      <c r="S28" s="52">
        <f>IF($D28="Actual",SUMIFS(Data_Actuals!$D$2:$D$5000,Data_Actuals!$A$2:$A$5000,$A28,Data_Actuals!$B$2:$B$5000,$B$2),"")</f>
        <v/>
      </c>
      <c r="T28" s="52">
        <f>IF($D28="Actual",SUMIFS(Data_Actuals!$E$2:$E$5000,Data_Actuals!$A$2:$A$5000,$A28,Data_Actuals!$B$2:$B$5000,$B$2),"")</f>
        <v/>
      </c>
      <c r="U28" s="52">
        <f>IF($D28="Actual",SUMIFS(Data_Actuals!$F$2:$F$5000,Data_Actuals!$A$2:$A$5000,$A28,Data_Actuals!$B$2:$B$5000,$B$2),"")</f>
        <v/>
      </c>
      <c r="V28" s="52">
        <f>IF($D28="Actual",SUMIFS(Data_Actuals!$G$2:$G$5000,Data_Actuals!$A$2:$A$5000,$A28,Data_Actuals!$B$2:$B$5000,$B$2),"")</f>
        <v/>
      </c>
      <c r="W28" s="52">
        <f>SUMIFS(Plan_Inputs!$C$2:$C$5000,Plan_Inputs!$A$2:$A$5000,$A28,Plan_Inputs!$B$2:$B$5000,$B$2)</f>
        <v/>
      </c>
      <c r="X28" s="53">
        <f>IF($D28="Actual",IFERROR(S28/T28,""),X16)</f>
        <v/>
      </c>
      <c r="Y28" s="52">
        <f>E28</f>
        <v/>
      </c>
      <c r="Z28" s="54">
        <f>INDEX(Calendar!$H$5:$L$52,MATCH($A28,Calendar!$A$5:$A$52,0),MATCH($D$2,Calendar!$H$4:$L$4,0))</f>
        <v/>
      </c>
      <c r="AA28" s="54">
        <f>INDEX(Calendar!$M$5:$M$52,MATCH($A28,Calendar!$A$5:$A$52,0))</f>
        <v/>
      </c>
      <c r="AB28" s="55">
        <f>IF($D28="Actual",IFERROR(S28/Y28,""),AB16)</f>
        <v/>
      </c>
      <c r="AC28" s="56">
        <f>IF($D28="Actual",IFERROR(U28/T28/Z28/AA28,""),AC16)</f>
        <v/>
      </c>
      <c r="AD28" s="57">
        <f>IF($D28="Actual",IFERROR(V28/(U28+V28),""),$K$2)</f>
        <v/>
      </c>
      <c r="AE28" s="56">
        <f>IFERROR(AC28*Z28*AA28,"")</f>
        <v/>
      </c>
      <c r="AF28" s="53">
        <f>K16</f>
        <v/>
      </c>
      <c r="AG28" s="57">
        <f>IF($D28="Forecast",IFERROR(K28/AF28-1,""),"")</f>
        <v/>
      </c>
      <c r="AH28" s="53">
        <f>IF(CPLHSource="National breakdown",CPLH_Breakdown!AQ33,SUMIFS(Plan_Inputs!$D$2:$D$5000,Plan_Inputs!$A$2:$A$5000,$A28,Plan_Inputs!$B$2:$B$5000,$B$2))</f>
        <v/>
      </c>
      <c r="AJ28" s="15">
        <f>F28*$AK$11</f>
        <v/>
      </c>
      <c r="AK28" s="9">
        <f>G28*$AK$11</f>
        <v/>
      </c>
      <c r="AL28" s="30">
        <f>H28*$AK$11</f>
        <v/>
      </c>
      <c r="AM28" s="30">
        <f>I28*$AK$11</f>
        <v/>
      </c>
      <c r="AN28" s="30">
        <f>J28*$AK$11</f>
        <v/>
      </c>
      <c r="AP28" s="15">
        <f>F28*$AQ$11</f>
        <v/>
      </c>
      <c r="AQ28" s="9">
        <f>G28*$AQ$11</f>
        <v/>
      </c>
      <c r="AR28" s="30">
        <f>H28*$AQ$11</f>
        <v/>
      </c>
      <c r="AS28" s="30">
        <f>I28*$AQ$11</f>
        <v/>
      </c>
      <c r="AT28" s="30">
        <f>J28*$AQ$11</f>
        <v/>
      </c>
      <c r="AV28" s="15">
        <f>F28*$AW$11</f>
        <v/>
      </c>
      <c r="AW28" s="9">
        <f>G28*$AW$11</f>
        <v/>
      </c>
      <c r="AX28" s="30">
        <f>H28*$AW$11</f>
        <v/>
      </c>
      <c r="AY28" s="30">
        <f>I28*$AW$11</f>
        <v/>
      </c>
      <c r="AZ28" s="30">
        <f>J28*$AW$11</f>
        <v/>
      </c>
    </row>
    <row r="29">
      <c r="A29" s="8" t="n">
        <v>46082</v>
      </c>
      <c r="B29" s="33">
        <f>YEAR(A29)</f>
        <v/>
      </c>
      <c r="C29" s="33">
        <f>MONTH(A29)</f>
        <v/>
      </c>
      <c r="D29">
        <f>IF(A29&lt;=LastActual,"Actual","Forecast")</f>
        <v/>
      </c>
      <c r="E29" s="30">
        <f>IF($D29="Actual",R29,W29)</f>
        <v/>
      </c>
      <c r="F29" s="15">
        <f>IF($D29="Actual",S29,Cases_Forecast!AP22)</f>
        <v/>
      </c>
      <c r="G29" s="9">
        <f>IF($D29="Actual",T29,IFERROR(F29/K29,0))</f>
        <v/>
      </c>
      <c r="H29" s="30">
        <f>IF($D29="Actual",U29,G29*L29)</f>
        <v/>
      </c>
      <c r="I29" s="30">
        <f>IF($D29="Actual",V29,J29-H29)</f>
        <v/>
      </c>
      <c r="J29" s="30">
        <f>IF($D29="Actual",U29+V29,IFERROR(H29/(1-AD29),0))</f>
        <v/>
      </c>
      <c r="K29" s="10">
        <f>IF($D29="Actual",IFERROR(S29/T29,0),CPLH_Forecast!AP22)</f>
        <v/>
      </c>
      <c r="L29" s="34">
        <f>IF($D29="Actual",IFERROR(U29/T29,0),N(AE29))</f>
        <v/>
      </c>
      <c r="M29" s="35">
        <f>IFERROR(J29/F29,0)</f>
        <v/>
      </c>
      <c r="N29" s="36">
        <f>IFERROR(J29/E29,0)</f>
        <v/>
      </c>
      <c r="O29" s="36">
        <f>IFERROR(I29/J29,0)</f>
        <v/>
      </c>
      <c r="R29" s="52">
        <f>IF($D29="Actual",SUMIFS(Data_Actuals!$C$2:$C$5000,Data_Actuals!$A$2:$A$5000,$A29,Data_Actuals!$B$2:$B$5000,$B$2),"")</f>
        <v/>
      </c>
      <c r="S29" s="52">
        <f>IF($D29="Actual",SUMIFS(Data_Actuals!$D$2:$D$5000,Data_Actuals!$A$2:$A$5000,$A29,Data_Actuals!$B$2:$B$5000,$B$2),"")</f>
        <v/>
      </c>
      <c r="T29" s="52">
        <f>IF($D29="Actual",SUMIFS(Data_Actuals!$E$2:$E$5000,Data_Actuals!$A$2:$A$5000,$A29,Data_Actuals!$B$2:$B$5000,$B$2),"")</f>
        <v/>
      </c>
      <c r="U29" s="52">
        <f>IF($D29="Actual",SUMIFS(Data_Actuals!$F$2:$F$5000,Data_Actuals!$A$2:$A$5000,$A29,Data_Actuals!$B$2:$B$5000,$B$2),"")</f>
        <v/>
      </c>
      <c r="V29" s="52">
        <f>IF($D29="Actual",SUMIFS(Data_Actuals!$G$2:$G$5000,Data_Actuals!$A$2:$A$5000,$A29,Data_Actuals!$B$2:$B$5000,$B$2),"")</f>
        <v/>
      </c>
      <c r="W29" s="52">
        <f>SUMIFS(Plan_Inputs!$C$2:$C$5000,Plan_Inputs!$A$2:$A$5000,$A29,Plan_Inputs!$B$2:$B$5000,$B$2)</f>
        <v/>
      </c>
      <c r="X29" s="53">
        <f>IF($D29="Actual",IFERROR(S29/T29,""),X17)</f>
        <v/>
      </c>
      <c r="Y29" s="52">
        <f>E29</f>
        <v/>
      </c>
      <c r="Z29" s="54">
        <f>INDEX(Calendar!$H$5:$L$52,MATCH($A29,Calendar!$A$5:$A$52,0),MATCH($D$2,Calendar!$H$4:$L$4,0))</f>
        <v/>
      </c>
      <c r="AA29" s="54">
        <f>INDEX(Calendar!$M$5:$M$52,MATCH($A29,Calendar!$A$5:$A$52,0))</f>
        <v/>
      </c>
      <c r="AB29" s="55">
        <f>IF($D29="Actual",IFERROR(S29/Y29,""),AB17)</f>
        <v/>
      </c>
      <c r="AC29" s="56">
        <f>IF($D29="Actual",IFERROR(U29/T29/Z29/AA29,""),AC17)</f>
        <v/>
      </c>
      <c r="AD29" s="57">
        <f>IF($D29="Actual",IFERROR(V29/(U29+V29),""),$K$2)</f>
        <v/>
      </c>
      <c r="AE29" s="56">
        <f>IFERROR(AC29*Z29*AA29,"")</f>
        <v/>
      </c>
      <c r="AF29" s="53">
        <f>K17</f>
        <v/>
      </c>
      <c r="AG29" s="57">
        <f>IF($D29="Forecast",IFERROR(K29/AF29-1,""),"")</f>
        <v/>
      </c>
      <c r="AH29" s="53">
        <f>IF(CPLHSource="National breakdown",CPLH_Breakdown!AQ34,SUMIFS(Plan_Inputs!$D$2:$D$5000,Plan_Inputs!$A$2:$A$5000,$A29,Plan_Inputs!$B$2:$B$5000,$B$2))</f>
        <v/>
      </c>
      <c r="AJ29" s="15">
        <f>F29*$AK$11</f>
        <v/>
      </c>
      <c r="AK29" s="9">
        <f>G29*$AK$11</f>
        <v/>
      </c>
      <c r="AL29" s="30">
        <f>H29*$AK$11</f>
        <v/>
      </c>
      <c r="AM29" s="30">
        <f>I29*$AK$11</f>
        <v/>
      </c>
      <c r="AN29" s="30">
        <f>J29*$AK$11</f>
        <v/>
      </c>
      <c r="AP29" s="15">
        <f>F29*$AQ$11</f>
        <v/>
      </c>
      <c r="AQ29" s="9">
        <f>G29*$AQ$11</f>
        <v/>
      </c>
      <c r="AR29" s="30">
        <f>H29*$AQ$11</f>
        <v/>
      </c>
      <c r="AS29" s="30">
        <f>I29*$AQ$11</f>
        <v/>
      </c>
      <c r="AT29" s="30">
        <f>J29*$AQ$11</f>
        <v/>
      </c>
      <c r="AV29" s="15">
        <f>F29*$AW$11</f>
        <v/>
      </c>
      <c r="AW29" s="9">
        <f>G29*$AW$11</f>
        <v/>
      </c>
      <c r="AX29" s="30">
        <f>H29*$AW$11</f>
        <v/>
      </c>
      <c r="AY29" s="30">
        <f>I29*$AW$11</f>
        <v/>
      </c>
      <c r="AZ29" s="30">
        <f>J29*$AW$11</f>
        <v/>
      </c>
    </row>
    <row r="30">
      <c r="A30" s="8" t="n">
        <v>46113</v>
      </c>
      <c r="B30" s="33">
        <f>YEAR(A30)</f>
        <v/>
      </c>
      <c r="C30" s="33">
        <f>MONTH(A30)</f>
        <v/>
      </c>
      <c r="D30">
        <f>IF(A30&lt;=LastActual,"Actual","Forecast")</f>
        <v/>
      </c>
      <c r="E30" s="30">
        <f>IF($D30="Actual",R30,W30)</f>
        <v/>
      </c>
      <c r="F30" s="15">
        <f>IF($D30="Actual",S30,Cases_Forecast!AP23)</f>
        <v/>
      </c>
      <c r="G30" s="9">
        <f>IF($D30="Actual",T30,IFERROR(F30/K30,0))</f>
        <v/>
      </c>
      <c r="H30" s="30">
        <f>IF($D30="Actual",U30,G30*L30)</f>
        <v/>
      </c>
      <c r="I30" s="30">
        <f>IF($D30="Actual",V30,J30-H30)</f>
        <v/>
      </c>
      <c r="J30" s="30">
        <f>IF($D30="Actual",U30+V30,IFERROR(H30/(1-AD30),0))</f>
        <v/>
      </c>
      <c r="K30" s="10">
        <f>IF($D30="Actual",IFERROR(S30/T30,0),CPLH_Forecast!AP23)</f>
        <v/>
      </c>
      <c r="L30" s="34">
        <f>IF($D30="Actual",IFERROR(U30/T30,0),N(AE30))</f>
        <v/>
      </c>
      <c r="M30" s="35">
        <f>IFERROR(J30/F30,0)</f>
        <v/>
      </c>
      <c r="N30" s="36">
        <f>IFERROR(J30/E30,0)</f>
        <v/>
      </c>
      <c r="O30" s="36">
        <f>IFERROR(I30/J30,0)</f>
        <v/>
      </c>
      <c r="R30" s="52">
        <f>IF($D30="Actual",SUMIFS(Data_Actuals!$C$2:$C$5000,Data_Actuals!$A$2:$A$5000,$A30,Data_Actuals!$B$2:$B$5000,$B$2),"")</f>
        <v/>
      </c>
      <c r="S30" s="52">
        <f>IF($D30="Actual",SUMIFS(Data_Actuals!$D$2:$D$5000,Data_Actuals!$A$2:$A$5000,$A30,Data_Actuals!$B$2:$B$5000,$B$2),"")</f>
        <v/>
      </c>
      <c r="T30" s="52">
        <f>IF($D30="Actual",SUMIFS(Data_Actuals!$E$2:$E$5000,Data_Actuals!$A$2:$A$5000,$A30,Data_Actuals!$B$2:$B$5000,$B$2),"")</f>
        <v/>
      </c>
      <c r="U30" s="52">
        <f>IF($D30="Actual",SUMIFS(Data_Actuals!$F$2:$F$5000,Data_Actuals!$A$2:$A$5000,$A30,Data_Actuals!$B$2:$B$5000,$B$2),"")</f>
        <v/>
      </c>
      <c r="V30" s="52">
        <f>IF($D30="Actual",SUMIFS(Data_Actuals!$G$2:$G$5000,Data_Actuals!$A$2:$A$5000,$A30,Data_Actuals!$B$2:$B$5000,$B$2),"")</f>
        <v/>
      </c>
      <c r="W30" s="52">
        <f>SUMIFS(Plan_Inputs!$C$2:$C$5000,Plan_Inputs!$A$2:$A$5000,$A30,Plan_Inputs!$B$2:$B$5000,$B$2)</f>
        <v/>
      </c>
      <c r="X30" s="53">
        <f>IF($D30="Actual",IFERROR(S30/T30,""),X18)</f>
        <v/>
      </c>
      <c r="Y30" s="52">
        <f>E30</f>
        <v/>
      </c>
      <c r="Z30" s="54">
        <f>INDEX(Calendar!$H$5:$L$52,MATCH($A30,Calendar!$A$5:$A$52,0),MATCH($D$2,Calendar!$H$4:$L$4,0))</f>
        <v/>
      </c>
      <c r="AA30" s="54">
        <f>INDEX(Calendar!$M$5:$M$52,MATCH($A30,Calendar!$A$5:$A$52,0))</f>
        <v/>
      </c>
      <c r="AB30" s="55">
        <f>IF($D30="Actual",IFERROR(S30/Y30,""),AB18)</f>
        <v/>
      </c>
      <c r="AC30" s="56">
        <f>IF($D30="Actual",IFERROR(U30/T30/Z30/AA30,""),AC18)</f>
        <v/>
      </c>
      <c r="AD30" s="57">
        <f>IF($D30="Actual",IFERROR(V30/(U30+V30),""),$K$2)</f>
        <v/>
      </c>
      <c r="AE30" s="56">
        <f>IFERROR(AC30*Z30*AA30,"")</f>
        <v/>
      </c>
      <c r="AF30" s="53">
        <f>K18</f>
        <v/>
      </c>
      <c r="AG30" s="57">
        <f>IF($D30="Forecast",IFERROR(K30/AF30-1,""),"")</f>
        <v/>
      </c>
      <c r="AH30" s="53">
        <f>IF(CPLHSource="National breakdown",CPLH_Breakdown!AQ35,SUMIFS(Plan_Inputs!$D$2:$D$5000,Plan_Inputs!$A$2:$A$5000,$A30,Plan_Inputs!$B$2:$B$5000,$B$2))</f>
        <v/>
      </c>
      <c r="AJ30" s="15">
        <f>F30*$AK$11</f>
        <v/>
      </c>
      <c r="AK30" s="9">
        <f>G30*$AK$11</f>
        <v/>
      </c>
      <c r="AL30" s="30">
        <f>H30*$AK$11</f>
        <v/>
      </c>
      <c r="AM30" s="30">
        <f>I30*$AK$11</f>
        <v/>
      </c>
      <c r="AN30" s="30">
        <f>J30*$AK$11</f>
        <v/>
      </c>
      <c r="AP30" s="15">
        <f>F30*$AQ$11</f>
        <v/>
      </c>
      <c r="AQ30" s="9">
        <f>G30*$AQ$11</f>
        <v/>
      </c>
      <c r="AR30" s="30">
        <f>H30*$AQ$11</f>
        <v/>
      </c>
      <c r="AS30" s="30">
        <f>I30*$AQ$11</f>
        <v/>
      </c>
      <c r="AT30" s="30">
        <f>J30*$AQ$11</f>
        <v/>
      </c>
      <c r="AV30" s="15">
        <f>F30*$AW$11</f>
        <v/>
      </c>
      <c r="AW30" s="9">
        <f>G30*$AW$11</f>
        <v/>
      </c>
      <c r="AX30" s="30">
        <f>H30*$AW$11</f>
        <v/>
      </c>
      <c r="AY30" s="30">
        <f>I30*$AW$11</f>
        <v/>
      </c>
      <c r="AZ30" s="30">
        <f>J30*$AW$11</f>
        <v/>
      </c>
    </row>
    <row r="31">
      <c r="A31" s="8" t="n">
        <v>46143</v>
      </c>
      <c r="B31" s="33">
        <f>YEAR(A31)</f>
        <v/>
      </c>
      <c r="C31" s="33">
        <f>MONTH(A31)</f>
        <v/>
      </c>
      <c r="D31">
        <f>IF(A31&lt;=LastActual,"Actual","Forecast")</f>
        <v/>
      </c>
      <c r="E31" s="30">
        <f>IF($D31="Actual",R31,W31)</f>
        <v/>
      </c>
      <c r="F31" s="15">
        <f>IF($D31="Actual",S31,Cases_Forecast!AP24)</f>
        <v/>
      </c>
      <c r="G31" s="9">
        <f>IF($D31="Actual",T31,IFERROR(F31/K31,0))</f>
        <v/>
      </c>
      <c r="H31" s="30">
        <f>IF($D31="Actual",U31,G31*L31)</f>
        <v/>
      </c>
      <c r="I31" s="30">
        <f>IF($D31="Actual",V31,J31-H31)</f>
        <v/>
      </c>
      <c r="J31" s="30">
        <f>IF($D31="Actual",U31+V31,IFERROR(H31/(1-AD31),0))</f>
        <v/>
      </c>
      <c r="K31" s="10">
        <f>IF($D31="Actual",IFERROR(S31/T31,0),CPLH_Forecast!AP24)</f>
        <v/>
      </c>
      <c r="L31" s="34">
        <f>IF($D31="Actual",IFERROR(U31/T31,0),N(AE31))</f>
        <v/>
      </c>
      <c r="M31" s="35">
        <f>IFERROR(J31/F31,0)</f>
        <v/>
      </c>
      <c r="N31" s="36">
        <f>IFERROR(J31/E31,0)</f>
        <v/>
      </c>
      <c r="O31" s="36">
        <f>IFERROR(I31/J31,0)</f>
        <v/>
      </c>
      <c r="R31" s="52">
        <f>IF($D31="Actual",SUMIFS(Data_Actuals!$C$2:$C$5000,Data_Actuals!$A$2:$A$5000,$A31,Data_Actuals!$B$2:$B$5000,$B$2),"")</f>
        <v/>
      </c>
      <c r="S31" s="52">
        <f>IF($D31="Actual",SUMIFS(Data_Actuals!$D$2:$D$5000,Data_Actuals!$A$2:$A$5000,$A31,Data_Actuals!$B$2:$B$5000,$B$2),"")</f>
        <v/>
      </c>
      <c r="T31" s="52">
        <f>IF($D31="Actual",SUMIFS(Data_Actuals!$E$2:$E$5000,Data_Actuals!$A$2:$A$5000,$A31,Data_Actuals!$B$2:$B$5000,$B$2),"")</f>
        <v/>
      </c>
      <c r="U31" s="52">
        <f>IF($D31="Actual",SUMIFS(Data_Actuals!$F$2:$F$5000,Data_Actuals!$A$2:$A$5000,$A31,Data_Actuals!$B$2:$B$5000,$B$2),"")</f>
        <v/>
      </c>
      <c r="V31" s="52">
        <f>IF($D31="Actual",SUMIFS(Data_Actuals!$G$2:$G$5000,Data_Actuals!$A$2:$A$5000,$A31,Data_Actuals!$B$2:$B$5000,$B$2),"")</f>
        <v/>
      </c>
      <c r="W31" s="52">
        <f>SUMIFS(Plan_Inputs!$C$2:$C$5000,Plan_Inputs!$A$2:$A$5000,$A31,Plan_Inputs!$B$2:$B$5000,$B$2)</f>
        <v/>
      </c>
      <c r="X31" s="53">
        <f>IF($D31="Actual",IFERROR(S31/T31,""),X19)</f>
        <v/>
      </c>
      <c r="Y31" s="52">
        <f>E31</f>
        <v/>
      </c>
      <c r="Z31" s="54">
        <f>INDEX(Calendar!$H$5:$L$52,MATCH($A31,Calendar!$A$5:$A$52,0),MATCH($D$2,Calendar!$H$4:$L$4,0))</f>
        <v/>
      </c>
      <c r="AA31" s="54">
        <f>INDEX(Calendar!$M$5:$M$52,MATCH($A31,Calendar!$A$5:$A$52,0))</f>
        <v/>
      </c>
      <c r="AB31" s="55">
        <f>IF($D31="Actual",IFERROR(S31/Y31,""),AB19)</f>
        <v/>
      </c>
      <c r="AC31" s="56">
        <f>IF($D31="Actual",IFERROR(U31/T31/Z31/AA31,""),AC19)</f>
        <v/>
      </c>
      <c r="AD31" s="57">
        <f>IF($D31="Actual",IFERROR(V31/(U31+V31),""),$K$2)</f>
        <v/>
      </c>
      <c r="AE31" s="56">
        <f>IFERROR(AC31*Z31*AA31,"")</f>
        <v/>
      </c>
      <c r="AF31" s="53">
        <f>K19</f>
        <v/>
      </c>
      <c r="AG31" s="57">
        <f>IF($D31="Forecast",IFERROR(K31/AF31-1,""),"")</f>
        <v/>
      </c>
      <c r="AH31" s="53">
        <f>IF(CPLHSource="National breakdown",CPLH_Breakdown!AQ36,SUMIFS(Plan_Inputs!$D$2:$D$5000,Plan_Inputs!$A$2:$A$5000,$A31,Plan_Inputs!$B$2:$B$5000,$B$2))</f>
        <v/>
      </c>
      <c r="AJ31" s="15">
        <f>F31*$AK$11</f>
        <v/>
      </c>
      <c r="AK31" s="9">
        <f>G31*$AK$11</f>
        <v/>
      </c>
      <c r="AL31" s="30">
        <f>H31*$AK$11</f>
        <v/>
      </c>
      <c r="AM31" s="30">
        <f>I31*$AK$11</f>
        <v/>
      </c>
      <c r="AN31" s="30">
        <f>J31*$AK$11</f>
        <v/>
      </c>
      <c r="AP31" s="15">
        <f>F31*$AQ$11</f>
        <v/>
      </c>
      <c r="AQ31" s="9">
        <f>G31*$AQ$11</f>
        <v/>
      </c>
      <c r="AR31" s="30">
        <f>H31*$AQ$11</f>
        <v/>
      </c>
      <c r="AS31" s="30">
        <f>I31*$AQ$11</f>
        <v/>
      </c>
      <c r="AT31" s="30">
        <f>J31*$AQ$11</f>
        <v/>
      </c>
      <c r="AV31" s="15">
        <f>F31*$AW$11</f>
        <v/>
      </c>
      <c r="AW31" s="9">
        <f>G31*$AW$11</f>
        <v/>
      </c>
      <c r="AX31" s="30">
        <f>H31*$AW$11</f>
        <v/>
      </c>
      <c r="AY31" s="30">
        <f>I31*$AW$11</f>
        <v/>
      </c>
      <c r="AZ31" s="30">
        <f>J31*$AW$11</f>
        <v/>
      </c>
    </row>
    <row r="32">
      <c r="A32" s="8" t="n">
        <v>46174</v>
      </c>
      <c r="B32" s="33">
        <f>YEAR(A32)</f>
        <v/>
      </c>
      <c r="C32" s="33">
        <f>MONTH(A32)</f>
        <v/>
      </c>
      <c r="D32">
        <f>IF(A32&lt;=LastActual,"Actual","Forecast")</f>
        <v/>
      </c>
      <c r="E32" s="30">
        <f>IF($D32="Actual",R32,W32)</f>
        <v/>
      </c>
      <c r="F32" s="15">
        <f>IF($D32="Actual",S32,Cases_Forecast!AP25)</f>
        <v/>
      </c>
      <c r="G32" s="9">
        <f>IF($D32="Actual",T32,IFERROR(F32/K32,0))</f>
        <v/>
      </c>
      <c r="H32" s="30">
        <f>IF($D32="Actual",U32,G32*L32)</f>
        <v/>
      </c>
      <c r="I32" s="30">
        <f>IF($D32="Actual",V32,J32-H32)</f>
        <v/>
      </c>
      <c r="J32" s="30">
        <f>IF($D32="Actual",U32+V32,IFERROR(H32/(1-AD32),0))</f>
        <v/>
      </c>
      <c r="K32" s="10">
        <f>IF($D32="Actual",IFERROR(S32/T32,0),CPLH_Forecast!AP25)</f>
        <v/>
      </c>
      <c r="L32" s="34">
        <f>IF($D32="Actual",IFERROR(U32/T32,0),N(AE32))</f>
        <v/>
      </c>
      <c r="M32" s="35">
        <f>IFERROR(J32/F32,0)</f>
        <v/>
      </c>
      <c r="N32" s="36">
        <f>IFERROR(J32/E32,0)</f>
        <v/>
      </c>
      <c r="O32" s="36">
        <f>IFERROR(I32/J32,0)</f>
        <v/>
      </c>
      <c r="R32" s="52">
        <f>IF($D32="Actual",SUMIFS(Data_Actuals!$C$2:$C$5000,Data_Actuals!$A$2:$A$5000,$A32,Data_Actuals!$B$2:$B$5000,$B$2),"")</f>
        <v/>
      </c>
      <c r="S32" s="52">
        <f>IF($D32="Actual",SUMIFS(Data_Actuals!$D$2:$D$5000,Data_Actuals!$A$2:$A$5000,$A32,Data_Actuals!$B$2:$B$5000,$B$2),"")</f>
        <v/>
      </c>
      <c r="T32" s="52">
        <f>IF($D32="Actual",SUMIFS(Data_Actuals!$E$2:$E$5000,Data_Actuals!$A$2:$A$5000,$A32,Data_Actuals!$B$2:$B$5000,$B$2),"")</f>
        <v/>
      </c>
      <c r="U32" s="52">
        <f>IF($D32="Actual",SUMIFS(Data_Actuals!$F$2:$F$5000,Data_Actuals!$A$2:$A$5000,$A32,Data_Actuals!$B$2:$B$5000,$B$2),"")</f>
        <v/>
      </c>
      <c r="V32" s="52">
        <f>IF($D32="Actual",SUMIFS(Data_Actuals!$G$2:$G$5000,Data_Actuals!$A$2:$A$5000,$A32,Data_Actuals!$B$2:$B$5000,$B$2),"")</f>
        <v/>
      </c>
      <c r="W32" s="52">
        <f>SUMIFS(Plan_Inputs!$C$2:$C$5000,Plan_Inputs!$A$2:$A$5000,$A32,Plan_Inputs!$B$2:$B$5000,$B$2)</f>
        <v/>
      </c>
      <c r="X32" s="53">
        <f>IF($D32="Actual",IFERROR(S32/T32,""),X20)</f>
        <v/>
      </c>
      <c r="Y32" s="52">
        <f>E32</f>
        <v/>
      </c>
      <c r="Z32" s="54">
        <f>INDEX(Calendar!$H$5:$L$52,MATCH($A32,Calendar!$A$5:$A$52,0),MATCH($D$2,Calendar!$H$4:$L$4,0))</f>
        <v/>
      </c>
      <c r="AA32" s="54">
        <f>INDEX(Calendar!$M$5:$M$52,MATCH($A32,Calendar!$A$5:$A$52,0))</f>
        <v/>
      </c>
      <c r="AB32" s="55">
        <f>IF($D32="Actual",IFERROR(S32/Y32,""),AB20)</f>
        <v/>
      </c>
      <c r="AC32" s="56">
        <f>IF($D32="Actual",IFERROR(U32/T32/Z32/AA32,""),AC20)</f>
        <v/>
      </c>
      <c r="AD32" s="57">
        <f>IF($D32="Actual",IFERROR(V32/(U32+V32),""),$K$2)</f>
        <v/>
      </c>
      <c r="AE32" s="56">
        <f>IFERROR(AC32*Z32*AA32,"")</f>
        <v/>
      </c>
      <c r="AF32" s="53">
        <f>K20</f>
        <v/>
      </c>
      <c r="AG32" s="57">
        <f>IF($D32="Forecast",IFERROR(K32/AF32-1,""),"")</f>
        <v/>
      </c>
      <c r="AH32" s="53">
        <f>IF(CPLHSource="National breakdown",CPLH_Breakdown!AQ37,SUMIFS(Plan_Inputs!$D$2:$D$5000,Plan_Inputs!$A$2:$A$5000,$A32,Plan_Inputs!$B$2:$B$5000,$B$2))</f>
        <v/>
      </c>
      <c r="AJ32" s="15">
        <f>F32*$AK$11</f>
        <v/>
      </c>
      <c r="AK32" s="9">
        <f>G32*$AK$11</f>
        <v/>
      </c>
      <c r="AL32" s="30">
        <f>H32*$AK$11</f>
        <v/>
      </c>
      <c r="AM32" s="30">
        <f>I32*$AK$11</f>
        <v/>
      </c>
      <c r="AN32" s="30">
        <f>J32*$AK$11</f>
        <v/>
      </c>
      <c r="AP32" s="15">
        <f>F32*$AQ$11</f>
        <v/>
      </c>
      <c r="AQ32" s="9">
        <f>G32*$AQ$11</f>
        <v/>
      </c>
      <c r="AR32" s="30">
        <f>H32*$AQ$11</f>
        <v/>
      </c>
      <c r="AS32" s="30">
        <f>I32*$AQ$11</f>
        <v/>
      </c>
      <c r="AT32" s="30">
        <f>J32*$AQ$11</f>
        <v/>
      </c>
      <c r="AV32" s="15">
        <f>F32*$AW$11</f>
        <v/>
      </c>
      <c r="AW32" s="9">
        <f>G32*$AW$11</f>
        <v/>
      </c>
      <c r="AX32" s="30">
        <f>H32*$AW$11</f>
        <v/>
      </c>
      <c r="AY32" s="30">
        <f>I32*$AW$11</f>
        <v/>
      </c>
      <c r="AZ32" s="30">
        <f>J32*$AW$11</f>
        <v/>
      </c>
    </row>
    <row r="33">
      <c r="A33" s="8" t="n">
        <v>46204</v>
      </c>
      <c r="B33" s="33">
        <f>YEAR(A33)</f>
        <v/>
      </c>
      <c r="C33" s="33">
        <f>MONTH(A33)</f>
        <v/>
      </c>
      <c r="D33">
        <f>IF(A33&lt;=LastActual,"Actual","Forecast")</f>
        <v/>
      </c>
      <c r="E33" s="30">
        <f>IF($D33="Actual",R33,W33)</f>
        <v/>
      </c>
      <c r="F33" s="15">
        <f>IF($D33="Actual",S33,Cases_Forecast!AP26)</f>
        <v/>
      </c>
      <c r="G33" s="9">
        <f>IF($D33="Actual",T33,IFERROR(F33/K33,0))</f>
        <v/>
      </c>
      <c r="H33" s="30">
        <f>IF($D33="Actual",U33,G33*L33)</f>
        <v/>
      </c>
      <c r="I33" s="30">
        <f>IF($D33="Actual",V33,J33-H33)</f>
        <v/>
      </c>
      <c r="J33" s="30">
        <f>IF($D33="Actual",U33+V33,IFERROR(H33/(1-AD33),0))</f>
        <v/>
      </c>
      <c r="K33" s="10">
        <f>IF($D33="Actual",IFERROR(S33/T33,0),CPLH_Forecast!AP26)</f>
        <v/>
      </c>
      <c r="L33" s="34">
        <f>IF($D33="Actual",IFERROR(U33/T33,0),N(AE33))</f>
        <v/>
      </c>
      <c r="M33" s="35">
        <f>IFERROR(J33/F33,0)</f>
        <v/>
      </c>
      <c r="N33" s="36">
        <f>IFERROR(J33/E33,0)</f>
        <v/>
      </c>
      <c r="O33" s="36">
        <f>IFERROR(I33/J33,0)</f>
        <v/>
      </c>
      <c r="R33" s="52">
        <f>IF($D33="Actual",SUMIFS(Data_Actuals!$C$2:$C$5000,Data_Actuals!$A$2:$A$5000,$A33,Data_Actuals!$B$2:$B$5000,$B$2),"")</f>
        <v/>
      </c>
      <c r="S33" s="52">
        <f>IF($D33="Actual",SUMIFS(Data_Actuals!$D$2:$D$5000,Data_Actuals!$A$2:$A$5000,$A33,Data_Actuals!$B$2:$B$5000,$B$2),"")</f>
        <v/>
      </c>
      <c r="T33" s="52">
        <f>IF($D33="Actual",SUMIFS(Data_Actuals!$E$2:$E$5000,Data_Actuals!$A$2:$A$5000,$A33,Data_Actuals!$B$2:$B$5000,$B$2),"")</f>
        <v/>
      </c>
      <c r="U33" s="52">
        <f>IF($D33="Actual",SUMIFS(Data_Actuals!$F$2:$F$5000,Data_Actuals!$A$2:$A$5000,$A33,Data_Actuals!$B$2:$B$5000,$B$2),"")</f>
        <v/>
      </c>
      <c r="V33" s="52">
        <f>IF($D33="Actual",SUMIFS(Data_Actuals!$G$2:$G$5000,Data_Actuals!$A$2:$A$5000,$A33,Data_Actuals!$B$2:$B$5000,$B$2),"")</f>
        <v/>
      </c>
      <c r="W33" s="52">
        <f>SUMIFS(Plan_Inputs!$C$2:$C$5000,Plan_Inputs!$A$2:$A$5000,$A33,Plan_Inputs!$B$2:$B$5000,$B$2)</f>
        <v/>
      </c>
      <c r="X33" s="53">
        <f>IF($D33="Actual",IFERROR(S33/T33,""),X21)</f>
        <v/>
      </c>
      <c r="Y33" s="52">
        <f>E33</f>
        <v/>
      </c>
      <c r="Z33" s="54">
        <f>INDEX(Calendar!$H$5:$L$52,MATCH($A33,Calendar!$A$5:$A$52,0),MATCH($D$2,Calendar!$H$4:$L$4,0))</f>
        <v/>
      </c>
      <c r="AA33" s="54">
        <f>INDEX(Calendar!$M$5:$M$52,MATCH($A33,Calendar!$A$5:$A$52,0))</f>
        <v/>
      </c>
      <c r="AB33" s="55">
        <f>IF($D33="Actual",IFERROR(S33/Y33,""),AB21)</f>
        <v/>
      </c>
      <c r="AC33" s="56">
        <f>IF($D33="Actual",IFERROR(U33/T33/Z33/AA33,""),AC21)</f>
        <v/>
      </c>
      <c r="AD33" s="57">
        <f>IF($D33="Actual",IFERROR(V33/(U33+V33),""),$K$2)</f>
        <v/>
      </c>
      <c r="AE33" s="56">
        <f>IFERROR(AC33*Z33*AA33,"")</f>
        <v/>
      </c>
      <c r="AF33" s="53">
        <f>K21</f>
        <v/>
      </c>
      <c r="AG33" s="57">
        <f>IF($D33="Forecast",IFERROR(K33/AF33-1,""),"")</f>
        <v/>
      </c>
      <c r="AH33" s="53">
        <f>IF(CPLHSource="National breakdown",CPLH_Breakdown!AQ38,SUMIFS(Plan_Inputs!$D$2:$D$5000,Plan_Inputs!$A$2:$A$5000,$A33,Plan_Inputs!$B$2:$B$5000,$B$2))</f>
        <v/>
      </c>
      <c r="AJ33" s="15">
        <f>F33*$AK$11</f>
        <v/>
      </c>
      <c r="AK33" s="9">
        <f>G33*$AK$11</f>
        <v/>
      </c>
      <c r="AL33" s="30">
        <f>H33*$AK$11</f>
        <v/>
      </c>
      <c r="AM33" s="30">
        <f>I33*$AK$11</f>
        <v/>
      </c>
      <c r="AN33" s="30">
        <f>J33*$AK$11</f>
        <v/>
      </c>
      <c r="AP33" s="15">
        <f>F33*$AQ$11</f>
        <v/>
      </c>
      <c r="AQ33" s="9">
        <f>G33*$AQ$11</f>
        <v/>
      </c>
      <c r="AR33" s="30">
        <f>H33*$AQ$11</f>
        <v/>
      </c>
      <c r="AS33" s="30">
        <f>I33*$AQ$11</f>
        <v/>
      </c>
      <c r="AT33" s="30">
        <f>J33*$AQ$11</f>
        <v/>
      </c>
      <c r="AV33" s="15">
        <f>F33*$AW$11</f>
        <v/>
      </c>
      <c r="AW33" s="9">
        <f>G33*$AW$11</f>
        <v/>
      </c>
      <c r="AX33" s="30">
        <f>H33*$AW$11</f>
        <v/>
      </c>
      <c r="AY33" s="30">
        <f>I33*$AW$11</f>
        <v/>
      </c>
      <c r="AZ33" s="30">
        <f>J33*$AW$11</f>
        <v/>
      </c>
    </row>
    <row r="34">
      <c r="A34" s="8" t="n">
        <v>46235</v>
      </c>
      <c r="B34" s="33">
        <f>YEAR(A34)</f>
        <v/>
      </c>
      <c r="C34" s="33">
        <f>MONTH(A34)</f>
        <v/>
      </c>
      <c r="D34">
        <f>IF(A34&lt;=LastActual,"Actual","Forecast")</f>
        <v/>
      </c>
      <c r="E34" s="30">
        <f>IF($D34="Actual",R34,W34)</f>
        <v/>
      </c>
      <c r="F34" s="15">
        <f>IF($D34="Actual",S34,Cases_Forecast!AP27)</f>
        <v/>
      </c>
      <c r="G34" s="9">
        <f>IF($D34="Actual",T34,IFERROR(F34/K34,0))</f>
        <v/>
      </c>
      <c r="H34" s="30">
        <f>IF($D34="Actual",U34,G34*L34)</f>
        <v/>
      </c>
      <c r="I34" s="30">
        <f>IF($D34="Actual",V34,J34-H34)</f>
        <v/>
      </c>
      <c r="J34" s="30">
        <f>IF($D34="Actual",U34+V34,IFERROR(H34/(1-AD34),0))</f>
        <v/>
      </c>
      <c r="K34" s="10">
        <f>IF($D34="Actual",IFERROR(S34/T34,0),CPLH_Forecast!AP27)</f>
        <v/>
      </c>
      <c r="L34" s="34">
        <f>IF($D34="Actual",IFERROR(U34/T34,0),N(AE34))</f>
        <v/>
      </c>
      <c r="M34" s="35">
        <f>IFERROR(J34/F34,0)</f>
        <v/>
      </c>
      <c r="N34" s="36">
        <f>IFERROR(J34/E34,0)</f>
        <v/>
      </c>
      <c r="O34" s="36">
        <f>IFERROR(I34/J34,0)</f>
        <v/>
      </c>
      <c r="R34" s="52">
        <f>IF($D34="Actual",SUMIFS(Data_Actuals!$C$2:$C$5000,Data_Actuals!$A$2:$A$5000,$A34,Data_Actuals!$B$2:$B$5000,$B$2),"")</f>
        <v/>
      </c>
      <c r="S34" s="52">
        <f>IF($D34="Actual",SUMIFS(Data_Actuals!$D$2:$D$5000,Data_Actuals!$A$2:$A$5000,$A34,Data_Actuals!$B$2:$B$5000,$B$2),"")</f>
        <v/>
      </c>
      <c r="T34" s="52">
        <f>IF($D34="Actual",SUMIFS(Data_Actuals!$E$2:$E$5000,Data_Actuals!$A$2:$A$5000,$A34,Data_Actuals!$B$2:$B$5000,$B$2),"")</f>
        <v/>
      </c>
      <c r="U34" s="52">
        <f>IF($D34="Actual",SUMIFS(Data_Actuals!$F$2:$F$5000,Data_Actuals!$A$2:$A$5000,$A34,Data_Actuals!$B$2:$B$5000,$B$2),"")</f>
        <v/>
      </c>
      <c r="V34" s="52">
        <f>IF($D34="Actual",SUMIFS(Data_Actuals!$G$2:$G$5000,Data_Actuals!$A$2:$A$5000,$A34,Data_Actuals!$B$2:$B$5000,$B$2),"")</f>
        <v/>
      </c>
      <c r="W34" s="52">
        <f>SUMIFS(Plan_Inputs!$C$2:$C$5000,Plan_Inputs!$A$2:$A$5000,$A34,Plan_Inputs!$B$2:$B$5000,$B$2)</f>
        <v/>
      </c>
      <c r="X34" s="53">
        <f>IF($D34="Actual",IFERROR(S34/T34,""),X22)</f>
        <v/>
      </c>
      <c r="Y34" s="52">
        <f>E34</f>
        <v/>
      </c>
      <c r="Z34" s="54">
        <f>INDEX(Calendar!$H$5:$L$52,MATCH($A34,Calendar!$A$5:$A$52,0),MATCH($D$2,Calendar!$H$4:$L$4,0))</f>
        <v/>
      </c>
      <c r="AA34" s="54">
        <f>INDEX(Calendar!$M$5:$M$52,MATCH($A34,Calendar!$A$5:$A$52,0))</f>
        <v/>
      </c>
      <c r="AB34" s="55">
        <f>IF($D34="Actual",IFERROR(S34/Y34,""),AB22)</f>
        <v/>
      </c>
      <c r="AC34" s="56">
        <f>IF($D34="Actual",IFERROR(U34/T34/Z34/AA34,""),AC22)</f>
        <v/>
      </c>
      <c r="AD34" s="57">
        <f>IF($D34="Actual",IFERROR(V34/(U34+V34),""),$K$2)</f>
        <v/>
      </c>
      <c r="AE34" s="56">
        <f>IFERROR(AC34*Z34*AA34,"")</f>
        <v/>
      </c>
      <c r="AF34" s="53">
        <f>K22</f>
        <v/>
      </c>
      <c r="AG34" s="57">
        <f>IF($D34="Forecast",IFERROR(K34/AF34-1,""),"")</f>
        <v/>
      </c>
      <c r="AH34" s="53">
        <f>IF(CPLHSource="National breakdown",CPLH_Breakdown!AQ39,SUMIFS(Plan_Inputs!$D$2:$D$5000,Plan_Inputs!$A$2:$A$5000,$A34,Plan_Inputs!$B$2:$B$5000,$B$2))</f>
        <v/>
      </c>
      <c r="AJ34" s="15">
        <f>F34*$AK$11</f>
        <v/>
      </c>
      <c r="AK34" s="9">
        <f>G34*$AK$11</f>
        <v/>
      </c>
      <c r="AL34" s="30">
        <f>H34*$AK$11</f>
        <v/>
      </c>
      <c r="AM34" s="30">
        <f>I34*$AK$11</f>
        <v/>
      </c>
      <c r="AN34" s="30">
        <f>J34*$AK$11</f>
        <v/>
      </c>
      <c r="AP34" s="15">
        <f>F34*$AQ$11</f>
        <v/>
      </c>
      <c r="AQ34" s="9">
        <f>G34*$AQ$11</f>
        <v/>
      </c>
      <c r="AR34" s="30">
        <f>H34*$AQ$11</f>
        <v/>
      </c>
      <c r="AS34" s="30">
        <f>I34*$AQ$11</f>
        <v/>
      </c>
      <c r="AT34" s="30">
        <f>J34*$AQ$11</f>
        <v/>
      </c>
      <c r="AV34" s="15">
        <f>F34*$AW$11</f>
        <v/>
      </c>
      <c r="AW34" s="9">
        <f>G34*$AW$11</f>
        <v/>
      </c>
      <c r="AX34" s="30">
        <f>H34*$AW$11</f>
        <v/>
      </c>
      <c r="AY34" s="30">
        <f>I34*$AW$11</f>
        <v/>
      </c>
      <c r="AZ34" s="30">
        <f>J34*$AW$11</f>
        <v/>
      </c>
    </row>
    <row r="35">
      <c r="A35" s="8" t="n">
        <v>46266</v>
      </c>
      <c r="B35" s="33">
        <f>YEAR(A35)</f>
        <v/>
      </c>
      <c r="C35" s="33">
        <f>MONTH(A35)</f>
        <v/>
      </c>
      <c r="D35">
        <f>IF(A35&lt;=LastActual,"Actual","Forecast")</f>
        <v/>
      </c>
      <c r="E35" s="30">
        <f>IF($D35="Actual",R35,W35)</f>
        <v/>
      </c>
      <c r="F35" s="15">
        <f>IF($D35="Actual",S35,Cases_Forecast!AP28)</f>
        <v/>
      </c>
      <c r="G35" s="9">
        <f>IF($D35="Actual",T35,IFERROR(F35/K35,0))</f>
        <v/>
      </c>
      <c r="H35" s="30">
        <f>IF($D35="Actual",U35,G35*L35)</f>
        <v/>
      </c>
      <c r="I35" s="30">
        <f>IF($D35="Actual",V35,J35-H35)</f>
        <v/>
      </c>
      <c r="J35" s="30">
        <f>IF($D35="Actual",U35+V35,IFERROR(H35/(1-AD35),0))</f>
        <v/>
      </c>
      <c r="K35" s="10">
        <f>IF($D35="Actual",IFERROR(S35/T35,0),CPLH_Forecast!AP28)</f>
        <v/>
      </c>
      <c r="L35" s="34">
        <f>IF($D35="Actual",IFERROR(U35/T35,0),N(AE35))</f>
        <v/>
      </c>
      <c r="M35" s="35">
        <f>IFERROR(J35/F35,0)</f>
        <v/>
      </c>
      <c r="N35" s="36">
        <f>IFERROR(J35/E35,0)</f>
        <v/>
      </c>
      <c r="O35" s="36">
        <f>IFERROR(I35/J35,0)</f>
        <v/>
      </c>
      <c r="R35" s="52">
        <f>IF($D35="Actual",SUMIFS(Data_Actuals!$C$2:$C$5000,Data_Actuals!$A$2:$A$5000,$A35,Data_Actuals!$B$2:$B$5000,$B$2),"")</f>
        <v/>
      </c>
      <c r="S35" s="52">
        <f>IF($D35="Actual",SUMIFS(Data_Actuals!$D$2:$D$5000,Data_Actuals!$A$2:$A$5000,$A35,Data_Actuals!$B$2:$B$5000,$B$2),"")</f>
        <v/>
      </c>
      <c r="T35" s="52">
        <f>IF($D35="Actual",SUMIFS(Data_Actuals!$E$2:$E$5000,Data_Actuals!$A$2:$A$5000,$A35,Data_Actuals!$B$2:$B$5000,$B$2),"")</f>
        <v/>
      </c>
      <c r="U35" s="52">
        <f>IF($D35="Actual",SUMIFS(Data_Actuals!$F$2:$F$5000,Data_Actuals!$A$2:$A$5000,$A35,Data_Actuals!$B$2:$B$5000,$B$2),"")</f>
        <v/>
      </c>
      <c r="V35" s="52">
        <f>IF($D35="Actual",SUMIFS(Data_Actuals!$G$2:$G$5000,Data_Actuals!$A$2:$A$5000,$A35,Data_Actuals!$B$2:$B$5000,$B$2),"")</f>
        <v/>
      </c>
      <c r="W35" s="52">
        <f>SUMIFS(Plan_Inputs!$C$2:$C$5000,Plan_Inputs!$A$2:$A$5000,$A35,Plan_Inputs!$B$2:$B$5000,$B$2)</f>
        <v/>
      </c>
      <c r="X35" s="53">
        <f>IF($D35="Actual",IFERROR(S35/T35,""),X23)</f>
        <v/>
      </c>
      <c r="Y35" s="52">
        <f>E35</f>
        <v/>
      </c>
      <c r="Z35" s="54">
        <f>INDEX(Calendar!$H$5:$L$52,MATCH($A35,Calendar!$A$5:$A$52,0),MATCH($D$2,Calendar!$H$4:$L$4,0))</f>
        <v/>
      </c>
      <c r="AA35" s="54">
        <f>INDEX(Calendar!$M$5:$M$52,MATCH($A35,Calendar!$A$5:$A$52,0))</f>
        <v/>
      </c>
      <c r="AB35" s="55">
        <f>IF($D35="Actual",IFERROR(S35/Y35,""),AB23)</f>
        <v/>
      </c>
      <c r="AC35" s="56">
        <f>IF($D35="Actual",IFERROR(U35/T35/Z35/AA35,""),AC23)</f>
        <v/>
      </c>
      <c r="AD35" s="57">
        <f>IF($D35="Actual",IFERROR(V35/(U35+V35),""),$K$2)</f>
        <v/>
      </c>
      <c r="AE35" s="56">
        <f>IFERROR(AC35*Z35*AA35,"")</f>
        <v/>
      </c>
      <c r="AF35" s="53">
        <f>K23</f>
        <v/>
      </c>
      <c r="AG35" s="57">
        <f>IF($D35="Forecast",IFERROR(K35/AF35-1,""),"")</f>
        <v/>
      </c>
      <c r="AH35" s="53">
        <f>IF(CPLHSource="National breakdown",CPLH_Breakdown!AQ40,SUMIFS(Plan_Inputs!$D$2:$D$5000,Plan_Inputs!$A$2:$A$5000,$A35,Plan_Inputs!$B$2:$B$5000,$B$2))</f>
        <v/>
      </c>
      <c r="AJ35" s="15">
        <f>F35*$AK$11</f>
        <v/>
      </c>
      <c r="AK35" s="9">
        <f>G35*$AK$11</f>
        <v/>
      </c>
      <c r="AL35" s="30">
        <f>H35*$AK$11</f>
        <v/>
      </c>
      <c r="AM35" s="30">
        <f>I35*$AK$11</f>
        <v/>
      </c>
      <c r="AN35" s="30">
        <f>J35*$AK$11</f>
        <v/>
      </c>
      <c r="AP35" s="15">
        <f>F35*$AQ$11</f>
        <v/>
      </c>
      <c r="AQ35" s="9">
        <f>G35*$AQ$11</f>
        <v/>
      </c>
      <c r="AR35" s="30">
        <f>H35*$AQ$11</f>
        <v/>
      </c>
      <c r="AS35" s="30">
        <f>I35*$AQ$11</f>
        <v/>
      </c>
      <c r="AT35" s="30">
        <f>J35*$AQ$11</f>
        <v/>
      </c>
      <c r="AV35" s="15">
        <f>F35*$AW$11</f>
        <v/>
      </c>
      <c r="AW35" s="9">
        <f>G35*$AW$11</f>
        <v/>
      </c>
      <c r="AX35" s="30">
        <f>H35*$AW$11</f>
        <v/>
      </c>
      <c r="AY35" s="30">
        <f>I35*$AW$11</f>
        <v/>
      </c>
      <c r="AZ35" s="30">
        <f>J35*$AW$11</f>
        <v/>
      </c>
    </row>
    <row r="36">
      <c r="A36" s="8" t="n">
        <v>46296</v>
      </c>
      <c r="B36" s="33">
        <f>YEAR(A36)</f>
        <v/>
      </c>
      <c r="C36" s="33">
        <f>MONTH(A36)</f>
        <v/>
      </c>
      <c r="D36">
        <f>IF(A36&lt;=LastActual,"Actual","Forecast")</f>
        <v/>
      </c>
      <c r="E36" s="30">
        <f>IF($D36="Actual",R36,W36)</f>
        <v/>
      </c>
      <c r="F36" s="15">
        <f>IF($D36="Actual",S36,Cases_Forecast!AP29)</f>
        <v/>
      </c>
      <c r="G36" s="9">
        <f>IF($D36="Actual",T36,IFERROR(F36/K36,0))</f>
        <v/>
      </c>
      <c r="H36" s="30">
        <f>IF($D36="Actual",U36,G36*L36)</f>
        <v/>
      </c>
      <c r="I36" s="30">
        <f>IF($D36="Actual",V36,J36-H36)</f>
        <v/>
      </c>
      <c r="J36" s="30">
        <f>IF($D36="Actual",U36+V36,IFERROR(H36/(1-AD36),0))</f>
        <v/>
      </c>
      <c r="K36" s="10">
        <f>IF($D36="Actual",IFERROR(S36/T36,0),CPLH_Forecast!AP29)</f>
        <v/>
      </c>
      <c r="L36" s="34">
        <f>IF($D36="Actual",IFERROR(U36/T36,0),N(AE36))</f>
        <v/>
      </c>
      <c r="M36" s="35">
        <f>IFERROR(J36/F36,0)</f>
        <v/>
      </c>
      <c r="N36" s="36">
        <f>IFERROR(J36/E36,0)</f>
        <v/>
      </c>
      <c r="O36" s="36">
        <f>IFERROR(I36/J36,0)</f>
        <v/>
      </c>
      <c r="R36" s="52">
        <f>IF($D36="Actual",SUMIFS(Data_Actuals!$C$2:$C$5000,Data_Actuals!$A$2:$A$5000,$A36,Data_Actuals!$B$2:$B$5000,$B$2),"")</f>
        <v/>
      </c>
      <c r="S36" s="52">
        <f>IF($D36="Actual",SUMIFS(Data_Actuals!$D$2:$D$5000,Data_Actuals!$A$2:$A$5000,$A36,Data_Actuals!$B$2:$B$5000,$B$2),"")</f>
        <v/>
      </c>
      <c r="T36" s="52">
        <f>IF($D36="Actual",SUMIFS(Data_Actuals!$E$2:$E$5000,Data_Actuals!$A$2:$A$5000,$A36,Data_Actuals!$B$2:$B$5000,$B$2),"")</f>
        <v/>
      </c>
      <c r="U36" s="52">
        <f>IF($D36="Actual",SUMIFS(Data_Actuals!$F$2:$F$5000,Data_Actuals!$A$2:$A$5000,$A36,Data_Actuals!$B$2:$B$5000,$B$2),"")</f>
        <v/>
      </c>
      <c r="V36" s="52">
        <f>IF($D36="Actual",SUMIFS(Data_Actuals!$G$2:$G$5000,Data_Actuals!$A$2:$A$5000,$A36,Data_Actuals!$B$2:$B$5000,$B$2),"")</f>
        <v/>
      </c>
      <c r="W36" s="52">
        <f>SUMIFS(Plan_Inputs!$C$2:$C$5000,Plan_Inputs!$A$2:$A$5000,$A36,Plan_Inputs!$B$2:$B$5000,$B$2)</f>
        <v/>
      </c>
      <c r="X36" s="53">
        <f>IF($D36="Actual",IFERROR(S36/T36,""),X24)</f>
        <v/>
      </c>
      <c r="Y36" s="52">
        <f>E36</f>
        <v/>
      </c>
      <c r="Z36" s="54">
        <f>INDEX(Calendar!$H$5:$L$52,MATCH($A36,Calendar!$A$5:$A$52,0),MATCH($D$2,Calendar!$H$4:$L$4,0))</f>
        <v/>
      </c>
      <c r="AA36" s="54">
        <f>INDEX(Calendar!$M$5:$M$52,MATCH($A36,Calendar!$A$5:$A$52,0))</f>
        <v/>
      </c>
      <c r="AB36" s="55">
        <f>IF($D36="Actual",IFERROR(S36/Y36,""),AB24)</f>
        <v/>
      </c>
      <c r="AC36" s="56">
        <f>IF($D36="Actual",IFERROR(U36/T36/Z36/AA36,""),AC24)</f>
        <v/>
      </c>
      <c r="AD36" s="57">
        <f>IF($D36="Actual",IFERROR(V36/(U36+V36),""),$K$2)</f>
        <v/>
      </c>
      <c r="AE36" s="56">
        <f>IFERROR(AC36*Z36*AA36,"")</f>
        <v/>
      </c>
      <c r="AF36" s="53">
        <f>K24</f>
        <v/>
      </c>
      <c r="AG36" s="57">
        <f>IF($D36="Forecast",IFERROR(K36/AF36-1,""),"")</f>
        <v/>
      </c>
      <c r="AH36" s="53">
        <f>IF(CPLHSource="National breakdown",CPLH_Breakdown!AQ41,SUMIFS(Plan_Inputs!$D$2:$D$5000,Plan_Inputs!$A$2:$A$5000,$A36,Plan_Inputs!$B$2:$B$5000,$B$2))</f>
        <v/>
      </c>
      <c r="AJ36" s="15">
        <f>F36*$AK$11</f>
        <v/>
      </c>
      <c r="AK36" s="9">
        <f>G36*$AK$11</f>
        <v/>
      </c>
      <c r="AL36" s="30">
        <f>H36*$AK$11</f>
        <v/>
      </c>
      <c r="AM36" s="30">
        <f>I36*$AK$11</f>
        <v/>
      </c>
      <c r="AN36" s="30">
        <f>J36*$AK$11</f>
        <v/>
      </c>
      <c r="AP36" s="15">
        <f>F36*$AQ$11</f>
        <v/>
      </c>
      <c r="AQ36" s="9">
        <f>G36*$AQ$11</f>
        <v/>
      </c>
      <c r="AR36" s="30">
        <f>H36*$AQ$11</f>
        <v/>
      </c>
      <c r="AS36" s="30">
        <f>I36*$AQ$11</f>
        <v/>
      </c>
      <c r="AT36" s="30">
        <f>J36*$AQ$11</f>
        <v/>
      </c>
      <c r="AV36" s="15">
        <f>F36*$AW$11</f>
        <v/>
      </c>
      <c r="AW36" s="9">
        <f>G36*$AW$11</f>
        <v/>
      </c>
      <c r="AX36" s="30">
        <f>H36*$AW$11</f>
        <v/>
      </c>
      <c r="AY36" s="30">
        <f>I36*$AW$11</f>
        <v/>
      </c>
      <c r="AZ36" s="30">
        <f>J36*$AW$11</f>
        <v/>
      </c>
    </row>
    <row r="37">
      <c r="A37" s="8" t="n">
        <v>46327</v>
      </c>
      <c r="B37" s="33">
        <f>YEAR(A37)</f>
        <v/>
      </c>
      <c r="C37" s="33">
        <f>MONTH(A37)</f>
        <v/>
      </c>
      <c r="D37">
        <f>IF(A37&lt;=LastActual,"Actual","Forecast")</f>
        <v/>
      </c>
      <c r="E37" s="30">
        <f>IF($D37="Actual",R37,W37)</f>
        <v/>
      </c>
      <c r="F37" s="15">
        <f>IF($D37="Actual",S37,Cases_Forecast!AP30)</f>
        <v/>
      </c>
      <c r="G37" s="9">
        <f>IF($D37="Actual",T37,IFERROR(F37/K37,0))</f>
        <v/>
      </c>
      <c r="H37" s="30">
        <f>IF($D37="Actual",U37,G37*L37)</f>
        <v/>
      </c>
      <c r="I37" s="30">
        <f>IF($D37="Actual",V37,J37-H37)</f>
        <v/>
      </c>
      <c r="J37" s="30">
        <f>IF($D37="Actual",U37+V37,IFERROR(H37/(1-AD37),0))</f>
        <v/>
      </c>
      <c r="K37" s="10">
        <f>IF($D37="Actual",IFERROR(S37/T37,0),CPLH_Forecast!AP30)</f>
        <v/>
      </c>
      <c r="L37" s="34">
        <f>IF($D37="Actual",IFERROR(U37/T37,0),N(AE37))</f>
        <v/>
      </c>
      <c r="M37" s="35">
        <f>IFERROR(J37/F37,0)</f>
        <v/>
      </c>
      <c r="N37" s="36">
        <f>IFERROR(J37/E37,0)</f>
        <v/>
      </c>
      <c r="O37" s="36">
        <f>IFERROR(I37/J37,0)</f>
        <v/>
      </c>
      <c r="R37" s="52">
        <f>IF($D37="Actual",SUMIFS(Data_Actuals!$C$2:$C$5000,Data_Actuals!$A$2:$A$5000,$A37,Data_Actuals!$B$2:$B$5000,$B$2),"")</f>
        <v/>
      </c>
      <c r="S37" s="52">
        <f>IF($D37="Actual",SUMIFS(Data_Actuals!$D$2:$D$5000,Data_Actuals!$A$2:$A$5000,$A37,Data_Actuals!$B$2:$B$5000,$B$2),"")</f>
        <v/>
      </c>
      <c r="T37" s="52">
        <f>IF($D37="Actual",SUMIFS(Data_Actuals!$E$2:$E$5000,Data_Actuals!$A$2:$A$5000,$A37,Data_Actuals!$B$2:$B$5000,$B$2),"")</f>
        <v/>
      </c>
      <c r="U37" s="52">
        <f>IF($D37="Actual",SUMIFS(Data_Actuals!$F$2:$F$5000,Data_Actuals!$A$2:$A$5000,$A37,Data_Actuals!$B$2:$B$5000,$B$2),"")</f>
        <v/>
      </c>
      <c r="V37" s="52">
        <f>IF($D37="Actual",SUMIFS(Data_Actuals!$G$2:$G$5000,Data_Actuals!$A$2:$A$5000,$A37,Data_Actuals!$B$2:$B$5000,$B$2),"")</f>
        <v/>
      </c>
      <c r="W37" s="52">
        <f>SUMIFS(Plan_Inputs!$C$2:$C$5000,Plan_Inputs!$A$2:$A$5000,$A37,Plan_Inputs!$B$2:$B$5000,$B$2)</f>
        <v/>
      </c>
      <c r="X37" s="53">
        <f>IF($D37="Actual",IFERROR(S37/T37,""),X25)</f>
        <v/>
      </c>
      <c r="Y37" s="52">
        <f>E37</f>
        <v/>
      </c>
      <c r="Z37" s="54">
        <f>INDEX(Calendar!$H$5:$L$52,MATCH($A37,Calendar!$A$5:$A$52,0),MATCH($D$2,Calendar!$H$4:$L$4,0))</f>
        <v/>
      </c>
      <c r="AA37" s="54">
        <f>INDEX(Calendar!$M$5:$M$52,MATCH($A37,Calendar!$A$5:$A$52,0))</f>
        <v/>
      </c>
      <c r="AB37" s="55">
        <f>IF($D37="Actual",IFERROR(S37/Y37,""),AB25)</f>
        <v/>
      </c>
      <c r="AC37" s="56">
        <f>IF($D37="Actual",IFERROR(U37/T37/Z37/AA37,""),AC25)</f>
        <v/>
      </c>
      <c r="AD37" s="57">
        <f>IF($D37="Actual",IFERROR(V37/(U37+V37),""),$K$2)</f>
        <v/>
      </c>
      <c r="AE37" s="56">
        <f>IFERROR(AC37*Z37*AA37,"")</f>
        <v/>
      </c>
      <c r="AF37" s="53">
        <f>K25</f>
        <v/>
      </c>
      <c r="AG37" s="57">
        <f>IF($D37="Forecast",IFERROR(K37/AF37-1,""),"")</f>
        <v/>
      </c>
      <c r="AH37" s="53">
        <f>IF(CPLHSource="National breakdown",CPLH_Breakdown!AQ42,SUMIFS(Plan_Inputs!$D$2:$D$5000,Plan_Inputs!$A$2:$A$5000,$A37,Plan_Inputs!$B$2:$B$5000,$B$2))</f>
        <v/>
      </c>
      <c r="AJ37" s="15">
        <f>F37*$AK$11</f>
        <v/>
      </c>
      <c r="AK37" s="9">
        <f>G37*$AK$11</f>
        <v/>
      </c>
      <c r="AL37" s="30">
        <f>H37*$AK$11</f>
        <v/>
      </c>
      <c r="AM37" s="30">
        <f>I37*$AK$11</f>
        <v/>
      </c>
      <c r="AN37" s="30">
        <f>J37*$AK$11</f>
        <v/>
      </c>
      <c r="AP37" s="15">
        <f>F37*$AQ$11</f>
        <v/>
      </c>
      <c r="AQ37" s="9">
        <f>G37*$AQ$11</f>
        <v/>
      </c>
      <c r="AR37" s="30">
        <f>H37*$AQ$11</f>
        <v/>
      </c>
      <c r="AS37" s="30">
        <f>I37*$AQ$11</f>
        <v/>
      </c>
      <c r="AT37" s="30">
        <f>J37*$AQ$11</f>
        <v/>
      </c>
      <c r="AV37" s="15">
        <f>F37*$AW$11</f>
        <v/>
      </c>
      <c r="AW37" s="9">
        <f>G37*$AW$11</f>
        <v/>
      </c>
      <c r="AX37" s="30">
        <f>H37*$AW$11</f>
        <v/>
      </c>
      <c r="AY37" s="30">
        <f>I37*$AW$11</f>
        <v/>
      </c>
      <c r="AZ37" s="30">
        <f>J37*$AW$11</f>
        <v/>
      </c>
    </row>
    <row r="38">
      <c r="A38" s="37" t="n">
        <v>46357</v>
      </c>
      <c r="B38" s="38">
        <f>YEAR(A38)</f>
        <v/>
      </c>
      <c r="C38" s="38">
        <f>MONTH(A38)</f>
        <v/>
      </c>
      <c r="D38" s="39">
        <f>IF(A38&lt;=LastActual,"Actual","Forecast")</f>
        <v/>
      </c>
      <c r="E38" s="40">
        <f>IF($D38="Actual",R38,W38)</f>
        <v/>
      </c>
      <c r="F38" s="41">
        <f>IF($D38="Actual",S38,Cases_Forecast!AP31)</f>
        <v/>
      </c>
      <c r="G38" s="42">
        <f>IF($D38="Actual",T38,IFERROR(F38/K38,0))</f>
        <v/>
      </c>
      <c r="H38" s="40">
        <f>IF($D38="Actual",U38,G38*L38)</f>
        <v/>
      </c>
      <c r="I38" s="40">
        <f>IF($D38="Actual",V38,J38-H38)</f>
        <v/>
      </c>
      <c r="J38" s="40">
        <f>IF($D38="Actual",U38+V38,IFERROR(H38/(1-AD38),0))</f>
        <v/>
      </c>
      <c r="K38" s="43">
        <f>IF($D38="Actual",IFERROR(S38/T38,0),CPLH_Forecast!AP31)</f>
        <v/>
      </c>
      <c r="L38" s="44">
        <f>IF($D38="Actual",IFERROR(U38/T38,0),N(AE38))</f>
        <v/>
      </c>
      <c r="M38" s="45">
        <f>IFERROR(J38/F38,0)</f>
        <v/>
      </c>
      <c r="N38" s="46">
        <f>IFERROR(J38/E38,0)</f>
        <v/>
      </c>
      <c r="O38" s="46">
        <f>IFERROR(I38/J38,0)</f>
        <v/>
      </c>
      <c r="R38" s="52">
        <f>IF($D38="Actual",SUMIFS(Data_Actuals!$C$2:$C$5000,Data_Actuals!$A$2:$A$5000,$A38,Data_Actuals!$B$2:$B$5000,$B$2),"")</f>
        <v/>
      </c>
      <c r="S38" s="52">
        <f>IF($D38="Actual",SUMIFS(Data_Actuals!$D$2:$D$5000,Data_Actuals!$A$2:$A$5000,$A38,Data_Actuals!$B$2:$B$5000,$B$2),"")</f>
        <v/>
      </c>
      <c r="T38" s="52">
        <f>IF($D38="Actual",SUMIFS(Data_Actuals!$E$2:$E$5000,Data_Actuals!$A$2:$A$5000,$A38,Data_Actuals!$B$2:$B$5000,$B$2),"")</f>
        <v/>
      </c>
      <c r="U38" s="52">
        <f>IF($D38="Actual",SUMIFS(Data_Actuals!$F$2:$F$5000,Data_Actuals!$A$2:$A$5000,$A38,Data_Actuals!$B$2:$B$5000,$B$2),"")</f>
        <v/>
      </c>
      <c r="V38" s="52">
        <f>IF($D38="Actual",SUMIFS(Data_Actuals!$G$2:$G$5000,Data_Actuals!$A$2:$A$5000,$A38,Data_Actuals!$B$2:$B$5000,$B$2),"")</f>
        <v/>
      </c>
      <c r="W38" s="52">
        <f>SUMIFS(Plan_Inputs!$C$2:$C$5000,Plan_Inputs!$A$2:$A$5000,$A38,Plan_Inputs!$B$2:$B$5000,$B$2)</f>
        <v/>
      </c>
      <c r="X38" s="53">
        <f>IF($D38="Actual",IFERROR(S38/T38,""),X26)</f>
        <v/>
      </c>
      <c r="Y38" s="52">
        <f>E38</f>
        <v/>
      </c>
      <c r="Z38" s="54">
        <f>INDEX(Calendar!$H$5:$L$52,MATCH($A38,Calendar!$A$5:$A$52,0),MATCH($D$2,Calendar!$H$4:$L$4,0))</f>
        <v/>
      </c>
      <c r="AA38" s="54">
        <f>INDEX(Calendar!$M$5:$M$52,MATCH($A38,Calendar!$A$5:$A$52,0))</f>
        <v/>
      </c>
      <c r="AB38" s="55">
        <f>IF($D38="Actual",IFERROR(S38/Y38,""),AB26)</f>
        <v/>
      </c>
      <c r="AC38" s="56">
        <f>IF($D38="Actual",IFERROR(U38/T38/Z38/AA38,""),AC26)</f>
        <v/>
      </c>
      <c r="AD38" s="57">
        <f>IF($D38="Actual",IFERROR(V38/(U38+V38),""),$K$2)</f>
        <v/>
      </c>
      <c r="AE38" s="56">
        <f>IFERROR(AC38*Z38*AA38,"")</f>
        <v/>
      </c>
      <c r="AF38" s="53">
        <f>K26</f>
        <v/>
      </c>
      <c r="AG38" s="57">
        <f>IF($D38="Forecast",IFERROR(K38/AF38-1,""),"")</f>
        <v/>
      </c>
      <c r="AH38" s="53">
        <f>IF(CPLHSource="National breakdown",CPLH_Breakdown!AQ43,SUMIFS(Plan_Inputs!$D$2:$D$5000,Plan_Inputs!$A$2:$A$5000,$A38,Plan_Inputs!$B$2:$B$5000,$B$2))</f>
        <v/>
      </c>
      <c r="AJ38" s="41">
        <f>F38*$AK$11</f>
        <v/>
      </c>
      <c r="AK38" s="42">
        <f>G38*$AK$11</f>
        <v/>
      </c>
      <c r="AL38" s="40">
        <f>H38*$AK$11</f>
        <v/>
      </c>
      <c r="AM38" s="40">
        <f>I38*$AK$11</f>
        <v/>
      </c>
      <c r="AN38" s="40">
        <f>J38*$AK$11</f>
        <v/>
      </c>
      <c r="AP38" s="41">
        <f>F38*$AQ$11</f>
        <v/>
      </c>
      <c r="AQ38" s="42">
        <f>G38*$AQ$11</f>
        <v/>
      </c>
      <c r="AR38" s="40">
        <f>H38*$AQ$11</f>
        <v/>
      </c>
      <c r="AS38" s="40">
        <f>I38*$AQ$11</f>
        <v/>
      </c>
      <c r="AT38" s="40">
        <f>J38*$AQ$11</f>
        <v/>
      </c>
      <c r="AV38" s="41">
        <f>F38*$AW$11</f>
        <v/>
      </c>
      <c r="AW38" s="42">
        <f>G38*$AW$11</f>
        <v/>
      </c>
      <c r="AX38" s="40">
        <f>H38*$AW$11</f>
        <v/>
      </c>
      <c r="AY38" s="40">
        <f>I38*$AW$11</f>
        <v/>
      </c>
      <c r="AZ38" s="40">
        <f>J38*$AW$11</f>
        <v/>
      </c>
    </row>
    <row r="39">
      <c r="A39" s="8" t="n">
        <v>46388</v>
      </c>
      <c r="B39" s="33">
        <f>YEAR(A39)</f>
        <v/>
      </c>
      <c r="C39" s="33">
        <f>MONTH(A39)</f>
        <v/>
      </c>
      <c r="D39">
        <f>IF(A39&lt;=LastActual,"Actual","Forecast")</f>
        <v/>
      </c>
      <c r="E39" s="30">
        <f>IF($D39="Actual",R39,W39)</f>
        <v/>
      </c>
      <c r="F39" s="15">
        <f>IF($D39="Actual",S39,Cases_Forecast!AP32)</f>
        <v/>
      </c>
      <c r="G39" s="9">
        <f>IF($D39="Actual",T39,IFERROR(F39/K39,0))</f>
        <v/>
      </c>
      <c r="H39" s="30">
        <f>IF($D39="Actual",U39,G39*L39)</f>
        <v/>
      </c>
      <c r="I39" s="30">
        <f>IF($D39="Actual",V39,J39-H39)</f>
        <v/>
      </c>
      <c r="J39" s="30">
        <f>IF($D39="Actual",U39+V39,IFERROR(H39/(1-AD39),0))</f>
        <v/>
      </c>
      <c r="K39" s="10">
        <f>IF($D39="Actual",IFERROR(S39/T39,0),CPLH_Forecast!AP32)</f>
        <v/>
      </c>
      <c r="L39" s="34">
        <f>IF($D39="Actual",IFERROR(U39/T39,0),N(AE39))</f>
        <v/>
      </c>
      <c r="M39" s="35">
        <f>IFERROR(J39/F39,0)</f>
        <v/>
      </c>
      <c r="N39" s="36">
        <f>IFERROR(J39/E39,0)</f>
        <v/>
      </c>
      <c r="O39" s="36">
        <f>IFERROR(I39/J39,0)</f>
        <v/>
      </c>
      <c r="R39" s="52">
        <f>IF($D39="Actual",SUMIFS(Data_Actuals!$C$2:$C$5000,Data_Actuals!$A$2:$A$5000,$A39,Data_Actuals!$B$2:$B$5000,$B$2),"")</f>
        <v/>
      </c>
      <c r="S39" s="52">
        <f>IF($D39="Actual",SUMIFS(Data_Actuals!$D$2:$D$5000,Data_Actuals!$A$2:$A$5000,$A39,Data_Actuals!$B$2:$B$5000,$B$2),"")</f>
        <v/>
      </c>
      <c r="T39" s="52">
        <f>IF($D39="Actual",SUMIFS(Data_Actuals!$E$2:$E$5000,Data_Actuals!$A$2:$A$5000,$A39,Data_Actuals!$B$2:$B$5000,$B$2),"")</f>
        <v/>
      </c>
      <c r="U39" s="52">
        <f>IF($D39="Actual",SUMIFS(Data_Actuals!$F$2:$F$5000,Data_Actuals!$A$2:$A$5000,$A39,Data_Actuals!$B$2:$B$5000,$B$2),"")</f>
        <v/>
      </c>
      <c r="V39" s="52">
        <f>IF($D39="Actual",SUMIFS(Data_Actuals!$G$2:$G$5000,Data_Actuals!$A$2:$A$5000,$A39,Data_Actuals!$B$2:$B$5000,$B$2),"")</f>
        <v/>
      </c>
      <c r="W39" s="52">
        <f>SUMIFS(Plan_Inputs!$C$2:$C$5000,Plan_Inputs!$A$2:$A$5000,$A39,Plan_Inputs!$B$2:$B$5000,$B$2)</f>
        <v/>
      </c>
      <c r="X39" s="53">
        <f>IF($D39="Actual",IFERROR(S39/T39,""),X27)</f>
        <v/>
      </c>
      <c r="Y39" s="52">
        <f>E39</f>
        <v/>
      </c>
      <c r="Z39" s="54">
        <f>INDEX(Calendar!$H$5:$L$52,MATCH($A39,Calendar!$A$5:$A$52,0),MATCH($D$2,Calendar!$H$4:$L$4,0))</f>
        <v/>
      </c>
      <c r="AA39" s="54">
        <f>INDEX(Calendar!$M$5:$M$52,MATCH($A39,Calendar!$A$5:$A$52,0))</f>
        <v/>
      </c>
      <c r="AB39" s="55">
        <f>IF($D39="Actual",IFERROR(S39/Y39,""),AB27)</f>
        <v/>
      </c>
      <c r="AC39" s="56">
        <f>IF($D39="Actual",IFERROR(U39/T39/Z39/AA39,""),AC27)</f>
        <v/>
      </c>
      <c r="AD39" s="57">
        <f>IF($D39="Actual",IFERROR(V39/(U39+V39),""),$K$2)</f>
        <v/>
      </c>
      <c r="AE39" s="56">
        <f>IFERROR(AC39*Z39*AA39,"")</f>
        <v/>
      </c>
      <c r="AF39" s="53">
        <f>K27</f>
        <v/>
      </c>
      <c r="AG39" s="57">
        <f>IF($D39="Forecast",IFERROR(K39/AF39-1,""),"")</f>
        <v/>
      </c>
      <c r="AH39" s="53">
        <f>IF(CPLHSource="National breakdown",CPLH_Breakdown!AQ44,SUMIFS(Plan_Inputs!$D$2:$D$5000,Plan_Inputs!$A$2:$A$5000,$A39,Plan_Inputs!$B$2:$B$5000,$B$2))</f>
        <v/>
      </c>
      <c r="AJ39" s="15">
        <f>F39*$AK$11</f>
        <v/>
      </c>
      <c r="AK39" s="9">
        <f>G39*$AK$11</f>
        <v/>
      </c>
      <c r="AL39" s="30">
        <f>H39*$AK$11</f>
        <v/>
      </c>
      <c r="AM39" s="30">
        <f>I39*$AK$11</f>
        <v/>
      </c>
      <c r="AN39" s="30">
        <f>J39*$AK$11</f>
        <v/>
      </c>
      <c r="AP39" s="15">
        <f>F39*$AQ$11</f>
        <v/>
      </c>
      <c r="AQ39" s="9">
        <f>G39*$AQ$11</f>
        <v/>
      </c>
      <c r="AR39" s="30">
        <f>H39*$AQ$11</f>
        <v/>
      </c>
      <c r="AS39" s="30">
        <f>I39*$AQ$11</f>
        <v/>
      </c>
      <c r="AT39" s="30">
        <f>J39*$AQ$11</f>
        <v/>
      </c>
      <c r="AV39" s="15">
        <f>F39*$AW$11</f>
        <v/>
      </c>
      <c r="AW39" s="9">
        <f>G39*$AW$11</f>
        <v/>
      </c>
      <c r="AX39" s="30">
        <f>H39*$AW$11</f>
        <v/>
      </c>
      <c r="AY39" s="30">
        <f>I39*$AW$11</f>
        <v/>
      </c>
      <c r="AZ39" s="30">
        <f>J39*$AW$11</f>
        <v/>
      </c>
    </row>
    <row r="40">
      <c r="A40" s="8" t="n">
        <v>46419</v>
      </c>
      <c r="B40" s="33">
        <f>YEAR(A40)</f>
        <v/>
      </c>
      <c r="C40" s="33">
        <f>MONTH(A40)</f>
        <v/>
      </c>
      <c r="D40">
        <f>IF(A40&lt;=LastActual,"Actual","Forecast")</f>
        <v/>
      </c>
      <c r="E40" s="30">
        <f>IF($D40="Actual",R40,W40)</f>
        <v/>
      </c>
      <c r="F40" s="15">
        <f>IF($D40="Actual",S40,Cases_Forecast!AP33)</f>
        <v/>
      </c>
      <c r="G40" s="9">
        <f>IF($D40="Actual",T40,IFERROR(F40/K40,0))</f>
        <v/>
      </c>
      <c r="H40" s="30">
        <f>IF($D40="Actual",U40,G40*L40)</f>
        <v/>
      </c>
      <c r="I40" s="30">
        <f>IF($D40="Actual",V40,J40-H40)</f>
        <v/>
      </c>
      <c r="J40" s="30">
        <f>IF($D40="Actual",U40+V40,IFERROR(H40/(1-AD40),0))</f>
        <v/>
      </c>
      <c r="K40" s="10">
        <f>IF($D40="Actual",IFERROR(S40/T40,0),CPLH_Forecast!AP33)</f>
        <v/>
      </c>
      <c r="L40" s="34">
        <f>IF($D40="Actual",IFERROR(U40/T40,0),N(AE40))</f>
        <v/>
      </c>
      <c r="M40" s="35">
        <f>IFERROR(J40/F40,0)</f>
        <v/>
      </c>
      <c r="N40" s="36">
        <f>IFERROR(J40/E40,0)</f>
        <v/>
      </c>
      <c r="O40" s="36">
        <f>IFERROR(I40/J40,0)</f>
        <v/>
      </c>
      <c r="R40" s="52">
        <f>IF($D40="Actual",SUMIFS(Data_Actuals!$C$2:$C$5000,Data_Actuals!$A$2:$A$5000,$A40,Data_Actuals!$B$2:$B$5000,$B$2),"")</f>
        <v/>
      </c>
      <c r="S40" s="52">
        <f>IF($D40="Actual",SUMIFS(Data_Actuals!$D$2:$D$5000,Data_Actuals!$A$2:$A$5000,$A40,Data_Actuals!$B$2:$B$5000,$B$2),"")</f>
        <v/>
      </c>
      <c r="T40" s="52">
        <f>IF($D40="Actual",SUMIFS(Data_Actuals!$E$2:$E$5000,Data_Actuals!$A$2:$A$5000,$A40,Data_Actuals!$B$2:$B$5000,$B$2),"")</f>
        <v/>
      </c>
      <c r="U40" s="52">
        <f>IF($D40="Actual",SUMIFS(Data_Actuals!$F$2:$F$5000,Data_Actuals!$A$2:$A$5000,$A40,Data_Actuals!$B$2:$B$5000,$B$2),"")</f>
        <v/>
      </c>
      <c r="V40" s="52">
        <f>IF($D40="Actual",SUMIFS(Data_Actuals!$G$2:$G$5000,Data_Actuals!$A$2:$A$5000,$A40,Data_Actuals!$B$2:$B$5000,$B$2),"")</f>
        <v/>
      </c>
      <c r="W40" s="52">
        <f>SUMIFS(Plan_Inputs!$C$2:$C$5000,Plan_Inputs!$A$2:$A$5000,$A40,Plan_Inputs!$B$2:$B$5000,$B$2)</f>
        <v/>
      </c>
      <c r="X40" s="53">
        <f>IF($D40="Actual",IFERROR(S40/T40,""),X28)</f>
        <v/>
      </c>
      <c r="Y40" s="52">
        <f>E40</f>
        <v/>
      </c>
      <c r="Z40" s="54">
        <f>INDEX(Calendar!$H$5:$L$52,MATCH($A40,Calendar!$A$5:$A$52,0),MATCH($D$2,Calendar!$H$4:$L$4,0))</f>
        <v/>
      </c>
      <c r="AA40" s="54">
        <f>INDEX(Calendar!$M$5:$M$52,MATCH($A40,Calendar!$A$5:$A$52,0))</f>
        <v/>
      </c>
      <c r="AB40" s="55">
        <f>IF($D40="Actual",IFERROR(S40/Y40,""),AB28)</f>
        <v/>
      </c>
      <c r="AC40" s="56">
        <f>IF($D40="Actual",IFERROR(U40/T40/Z40/AA40,""),AC28)</f>
        <v/>
      </c>
      <c r="AD40" s="57">
        <f>IF($D40="Actual",IFERROR(V40/(U40+V40),""),$K$2)</f>
        <v/>
      </c>
      <c r="AE40" s="56">
        <f>IFERROR(AC40*Z40*AA40,"")</f>
        <v/>
      </c>
      <c r="AF40" s="53">
        <f>K28</f>
        <v/>
      </c>
      <c r="AG40" s="57">
        <f>IF($D40="Forecast",IFERROR(K40/AF40-1,""),"")</f>
        <v/>
      </c>
      <c r="AH40" s="53">
        <f>IF(CPLHSource="National breakdown",CPLH_Breakdown!AQ45,SUMIFS(Plan_Inputs!$D$2:$D$5000,Plan_Inputs!$A$2:$A$5000,$A40,Plan_Inputs!$B$2:$B$5000,$B$2))</f>
        <v/>
      </c>
      <c r="AJ40" s="15">
        <f>F40*$AK$11</f>
        <v/>
      </c>
      <c r="AK40" s="9">
        <f>G40*$AK$11</f>
        <v/>
      </c>
      <c r="AL40" s="30">
        <f>H40*$AK$11</f>
        <v/>
      </c>
      <c r="AM40" s="30">
        <f>I40*$AK$11</f>
        <v/>
      </c>
      <c r="AN40" s="30">
        <f>J40*$AK$11</f>
        <v/>
      </c>
      <c r="AP40" s="15">
        <f>F40*$AQ$11</f>
        <v/>
      </c>
      <c r="AQ40" s="9">
        <f>G40*$AQ$11</f>
        <v/>
      </c>
      <c r="AR40" s="30">
        <f>H40*$AQ$11</f>
        <v/>
      </c>
      <c r="AS40" s="30">
        <f>I40*$AQ$11</f>
        <v/>
      </c>
      <c r="AT40" s="30">
        <f>J40*$AQ$11</f>
        <v/>
      </c>
      <c r="AV40" s="15">
        <f>F40*$AW$11</f>
        <v/>
      </c>
      <c r="AW40" s="9">
        <f>G40*$AW$11</f>
        <v/>
      </c>
      <c r="AX40" s="30">
        <f>H40*$AW$11</f>
        <v/>
      </c>
      <c r="AY40" s="30">
        <f>I40*$AW$11</f>
        <v/>
      </c>
      <c r="AZ40" s="30">
        <f>J40*$AW$11</f>
        <v/>
      </c>
    </row>
    <row r="41">
      <c r="A41" s="8" t="n">
        <v>46447</v>
      </c>
      <c r="B41" s="33">
        <f>YEAR(A41)</f>
        <v/>
      </c>
      <c r="C41" s="33">
        <f>MONTH(A41)</f>
        <v/>
      </c>
      <c r="D41">
        <f>IF(A41&lt;=LastActual,"Actual","Forecast")</f>
        <v/>
      </c>
      <c r="E41" s="30">
        <f>IF($D41="Actual",R41,W41)</f>
        <v/>
      </c>
      <c r="F41" s="15">
        <f>IF($D41="Actual",S41,Cases_Forecast!AP34)</f>
        <v/>
      </c>
      <c r="G41" s="9">
        <f>IF($D41="Actual",T41,IFERROR(F41/K41,0))</f>
        <v/>
      </c>
      <c r="H41" s="30">
        <f>IF($D41="Actual",U41,G41*L41)</f>
        <v/>
      </c>
      <c r="I41" s="30">
        <f>IF($D41="Actual",V41,J41-H41)</f>
        <v/>
      </c>
      <c r="J41" s="30">
        <f>IF($D41="Actual",U41+V41,IFERROR(H41/(1-AD41),0))</f>
        <v/>
      </c>
      <c r="K41" s="10">
        <f>IF($D41="Actual",IFERROR(S41/T41,0),CPLH_Forecast!AP34)</f>
        <v/>
      </c>
      <c r="L41" s="34">
        <f>IF($D41="Actual",IFERROR(U41/T41,0),N(AE41))</f>
        <v/>
      </c>
      <c r="M41" s="35">
        <f>IFERROR(J41/F41,0)</f>
        <v/>
      </c>
      <c r="N41" s="36">
        <f>IFERROR(J41/E41,0)</f>
        <v/>
      </c>
      <c r="O41" s="36">
        <f>IFERROR(I41/J41,0)</f>
        <v/>
      </c>
      <c r="R41" s="52">
        <f>IF($D41="Actual",SUMIFS(Data_Actuals!$C$2:$C$5000,Data_Actuals!$A$2:$A$5000,$A41,Data_Actuals!$B$2:$B$5000,$B$2),"")</f>
        <v/>
      </c>
      <c r="S41" s="52">
        <f>IF($D41="Actual",SUMIFS(Data_Actuals!$D$2:$D$5000,Data_Actuals!$A$2:$A$5000,$A41,Data_Actuals!$B$2:$B$5000,$B$2),"")</f>
        <v/>
      </c>
      <c r="T41" s="52">
        <f>IF($D41="Actual",SUMIFS(Data_Actuals!$E$2:$E$5000,Data_Actuals!$A$2:$A$5000,$A41,Data_Actuals!$B$2:$B$5000,$B$2),"")</f>
        <v/>
      </c>
      <c r="U41" s="52">
        <f>IF($D41="Actual",SUMIFS(Data_Actuals!$F$2:$F$5000,Data_Actuals!$A$2:$A$5000,$A41,Data_Actuals!$B$2:$B$5000,$B$2),"")</f>
        <v/>
      </c>
      <c r="V41" s="52">
        <f>IF($D41="Actual",SUMIFS(Data_Actuals!$G$2:$G$5000,Data_Actuals!$A$2:$A$5000,$A41,Data_Actuals!$B$2:$B$5000,$B$2),"")</f>
        <v/>
      </c>
      <c r="W41" s="52">
        <f>SUMIFS(Plan_Inputs!$C$2:$C$5000,Plan_Inputs!$A$2:$A$5000,$A41,Plan_Inputs!$B$2:$B$5000,$B$2)</f>
        <v/>
      </c>
      <c r="X41" s="53">
        <f>IF($D41="Actual",IFERROR(S41/T41,""),X29)</f>
        <v/>
      </c>
      <c r="Y41" s="52">
        <f>E41</f>
        <v/>
      </c>
      <c r="Z41" s="54">
        <f>INDEX(Calendar!$H$5:$L$52,MATCH($A41,Calendar!$A$5:$A$52,0),MATCH($D$2,Calendar!$H$4:$L$4,0))</f>
        <v/>
      </c>
      <c r="AA41" s="54">
        <f>INDEX(Calendar!$M$5:$M$52,MATCH($A41,Calendar!$A$5:$A$52,0))</f>
        <v/>
      </c>
      <c r="AB41" s="55">
        <f>IF($D41="Actual",IFERROR(S41/Y41,""),AB29)</f>
        <v/>
      </c>
      <c r="AC41" s="56">
        <f>IF($D41="Actual",IFERROR(U41/T41/Z41/AA41,""),AC29)</f>
        <v/>
      </c>
      <c r="AD41" s="57">
        <f>IF($D41="Actual",IFERROR(V41/(U41+V41),""),$K$2)</f>
        <v/>
      </c>
      <c r="AE41" s="56">
        <f>IFERROR(AC41*Z41*AA41,"")</f>
        <v/>
      </c>
      <c r="AF41" s="53">
        <f>K29</f>
        <v/>
      </c>
      <c r="AG41" s="57">
        <f>IF($D41="Forecast",IFERROR(K41/AF41-1,""),"")</f>
        <v/>
      </c>
      <c r="AH41" s="53">
        <f>IF(CPLHSource="National breakdown",CPLH_Breakdown!AQ46,SUMIFS(Plan_Inputs!$D$2:$D$5000,Plan_Inputs!$A$2:$A$5000,$A41,Plan_Inputs!$B$2:$B$5000,$B$2))</f>
        <v/>
      </c>
      <c r="AJ41" s="15">
        <f>F41*$AK$11</f>
        <v/>
      </c>
      <c r="AK41" s="9">
        <f>G41*$AK$11</f>
        <v/>
      </c>
      <c r="AL41" s="30">
        <f>H41*$AK$11</f>
        <v/>
      </c>
      <c r="AM41" s="30">
        <f>I41*$AK$11</f>
        <v/>
      </c>
      <c r="AN41" s="30">
        <f>J41*$AK$11</f>
        <v/>
      </c>
      <c r="AP41" s="15">
        <f>F41*$AQ$11</f>
        <v/>
      </c>
      <c r="AQ41" s="9">
        <f>G41*$AQ$11</f>
        <v/>
      </c>
      <c r="AR41" s="30">
        <f>H41*$AQ$11</f>
        <v/>
      </c>
      <c r="AS41" s="30">
        <f>I41*$AQ$11</f>
        <v/>
      </c>
      <c r="AT41" s="30">
        <f>J41*$AQ$11</f>
        <v/>
      </c>
      <c r="AV41" s="15">
        <f>F41*$AW$11</f>
        <v/>
      </c>
      <c r="AW41" s="9">
        <f>G41*$AW$11</f>
        <v/>
      </c>
      <c r="AX41" s="30">
        <f>H41*$AW$11</f>
        <v/>
      </c>
      <c r="AY41" s="30">
        <f>I41*$AW$11</f>
        <v/>
      </c>
      <c r="AZ41" s="30">
        <f>J41*$AW$11</f>
        <v/>
      </c>
    </row>
    <row r="42">
      <c r="A42" s="8" t="n">
        <v>46478</v>
      </c>
      <c r="B42" s="33">
        <f>YEAR(A42)</f>
        <v/>
      </c>
      <c r="C42" s="33">
        <f>MONTH(A42)</f>
        <v/>
      </c>
      <c r="D42">
        <f>IF(A42&lt;=LastActual,"Actual","Forecast")</f>
        <v/>
      </c>
      <c r="E42" s="30">
        <f>IF($D42="Actual",R42,W42)</f>
        <v/>
      </c>
      <c r="F42" s="15">
        <f>IF($D42="Actual",S42,Cases_Forecast!AP35)</f>
        <v/>
      </c>
      <c r="G42" s="9">
        <f>IF($D42="Actual",T42,IFERROR(F42/K42,0))</f>
        <v/>
      </c>
      <c r="H42" s="30">
        <f>IF($D42="Actual",U42,G42*L42)</f>
        <v/>
      </c>
      <c r="I42" s="30">
        <f>IF($D42="Actual",V42,J42-H42)</f>
        <v/>
      </c>
      <c r="J42" s="30">
        <f>IF($D42="Actual",U42+V42,IFERROR(H42/(1-AD42),0))</f>
        <v/>
      </c>
      <c r="K42" s="10">
        <f>IF($D42="Actual",IFERROR(S42/T42,0),CPLH_Forecast!AP35)</f>
        <v/>
      </c>
      <c r="L42" s="34">
        <f>IF($D42="Actual",IFERROR(U42/T42,0),N(AE42))</f>
        <v/>
      </c>
      <c r="M42" s="35">
        <f>IFERROR(J42/F42,0)</f>
        <v/>
      </c>
      <c r="N42" s="36">
        <f>IFERROR(J42/E42,0)</f>
        <v/>
      </c>
      <c r="O42" s="36">
        <f>IFERROR(I42/J42,0)</f>
        <v/>
      </c>
      <c r="R42" s="52">
        <f>IF($D42="Actual",SUMIFS(Data_Actuals!$C$2:$C$5000,Data_Actuals!$A$2:$A$5000,$A42,Data_Actuals!$B$2:$B$5000,$B$2),"")</f>
        <v/>
      </c>
      <c r="S42" s="52">
        <f>IF($D42="Actual",SUMIFS(Data_Actuals!$D$2:$D$5000,Data_Actuals!$A$2:$A$5000,$A42,Data_Actuals!$B$2:$B$5000,$B$2),"")</f>
        <v/>
      </c>
      <c r="T42" s="52">
        <f>IF($D42="Actual",SUMIFS(Data_Actuals!$E$2:$E$5000,Data_Actuals!$A$2:$A$5000,$A42,Data_Actuals!$B$2:$B$5000,$B$2),"")</f>
        <v/>
      </c>
      <c r="U42" s="52">
        <f>IF($D42="Actual",SUMIFS(Data_Actuals!$F$2:$F$5000,Data_Actuals!$A$2:$A$5000,$A42,Data_Actuals!$B$2:$B$5000,$B$2),"")</f>
        <v/>
      </c>
      <c r="V42" s="52">
        <f>IF($D42="Actual",SUMIFS(Data_Actuals!$G$2:$G$5000,Data_Actuals!$A$2:$A$5000,$A42,Data_Actuals!$B$2:$B$5000,$B$2),"")</f>
        <v/>
      </c>
      <c r="W42" s="52">
        <f>SUMIFS(Plan_Inputs!$C$2:$C$5000,Plan_Inputs!$A$2:$A$5000,$A42,Plan_Inputs!$B$2:$B$5000,$B$2)</f>
        <v/>
      </c>
      <c r="X42" s="53">
        <f>IF($D42="Actual",IFERROR(S42/T42,""),X30)</f>
        <v/>
      </c>
      <c r="Y42" s="52">
        <f>E42</f>
        <v/>
      </c>
      <c r="Z42" s="54">
        <f>INDEX(Calendar!$H$5:$L$52,MATCH($A42,Calendar!$A$5:$A$52,0),MATCH($D$2,Calendar!$H$4:$L$4,0))</f>
        <v/>
      </c>
      <c r="AA42" s="54">
        <f>INDEX(Calendar!$M$5:$M$52,MATCH($A42,Calendar!$A$5:$A$52,0))</f>
        <v/>
      </c>
      <c r="AB42" s="55">
        <f>IF($D42="Actual",IFERROR(S42/Y42,""),AB30)</f>
        <v/>
      </c>
      <c r="AC42" s="56">
        <f>IF($D42="Actual",IFERROR(U42/T42/Z42/AA42,""),AC30)</f>
        <v/>
      </c>
      <c r="AD42" s="57">
        <f>IF($D42="Actual",IFERROR(V42/(U42+V42),""),$K$2)</f>
        <v/>
      </c>
      <c r="AE42" s="56">
        <f>IFERROR(AC42*Z42*AA42,"")</f>
        <v/>
      </c>
      <c r="AF42" s="53">
        <f>K30</f>
        <v/>
      </c>
      <c r="AG42" s="57">
        <f>IF($D42="Forecast",IFERROR(K42/AF42-1,""),"")</f>
        <v/>
      </c>
      <c r="AH42" s="53">
        <f>IF(CPLHSource="National breakdown",CPLH_Breakdown!AQ47,SUMIFS(Plan_Inputs!$D$2:$D$5000,Plan_Inputs!$A$2:$A$5000,$A42,Plan_Inputs!$B$2:$B$5000,$B$2))</f>
        <v/>
      </c>
      <c r="AJ42" s="15">
        <f>F42*$AK$11</f>
        <v/>
      </c>
      <c r="AK42" s="9">
        <f>G42*$AK$11</f>
        <v/>
      </c>
      <c r="AL42" s="30">
        <f>H42*$AK$11</f>
        <v/>
      </c>
      <c r="AM42" s="30">
        <f>I42*$AK$11</f>
        <v/>
      </c>
      <c r="AN42" s="30">
        <f>J42*$AK$11</f>
        <v/>
      </c>
      <c r="AP42" s="15">
        <f>F42*$AQ$11</f>
        <v/>
      </c>
      <c r="AQ42" s="9">
        <f>G42*$AQ$11</f>
        <v/>
      </c>
      <c r="AR42" s="30">
        <f>H42*$AQ$11</f>
        <v/>
      </c>
      <c r="AS42" s="30">
        <f>I42*$AQ$11</f>
        <v/>
      </c>
      <c r="AT42" s="30">
        <f>J42*$AQ$11</f>
        <v/>
      </c>
      <c r="AV42" s="15">
        <f>F42*$AW$11</f>
        <v/>
      </c>
      <c r="AW42" s="9">
        <f>G42*$AW$11</f>
        <v/>
      </c>
      <c r="AX42" s="30">
        <f>H42*$AW$11</f>
        <v/>
      </c>
      <c r="AY42" s="30">
        <f>I42*$AW$11</f>
        <v/>
      </c>
      <c r="AZ42" s="30">
        <f>J42*$AW$11</f>
        <v/>
      </c>
    </row>
    <row r="43">
      <c r="A43" s="8" t="n">
        <v>46508</v>
      </c>
      <c r="B43" s="33">
        <f>YEAR(A43)</f>
        <v/>
      </c>
      <c r="C43" s="33">
        <f>MONTH(A43)</f>
        <v/>
      </c>
      <c r="D43">
        <f>IF(A43&lt;=LastActual,"Actual","Forecast")</f>
        <v/>
      </c>
      <c r="E43" s="30">
        <f>IF($D43="Actual",R43,W43)</f>
        <v/>
      </c>
      <c r="F43" s="15">
        <f>IF($D43="Actual",S43,Cases_Forecast!AP36)</f>
        <v/>
      </c>
      <c r="G43" s="9">
        <f>IF($D43="Actual",T43,IFERROR(F43/K43,0))</f>
        <v/>
      </c>
      <c r="H43" s="30">
        <f>IF($D43="Actual",U43,G43*L43)</f>
        <v/>
      </c>
      <c r="I43" s="30">
        <f>IF($D43="Actual",V43,J43-H43)</f>
        <v/>
      </c>
      <c r="J43" s="30">
        <f>IF($D43="Actual",U43+V43,IFERROR(H43/(1-AD43),0))</f>
        <v/>
      </c>
      <c r="K43" s="10">
        <f>IF($D43="Actual",IFERROR(S43/T43,0),CPLH_Forecast!AP36)</f>
        <v/>
      </c>
      <c r="L43" s="34">
        <f>IF($D43="Actual",IFERROR(U43/T43,0),N(AE43))</f>
        <v/>
      </c>
      <c r="M43" s="35">
        <f>IFERROR(J43/F43,0)</f>
        <v/>
      </c>
      <c r="N43" s="36">
        <f>IFERROR(J43/E43,0)</f>
        <v/>
      </c>
      <c r="O43" s="36">
        <f>IFERROR(I43/J43,0)</f>
        <v/>
      </c>
      <c r="R43" s="52">
        <f>IF($D43="Actual",SUMIFS(Data_Actuals!$C$2:$C$5000,Data_Actuals!$A$2:$A$5000,$A43,Data_Actuals!$B$2:$B$5000,$B$2),"")</f>
        <v/>
      </c>
      <c r="S43" s="52">
        <f>IF($D43="Actual",SUMIFS(Data_Actuals!$D$2:$D$5000,Data_Actuals!$A$2:$A$5000,$A43,Data_Actuals!$B$2:$B$5000,$B$2),"")</f>
        <v/>
      </c>
      <c r="T43" s="52">
        <f>IF($D43="Actual",SUMIFS(Data_Actuals!$E$2:$E$5000,Data_Actuals!$A$2:$A$5000,$A43,Data_Actuals!$B$2:$B$5000,$B$2),"")</f>
        <v/>
      </c>
      <c r="U43" s="52">
        <f>IF($D43="Actual",SUMIFS(Data_Actuals!$F$2:$F$5000,Data_Actuals!$A$2:$A$5000,$A43,Data_Actuals!$B$2:$B$5000,$B$2),"")</f>
        <v/>
      </c>
      <c r="V43" s="52">
        <f>IF($D43="Actual",SUMIFS(Data_Actuals!$G$2:$G$5000,Data_Actuals!$A$2:$A$5000,$A43,Data_Actuals!$B$2:$B$5000,$B$2),"")</f>
        <v/>
      </c>
      <c r="W43" s="52">
        <f>SUMIFS(Plan_Inputs!$C$2:$C$5000,Plan_Inputs!$A$2:$A$5000,$A43,Plan_Inputs!$B$2:$B$5000,$B$2)</f>
        <v/>
      </c>
      <c r="X43" s="53">
        <f>IF($D43="Actual",IFERROR(S43/T43,""),X31)</f>
        <v/>
      </c>
      <c r="Y43" s="52">
        <f>E43</f>
        <v/>
      </c>
      <c r="Z43" s="54">
        <f>INDEX(Calendar!$H$5:$L$52,MATCH($A43,Calendar!$A$5:$A$52,0),MATCH($D$2,Calendar!$H$4:$L$4,0))</f>
        <v/>
      </c>
      <c r="AA43" s="54">
        <f>INDEX(Calendar!$M$5:$M$52,MATCH($A43,Calendar!$A$5:$A$52,0))</f>
        <v/>
      </c>
      <c r="AB43" s="55">
        <f>IF($D43="Actual",IFERROR(S43/Y43,""),AB31)</f>
        <v/>
      </c>
      <c r="AC43" s="56">
        <f>IF($D43="Actual",IFERROR(U43/T43/Z43/AA43,""),AC31)</f>
        <v/>
      </c>
      <c r="AD43" s="57">
        <f>IF($D43="Actual",IFERROR(V43/(U43+V43),""),$K$2)</f>
        <v/>
      </c>
      <c r="AE43" s="56">
        <f>IFERROR(AC43*Z43*AA43,"")</f>
        <v/>
      </c>
      <c r="AF43" s="53">
        <f>K31</f>
        <v/>
      </c>
      <c r="AG43" s="57">
        <f>IF($D43="Forecast",IFERROR(K43/AF43-1,""),"")</f>
        <v/>
      </c>
      <c r="AH43" s="53">
        <f>IF(CPLHSource="National breakdown",CPLH_Breakdown!AQ48,SUMIFS(Plan_Inputs!$D$2:$D$5000,Plan_Inputs!$A$2:$A$5000,$A43,Plan_Inputs!$B$2:$B$5000,$B$2))</f>
        <v/>
      </c>
      <c r="AJ43" s="15">
        <f>F43*$AK$11</f>
        <v/>
      </c>
      <c r="AK43" s="9">
        <f>G43*$AK$11</f>
        <v/>
      </c>
      <c r="AL43" s="30">
        <f>H43*$AK$11</f>
        <v/>
      </c>
      <c r="AM43" s="30">
        <f>I43*$AK$11</f>
        <v/>
      </c>
      <c r="AN43" s="30">
        <f>J43*$AK$11</f>
        <v/>
      </c>
      <c r="AP43" s="15">
        <f>F43*$AQ$11</f>
        <v/>
      </c>
      <c r="AQ43" s="9">
        <f>G43*$AQ$11</f>
        <v/>
      </c>
      <c r="AR43" s="30">
        <f>H43*$AQ$11</f>
        <v/>
      </c>
      <c r="AS43" s="30">
        <f>I43*$AQ$11</f>
        <v/>
      </c>
      <c r="AT43" s="30">
        <f>J43*$AQ$11</f>
        <v/>
      </c>
      <c r="AV43" s="15">
        <f>F43*$AW$11</f>
        <v/>
      </c>
      <c r="AW43" s="9">
        <f>G43*$AW$11</f>
        <v/>
      </c>
      <c r="AX43" s="30">
        <f>H43*$AW$11</f>
        <v/>
      </c>
      <c r="AY43" s="30">
        <f>I43*$AW$11</f>
        <v/>
      </c>
      <c r="AZ43" s="30">
        <f>J43*$AW$11</f>
        <v/>
      </c>
    </row>
    <row r="44">
      <c r="A44" s="8" t="n">
        <v>46539</v>
      </c>
      <c r="B44" s="33">
        <f>YEAR(A44)</f>
        <v/>
      </c>
      <c r="C44" s="33">
        <f>MONTH(A44)</f>
        <v/>
      </c>
      <c r="D44">
        <f>IF(A44&lt;=LastActual,"Actual","Forecast")</f>
        <v/>
      </c>
      <c r="E44" s="30">
        <f>IF($D44="Actual",R44,W44)</f>
        <v/>
      </c>
      <c r="F44" s="15">
        <f>IF($D44="Actual",S44,Cases_Forecast!AP37)</f>
        <v/>
      </c>
      <c r="G44" s="9">
        <f>IF($D44="Actual",T44,IFERROR(F44/K44,0))</f>
        <v/>
      </c>
      <c r="H44" s="30">
        <f>IF($D44="Actual",U44,G44*L44)</f>
        <v/>
      </c>
      <c r="I44" s="30">
        <f>IF($D44="Actual",V44,J44-H44)</f>
        <v/>
      </c>
      <c r="J44" s="30">
        <f>IF($D44="Actual",U44+V44,IFERROR(H44/(1-AD44),0))</f>
        <v/>
      </c>
      <c r="K44" s="10">
        <f>IF($D44="Actual",IFERROR(S44/T44,0),CPLH_Forecast!AP37)</f>
        <v/>
      </c>
      <c r="L44" s="34">
        <f>IF($D44="Actual",IFERROR(U44/T44,0),N(AE44))</f>
        <v/>
      </c>
      <c r="M44" s="35">
        <f>IFERROR(J44/F44,0)</f>
        <v/>
      </c>
      <c r="N44" s="36">
        <f>IFERROR(J44/E44,0)</f>
        <v/>
      </c>
      <c r="O44" s="36">
        <f>IFERROR(I44/J44,0)</f>
        <v/>
      </c>
      <c r="R44" s="52">
        <f>IF($D44="Actual",SUMIFS(Data_Actuals!$C$2:$C$5000,Data_Actuals!$A$2:$A$5000,$A44,Data_Actuals!$B$2:$B$5000,$B$2),"")</f>
        <v/>
      </c>
      <c r="S44" s="52">
        <f>IF($D44="Actual",SUMIFS(Data_Actuals!$D$2:$D$5000,Data_Actuals!$A$2:$A$5000,$A44,Data_Actuals!$B$2:$B$5000,$B$2),"")</f>
        <v/>
      </c>
      <c r="T44" s="52">
        <f>IF($D44="Actual",SUMIFS(Data_Actuals!$E$2:$E$5000,Data_Actuals!$A$2:$A$5000,$A44,Data_Actuals!$B$2:$B$5000,$B$2),"")</f>
        <v/>
      </c>
      <c r="U44" s="52">
        <f>IF($D44="Actual",SUMIFS(Data_Actuals!$F$2:$F$5000,Data_Actuals!$A$2:$A$5000,$A44,Data_Actuals!$B$2:$B$5000,$B$2),"")</f>
        <v/>
      </c>
      <c r="V44" s="52">
        <f>IF($D44="Actual",SUMIFS(Data_Actuals!$G$2:$G$5000,Data_Actuals!$A$2:$A$5000,$A44,Data_Actuals!$B$2:$B$5000,$B$2),"")</f>
        <v/>
      </c>
      <c r="W44" s="52">
        <f>SUMIFS(Plan_Inputs!$C$2:$C$5000,Plan_Inputs!$A$2:$A$5000,$A44,Plan_Inputs!$B$2:$B$5000,$B$2)</f>
        <v/>
      </c>
      <c r="X44" s="53">
        <f>IF($D44="Actual",IFERROR(S44/T44,""),X32)</f>
        <v/>
      </c>
      <c r="Y44" s="52">
        <f>E44</f>
        <v/>
      </c>
      <c r="Z44" s="54">
        <f>INDEX(Calendar!$H$5:$L$52,MATCH($A44,Calendar!$A$5:$A$52,0),MATCH($D$2,Calendar!$H$4:$L$4,0))</f>
        <v/>
      </c>
      <c r="AA44" s="54">
        <f>INDEX(Calendar!$M$5:$M$52,MATCH($A44,Calendar!$A$5:$A$52,0))</f>
        <v/>
      </c>
      <c r="AB44" s="55">
        <f>IF($D44="Actual",IFERROR(S44/Y44,""),AB32)</f>
        <v/>
      </c>
      <c r="AC44" s="56">
        <f>IF($D44="Actual",IFERROR(U44/T44/Z44/AA44,""),AC32)</f>
        <v/>
      </c>
      <c r="AD44" s="57">
        <f>IF($D44="Actual",IFERROR(V44/(U44+V44),""),$K$2)</f>
        <v/>
      </c>
      <c r="AE44" s="56">
        <f>IFERROR(AC44*Z44*AA44,"")</f>
        <v/>
      </c>
      <c r="AF44" s="53">
        <f>K32</f>
        <v/>
      </c>
      <c r="AG44" s="57">
        <f>IF($D44="Forecast",IFERROR(K44/AF44-1,""),"")</f>
        <v/>
      </c>
      <c r="AH44" s="53">
        <f>IF(CPLHSource="National breakdown",CPLH_Breakdown!AQ49,SUMIFS(Plan_Inputs!$D$2:$D$5000,Plan_Inputs!$A$2:$A$5000,$A44,Plan_Inputs!$B$2:$B$5000,$B$2))</f>
        <v/>
      </c>
      <c r="AJ44" s="15">
        <f>F44*$AK$11</f>
        <v/>
      </c>
      <c r="AK44" s="9">
        <f>G44*$AK$11</f>
        <v/>
      </c>
      <c r="AL44" s="30">
        <f>H44*$AK$11</f>
        <v/>
      </c>
      <c r="AM44" s="30">
        <f>I44*$AK$11</f>
        <v/>
      </c>
      <c r="AN44" s="30">
        <f>J44*$AK$11</f>
        <v/>
      </c>
      <c r="AP44" s="15">
        <f>F44*$AQ$11</f>
        <v/>
      </c>
      <c r="AQ44" s="9">
        <f>G44*$AQ$11</f>
        <v/>
      </c>
      <c r="AR44" s="30">
        <f>H44*$AQ$11</f>
        <v/>
      </c>
      <c r="AS44" s="30">
        <f>I44*$AQ$11</f>
        <v/>
      </c>
      <c r="AT44" s="30">
        <f>J44*$AQ$11</f>
        <v/>
      </c>
      <c r="AV44" s="15">
        <f>F44*$AW$11</f>
        <v/>
      </c>
      <c r="AW44" s="9">
        <f>G44*$AW$11</f>
        <v/>
      </c>
      <c r="AX44" s="30">
        <f>H44*$AW$11</f>
        <v/>
      </c>
      <c r="AY44" s="30">
        <f>I44*$AW$11</f>
        <v/>
      </c>
      <c r="AZ44" s="30">
        <f>J44*$AW$11</f>
        <v/>
      </c>
    </row>
    <row r="45">
      <c r="A45" s="8" t="n">
        <v>46569</v>
      </c>
      <c r="B45" s="33">
        <f>YEAR(A45)</f>
        <v/>
      </c>
      <c r="C45" s="33">
        <f>MONTH(A45)</f>
        <v/>
      </c>
      <c r="D45">
        <f>IF(A45&lt;=LastActual,"Actual","Forecast")</f>
        <v/>
      </c>
      <c r="E45" s="30">
        <f>IF($D45="Actual",R45,W45)</f>
        <v/>
      </c>
      <c r="F45" s="15">
        <f>IF($D45="Actual",S45,Cases_Forecast!AP38)</f>
        <v/>
      </c>
      <c r="G45" s="9">
        <f>IF($D45="Actual",T45,IFERROR(F45/K45,0))</f>
        <v/>
      </c>
      <c r="H45" s="30">
        <f>IF($D45="Actual",U45,G45*L45)</f>
        <v/>
      </c>
      <c r="I45" s="30">
        <f>IF($D45="Actual",V45,J45-H45)</f>
        <v/>
      </c>
      <c r="J45" s="30">
        <f>IF($D45="Actual",U45+V45,IFERROR(H45/(1-AD45),0))</f>
        <v/>
      </c>
      <c r="K45" s="10">
        <f>IF($D45="Actual",IFERROR(S45/T45,0),CPLH_Forecast!AP38)</f>
        <v/>
      </c>
      <c r="L45" s="34">
        <f>IF($D45="Actual",IFERROR(U45/T45,0),N(AE45))</f>
        <v/>
      </c>
      <c r="M45" s="35">
        <f>IFERROR(J45/F45,0)</f>
        <v/>
      </c>
      <c r="N45" s="36">
        <f>IFERROR(J45/E45,0)</f>
        <v/>
      </c>
      <c r="O45" s="36">
        <f>IFERROR(I45/J45,0)</f>
        <v/>
      </c>
      <c r="R45" s="52">
        <f>IF($D45="Actual",SUMIFS(Data_Actuals!$C$2:$C$5000,Data_Actuals!$A$2:$A$5000,$A45,Data_Actuals!$B$2:$B$5000,$B$2),"")</f>
        <v/>
      </c>
      <c r="S45" s="52">
        <f>IF($D45="Actual",SUMIFS(Data_Actuals!$D$2:$D$5000,Data_Actuals!$A$2:$A$5000,$A45,Data_Actuals!$B$2:$B$5000,$B$2),"")</f>
        <v/>
      </c>
      <c r="T45" s="52">
        <f>IF($D45="Actual",SUMIFS(Data_Actuals!$E$2:$E$5000,Data_Actuals!$A$2:$A$5000,$A45,Data_Actuals!$B$2:$B$5000,$B$2),"")</f>
        <v/>
      </c>
      <c r="U45" s="52">
        <f>IF($D45="Actual",SUMIFS(Data_Actuals!$F$2:$F$5000,Data_Actuals!$A$2:$A$5000,$A45,Data_Actuals!$B$2:$B$5000,$B$2),"")</f>
        <v/>
      </c>
      <c r="V45" s="52">
        <f>IF($D45="Actual",SUMIFS(Data_Actuals!$G$2:$G$5000,Data_Actuals!$A$2:$A$5000,$A45,Data_Actuals!$B$2:$B$5000,$B$2),"")</f>
        <v/>
      </c>
      <c r="W45" s="52">
        <f>SUMIFS(Plan_Inputs!$C$2:$C$5000,Plan_Inputs!$A$2:$A$5000,$A45,Plan_Inputs!$B$2:$B$5000,$B$2)</f>
        <v/>
      </c>
      <c r="X45" s="53">
        <f>IF($D45="Actual",IFERROR(S45/T45,""),X33)</f>
        <v/>
      </c>
      <c r="Y45" s="52">
        <f>E45</f>
        <v/>
      </c>
      <c r="Z45" s="54">
        <f>INDEX(Calendar!$H$5:$L$52,MATCH($A45,Calendar!$A$5:$A$52,0),MATCH($D$2,Calendar!$H$4:$L$4,0))</f>
        <v/>
      </c>
      <c r="AA45" s="54">
        <f>INDEX(Calendar!$M$5:$M$52,MATCH($A45,Calendar!$A$5:$A$52,0))</f>
        <v/>
      </c>
      <c r="AB45" s="55">
        <f>IF($D45="Actual",IFERROR(S45/Y45,""),AB33)</f>
        <v/>
      </c>
      <c r="AC45" s="56">
        <f>IF($D45="Actual",IFERROR(U45/T45/Z45/AA45,""),AC33)</f>
        <v/>
      </c>
      <c r="AD45" s="57">
        <f>IF($D45="Actual",IFERROR(V45/(U45+V45),""),$K$2)</f>
        <v/>
      </c>
      <c r="AE45" s="56">
        <f>IFERROR(AC45*Z45*AA45,"")</f>
        <v/>
      </c>
      <c r="AF45" s="53">
        <f>K33</f>
        <v/>
      </c>
      <c r="AG45" s="57">
        <f>IF($D45="Forecast",IFERROR(K45/AF45-1,""),"")</f>
        <v/>
      </c>
      <c r="AH45" s="53">
        <f>IF(CPLHSource="National breakdown",CPLH_Breakdown!AQ50,SUMIFS(Plan_Inputs!$D$2:$D$5000,Plan_Inputs!$A$2:$A$5000,$A45,Plan_Inputs!$B$2:$B$5000,$B$2))</f>
        <v/>
      </c>
      <c r="AJ45" s="15">
        <f>F45*$AK$11</f>
        <v/>
      </c>
      <c r="AK45" s="9">
        <f>G45*$AK$11</f>
        <v/>
      </c>
      <c r="AL45" s="30">
        <f>H45*$AK$11</f>
        <v/>
      </c>
      <c r="AM45" s="30">
        <f>I45*$AK$11</f>
        <v/>
      </c>
      <c r="AN45" s="30">
        <f>J45*$AK$11</f>
        <v/>
      </c>
      <c r="AP45" s="15">
        <f>F45*$AQ$11</f>
        <v/>
      </c>
      <c r="AQ45" s="9">
        <f>G45*$AQ$11</f>
        <v/>
      </c>
      <c r="AR45" s="30">
        <f>H45*$AQ$11</f>
        <v/>
      </c>
      <c r="AS45" s="30">
        <f>I45*$AQ$11</f>
        <v/>
      </c>
      <c r="AT45" s="30">
        <f>J45*$AQ$11</f>
        <v/>
      </c>
      <c r="AV45" s="15">
        <f>F45*$AW$11</f>
        <v/>
      </c>
      <c r="AW45" s="9">
        <f>G45*$AW$11</f>
        <v/>
      </c>
      <c r="AX45" s="30">
        <f>H45*$AW$11</f>
        <v/>
      </c>
      <c r="AY45" s="30">
        <f>I45*$AW$11</f>
        <v/>
      </c>
      <c r="AZ45" s="30">
        <f>J45*$AW$11</f>
        <v/>
      </c>
    </row>
    <row r="46">
      <c r="A46" s="8" t="n">
        <v>46600</v>
      </c>
      <c r="B46" s="33">
        <f>YEAR(A46)</f>
        <v/>
      </c>
      <c r="C46" s="33">
        <f>MONTH(A46)</f>
        <v/>
      </c>
      <c r="D46">
        <f>IF(A46&lt;=LastActual,"Actual","Forecast")</f>
        <v/>
      </c>
      <c r="E46" s="30">
        <f>IF($D46="Actual",R46,W46)</f>
        <v/>
      </c>
      <c r="F46" s="15">
        <f>IF($D46="Actual",S46,Cases_Forecast!AP39)</f>
        <v/>
      </c>
      <c r="G46" s="9">
        <f>IF($D46="Actual",T46,IFERROR(F46/K46,0))</f>
        <v/>
      </c>
      <c r="H46" s="30">
        <f>IF($D46="Actual",U46,G46*L46)</f>
        <v/>
      </c>
      <c r="I46" s="30">
        <f>IF($D46="Actual",V46,J46-H46)</f>
        <v/>
      </c>
      <c r="J46" s="30">
        <f>IF($D46="Actual",U46+V46,IFERROR(H46/(1-AD46),0))</f>
        <v/>
      </c>
      <c r="K46" s="10">
        <f>IF($D46="Actual",IFERROR(S46/T46,0),CPLH_Forecast!AP39)</f>
        <v/>
      </c>
      <c r="L46" s="34">
        <f>IF($D46="Actual",IFERROR(U46/T46,0),N(AE46))</f>
        <v/>
      </c>
      <c r="M46" s="35">
        <f>IFERROR(J46/F46,0)</f>
        <v/>
      </c>
      <c r="N46" s="36">
        <f>IFERROR(J46/E46,0)</f>
        <v/>
      </c>
      <c r="O46" s="36">
        <f>IFERROR(I46/J46,0)</f>
        <v/>
      </c>
      <c r="R46" s="52">
        <f>IF($D46="Actual",SUMIFS(Data_Actuals!$C$2:$C$5000,Data_Actuals!$A$2:$A$5000,$A46,Data_Actuals!$B$2:$B$5000,$B$2),"")</f>
        <v/>
      </c>
      <c r="S46" s="52">
        <f>IF($D46="Actual",SUMIFS(Data_Actuals!$D$2:$D$5000,Data_Actuals!$A$2:$A$5000,$A46,Data_Actuals!$B$2:$B$5000,$B$2),"")</f>
        <v/>
      </c>
      <c r="T46" s="52">
        <f>IF($D46="Actual",SUMIFS(Data_Actuals!$E$2:$E$5000,Data_Actuals!$A$2:$A$5000,$A46,Data_Actuals!$B$2:$B$5000,$B$2),"")</f>
        <v/>
      </c>
      <c r="U46" s="52">
        <f>IF($D46="Actual",SUMIFS(Data_Actuals!$F$2:$F$5000,Data_Actuals!$A$2:$A$5000,$A46,Data_Actuals!$B$2:$B$5000,$B$2),"")</f>
        <v/>
      </c>
      <c r="V46" s="52">
        <f>IF($D46="Actual",SUMIFS(Data_Actuals!$G$2:$G$5000,Data_Actuals!$A$2:$A$5000,$A46,Data_Actuals!$B$2:$B$5000,$B$2),"")</f>
        <v/>
      </c>
      <c r="W46" s="52">
        <f>SUMIFS(Plan_Inputs!$C$2:$C$5000,Plan_Inputs!$A$2:$A$5000,$A46,Plan_Inputs!$B$2:$B$5000,$B$2)</f>
        <v/>
      </c>
      <c r="X46" s="53">
        <f>IF($D46="Actual",IFERROR(S46/T46,""),X34)</f>
        <v/>
      </c>
      <c r="Y46" s="52">
        <f>E46</f>
        <v/>
      </c>
      <c r="Z46" s="54">
        <f>INDEX(Calendar!$H$5:$L$52,MATCH($A46,Calendar!$A$5:$A$52,0),MATCH($D$2,Calendar!$H$4:$L$4,0))</f>
        <v/>
      </c>
      <c r="AA46" s="54">
        <f>INDEX(Calendar!$M$5:$M$52,MATCH($A46,Calendar!$A$5:$A$52,0))</f>
        <v/>
      </c>
      <c r="AB46" s="55">
        <f>IF($D46="Actual",IFERROR(S46/Y46,""),AB34)</f>
        <v/>
      </c>
      <c r="AC46" s="56">
        <f>IF($D46="Actual",IFERROR(U46/T46/Z46/AA46,""),AC34)</f>
        <v/>
      </c>
      <c r="AD46" s="57">
        <f>IF($D46="Actual",IFERROR(V46/(U46+V46),""),$K$2)</f>
        <v/>
      </c>
      <c r="AE46" s="56">
        <f>IFERROR(AC46*Z46*AA46,"")</f>
        <v/>
      </c>
      <c r="AF46" s="53">
        <f>K34</f>
        <v/>
      </c>
      <c r="AG46" s="57">
        <f>IF($D46="Forecast",IFERROR(K46/AF46-1,""),"")</f>
        <v/>
      </c>
      <c r="AH46" s="53">
        <f>IF(CPLHSource="National breakdown",CPLH_Breakdown!AQ51,SUMIFS(Plan_Inputs!$D$2:$D$5000,Plan_Inputs!$A$2:$A$5000,$A46,Plan_Inputs!$B$2:$B$5000,$B$2))</f>
        <v/>
      </c>
      <c r="AJ46" s="15">
        <f>F46*$AK$11</f>
        <v/>
      </c>
      <c r="AK46" s="9">
        <f>G46*$AK$11</f>
        <v/>
      </c>
      <c r="AL46" s="30">
        <f>H46*$AK$11</f>
        <v/>
      </c>
      <c r="AM46" s="30">
        <f>I46*$AK$11</f>
        <v/>
      </c>
      <c r="AN46" s="30">
        <f>J46*$AK$11</f>
        <v/>
      </c>
      <c r="AP46" s="15">
        <f>F46*$AQ$11</f>
        <v/>
      </c>
      <c r="AQ46" s="9">
        <f>G46*$AQ$11</f>
        <v/>
      </c>
      <c r="AR46" s="30">
        <f>H46*$AQ$11</f>
        <v/>
      </c>
      <c r="AS46" s="30">
        <f>I46*$AQ$11</f>
        <v/>
      </c>
      <c r="AT46" s="30">
        <f>J46*$AQ$11</f>
        <v/>
      </c>
      <c r="AV46" s="15">
        <f>F46*$AW$11</f>
        <v/>
      </c>
      <c r="AW46" s="9">
        <f>G46*$AW$11</f>
        <v/>
      </c>
      <c r="AX46" s="30">
        <f>H46*$AW$11</f>
        <v/>
      </c>
      <c r="AY46" s="30">
        <f>I46*$AW$11</f>
        <v/>
      </c>
      <c r="AZ46" s="30">
        <f>J46*$AW$11</f>
        <v/>
      </c>
    </row>
    <row r="47">
      <c r="A47" s="8" t="n">
        <v>46631</v>
      </c>
      <c r="B47" s="33">
        <f>YEAR(A47)</f>
        <v/>
      </c>
      <c r="C47" s="33">
        <f>MONTH(A47)</f>
        <v/>
      </c>
      <c r="D47">
        <f>IF(A47&lt;=LastActual,"Actual","Forecast")</f>
        <v/>
      </c>
      <c r="E47" s="30">
        <f>IF($D47="Actual",R47,W47)</f>
        <v/>
      </c>
      <c r="F47" s="15">
        <f>IF($D47="Actual",S47,Cases_Forecast!AP40)</f>
        <v/>
      </c>
      <c r="G47" s="9">
        <f>IF($D47="Actual",T47,IFERROR(F47/K47,0))</f>
        <v/>
      </c>
      <c r="H47" s="30">
        <f>IF($D47="Actual",U47,G47*L47)</f>
        <v/>
      </c>
      <c r="I47" s="30">
        <f>IF($D47="Actual",V47,J47-H47)</f>
        <v/>
      </c>
      <c r="J47" s="30">
        <f>IF($D47="Actual",U47+V47,IFERROR(H47/(1-AD47),0))</f>
        <v/>
      </c>
      <c r="K47" s="10">
        <f>IF($D47="Actual",IFERROR(S47/T47,0),CPLH_Forecast!AP40)</f>
        <v/>
      </c>
      <c r="L47" s="34">
        <f>IF($D47="Actual",IFERROR(U47/T47,0),N(AE47))</f>
        <v/>
      </c>
      <c r="M47" s="35">
        <f>IFERROR(J47/F47,0)</f>
        <v/>
      </c>
      <c r="N47" s="36">
        <f>IFERROR(J47/E47,0)</f>
        <v/>
      </c>
      <c r="O47" s="36">
        <f>IFERROR(I47/J47,0)</f>
        <v/>
      </c>
      <c r="R47" s="52">
        <f>IF($D47="Actual",SUMIFS(Data_Actuals!$C$2:$C$5000,Data_Actuals!$A$2:$A$5000,$A47,Data_Actuals!$B$2:$B$5000,$B$2),"")</f>
        <v/>
      </c>
      <c r="S47" s="52">
        <f>IF($D47="Actual",SUMIFS(Data_Actuals!$D$2:$D$5000,Data_Actuals!$A$2:$A$5000,$A47,Data_Actuals!$B$2:$B$5000,$B$2),"")</f>
        <v/>
      </c>
      <c r="T47" s="52">
        <f>IF($D47="Actual",SUMIFS(Data_Actuals!$E$2:$E$5000,Data_Actuals!$A$2:$A$5000,$A47,Data_Actuals!$B$2:$B$5000,$B$2),"")</f>
        <v/>
      </c>
      <c r="U47" s="52">
        <f>IF($D47="Actual",SUMIFS(Data_Actuals!$F$2:$F$5000,Data_Actuals!$A$2:$A$5000,$A47,Data_Actuals!$B$2:$B$5000,$B$2),"")</f>
        <v/>
      </c>
      <c r="V47" s="52">
        <f>IF($D47="Actual",SUMIFS(Data_Actuals!$G$2:$G$5000,Data_Actuals!$A$2:$A$5000,$A47,Data_Actuals!$B$2:$B$5000,$B$2),"")</f>
        <v/>
      </c>
      <c r="W47" s="52">
        <f>SUMIFS(Plan_Inputs!$C$2:$C$5000,Plan_Inputs!$A$2:$A$5000,$A47,Plan_Inputs!$B$2:$B$5000,$B$2)</f>
        <v/>
      </c>
      <c r="X47" s="53">
        <f>IF($D47="Actual",IFERROR(S47/T47,""),X35)</f>
        <v/>
      </c>
      <c r="Y47" s="52">
        <f>E47</f>
        <v/>
      </c>
      <c r="Z47" s="54">
        <f>INDEX(Calendar!$H$5:$L$52,MATCH($A47,Calendar!$A$5:$A$52,0),MATCH($D$2,Calendar!$H$4:$L$4,0))</f>
        <v/>
      </c>
      <c r="AA47" s="54">
        <f>INDEX(Calendar!$M$5:$M$52,MATCH($A47,Calendar!$A$5:$A$52,0))</f>
        <v/>
      </c>
      <c r="AB47" s="55">
        <f>IF($D47="Actual",IFERROR(S47/Y47,""),AB35)</f>
        <v/>
      </c>
      <c r="AC47" s="56">
        <f>IF($D47="Actual",IFERROR(U47/T47/Z47/AA47,""),AC35)</f>
        <v/>
      </c>
      <c r="AD47" s="57">
        <f>IF($D47="Actual",IFERROR(V47/(U47+V47),""),$K$2)</f>
        <v/>
      </c>
      <c r="AE47" s="56">
        <f>IFERROR(AC47*Z47*AA47,"")</f>
        <v/>
      </c>
      <c r="AF47" s="53">
        <f>K35</f>
        <v/>
      </c>
      <c r="AG47" s="57">
        <f>IF($D47="Forecast",IFERROR(K47/AF47-1,""),"")</f>
        <v/>
      </c>
      <c r="AH47" s="53">
        <f>IF(CPLHSource="National breakdown",CPLH_Breakdown!AQ52,SUMIFS(Plan_Inputs!$D$2:$D$5000,Plan_Inputs!$A$2:$A$5000,$A47,Plan_Inputs!$B$2:$B$5000,$B$2))</f>
        <v/>
      </c>
      <c r="AJ47" s="15">
        <f>F47*$AK$11</f>
        <v/>
      </c>
      <c r="AK47" s="9">
        <f>G47*$AK$11</f>
        <v/>
      </c>
      <c r="AL47" s="30">
        <f>H47*$AK$11</f>
        <v/>
      </c>
      <c r="AM47" s="30">
        <f>I47*$AK$11</f>
        <v/>
      </c>
      <c r="AN47" s="30">
        <f>J47*$AK$11</f>
        <v/>
      </c>
      <c r="AP47" s="15">
        <f>F47*$AQ$11</f>
        <v/>
      </c>
      <c r="AQ47" s="9">
        <f>G47*$AQ$11</f>
        <v/>
      </c>
      <c r="AR47" s="30">
        <f>H47*$AQ$11</f>
        <v/>
      </c>
      <c r="AS47" s="30">
        <f>I47*$AQ$11</f>
        <v/>
      </c>
      <c r="AT47" s="30">
        <f>J47*$AQ$11</f>
        <v/>
      </c>
      <c r="AV47" s="15">
        <f>F47*$AW$11</f>
        <v/>
      </c>
      <c r="AW47" s="9">
        <f>G47*$AW$11</f>
        <v/>
      </c>
      <c r="AX47" s="30">
        <f>H47*$AW$11</f>
        <v/>
      </c>
      <c r="AY47" s="30">
        <f>I47*$AW$11</f>
        <v/>
      </c>
      <c r="AZ47" s="30">
        <f>J47*$AW$11</f>
        <v/>
      </c>
    </row>
    <row r="48">
      <c r="A48" s="8" t="n">
        <v>46661</v>
      </c>
      <c r="B48" s="33">
        <f>YEAR(A48)</f>
        <v/>
      </c>
      <c r="C48" s="33">
        <f>MONTH(A48)</f>
        <v/>
      </c>
      <c r="D48">
        <f>IF(A48&lt;=LastActual,"Actual","Forecast")</f>
        <v/>
      </c>
      <c r="E48" s="30">
        <f>IF($D48="Actual",R48,W48)</f>
        <v/>
      </c>
      <c r="F48" s="15">
        <f>IF($D48="Actual",S48,Cases_Forecast!AP41)</f>
        <v/>
      </c>
      <c r="G48" s="9">
        <f>IF($D48="Actual",T48,IFERROR(F48/K48,0))</f>
        <v/>
      </c>
      <c r="H48" s="30">
        <f>IF($D48="Actual",U48,G48*L48)</f>
        <v/>
      </c>
      <c r="I48" s="30">
        <f>IF($D48="Actual",V48,J48-H48)</f>
        <v/>
      </c>
      <c r="J48" s="30">
        <f>IF($D48="Actual",U48+V48,IFERROR(H48/(1-AD48),0))</f>
        <v/>
      </c>
      <c r="K48" s="10">
        <f>IF($D48="Actual",IFERROR(S48/T48,0),CPLH_Forecast!AP41)</f>
        <v/>
      </c>
      <c r="L48" s="34">
        <f>IF($D48="Actual",IFERROR(U48/T48,0),N(AE48))</f>
        <v/>
      </c>
      <c r="M48" s="35">
        <f>IFERROR(J48/F48,0)</f>
        <v/>
      </c>
      <c r="N48" s="36">
        <f>IFERROR(J48/E48,0)</f>
        <v/>
      </c>
      <c r="O48" s="36">
        <f>IFERROR(I48/J48,0)</f>
        <v/>
      </c>
      <c r="R48" s="52">
        <f>IF($D48="Actual",SUMIFS(Data_Actuals!$C$2:$C$5000,Data_Actuals!$A$2:$A$5000,$A48,Data_Actuals!$B$2:$B$5000,$B$2),"")</f>
        <v/>
      </c>
      <c r="S48" s="52">
        <f>IF($D48="Actual",SUMIFS(Data_Actuals!$D$2:$D$5000,Data_Actuals!$A$2:$A$5000,$A48,Data_Actuals!$B$2:$B$5000,$B$2),"")</f>
        <v/>
      </c>
      <c r="T48" s="52">
        <f>IF($D48="Actual",SUMIFS(Data_Actuals!$E$2:$E$5000,Data_Actuals!$A$2:$A$5000,$A48,Data_Actuals!$B$2:$B$5000,$B$2),"")</f>
        <v/>
      </c>
      <c r="U48" s="52">
        <f>IF($D48="Actual",SUMIFS(Data_Actuals!$F$2:$F$5000,Data_Actuals!$A$2:$A$5000,$A48,Data_Actuals!$B$2:$B$5000,$B$2),"")</f>
        <v/>
      </c>
      <c r="V48" s="52">
        <f>IF($D48="Actual",SUMIFS(Data_Actuals!$G$2:$G$5000,Data_Actuals!$A$2:$A$5000,$A48,Data_Actuals!$B$2:$B$5000,$B$2),"")</f>
        <v/>
      </c>
      <c r="W48" s="52">
        <f>SUMIFS(Plan_Inputs!$C$2:$C$5000,Plan_Inputs!$A$2:$A$5000,$A48,Plan_Inputs!$B$2:$B$5000,$B$2)</f>
        <v/>
      </c>
      <c r="X48" s="53">
        <f>IF($D48="Actual",IFERROR(S48/T48,""),X36)</f>
        <v/>
      </c>
      <c r="Y48" s="52">
        <f>E48</f>
        <v/>
      </c>
      <c r="Z48" s="54">
        <f>INDEX(Calendar!$H$5:$L$52,MATCH($A48,Calendar!$A$5:$A$52,0),MATCH($D$2,Calendar!$H$4:$L$4,0))</f>
        <v/>
      </c>
      <c r="AA48" s="54">
        <f>INDEX(Calendar!$M$5:$M$52,MATCH($A48,Calendar!$A$5:$A$52,0))</f>
        <v/>
      </c>
      <c r="AB48" s="55">
        <f>IF($D48="Actual",IFERROR(S48/Y48,""),AB36)</f>
        <v/>
      </c>
      <c r="AC48" s="56">
        <f>IF($D48="Actual",IFERROR(U48/T48/Z48/AA48,""),AC36)</f>
        <v/>
      </c>
      <c r="AD48" s="57">
        <f>IF($D48="Actual",IFERROR(V48/(U48+V48),""),$K$2)</f>
        <v/>
      </c>
      <c r="AE48" s="56">
        <f>IFERROR(AC48*Z48*AA48,"")</f>
        <v/>
      </c>
      <c r="AF48" s="53">
        <f>K36</f>
        <v/>
      </c>
      <c r="AG48" s="57">
        <f>IF($D48="Forecast",IFERROR(K48/AF48-1,""),"")</f>
        <v/>
      </c>
      <c r="AH48" s="53">
        <f>IF(CPLHSource="National breakdown",CPLH_Breakdown!AQ53,SUMIFS(Plan_Inputs!$D$2:$D$5000,Plan_Inputs!$A$2:$A$5000,$A48,Plan_Inputs!$B$2:$B$5000,$B$2))</f>
        <v/>
      </c>
      <c r="AJ48" s="15">
        <f>F48*$AK$11</f>
        <v/>
      </c>
      <c r="AK48" s="9">
        <f>G48*$AK$11</f>
        <v/>
      </c>
      <c r="AL48" s="30">
        <f>H48*$AK$11</f>
        <v/>
      </c>
      <c r="AM48" s="30">
        <f>I48*$AK$11</f>
        <v/>
      </c>
      <c r="AN48" s="30">
        <f>J48*$AK$11</f>
        <v/>
      </c>
      <c r="AP48" s="15">
        <f>F48*$AQ$11</f>
        <v/>
      </c>
      <c r="AQ48" s="9">
        <f>G48*$AQ$11</f>
        <v/>
      </c>
      <c r="AR48" s="30">
        <f>H48*$AQ$11</f>
        <v/>
      </c>
      <c r="AS48" s="30">
        <f>I48*$AQ$11</f>
        <v/>
      </c>
      <c r="AT48" s="30">
        <f>J48*$AQ$11</f>
        <v/>
      </c>
      <c r="AV48" s="15">
        <f>F48*$AW$11</f>
        <v/>
      </c>
      <c r="AW48" s="9">
        <f>G48*$AW$11</f>
        <v/>
      </c>
      <c r="AX48" s="30">
        <f>H48*$AW$11</f>
        <v/>
      </c>
      <c r="AY48" s="30">
        <f>I48*$AW$11</f>
        <v/>
      </c>
      <c r="AZ48" s="30">
        <f>J48*$AW$11</f>
        <v/>
      </c>
    </row>
    <row r="49">
      <c r="A49" s="8" t="n">
        <v>46692</v>
      </c>
      <c r="B49" s="33">
        <f>YEAR(A49)</f>
        <v/>
      </c>
      <c r="C49" s="33">
        <f>MONTH(A49)</f>
        <v/>
      </c>
      <c r="D49">
        <f>IF(A49&lt;=LastActual,"Actual","Forecast")</f>
        <v/>
      </c>
      <c r="E49" s="30">
        <f>IF($D49="Actual",R49,W49)</f>
        <v/>
      </c>
      <c r="F49" s="15">
        <f>IF($D49="Actual",S49,Cases_Forecast!AP42)</f>
        <v/>
      </c>
      <c r="G49" s="9">
        <f>IF($D49="Actual",T49,IFERROR(F49/K49,0))</f>
        <v/>
      </c>
      <c r="H49" s="30">
        <f>IF($D49="Actual",U49,G49*L49)</f>
        <v/>
      </c>
      <c r="I49" s="30">
        <f>IF($D49="Actual",V49,J49-H49)</f>
        <v/>
      </c>
      <c r="J49" s="30">
        <f>IF($D49="Actual",U49+V49,IFERROR(H49/(1-AD49),0))</f>
        <v/>
      </c>
      <c r="K49" s="10">
        <f>IF($D49="Actual",IFERROR(S49/T49,0),CPLH_Forecast!AP42)</f>
        <v/>
      </c>
      <c r="L49" s="34">
        <f>IF($D49="Actual",IFERROR(U49/T49,0),N(AE49))</f>
        <v/>
      </c>
      <c r="M49" s="35">
        <f>IFERROR(J49/F49,0)</f>
        <v/>
      </c>
      <c r="N49" s="36">
        <f>IFERROR(J49/E49,0)</f>
        <v/>
      </c>
      <c r="O49" s="36">
        <f>IFERROR(I49/J49,0)</f>
        <v/>
      </c>
      <c r="R49" s="52">
        <f>IF($D49="Actual",SUMIFS(Data_Actuals!$C$2:$C$5000,Data_Actuals!$A$2:$A$5000,$A49,Data_Actuals!$B$2:$B$5000,$B$2),"")</f>
        <v/>
      </c>
      <c r="S49" s="52">
        <f>IF($D49="Actual",SUMIFS(Data_Actuals!$D$2:$D$5000,Data_Actuals!$A$2:$A$5000,$A49,Data_Actuals!$B$2:$B$5000,$B$2),"")</f>
        <v/>
      </c>
      <c r="T49" s="52">
        <f>IF($D49="Actual",SUMIFS(Data_Actuals!$E$2:$E$5000,Data_Actuals!$A$2:$A$5000,$A49,Data_Actuals!$B$2:$B$5000,$B$2),"")</f>
        <v/>
      </c>
      <c r="U49" s="52">
        <f>IF($D49="Actual",SUMIFS(Data_Actuals!$F$2:$F$5000,Data_Actuals!$A$2:$A$5000,$A49,Data_Actuals!$B$2:$B$5000,$B$2),"")</f>
        <v/>
      </c>
      <c r="V49" s="52">
        <f>IF($D49="Actual",SUMIFS(Data_Actuals!$G$2:$G$5000,Data_Actuals!$A$2:$A$5000,$A49,Data_Actuals!$B$2:$B$5000,$B$2),"")</f>
        <v/>
      </c>
      <c r="W49" s="52">
        <f>SUMIFS(Plan_Inputs!$C$2:$C$5000,Plan_Inputs!$A$2:$A$5000,$A49,Plan_Inputs!$B$2:$B$5000,$B$2)</f>
        <v/>
      </c>
      <c r="X49" s="53">
        <f>IF($D49="Actual",IFERROR(S49/T49,""),X37)</f>
        <v/>
      </c>
      <c r="Y49" s="52">
        <f>E49</f>
        <v/>
      </c>
      <c r="Z49" s="54">
        <f>INDEX(Calendar!$H$5:$L$52,MATCH($A49,Calendar!$A$5:$A$52,0),MATCH($D$2,Calendar!$H$4:$L$4,0))</f>
        <v/>
      </c>
      <c r="AA49" s="54">
        <f>INDEX(Calendar!$M$5:$M$52,MATCH($A49,Calendar!$A$5:$A$52,0))</f>
        <v/>
      </c>
      <c r="AB49" s="55">
        <f>IF($D49="Actual",IFERROR(S49/Y49,""),AB37)</f>
        <v/>
      </c>
      <c r="AC49" s="56">
        <f>IF($D49="Actual",IFERROR(U49/T49/Z49/AA49,""),AC37)</f>
        <v/>
      </c>
      <c r="AD49" s="57">
        <f>IF($D49="Actual",IFERROR(V49/(U49+V49),""),$K$2)</f>
        <v/>
      </c>
      <c r="AE49" s="56">
        <f>IFERROR(AC49*Z49*AA49,"")</f>
        <v/>
      </c>
      <c r="AF49" s="53">
        <f>K37</f>
        <v/>
      </c>
      <c r="AG49" s="57">
        <f>IF($D49="Forecast",IFERROR(K49/AF49-1,""),"")</f>
        <v/>
      </c>
      <c r="AH49" s="53">
        <f>IF(CPLHSource="National breakdown",CPLH_Breakdown!AQ54,SUMIFS(Plan_Inputs!$D$2:$D$5000,Plan_Inputs!$A$2:$A$5000,$A49,Plan_Inputs!$B$2:$B$5000,$B$2))</f>
        <v/>
      </c>
      <c r="AJ49" s="15">
        <f>F49*$AK$11</f>
        <v/>
      </c>
      <c r="AK49" s="9">
        <f>G49*$AK$11</f>
        <v/>
      </c>
      <c r="AL49" s="30">
        <f>H49*$AK$11</f>
        <v/>
      </c>
      <c r="AM49" s="30">
        <f>I49*$AK$11</f>
        <v/>
      </c>
      <c r="AN49" s="30">
        <f>J49*$AK$11</f>
        <v/>
      </c>
      <c r="AP49" s="15">
        <f>F49*$AQ$11</f>
        <v/>
      </c>
      <c r="AQ49" s="9">
        <f>G49*$AQ$11</f>
        <v/>
      </c>
      <c r="AR49" s="30">
        <f>H49*$AQ$11</f>
        <v/>
      </c>
      <c r="AS49" s="30">
        <f>I49*$AQ$11</f>
        <v/>
      </c>
      <c r="AT49" s="30">
        <f>J49*$AQ$11</f>
        <v/>
      </c>
      <c r="AV49" s="15">
        <f>F49*$AW$11</f>
        <v/>
      </c>
      <c r="AW49" s="9">
        <f>G49*$AW$11</f>
        <v/>
      </c>
      <c r="AX49" s="30">
        <f>H49*$AW$11</f>
        <v/>
      </c>
      <c r="AY49" s="30">
        <f>I49*$AW$11</f>
        <v/>
      </c>
      <c r="AZ49" s="30">
        <f>J49*$AW$11</f>
        <v/>
      </c>
    </row>
    <row r="50">
      <c r="A50" s="37" t="n">
        <v>46722</v>
      </c>
      <c r="B50" s="38">
        <f>YEAR(A50)</f>
        <v/>
      </c>
      <c r="C50" s="38">
        <f>MONTH(A50)</f>
        <v/>
      </c>
      <c r="D50" s="39">
        <f>IF(A50&lt;=LastActual,"Actual","Forecast")</f>
        <v/>
      </c>
      <c r="E50" s="40">
        <f>IF($D50="Actual",R50,W50)</f>
        <v/>
      </c>
      <c r="F50" s="41">
        <f>IF($D50="Actual",S50,Cases_Forecast!AP43)</f>
        <v/>
      </c>
      <c r="G50" s="42">
        <f>IF($D50="Actual",T50,IFERROR(F50/K50,0))</f>
        <v/>
      </c>
      <c r="H50" s="40">
        <f>IF($D50="Actual",U50,G50*L50)</f>
        <v/>
      </c>
      <c r="I50" s="40">
        <f>IF($D50="Actual",V50,J50-H50)</f>
        <v/>
      </c>
      <c r="J50" s="40">
        <f>IF($D50="Actual",U50+V50,IFERROR(H50/(1-AD50),0))</f>
        <v/>
      </c>
      <c r="K50" s="43">
        <f>IF($D50="Actual",IFERROR(S50/T50,0),CPLH_Forecast!AP43)</f>
        <v/>
      </c>
      <c r="L50" s="44">
        <f>IF($D50="Actual",IFERROR(U50/T50,0),N(AE50))</f>
        <v/>
      </c>
      <c r="M50" s="45">
        <f>IFERROR(J50/F50,0)</f>
        <v/>
      </c>
      <c r="N50" s="46">
        <f>IFERROR(J50/E50,0)</f>
        <v/>
      </c>
      <c r="O50" s="46">
        <f>IFERROR(I50/J50,0)</f>
        <v/>
      </c>
      <c r="R50" s="52">
        <f>IF($D50="Actual",SUMIFS(Data_Actuals!$C$2:$C$5000,Data_Actuals!$A$2:$A$5000,$A50,Data_Actuals!$B$2:$B$5000,$B$2),"")</f>
        <v/>
      </c>
      <c r="S50" s="52">
        <f>IF($D50="Actual",SUMIFS(Data_Actuals!$D$2:$D$5000,Data_Actuals!$A$2:$A$5000,$A50,Data_Actuals!$B$2:$B$5000,$B$2),"")</f>
        <v/>
      </c>
      <c r="T50" s="52">
        <f>IF($D50="Actual",SUMIFS(Data_Actuals!$E$2:$E$5000,Data_Actuals!$A$2:$A$5000,$A50,Data_Actuals!$B$2:$B$5000,$B$2),"")</f>
        <v/>
      </c>
      <c r="U50" s="52">
        <f>IF($D50="Actual",SUMIFS(Data_Actuals!$F$2:$F$5000,Data_Actuals!$A$2:$A$5000,$A50,Data_Actuals!$B$2:$B$5000,$B$2),"")</f>
        <v/>
      </c>
      <c r="V50" s="52">
        <f>IF($D50="Actual",SUMIFS(Data_Actuals!$G$2:$G$5000,Data_Actuals!$A$2:$A$5000,$A50,Data_Actuals!$B$2:$B$5000,$B$2),"")</f>
        <v/>
      </c>
      <c r="W50" s="52">
        <f>SUMIFS(Plan_Inputs!$C$2:$C$5000,Plan_Inputs!$A$2:$A$5000,$A50,Plan_Inputs!$B$2:$B$5000,$B$2)</f>
        <v/>
      </c>
      <c r="X50" s="53">
        <f>IF($D50="Actual",IFERROR(S50/T50,""),X38)</f>
        <v/>
      </c>
      <c r="Y50" s="52">
        <f>E50</f>
        <v/>
      </c>
      <c r="Z50" s="54">
        <f>INDEX(Calendar!$H$5:$L$52,MATCH($A50,Calendar!$A$5:$A$52,0),MATCH($D$2,Calendar!$H$4:$L$4,0))</f>
        <v/>
      </c>
      <c r="AA50" s="54">
        <f>INDEX(Calendar!$M$5:$M$52,MATCH($A50,Calendar!$A$5:$A$52,0))</f>
        <v/>
      </c>
      <c r="AB50" s="55">
        <f>IF($D50="Actual",IFERROR(S50/Y50,""),AB38)</f>
        <v/>
      </c>
      <c r="AC50" s="56">
        <f>IF($D50="Actual",IFERROR(U50/T50/Z50/AA50,""),AC38)</f>
        <v/>
      </c>
      <c r="AD50" s="57">
        <f>IF($D50="Actual",IFERROR(V50/(U50+V50),""),$K$2)</f>
        <v/>
      </c>
      <c r="AE50" s="56">
        <f>IFERROR(AC50*Z50*AA50,"")</f>
        <v/>
      </c>
      <c r="AF50" s="53">
        <f>K38</f>
        <v/>
      </c>
      <c r="AG50" s="57">
        <f>IF($D50="Forecast",IFERROR(K50/AF50-1,""),"")</f>
        <v/>
      </c>
      <c r="AH50" s="53">
        <f>IF(CPLHSource="National breakdown",CPLH_Breakdown!AQ55,SUMIFS(Plan_Inputs!$D$2:$D$5000,Plan_Inputs!$A$2:$A$5000,$A50,Plan_Inputs!$B$2:$B$5000,$B$2))</f>
        <v/>
      </c>
      <c r="AJ50" s="41">
        <f>F50*$AK$11</f>
        <v/>
      </c>
      <c r="AK50" s="42">
        <f>G50*$AK$11</f>
        <v/>
      </c>
      <c r="AL50" s="40">
        <f>H50*$AK$11</f>
        <v/>
      </c>
      <c r="AM50" s="40">
        <f>I50*$AK$11</f>
        <v/>
      </c>
      <c r="AN50" s="40">
        <f>J50*$AK$11</f>
        <v/>
      </c>
      <c r="AP50" s="41">
        <f>F50*$AQ$11</f>
        <v/>
      </c>
      <c r="AQ50" s="42">
        <f>G50*$AQ$11</f>
        <v/>
      </c>
      <c r="AR50" s="40">
        <f>H50*$AQ$11</f>
        <v/>
      </c>
      <c r="AS50" s="40">
        <f>I50*$AQ$11</f>
        <v/>
      </c>
      <c r="AT50" s="40">
        <f>J50*$AQ$11</f>
        <v/>
      </c>
      <c r="AV50" s="41">
        <f>F50*$AW$11</f>
        <v/>
      </c>
      <c r="AW50" s="42">
        <f>G50*$AW$11</f>
        <v/>
      </c>
      <c r="AX50" s="40">
        <f>H50*$AW$11</f>
        <v/>
      </c>
      <c r="AY50" s="40">
        <f>I50*$AW$11</f>
        <v/>
      </c>
      <c r="AZ50" s="40">
        <f>J50*$AW$11</f>
        <v/>
      </c>
    </row>
    <row r="51">
      <c r="A51" s="8" t="n">
        <v>46753</v>
      </c>
      <c r="B51" s="33">
        <f>YEAR(A51)</f>
        <v/>
      </c>
      <c r="C51" s="33">
        <f>MONTH(A51)</f>
        <v/>
      </c>
      <c r="D51">
        <f>IF(A51&lt;=LastActual,"Actual","Forecast")</f>
        <v/>
      </c>
      <c r="E51" s="30">
        <f>IF($D51="Actual",R51,W51)</f>
        <v/>
      </c>
      <c r="F51" s="15">
        <f>IF($D51="Actual",S51,Cases_Forecast!AP44)</f>
        <v/>
      </c>
      <c r="G51" s="9">
        <f>IF($D51="Actual",T51,IFERROR(F51/K51,0))</f>
        <v/>
      </c>
      <c r="H51" s="30">
        <f>IF($D51="Actual",U51,G51*L51)</f>
        <v/>
      </c>
      <c r="I51" s="30">
        <f>IF($D51="Actual",V51,J51-H51)</f>
        <v/>
      </c>
      <c r="J51" s="30">
        <f>IF($D51="Actual",U51+V51,IFERROR(H51/(1-AD51),0))</f>
        <v/>
      </c>
      <c r="K51" s="10">
        <f>IF($D51="Actual",IFERROR(S51/T51,0),CPLH_Forecast!AP44)</f>
        <v/>
      </c>
      <c r="L51" s="34">
        <f>IF($D51="Actual",IFERROR(U51/T51,0),N(AE51))</f>
        <v/>
      </c>
      <c r="M51" s="35">
        <f>IFERROR(J51/F51,0)</f>
        <v/>
      </c>
      <c r="N51" s="36">
        <f>IFERROR(J51/E51,0)</f>
        <v/>
      </c>
      <c r="O51" s="36">
        <f>IFERROR(I51/J51,0)</f>
        <v/>
      </c>
      <c r="R51" s="52">
        <f>IF($D51="Actual",SUMIFS(Data_Actuals!$C$2:$C$5000,Data_Actuals!$A$2:$A$5000,$A51,Data_Actuals!$B$2:$B$5000,$B$2),"")</f>
        <v/>
      </c>
      <c r="S51" s="52">
        <f>IF($D51="Actual",SUMIFS(Data_Actuals!$D$2:$D$5000,Data_Actuals!$A$2:$A$5000,$A51,Data_Actuals!$B$2:$B$5000,$B$2),"")</f>
        <v/>
      </c>
      <c r="T51" s="52">
        <f>IF($D51="Actual",SUMIFS(Data_Actuals!$E$2:$E$5000,Data_Actuals!$A$2:$A$5000,$A51,Data_Actuals!$B$2:$B$5000,$B$2),"")</f>
        <v/>
      </c>
      <c r="U51" s="52">
        <f>IF($D51="Actual",SUMIFS(Data_Actuals!$F$2:$F$5000,Data_Actuals!$A$2:$A$5000,$A51,Data_Actuals!$B$2:$B$5000,$B$2),"")</f>
        <v/>
      </c>
      <c r="V51" s="52">
        <f>IF($D51="Actual",SUMIFS(Data_Actuals!$G$2:$G$5000,Data_Actuals!$A$2:$A$5000,$A51,Data_Actuals!$B$2:$B$5000,$B$2),"")</f>
        <v/>
      </c>
      <c r="W51" s="52">
        <f>SUMIFS(Plan_Inputs!$C$2:$C$5000,Plan_Inputs!$A$2:$A$5000,$A51,Plan_Inputs!$B$2:$B$5000,$B$2)</f>
        <v/>
      </c>
      <c r="X51" s="53">
        <f>IF($D51="Actual",IFERROR(S51/T51,""),X39)</f>
        <v/>
      </c>
      <c r="Y51" s="52">
        <f>E51</f>
        <v/>
      </c>
      <c r="Z51" s="54">
        <f>INDEX(Calendar!$H$5:$L$52,MATCH($A51,Calendar!$A$5:$A$52,0),MATCH($D$2,Calendar!$H$4:$L$4,0))</f>
        <v/>
      </c>
      <c r="AA51" s="54">
        <f>INDEX(Calendar!$M$5:$M$52,MATCH($A51,Calendar!$A$5:$A$52,0))</f>
        <v/>
      </c>
      <c r="AB51" s="55">
        <f>IF($D51="Actual",IFERROR(S51/Y51,""),AB39)</f>
        <v/>
      </c>
      <c r="AC51" s="56">
        <f>IF($D51="Actual",IFERROR(U51/T51/Z51/AA51,""),AC39)</f>
        <v/>
      </c>
      <c r="AD51" s="57">
        <f>IF($D51="Actual",IFERROR(V51/(U51+V51),""),$K$2)</f>
        <v/>
      </c>
      <c r="AE51" s="56">
        <f>IFERROR(AC51*Z51*AA51,"")</f>
        <v/>
      </c>
      <c r="AF51" s="53">
        <f>K39</f>
        <v/>
      </c>
      <c r="AG51" s="57">
        <f>IF($D51="Forecast",IFERROR(K51/AF51-1,""),"")</f>
        <v/>
      </c>
      <c r="AH51" s="53">
        <f>IF(CPLHSource="National breakdown",CPLH_Breakdown!AQ56,SUMIFS(Plan_Inputs!$D$2:$D$5000,Plan_Inputs!$A$2:$A$5000,$A51,Plan_Inputs!$B$2:$B$5000,$B$2))</f>
        <v/>
      </c>
      <c r="AJ51" s="15">
        <f>F51*$AK$11</f>
        <v/>
      </c>
      <c r="AK51" s="9">
        <f>G51*$AK$11</f>
        <v/>
      </c>
      <c r="AL51" s="30">
        <f>H51*$AK$11</f>
        <v/>
      </c>
      <c r="AM51" s="30">
        <f>I51*$AK$11</f>
        <v/>
      </c>
      <c r="AN51" s="30">
        <f>J51*$AK$11</f>
        <v/>
      </c>
      <c r="AP51" s="15">
        <f>F51*$AQ$11</f>
        <v/>
      </c>
      <c r="AQ51" s="9">
        <f>G51*$AQ$11</f>
        <v/>
      </c>
      <c r="AR51" s="30">
        <f>H51*$AQ$11</f>
        <v/>
      </c>
      <c r="AS51" s="30">
        <f>I51*$AQ$11</f>
        <v/>
      </c>
      <c r="AT51" s="30">
        <f>J51*$AQ$11</f>
        <v/>
      </c>
      <c r="AV51" s="15">
        <f>F51*$AW$11</f>
        <v/>
      </c>
      <c r="AW51" s="9">
        <f>G51*$AW$11</f>
        <v/>
      </c>
      <c r="AX51" s="30">
        <f>H51*$AW$11</f>
        <v/>
      </c>
      <c r="AY51" s="30">
        <f>I51*$AW$11</f>
        <v/>
      </c>
      <c r="AZ51" s="30">
        <f>J51*$AW$11</f>
        <v/>
      </c>
    </row>
    <row r="52">
      <c r="A52" s="8" t="n">
        <v>46784</v>
      </c>
      <c r="B52" s="33">
        <f>YEAR(A52)</f>
        <v/>
      </c>
      <c r="C52" s="33">
        <f>MONTH(A52)</f>
        <v/>
      </c>
      <c r="D52">
        <f>IF(A52&lt;=LastActual,"Actual","Forecast")</f>
        <v/>
      </c>
      <c r="E52" s="30">
        <f>IF($D52="Actual",R52,W52)</f>
        <v/>
      </c>
      <c r="F52" s="15">
        <f>IF($D52="Actual",S52,Cases_Forecast!AP45)</f>
        <v/>
      </c>
      <c r="G52" s="9">
        <f>IF($D52="Actual",T52,IFERROR(F52/K52,0))</f>
        <v/>
      </c>
      <c r="H52" s="30">
        <f>IF($D52="Actual",U52,G52*L52)</f>
        <v/>
      </c>
      <c r="I52" s="30">
        <f>IF($D52="Actual",V52,J52-H52)</f>
        <v/>
      </c>
      <c r="J52" s="30">
        <f>IF($D52="Actual",U52+V52,IFERROR(H52/(1-AD52),0))</f>
        <v/>
      </c>
      <c r="K52" s="10">
        <f>IF($D52="Actual",IFERROR(S52/T52,0),CPLH_Forecast!AP45)</f>
        <v/>
      </c>
      <c r="L52" s="34">
        <f>IF($D52="Actual",IFERROR(U52/T52,0),N(AE52))</f>
        <v/>
      </c>
      <c r="M52" s="35">
        <f>IFERROR(J52/F52,0)</f>
        <v/>
      </c>
      <c r="N52" s="36">
        <f>IFERROR(J52/E52,0)</f>
        <v/>
      </c>
      <c r="O52" s="36">
        <f>IFERROR(I52/J52,0)</f>
        <v/>
      </c>
      <c r="R52" s="52">
        <f>IF($D52="Actual",SUMIFS(Data_Actuals!$C$2:$C$5000,Data_Actuals!$A$2:$A$5000,$A52,Data_Actuals!$B$2:$B$5000,$B$2),"")</f>
        <v/>
      </c>
      <c r="S52" s="52">
        <f>IF($D52="Actual",SUMIFS(Data_Actuals!$D$2:$D$5000,Data_Actuals!$A$2:$A$5000,$A52,Data_Actuals!$B$2:$B$5000,$B$2),"")</f>
        <v/>
      </c>
      <c r="T52" s="52">
        <f>IF($D52="Actual",SUMIFS(Data_Actuals!$E$2:$E$5000,Data_Actuals!$A$2:$A$5000,$A52,Data_Actuals!$B$2:$B$5000,$B$2),"")</f>
        <v/>
      </c>
      <c r="U52" s="52">
        <f>IF($D52="Actual",SUMIFS(Data_Actuals!$F$2:$F$5000,Data_Actuals!$A$2:$A$5000,$A52,Data_Actuals!$B$2:$B$5000,$B$2),"")</f>
        <v/>
      </c>
      <c r="V52" s="52">
        <f>IF($D52="Actual",SUMIFS(Data_Actuals!$G$2:$G$5000,Data_Actuals!$A$2:$A$5000,$A52,Data_Actuals!$B$2:$B$5000,$B$2),"")</f>
        <v/>
      </c>
      <c r="W52" s="52">
        <f>SUMIFS(Plan_Inputs!$C$2:$C$5000,Plan_Inputs!$A$2:$A$5000,$A52,Plan_Inputs!$B$2:$B$5000,$B$2)</f>
        <v/>
      </c>
      <c r="X52" s="53">
        <f>IF($D52="Actual",IFERROR(S52/T52,""),X40)</f>
        <v/>
      </c>
      <c r="Y52" s="52">
        <f>E52</f>
        <v/>
      </c>
      <c r="Z52" s="54">
        <f>INDEX(Calendar!$H$5:$L$52,MATCH($A52,Calendar!$A$5:$A$52,0),MATCH($D$2,Calendar!$H$4:$L$4,0))</f>
        <v/>
      </c>
      <c r="AA52" s="54">
        <f>INDEX(Calendar!$M$5:$M$52,MATCH($A52,Calendar!$A$5:$A$52,0))</f>
        <v/>
      </c>
      <c r="AB52" s="55">
        <f>IF($D52="Actual",IFERROR(S52/Y52,""),AB40)</f>
        <v/>
      </c>
      <c r="AC52" s="56">
        <f>IF($D52="Actual",IFERROR(U52/T52/Z52/AA52,""),AC40)</f>
        <v/>
      </c>
      <c r="AD52" s="57">
        <f>IF($D52="Actual",IFERROR(V52/(U52+V52),""),$K$2)</f>
        <v/>
      </c>
      <c r="AE52" s="56">
        <f>IFERROR(AC52*Z52*AA52,"")</f>
        <v/>
      </c>
      <c r="AF52" s="53">
        <f>K40</f>
        <v/>
      </c>
      <c r="AG52" s="57">
        <f>IF($D52="Forecast",IFERROR(K52/AF52-1,""),"")</f>
        <v/>
      </c>
      <c r="AH52" s="53">
        <f>IF(CPLHSource="National breakdown",CPLH_Breakdown!AQ57,SUMIFS(Plan_Inputs!$D$2:$D$5000,Plan_Inputs!$A$2:$A$5000,$A52,Plan_Inputs!$B$2:$B$5000,$B$2))</f>
        <v/>
      </c>
      <c r="AJ52" s="15">
        <f>F52*$AK$11</f>
        <v/>
      </c>
      <c r="AK52" s="9">
        <f>G52*$AK$11</f>
        <v/>
      </c>
      <c r="AL52" s="30">
        <f>H52*$AK$11</f>
        <v/>
      </c>
      <c r="AM52" s="30">
        <f>I52*$AK$11</f>
        <v/>
      </c>
      <c r="AN52" s="30">
        <f>J52*$AK$11</f>
        <v/>
      </c>
      <c r="AP52" s="15">
        <f>F52*$AQ$11</f>
        <v/>
      </c>
      <c r="AQ52" s="9">
        <f>G52*$AQ$11</f>
        <v/>
      </c>
      <c r="AR52" s="30">
        <f>H52*$AQ$11</f>
        <v/>
      </c>
      <c r="AS52" s="30">
        <f>I52*$AQ$11</f>
        <v/>
      </c>
      <c r="AT52" s="30">
        <f>J52*$AQ$11</f>
        <v/>
      </c>
      <c r="AV52" s="15">
        <f>F52*$AW$11</f>
        <v/>
      </c>
      <c r="AW52" s="9">
        <f>G52*$AW$11</f>
        <v/>
      </c>
      <c r="AX52" s="30">
        <f>H52*$AW$11</f>
        <v/>
      </c>
      <c r="AY52" s="30">
        <f>I52*$AW$11</f>
        <v/>
      </c>
      <c r="AZ52" s="30">
        <f>J52*$AW$11</f>
        <v/>
      </c>
    </row>
    <row r="53">
      <c r="A53" s="8" t="n">
        <v>46813</v>
      </c>
      <c r="B53" s="33">
        <f>YEAR(A53)</f>
        <v/>
      </c>
      <c r="C53" s="33">
        <f>MONTH(A53)</f>
        <v/>
      </c>
      <c r="D53">
        <f>IF(A53&lt;=LastActual,"Actual","Forecast")</f>
        <v/>
      </c>
      <c r="E53" s="30">
        <f>IF($D53="Actual",R53,W53)</f>
        <v/>
      </c>
      <c r="F53" s="15">
        <f>IF($D53="Actual",S53,Cases_Forecast!AP46)</f>
        <v/>
      </c>
      <c r="G53" s="9">
        <f>IF($D53="Actual",T53,IFERROR(F53/K53,0))</f>
        <v/>
      </c>
      <c r="H53" s="30">
        <f>IF($D53="Actual",U53,G53*L53)</f>
        <v/>
      </c>
      <c r="I53" s="30">
        <f>IF($D53="Actual",V53,J53-H53)</f>
        <v/>
      </c>
      <c r="J53" s="30">
        <f>IF($D53="Actual",U53+V53,IFERROR(H53/(1-AD53),0))</f>
        <v/>
      </c>
      <c r="K53" s="10">
        <f>IF($D53="Actual",IFERROR(S53/T53,0),CPLH_Forecast!AP46)</f>
        <v/>
      </c>
      <c r="L53" s="34">
        <f>IF($D53="Actual",IFERROR(U53/T53,0),N(AE53))</f>
        <v/>
      </c>
      <c r="M53" s="35">
        <f>IFERROR(J53/F53,0)</f>
        <v/>
      </c>
      <c r="N53" s="36">
        <f>IFERROR(J53/E53,0)</f>
        <v/>
      </c>
      <c r="O53" s="36">
        <f>IFERROR(I53/J53,0)</f>
        <v/>
      </c>
      <c r="R53" s="52">
        <f>IF($D53="Actual",SUMIFS(Data_Actuals!$C$2:$C$5000,Data_Actuals!$A$2:$A$5000,$A53,Data_Actuals!$B$2:$B$5000,$B$2),"")</f>
        <v/>
      </c>
      <c r="S53" s="52">
        <f>IF($D53="Actual",SUMIFS(Data_Actuals!$D$2:$D$5000,Data_Actuals!$A$2:$A$5000,$A53,Data_Actuals!$B$2:$B$5000,$B$2),"")</f>
        <v/>
      </c>
      <c r="T53" s="52">
        <f>IF($D53="Actual",SUMIFS(Data_Actuals!$E$2:$E$5000,Data_Actuals!$A$2:$A$5000,$A53,Data_Actuals!$B$2:$B$5000,$B$2),"")</f>
        <v/>
      </c>
      <c r="U53" s="52">
        <f>IF($D53="Actual",SUMIFS(Data_Actuals!$F$2:$F$5000,Data_Actuals!$A$2:$A$5000,$A53,Data_Actuals!$B$2:$B$5000,$B$2),"")</f>
        <v/>
      </c>
      <c r="V53" s="52">
        <f>IF($D53="Actual",SUMIFS(Data_Actuals!$G$2:$G$5000,Data_Actuals!$A$2:$A$5000,$A53,Data_Actuals!$B$2:$B$5000,$B$2),"")</f>
        <v/>
      </c>
      <c r="W53" s="52">
        <f>SUMIFS(Plan_Inputs!$C$2:$C$5000,Plan_Inputs!$A$2:$A$5000,$A53,Plan_Inputs!$B$2:$B$5000,$B$2)</f>
        <v/>
      </c>
      <c r="X53" s="53">
        <f>IF($D53="Actual",IFERROR(S53/T53,""),X41)</f>
        <v/>
      </c>
      <c r="Y53" s="52">
        <f>E53</f>
        <v/>
      </c>
      <c r="Z53" s="54">
        <f>INDEX(Calendar!$H$5:$L$52,MATCH($A53,Calendar!$A$5:$A$52,0),MATCH($D$2,Calendar!$H$4:$L$4,0))</f>
        <v/>
      </c>
      <c r="AA53" s="54">
        <f>INDEX(Calendar!$M$5:$M$52,MATCH($A53,Calendar!$A$5:$A$52,0))</f>
        <v/>
      </c>
      <c r="AB53" s="55">
        <f>IF($D53="Actual",IFERROR(S53/Y53,""),AB41)</f>
        <v/>
      </c>
      <c r="AC53" s="56">
        <f>IF($D53="Actual",IFERROR(U53/T53/Z53/AA53,""),AC41)</f>
        <v/>
      </c>
      <c r="AD53" s="57">
        <f>IF($D53="Actual",IFERROR(V53/(U53+V53),""),$K$2)</f>
        <v/>
      </c>
      <c r="AE53" s="56">
        <f>IFERROR(AC53*Z53*AA53,"")</f>
        <v/>
      </c>
      <c r="AF53" s="53">
        <f>K41</f>
        <v/>
      </c>
      <c r="AG53" s="57">
        <f>IF($D53="Forecast",IFERROR(K53/AF53-1,""),"")</f>
        <v/>
      </c>
      <c r="AH53" s="53">
        <f>IF(CPLHSource="National breakdown",CPLH_Breakdown!AQ58,SUMIFS(Plan_Inputs!$D$2:$D$5000,Plan_Inputs!$A$2:$A$5000,$A53,Plan_Inputs!$B$2:$B$5000,$B$2))</f>
        <v/>
      </c>
      <c r="AJ53" s="15">
        <f>F53*$AK$11</f>
        <v/>
      </c>
      <c r="AK53" s="9">
        <f>G53*$AK$11</f>
        <v/>
      </c>
      <c r="AL53" s="30">
        <f>H53*$AK$11</f>
        <v/>
      </c>
      <c r="AM53" s="30">
        <f>I53*$AK$11</f>
        <v/>
      </c>
      <c r="AN53" s="30">
        <f>J53*$AK$11</f>
        <v/>
      </c>
      <c r="AP53" s="15">
        <f>F53*$AQ$11</f>
        <v/>
      </c>
      <c r="AQ53" s="9">
        <f>G53*$AQ$11</f>
        <v/>
      </c>
      <c r="AR53" s="30">
        <f>H53*$AQ$11</f>
        <v/>
      </c>
      <c r="AS53" s="30">
        <f>I53*$AQ$11</f>
        <v/>
      </c>
      <c r="AT53" s="30">
        <f>J53*$AQ$11</f>
        <v/>
      </c>
      <c r="AV53" s="15">
        <f>F53*$AW$11</f>
        <v/>
      </c>
      <c r="AW53" s="9">
        <f>G53*$AW$11</f>
        <v/>
      </c>
      <c r="AX53" s="30">
        <f>H53*$AW$11</f>
        <v/>
      </c>
      <c r="AY53" s="30">
        <f>I53*$AW$11</f>
        <v/>
      </c>
      <c r="AZ53" s="30">
        <f>J53*$AW$11</f>
        <v/>
      </c>
    </row>
    <row r="54">
      <c r="A54" s="8" t="n">
        <v>46844</v>
      </c>
      <c r="B54" s="33">
        <f>YEAR(A54)</f>
        <v/>
      </c>
      <c r="C54" s="33">
        <f>MONTH(A54)</f>
        <v/>
      </c>
      <c r="D54">
        <f>IF(A54&lt;=LastActual,"Actual","Forecast")</f>
        <v/>
      </c>
      <c r="E54" s="30">
        <f>IF($D54="Actual",R54,W54)</f>
        <v/>
      </c>
      <c r="F54" s="15">
        <f>IF($D54="Actual",S54,Cases_Forecast!AP47)</f>
        <v/>
      </c>
      <c r="G54" s="9">
        <f>IF($D54="Actual",T54,IFERROR(F54/K54,0))</f>
        <v/>
      </c>
      <c r="H54" s="30">
        <f>IF($D54="Actual",U54,G54*L54)</f>
        <v/>
      </c>
      <c r="I54" s="30">
        <f>IF($D54="Actual",V54,J54-H54)</f>
        <v/>
      </c>
      <c r="J54" s="30">
        <f>IF($D54="Actual",U54+V54,IFERROR(H54/(1-AD54),0))</f>
        <v/>
      </c>
      <c r="K54" s="10">
        <f>IF($D54="Actual",IFERROR(S54/T54,0),CPLH_Forecast!AP47)</f>
        <v/>
      </c>
      <c r="L54" s="34">
        <f>IF($D54="Actual",IFERROR(U54/T54,0),N(AE54))</f>
        <v/>
      </c>
      <c r="M54" s="35">
        <f>IFERROR(J54/F54,0)</f>
        <v/>
      </c>
      <c r="N54" s="36">
        <f>IFERROR(J54/E54,0)</f>
        <v/>
      </c>
      <c r="O54" s="36">
        <f>IFERROR(I54/J54,0)</f>
        <v/>
      </c>
      <c r="R54" s="52">
        <f>IF($D54="Actual",SUMIFS(Data_Actuals!$C$2:$C$5000,Data_Actuals!$A$2:$A$5000,$A54,Data_Actuals!$B$2:$B$5000,$B$2),"")</f>
        <v/>
      </c>
      <c r="S54" s="52">
        <f>IF($D54="Actual",SUMIFS(Data_Actuals!$D$2:$D$5000,Data_Actuals!$A$2:$A$5000,$A54,Data_Actuals!$B$2:$B$5000,$B$2),"")</f>
        <v/>
      </c>
      <c r="T54" s="52">
        <f>IF($D54="Actual",SUMIFS(Data_Actuals!$E$2:$E$5000,Data_Actuals!$A$2:$A$5000,$A54,Data_Actuals!$B$2:$B$5000,$B$2),"")</f>
        <v/>
      </c>
      <c r="U54" s="52">
        <f>IF($D54="Actual",SUMIFS(Data_Actuals!$F$2:$F$5000,Data_Actuals!$A$2:$A$5000,$A54,Data_Actuals!$B$2:$B$5000,$B$2),"")</f>
        <v/>
      </c>
      <c r="V54" s="52">
        <f>IF($D54="Actual",SUMIFS(Data_Actuals!$G$2:$G$5000,Data_Actuals!$A$2:$A$5000,$A54,Data_Actuals!$B$2:$B$5000,$B$2),"")</f>
        <v/>
      </c>
      <c r="W54" s="52">
        <f>SUMIFS(Plan_Inputs!$C$2:$C$5000,Plan_Inputs!$A$2:$A$5000,$A54,Plan_Inputs!$B$2:$B$5000,$B$2)</f>
        <v/>
      </c>
      <c r="X54" s="53">
        <f>IF($D54="Actual",IFERROR(S54/T54,""),X42)</f>
        <v/>
      </c>
      <c r="Y54" s="52">
        <f>E54</f>
        <v/>
      </c>
      <c r="Z54" s="54">
        <f>INDEX(Calendar!$H$5:$L$52,MATCH($A54,Calendar!$A$5:$A$52,0),MATCH($D$2,Calendar!$H$4:$L$4,0))</f>
        <v/>
      </c>
      <c r="AA54" s="54">
        <f>INDEX(Calendar!$M$5:$M$52,MATCH($A54,Calendar!$A$5:$A$52,0))</f>
        <v/>
      </c>
      <c r="AB54" s="55">
        <f>IF($D54="Actual",IFERROR(S54/Y54,""),AB42)</f>
        <v/>
      </c>
      <c r="AC54" s="56">
        <f>IF($D54="Actual",IFERROR(U54/T54/Z54/AA54,""),AC42)</f>
        <v/>
      </c>
      <c r="AD54" s="57">
        <f>IF($D54="Actual",IFERROR(V54/(U54+V54),""),$K$2)</f>
        <v/>
      </c>
      <c r="AE54" s="56">
        <f>IFERROR(AC54*Z54*AA54,"")</f>
        <v/>
      </c>
      <c r="AF54" s="53">
        <f>K42</f>
        <v/>
      </c>
      <c r="AG54" s="57">
        <f>IF($D54="Forecast",IFERROR(K54/AF54-1,""),"")</f>
        <v/>
      </c>
      <c r="AH54" s="53">
        <f>IF(CPLHSource="National breakdown",CPLH_Breakdown!AQ59,SUMIFS(Plan_Inputs!$D$2:$D$5000,Plan_Inputs!$A$2:$A$5000,$A54,Plan_Inputs!$B$2:$B$5000,$B$2))</f>
        <v/>
      </c>
      <c r="AJ54" s="15">
        <f>F54*$AK$11</f>
        <v/>
      </c>
      <c r="AK54" s="9">
        <f>G54*$AK$11</f>
        <v/>
      </c>
      <c r="AL54" s="30">
        <f>H54*$AK$11</f>
        <v/>
      </c>
      <c r="AM54" s="30">
        <f>I54*$AK$11</f>
        <v/>
      </c>
      <c r="AN54" s="30">
        <f>J54*$AK$11</f>
        <v/>
      </c>
      <c r="AP54" s="15">
        <f>F54*$AQ$11</f>
        <v/>
      </c>
      <c r="AQ54" s="9">
        <f>G54*$AQ$11</f>
        <v/>
      </c>
      <c r="AR54" s="30">
        <f>H54*$AQ$11</f>
        <v/>
      </c>
      <c r="AS54" s="30">
        <f>I54*$AQ$11</f>
        <v/>
      </c>
      <c r="AT54" s="30">
        <f>J54*$AQ$11</f>
        <v/>
      </c>
      <c r="AV54" s="15">
        <f>F54*$AW$11</f>
        <v/>
      </c>
      <c r="AW54" s="9">
        <f>G54*$AW$11</f>
        <v/>
      </c>
      <c r="AX54" s="30">
        <f>H54*$AW$11</f>
        <v/>
      </c>
      <c r="AY54" s="30">
        <f>I54*$AW$11</f>
        <v/>
      </c>
      <c r="AZ54" s="30">
        <f>J54*$AW$11</f>
        <v/>
      </c>
    </row>
    <row r="55">
      <c r="A55" s="8" t="n">
        <v>46874</v>
      </c>
      <c r="B55" s="33">
        <f>YEAR(A55)</f>
        <v/>
      </c>
      <c r="C55" s="33">
        <f>MONTH(A55)</f>
        <v/>
      </c>
      <c r="D55">
        <f>IF(A55&lt;=LastActual,"Actual","Forecast")</f>
        <v/>
      </c>
      <c r="E55" s="30">
        <f>IF($D55="Actual",R55,W55)</f>
        <v/>
      </c>
      <c r="F55" s="15">
        <f>IF($D55="Actual",S55,Cases_Forecast!AP48)</f>
        <v/>
      </c>
      <c r="G55" s="9">
        <f>IF($D55="Actual",T55,IFERROR(F55/K55,0))</f>
        <v/>
      </c>
      <c r="H55" s="30">
        <f>IF($D55="Actual",U55,G55*L55)</f>
        <v/>
      </c>
      <c r="I55" s="30">
        <f>IF($D55="Actual",V55,J55-H55)</f>
        <v/>
      </c>
      <c r="J55" s="30">
        <f>IF($D55="Actual",U55+V55,IFERROR(H55/(1-AD55),0))</f>
        <v/>
      </c>
      <c r="K55" s="10">
        <f>IF($D55="Actual",IFERROR(S55/T55,0),CPLH_Forecast!AP48)</f>
        <v/>
      </c>
      <c r="L55" s="34">
        <f>IF($D55="Actual",IFERROR(U55/T55,0),N(AE55))</f>
        <v/>
      </c>
      <c r="M55" s="35">
        <f>IFERROR(J55/F55,0)</f>
        <v/>
      </c>
      <c r="N55" s="36">
        <f>IFERROR(J55/E55,0)</f>
        <v/>
      </c>
      <c r="O55" s="36">
        <f>IFERROR(I55/J55,0)</f>
        <v/>
      </c>
      <c r="R55" s="52">
        <f>IF($D55="Actual",SUMIFS(Data_Actuals!$C$2:$C$5000,Data_Actuals!$A$2:$A$5000,$A55,Data_Actuals!$B$2:$B$5000,$B$2),"")</f>
        <v/>
      </c>
      <c r="S55" s="52">
        <f>IF($D55="Actual",SUMIFS(Data_Actuals!$D$2:$D$5000,Data_Actuals!$A$2:$A$5000,$A55,Data_Actuals!$B$2:$B$5000,$B$2),"")</f>
        <v/>
      </c>
      <c r="T55" s="52">
        <f>IF($D55="Actual",SUMIFS(Data_Actuals!$E$2:$E$5000,Data_Actuals!$A$2:$A$5000,$A55,Data_Actuals!$B$2:$B$5000,$B$2),"")</f>
        <v/>
      </c>
      <c r="U55" s="52">
        <f>IF($D55="Actual",SUMIFS(Data_Actuals!$F$2:$F$5000,Data_Actuals!$A$2:$A$5000,$A55,Data_Actuals!$B$2:$B$5000,$B$2),"")</f>
        <v/>
      </c>
      <c r="V55" s="52">
        <f>IF($D55="Actual",SUMIFS(Data_Actuals!$G$2:$G$5000,Data_Actuals!$A$2:$A$5000,$A55,Data_Actuals!$B$2:$B$5000,$B$2),"")</f>
        <v/>
      </c>
      <c r="W55" s="52">
        <f>SUMIFS(Plan_Inputs!$C$2:$C$5000,Plan_Inputs!$A$2:$A$5000,$A55,Plan_Inputs!$B$2:$B$5000,$B$2)</f>
        <v/>
      </c>
      <c r="X55" s="53">
        <f>IF($D55="Actual",IFERROR(S55/T55,""),X43)</f>
        <v/>
      </c>
      <c r="Y55" s="52">
        <f>E55</f>
        <v/>
      </c>
      <c r="Z55" s="54">
        <f>INDEX(Calendar!$H$5:$L$52,MATCH($A55,Calendar!$A$5:$A$52,0),MATCH($D$2,Calendar!$H$4:$L$4,0))</f>
        <v/>
      </c>
      <c r="AA55" s="54">
        <f>INDEX(Calendar!$M$5:$M$52,MATCH($A55,Calendar!$A$5:$A$52,0))</f>
        <v/>
      </c>
      <c r="AB55" s="55">
        <f>IF($D55="Actual",IFERROR(S55/Y55,""),AB43)</f>
        <v/>
      </c>
      <c r="AC55" s="56">
        <f>IF($D55="Actual",IFERROR(U55/T55/Z55/AA55,""),AC43)</f>
        <v/>
      </c>
      <c r="AD55" s="57">
        <f>IF($D55="Actual",IFERROR(V55/(U55+V55),""),$K$2)</f>
        <v/>
      </c>
      <c r="AE55" s="56">
        <f>IFERROR(AC55*Z55*AA55,"")</f>
        <v/>
      </c>
      <c r="AF55" s="53">
        <f>K43</f>
        <v/>
      </c>
      <c r="AG55" s="57">
        <f>IF($D55="Forecast",IFERROR(K55/AF55-1,""),"")</f>
        <v/>
      </c>
      <c r="AH55" s="53">
        <f>IF(CPLHSource="National breakdown",CPLH_Breakdown!AQ60,SUMIFS(Plan_Inputs!$D$2:$D$5000,Plan_Inputs!$A$2:$A$5000,$A55,Plan_Inputs!$B$2:$B$5000,$B$2))</f>
        <v/>
      </c>
      <c r="AJ55" s="15">
        <f>F55*$AK$11</f>
        <v/>
      </c>
      <c r="AK55" s="9">
        <f>G55*$AK$11</f>
        <v/>
      </c>
      <c r="AL55" s="30">
        <f>H55*$AK$11</f>
        <v/>
      </c>
      <c r="AM55" s="30">
        <f>I55*$AK$11</f>
        <v/>
      </c>
      <c r="AN55" s="30">
        <f>J55*$AK$11</f>
        <v/>
      </c>
      <c r="AP55" s="15">
        <f>F55*$AQ$11</f>
        <v/>
      </c>
      <c r="AQ55" s="9">
        <f>G55*$AQ$11</f>
        <v/>
      </c>
      <c r="AR55" s="30">
        <f>H55*$AQ$11</f>
        <v/>
      </c>
      <c r="AS55" s="30">
        <f>I55*$AQ$11</f>
        <v/>
      </c>
      <c r="AT55" s="30">
        <f>J55*$AQ$11</f>
        <v/>
      </c>
      <c r="AV55" s="15">
        <f>F55*$AW$11</f>
        <v/>
      </c>
      <c r="AW55" s="9">
        <f>G55*$AW$11</f>
        <v/>
      </c>
      <c r="AX55" s="30">
        <f>H55*$AW$11</f>
        <v/>
      </c>
      <c r="AY55" s="30">
        <f>I55*$AW$11</f>
        <v/>
      </c>
      <c r="AZ55" s="30">
        <f>J55*$AW$11</f>
        <v/>
      </c>
    </row>
    <row r="56">
      <c r="A56" s="8" t="n">
        <v>46905</v>
      </c>
      <c r="B56" s="33">
        <f>YEAR(A56)</f>
        <v/>
      </c>
      <c r="C56" s="33">
        <f>MONTH(A56)</f>
        <v/>
      </c>
      <c r="D56">
        <f>IF(A56&lt;=LastActual,"Actual","Forecast")</f>
        <v/>
      </c>
      <c r="E56" s="30">
        <f>IF($D56="Actual",R56,W56)</f>
        <v/>
      </c>
      <c r="F56" s="15">
        <f>IF($D56="Actual",S56,Cases_Forecast!AP49)</f>
        <v/>
      </c>
      <c r="G56" s="9">
        <f>IF($D56="Actual",T56,IFERROR(F56/K56,0))</f>
        <v/>
      </c>
      <c r="H56" s="30">
        <f>IF($D56="Actual",U56,G56*L56)</f>
        <v/>
      </c>
      <c r="I56" s="30">
        <f>IF($D56="Actual",V56,J56-H56)</f>
        <v/>
      </c>
      <c r="J56" s="30">
        <f>IF($D56="Actual",U56+V56,IFERROR(H56/(1-AD56),0))</f>
        <v/>
      </c>
      <c r="K56" s="10">
        <f>IF($D56="Actual",IFERROR(S56/T56,0),CPLH_Forecast!AP49)</f>
        <v/>
      </c>
      <c r="L56" s="34">
        <f>IF($D56="Actual",IFERROR(U56/T56,0),N(AE56))</f>
        <v/>
      </c>
      <c r="M56" s="35">
        <f>IFERROR(J56/F56,0)</f>
        <v/>
      </c>
      <c r="N56" s="36">
        <f>IFERROR(J56/E56,0)</f>
        <v/>
      </c>
      <c r="O56" s="36">
        <f>IFERROR(I56/J56,0)</f>
        <v/>
      </c>
      <c r="R56" s="52">
        <f>IF($D56="Actual",SUMIFS(Data_Actuals!$C$2:$C$5000,Data_Actuals!$A$2:$A$5000,$A56,Data_Actuals!$B$2:$B$5000,$B$2),"")</f>
        <v/>
      </c>
      <c r="S56" s="52">
        <f>IF($D56="Actual",SUMIFS(Data_Actuals!$D$2:$D$5000,Data_Actuals!$A$2:$A$5000,$A56,Data_Actuals!$B$2:$B$5000,$B$2),"")</f>
        <v/>
      </c>
      <c r="T56" s="52">
        <f>IF($D56="Actual",SUMIFS(Data_Actuals!$E$2:$E$5000,Data_Actuals!$A$2:$A$5000,$A56,Data_Actuals!$B$2:$B$5000,$B$2),"")</f>
        <v/>
      </c>
      <c r="U56" s="52">
        <f>IF($D56="Actual",SUMIFS(Data_Actuals!$F$2:$F$5000,Data_Actuals!$A$2:$A$5000,$A56,Data_Actuals!$B$2:$B$5000,$B$2),"")</f>
        <v/>
      </c>
      <c r="V56" s="52">
        <f>IF($D56="Actual",SUMIFS(Data_Actuals!$G$2:$G$5000,Data_Actuals!$A$2:$A$5000,$A56,Data_Actuals!$B$2:$B$5000,$B$2),"")</f>
        <v/>
      </c>
      <c r="W56" s="52">
        <f>SUMIFS(Plan_Inputs!$C$2:$C$5000,Plan_Inputs!$A$2:$A$5000,$A56,Plan_Inputs!$B$2:$B$5000,$B$2)</f>
        <v/>
      </c>
      <c r="X56" s="53">
        <f>IF($D56="Actual",IFERROR(S56/T56,""),X44)</f>
        <v/>
      </c>
      <c r="Y56" s="52">
        <f>E56</f>
        <v/>
      </c>
      <c r="Z56" s="54">
        <f>INDEX(Calendar!$H$5:$L$52,MATCH($A56,Calendar!$A$5:$A$52,0),MATCH($D$2,Calendar!$H$4:$L$4,0))</f>
        <v/>
      </c>
      <c r="AA56" s="54">
        <f>INDEX(Calendar!$M$5:$M$52,MATCH($A56,Calendar!$A$5:$A$52,0))</f>
        <v/>
      </c>
      <c r="AB56" s="55">
        <f>IF($D56="Actual",IFERROR(S56/Y56,""),AB44)</f>
        <v/>
      </c>
      <c r="AC56" s="56">
        <f>IF($D56="Actual",IFERROR(U56/T56/Z56/AA56,""),AC44)</f>
        <v/>
      </c>
      <c r="AD56" s="57">
        <f>IF($D56="Actual",IFERROR(V56/(U56+V56),""),$K$2)</f>
        <v/>
      </c>
      <c r="AE56" s="56">
        <f>IFERROR(AC56*Z56*AA56,"")</f>
        <v/>
      </c>
      <c r="AF56" s="53">
        <f>K44</f>
        <v/>
      </c>
      <c r="AG56" s="57">
        <f>IF($D56="Forecast",IFERROR(K56/AF56-1,""),"")</f>
        <v/>
      </c>
      <c r="AH56" s="53">
        <f>IF(CPLHSource="National breakdown",CPLH_Breakdown!AQ61,SUMIFS(Plan_Inputs!$D$2:$D$5000,Plan_Inputs!$A$2:$A$5000,$A56,Plan_Inputs!$B$2:$B$5000,$B$2))</f>
        <v/>
      </c>
      <c r="AJ56" s="15">
        <f>F56*$AK$11</f>
        <v/>
      </c>
      <c r="AK56" s="9">
        <f>G56*$AK$11</f>
        <v/>
      </c>
      <c r="AL56" s="30">
        <f>H56*$AK$11</f>
        <v/>
      </c>
      <c r="AM56" s="30">
        <f>I56*$AK$11</f>
        <v/>
      </c>
      <c r="AN56" s="30">
        <f>J56*$AK$11</f>
        <v/>
      </c>
      <c r="AP56" s="15">
        <f>F56*$AQ$11</f>
        <v/>
      </c>
      <c r="AQ56" s="9">
        <f>G56*$AQ$11</f>
        <v/>
      </c>
      <c r="AR56" s="30">
        <f>H56*$AQ$11</f>
        <v/>
      </c>
      <c r="AS56" s="30">
        <f>I56*$AQ$11</f>
        <v/>
      </c>
      <c r="AT56" s="30">
        <f>J56*$AQ$11</f>
        <v/>
      </c>
      <c r="AV56" s="15">
        <f>F56*$AW$11</f>
        <v/>
      </c>
      <c r="AW56" s="9">
        <f>G56*$AW$11</f>
        <v/>
      </c>
      <c r="AX56" s="30">
        <f>H56*$AW$11</f>
        <v/>
      </c>
      <c r="AY56" s="30">
        <f>I56*$AW$11</f>
        <v/>
      </c>
      <c r="AZ56" s="30">
        <f>J56*$AW$11</f>
        <v/>
      </c>
    </row>
    <row r="57">
      <c r="A57" s="8" t="n">
        <v>46935</v>
      </c>
      <c r="B57" s="33">
        <f>YEAR(A57)</f>
        <v/>
      </c>
      <c r="C57" s="33">
        <f>MONTH(A57)</f>
        <v/>
      </c>
      <c r="D57">
        <f>IF(A57&lt;=LastActual,"Actual","Forecast")</f>
        <v/>
      </c>
      <c r="E57" s="30">
        <f>IF($D57="Actual",R57,W57)</f>
        <v/>
      </c>
      <c r="F57" s="15">
        <f>IF($D57="Actual",S57,Cases_Forecast!AP50)</f>
        <v/>
      </c>
      <c r="G57" s="9">
        <f>IF($D57="Actual",T57,IFERROR(F57/K57,0))</f>
        <v/>
      </c>
      <c r="H57" s="30">
        <f>IF($D57="Actual",U57,G57*L57)</f>
        <v/>
      </c>
      <c r="I57" s="30">
        <f>IF($D57="Actual",V57,J57-H57)</f>
        <v/>
      </c>
      <c r="J57" s="30">
        <f>IF($D57="Actual",U57+V57,IFERROR(H57/(1-AD57),0))</f>
        <v/>
      </c>
      <c r="K57" s="10">
        <f>IF($D57="Actual",IFERROR(S57/T57,0),CPLH_Forecast!AP50)</f>
        <v/>
      </c>
      <c r="L57" s="34">
        <f>IF($D57="Actual",IFERROR(U57/T57,0),N(AE57))</f>
        <v/>
      </c>
      <c r="M57" s="35">
        <f>IFERROR(J57/F57,0)</f>
        <v/>
      </c>
      <c r="N57" s="36">
        <f>IFERROR(J57/E57,0)</f>
        <v/>
      </c>
      <c r="O57" s="36">
        <f>IFERROR(I57/J57,0)</f>
        <v/>
      </c>
      <c r="R57" s="52">
        <f>IF($D57="Actual",SUMIFS(Data_Actuals!$C$2:$C$5000,Data_Actuals!$A$2:$A$5000,$A57,Data_Actuals!$B$2:$B$5000,$B$2),"")</f>
        <v/>
      </c>
      <c r="S57" s="52">
        <f>IF($D57="Actual",SUMIFS(Data_Actuals!$D$2:$D$5000,Data_Actuals!$A$2:$A$5000,$A57,Data_Actuals!$B$2:$B$5000,$B$2),"")</f>
        <v/>
      </c>
      <c r="T57" s="52">
        <f>IF($D57="Actual",SUMIFS(Data_Actuals!$E$2:$E$5000,Data_Actuals!$A$2:$A$5000,$A57,Data_Actuals!$B$2:$B$5000,$B$2),"")</f>
        <v/>
      </c>
      <c r="U57" s="52">
        <f>IF($D57="Actual",SUMIFS(Data_Actuals!$F$2:$F$5000,Data_Actuals!$A$2:$A$5000,$A57,Data_Actuals!$B$2:$B$5000,$B$2),"")</f>
        <v/>
      </c>
      <c r="V57" s="52">
        <f>IF($D57="Actual",SUMIFS(Data_Actuals!$G$2:$G$5000,Data_Actuals!$A$2:$A$5000,$A57,Data_Actuals!$B$2:$B$5000,$B$2),"")</f>
        <v/>
      </c>
      <c r="W57" s="52">
        <f>SUMIFS(Plan_Inputs!$C$2:$C$5000,Plan_Inputs!$A$2:$A$5000,$A57,Plan_Inputs!$B$2:$B$5000,$B$2)</f>
        <v/>
      </c>
      <c r="X57" s="53">
        <f>IF($D57="Actual",IFERROR(S57/T57,""),X45)</f>
        <v/>
      </c>
      <c r="Y57" s="52">
        <f>E57</f>
        <v/>
      </c>
      <c r="Z57" s="54">
        <f>INDEX(Calendar!$H$5:$L$52,MATCH($A57,Calendar!$A$5:$A$52,0),MATCH($D$2,Calendar!$H$4:$L$4,0))</f>
        <v/>
      </c>
      <c r="AA57" s="54">
        <f>INDEX(Calendar!$M$5:$M$52,MATCH($A57,Calendar!$A$5:$A$52,0))</f>
        <v/>
      </c>
      <c r="AB57" s="55">
        <f>IF($D57="Actual",IFERROR(S57/Y57,""),AB45)</f>
        <v/>
      </c>
      <c r="AC57" s="56">
        <f>IF($D57="Actual",IFERROR(U57/T57/Z57/AA57,""),AC45)</f>
        <v/>
      </c>
      <c r="AD57" s="57">
        <f>IF($D57="Actual",IFERROR(V57/(U57+V57),""),$K$2)</f>
        <v/>
      </c>
      <c r="AE57" s="56">
        <f>IFERROR(AC57*Z57*AA57,"")</f>
        <v/>
      </c>
      <c r="AF57" s="53">
        <f>K45</f>
        <v/>
      </c>
      <c r="AG57" s="57">
        <f>IF($D57="Forecast",IFERROR(K57/AF57-1,""),"")</f>
        <v/>
      </c>
      <c r="AH57" s="53">
        <f>IF(CPLHSource="National breakdown",CPLH_Breakdown!AQ62,SUMIFS(Plan_Inputs!$D$2:$D$5000,Plan_Inputs!$A$2:$A$5000,$A57,Plan_Inputs!$B$2:$B$5000,$B$2))</f>
        <v/>
      </c>
      <c r="AJ57" s="15">
        <f>F57*$AK$11</f>
        <v/>
      </c>
      <c r="AK57" s="9">
        <f>G57*$AK$11</f>
        <v/>
      </c>
      <c r="AL57" s="30">
        <f>H57*$AK$11</f>
        <v/>
      </c>
      <c r="AM57" s="30">
        <f>I57*$AK$11</f>
        <v/>
      </c>
      <c r="AN57" s="30">
        <f>J57*$AK$11</f>
        <v/>
      </c>
      <c r="AP57" s="15">
        <f>F57*$AQ$11</f>
        <v/>
      </c>
      <c r="AQ57" s="9">
        <f>G57*$AQ$11</f>
        <v/>
      </c>
      <c r="AR57" s="30">
        <f>H57*$AQ$11</f>
        <v/>
      </c>
      <c r="AS57" s="30">
        <f>I57*$AQ$11</f>
        <v/>
      </c>
      <c r="AT57" s="30">
        <f>J57*$AQ$11</f>
        <v/>
      </c>
      <c r="AV57" s="15">
        <f>F57*$AW$11</f>
        <v/>
      </c>
      <c r="AW57" s="9">
        <f>G57*$AW$11</f>
        <v/>
      </c>
      <c r="AX57" s="30">
        <f>H57*$AW$11</f>
        <v/>
      </c>
      <c r="AY57" s="30">
        <f>I57*$AW$11</f>
        <v/>
      </c>
      <c r="AZ57" s="30">
        <f>J57*$AW$11</f>
        <v/>
      </c>
    </row>
    <row r="58">
      <c r="A58" s="8" t="n">
        <v>46966</v>
      </c>
      <c r="B58" s="33">
        <f>YEAR(A58)</f>
        <v/>
      </c>
      <c r="C58" s="33">
        <f>MONTH(A58)</f>
        <v/>
      </c>
      <c r="D58">
        <f>IF(A58&lt;=LastActual,"Actual","Forecast")</f>
        <v/>
      </c>
      <c r="E58" s="30">
        <f>IF($D58="Actual",R58,W58)</f>
        <v/>
      </c>
      <c r="F58" s="15">
        <f>IF($D58="Actual",S58,Cases_Forecast!AP51)</f>
        <v/>
      </c>
      <c r="G58" s="9">
        <f>IF($D58="Actual",T58,IFERROR(F58/K58,0))</f>
        <v/>
      </c>
      <c r="H58" s="30">
        <f>IF($D58="Actual",U58,G58*L58)</f>
        <v/>
      </c>
      <c r="I58" s="30">
        <f>IF($D58="Actual",V58,J58-H58)</f>
        <v/>
      </c>
      <c r="J58" s="30">
        <f>IF($D58="Actual",U58+V58,IFERROR(H58/(1-AD58),0))</f>
        <v/>
      </c>
      <c r="K58" s="10">
        <f>IF($D58="Actual",IFERROR(S58/T58,0),CPLH_Forecast!AP51)</f>
        <v/>
      </c>
      <c r="L58" s="34">
        <f>IF($D58="Actual",IFERROR(U58/T58,0),N(AE58))</f>
        <v/>
      </c>
      <c r="M58" s="35">
        <f>IFERROR(J58/F58,0)</f>
        <v/>
      </c>
      <c r="N58" s="36">
        <f>IFERROR(J58/E58,0)</f>
        <v/>
      </c>
      <c r="O58" s="36">
        <f>IFERROR(I58/J58,0)</f>
        <v/>
      </c>
      <c r="R58" s="52">
        <f>IF($D58="Actual",SUMIFS(Data_Actuals!$C$2:$C$5000,Data_Actuals!$A$2:$A$5000,$A58,Data_Actuals!$B$2:$B$5000,$B$2),"")</f>
        <v/>
      </c>
      <c r="S58" s="52">
        <f>IF($D58="Actual",SUMIFS(Data_Actuals!$D$2:$D$5000,Data_Actuals!$A$2:$A$5000,$A58,Data_Actuals!$B$2:$B$5000,$B$2),"")</f>
        <v/>
      </c>
      <c r="T58" s="52">
        <f>IF($D58="Actual",SUMIFS(Data_Actuals!$E$2:$E$5000,Data_Actuals!$A$2:$A$5000,$A58,Data_Actuals!$B$2:$B$5000,$B$2),"")</f>
        <v/>
      </c>
      <c r="U58" s="52">
        <f>IF($D58="Actual",SUMIFS(Data_Actuals!$F$2:$F$5000,Data_Actuals!$A$2:$A$5000,$A58,Data_Actuals!$B$2:$B$5000,$B$2),"")</f>
        <v/>
      </c>
      <c r="V58" s="52">
        <f>IF($D58="Actual",SUMIFS(Data_Actuals!$G$2:$G$5000,Data_Actuals!$A$2:$A$5000,$A58,Data_Actuals!$B$2:$B$5000,$B$2),"")</f>
        <v/>
      </c>
      <c r="W58" s="52">
        <f>SUMIFS(Plan_Inputs!$C$2:$C$5000,Plan_Inputs!$A$2:$A$5000,$A58,Plan_Inputs!$B$2:$B$5000,$B$2)</f>
        <v/>
      </c>
      <c r="X58" s="53">
        <f>IF($D58="Actual",IFERROR(S58/T58,""),X46)</f>
        <v/>
      </c>
      <c r="Y58" s="52">
        <f>E58</f>
        <v/>
      </c>
      <c r="Z58" s="54">
        <f>INDEX(Calendar!$H$5:$L$52,MATCH($A58,Calendar!$A$5:$A$52,0),MATCH($D$2,Calendar!$H$4:$L$4,0))</f>
        <v/>
      </c>
      <c r="AA58" s="54">
        <f>INDEX(Calendar!$M$5:$M$52,MATCH($A58,Calendar!$A$5:$A$52,0))</f>
        <v/>
      </c>
      <c r="AB58" s="55">
        <f>IF($D58="Actual",IFERROR(S58/Y58,""),AB46)</f>
        <v/>
      </c>
      <c r="AC58" s="56">
        <f>IF($D58="Actual",IFERROR(U58/T58/Z58/AA58,""),AC46)</f>
        <v/>
      </c>
      <c r="AD58" s="57">
        <f>IF($D58="Actual",IFERROR(V58/(U58+V58),""),$K$2)</f>
        <v/>
      </c>
      <c r="AE58" s="56">
        <f>IFERROR(AC58*Z58*AA58,"")</f>
        <v/>
      </c>
      <c r="AF58" s="53">
        <f>K46</f>
        <v/>
      </c>
      <c r="AG58" s="57">
        <f>IF($D58="Forecast",IFERROR(K58/AF58-1,""),"")</f>
        <v/>
      </c>
      <c r="AH58" s="53">
        <f>IF(CPLHSource="National breakdown",CPLH_Breakdown!AQ63,SUMIFS(Plan_Inputs!$D$2:$D$5000,Plan_Inputs!$A$2:$A$5000,$A58,Plan_Inputs!$B$2:$B$5000,$B$2))</f>
        <v/>
      </c>
      <c r="AJ58" s="15">
        <f>F58*$AK$11</f>
        <v/>
      </c>
      <c r="AK58" s="9">
        <f>G58*$AK$11</f>
        <v/>
      </c>
      <c r="AL58" s="30">
        <f>H58*$AK$11</f>
        <v/>
      </c>
      <c r="AM58" s="30">
        <f>I58*$AK$11</f>
        <v/>
      </c>
      <c r="AN58" s="30">
        <f>J58*$AK$11</f>
        <v/>
      </c>
      <c r="AP58" s="15">
        <f>F58*$AQ$11</f>
        <v/>
      </c>
      <c r="AQ58" s="9">
        <f>G58*$AQ$11</f>
        <v/>
      </c>
      <c r="AR58" s="30">
        <f>H58*$AQ$11</f>
        <v/>
      </c>
      <c r="AS58" s="30">
        <f>I58*$AQ$11</f>
        <v/>
      </c>
      <c r="AT58" s="30">
        <f>J58*$AQ$11</f>
        <v/>
      </c>
      <c r="AV58" s="15">
        <f>F58*$AW$11</f>
        <v/>
      </c>
      <c r="AW58" s="9">
        <f>G58*$AW$11</f>
        <v/>
      </c>
      <c r="AX58" s="30">
        <f>H58*$AW$11</f>
        <v/>
      </c>
      <c r="AY58" s="30">
        <f>I58*$AW$11</f>
        <v/>
      </c>
      <c r="AZ58" s="30">
        <f>J58*$AW$11</f>
        <v/>
      </c>
    </row>
    <row r="59">
      <c r="A59" s="8" t="n">
        <v>46997</v>
      </c>
      <c r="B59" s="33">
        <f>YEAR(A59)</f>
        <v/>
      </c>
      <c r="C59" s="33">
        <f>MONTH(A59)</f>
        <v/>
      </c>
      <c r="D59">
        <f>IF(A59&lt;=LastActual,"Actual","Forecast")</f>
        <v/>
      </c>
      <c r="E59" s="30">
        <f>IF($D59="Actual",R59,W59)</f>
        <v/>
      </c>
      <c r="F59" s="15">
        <f>IF($D59="Actual",S59,Cases_Forecast!AP52)</f>
        <v/>
      </c>
      <c r="G59" s="9">
        <f>IF($D59="Actual",T59,IFERROR(F59/K59,0))</f>
        <v/>
      </c>
      <c r="H59" s="30">
        <f>IF($D59="Actual",U59,G59*L59)</f>
        <v/>
      </c>
      <c r="I59" s="30">
        <f>IF($D59="Actual",V59,J59-H59)</f>
        <v/>
      </c>
      <c r="J59" s="30">
        <f>IF($D59="Actual",U59+V59,IFERROR(H59/(1-AD59),0))</f>
        <v/>
      </c>
      <c r="K59" s="10">
        <f>IF($D59="Actual",IFERROR(S59/T59,0),CPLH_Forecast!AP52)</f>
        <v/>
      </c>
      <c r="L59" s="34">
        <f>IF($D59="Actual",IFERROR(U59/T59,0),N(AE59))</f>
        <v/>
      </c>
      <c r="M59" s="35">
        <f>IFERROR(J59/F59,0)</f>
        <v/>
      </c>
      <c r="N59" s="36">
        <f>IFERROR(J59/E59,0)</f>
        <v/>
      </c>
      <c r="O59" s="36">
        <f>IFERROR(I59/J59,0)</f>
        <v/>
      </c>
      <c r="R59" s="52">
        <f>IF($D59="Actual",SUMIFS(Data_Actuals!$C$2:$C$5000,Data_Actuals!$A$2:$A$5000,$A59,Data_Actuals!$B$2:$B$5000,$B$2),"")</f>
        <v/>
      </c>
      <c r="S59" s="52">
        <f>IF($D59="Actual",SUMIFS(Data_Actuals!$D$2:$D$5000,Data_Actuals!$A$2:$A$5000,$A59,Data_Actuals!$B$2:$B$5000,$B$2),"")</f>
        <v/>
      </c>
      <c r="T59" s="52">
        <f>IF($D59="Actual",SUMIFS(Data_Actuals!$E$2:$E$5000,Data_Actuals!$A$2:$A$5000,$A59,Data_Actuals!$B$2:$B$5000,$B$2),"")</f>
        <v/>
      </c>
      <c r="U59" s="52">
        <f>IF($D59="Actual",SUMIFS(Data_Actuals!$F$2:$F$5000,Data_Actuals!$A$2:$A$5000,$A59,Data_Actuals!$B$2:$B$5000,$B$2),"")</f>
        <v/>
      </c>
      <c r="V59" s="52">
        <f>IF($D59="Actual",SUMIFS(Data_Actuals!$G$2:$G$5000,Data_Actuals!$A$2:$A$5000,$A59,Data_Actuals!$B$2:$B$5000,$B$2),"")</f>
        <v/>
      </c>
      <c r="W59" s="52">
        <f>SUMIFS(Plan_Inputs!$C$2:$C$5000,Plan_Inputs!$A$2:$A$5000,$A59,Plan_Inputs!$B$2:$B$5000,$B$2)</f>
        <v/>
      </c>
      <c r="X59" s="53">
        <f>IF($D59="Actual",IFERROR(S59/T59,""),X47)</f>
        <v/>
      </c>
      <c r="Y59" s="52">
        <f>E59</f>
        <v/>
      </c>
      <c r="Z59" s="54">
        <f>INDEX(Calendar!$H$5:$L$52,MATCH($A59,Calendar!$A$5:$A$52,0),MATCH($D$2,Calendar!$H$4:$L$4,0))</f>
        <v/>
      </c>
      <c r="AA59" s="54">
        <f>INDEX(Calendar!$M$5:$M$52,MATCH($A59,Calendar!$A$5:$A$52,0))</f>
        <v/>
      </c>
      <c r="AB59" s="55">
        <f>IF($D59="Actual",IFERROR(S59/Y59,""),AB47)</f>
        <v/>
      </c>
      <c r="AC59" s="56">
        <f>IF($D59="Actual",IFERROR(U59/T59/Z59/AA59,""),AC47)</f>
        <v/>
      </c>
      <c r="AD59" s="57">
        <f>IF($D59="Actual",IFERROR(V59/(U59+V59),""),$K$2)</f>
        <v/>
      </c>
      <c r="AE59" s="56">
        <f>IFERROR(AC59*Z59*AA59,"")</f>
        <v/>
      </c>
      <c r="AF59" s="53">
        <f>K47</f>
        <v/>
      </c>
      <c r="AG59" s="57">
        <f>IF($D59="Forecast",IFERROR(K59/AF59-1,""),"")</f>
        <v/>
      </c>
      <c r="AH59" s="53">
        <f>IF(CPLHSource="National breakdown",CPLH_Breakdown!AQ64,SUMIFS(Plan_Inputs!$D$2:$D$5000,Plan_Inputs!$A$2:$A$5000,$A59,Plan_Inputs!$B$2:$B$5000,$B$2))</f>
        <v/>
      </c>
      <c r="AJ59" s="15">
        <f>F59*$AK$11</f>
        <v/>
      </c>
      <c r="AK59" s="9">
        <f>G59*$AK$11</f>
        <v/>
      </c>
      <c r="AL59" s="30">
        <f>H59*$AK$11</f>
        <v/>
      </c>
      <c r="AM59" s="30">
        <f>I59*$AK$11</f>
        <v/>
      </c>
      <c r="AN59" s="30">
        <f>J59*$AK$11</f>
        <v/>
      </c>
      <c r="AP59" s="15">
        <f>F59*$AQ$11</f>
        <v/>
      </c>
      <c r="AQ59" s="9">
        <f>G59*$AQ$11</f>
        <v/>
      </c>
      <c r="AR59" s="30">
        <f>H59*$AQ$11</f>
        <v/>
      </c>
      <c r="AS59" s="30">
        <f>I59*$AQ$11</f>
        <v/>
      </c>
      <c r="AT59" s="30">
        <f>J59*$AQ$11</f>
        <v/>
      </c>
      <c r="AV59" s="15">
        <f>F59*$AW$11</f>
        <v/>
      </c>
      <c r="AW59" s="9">
        <f>G59*$AW$11</f>
        <v/>
      </c>
      <c r="AX59" s="30">
        <f>H59*$AW$11</f>
        <v/>
      </c>
      <c r="AY59" s="30">
        <f>I59*$AW$11</f>
        <v/>
      </c>
      <c r="AZ59" s="30">
        <f>J59*$AW$11</f>
        <v/>
      </c>
    </row>
    <row r="60">
      <c r="A60" s="8" t="n">
        <v>47027</v>
      </c>
      <c r="B60" s="33">
        <f>YEAR(A60)</f>
        <v/>
      </c>
      <c r="C60" s="33">
        <f>MONTH(A60)</f>
        <v/>
      </c>
      <c r="D60">
        <f>IF(A60&lt;=LastActual,"Actual","Forecast")</f>
        <v/>
      </c>
      <c r="E60" s="30">
        <f>IF($D60="Actual",R60,W60)</f>
        <v/>
      </c>
      <c r="F60" s="15">
        <f>IF($D60="Actual",S60,Cases_Forecast!AP53)</f>
        <v/>
      </c>
      <c r="G60" s="9">
        <f>IF($D60="Actual",T60,IFERROR(F60/K60,0))</f>
        <v/>
      </c>
      <c r="H60" s="30">
        <f>IF($D60="Actual",U60,G60*L60)</f>
        <v/>
      </c>
      <c r="I60" s="30">
        <f>IF($D60="Actual",V60,J60-H60)</f>
        <v/>
      </c>
      <c r="J60" s="30">
        <f>IF($D60="Actual",U60+V60,IFERROR(H60/(1-AD60),0))</f>
        <v/>
      </c>
      <c r="K60" s="10">
        <f>IF($D60="Actual",IFERROR(S60/T60,0),CPLH_Forecast!AP53)</f>
        <v/>
      </c>
      <c r="L60" s="34">
        <f>IF($D60="Actual",IFERROR(U60/T60,0),N(AE60))</f>
        <v/>
      </c>
      <c r="M60" s="35">
        <f>IFERROR(J60/F60,0)</f>
        <v/>
      </c>
      <c r="N60" s="36">
        <f>IFERROR(J60/E60,0)</f>
        <v/>
      </c>
      <c r="O60" s="36">
        <f>IFERROR(I60/J60,0)</f>
        <v/>
      </c>
      <c r="R60" s="52">
        <f>IF($D60="Actual",SUMIFS(Data_Actuals!$C$2:$C$5000,Data_Actuals!$A$2:$A$5000,$A60,Data_Actuals!$B$2:$B$5000,$B$2),"")</f>
        <v/>
      </c>
      <c r="S60" s="52">
        <f>IF($D60="Actual",SUMIFS(Data_Actuals!$D$2:$D$5000,Data_Actuals!$A$2:$A$5000,$A60,Data_Actuals!$B$2:$B$5000,$B$2),"")</f>
        <v/>
      </c>
      <c r="T60" s="52">
        <f>IF($D60="Actual",SUMIFS(Data_Actuals!$E$2:$E$5000,Data_Actuals!$A$2:$A$5000,$A60,Data_Actuals!$B$2:$B$5000,$B$2),"")</f>
        <v/>
      </c>
      <c r="U60" s="52">
        <f>IF($D60="Actual",SUMIFS(Data_Actuals!$F$2:$F$5000,Data_Actuals!$A$2:$A$5000,$A60,Data_Actuals!$B$2:$B$5000,$B$2),"")</f>
        <v/>
      </c>
      <c r="V60" s="52">
        <f>IF($D60="Actual",SUMIFS(Data_Actuals!$G$2:$G$5000,Data_Actuals!$A$2:$A$5000,$A60,Data_Actuals!$B$2:$B$5000,$B$2),"")</f>
        <v/>
      </c>
      <c r="W60" s="52">
        <f>SUMIFS(Plan_Inputs!$C$2:$C$5000,Plan_Inputs!$A$2:$A$5000,$A60,Plan_Inputs!$B$2:$B$5000,$B$2)</f>
        <v/>
      </c>
      <c r="X60" s="53">
        <f>IF($D60="Actual",IFERROR(S60/T60,""),X48)</f>
        <v/>
      </c>
      <c r="Y60" s="52">
        <f>E60</f>
        <v/>
      </c>
      <c r="Z60" s="54">
        <f>INDEX(Calendar!$H$5:$L$52,MATCH($A60,Calendar!$A$5:$A$52,0),MATCH($D$2,Calendar!$H$4:$L$4,0))</f>
        <v/>
      </c>
      <c r="AA60" s="54">
        <f>INDEX(Calendar!$M$5:$M$52,MATCH($A60,Calendar!$A$5:$A$52,0))</f>
        <v/>
      </c>
      <c r="AB60" s="55">
        <f>IF($D60="Actual",IFERROR(S60/Y60,""),AB48)</f>
        <v/>
      </c>
      <c r="AC60" s="56">
        <f>IF($D60="Actual",IFERROR(U60/T60/Z60/AA60,""),AC48)</f>
        <v/>
      </c>
      <c r="AD60" s="57">
        <f>IF($D60="Actual",IFERROR(V60/(U60+V60),""),$K$2)</f>
        <v/>
      </c>
      <c r="AE60" s="56">
        <f>IFERROR(AC60*Z60*AA60,"")</f>
        <v/>
      </c>
      <c r="AF60" s="53">
        <f>K48</f>
        <v/>
      </c>
      <c r="AG60" s="57">
        <f>IF($D60="Forecast",IFERROR(K60/AF60-1,""),"")</f>
        <v/>
      </c>
      <c r="AH60" s="53">
        <f>IF(CPLHSource="National breakdown",CPLH_Breakdown!AQ65,SUMIFS(Plan_Inputs!$D$2:$D$5000,Plan_Inputs!$A$2:$A$5000,$A60,Plan_Inputs!$B$2:$B$5000,$B$2))</f>
        <v/>
      </c>
      <c r="AJ60" s="15">
        <f>F60*$AK$11</f>
        <v/>
      </c>
      <c r="AK60" s="9">
        <f>G60*$AK$11</f>
        <v/>
      </c>
      <c r="AL60" s="30">
        <f>H60*$AK$11</f>
        <v/>
      </c>
      <c r="AM60" s="30">
        <f>I60*$AK$11</f>
        <v/>
      </c>
      <c r="AN60" s="30">
        <f>J60*$AK$11</f>
        <v/>
      </c>
      <c r="AP60" s="15">
        <f>F60*$AQ$11</f>
        <v/>
      </c>
      <c r="AQ60" s="9">
        <f>G60*$AQ$11</f>
        <v/>
      </c>
      <c r="AR60" s="30">
        <f>H60*$AQ$11</f>
        <v/>
      </c>
      <c r="AS60" s="30">
        <f>I60*$AQ$11</f>
        <v/>
      </c>
      <c r="AT60" s="30">
        <f>J60*$AQ$11</f>
        <v/>
      </c>
      <c r="AV60" s="15">
        <f>F60*$AW$11</f>
        <v/>
      </c>
      <c r="AW60" s="9">
        <f>G60*$AW$11</f>
        <v/>
      </c>
      <c r="AX60" s="30">
        <f>H60*$AW$11</f>
        <v/>
      </c>
      <c r="AY60" s="30">
        <f>I60*$AW$11</f>
        <v/>
      </c>
      <c r="AZ60" s="30">
        <f>J60*$AW$11</f>
        <v/>
      </c>
    </row>
    <row r="61">
      <c r="A61" s="8" t="n">
        <v>47058</v>
      </c>
      <c r="B61" s="33">
        <f>YEAR(A61)</f>
        <v/>
      </c>
      <c r="C61" s="33">
        <f>MONTH(A61)</f>
        <v/>
      </c>
      <c r="D61">
        <f>IF(A61&lt;=LastActual,"Actual","Forecast")</f>
        <v/>
      </c>
      <c r="E61" s="30">
        <f>IF($D61="Actual",R61,W61)</f>
        <v/>
      </c>
      <c r="F61" s="15">
        <f>IF($D61="Actual",S61,Cases_Forecast!AP54)</f>
        <v/>
      </c>
      <c r="G61" s="9">
        <f>IF($D61="Actual",T61,IFERROR(F61/K61,0))</f>
        <v/>
      </c>
      <c r="H61" s="30">
        <f>IF($D61="Actual",U61,G61*L61)</f>
        <v/>
      </c>
      <c r="I61" s="30">
        <f>IF($D61="Actual",V61,J61-H61)</f>
        <v/>
      </c>
      <c r="J61" s="30">
        <f>IF($D61="Actual",U61+V61,IFERROR(H61/(1-AD61),0))</f>
        <v/>
      </c>
      <c r="K61" s="10">
        <f>IF($D61="Actual",IFERROR(S61/T61,0),CPLH_Forecast!AP54)</f>
        <v/>
      </c>
      <c r="L61" s="34">
        <f>IF($D61="Actual",IFERROR(U61/T61,0),N(AE61))</f>
        <v/>
      </c>
      <c r="M61" s="35">
        <f>IFERROR(J61/F61,0)</f>
        <v/>
      </c>
      <c r="N61" s="36">
        <f>IFERROR(J61/E61,0)</f>
        <v/>
      </c>
      <c r="O61" s="36">
        <f>IFERROR(I61/J61,0)</f>
        <v/>
      </c>
      <c r="R61" s="52">
        <f>IF($D61="Actual",SUMIFS(Data_Actuals!$C$2:$C$5000,Data_Actuals!$A$2:$A$5000,$A61,Data_Actuals!$B$2:$B$5000,$B$2),"")</f>
        <v/>
      </c>
      <c r="S61" s="52">
        <f>IF($D61="Actual",SUMIFS(Data_Actuals!$D$2:$D$5000,Data_Actuals!$A$2:$A$5000,$A61,Data_Actuals!$B$2:$B$5000,$B$2),"")</f>
        <v/>
      </c>
      <c r="T61" s="52">
        <f>IF($D61="Actual",SUMIFS(Data_Actuals!$E$2:$E$5000,Data_Actuals!$A$2:$A$5000,$A61,Data_Actuals!$B$2:$B$5000,$B$2),"")</f>
        <v/>
      </c>
      <c r="U61" s="52">
        <f>IF($D61="Actual",SUMIFS(Data_Actuals!$F$2:$F$5000,Data_Actuals!$A$2:$A$5000,$A61,Data_Actuals!$B$2:$B$5000,$B$2),"")</f>
        <v/>
      </c>
      <c r="V61" s="52">
        <f>IF($D61="Actual",SUMIFS(Data_Actuals!$G$2:$G$5000,Data_Actuals!$A$2:$A$5000,$A61,Data_Actuals!$B$2:$B$5000,$B$2),"")</f>
        <v/>
      </c>
      <c r="W61" s="52">
        <f>SUMIFS(Plan_Inputs!$C$2:$C$5000,Plan_Inputs!$A$2:$A$5000,$A61,Plan_Inputs!$B$2:$B$5000,$B$2)</f>
        <v/>
      </c>
      <c r="X61" s="53">
        <f>IF($D61="Actual",IFERROR(S61/T61,""),X49)</f>
        <v/>
      </c>
      <c r="Y61" s="52">
        <f>E61</f>
        <v/>
      </c>
      <c r="Z61" s="54">
        <f>INDEX(Calendar!$H$5:$L$52,MATCH($A61,Calendar!$A$5:$A$52,0),MATCH($D$2,Calendar!$H$4:$L$4,0))</f>
        <v/>
      </c>
      <c r="AA61" s="54">
        <f>INDEX(Calendar!$M$5:$M$52,MATCH($A61,Calendar!$A$5:$A$52,0))</f>
        <v/>
      </c>
      <c r="AB61" s="55">
        <f>IF($D61="Actual",IFERROR(S61/Y61,""),AB49)</f>
        <v/>
      </c>
      <c r="AC61" s="56">
        <f>IF($D61="Actual",IFERROR(U61/T61/Z61/AA61,""),AC49)</f>
        <v/>
      </c>
      <c r="AD61" s="57">
        <f>IF($D61="Actual",IFERROR(V61/(U61+V61),""),$K$2)</f>
        <v/>
      </c>
      <c r="AE61" s="56">
        <f>IFERROR(AC61*Z61*AA61,"")</f>
        <v/>
      </c>
      <c r="AF61" s="53">
        <f>K49</f>
        <v/>
      </c>
      <c r="AG61" s="57">
        <f>IF($D61="Forecast",IFERROR(K61/AF61-1,""),"")</f>
        <v/>
      </c>
      <c r="AH61" s="53">
        <f>IF(CPLHSource="National breakdown",CPLH_Breakdown!AQ66,SUMIFS(Plan_Inputs!$D$2:$D$5000,Plan_Inputs!$A$2:$A$5000,$A61,Plan_Inputs!$B$2:$B$5000,$B$2))</f>
        <v/>
      </c>
      <c r="AJ61" s="15">
        <f>F61*$AK$11</f>
        <v/>
      </c>
      <c r="AK61" s="9">
        <f>G61*$AK$11</f>
        <v/>
      </c>
      <c r="AL61" s="30">
        <f>H61*$AK$11</f>
        <v/>
      </c>
      <c r="AM61" s="30">
        <f>I61*$AK$11</f>
        <v/>
      </c>
      <c r="AN61" s="30">
        <f>J61*$AK$11</f>
        <v/>
      </c>
      <c r="AP61" s="15">
        <f>F61*$AQ$11</f>
        <v/>
      </c>
      <c r="AQ61" s="9">
        <f>G61*$AQ$11</f>
        <v/>
      </c>
      <c r="AR61" s="30">
        <f>H61*$AQ$11</f>
        <v/>
      </c>
      <c r="AS61" s="30">
        <f>I61*$AQ$11</f>
        <v/>
      </c>
      <c r="AT61" s="30">
        <f>J61*$AQ$11</f>
        <v/>
      </c>
      <c r="AV61" s="15">
        <f>F61*$AW$11</f>
        <v/>
      </c>
      <c r="AW61" s="9">
        <f>G61*$AW$11</f>
        <v/>
      </c>
      <c r="AX61" s="30">
        <f>H61*$AW$11</f>
        <v/>
      </c>
      <c r="AY61" s="30">
        <f>I61*$AW$11</f>
        <v/>
      </c>
      <c r="AZ61" s="30">
        <f>J61*$AW$11</f>
        <v/>
      </c>
    </row>
    <row r="62">
      <c r="A62" s="37" t="n">
        <v>47088</v>
      </c>
      <c r="B62" s="38">
        <f>YEAR(A62)</f>
        <v/>
      </c>
      <c r="C62" s="38">
        <f>MONTH(A62)</f>
        <v/>
      </c>
      <c r="D62" s="39">
        <f>IF(A62&lt;=LastActual,"Actual","Forecast")</f>
        <v/>
      </c>
      <c r="E62" s="40">
        <f>IF($D62="Actual",R62,W62)</f>
        <v/>
      </c>
      <c r="F62" s="41">
        <f>IF($D62="Actual",S62,Cases_Forecast!AP55)</f>
        <v/>
      </c>
      <c r="G62" s="42">
        <f>IF($D62="Actual",T62,IFERROR(F62/K62,0))</f>
        <v/>
      </c>
      <c r="H62" s="40">
        <f>IF($D62="Actual",U62,G62*L62)</f>
        <v/>
      </c>
      <c r="I62" s="40">
        <f>IF($D62="Actual",V62,J62-H62)</f>
        <v/>
      </c>
      <c r="J62" s="40">
        <f>IF($D62="Actual",U62+V62,IFERROR(H62/(1-AD62),0))</f>
        <v/>
      </c>
      <c r="K62" s="43">
        <f>IF($D62="Actual",IFERROR(S62/T62,0),CPLH_Forecast!AP55)</f>
        <v/>
      </c>
      <c r="L62" s="44">
        <f>IF($D62="Actual",IFERROR(U62/T62,0),N(AE62))</f>
        <v/>
      </c>
      <c r="M62" s="45">
        <f>IFERROR(J62/F62,0)</f>
        <v/>
      </c>
      <c r="N62" s="46">
        <f>IFERROR(J62/E62,0)</f>
        <v/>
      </c>
      <c r="O62" s="46">
        <f>IFERROR(I62/J62,0)</f>
        <v/>
      </c>
      <c r="R62" s="52">
        <f>IF($D62="Actual",SUMIFS(Data_Actuals!$C$2:$C$5000,Data_Actuals!$A$2:$A$5000,$A62,Data_Actuals!$B$2:$B$5000,$B$2),"")</f>
        <v/>
      </c>
      <c r="S62" s="52">
        <f>IF($D62="Actual",SUMIFS(Data_Actuals!$D$2:$D$5000,Data_Actuals!$A$2:$A$5000,$A62,Data_Actuals!$B$2:$B$5000,$B$2),"")</f>
        <v/>
      </c>
      <c r="T62" s="52">
        <f>IF($D62="Actual",SUMIFS(Data_Actuals!$E$2:$E$5000,Data_Actuals!$A$2:$A$5000,$A62,Data_Actuals!$B$2:$B$5000,$B$2),"")</f>
        <v/>
      </c>
      <c r="U62" s="52">
        <f>IF($D62="Actual",SUMIFS(Data_Actuals!$F$2:$F$5000,Data_Actuals!$A$2:$A$5000,$A62,Data_Actuals!$B$2:$B$5000,$B$2),"")</f>
        <v/>
      </c>
      <c r="V62" s="52">
        <f>IF($D62="Actual",SUMIFS(Data_Actuals!$G$2:$G$5000,Data_Actuals!$A$2:$A$5000,$A62,Data_Actuals!$B$2:$B$5000,$B$2),"")</f>
        <v/>
      </c>
      <c r="W62" s="52">
        <f>SUMIFS(Plan_Inputs!$C$2:$C$5000,Plan_Inputs!$A$2:$A$5000,$A62,Plan_Inputs!$B$2:$B$5000,$B$2)</f>
        <v/>
      </c>
      <c r="X62" s="53">
        <f>IF($D62="Actual",IFERROR(S62/T62,""),X50)</f>
        <v/>
      </c>
      <c r="Y62" s="52">
        <f>E62</f>
        <v/>
      </c>
      <c r="Z62" s="54">
        <f>INDEX(Calendar!$H$5:$L$52,MATCH($A62,Calendar!$A$5:$A$52,0),MATCH($D$2,Calendar!$H$4:$L$4,0))</f>
        <v/>
      </c>
      <c r="AA62" s="54">
        <f>INDEX(Calendar!$M$5:$M$52,MATCH($A62,Calendar!$A$5:$A$52,0))</f>
        <v/>
      </c>
      <c r="AB62" s="55">
        <f>IF($D62="Actual",IFERROR(S62/Y62,""),AB50)</f>
        <v/>
      </c>
      <c r="AC62" s="56">
        <f>IF($D62="Actual",IFERROR(U62/T62/Z62/AA62,""),AC50)</f>
        <v/>
      </c>
      <c r="AD62" s="57">
        <f>IF($D62="Actual",IFERROR(V62/(U62+V62),""),$K$2)</f>
        <v/>
      </c>
      <c r="AE62" s="56">
        <f>IFERROR(AC62*Z62*AA62,"")</f>
        <v/>
      </c>
      <c r="AF62" s="53">
        <f>K50</f>
        <v/>
      </c>
      <c r="AG62" s="57">
        <f>IF($D62="Forecast",IFERROR(K62/AF62-1,""),"")</f>
        <v/>
      </c>
      <c r="AH62" s="53">
        <f>IF(CPLHSource="National breakdown",CPLH_Breakdown!AQ67,SUMIFS(Plan_Inputs!$D$2:$D$5000,Plan_Inputs!$A$2:$A$5000,$A62,Plan_Inputs!$B$2:$B$5000,$B$2))</f>
        <v/>
      </c>
      <c r="AJ62" s="41">
        <f>F62*$AK$11</f>
        <v/>
      </c>
      <c r="AK62" s="42">
        <f>G62*$AK$11</f>
        <v/>
      </c>
      <c r="AL62" s="40">
        <f>H62*$AK$11</f>
        <v/>
      </c>
      <c r="AM62" s="40">
        <f>I62*$AK$11</f>
        <v/>
      </c>
      <c r="AN62" s="40">
        <f>J62*$AK$11</f>
        <v/>
      </c>
      <c r="AP62" s="41">
        <f>F62*$AQ$11</f>
        <v/>
      </c>
      <c r="AQ62" s="42">
        <f>G62*$AQ$11</f>
        <v/>
      </c>
      <c r="AR62" s="40">
        <f>H62*$AQ$11</f>
        <v/>
      </c>
      <c r="AS62" s="40">
        <f>I62*$AQ$11</f>
        <v/>
      </c>
      <c r="AT62" s="40">
        <f>J62*$AQ$11</f>
        <v/>
      </c>
      <c r="AV62" s="41">
        <f>F62*$AW$11</f>
        <v/>
      </c>
      <c r="AW62" s="42">
        <f>G62*$AW$11</f>
        <v/>
      </c>
      <c r="AX62" s="40">
        <f>H62*$AW$11</f>
        <v/>
      </c>
      <c r="AY62" s="40">
        <f>I62*$AW$11</f>
        <v/>
      </c>
      <c r="AZ62" s="40">
        <f>J62*$AW$11</f>
        <v/>
      </c>
    </row>
  </sheetData>
  <mergeCells count="6">
    <mergeCell ref="K12:O12"/>
    <mergeCell ref="AV12:AZ12"/>
    <mergeCell ref="AJ12:AN12"/>
    <mergeCell ref="AP12:AT12"/>
    <mergeCell ref="R12:AH12"/>
    <mergeCell ref="E12:J12"/>
  </mergeCells>
  <conditionalFormatting sqref="A15:O62">
    <cfRule type="expression" priority="1" dxfId="4">
      <formula>$D15="Forecast"</formula>
    </cfRule>
  </conditionalFormatting>
  <conditionalFormatting sqref="AJ15:AZ62">
    <cfRule type="expression" priority="2" dxfId="4">
      <formula>$D15="Forecast"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F3864"/>
    <outlinePr summaryBelow="1" summaryRight="1"/>
    <pageSetUpPr/>
  </sheetPr>
  <dimension ref="A1:AZ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  <col width="10" customWidth="1" min="34" max="34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2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2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2" customWidth="1" min="53" max="53"/>
  </cols>
  <sheetData>
    <row r="1">
      <c r="A1" s="2">
        <f>$B$2&amp;"  |  Region  |  WA"</f>
        <v/>
      </c>
    </row>
    <row r="2">
      <c r="A2" t="inlineStr">
        <is>
          <t>Code</t>
        </is>
      </c>
      <c r="B2" s="1">
        <f>Inputs!$A$43</f>
        <v/>
      </c>
      <c r="C2" t="inlineStr">
        <is>
          <t>State</t>
        </is>
      </c>
      <c r="D2" s="1" t="inlineStr">
        <is>
          <t>WA</t>
        </is>
      </c>
      <c r="F2" t="inlineStr">
        <is>
          <t>Leadership share of total payroll, last actual month</t>
        </is>
      </c>
      <c r="K2" s="50">
        <f>IFERROR(INDEX($V$15:$V$62,MATCH(LastActual,$A$15:$A$62,0))/(INDEX($U$15:$U$62,MATCH(LastActual,$A$15:$A$62,0))+INDEX($V$15:$V$62,MATCH(LastActual,$A$15:$A$62,0))),0)</f>
        <v/>
      </c>
    </row>
    <row r="5" ht="45" customHeight="1">
      <c r="A5" s="7" t="inlineStr">
        <is>
          <t>FY</t>
        </is>
      </c>
      <c r="D5" s="7" t="inlineStr">
        <is>
          <t>Status</t>
        </is>
      </c>
      <c r="E5" s="7" t="inlineStr">
        <is>
          <t>Sales</t>
        </is>
      </c>
      <c r="F5" s="7" t="inlineStr">
        <is>
          <t>Cases picked</t>
        </is>
      </c>
      <c r="G5" s="7" t="inlineStr">
        <is>
          <t>WH hours worked</t>
        </is>
      </c>
      <c r="H5" s="7" t="inlineStr">
        <is>
          <t>Staff payroll</t>
        </is>
      </c>
      <c r="I5" s="7" t="inlineStr">
        <is>
          <t>Leadership payroll</t>
        </is>
      </c>
      <c r="J5" s="7" t="inlineStr">
        <is>
          <t>Total payroll</t>
        </is>
      </c>
      <c r="K5" s="7" t="inlineStr">
        <is>
          <t>CPLH (cases / hr)</t>
        </is>
      </c>
      <c r="L5" s="7" t="inlineStr">
        <is>
          <t>Cost per hour (staff)</t>
        </is>
      </c>
      <c r="M5" s="7" t="inlineStr">
        <is>
          <t>Cost per case (total payroll)</t>
        </is>
      </c>
      <c r="N5" s="7" t="inlineStr">
        <is>
          <t>Total payroll % sales</t>
        </is>
      </c>
      <c r="O5" s="7" t="inlineStr">
        <is>
          <t>Leadership % of total payroll</t>
        </is>
      </c>
      <c r="AJ5" s="20" t="inlineStr">
        <is>
          <t>Cases picked</t>
        </is>
      </c>
      <c r="AK5" s="20" t="inlineStr">
        <is>
          <t>WH hours worked</t>
        </is>
      </c>
      <c r="AL5" s="20" t="inlineStr">
        <is>
          <t>Staff payroll</t>
        </is>
      </c>
      <c r="AM5" s="20" t="inlineStr">
        <is>
          <t>Leadership payroll</t>
        </is>
      </c>
      <c r="AN5" s="20" t="inlineStr">
        <is>
          <t>Total payroll</t>
        </is>
      </c>
      <c r="AP5" s="20" t="inlineStr">
        <is>
          <t>Cases picked</t>
        </is>
      </c>
      <c r="AQ5" s="20" t="inlineStr">
        <is>
          <t>WH hours worked</t>
        </is>
      </c>
      <c r="AR5" s="20" t="inlineStr">
        <is>
          <t>Staff payroll</t>
        </is>
      </c>
      <c r="AS5" s="20" t="inlineStr">
        <is>
          <t>Leadership payroll</t>
        </is>
      </c>
      <c r="AT5" s="20" t="inlineStr">
        <is>
          <t>Total payroll</t>
        </is>
      </c>
      <c r="AV5" s="20" t="inlineStr">
        <is>
          <t>Cases picked</t>
        </is>
      </c>
      <c r="AW5" s="20" t="inlineStr">
        <is>
          <t>WH hours worked</t>
        </is>
      </c>
      <c r="AX5" s="20" t="inlineStr">
        <is>
          <t>Staff payroll</t>
        </is>
      </c>
      <c r="AY5" s="20" t="inlineStr">
        <is>
          <t>Leadership payroll</t>
        </is>
      </c>
      <c r="AZ5" s="20" t="inlineStr">
        <is>
          <t>Total payroll</t>
        </is>
      </c>
    </row>
    <row r="6">
      <c r="A6" s="21" t="n">
        <v>2025</v>
      </c>
      <c r="D6" s="22">
        <f>IF(DATE(A6,12,1)&lt;=LastActual,"Actual",IF(DATE(A6,1,1)&gt;LastActual,"Forecast","Blended"))</f>
        <v/>
      </c>
      <c r="E6" s="23">
        <f>SUMIFS($E$15:$E$62,$B$15:$B$62,$A6)</f>
        <v/>
      </c>
      <c r="F6" s="24">
        <f>SUMIFS($F$15:$F$62,$B$15:$B$62,$A6)</f>
        <v/>
      </c>
      <c r="G6" s="25">
        <f>SUMIFS($G$15:$G$62,$B$15:$B$62,$A6)</f>
        <v/>
      </c>
      <c r="H6" s="23">
        <f>SUMIFS($H$15:$H$62,$B$15:$B$62,$A6)</f>
        <v/>
      </c>
      <c r="I6" s="23">
        <f>SUMIFS($I$15:$I$62,$B$15:$B$62,$A6)</f>
        <v/>
      </c>
      <c r="J6" s="23">
        <f>SUMIFS($J$15:$J$62,$B$15:$B$62,$A6)</f>
        <v/>
      </c>
      <c r="K6" s="26">
        <f>IFERROR(F6/G6,0)</f>
        <v/>
      </c>
      <c r="L6" s="27">
        <f>IFERROR(H6/G6,0)</f>
        <v/>
      </c>
      <c r="M6" s="28">
        <f>IFERROR(J6/F6,0)</f>
        <v/>
      </c>
      <c r="N6" s="29">
        <f>IFERROR(J6/E6,0)</f>
        <v/>
      </c>
      <c r="O6" s="29">
        <f>IFERROR(I6/J6,0)</f>
        <v/>
      </c>
      <c r="AJ6" s="24">
        <f>SUMIFS($AJ$15:$AJ$62,$B$15:$B$62,$A6)</f>
        <v/>
      </c>
      <c r="AK6" s="25">
        <f>SUMIFS($AK$15:$AK$62,$B$15:$B$62,$A6)</f>
        <v/>
      </c>
      <c r="AL6" s="23">
        <f>SUMIFS($AL$15:$AL$62,$B$15:$B$62,$A6)</f>
        <v/>
      </c>
      <c r="AM6" s="23">
        <f>SUMIFS($AM$15:$AM$62,$B$15:$B$62,$A6)</f>
        <v/>
      </c>
      <c r="AN6" s="23">
        <f>SUMIFS($AN$15:$AN$62,$B$15:$B$62,$A6)</f>
        <v/>
      </c>
      <c r="AP6" s="24">
        <f>SUMIFS($AP$15:$AP$62,$B$15:$B$62,$A6)</f>
        <v/>
      </c>
      <c r="AQ6" s="25">
        <f>SUMIFS($AQ$15:$AQ$62,$B$15:$B$62,$A6)</f>
        <v/>
      </c>
      <c r="AR6" s="23">
        <f>SUMIFS($AR$15:$AR$62,$B$15:$B$62,$A6)</f>
        <v/>
      </c>
      <c r="AS6" s="23">
        <f>SUMIFS($AS$15:$AS$62,$B$15:$B$62,$A6)</f>
        <v/>
      </c>
      <c r="AT6" s="23">
        <f>SUMIFS($AT$15:$AT$62,$B$15:$B$62,$A6)</f>
        <v/>
      </c>
      <c r="AV6" s="24">
        <f>SUMIFS($AV$15:$AV$62,$B$15:$B$62,$A6)</f>
        <v/>
      </c>
      <c r="AW6" s="25">
        <f>SUMIFS($AW$15:$AW$62,$B$15:$B$62,$A6)</f>
        <v/>
      </c>
      <c r="AX6" s="23">
        <f>SUMIFS($AX$15:$AX$62,$B$15:$B$62,$A6)</f>
        <v/>
      </c>
      <c r="AY6" s="23">
        <f>SUMIFS($AY$15:$AY$62,$B$15:$B$62,$A6)</f>
        <v/>
      </c>
      <c r="AZ6" s="23">
        <f>SUMIFS($AZ$15:$AZ$62,$B$15:$B$62,$A6)</f>
        <v/>
      </c>
    </row>
    <row r="7">
      <c r="A7" s="21" t="n">
        <v>2026</v>
      </c>
      <c r="D7" s="22">
        <f>IF(DATE(A7,12,1)&lt;=LastActual,"Actual",IF(DATE(A7,1,1)&gt;LastActual,"Forecast","Blended"))</f>
        <v/>
      </c>
      <c r="E7" s="23">
        <f>SUMIFS($E$15:$E$62,$B$15:$B$62,$A7)</f>
        <v/>
      </c>
      <c r="F7" s="24">
        <f>SUMIFS($F$15:$F$62,$B$15:$B$62,$A7)</f>
        <v/>
      </c>
      <c r="G7" s="25">
        <f>SUMIFS($G$15:$G$62,$B$15:$B$62,$A7)</f>
        <v/>
      </c>
      <c r="H7" s="23">
        <f>SUMIFS($H$15:$H$62,$B$15:$B$62,$A7)</f>
        <v/>
      </c>
      <c r="I7" s="23">
        <f>SUMIFS($I$15:$I$62,$B$15:$B$62,$A7)</f>
        <v/>
      </c>
      <c r="J7" s="23">
        <f>SUMIFS($J$15:$J$62,$B$15:$B$62,$A7)</f>
        <v/>
      </c>
      <c r="K7" s="26">
        <f>IFERROR(F7/G7,0)</f>
        <v/>
      </c>
      <c r="L7" s="27">
        <f>IFERROR(H7/G7,0)</f>
        <v/>
      </c>
      <c r="M7" s="28">
        <f>IFERROR(J7/F7,0)</f>
        <v/>
      </c>
      <c r="N7" s="29">
        <f>IFERROR(J7/E7,0)</f>
        <v/>
      </c>
      <c r="O7" s="29">
        <f>IFERROR(I7/J7,0)</f>
        <v/>
      </c>
      <c r="AJ7" s="24">
        <f>SUMIFS($AJ$15:$AJ$62,$B$15:$B$62,$A7)</f>
        <v/>
      </c>
      <c r="AK7" s="25">
        <f>SUMIFS($AK$15:$AK$62,$B$15:$B$62,$A7)</f>
        <v/>
      </c>
      <c r="AL7" s="23">
        <f>SUMIFS($AL$15:$AL$62,$B$15:$B$62,$A7)</f>
        <v/>
      </c>
      <c r="AM7" s="23">
        <f>SUMIFS($AM$15:$AM$62,$B$15:$B$62,$A7)</f>
        <v/>
      </c>
      <c r="AN7" s="23">
        <f>SUMIFS($AN$15:$AN$62,$B$15:$B$62,$A7)</f>
        <v/>
      </c>
      <c r="AP7" s="24">
        <f>SUMIFS($AP$15:$AP$62,$B$15:$B$62,$A7)</f>
        <v/>
      </c>
      <c r="AQ7" s="25">
        <f>SUMIFS($AQ$15:$AQ$62,$B$15:$B$62,$A7)</f>
        <v/>
      </c>
      <c r="AR7" s="23">
        <f>SUMIFS($AR$15:$AR$62,$B$15:$B$62,$A7)</f>
        <v/>
      </c>
      <c r="AS7" s="23">
        <f>SUMIFS($AS$15:$AS$62,$B$15:$B$62,$A7)</f>
        <v/>
      </c>
      <c r="AT7" s="23">
        <f>SUMIFS($AT$15:$AT$62,$B$15:$B$62,$A7)</f>
        <v/>
      </c>
      <c r="AV7" s="24">
        <f>SUMIFS($AV$15:$AV$62,$B$15:$B$62,$A7)</f>
        <v/>
      </c>
      <c r="AW7" s="25">
        <f>SUMIFS($AW$15:$AW$62,$B$15:$B$62,$A7)</f>
        <v/>
      </c>
      <c r="AX7" s="23">
        <f>SUMIFS($AX$15:$AX$62,$B$15:$B$62,$A7)</f>
        <v/>
      </c>
      <c r="AY7" s="23">
        <f>SUMIFS($AY$15:$AY$62,$B$15:$B$62,$A7)</f>
        <v/>
      </c>
      <c r="AZ7" s="23">
        <f>SUMIFS($AZ$15:$AZ$62,$B$15:$B$62,$A7)</f>
        <v/>
      </c>
    </row>
    <row r="8">
      <c r="A8" s="21" t="n">
        <v>2027</v>
      </c>
      <c r="D8" s="22">
        <f>IF(DATE(A8,12,1)&lt;=LastActual,"Actual",IF(DATE(A8,1,1)&gt;LastActual,"Forecast","Blended"))</f>
        <v/>
      </c>
      <c r="E8" s="23">
        <f>SUMIFS($E$15:$E$62,$B$15:$B$62,$A8)</f>
        <v/>
      </c>
      <c r="F8" s="24">
        <f>SUMIFS($F$15:$F$62,$B$15:$B$62,$A8)</f>
        <v/>
      </c>
      <c r="G8" s="25">
        <f>SUMIFS($G$15:$G$62,$B$15:$B$62,$A8)</f>
        <v/>
      </c>
      <c r="H8" s="23">
        <f>SUMIFS($H$15:$H$62,$B$15:$B$62,$A8)</f>
        <v/>
      </c>
      <c r="I8" s="23">
        <f>SUMIFS($I$15:$I$62,$B$15:$B$62,$A8)</f>
        <v/>
      </c>
      <c r="J8" s="23">
        <f>SUMIFS($J$15:$J$62,$B$15:$B$62,$A8)</f>
        <v/>
      </c>
      <c r="K8" s="26">
        <f>IFERROR(F8/G8,0)</f>
        <v/>
      </c>
      <c r="L8" s="27">
        <f>IFERROR(H8/G8,0)</f>
        <v/>
      </c>
      <c r="M8" s="28">
        <f>IFERROR(J8/F8,0)</f>
        <v/>
      </c>
      <c r="N8" s="29">
        <f>IFERROR(J8/E8,0)</f>
        <v/>
      </c>
      <c r="O8" s="29">
        <f>IFERROR(I8/J8,0)</f>
        <v/>
      </c>
      <c r="AJ8" s="24">
        <f>SUMIFS($AJ$15:$AJ$62,$B$15:$B$62,$A8)</f>
        <v/>
      </c>
      <c r="AK8" s="25">
        <f>SUMIFS($AK$15:$AK$62,$B$15:$B$62,$A8)</f>
        <v/>
      </c>
      <c r="AL8" s="23">
        <f>SUMIFS($AL$15:$AL$62,$B$15:$B$62,$A8)</f>
        <v/>
      </c>
      <c r="AM8" s="23">
        <f>SUMIFS($AM$15:$AM$62,$B$15:$B$62,$A8)</f>
        <v/>
      </c>
      <c r="AN8" s="23">
        <f>SUMIFS($AN$15:$AN$62,$B$15:$B$62,$A8)</f>
        <v/>
      </c>
      <c r="AP8" s="24">
        <f>SUMIFS($AP$15:$AP$62,$B$15:$B$62,$A8)</f>
        <v/>
      </c>
      <c r="AQ8" s="25">
        <f>SUMIFS($AQ$15:$AQ$62,$B$15:$B$62,$A8)</f>
        <v/>
      </c>
      <c r="AR8" s="23">
        <f>SUMIFS($AR$15:$AR$62,$B$15:$B$62,$A8)</f>
        <v/>
      </c>
      <c r="AS8" s="23">
        <f>SUMIFS($AS$15:$AS$62,$B$15:$B$62,$A8)</f>
        <v/>
      </c>
      <c r="AT8" s="23">
        <f>SUMIFS($AT$15:$AT$62,$B$15:$B$62,$A8)</f>
        <v/>
      </c>
      <c r="AV8" s="24">
        <f>SUMIFS($AV$15:$AV$62,$B$15:$B$62,$A8)</f>
        <v/>
      </c>
      <c r="AW8" s="25">
        <f>SUMIFS($AW$15:$AW$62,$B$15:$B$62,$A8)</f>
        <v/>
      </c>
      <c r="AX8" s="23">
        <f>SUMIFS($AX$15:$AX$62,$B$15:$B$62,$A8)</f>
        <v/>
      </c>
      <c r="AY8" s="23">
        <f>SUMIFS($AY$15:$AY$62,$B$15:$B$62,$A8)</f>
        <v/>
      </c>
      <c r="AZ8" s="23">
        <f>SUMIFS($AZ$15:$AZ$62,$B$15:$B$62,$A8)</f>
        <v/>
      </c>
    </row>
    <row r="9">
      <c r="A9" s="21" t="n">
        <v>2028</v>
      </c>
      <c r="D9" s="22">
        <f>IF(DATE(A9,12,1)&lt;=LastActual,"Actual",IF(DATE(A9,1,1)&gt;LastActual,"Forecast","Blended"))</f>
        <v/>
      </c>
      <c r="E9" s="23">
        <f>SUMIFS($E$15:$E$62,$B$15:$B$62,$A9)</f>
        <v/>
      </c>
      <c r="F9" s="24">
        <f>SUMIFS($F$15:$F$62,$B$15:$B$62,$A9)</f>
        <v/>
      </c>
      <c r="G9" s="25">
        <f>SUMIFS($G$15:$G$62,$B$15:$B$62,$A9)</f>
        <v/>
      </c>
      <c r="H9" s="23">
        <f>SUMIFS($H$15:$H$62,$B$15:$B$62,$A9)</f>
        <v/>
      </c>
      <c r="I9" s="23">
        <f>SUMIFS($I$15:$I$62,$B$15:$B$62,$A9)</f>
        <v/>
      </c>
      <c r="J9" s="23">
        <f>SUMIFS($J$15:$J$62,$B$15:$B$62,$A9)</f>
        <v/>
      </c>
      <c r="K9" s="26">
        <f>IFERROR(F9/G9,0)</f>
        <v/>
      </c>
      <c r="L9" s="27">
        <f>IFERROR(H9/G9,0)</f>
        <v/>
      </c>
      <c r="M9" s="28">
        <f>IFERROR(J9/F9,0)</f>
        <v/>
      </c>
      <c r="N9" s="29">
        <f>IFERROR(J9/E9,0)</f>
        <v/>
      </c>
      <c r="O9" s="29">
        <f>IFERROR(I9/J9,0)</f>
        <v/>
      </c>
      <c r="AJ9" s="24">
        <f>SUMIFS($AJ$15:$AJ$62,$B$15:$B$62,$A9)</f>
        <v/>
      </c>
      <c r="AK9" s="25">
        <f>SUMIFS($AK$15:$AK$62,$B$15:$B$62,$A9)</f>
        <v/>
      </c>
      <c r="AL9" s="23">
        <f>SUMIFS($AL$15:$AL$62,$B$15:$B$62,$A9)</f>
        <v/>
      </c>
      <c r="AM9" s="23">
        <f>SUMIFS($AM$15:$AM$62,$B$15:$B$62,$A9)</f>
        <v/>
      </c>
      <c r="AN9" s="23">
        <f>SUMIFS($AN$15:$AN$62,$B$15:$B$62,$A9)</f>
        <v/>
      </c>
      <c r="AP9" s="24">
        <f>SUMIFS($AP$15:$AP$62,$B$15:$B$62,$A9)</f>
        <v/>
      </c>
      <c r="AQ9" s="25">
        <f>SUMIFS($AQ$15:$AQ$62,$B$15:$B$62,$A9)</f>
        <v/>
      </c>
      <c r="AR9" s="23">
        <f>SUMIFS($AR$15:$AR$62,$B$15:$B$62,$A9)</f>
        <v/>
      </c>
      <c r="AS9" s="23">
        <f>SUMIFS($AS$15:$AS$62,$B$15:$B$62,$A9)</f>
        <v/>
      </c>
      <c r="AT9" s="23">
        <f>SUMIFS($AT$15:$AT$62,$B$15:$B$62,$A9)</f>
        <v/>
      </c>
      <c r="AV9" s="24">
        <f>SUMIFS($AV$15:$AV$62,$B$15:$B$62,$A9)</f>
        <v/>
      </c>
      <c r="AW9" s="25">
        <f>SUMIFS($AW$15:$AW$62,$B$15:$B$62,$A9)</f>
        <v/>
      </c>
      <c r="AX9" s="23">
        <f>SUMIFS($AX$15:$AX$62,$B$15:$B$62,$A9)</f>
        <v/>
      </c>
      <c r="AY9" s="23">
        <f>SUMIFS($AY$15:$AY$62,$B$15:$B$62,$A9)</f>
        <v/>
      </c>
      <c r="AZ9" s="23">
        <f>SUMIFS($AZ$15:$AZ$62,$B$15:$B$62,$A9)</f>
        <v/>
      </c>
    </row>
    <row r="10">
      <c r="AJ10" s="1" t="inlineStr">
        <is>
          <t>Chamber split (same CPLH and cost per hour in every chamber; mix from Chamber Weights)</t>
        </is>
      </c>
    </row>
    <row r="11">
      <c r="AJ11" s="6" t="inlineStr">
        <is>
          <t>Case mix</t>
        </is>
      </c>
      <c r="AK11" s="31">
        <f>IFERROR(INDEX('Chamber Weights'!$B$24:$K$26,MATCH($AJ$12,'Chamber Weights'!$A$24:$A$26,0),MATCH($B$2,'Chamber Weights'!$B$23:$K$23,0)),0)</f>
        <v/>
      </c>
      <c r="AP11" s="6" t="inlineStr">
        <is>
          <t>Case mix</t>
        </is>
      </c>
      <c r="AQ11" s="31">
        <f>IFERROR(INDEX('Chamber Weights'!$B$24:$K$26,MATCH($AP$12,'Chamber Weights'!$A$24:$A$26,0),MATCH($B$2,'Chamber Weights'!$B$23:$K$23,0)),0)</f>
        <v/>
      </c>
      <c r="AV11" s="6" t="inlineStr">
        <is>
          <t>Case mix</t>
        </is>
      </c>
      <c r="AW11" s="31">
        <f>IFERROR(INDEX('Chamber Weights'!$B$24:$K$26,MATCH($AV$12,'Chamber Weights'!$A$24:$A$26,0),MATCH($B$2,'Chamber Weights'!$B$23:$K$23,0)),0)</f>
        <v/>
      </c>
    </row>
    <row r="12">
      <c r="E12" s="7" t="inlineStr">
        <is>
          <t>Drivers</t>
        </is>
      </c>
      <c r="K12" s="7" t="inlineStr">
        <is>
          <t>Metrics</t>
        </is>
      </c>
      <c r="R12" s="7" t="inlineStr">
        <is>
          <t>Helper calculations (actuals, plan, same-month-last-year rates)</t>
        </is>
      </c>
      <c r="AJ12" s="20" t="inlineStr">
        <is>
          <t>Ambient</t>
        </is>
      </c>
      <c r="AP12" s="20" t="inlineStr">
        <is>
          <t>Chiller</t>
        </is>
      </c>
      <c r="AV12" s="20" t="inlineStr">
        <is>
          <t>Freezer</t>
        </is>
      </c>
    </row>
    <row r="13" ht="60" customHeight="1">
      <c r="A13" s="7" t="inlineStr">
        <is>
          <t>Month</t>
        </is>
      </c>
      <c r="B13" s="7" t="inlineStr">
        <is>
          <t>Year</t>
        </is>
      </c>
      <c r="C13" s="7" t="inlineStr">
        <is>
          <t>Mth</t>
        </is>
      </c>
      <c r="D13" s="7" t="inlineStr">
        <is>
          <t>Status</t>
        </is>
      </c>
      <c r="E13" s="7" t="inlineStr">
        <is>
          <t>Sales</t>
        </is>
      </c>
      <c r="F13" s="7" t="inlineStr">
        <is>
          <t>Cases picked</t>
        </is>
      </c>
      <c r="G13" s="7" t="inlineStr">
        <is>
          <t>WH hours worked</t>
        </is>
      </c>
      <c r="H13" s="7" t="inlineStr">
        <is>
          <t>Staff payroll</t>
        </is>
      </c>
      <c r="I13" s="7" t="inlineStr">
        <is>
          <t>Leadership payroll</t>
        </is>
      </c>
      <c r="J13" s="7" t="inlineStr">
        <is>
          <t>Total payroll</t>
        </is>
      </c>
      <c r="K13" s="7" t="inlineStr">
        <is>
          <t>CPLH (cases / hr)</t>
        </is>
      </c>
      <c r="L13" s="7" t="inlineStr">
        <is>
          <t>Cost per hour (staff)</t>
        </is>
      </c>
      <c r="M13" s="7" t="inlineStr">
        <is>
          <t>Cost per case (total payroll)</t>
        </is>
      </c>
      <c r="N13" s="7" t="inlineStr">
        <is>
          <t>Total payroll % sales</t>
        </is>
      </c>
      <c r="O13" s="7" t="inlineStr">
        <is>
          <t>Leadership % of total payroll</t>
        </is>
      </c>
      <c r="R13" s="51" t="inlineStr">
        <is>
          <t>Act sales</t>
        </is>
      </c>
      <c r="S13" s="51" t="inlineStr">
        <is>
          <t>Act cases</t>
        </is>
      </c>
      <c r="T13" s="51" t="inlineStr">
        <is>
          <t>Act hours</t>
        </is>
      </c>
      <c r="U13" s="51" t="inlineStr">
        <is>
          <t>Act staff $</t>
        </is>
      </c>
      <c r="V13" s="51" t="inlineStr">
        <is>
          <t>Act leadership $</t>
        </is>
      </c>
      <c r="W13" s="51" t="inlineStr">
        <is>
          <t>Plan sales</t>
        </is>
      </c>
      <c r="X13" s="51" t="inlineStr">
        <is>
          <t>CPLH run rate (actual, else same month LY)</t>
        </is>
      </c>
      <c r="Y13" s="51" t="inlineStr">
        <is>
          <t>Volume driver sales</t>
        </is>
      </c>
      <c r="Z13" s="51" t="inlineStr">
        <is>
          <t>PH factor</t>
        </is>
      </c>
      <c r="AA13" s="51" t="inlineStr">
        <is>
          <t>Wage index</t>
        </is>
      </c>
      <c r="AB13" s="51" t="inlineStr">
        <is>
          <t>Cases per $ (actual, else same month LY)</t>
        </is>
      </c>
      <c r="AC13" s="51" t="inlineStr">
        <is>
          <t>Cost per hour ex PH &amp; wage (actual, else same month LY)</t>
        </is>
      </c>
      <c r="AD13" s="51" t="inlineStr">
        <is>
          <t>Leadership share of total payroll (actual, else last actual month)</t>
        </is>
      </c>
      <c r="AE13" s="51" t="inlineStr">
        <is>
          <t>Fcst cost per hour (AC x PH x wage)</t>
        </is>
      </c>
      <c r="AF13" s="51" t="inlineStr">
        <is>
          <t>LY CPLH (same month, as used)</t>
        </is>
      </c>
      <c r="AG13" s="51" t="inlineStr">
        <is>
          <t>Fcst CPLH vs LY</t>
        </is>
      </c>
      <c r="AH13" s="51" t="inlineStr">
        <is>
          <t>Plan CPLH (Plan_Inputs or CPLH_Breakdown)</t>
        </is>
      </c>
      <c r="AJ13" s="20" t="inlineStr">
        <is>
          <t>Cases picked</t>
        </is>
      </c>
      <c r="AK13" s="20" t="inlineStr">
        <is>
          <t>WH hours worked</t>
        </is>
      </c>
      <c r="AL13" s="20" t="inlineStr">
        <is>
          <t>Staff payroll</t>
        </is>
      </c>
      <c r="AM13" s="20" t="inlineStr">
        <is>
          <t>Leadership payroll</t>
        </is>
      </c>
      <c r="AN13" s="20" t="inlineStr">
        <is>
          <t>Total payroll</t>
        </is>
      </c>
      <c r="AP13" s="20" t="inlineStr">
        <is>
          <t>Cases picked</t>
        </is>
      </c>
      <c r="AQ13" s="20" t="inlineStr">
        <is>
          <t>WH hours worked</t>
        </is>
      </c>
      <c r="AR13" s="20" t="inlineStr">
        <is>
          <t>Staff payroll</t>
        </is>
      </c>
      <c r="AS13" s="20" t="inlineStr">
        <is>
          <t>Leadership payroll</t>
        </is>
      </c>
      <c r="AT13" s="20" t="inlineStr">
        <is>
          <t>Total payroll</t>
        </is>
      </c>
      <c r="AV13" s="20" t="inlineStr">
        <is>
          <t>Cases picked</t>
        </is>
      </c>
      <c r="AW13" s="20" t="inlineStr">
        <is>
          <t>WH hours worked</t>
        </is>
      </c>
      <c r="AX13" s="20" t="inlineStr">
        <is>
          <t>Staff payroll</t>
        </is>
      </c>
      <c r="AY13" s="20" t="inlineStr">
        <is>
          <t>Leadership payroll</t>
        </is>
      </c>
      <c r="AZ13" s="20" t="inlineStr">
        <is>
          <t>Total payroll</t>
        </is>
      </c>
    </row>
    <row r="14">
      <c r="E14" s="32" t="inlineStr">
        <is>
          <t>$m</t>
        </is>
      </c>
      <c r="F14" s="32" t="inlineStr">
        <is>
          <t>m</t>
        </is>
      </c>
      <c r="G14" s="32" t="inlineStr">
        <is>
          <t>#</t>
        </is>
      </c>
      <c r="H14" s="32" t="inlineStr">
        <is>
          <t>$m</t>
        </is>
      </c>
      <c r="I14" s="32" t="inlineStr">
        <is>
          <t>$m</t>
        </is>
      </c>
      <c r="J14" s="32" t="inlineStr">
        <is>
          <t>$m</t>
        </is>
      </c>
      <c r="K14" s="32" t="inlineStr">
        <is>
          <t>#</t>
        </is>
      </c>
      <c r="L14" s="32" t="inlineStr">
        <is>
          <t>$</t>
        </is>
      </c>
      <c r="M14" s="32" t="inlineStr">
        <is>
          <t>$</t>
        </is>
      </c>
      <c r="N14" s="32" t="inlineStr">
        <is>
          <t>%</t>
        </is>
      </c>
      <c r="O14" s="32" t="inlineStr">
        <is>
          <t>%</t>
        </is>
      </c>
      <c r="AJ14" s="32" t="inlineStr">
        <is>
          <t>m</t>
        </is>
      </c>
      <c r="AK14" s="32" t="inlineStr">
        <is>
          <t>#</t>
        </is>
      </c>
      <c r="AL14" s="32" t="inlineStr">
        <is>
          <t>$m</t>
        </is>
      </c>
      <c r="AM14" s="32" t="inlineStr">
        <is>
          <t>$m</t>
        </is>
      </c>
      <c r="AN14" s="32" t="inlineStr">
        <is>
          <t>$m</t>
        </is>
      </c>
      <c r="AP14" s="32" t="inlineStr">
        <is>
          <t>m</t>
        </is>
      </c>
      <c r="AQ14" s="32" t="inlineStr">
        <is>
          <t>#</t>
        </is>
      </c>
      <c r="AR14" s="32" t="inlineStr">
        <is>
          <t>$m</t>
        </is>
      </c>
      <c r="AS14" s="32" t="inlineStr">
        <is>
          <t>$m</t>
        </is>
      </c>
      <c r="AT14" s="32" t="inlineStr">
        <is>
          <t>$m</t>
        </is>
      </c>
      <c r="AV14" s="32" t="inlineStr">
        <is>
          <t>m</t>
        </is>
      </c>
      <c r="AW14" s="32" t="inlineStr">
        <is>
          <t>#</t>
        </is>
      </c>
      <c r="AX14" s="32" t="inlineStr">
        <is>
          <t>$m</t>
        </is>
      </c>
      <c r="AY14" s="32" t="inlineStr">
        <is>
          <t>$m</t>
        </is>
      </c>
      <c r="AZ14" s="32" t="inlineStr">
        <is>
          <t>$m</t>
        </is>
      </c>
    </row>
    <row r="15">
      <c r="A15" s="8" t="n">
        <v>45658</v>
      </c>
      <c r="B15" s="33">
        <f>YEAR(A15)</f>
        <v/>
      </c>
      <c r="C15" s="33">
        <f>MONTH(A15)</f>
        <v/>
      </c>
      <c r="D15">
        <f>IF(A15&lt;=LastActual,"Actual","Forecast")</f>
        <v/>
      </c>
      <c r="E15" s="30">
        <f>IF($D15="Actual",R15,W15)</f>
        <v/>
      </c>
      <c r="F15" s="15">
        <f>IF($D15="Actual",S15,Cases_Forecast!AQ8)</f>
        <v/>
      </c>
      <c r="G15" s="9">
        <f>IF($D15="Actual",T15,IFERROR(F15/K15,0))</f>
        <v/>
      </c>
      <c r="H15" s="30">
        <f>IF($D15="Actual",U15,G15*L15)</f>
        <v/>
      </c>
      <c r="I15" s="30">
        <f>IF($D15="Actual",V15,J15-H15)</f>
        <v/>
      </c>
      <c r="J15" s="30">
        <f>IF($D15="Actual",U15+V15,IFERROR(H15/(1-AD15),0))</f>
        <v/>
      </c>
      <c r="K15" s="10">
        <f>IF($D15="Actual",IFERROR(S15/T15,0),CPLH_Forecast!AQ8)</f>
        <v/>
      </c>
      <c r="L15" s="34">
        <f>IF($D15="Actual",IFERROR(U15/T15,0),N(AE15))</f>
        <v/>
      </c>
      <c r="M15" s="35">
        <f>IFERROR(J15/F15,0)</f>
        <v/>
      </c>
      <c r="N15" s="36">
        <f>IFERROR(J15/E15,0)</f>
        <v/>
      </c>
      <c r="O15" s="36">
        <f>IFERROR(I15/J15,0)</f>
        <v/>
      </c>
      <c r="R15" s="52">
        <f>IF($D15="Actual",SUMIFS(Data_Actuals!$C$2:$C$5000,Data_Actuals!$A$2:$A$5000,$A15,Data_Actuals!$B$2:$B$5000,$B$2),"")</f>
        <v/>
      </c>
      <c r="S15" s="52">
        <f>IF($D15="Actual",SUMIFS(Data_Actuals!$D$2:$D$5000,Data_Actuals!$A$2:$A$5000,$A15,Data_Actuals!$B$2:$B$5000,$B$2),"")</f>
        <v/>
      </c>
      <c r="T15" s="52">
        <f>IF($D15="Actual",SUMIFS(Data_Actuals!$E$2:$E$5000,Data_Actuals!$A$2:$A$5000,$A15,Data_Actuals!$B$2:$B$5000,$B$2),"")</f>
        <v/>
      </c>
      <c r="U15" s="52">
        <f>IF($D15="Actual",SUMIFS(Data_Actuals!$F$2:$F$5000,Data_Actuals!$A$2:$A$5000,$A15,Data_Actuals!$B$2:$B$5000,$B$2),"")</f>
        <v/>
      </c>
      <c r="V15" s="52">
        <f>IF($D15="Actual",SUMIFS(Data_Actuals!$G$2:$G$5000,Data_Actuals!$A$2:$A$5000,$A15,Data_Actuals!$B$2:$B$5000,$B$2),"")</f>
        <v/>
      </c>
      <c r="W15" s="52">
        <f>SUMIFS(Plan_Inputs!$C$2:$C$5000,Plan_Inputs!$A$2:$A$5000,$A15,Plan_Inputs!$B$2:$B$5000,$B$2)</f>
        <v/>
      </c>
      <c r="X15" s="53">
        <f>IF($D15="Actual",IFERROR(S15/T15,""),"")</f>
        <v/>
      </c>
      <c r="Y15" s="52">
        <f>E15</f>
        <v/>
      </c>
      <c r="Z15" s="54">
        <f>INDEX(Calendar!$H$5:$L$52,MATCH($A15,Calendar!$A$5:$A$52,0),MATCH($D$2,Calendar!$H$4:$L$4,0))</f>
        <v/>
      </c>
      <c r="AA15" s="54">
        <f>INDEX(Calendar!$M$5:$M$52,MATCH($A15,Calendar!$A$5:$A$52,0))</f>
        <v/>
      </c>
      <c r="AB15" s="55">
        <f>IF($D15="Actual",IFERROR(S15/Y15,""),"")</f>
        <v/>
      </c>
      <c r="AC15" s="56">
        <f>IF($D15="Actual",IFERROR(U15/T15/Z15/AA15,""),"")</f>
        <v/>
      </c>
      <c r="AD15" s="57">
        <f>IF($D15="Actual",IFERROR(V15/(U15+V15),""),$K$2)</f>
        <v/>
      </c>
      <c r="AE15" s="56">
        <f>IFERROR(AC15*Z15*AA15,"")</f>
        <v/>
      </c>
      <c r="AF15" s="53" t="n"/>
      <c r="AG15" s="57">
        <f>IF($D15="Forecast",IFERROR(K15/AF15-1,""),"")</f>
        <v/>
      </c>
      <c r="AH15" s="53">
        <f>IF(CPLHSource="National breakdown",CPLH_Breakdown!AR20,SUMIFS(Plan_Inputs!$D$2:$D$5000,Plan_Inputs!$A$2:$A$5000,$A15,Plan_Inputs!$B$2:$B$5000,$B$2))</f>
        <v/>
      </c>
      <c r="AJ15" s="15">
        <f>F15*$AK$11</f>
        <v/>
      </c>
      <c r="AK15" s="9">
        <f>G15*$AK$11</f>
        <v/>
      </c>
      <c r="AL15" s="30">
        <f>H15*$AK$11</f>
        <v/>
      </c>
      <c r="AM15" s="30">
        <f>I15*$AK$11</f>
        <v/>
      </c>
      <c r="AN15" s="30">
        <f>J15*$AK$11</f>
        <v/>
      </c>
      <c r="AP15" s="15">
        <f>F15*$AQ$11</f>
        <v/>
      </c>
      <c r="AQ15" s="9">
        <f>G15*$AQ$11</f>
        <v/>
      </c>
      <c r="AR15" s="30">
        <f>H15*$AQ$11</f>
        <v/>
      </c>
      <c r="AS15" s="30">
        <f>I15*$AQ$11</f>
        <v/>
      </c>
      <c r="AT15" s="30">
        <f>J15*$AQ$11</f>
        <v/>
      </c>
      <c r="AV15" s="15">
        <f>F15*$AW$11</f>
        <v/>
      </c>
      <c r="AW15" s="9">
        <f>G15*$AW$11</f>
        <v/>
      </c>
      <c r="AX15" s="30">
        <f>H15*$AW$11</f>
        <v/>
      </c>
      <c r="AY15" s="30">
        <f>I15*$AW$11</f>
        <v/>
      </c>
      <c r="AZ15" s="30">
        <f>J15*$AW$11</f>
        <v/>
      </c>
    </row>
    <row r="16">
      <c r="A16" s="8" t="n">
        <v>45689</v>
      </c>
      <c r="B16" s="33">
        <f>YEAR(A16)</f>
        <v/>
      </c>
      <c r="C16" s="33">
        <f>MONTH(A16)</f>
        <v/>
      </c>
      <c r="D16">
        <f>IF(A16&lt;=LastActual,"Actual","Forecast")</f>
        <v/>
      </c>
      <c r="E16" s="30">
        <f>IF($D16="Actual",R16,W16)</f>
        <v/>
      </c>
      <c r="F16" s="15">
        <f>IF($D16="Actual",S16,Cases_Forecast!AQ9)</f>
        <v/>
      </c>
      <c r="G16" s="9">
        <f>IF($D16="Actual",T16,IFERROR(F16/K16,0))</f>
        <v/>
      </c>
      <c r="H16" s="30">
        <f>IF($D16="Actual",U16,G16*L16)</f>
        <v/>
      </c>
      <c r="I16" s="30">
        <f>IF($D16="Actual",V16,J16-H16)</f>
        <v/>
      </c>
      <c r="J16" s="30">
        <f>IF($D16="Actual",U16+V16,IFERROR(H16/(1-AD16),0))</f>
        <v/>
      </c>
      <c r="K16" s="10">
        <f>IF($D16="Actual",IFERROR(S16/T16,0),CPLH_Forecast!AQ9)</f>
        <v/>
      </c>
      <c r="L16" s="34">
        <f>IF($D16="Actual",IFERROR(U16/T16,0),N(AE16))</f>
        <v/>
      </c>
      <c r="M16" s="35">
        <f>IFERROR(J16/F16,0)</f>
        <v/>
      </c>
      <c r="N16" s="36">
        <f>IFERROR(J16/E16,0)</f>
        <v/>
      </c>
      <c r="O16" s="36">
        <f>IFERROR(I16/J16,0)</f>
        <v/>
      </c>
      <c r="R16" s="52">
        <f>IF($D16="Actual",SUMIFS(Data_Actuals!$C$2:$C$5000,Data_Actuals!$A$2:$A$5000,$A16,Data_Actuals!$B$2:$B$5000,$B$2),"")</f>
        <v/>
      </c>
      <c r="S16" s="52">
        <f>IF($D16="Actual",SUMIFS(Data_Actuals!$D$2:$D$5000,Data_Actuals!$A$2:$A$5000,$A16,Data_Actuals!$B$2:$B$5000,$B$2),"")</f>
        <v/>
      </c>
      <c r="T16" s="52">
        <f>IF($D16="Actual",SUMIFS(Data_Actuals!$E$2:$E$5000,Data_Actuals!$A$2:$A$5000,$A16,Data_Actuals!$B$2:$B$5000,$B$2),"")</f>
        <v/>
      </c>
      <c r="U16" s="52">
        <f>IF($D16="Actual",SUMIFS(Data_Actuals!$F$2:$F$5000,Data_Actuals!$A$2:$A$5000,$A16,Data_Actuals!$B$2:$B$5000,$B$2),"")</f>
        <v/>
      </c>
      <c r="V16" s="52">
        <f>IF($D16="Actual",SUMIFS(Data_Actuals!$G$2:$G$5000,Data_Actuals!$A$2:$A$5000,$A16,Data_Actuals!$B$2:$B$5000,$B$2),"")</f>
        <v/>
      </c>
      <c r="W16" s="52">
        <f>SUMIFS(Plan_Inputs!$C$2:$C$5000,Plan_Inputs!$A$2:$A$5000,$A16,Plan_Inputs!$B$2:$B$5000,$B$2)</f>
        <v/>
      </c>
      <c r="X16" s="53">
        <f>IF($D16="Actual",IFERROR(S16/T16,""),"")</f>
        <v/>
      </c>
      <c r="Y16" s="52">
        <f>E16</f>
        <v/>
      </c>
      <c r="Z16" s="54">
        <f>INDEX(Calendar!$H$5:$L$52,MATCH($A16,Calendar!$A$5:$A$52,0),MATCH($D$2,Calendar!$H$4:$L$4,0))</f>
        <v/>
      </c>
      <c r="AA16" s="54">
        <f>INDEX(Calendar!$M$5:$M$52,MATCH($A16,Calendar!$A$5:$A$52,0))</f>
        <v/>
      </c>
      <c r="AB16" s="55">
        <f>IF($D16="Actual",IFERROR(S16/Y16,""),"")</f>
        <v/>
      </c>
      <c r="AC16" s="56">
        <f>IF($D16="Actual",IFERROR(U16/T16/Z16/AA16,""),"")</f>
        <v/>
      </c>
      <c r="AD16" s="57">
        <f>IF($D16="Actual",IFERROR(V16/(U16+V16),""),$K$2)</f>
        <v/>
      </c>
      <c r="AE16" s="56">
        <f>IFERROR(AC16*Z16*AA16,"")</f>
        <v/>
      </c>
      <c r="AF16" s="53" t="n"/>
      <c r="AG16" s="57">
        <f>IF($D16="Forecast",IFERROR(K16/AF16-1,""),"")</f>
        <v/>
      </c>
      <c r="AH16" s="53">
        <f>IF(CPLHSource="National breakdown",CPLH_Breakdown!AR21,SUMIFS(Plan_Inputs!$D$2:$D$5000,Plan_Inputs!$A$2:$A$5000,$A16,Plan_Inputs!$B$2:$B$5000,$B$2))</f>
        <v/>
      </c>
      <c r="AJ16" s="15">
        <f>F16*$AK$11</f>
        <v/>
      </c>
      <c r="AK16" s="9">
        <f>G16*$AK$11</f>
        <v/>
      </c>
      <c r="AL16" s="30">
        <f>H16*$AK$11</f>
        <v/>
      </c>
      <c r="AM16" s="30">
        <f>I16*$AK$11</f>
        <v/>
      </c>
      <c r="AN16" s="30">
        <f>J16*$AK$11</f>
        <v/>
      </c>
      <c r="AP16" s="15">
        <f>F16*$AQ$11</f>
        <v/>
      </c>
      <c r="AQ16" s="9">
        <f>G16*$AQ$11</f>
        <v/>
      </c>
      <c r="AR16" s="30">
        <f>H16*$AQ$11</f>
        <v/>
      </c>
      <c r="AS16" s="30">
        <f>I16*$AQ$11</f>
        <v/>
      </c>
      <c r="AT16" s="30">
        <f>J16*$AQ$11</f>
        <v/>
      </c>
      <c r="AV16" s="15">
        <f>F16*$AW$11</f>
        <v/>
      </c>
      <c r="AW16" s="9">
        <f>G16*$AW$11</f>
        <v/>
      </c>
      <c r="AX16" s="30">
        <f>H16*$AW$11</f>
        <v/>
      </c>
      <c r="AY16" s="30">
        <f>I16*$AW$11</f>
        <v/>
      </c>
      <c r="AZ16" s="30">
        <f>J16*$AW$11</f>
        <v/>
      </c>
    </row>
    <row r="17">
      <c r="A17" s="8" t="n">
        <v>45717</v>
      </c>
      <c r="B17" s="33">
        <f>YEAR(A17)</f>
        <v/>
      </c>
      <c r="C17" s="33">
        <f>MONTH(A17)</f>
        <v/>
      </c>
      <c r="D17">
        <f>IF(A17&lt;=LastActual,"Actual","Forecast")</f>
        <v/>
      </c>
      <c r="E17" s="30">
        <f>IF($D17="Actual",R17,W17)</f>
        <v/>
      </c>
      <c r="F17" s="15">
        <f>IF($D17="Actual",S17,Cases_Forecast!AQ10)</f>
        <v/>
      </c>
      <c r="G17" s="9">
        <f>IF($D17="Actual",T17,IFERROR(F17/K17,0))</f>
        <v/>
      </c>
      <c r="H17" s="30">
        <f>IF($D17="Actual",U17,G17*L17)</f>
        <v/>
      </c>
      <c r="I17" s="30">
        <f>IF($D17="Actual",V17,J17-H17)</f>
        <v/>
      </c>
      <c r="J17" s="30">
        <f>IF($D17="Actual",U17+V17,IFERROR(H17/(1-AD17),0))</f>
        <v/>
      </c>
      <c r="K17" s="10">
        <f>IF($D17="Actual",IFERROR(S17/T17,0),CPLH_Forecast!AQ10)</f>
        <v/>
      </c>
      <c r="L17" s="34">
        <f>IF($D17="Actual",IFERROR(U17/T17,0),N(AE17))</f>
        <v/>
      </c>
      <c r="M17" s="35">
        <f>IFERROR(J17/F17,0)</f>
        <v/>
      </c>
      <c r="N17" s="36">
        <f>IFERROR(J17/E17,0)</f>
        <v/>
      </c>
      <c r="O17" s="36">
        <f>IFERROR(I17/J17,0)</f>
        <v/>
      </c>
      <c r="R17" s="52">
        <f>IF($D17="Actual",SUMIFS(Data_Actuals!$C$2:$C$5000,Data_Actuals!$A$2:$A$5000,$A17,Data_Actuals!$B$2:$B$5000,$B$2),"")</f>
        <v/>
      </c>
      <c r="S17" s="52">
        <f>IF($D17="Actual",SUMIFS(Data_Actuals!$D$2:$D$5000,Data_Actuals!$A$2:$A$5000,$A17,Data_Actuals!$B$2:$B$5000,$B$2),"")</f>
        <v/>
      </c>
      <c r="T17" s="52">
        <f>IF($D17="Actual",SUMIFS(Data_Actuals!$E$2:$E$5000,Data_Actuals!$A$2:$A$5000,$A17,Data_Actuals!$B$2:$B$5000,$B$2),"")</f>
        <v/>
      </c>
      <c r="U17" s="52">
        <f>IF($D17="Actual",SUMIFS(Data_Actuals!$F$2:$F$5000,Data_Actuals!$A$2:$A$5000,$A17,Data_Actuals!$B$2:$B$5000,$B$2),"")</f>
        <v/>
      </c>
      <c r="V17" s="52">
        <f>IF($D17="Actual",SUMIFS(Data_Actuals!$G$2:$G$5000,Data_Actuals!$A$2:$A$5000,$A17,Data_Actuals!$B$2:$B$5000,$B$2),"")</f>
        <v/>
      </c>
      <c r="W17" s="52">
        <f>SUMIFS(Plan_Inputs!$C$2:$C$5000,Plan_Inputs!$A$2:$A$5000,$A17,Plan_Inputs!$B$2:$B$5000,$B$2)</f>
        <v/>
      </c>
      <c r="X17" s="53">
        <f>IF($D17="Actual",IFERROR(S17/T17,""),"")</f>
        <v/>
      </c>
      <c r="Y17" s="52">
        <f>E17</f>
        <v/>
      </c>
      <c r="Z17" s="54">
        <f>INDEX(Calendar!$H$5:$L$52,MATCH($A17,Calendar!$A$5:$A$52,0),MATCH($D$2,Calendar!$H$4:$L$4,0))</f>
        <v/>
      </c>
      <c r="AA17" s="54">
        <f>INDEX(Calendar!$M$5:$M$52,MATCH($A17,Calendar!$A$5:$A$52,0))</f>
        <v/>
      </c>
      <c r="AB17" s="55">
        <f>IF($D17="Actual",IFERROR(S17/Y17,""),"")</f>
        <v/>
      </c>
      <c r="AC17" s="56">
        <f>IF($D17="Actual",IFERROR(U17/T17/Z17/AA17,""),"")</f>
        <v/>
      </c>
      <c r="AD17" s="57">
        <f>IF($D17="Actual",IFERROR(V17/(U17+V17),""),$K$2)</f>
        <v/>
      </c>
      <c r="AE17" s="56">
        <f>IFERROR(AC17*Z17*AA17,"")</f>
        <v/>
      </c>
      <c r="AF17" s="53" t="n"/>
      <c r="AG17" s="57">
        <f>IF($D17="Forecast",IFERROR(K17/AF17-1,""),"")</f>
        <v/>
      </c>
      <c r="AH17" s="53">
        <f>IF(CPLHSource="National breakdown",CPLH_Breakdown!AR22,SUMIFS(Plan_Inputs!$D$2:$D$5000,Plan_Inputs!$A$2:$A$5000,$A17,Plan_Inputs!$B$2:$B$5000,$B$2))</f>
        <v/>
      </c>
      <c r="AJ17" s="15">
        <f>F17*$AK$11</f>
        <v/>
      </c>
      <c r="AK17" s="9">
        <f>G17*$AK$11</f>
        <v/>
      </c>
      <c r="AL17" s="30">
        <f>H17*$AK$11</f>
        <v/>
      </c>
      <c r="AM17" s="30">
        <f>I17*$AK$11</f>
        <v/>
      </c>
      <c r="AN17" s="30">
        <f>J17*$AK$11</f>
        <v/>
      </c>
      <c r="AP17" s="15">
        <f>F17*$AQ$11</f>
        <v/>
      </c>
      <c r="AQ17" s="9">
        <f>G17*$AQ$11</f>
        <v/>
      </c>
      <c r="AR17" s="30">
        <f>H17*$AQ$11</f>
        <v/>
      </c>
      <c r="AS17" s="30">
        <f>I17*$AQ$11</f>
        <v/>
      </c>
      <c r="AT17" s="30">
        <f>J17*$AQ$11</f>
        <v/>
      </c>
      <c r="AV17" s="15">
        <f>F17*$AW$11</f>
        <v/>
      </c>
      <c r="AW17" s="9">
        <f>G17*$AW$11</f>
        <v/>
      </c>
      <c r="AX17" s="30">
        <f>H17*$AW$11</f>
        <v/>
      </c>
      <c r="AY17" s="30">
        <f>I17*$AW$11</f>
        <v/>
      </c>
      <c r="AZ17" s="30">
        <f>J17*$AW$11</f>
        <v/>
      </c>
    </row>
    <row r="18">
      <c r="A18" s="8" t="n">
        <v>45748</v>
      </c>
      <c r="B18" s="33">
        <f>YEAR(A18)</f>
        <v/>
      </c>
      <c r="C18" s="33">
        <f>MONTH(A18)</f>
        <v/>
      </c>
      <c r="D18">
        <f>IF(A18&lt;=LastActual,"Actual","Forecast")</f>
        <v/>
      </c>
      <c r="E18" s="30">
        <f>IF($D18="Actual",R18,W18)</f>
        <v/>
      </c>
      <c r="F18" s="15">
        <f>IF($D18="Actual",S18,Cases_Forecast!AQ11)</f>
        <v/>
      </c>
      <c r="G18" s="9">
        <f>IF($D18="Actual",T18,IFERROR(F18/K18,0))</f>
        <v/>
      </c>
      <c r="H18" s="30">
        <f>IF($D18="Actual",U18,G18*L18)</f>
        <v/>
      </c>
      <c r="I18" s="30">
        <f>IF($D18="Actual",V18,J18-H18)</f>
        <v/>
      </c>
      <c r="J18" s="30">
        <f>IF($D18="Actual",U18+V18,IFERROR(H18/(1-AD18),0))</f>
        <v/>
      </c>
      <c r="K18" s="10">
        <f>IF($D18="Actual",IFERROR(S18/T18,0),CPLH_Forecast!AQ11)</f>
        <v/>
      </c>
      <c r="L18" s="34">
        <f>IF($D18="Actual",IFERROR(U18/T18,0),N(AE18))</f>
        <v/>
      </c>
      <c r="M18" s="35">
        <f>IFERROR(J18/F18,0)</f>
        <v/>
      </c>
      <c r="N18" s="36">
        <f>IFERROR(J18/E18,0)</f>
        <v/>
      </c>
      <c r="O18" s="36">
        <f>IFERROR(I18/J18,0)</f>
        <v/>
      </c>
      <c r="R18" s="52">
        <f>IF($D18="Actual",SUMIFS(Data_Actuals!$C$2:$C$5000,Data_Actuals!$A$2:$A$5000,$A18,Data_Actuals!$B$2:$B$5000,$B$2),"")</f>
        <v/>
      </c>
      <c r="S18" s="52">
        <f>IF($D18="Actual",SUMIFS(Data_Actuals!$D$2:$D$5000,Data_Actuals!$A$2:$A$5000,$A18,Data_Actuals!$B$2:$B$5000,$B$2),"")</f>
        <v/>
      </c>
      <c r="T18" s="52">
        <f>IF($D18="Actual",SUMIFS(Data_Actuals!$E$2:$E$5000,Data_Actuals!$A$2:$A$5000,$A18,Data_Actuals!$B$2:$B$5000,$B$2),"")</f>
        <v/>
      </c>
      <c r="U18" s="52">
        <f>IF($D18="Actual",SUMIFS(Data_Actuals!$F$2:$F$5000,Data_Actuals!$A$2:$A$5000,$A18,Data_Actuals!$B$2:$B$5000,$B$2),"")</f>
        <v/>
      </c>
      <c r="V18" s="52">
        <f>IF($D18="Actual",SUMIFS(Data_Actuals!$G$2:$G$5000,Data_Actuals!$A$2:$A$5000,$A18,Data_Actuals!$B$2:$B$5000,$B$2),"")</f>
        <v/>
      </c>
      <c r="W18" s="52">
        <f>SUMIFS(Plan_Inputs!$C$2:$C$5000,Plan_Inputs!$A$2:$A$5000,$A18,Plan_Inputs!$B$2:$B$5000,$B$2)</f>
        <v/>
      </c>
      <c r="X18" s="53">
        <f>IF($D18="Actual",IFERROR(S18/T18,""),"")</f>
        <v/>
      </c>
      <c r="Y18" s="52">
        <f>E18</f>
        <v/>
      </c>
      <c r="Z18" s="54">
        <f>INDEX(Calendar!$H$5:$L$52,MATCH($A18,Calendar!$A$5:$A$52,0),MATCH($D$2,Calendar!$H$4:$L$4,0))</f>
        <v/>
      </c>
      <c r="AA18" s="54">
        <f>INDEX(Calendar!$M$5:$M$52,MATCH($A18,Calendar!$A$5:$A$52,0))</f>
        <v/>
      </c>
      <c r="AB18" s="55">
        <f>IF($D18="Actual",IFERROR(S18/Y18,""),"")</f>
        <v/>
      </c>
      <c r="AC18" s="56">
        <f>IF($D18="Actual",IFERROR(U18/T18/Z18/AA18,""),"")</f>
        <v/>
      </c>
      <c r="AD18" s="57">
        <f>IF($D18="Actual",IFERROR(V18/(U18+V18),""),$K$2)</f>
        <v/>
      </c>
      <c r="AE18" s="56">
        <f>IFERROR(AC18*Z18*AA18,"")</f>
        <v/>
      </c>
      <c r="AF18" s="53" t="n"/>
      <c r="AG18" s="57">
        <f>IF($D18="Forecast",IFERROR(K18/AF18-1,""),"")</f>
        <v/>
      </c>
      <c r="AH18" s="53">
        <f>IF(CPLHSource="National breakdown",CPLH_Breakdown!AR23,SUMIFS(Plan_Inputs!$D$2:$D$5000,Plan_Inputs!$A$2:$A$5000,$A18,Plan_Inputs!$B$2:$B$5000,$B$2))</f>
        <v/>
      </c>
      <c r="AJ18" s="15">
        <f>F18*$AK$11</f>
        <v/>
      </c>
      <c r="AK18" s="9">
        <f>G18*$AK$11</f>
        <v/>
      </c>
      <c r="AL18" s="30">
        <f>H18*$AK$11</f>
        <v/>
      </c>
      <c r="AM18" s="30">
        <f>I18*$AK$11</f>
        <v/>
      </c>
      <c r="AN18" s="30">
        <f>J18*$AK$11</f>
        <v/>
      </c>
      <c r="AP18" s="15">
        <f>F18*$AQ$11</f>
        <v/>
      </c>
      <c r="AQ18" s="9">
        <f>G18*$AQ$11</f>
        <v/>
      </c>
      <c r="AR18" s="30">
        <f>H18*$AQ$11</f>
        <v/>
      </c>
      <c r="AS18" s="30">
        <f>I18*$AQ$11</f>
        <v/>
      </c>
      <c r="AT18" s="30">
        <f>J18*$AQ$11</f>
        <v/>
      </c>
      <c r="AV18" s="15">
        <f>F18*$AW$11</f>
        <v/>
      </c>
      <c r="AW18" s="9">
        <f>G18*$AW$11</f>
        <v/>
      </c>
      <c r="AX18" s="30">
        <f>H18*$AW$11</f>
        <v/>
      </c>
      <c r="AY18" s="30">
        <f>I18*$AW$11</f>
        <v/>
      </c>
      <c r="AZ18" s="30">
        <f>J18*$AW$11</f>
        <v/>
      </c>
    </row>
    <row r="19">
      <c r="A19" s="8" t="n">
        <v>45778</v>
      </c>
      <c r="B19" s="33">
        <f>YEAR(A19)</f>
        <v/>
      </c>
      <c r="C19" s="33">
        <f>MONTH(A19)</f>
        <v/>
      </c>
      <c r="D19">
        <f>IF(A19&lt;=LastActual,"Actual","Forecast")</f>
        <v/>
      </c>
      <c r="E19" s="30">
        <f>IF($D19="Actual",R19,W19)</f>
        <v/>
      </c>
      <c r="F19" s="15">
        <f>IF($D19="Actual",S19,Cases_Forecast!AQ12)</f>
        <v/>
      </c>
      <c r="G19" s="9">
        <f>IF($D19="Actual",T19,IFERROR(F19/K19,0))</f>
        <v/>
      </c>
      <c r="H19" s="30">
        <f>IF($D19="Actual",U19,G19*L19)</f>
        <v/>
      </c>
      <c r="I19" s="30">
        <f>IF($D19="Actual",V19,J19-H19)</f>
        <v/>
      </c>
      <c r="J19" s="30">
        <f>IF($D19="Actual",U19+V19,IFERROR(H19/(1-AD19),0))</f>
        <v/>
      </c>
      <c r="K19" s="10">
        <f>IF($D19="Actual",IFERROR(S19/T19,0),CPLH_Forecast!AQ12)</f>
        <v/>
      </c>
      <c r="L19" s="34">
        <f>IF($D19="Actual",IFERROR(U19/T19,0),N(AE19))</f>
        <v/>
      </c>
      <c r="M19" s="35">
        <f>IFERROR(J19/F19,0)</f>
        <v/>
      </c>
      <c r="N19" s="36">
        <f>IFERROR(J19/E19,0)</f>
        <v/>
      </c>
      <c r="O19" s="36">
        <f>IFERROR(I19/J19,0)</f>
        <v/>
      </c>
      <c r="R19" s="52">
        <f>IF($D19="Actual",SUMIFS(Data_Actuals!$C$2:$C$5000,Data_Actuals!$A$2:$A$5000,$A19,Data_Actuals!$B$2:$B$5000,$B$2),"")</f>
        <v/>
      </c>
      <c r="S19" s="52">
        <f>IF($D19="Actual",SUMIFS(Data_Actuals!$D$2:$D$5000,Data_Actuals!$A$2:$A$5000,$A19,Data_Actuals!$B$2:$B$5000,$B$2),"")</f>
        <v/>
      </c>
      <c r="T19" s="52">
        <f>IF($D19="Actual",SUMIFS(Data_Actuals!$E$2:$E$5000,Data_Actuals!$A$2:$A$5000,$A19,Data_Actuals!$B$2:$B$5000,$B$2),"")</f>
        <v/>
      </c>
      <c r="U19" s="52">
        <f>IF($D19="Actual",SUMIFS(Data_Actuals!$F$2:$F$5000,Data_Actuals!$A$2:$A$5000,$A19,Data_Actuals!$B$2:$B$5000,$B$2),"")</f>
        <v/>
      </c>
      <c r="V19" s="52">
        <f>IF($D19="Actual",SUMIFS(Data_Actuals!$G$2:$G$5000,Data_Actuals!$A$2:$A$5000,$A19,Data_Actuals!$B$2:$B$5000,$B$2),"")</f>
        <v/>
      </c>
      <c r="W19" s="52">
        <f>SUMIFS(Plan_Inputs!$C$2:$C$5000,Plan_Inputs!$A$2:$A$5000,$A19,Plan_Inputs!$B$2:$B$5000,$B$2)</f>
        <v/>
      </c>
      <c r="X19" s="53">
        <f>IF($D19="Actual",IFERROR(S19/T19,""),"")</f>
        <v/>
      </c>
      <c r="Y19" s="52">
        <f>E19</f>
        <v/>
      </c>
      <c r="Z19" s="54">
        <f>INDEX(Calendar!$H$5:$L$52,MATCH($A19,Calendar!$A$5:$A$52,0),MATCH($D$2,Calendar!$H$4:$L$4,0))</f>
        <v/>
      </c>
      <c r="AA19" s="54">
        <f>INDEX(Calendar!$M$5:$M$52,MATCH($A19,Calendar!$A$5:$A$52,0))</f>
        <v/>
      </c>
      <c r="AB19" s="55">
        <f>IF($D19="Actual",IFERROR(S19/Y19,""),"")</f>
        <v/>
      </c>
      <c r="AC19" s="56">
        <f>IF($D19="Actual",IFERROR(U19/T19/Z19/AA19,""),"")</f>
        <v/>
      </c>
      <c r="AD19" s="57">
        <f>IF($D19="Actual",IFERROR(V19/(U19+V19),""),$K$2)</f>
        <v/>
      </c>
      <c r="AE19" s="56">
        <f>IFERROR(AC19*Z19*AA19,"")</f>
        <v/>
      </c>
      <c r="AF19" s="53" t="n"/>
      <c r="AG19" s="57">
        <f>IF($D19="Forecast",IFERROR(K19/AF19-1,""),"")</f>
        <v/>
      </c>
      <c r="AH19" s="53">
        <f>IF(CPLHSource="National breakdown",CPLH_Breakdown!AR24,SUMIFS(Plan_Inputs!$D$2:$D$5000,Plan_Inputs!$A$2:$A$5000,$A19,Plan_Inputs!$B$2:$B$5000,$B$2))</f>
        <v/>
      </c>
      <c r="AJ19" s="15">
        <f>F19*$AK$11</f>
        <v/>
      </c>
      <c r="AK19" s="9">
        <f>G19*$AK$11</f>
        <v/>
      </c>
      <c r="AL19" s="30">
        <f>H19*$AK$11</f>
        <v/>
      </c>
      <c r="AM19" s="30">
        <f>I19*$AK$11</f>
        <v/>
      </c>
      <c r="AN19" s="30">
        <f>J19*$AK$11</f>
        <v/>
      </c>
      <c r="AP19" s="15">
        <f>F19*$AQ$11</f>
        <v/>
      </c>
      <c r="AQ19" s="9">
        <f>G19*$AQ$11</f>
        <v/>
      </c>
      <c r="AR19" s="30">
        <f>H19*$AQ$11</f>
        <v/>
      </c>
      <c r="AS19" s="30">
        <f>I19*$AQ$11</f>
        <v/>
      </c>
      <c r="AT19" s="30">
        <f>J19*$AQ$11</f>
        <v/>
      </c>
      <c r="AV19" s="15">
        <f>F19*$AW$11</f>
        <v/>
      </c>
      <c r="AW19" s="9">
        <f>G19*$AW$11</f>
        <v/>
      </c>
      <c r="AX19" s="30">
        <f>H19*$AW$11</f>
        <v/>
      </c>
      <c r="AY19" s="30">
        <f>I19*$AW$11</f>
        <v/>
      </c>
      <c r="AZ19" s="30">
        <f>J19*$AW$11</f>
        <v/>
      </c>
    </row>
    <row r="20">
      <c r="A20" s="8" t="n">
        <v>45809</v>
      </c>
      <c r="B20" s="33">
        <f>YEAR(A20)</f>
        <v/>
      </c>
      <c r="C20" s="33">
        <f>MONTH(A20)</f>
        <v/>
      </c>
      <c r="D20">
        <f>IF(A20&lt;=LastActual,"Actual","Forecast")</f>
        <v/>
      </c>
      <c r="E20" s="30">
        <f>IF($D20="Actual",R20,W20)</f>
        <v/>
      </c>
      <c r="F20" s="15">
        <f>IF($D20="Actual",S20,Cases_Forecast!AQ13)</f>
        <v/>
      </c>
      <c r="G20" s="9">
        <f>IF($D20="Actual",T20,IFERROR(F20/K20,0))</f>
        <v/>
      </c>
      <c r="H20" s="30">
        <f>IF($D20="Actual",U20,G20*L20)</f>
        <v/>
      </c>
      <c r="I20" s="30">
        <f>IF($D20="Actual",V20,J20-H20)</f>
        <v/>
      </c>
      <c r="J20" s="30">
        <f>IF($D20="Actual",U20+V20,IFERROR(H20/(1-AD20),0))</f>
        <v/>
      </c>
      <c r="K20" s="10">
        <f>IF($D20="Actual",IFERROR(S20/T20,0),CPLH_Forecast!AQ13)</f>
        <v/>
      </c>
      <c r="L20" s="34">
        <f>IF($D20="Actual",IFERROR(U20/T20,0),N(AE20))</f>
        <v/>
      </c>
      <c r="M20" s="35">
        <f>IFERROR(J20/F20,0)</f>
        <v/>
      </c>
      <c r="N20" s="36">
        <f>IFERROR(J20/E20,0)</f>
        <v/>
      </c>
      <c r="O20" s="36">
        <f>IFERROR(I20/J20,0)</f>
        <v/>
      </c>
      <c r="R20" s="52">
        <f>IF($D20="Actual",SUMIFS(Data_Actuals!$C$2:$C$5000,Data_Actuals!$A$2:$A$5000,$A20,Data_Actuals!$B$2:$B$5000,$B$2),"")</f>
        <v/>
      </c>
      <c r="S20" s="52">
        <f>IF($D20="Actual",SUMIFS(Data_Actuals!$D$2:$D$5000,Data_Actuals!$A$2:$A$5000,$A20,Data_Actuals!$B$2:$B$5000,$B$2),"")</f>
        <v/>
      </c>
      <c r="T20" s="52">
        <f>IF($D20="Actual",SUMIFS(Data_Actuals!$E$2:$E$5000,Data_Actuals!$A$2:$A$5000,$A20,Data_Actuals!$B$2:$B$5000,$B$2),"")</f>
        <v/>
      </c>
      <c r="U20" s="52">
        <f>IF($D20="Actual",SUMIFS(Data_Actuals!$F$2:$F$5000,Data_Actuals!$A$2:$A$5000,$A20,Data_Actuals!$B$2:$B$5000,$B$2),"")</f>
        <v/>
      </c>
      <c r="V20" s="52">
        <f>IF($D20="Actual",SUMIFS(Data_Actuals!$G$2:$G$5000,Data_Actuals!$A$2:$A$5000,$A20,Data_Actuals!$B$2:$B$5000,$B$2),"")</f>
        <v/>
      </c>
      <c r="W20" s="52">
        <f>SUMIFS(Plan_Inputs!$C$2:$C$5000,Plan_Inputs!$A$2:$A$5000,$A20,Plan_Inputs!$B$2:$B$5000,$B$2)</f>
        <v/>
      </c>
      <c r="X20" s="53">
        <f>IF($D20="Actual",IFERROR(S20/T20,""),"")</f>
        <v/>
      </c>
      <c r="Y20" s="52">
        <f>E20</f>
        <v/>
      </c>
      <c r="Z20" s="54">
        <f>INDEX(Calendar!$H$5:$L$52,MATCH($A20,Calendar!$A$5:$A$52,0),MATCH($D$2,Calendar!$H$4:$L$4,0))</f>
        <v/>
      </c>
      <c r="AA20" s="54">
        <f>INDEX(Calendar!$M$5:$M$52,MATCH($A20,Calendar!$A$5:$A$52,0))</f>
        <v/>
      </c>
      <c r="AB20" s="55">
        <f>IF($D20="Actual",IFERROR(S20/Y20,""),"")</f>
        <v/>
      </c>
      <c r="AC20" s="56">
        <f>IF($D20="Actual",IFERROR(U20/T20/Z20/AA20,""),"")</f>
        <v/>
      </c>
      <c r="AD20" s="57">
        <f>IF($D20="Actual",IFERROR(V20/(U20+V20),""),$K$2)</f>
        <v/>
      </c>
      <c r="AE20" s="56">
        <f>IFERROR(AC20*Z20*AA20,"")</f>
        <v/>
      </c>
      <c r="AF20" s="53" t="n"/>
      <c r="AG20" s="57">
        <f>IF($D20="Forecast",IFERROR(K20/AF20-1,""),"")</f>
        <v/>
      </c>
      <c r="AH20" s="53">
        <f>IF(CPLHSource="National breakdown",CPLH_Breakdown!AR25,SUMIFS(Plan_Inputs!$D$2:$D$5000,Plan_Inputs!$A$2:$A$5000,$A20,Plan_Inputs!$B$2:$B$5000,$B$2))</f>
        <v/>
      </c>
      <c r="AJ20" s="15">
        <f>F20*$AK$11</f>
        <v/>
      </c>
      <c r="AK20" s="9">
        <f>G20*$AK$11</f>
        <v/>
      </c>
      <c r="AL20" s="30">
        <f>H20*$AK$11</f>
        <v/>
      </c>
      <c r="AM20" s="30">
        <f>I20*$AK$11</f>
        <v/>
      </c>
      <c r="AN20" s="30">
        <f>J20*$AK$11</f>
        <v/>
      </c>
      <c r="AP20" s="15">
        <f>F20*$AQ$11</f>
        <v/>
      </c>
      <c r="AQ20" s="9">
        <f>G20*$AQ$11</f>
        <v/>
      </c>
      <c r="AR20" s="30">
        <f>H20*$AQ$11</f>
        <v/>
      </c>
      <c r="AS20" s="30">
        <f>I20*$AQ$11</f>
        <v/>
      </c>
      <c r="AT20" s="30">
        <f>J20*$AQ$11</f>
        <v/>
      </c>
      <c r="AV20" s="15">
        <f>F20*$AW$11</f>
        <v/>
      </c>
      <c r="AW20" s="9">
        <f>G20*$AW$11</f>
        <v/>
      </c>
      <c r="AX20" s="30">
        <f>H20*$AW$11</f>
        <v/>
      </c>
      <c r="AY20" s="30">
        <f>I20*$AW$11</f>
        <v/>
      </c>
      <c r="AZ20" s="30">
        <f>J20*$AW$11</f>
        <v/>
      </c>
    </row>
    <row r="21">
      <c r="A21" s="8" t="n">
        <v>45839</v>
      </c>
      <c r="B21" s="33">
        <f>YEAR(A21)</f>
        <v/>
      </c>
      <c r="C21" s="33">
        <f>MONTH(A21)</f>
        <v/>
      </c>
      <c r="D21">
        <f>IF(A21&lt;=LastActual,"Actual","Forecast")</f>
        <v/>
      </c>
      <c r="E21" s="30">
        <f>IF($D21="Actual",R21,W21)</f>
        <v/>
      </c>
      <c r="F21" s="15">
        <f>IF($D21="Actual",S21,Cases_Forecast!AQ14)</f>
        <v/>
      </c>
      <c r="G21" s="9">
        <f>IF($D21="Actual",T21,IFERROR(F21/K21,0))</f>
        <v/>
      </c>
      <c r="H21" s="30">
        <f>IF($D21="Actual",U21,G21*L21)</f>
        <v/>
      </c>
      <c r="I21" s="30">
        <f>IF($D21="Actual",V21,J21-H21)</f>
        <v/>
      </c>
      <c r="J21" s="30">
        <f>IF($D21="Actual",U21+V21,IFERROR(H21/(1-AD21),0))</f>
        <v/>
      </c>
      <c r="K21" s="10">
        <f>IF($D21="Actual",IFERROR(S21/T21,0),CPLH_Forecast!AQ14)</f>
        <v/>
      </c>
      <c r="L21" s="34">
        <f>IF($D21="Actual",IFERROR(U21/T21,0),N(AE21))</f>
        <v/>
      </c>
      <c r="M21" s="35">
        <f>IFERROR(J21/F21,0)</f>
        <v/>
      </c>
      <c r="N21" s="36">
        <f>IFERROR(J21/E21,0)</f>
        <v/>
      </c>
      <c r="O21" s="36">
        <f>IFERROR(I21/J21,0)</f>
        <v/>
      </c>
      <c r="R21" s="52">
        <f>IF($D21="Actual",SUMIFS(Data_Actuals!$C$2:$C$5000,Data_Actuals!$A$2:$A$5000,$A21,Data_Actuals!$B$2:$B$5000,$B$2),"")</f>
        <v/>
      </c>
      <c r="S21" s="52">
        <f>IF($D21="Actual",SUMIFS(Data_Actuals!$D$2:$D$5000,Data_Actuals!$A$2:$A$5000,$A21,Data_Actuals!$B$2:$B$5000,$B$2),"")</f>
        <v/>
      </c>
      <c r="T21" s="52">
        <f>IF($D21="Actual",SUMIFS(Data_Actuals!$E$2:$E$5000,Data_Actuals!$A$2:$A$5000,$A21,Data_Actuals!$B$2:$B$5000,$B$2),"")</f>
        <v/>
      </c>
      <c r="U21" s="52">
        <f>IF($D21="Actual",SUMIFS(Data_Actuals!$F$2:$F$5000,Data_Actuals!$A$2:$A$5000,$A21,Data_Actuals!$B$2:$B$5000,$B$2),"")</f>
        <v/>
      </c>
      <c r="V21" s="52">
        <f>IF($D21="Actual",SUMIFS(Data_Actuals!$G$2:$G$5000,Data_Actuals!$A$2:$A$5000,$A21,Data_Actuals!$B$2:$B$5000,$B$2),"")</f>
        <v/>
      </c>
      <c r="W21" s="52">
        <f>SUMIFS(Plan_Inputs!$C$2:$C$5000,Plan_Inputs!$A$2:$A$5000,$A21,Plan_Inputs!$B$2:$B$5000,$B$2)</f>
        <v/>
      </c>
      <c r="X21" s="53">
        <f>IF($D21="Actual",IFERROR(S21/T21,""),"")</f>
        <v/>
      </c>
      <c r="Y21" s="52">
        <f>E21</f>
        <v/>
      </c>
      <c r="Z21" s="54">
        <f>INDEX(Calendar!$H$5:$L$52,MATCH($A21,Calendar!$A$5:$A$52,0),MATCH($D$2,Calendar!$H$4:$L$4,0))</f>
        <v/>
      </c>
      <c r="AA21" s="54">
        <f>INDEX(Calendar!$M$5:$M$52,MATCH($A21,Calendar!$A$5:$A$52,0))</f>
        <v/>
      </c>
      <c r="AB21" s="55">
        <f>IF($D21="Actual",IFERROR(S21/Y21,""),"")</f>
        <v/>
      </c>
      <c r="AC21" s="56">
        <f>IF($D21="Actual",IFERROR(U21/T21/Z21/AA21,""),"")</f>
        <v/>
      </c>
      <c r="AD21" s="57">
        <f>IF($D21="Actual",IFERROR(V21/(U21+V21),""),$K$2)</f>
        <v/>
      </c>
      <c r="AE21" s="56">
        <f>IFERROR(AC21*Z21*AA21,"")</f>
        <v/>
      </c>
      <c r="AF21" s="53" t="n"/>
      <c r="AG21" s="57">
        <f>IF($D21="Forecast",IFERROR(K21/AF21-1,""),"")</f>
        <v/>
      </c>
      <c r="AH21" s="53">
        <f>IF(CPLHSource="National breakdown",CPLH_Breakdown!AR26,SUMIFS(Plan_Inputs!$D$2:$D$5000,Plan_Inputs!$A$2:$A$5000,$A21,Plan_Inputs!$B$2:$B$5000,$B$2))</f>
        <v/>
      </c>
      <c r="AJ21" s="15">
        <f>F21*$AK$11</f>
        <v/>
      </c>
      <c r="AK21" s="9">
        <f>G21*$AK$11</f>
        <v/>
      </c>
      <c r="AL21" s="30">
        <f>H21*$AK$11</f>
        <v/>
      </c>
      <c r="AM21" s="30">
        <f>I21*$AK$11</f>
        <v/>
      </c>
      <c r="AN21" s="30">
        <f>J21*$AK$11</f>
        <v/>
      </c>
      <c r="AP21" s="15">
        <f>F21*$AQ$11</f>
        <v/>
      </c>
      <c r="AQ21" s="9">
        <f>G21*$AQ$11</f>
        <v/>
      </c>
      <c r="AR21" s="30">
        <f>H21*$AQ$11</f>
        <v/>
      </c>
      <c r="AS21" s="30">
        <f>I21*$AQ$11</f>
        <v/>
      </c>
      <c r="AT21" s="30">
        <f>J21*$AQ$11</f>
        <v/>
      </c>
      <c r="AV21" s="15">
        <f>F21*$AW$11</f>
        <v/>
      </c>
      <c r="AW21" s="9">
        <f>G21*$AW$11</f>
        <v/>
      </c>
      <c r="AX21" s="30">
        <f>H21*$AW$11</f>
        <v/>
      </c>
      <c r="AY21" s="30">
        <f>I21*$AW$11</f>
        <v/>
      </c>
      <c r="AZ21" s="30">
        <f>J21*$AW$11</f>
        <v/>
      </c>
    </row>
    <row r="22">
      <c r="A22" s="8" t="n">
        <v>45870</v>
      </c>
      <c r="B22" s="33">
        <f>YEAR(A22)</f>
        <v/>
      </c>
      <c r="C22" s="33">
        <f>MONTH(A22)</f>
        <v/>
      </c>
      <c r="D22">
        <f>IF(A22&lt;=LastActual,"Actual","Forecast")</f>
        <v/>
      </c>
      <c r="E22" s="30">
        <f>IF($D22="Actual",R22,W22)</f>
        <v/>
      </c>
      <c r="F22" s="15">
        <f>IF($D22="Actual",S22,Cases_Forecast!AQ15)</f>
        <v/>
      </c>
      <c r="G22" s="9">
        <f>IF($D22="Actual",T22,IFERROR(F22/K22,0))</f>
        <v/>
      </c>
      <c r="H22" s="30">
        <f>IF($D22="Actual",U22,G22*L22)</f>
        <v/>
      </c>
      <c r="I22" s="30">
        <f>IF($D22="Actual",V22,J22-H22)</f>
        <v/>
      </c>
      <c r="J22" s="30">
        <f>IF($D22="Actual",U22+V22,IFERROR(H22/(1-AD22),0))</f>
        <v/>
      </c>
      <c r="K22" s="10">
        <f>IF($D22="Actual",IFERROR(S22/T22,0),CPLH_Forecast!AQ15)</f>
        <v/>
      </c>
      <c r="L22" s="34">
        <f>IF($D22="Actual",IFERROR(U22/T22,0),N(AE22))</f>
        <v/>
      </c>
      <c r="M22" s="35">
        <f>IFERROR(J22/F22,0)</f>
        <v/>
      </c>
      <c r="N22" s="36">
        <f>IFERROR(J22/E22,0)</f>
        <v/>
      </c>
      <c r="O22" s="36">
        <f>IFERROR(I22/J22,0)</f>
        <v/>
      </c>
      <c r="R22" s="52">
        <f>IF($D22="Actual",SUMIFS(Data_Actuals!$C$2:$C$5000,Data_Actuals!$A$2:$A$5000,$A22,Data_Actuals!$B$2:$B$5000,$B$2),"")</f>
        <v/>
      </c>
      <c r="S22" s="52">
        <f>IF($D22="Actual",SUMIFS(Data_Actuals!$D$2:$D$5000,Data_Actuals!$A$2:$A$5000,$A22,Data_Actuals!$B$2:$B$5000,$B$2),"")</f>
        <v/>
      </c>
      <c r="T22" s="52">
        <f>IF($D22="Actual",SUMIFS(Data_Actuals!$E$2:$E$5000,Data_Actuals!$A$2:$A$5000,$A22,Data_Actuals!$B$2:$B$5000,$B$2),"")</f>
        <v/>
      </c>
      <c r="U22" s="52">
        <f>IF($D22="Actual",SUMIFS(Data_Actuals!$F$2:$F$5000,Data_Actuals!$A$2:$A$5000,$A22,Data_Actuals!$B$2:$B$5000,$B$2),"")</f>
        <v/>
      </c>
      <c r="V22" s="52">
        <f>IF($D22="Actual",SUMIFS(Data_Actuals!$G$2:$G$5000,Data_Actuals!$A$2:$A$5000,$A22,Data_Actuals!$B$2:$B$5000,$B$2),"")</f>
        <v/>
      </c>
      <c r="W22" s="52">
        <f>SUMIFS(Plan_Inputs!$C$2:$C$5000,Plan_Inputs!$A$2:$A$5000,$A22,Plan_Inputs!$B$2:$B$5000,$B$2)</f>
        <v/>
      </c>
      <c r="X22" s="53">
        <f>IF($D22="Actual",IFERROR(S22/T22,""),"")</f>
        <v/>
      </c>
      <c r="Y22" s="52">
        <f>E22</f>
        <v/>
      </c>
      <c r="Z22" s="54">
        <f>INDEX(Calendar!$H$5:$L$52,MATCH($A22,Calendar!$A$5:$A$52,0),MATCH($D$2,Calendar!$H$4:$L$4,0))</f>
        <v/>
      </c>
      <c r="AA22" s="54">
        <f>INDEX(Calendar!$M$5:$M$52,MATCH($A22,Calendar!$A$5:$A$52,0))</f>
        <v/>
      </c>
      <c r="AB22" s="55">
        <f>IF($D22="Actual",IFERROR(S22/Y22,""),"")</f>
        <v/>
      </c>
      <c r="AC22" s="56">
        <f>IF($D22="Actual",IFERROR(U22/T22/Z22/AA22,""),"")</f>
        <v/>
      </c>
      <c r="AD22" s="57">
        <f>IF($D22="Actual",IFERROR(V22/(U22+V22),""),$K$2)</f>
        <v/>
      </c>
      <c r="AE22" s="56">
        <f>IFERROR(AC22*Z22*AA22,"")</f>
        <v/>
      </c>
      <c r="AF22" s="53" t="n"/>
      <c r="AG22" s="57">
        <f>IF($D22="Forecast",IFERROR(K22/AF22-1,""),"")</f>
        <v/>
      </c>
      <c r="AH22" s="53">
        <f>IF(CPLHSource="National breakdown",CPLH_Breakdown!AR27,SUMIFS(Plan_Inputs!$D$2:$D$5000,Plan_Inputs!$A$2:$A$5000,$A22,Plan_Inputs!$B$2:$B$5000,$B$2))</f>
        <v/>
      </c>
      <c r="AJ22" s="15">
        <f>F22*$AK$11</f>
        <v/>
      </c>
      <c r="AK22" s="9">
        <f>G22*$AK$11</f>
        <v/>
      </c>
      <c r="AL22" s="30">
        <f>H22*$AK$11</f>
        <v/>
      </c>
      <c r="AM22" s="30">
        <f>I22*$AK$11</f>
        <v/>
      </c>
      <c r="AN22" s="30">
        <f>J22*$AK$11</f>
        <v/>
      </c>
      <c r="AP22" s="15">
        <f>F22*$AQ$11</f>
        <v/>
      </c>
      <c r="AQ22" s="9">
        <f>G22*$AQ$11</f>
        <v/>
      </c>
      <c r="AR22" s="30">
        <f>H22*$AQ$11</f>
        <v/>
      </c>
      <c r="AS22" s="30">
        <f>I22*$AQ$11</f>
        <v/>
      </c>
      <c r="AT22" s="30">
        <f>J22*$AQ$11</f>
        <v/>
      </c>
      <c r="AV22" s="15">
        <f>F22*$AW$11</f>
        <v/>
      </c>
      <c r="AW22" s="9">
        <f>G22*$AW$11</f>
        <v/>
      </c>
      <c r="AX22" s="30">
        <f>H22*$AW$11</f>
        <v/>
      </c>
      <c r="AY22" s="30">
        <f>I22*$AW$11</f>
        <v/>
      </c>
      <c r="AZ22" s="30">
        <f>J22*$AW$11</f>
        <v/>
      </c>
    </row>
    <row r="23">
      <c r="A23" s="8" t="n">
        <v>45901</v>
      </c>
      <c r="B23" s="33">
        <f>YEAR(A23)</f>
        <v/>
      </c>
      <c r="C23" s="33">
        <f>MONTH(A23)</f>
        <v/>
      </c>
      <c r="D23">
        <f>IF(A23&lt;=LastActual,"Actual","Forecast")</f>
        <v/>
      </c>
      <c r="E23" s="30">
        <f>IF($D23="Actual",R23,W23)</f>
        <v/>
      </c>
      <c r="F23" s="15">
        <f>IF($D23="Actual",S23,Cases_Forecast!AQ16)</f>
        <v/>
      </c>
      <c r="G23" s="9">
        <f>IF($D23="Actual",T23,IFERROR(F23/K23,0))</f>
        <v/>
      </c>
      <c r="H23" s="30">
        <f>IF($D23="Actual",U23,G23*L23)</f>
        <v/>
      </c>
      <c r="I23" s="30">
        <f>IF($D23="Actual",V23,J23-H23)</f>
        <v/>
      </c>
      <c r="J23" s="30">
        <f>IF($D23="Actual",U23+V23,IFERROR(H23/(1-AD23),0))</f>
        <v/>
      </c>
      <c r="K23" s="10">
        <f>IF($D23="Actual",IFERROR(S23/T23,0),CPLH_Forecast!AQ16)</f>
        <v/>
      </c>
      <c r="L23" s="34">
        <f>IF($D23="Actual",IFERROR(U23/T23,0),N(AE23))</f>
        <v/>
      </c>
      <c r="M23" s="35">
        <f>IFERROR(J23/F23,0)</f>
        <v/>
      </c>
      <c r="N23" s="36">
        <f>IFERROR(J23/E23,0)</f>
        <v/>
      </c>
      <c r="O23" s="36">
        <f>IFERROR(I23/J23,0)</f>
        <v/>
      </c>
      <c r="R23" s="52">
        <f>IF($D23="Actual",SUMIFS(Data_Actuals!$C$2:$C$5000,Data_Actuals!$A$2:$A$5000,$A23,Data_Actuals!$B$2:$B$5000,$B$2),"")</f>
        <v/>
      </c>
      <c r="S23" s="52">
        <f>IF($D23="Actual",SUMIFS(Data_Actuals!$D$2:$D$5000,Data_Actuals!$A$2:$A$5000,$A23,Data_Actuals!$B$2:$B$5000,$B$2),"")</f>
        <v/>
      </c>
      <c r="T23" s="52">
        <f>IF($D23="Actual",SUMIFS(Data_Actuals!$E$2:$E$5000,Data_Actuals!$A$2:$A$5000,$A23,Data_Actuals!$B$2:$B$5000,$B$2),"")</f>
        <v/>
      </c>
      <c r="U23" s="52">
        <f>IF($D23="Actual",SUMIFS(Data_Actuals!$F$2:$F$5000,Data_Actuals!$A$2:$A$5000,$A23,Data_Actuals!$B$2:$B$5000,$B$2),"")</f>
        <v/>
      </c>
      <c r="V23" s="52">
        <f>IF($D23="Actual",SUMIFS(Data_Actuals!$G$2:$G$5000,Data_Actuals!$A$2:$A$5000,$A23,Data_Actuals!$B$2:$B$5000,$B$2),"")</f>
        <v/>
      </c>
      <c r="W23" s="52">
        <f>SUMIFS(Plan_Inputs!$C$2:$C$5000,Plan_Inputs!$A$2:$A$5000,$A23,Plan_Inputs!$B$2:$B$5000,$B$2)</f>
        <v/>
      </c>
      <c r="X23" s="53">
        <f>IF($D23="Actual",IFERROR(S23/T23,""),"")</f>
        <v/>
      </c>
      <c r="Y23" s="52">
        <f>E23</f>
        <v/>
      </c>
      <c r="Z23" s="54">
        <f>INDEX(Calendar!$H$5:$L$52,MATCH($A23,Calendar!$A$5:$A$52,0),MATCH($D$2,Calendar!$H$4:$L$4,0))</f>
        <v/>
      </c>
      <c r="AA23" s="54">
        <f>INDEX(Calendar!$M$5:$M$52,MATCH($A23,Calendar!$A$5:$A$52,0))</f>
        <v/>
      </c>
      <c r="AB23" s="55">
        <f>IF($D23="Actual",IFERROR(S23/Y23,""),"")</f>
        <v/>
      </c>
      <c r="AC23" s="56">
        <f>IF($D23="Actual",IFERROR(U23/T23/Z23/AA23,""),"")</f>
        <v/>
      </c>
      <c r="AD23" s="57">
        <f>IF($D23="Actual",IFERROR(V23/(U23+V23),""),$K$2)</f>
        <v/>
      </c>
      <c r="AE23" s="56">
        <f>IFERROR(AC23*Z23*AA23,"")</f>
        <v/>
      </c>
      <c r="AF23" s="53" t="n"/>
      <c r="AG23" s="57">
        <f>IF($D23="Forecast",IFERROR(K23/AF23-1,""),"")</f>
        <v/>
      </c>
      <c r="AH23" s="53">
        <f>IF(CPLHSource="National breakdown",CPLH_Breakdown!AR28,SUMIFS(Plan_Inputs!$D$2:$D$5000,Plan_Inputs!$A$2:$A$5000,$A23,Plan_Inputs!$B$2:$B$5000,$B$2))</f>
        <v/>
      </c>
      <c r="AJ23" s="15">
        <f>F23*$AK$11</f>
        <v/>
      </c>
      <c r="AK23" s="9">
        <f>G23*$AK$11</f>
        <v/>
      </c>
      <c r="AL23" s="30">
        <f>H23*$AK$11</f>
        <v/>
      </c>
      <c r="AM23" s="30">
        <f>I23*$AK$11</f>
        <v/>
      </c>
      <c r="AN23" s="30">
        <f>J23*$AK$11</f>
        <v/>
      </c>
      <c r="AP23" s="15">
        <f>F23*$AQ$11</f>
        <v/>
      </c>
      <c r="AQ23" s="9">
        <f>G23*$AQ$11</f>
        <v/>
      </c>
      <c r="AR23" s="30">
        <f>H23*$AQ$11</f>
        <v/>
      </c>
      <c r="AS23" s="30">
        <f>I23*$AQ$11</f>
        <v/>
      </c>
      <c r="AT23" s="30">
        <f>J23*$AQ$11</f>
        <v/>
      </c>
      <c r="AV23" s="15">
        <f>F23*$AW$11</f>
        <v/>
      </c>
      <c r="AW23" s="9">
        <f>G23*$AW$11</f>
        <v/>
      </c>
      <c r="AX23" s="30">
        <f>H23*$AW$11</f>
        <v/>
      </c>
      <c r="AY23" s="30">
        <f>I23*$AW$11</f>
        <v/>
      </c>
      <c r="AZ23" s="30">
        <f>J23*$AW$11</f>
        <v/>
      </c>
    </row>
    <row r="24">
      <c r="A24" s="8" t="n">
        <v>45931</v>
      </c>
      <c r="B24" s="33">
        <f>YEAR(A24)</f>
        <v/>
      </c>
      <c r="C24" s="33">
        <f>MONTH(A24)</f>
        <v/>
      </c>
      <c r="D24">
        <f>IF(A24&lt;=LastActual,"Actual","Forecast")</f>
        <v/>
      </c>
      <c r="E24" s="30">
        <f>IF($D24="Actual",R24,W24)</f>
        <v/>
      </c>
      <c r="F24" s="15">
        <f>IF($D24="Actual",S24,Cases_Forecast!AQ17)</f>
        <v/>
      </c>
      <c r="G24" s="9">
        <f>IF($D24="Actual",T24,IFERROR(F24/K24,0))</f>
        <v/>
      </c>
      <c r="H24" s="30">
        <f>IF($D24="Actual",U24,G24*L24)</f>
        <v/>
      </c>
      <c r="I24" s="30">
        <f>IF($D24="Actual",V24,J24-H24)</f>
        <v/>
      </c>
      <c r="J24" s="30">
        <f>IF($D24="Actual",U24+V24,IFERROR(H24/(1-AD24),0))</f>
        <v/>
      </c>
      <c r="K24" s="10">
        <f>IF($D24="Actual",IFERROR(S24/T24,0),CPLH_Forecast!AQ17)</f>
        <v/>
      </c>
      <c r="L24" s="34">
        <f>IF($D24="Actual",IFERROR(U24/T24,0),N(AE24))</f>
        <v/>
      </c>
      <c r="M24" s="35">
        <f>IFERROR(J24/F24,0)</f>
        <v/>
      </c>
      <c r="N24" s="36">
        <f>IFERROR(J24/E24,0)</f>
        <v/>
      </c>
      <c r="O24" s="36">
        <f>IFERROR(I24/J24,0)</f>
        <v/>
      </c>
      <c r="R24" s="52">
        <f>IF($D24="Actual",SUMIFS(Data_Actuals!$C$2:$C$5000,Data_Actuals!$A$2:$A$5000,$A24,Data_Actuals!$B$2:$B$5000,$B$2),"")</f>
        <v/>
      </c>
      <c r="S24" s="52">
        <f>IF($D24="Actual",SUMIFS(Data_Actuals!$D$2:$D$5000,Data_Actuals!$A$2:$A$5000,$A24,Data_Actuals!$B$2:$B$5000,$B$2),"")</f>
        <v/>
      </c>
      <c r="T24" s="52">
        <f>IF($D24="Actual",SUMIFS(Data_Actuals!$E$2:$E$5000,Data_Actuals!$A$2:$A$5000,$A24,Data_Actuals!$B$2:$B$5000,$B$2),"")</f>
        <v/>
      </c>
      <c r="U24" s="52">
        <f>IF($D24="Actual",SUMIFS(Data_Actuals!$F$2:$F$5000,Data_Actuals!$A$2:$A$5000,$A24,Data_Actuals!$B$2:$B$5000,$B$2),"")</f>
        <v/>
      </c>
      <c r="V24" s="52">
        <f>IF($D24="Actual",SUMIFS(Data_Actuals!$G$2:$G$5000,Data_Actuals!$A$2:$A$5000,$A24,Data_Actuals!$B$2:$B$5000,$B$2),"")</f>
        <v/>
      </c>
      <c r="W24" s="52">
        <f>SUMIFS(Plan_Inputs!$C$2:$C$5000,Plan_Inputs!$A$2:$A$5000,$A24,Plan_Inputs!$B$2:$B$5000,$B$2)</f>
        <v/>
      </c>
      <c r="X24" s="53">
        <f>IF($D24="Actual",IFERROR(S24/T24,""),"")</f>
        <v/>
      </c>
      <c r="Y24" s="52">
        <f>E24</f>
        <v/>
      </c>
      <c r="Z24" s="54">
        <f>INDEX(Calendar!$H$5:$L$52,MATCH($A24,Calendar!$A$5:$A$52,0),MATCH($D$2,Calendar!$H$4:$L$4,0))</f>
        <v/>
      </c>
      <c r="AA24" s="54">
        <f>INDEX(Calendar!$M$5:$M$52,MATCH($A24,Calendar!$A$5:$A$52,0))</f>
        <v/>
      </c>
      <c r="AB24" s="55">
        <f>IF($D24="Actual",IFERROR(S24/Y24,""),"")</f>
        <v/>
      </c>
      <c r="AC24" s="56">
        <f>IF($D24="Actual",IFERROR(U24/T24/Z24/AA24,""),"")</f>
        <v/>
      </c>
      <c r="AD24" s="57">
        <f>IF($D24="Actual",IFERROR(V24/(U24+V24),""),$K$2)</f>
        <v/>
      </c>
      <c r="AE24" s="56">
        <f>IFERROR(AC24*Z24*AA24,"")</f>
        <v/>
      </c>
      <c r="AF24" s="53" t="n"/>
      <c r="AG24" s="57">
        <f>IF($D24="Forecast",IFERROR(K24/AF24-1,""),"")</f>
        <v/>
      </c>
      <c r="AH24" s="53">
        <f>IF(CPLHSource="National breakdown",CPLH_Breakdown!AR29,SUMIFS(Plan_Inputs!$D$2:$D$5000,Plan_Inputs!$A$2:$A$5000,$A24,Plan_Inputs!$B$2:$B$5000,$B$2))</f>
        <v/>
      </c>
      <c r="AJ24" s="15">
        <f>F24*$AK$11</f>
        <v/>
      </c>
      <c r="AK24" s="9">
        <f>G24*$AK$11</f>
        <v/>
      </c>
      <c r="AL24" s="30">
        <f>H24*$AK$11</f>
        <v/>
      </c>
      <c r="AM24" s="30">
        <f>I24*$AK$11</f>
        <v/>
      </c>
      <c r="AN24" s="30">
        <f>J24*$AK$11</f>
        <v/>
      </c>
      <c r="AP24" s="15">
        <f>F24*$AQ$11</f>
        <v/>
      </c>
      <c r="AQ24" s="9">
        <f>G24*$AQ$11</f>
        <v/>
      </c>
      <c r="AR24" s="30">
        <f>H24*$AQ$11</f>
        <v/>
      </c>
      <c r="AS24" s="30">
        <f>I24*$AQ$11</f>
        <v/>
      </c>
      <c r="AT24" s="30">
        <f>J24*$AQ$11</f>
        <v/>
      </c>
      <c r="AV24" s="15">
        <f>F24*$AW$11</f>
        <v/>
      </c>
      <c r="AW24" s="9">
        <f>G24*$AW$11</f>
        <v/>
      </c>
      <c r="AX24" s="30">
        <f>H24*$AW$11</f>
        <v/>
      </c>
      <c r="AY24" s="30">
        <f>I24*$AW$11</f>
        <v/>
      </c>
      <c r="AZ24" s="30">
        <f>J24*$AW$11</f>
        <v/>
      </c>
    </row>
    <row r="25">
      <c r="A25" s="8" t="n">
        <v>45962</v>
      </c>
      <c r="B25" s="33">
        <f>YEAR(A25)</f>
        <v/>
      </c>
      <c r="C25" s="33">
        <f>MONTH(A25)</f>
        <v/>
      </c>
      <c r="D25">
        <f>IF(A25&lt;=LastActual,"Actual","Forecast")</f>
        <v/>
      </c>
      <c r="E25" s="30">
        <f>IF($D25="Actual",R25,W25)</f>
        <v/>
      </c>
      <c r="F25" s="15">
        <f>IF($D25="Actual",S25,Cases_Forecast!AQ18)</f>
        <v/>
      </c>
      <c r="G25" s="9">
        <f>IF($D25="Actual",T25,IFERROR(F25/K25,0))</f>
        <v/>
      </c>
      <c r="H25" s="30">
        <f>IF($D25="Actual",U25,G25*L25)</f>
        <v/>
      </c>
      <c r="I25" s="30">
        <f>IF($D25="Actual",V25,J25-H25)</f>
        <v/>
      </c>
      <c r="J25" s="30">
        <f>IF($D25="Actual",U25+V25,IFERROR(H25/(1-AD25),0))</f>
        <v/>
      </c>
      <c r="K25" s="10">
        <f>IF($D25="Actual",IFERROR(S25/T25,0),CPLH_Forecast!AQ18)</f>
        <v/>
      </c>
      <c r="L25" s="34">
        <f>IF($D25="Actual",IFERROR(U25/T25,0),N(AE25))</f>
        <v/>
      </c>
      <c r="M25" s="35">
        <f>IFERROR(J25/F25,0)</f>
        <v/>
      </c>
      <c r="N25" s="36">
        <f>IFERROR(J25/E25,0)</f>
        <v/>
      </c>
      <c r="O25" s="36">
        <f>IFERROR(I25/J25,0)</f>
        <v/>
      </c>
      <c r="R25" s="52">
        <f>IF($D25="Actual",SUMIFS(Data_Actuals!$C$2:$C$5000,Data_Actuals!$A$2:$A$5000,$A25,Data_Actuals!$B$2:$B$5000,$B$2),"")</f>
        <v/>
      </c>
      <c r="S25" s="52">
        <f>IF($D25="Actual",SUMIFS(Data_Actuals!$D$2:$D$5000,Data_Actuals!$A$2:$A$5000,$A25,Data_Actuals!$B$2:$B$5000,$B$2),"")</f>
        <v/>
      </c>
      <c r="T25" s="52">
        <f>IF($D25="Actual",SUMIFS(Data_Actuals!$E$2:$E$5000,Data_Actuals!$A$2:$A$5000,$A25,Data_Actuals!$B$2:$B$5000,$B$2),"")</f>
        <v/>
      </c>
      <c r="U25" s="52">
        <f>IF($D25="Actual",SUMIFS(Data_Actuals!$F$2:$F$5000,Data_Actuals!$A$2:$A$5000,$A25,Data_Actuals!$B$2:$B$5000,$B$2),"")</f>
        <v/>
      </c>
      <c r="V25" s="52">
        <f>IF($D25="Actual",SUMIFS(Data_Actuals!$G$2:$G$5000,Data_Actuals!$A$2:$A$5000,$A25,Data_Actuals!$B$2:$B$5000,$B$2),"")</f>
        <v/>
      </c>
      <c r="W25" s="52">
        <f>SUMIFS(Plan_Inputs!$C$2:$C$5000,Plan_Inputs!$A$2:$A$5000,$A25,Plan_Inputs!$B$2:$B$5000,$B$2)</f>
        <v/>
      </c>
      <c r="X25" s="53">
        <f>IF($D25="Actual",IFERROR(S25/T25,""),"")</f>
        <v/>
      </c>
      <c r="Y25" s="52">
        <f>E25</f>
        <v/>
      </c>
      <c r="Z25" s="54">
        <f>INDEX(Calendar!$H$5:$L$52,MATCH($A25,Calendar!$A$5:$A$52,0),MATCH($D$2,Calendar!$H$4:$L$4,0))</f>
        <v/>
      </c>
      <c r="AA25" s="54">
        <f>INDEX(Calendar!$M$5:$M$52,MATCH($A25,Calendar!$A$5:$A$52,0))</f>
        <v/>
      </c>
      <c r="AB25" s="55">
        <f>IF($D25="Actual",IFERROR(S25/Y25,""),"")</f>
        <v/>
      </c>
      <c r="AC25" s="56">
        <f>IF($D25="Actual",IFERROR(U25/T25/Z25/AA25,""),"")</f>
        <v/>
      </c>
      <c r="AD25" s="57">
        <f>IF($D25="Actual",IFERROR(V25/(U25+V25),""),$K$2)</f>
        <v/>
      </c>
      <c r="AE25" s="56">
        <f>IFERROR(AC25*Z25*AA25,"")</f>
        <v/>
      </c>
      <c r="AF25" s="53" t="n"/>
      <c r="AG25" s="57">
        <f>IF($D25="Forecast",IFERROR(K25/AF25-1,""),"")</f>
        <v/>
      </c>
      <c r="AH25" s="53">
        <f>IF(CPLHSource="National breakdown",CPLH_Breakdown!AR30,SUMIFS(Plan_Inputs!$D$2:$D$5000,Plan_Inputs!$A$2:$A$5000,$A25,Plan_Inputs!$B$2:$B$5000,$B$2))</f>
        <v/>
      </c>
      <c r="AJ25" s="15">
        <f>F25*$AK$11</f>
        <v/>
      </c>
      <c r="AK25" s="9">
        <f>G25*$AK$11</f>
        <v/>
      </c>
      <c r="AL25" s="30">
        <f>H25*$AK$11</f>
        <v/>
      </c>
      <c r="AM25" s="30">
        <f>I25*$AK$11</f>
        <v/>
      </c>
      <c r="AN25" s="30">
        <f>J25*$AK$11</f>
        <v/>
      </c>
      <c r="AP25" s="15">
        <f>F25*$AQ$11</f>
        <v/>
      </c>
      <c r="AQ25" s="9">
        <f>G25*$AQ$11</f>
        <v/>
      </c>
      <c r="AR25" s="30">
        <f>H25*$AQ$11</f>
        <v/>
      </c>
      <c r="AS25" s="30">
        <f>I25*$AQ$11</f>
        <v/>
      </c>
      <c r="AT25" s="30">
        <f>J25*$AQ$11</f>
        <v/>
      </c>
      <c r="AV25" s="15">
        <f>F25*$AW$11</f>
        <v/>
      </c>
      <c r="AW25" s="9">
        <f>G25*$AW$11</f>
        <v/>
      </c>
      <c r="AX25" s="30">
        <f>H25*$AW$11</f>
        <v/>
      </c>
      <c r="AY25" s="30">
        <f>I25*$AW$11</f>
        <v/>
      </c>
      <c r="AZ25" s="30">
        <f>J25*$AW$11</f>
        <v/>
      </c>
    </row>
    <row r="26">
      <c r="A26" s="37" t="n">
        <v>45992</v>
      </c>
      <c r="B26" s="38">
        <f>YEAR(A26)</f>
        <v/>
      </c>
      <c r="C26" s="38">
        <f>MONTH(A26)</f>
        <v/>
      </c>
      <c r="D26" s="39">
        <f>IF(A26&lt;=LastActual,"Actual","Forecast")</f>
        <v/>
      </c>
      <c r="E26" s="40">
        <f>IF($D26="Actual",R26,W26)</f>
        <v/>
      </c>
      <c r="F26" s="41">
        <f>IF($D26="Actual",S26,Cases_Forecast!AQ19)</f>
        <v/>
      </c>
      <c r="G26" s="42">
        <f>IF($D26="Actual",T26,IFERROR(F26/K26,0))</f>
        <v/>
      </c>
      <c r="H26" s="40">
        <f>IF($D26="Actual",U26,G26*L26)</f>
        <v/>
      </c>
      <c r="I26" s="40">
        <f>IF($D26="Actual",V26,J26-H26)</f>
        <v/>
      </c>
      <c r="J26" s="40">
        <f>IF($D26="Actual",U26+V26,IFERROR(H26/(1-AD26),0))</f>
        <v/>
      </c>
      <c r="K26" s="43">
        <f>IF($D26="Actual",IFERROR(S26/T26,0),CPLH_Forecast!AQ19)</f>
        <v/>
      </c>
      <c r="L26" s="44">
        <f>IF($D26="Actual",IFERROR(U26/T26,0),N(AE26))</f>
        <v/>
      </c>
      <c r="M26" s="45">
        <f>IFERROR(J26/F26,0)</f>
        <v/>
      </c>
      <c r="N26" s="46">
        <f>IFERROR(J26/E26,0)</f>
        <v/>
      </c>
      <c r="O26" s="46">
        <f>IFERROR(I26/J26,0)</f>
        <v/>
      </c>
      <c r="R26" s="52">
        <f>IF($D26="Actual",SUMIFS(Data_Actuals!$C$2:$C$5000,Data_Actuals!$A$2:$A$5000,$A26,Data_Actuals!$B$2:$B$5000,$B$2),"")</f>
        <v/>
      </c>
      <c r="S26" s="52">
        <f>IF($D26="Actual",SUMIFS(Data_Actuals!$D$2:$D$5000,Data_Actuals!$A$2:$A$5000,$A26,Data_Actuals!$B$2:$B$5000,$B$2),"")</f>
        <v/>
      </c>
      <c r="T26" s="52">
        <f>IF($D26="Actual",SUMIFS(Data_Actuals!$E$2:$E$5000,Data_Actuals!$A$2:$A$5000,$A26,Data_Actuals!$B$2:$B$5000,$B$2),"")</f>
        <v/>
      </c>
      <c r="U26" s="52">
        <f>IF($D26="Actual",SUMIFS(Data_Actuals!$F$2:$F$5000,Data_Actuals!$A$2:$A$5000,$A26,Data_Actuals!$B$2:$B$5000,$B$2),"")</f>
        <v/>
      </c>
      <c r="V26" s="52">
        <f>IF($D26="Actual",SUMIFS(Data_Actuals!$G$2:$G$5000,Data_Actuals!$A$2:$A$5000,$A26,Data_Actuals!$B$2:$B$5000,$B$2),"")</f>
        <v/>
      </c>
      <c r="W26" s="52">
        <f>SUMIFS(Plan_Inputs!$C$2:$C$5000,Plan_Inputs!$A$2:$A$5000,$A26,Plan_Inputs!$B$2:$B$5000,$B$2)</f>
        <v/>
      </c>
      <c r="X26" s="53">
        <f>IF($D26="Actual",IFERROR(S26/T26,""),"")</f>
        <v/>
      </c>
      <c r="Y26" s="52">
        <f>E26</f>
        <v/>
      </c>
      <c r="Z26" s="54">
        <f>INDEX(Calendar!$H$5:$L$52,MATCH($A26,Calendar!$A$5:$A$52,0),MATCH($D$2,Calendar!$H$4:$L$4,0))</f>
        <v/>
      </c>
      <c r="AA26" s="54">
        <f>INDEX(Calendar!$M$5:$M$52,MATCH($A26,Calendar!$A$5:$A$52,0))</f>
        <v/>
      </c>
      <c r="AB26" s="55">
        <f>IF($D26="Actual",IFERROR(S26/Y26,""),"")</f>
        <v/>
      </c>
      <c r="AC26" s="56">
        <f>IF($D26="Actual",IFERROR(U26/T26/Z26/AA26,""),"")</f>
        <v/>
      </c>
      <c r="AD26" s="57">
        <f>IF($D26="Actual",IFERROR(V26/(U26+V26),""),$K$2)</f>
        <v/>
      </c>
      <c r="AE26" s="56">
        <f>IFERROR(AC26*Z26*AA26,"")</f>
        <v/>
      </c>
      <c r="AF26" s="53" t="n"/>
      <c r="AG26" s="57">
        <f>IF($D26="Forecast",IFERROR(K26/AF26-1,""),"")</f>
        <v/>
      </c>
      <c r="AH26" s="53">
        <f>IF(CPLHSource="National breakdown",CPLH_Breakdown!AR31,SUMIFS(Plan_Inputs!$D$2:$D$5000,Plan_Inputs!$A$2:$A$5000,$A26,Plan_Inputs!$B$2:$B$5000,$B$2))</f>
        <v/>
      </c>
      <c r="AJ26" s="41">
        <f>F26*$AK$11</f>
        <v/>
      </c>
      <c r="AK26" s="42">
        <f>G26*$AK$11</f>
        <v/>
      </c>
      <c r="AL26" s="40">
        <f>H26*$AK$11</f>
        <v/>
      </c>
      <c r="AM26" s="40">
        <f>I26*$AK$11</f>
        <v/>
      </c>
      <c r="AN26" s="40">
        <f>J26*$AK$11</f>
        <v/>
      </c>
      <c r="AP26" s="41">
        <f>F26*$AQ$11</f>
        <v/>
      </c>
      <c r="AQ26" s="42">
        <f>G26*$AQ$11</f>
        <v/>
      </c>
      <c r="AR26" s="40">
        <f>H26*$AQ$11</f>
        <v/>
      </c>
      <c r="AS26" s="40">
        <f>I26*$AQ$11</f>
        <v/>
      </c>
      <c r="AT26" s="40">
        <f>J26*$AQ$11</f>
        <v/>
      </c>
      <c r="AV26" s="41">
        <f>F26*$AW$11</f>
        <v/>
      </c>
      <c r="AW26" s="42">
        <f>G26*$AW$11</f>
        <v/>
      </c>
      <c r="AX26" s="40">
        <f>H26*$AW$11</f>
        <v/>
      </c>
      <c r="AY26" s="40">
        <f>I26*$AW$11</f>
        <v/>
      </c>
      <c r="AZ26" s="40">
        <f>J26*$AW$11</f>
        <v/>
      </c>
    </row>
    <row r="27">
      <c r="A27" s="8" t="n">
        <v>46023</v>
      </c>
      <c r="B27" s="33">
        <f>YEAR(A27)</f>
        <v/>
      </c>
      <c r="C27" s="33">
        <f>MONTH(A27)</f>
        <v/>
      </c>
      <c r="D27">
        <f>IF(A27&lt;=LastActual,"Actual","Forecast")</f>
        <v/>
      </c>
      <c r="E27" s="30">
        <f>IF($D27="Actual",R27,W27)</f>
        <v/>
      </c>
      <c r="F27" s="15">
        <f>IF($D27="Actual",S27,Cases_Forecast!AQ20)</f>
        <v/>
      </c>
      <c r="G27" s="9">
        <f>IF($D27="Actual",T27,IFERROR(F27/K27,0))</f>
        <v/>
      </c>
      <c r="H27" s="30">
        <f>IF($D27="Actual",U27,G27*L27)</f>
        <v/>
      </c>
      <c r="I27" s="30">
        <f>IF($D27="Actual",V27,J27-H27)</f>
        <v/>
      </c>
      <c r="J27" s="30">
        <f>IF($D27="Actual",U27+V27,IFERROR(H27/(1-AD27),0))</f>
        <v/>
      </c>
      <c r="K27" s="10">
        <f>IF($D27="Actual",IFERROR(S27/T27,0),CPLH_Forecast!AQ20)</f>
        <v/>
      </c>
      <c r="L27" s="34">
        <f>IF($D27="Actual",IFERROR(U27/T27,0),N(AE27))</f>
        <v/>
      </c>
      <c r="M27" s="35">
        <f>IFERROR(J27/F27,0)</f>
        <v/>
      </c>
      <c r="N27" s="36">
        <f>IFERROR(J27/E27,0)</f>
        <v/>
      </c>
      <c r="O27" s="36">
        <f>IFERROR(I27/J27,0)</f>
        <v/>
      </c>
      <c r="R27" s="52">
        <f>IF($D27="Actual",SUMIFS(Data_Actuals!$C$2:$C$5000,Data_Actuals!$A$2:$A$5000,$A27,Data_Actuals!$B$2:$B$5000,$B$2),"")</f>
        <v/>
      </c>
      <c r="S27" s="52">
        <f>IF($D27="Actual",SUMIFS(Data_Actuals!$D$2:$D$5000,Data_Actuals!$A$2:$A$5000,$A27,Data_Actuals!$B$2:$B$5000,$B$2),"")</f>
        <v/>
      </c>
      <c r="T27" s="52">
        <f>IF($D27="Actual",SUMIFS(Data_Actuals!$E$2:$E$5000,Data_Actuals!$A$2:$A$5000,$A27,Data_Actuals!$B$2:$B$5000,$B$2),"")</f>
        <v/>
      </c>
      <c r="U27" s="52">
        <f>IF($D27="Actual",SUMIFS(Data_Actuals!$F$2:$F$5000,Data_Actuals!$A$2:$A$5000,$A27,Data_Actuals!$B$2:$B$5000,$B$2),"")</f>
        <v/>
      </c>
      <c r="V27" s="52">
        <f>IF($D27="Actual",SUMIFS(Data_Actuals!$G$2:$G$5000,Data_Actuals!$A$2:$A$5000,$A27,Data_Actuals!$B$2:$B$5000,$B$2),"")</f>
        <v/>
      </c>
      <c r="W27" s="52">
        <f>SUMIFS(Plan_Inputs!$C$2:$C$5000,Plan_Inputs!$A$2:$A$5000,$A27,Plan_Inputs!$B$2:$B$5000,$B$2)</f>
        <v/>
      </c>
      <c r="X27" s="53">
        <f>IF($D27="Actual",IFERROR(S27/T27,""),X15)</f>
        <v/>
      </c>
      <c r="Y27" s="52">
        <f>E27</f>
        <v/>
      </c>
      <c r="Z27" s="54">
        <f>INDEX(Calendar!$H$5:$L$52,MATCH($A27,Calendar!$A$5:$A$52,0),MATCH($D$2,Calendar!$H$4:$L$4,0))</f>
        <v/>
      </c>
      <c r="AA27" s="54">
        <f>INDEX(Calendar!$M$5:$M$52,MATCH($A27,Calendar!$A$5:$A$52,0))</f>
        <v/>
      </c>
      <c r="AB27" s="55">
        <f>IF($D27="Actual",IFERROR(S27/Y27,""),AB15)</f>
        <v/>
      </c>
      <c r="AC27" s="56">
        <f>IF($D27="Actual",IFERROR(U27/T27/Z27/AA27,""),AC15)</f>
        <v/>
      </c>
      <c r="AD27" s="57">
        <f>IF($D27="Actual",IFERROR(V27/(U27+V27),""),$K$2)</f>
        <v/>
      </c>
      <c r="AE27" s="56">
        <f>IFERROR(AC27*Z27*AA27,"")</f>
        <v/>
      </c>
      <c r="AF27" s="53">
        <f>K15</f>
        <v/>
      </c>
      <c r="AG27" s="57">
        <f>IF($D27="Forecast",IFERROR(K27/AF27-1,""),"")</f>
        <v/>
      </c>
      <c r="AH27" s="53">
        <f>IF(CPLHSource="National breakdown",CPLH_Breakdown!AR32,SUMIFS(Plan_Inputs!$D$2:$D$5000,Plan_Inputs!$A$2:$A$5000,$A27,Plan_Inputs!$B$2:$B$5000,$B$2))</f>
        <v/>
      </c>
      <c r="AJ27" s="15">
        <f>F27*$AK$11</f>
        <v/>
      </c>
      <c r="AK27" s="9">
        <f>G27*$AK$11</f>
        <v/>
      </c>
      <c r="AL27" s="30">
        <f>H27*$AK$11</f>
        <v/>
      </c>
      <c r="AM27" s="30">
        <f>I27*$AK$11</f>
        <v/>
      </c>
      <c r="AN27" s="30">
        <f>J27*$AK$11</f>
        <v/>
      </c>
      <c r="AP27" s="15">
        <f>F27*$AQ$11</f>
        <v/>
      </c>
      <c r="AQ27" s="9">
        <f>G27*$AQ$11</f>
        <v/>
      </c>
      <c r="AR27" s="30">
        <f>H27*$AQ$11</f>
        <v/>
      </c>
      <c r="AS27" s="30">
        <f>I27*$AQ$11</f>
        <v/>
      </c>
      <c r="AT27" s="30">
        <f>J27*$AQ$11</f>
        <v/>
      </c>
      <c r="AV27" s="15">
        <f>F27*$AW$11</f>
        <v/>
      </c>
      <c r="AW27" s="9">
        <f>G27*$AW$11</f>
        <v/>
      </c>
      <c r="AX27" s="30">
        <f>H27*$AW$11</f>
        <v/>
      </c>
      <c r="AY27" s="30">
        <f>I27*$AW$11</f>
        <v/>
      </c>
      <c r="AZ27" s="30">
        <f>J27*$AW$11</f>
        <v/>
      </c>
    </row>
    <row r="28">
      <c r="A28" s="8" t="n">
        <v>46054</v>
      </c>
      <c r="B28" s="33">
        <f>YEAR(A28)</f>
        <v/>
      </c>
      <c r="C28" s="33">
        <f>MONTH(A28)</f>
        <v/>
      </c>
      <c r="D28">
        <f>IF(A28&lt;=LastActual,"Actual","Forecast")</f>
        <v/>
      </c>
      <c r="E28" s="30">
        <f>IF($D28="Actual",R28,W28)</f>
        <v/>
      </c>
      <c r="F28" s="15">
        <f>IF($D28="Actual",S28,Cases_Forecast!AQ21)</f>
        <v/>
      </c>
      <c r="G28" s="9">
        <f>IF($D28="Actual",T28,IFERROR(F28/K28,0))</f>
        <v/>
      </c>
      <c r="H28" s="30">
        <f>IF($D28="Actual",U28,G28*L28)</f>
        <v/>
      </c>
      <c r="I28" s="30">
        <f>IF($D28="Actual",V28,J28-H28)</f>
        <v/>
      </c>
      <c r="J28" s="30">
        <f>IF($D28="Actual",U28+V28,IFERROR(H28/(1-AD28),0))</f>
        <v/>
      </c>
      <c r="K28" s="10">
        <f>IF($D28="Actual",IFERROR(S28/T28,0),CPLH_Forecast!AQ21)</f>
        <v/>
      </c>
      <c r="L28" s="34">
        <f>IF($D28="Actual",IFERROR(U28/T28,0),N(AE28))</f>
        <v/>
      </c>
      <c r="M28" s="35">
        <f>IFERROR(J28/F28,0)</f>
        <v/>
      </c>
      <c r="N28" s="36">
        <f>IFERROR(J28/E28,0)</f>
        <v/>
      </c>
      <c r="O28" s="36">
        <f>IFERROR(I28/J28,0)</f>
        <v/>
      </c>
      <c r="R28" s="52">
        <f>IF($D28="Actual",SUMIFS(Data_Actuals!$C$2:$C$5000,Data_Actuals!$A$2:$A$5000,$A28,Data_Actuals!$B$2:$B$5000,$B$2),"")</f>
        <v/>
      </c>
      <c r="S28" s="52">
        <f>IF($D28="Actual",SUMIFS(Data_Actuals!$D$2:$D$5000,Data_Actuals!$A$2:$A$5000,$A28,Data_Actuals!$B$2:$B$5000,$B$2),"")</f>
        <v/>
      </c>
      <c r="T28" s="52">
        <f>IF($D28="Actual",SUMIFS(Data_Actuals!$E$2:$E$5000,Data_Actuals!$A$2:$A$5000,$A28,Data_Actuals!$B$2:$B$5000,$B$2),"")</f>
        <v/>
      </c>
      <c r="U28" s="52">
        <f>IF($D28="Actual",SUMIFS(Data_Actuals!$F$2:$F$5000,Data_Actuals!$A$2:$A$5000,$A28,Data_Actuals!$B$2:$B$5000,$B$2),"")</f>
        <v/>
      </c>
      <c r="V28" s="52">
        <f>IF($D28="Actual",SUMIFS(Data_Actuals!$G$2:$G$5000,Data_Actuals!$A$2:$A$5000,$A28,Data_Actuals!$B$2:$B$5000,$B$2),"")</f>
        <v/>
      </c>
      <c r="W28" s="52">
        <f>SUMIFS(Plan_Inputs!$C$2:$C$5000,Plan_Inputs!$A$2:$A$5000,$A28,Plan_Inputs!$B$2:$B$5000,$B$2)</f>
        <v/>
      </c>
      <c r="X28" s="53">
        <f>IF($D28="Actual",IFERROR(S28/T28,""),X16)</f>
        <v/>
      </c>
      <c r="Y28" s="52">
        <f>E28</f>
        <v/>
      </c>
      <c r="Z28" s="54">
        <f>INDEX(Calendar!$H$5:$L$52,MATCH($A28,Calendar!$A$5:$A$52,0),MATCH($D$2,Calendar!$H$4:$L$4,0))</f>
        <v/>
      </c>
      <c r="AA28" s="54">
        <f>INDEX(Calendar!$M$5:$M$52,MATCH($A28,Calendar!$A$5:$A$52,0))</f>
        <v/>
      </c>
      <c r="AB28" s="55">
        <f>IF($D28="Actual",IFERROR(S28/Y28,""),AB16)</f>
        <v/>
      </c>
      <c r="AC28" s="56">
        <f>IF($D28="Actual",IFERROR(U28/T28/Z28/AA28,""),AC16)</f>
        <v/>
      </c>
      <c r="AD28" s="57">
        <f>IF($D28="Actual",IFERROR(V28/(U28+V28),""),$K$2)</f>
        <v/>
      </c>
      <c r="AE28" s="56">
        <f>IFERROR(AC28*Z28*AA28,"")</f>
        <v/>
      </c>
      <c r="AF28" s="53">
        <f>K16</f>
        <v/>
      </c>
      <c r="AG28" s="57">
        <f>IF($D28="Forecast",IFERROR(K28/AF28-1,""),"")</f>
        <v/>
      </c>
      <c r="AH28" s="53">
        <f>IF(CPLHSource="National breakdown",CPLH_Breakdown!AR33,SUMIFS(Plan_Inputs!$D$2:$D$5000,Plan_Inputs!$A$2:$A$5000,$A28,Plan_Inputs!$B$2:$B$5000,$B$2))</f>
        <v/>
      </c>
      <c r="AJ28" s="15">
        <f>F28*$AK$11</f>
        <v/>
      </c>
      <c r="AK28" s="9">
        <f>G28*$AK$11</f>
        <v/>
      </c>
      <c r="AL28" s="30">
        <f>H28*$AK$11</f>
        <v/>
      </c>
      <c r="AM28" s="30">
        <f>I28*$AK$11</f>
        <v/>
      </c>
      <c r="AN28" s="30">
        <f>J28*$AK$11</f>
        <v/>
      </c>
      <c r="AP28" s="15">
        <f>F28*$AQ$11</f>
        <v/>
      </c>
      <c r="AQ28" s="9">
        <f>G28*$AQ$11</f>
        <v/>
      </c>
      <c r="AR28" s="30">
        <f>H28*$AQ$11</f>
        <v/>
      </c>
      <c r="AS28" s="30">
        <f>I28*$AQ$11</f>
        <v/>
      </c>
      <c r="AT28" s="30">
        <f>J28*$AQ$11</f>
        <v/>
      </c>
      <c r="AV28" s="15">
        <f>F28*$AW$11</f>
        <v/>
      </c>
      <c r="AW28" s="9">
        <f>G28*$AW$11</f>
        <v/>
      </c>
      <c r="AX28" s="30">
        <f>H28*$AW$11</f>
        <v/>
      </c>
      <c r="AY28" s="30">
        <f>I28*$AW$11</f>
        <v/>
      </c>
      <c r="AZ28" s="30">
        <f>J28*$AW$11</f>
        <v/>
      </c>
    </row>
    <row r="29">
      <c r="A29" s="8" t="n">
        <v>46082</v>
      </c>
      <c r="B29" s="33">
        <f>YEAR(A29)</f>
        <v/>
      </c>
      <c r="C29" s="33">
        <f>MONTH(A29)</f>
        <v/>
      </c>
      <c r="D29">
        <f>IF(A29&lt;=LastActual,"Actual","Forecast")</f>
        <v/>
      </c>
      <c r="E29" s="30">
        <f>IF($D29="Actual",R29,W29)</f>
        <v/>
      </c>
      <c r="F29" s="15">
        <f>IF($D29="Actual",S29,Cases_Forecast!AQ22)</f>
        <v/>
      </c>
      <c r="G29" s="9">
        <f>IF($D29="Actual",T29,IFERROR(F29/K29,0))</f>
        <v/>
      </c>
      <c r="H29" s="30">
        <f>IF($D29="Actual",U29,G29*L29)</f>
        <v/>
      </c>
      <c r="I29" s="30">
        <f>IF($D29="Actual",V29,J29-H29)</f>
        <v/>
      </c>
      <c r="J29" s="30">
        <f>IF($D29="Actual",U29+V29,IFERROR(H29/(1-AD29),0))</f>
        <v/>
      </c>
      <c r="K29" s="10">
        <f>IF($D29="Actual",IFERROR(S29/T29,0),CPLH_Forecast!AQ22)</f>
        <v/>
      </c>
      <c r="L29" s="34">
        <f>IF($D29="Actual",IFERROR(U29/T29,0),N(AE29))</f>
        <v/>
      </c>
      <c r="M29" s="35">
        <f>IFERROR(J29/F29,0)</f>
        <v/>
      </c>
      <c r="N29" s="36">
        <f>IFERROR(J29/E29,0)</f>
        <v/>
      </c>
      <c r="O29" s="36">
        <f>IFERROR(I29/J29,0)</f>
        <v/>
      </c>
      <c r="R29" s="52">
        <f>IF($D29="Actual",SUMIFS(Data_Actuals!$C$2:$C$5000,Data_Actuals!$A$2:$A$5000,$A29,Data_Actuals!$B$2:$B$5000,$B$2),"")</f>
        <v/>
      </c>
      <c r="S29" s="52">
        <f>IF($D29="Actual",SUMIFS(Data_Actuals!$D$2:$D$5000,Data_Actuals!$A$2:$A$5000,$A29,Data_Actuals!$B$2:$B$5000,$B$2),"")</f>
        <v/>
      </c>
      <c r="T29" s="52">
        <f>IF($D29="Actual",SUMIFS(Data_Actuals!$E$2:$E$5000,Data_Actuals!$A$2:$A$5000,$A29,Data_Actuals!$B$2:$B$5000,$B$2),"")</f>
        <v/>
      </c>
      <c r="U29" s="52">
        <f>IF($D29="Actual",SUMIFS(Data_Actuals!$F$2:$F$5000,Data_Actuals!$A$2:$A$5000,$A29,Data_Actuals!$B$2:$B$5000,$B$2),"")</f>
        <v/>
      </c>
      <c r="V29" s="52">
        <f>IF($D29="Actual",SUMIFS(Data_Actuals!$G$2:$G$5000,Data_Actuals!$A$2:$A$5000,$A29,Data_Actuals!$B$2:$B$5000,$B$2),"")</f>
        <v/>
      </c>
      <c r="W29" s="52">
        <f>SUMIFS(Plan_Inputs!$C$2:$C$5000,Plan_Inputs!$A$2:$A$5000,$A29,Plan_Inputs!$B$2:$B$5000,$B$2)</f>
        <v/>
      </c>
      <c r="X29" s="53">
        <f>IF($D29="Actual",IFERROR(S29/T29,""),X17)</f>
        <v/>
      </c>
      <c r="Y29" s="52">
        <f>E29</f>
        <v/>
      </c>
      <c r="Z29" s="54">
        <f>INDEX(Calendar!$H$5:$L$52,MATCH($A29,Calendar!$A$5:$A$52,0),MATCH($D$2,Calendar!$H$4:$L$4,0))</f>
        <v/>
      </c>
      <c r="AA29" s="54">
        <f>INDEX(Calendar!$M$5:$M$52,MATCH($A29,Calendar!$A$5:$A$52,0))</f>
        <v/>
      </c>
      <c r="AB29" s="55">
        <f>IF($D29="Actual",IFERROR(S29/Y29,""),AB17)</f>
        <v/>
      </c>
      <c r="AC29" s="56">
        <f>IF($D29="Actual",IFERROR(U29/T29/Z29/AA29,""),AC17)</f>
        <v/>
      </c>
      <c r="AD29" s="57">
        <f>IF($D29="Actual",IFERROR(V29/(U29+V29),""),$K$2)</f>
        <v/>
      </c>
      <c r="AE29" s="56">
        <f>IFERROR(AC29*Z29*AA29,"")</f>
        <v/>
      </c>
      <c r="AF29" s="53">
        <f>K17</f>
        <v/>
      </c>
      <c r="AG29" s="57">
        <f>IF($D29="Forecast",IFERROR(K29/AF29-1,""),"")</f>
        <v/>
      </c>
      <c r="AH29" s="53">
        <f>IF(CPLHSource="National breakdown",CPLH_Breakdown!AR34,SUMIFS(Plan_Inputs!$D$2:$D$5000,Plan_Inputs!$A$2:$A$5000,$A29,Plan_Inputs!$B$2:$B$5000,$B$2))</f>
        <v/>
      </c>
      <c r="AJ29" s="15">
        <f>F29*$AK$11</f>
        <v/>
      </c>
      <c r="AK29" s="9">
        <f>G29*$AK$11</f>
        <v/>
      </c>
      <c r="AL29" s="30">
        <f>H29*$AK$11</f>
        <v/>
      </c>
      <c r="AM29" s="30">
        <f>I29*$AK$11</f>
        <v/>
      </c>
      <c r="AN29" s="30">
        <f>J29*$AK$11</f>
        <v/>
      </c>
      <c r="AP29" s="15">
        <f>F29*$AQ$11</f>
        <v/>
      </c>
      <c r="AQ29" s="9">
        <f>G29*$AQ$11</f>
        <v/>
      </c>
      <c r="AR29" s="30">
        <f>H29*$AQ$11</f>
        <v/>
      </c>
      <c r="AS29" s="30">
        <f>I29*$AQ$11</f>
        <v/>
      </c>
      <c r="AT29" s="30">
        <f>J29*$AQ$11</f>
        <v/>
      </c>
      <c r="AV29" s="15">
        <f>F29*$AW$11</f>
        <v/>
      </c>
      <c r="AW29" s="9">
        <f>G29*$AW$11</f>
        <v/>
      </c>
      <c r="AX29" s="30">
        <f>H29*$AW$11</f>
        <v/>
      </c>
      <c r="AY29" s="30">
        <f>I29*$AW$11</f>
        <v/>
      </c>
      <c r="AZ29" s="30">
        <f>J29*$AW$11</f>
        <v/>
      </c>
    </row>
    <row r="30">
      <c r="A30" s="8" t="n">
        <v>46113</v>
      </c>
      <c r="B30" s="33">
        <f>YEAR(A30)</f>
        <v/>
      </c>
      <c r="C30" s="33">
        <f>MONTH(A30)</f>
        <v/>
      </c>
      <c r="D30">
        <f>IF(A30&lt;=LastActual,"Actual","Forecast")</f>
        <v/>
      </c>
      <c r="E30" s="30">
        <f>IF($D30="Actual",R30,W30)</f>
        <v/>
      </c>
      <c r="F30" s="15">
        <f>IF($D30="Actual",S30,Cases_Forecast!AQ23)</f>
        <v/>
      </c>
      <c r="G30" s="9">
        <f>IF($D30="Actual",T30,IFERROR(F30/K30,0))</f>
        <v/>
      </c>
      <c r="H30" s="30">
        <f>IF($D30="Actual",U30,G30*L30)</f>
        <v/>
      </c>
      <c r="I30" s="30">
        <f>IF($D30="Actual",V30,J30-H30)</f>
        <v/>
      </c>
      <c r="J30" s="30">
        <f>IF($D30="Actual",U30+V30,IFERROR(H30/(1-AD30),0))</f>
        <v/>
      </c>
      <c r="K30" s="10">
        <f>IF($D30="Actual",IFERROR(S30/T30,0),CPLH_Forecast!AQ23)</f>
        <v/>
      </c>
      <c r="L30" s="34">
        <f>IF($D30="Actual",IFERROR(U30/T30,0),N(AE30))</f>
        <v/>
      </c>
      <c r="M30" s="35">
        <f>IFERROR(J30/F30,0)</f>
        <v/>
      </c>
      <c r="N30" s="36">
        <f>IFERROR(J30/E30,0)</f>
        <v/>
      </c>
      <c r="O30" s="36">
        <f>IFERROR(I30/J30,0)</f>
        <v/>
      </c>
      <c r="R30" s="52">
        <f>IF($D30="Actual",SUMIFS(Data_Actuals!$C$2:$C$5000,Data_Actuals!$A$2:$A$5000,$A30,Data_Actuals!$B$2:$B$5000,$B$2),"")</f>
        <v/>
      </c>
      <c r="S30" s="52">
        <f>IF($D30="Actual",SUMIFS(Data_Actuals!$D$2:$D$5000,Data_Actuals!$A$2:$A$5000,$A30,Data_Actuals!$B$2:$B$5000,$B$2),"")</f>
        <v/>
      </c>
      <c r="T30" s="52">
        <f>IF($D30="Actual",SUMIFS(Data_Actuals!$E$2:$E$5000,Data_Actuals!$A$2:$A$5000,$A30,Data_Actuals!$B$2:$B$5000,$B$2),"")</f>
        <v/>
      </c>
      <c r="U30" s="52">
        <f>IF($D30="Actual",SUMIFS(Data_Actuals!$F$2:$F$5000,Data_Actuals!$A$2:$A$5000,$A30,Data_Actuals!$B$2:$B$5000,$B$2),"")</f>
        <v/>
      </c>
      <c r="V30" s="52">
        <f>IF($D30="Actual",SUMIFS(Data_Actuals!$G$2:$G$5000,Data_Actuals!$A$2:$A$5000,$A30,Data_Actuals!$B$2:$B$5000,$B$2),"")</f>
        <v/>
      </c>
      <c r="W30" s="52">
        <f>SUMIFS(Plan_Inputs!$C$2:$C$5000,Plan_Inputs!$A$2:$A$5000,$A30,Plan_Inputs!$B$2:$B$5000,$B$2)</f>
        <v/>
      </c>
      <c r="X30" s="53">
        <f>IF($D30="Actual",IFERROR(S30/T30,""),X18)</f>
        <v/>
      </c>
      <c r="Y30" s="52">
        <f>E30</f>
        <v/>
      </c>
      <c r="Z30" s="54">
        <f>INDEX(Calendar!$H$5:$L$52,MATCH($A30,Calendar!$A$5:$A$52,0),MATCH($D$2,Calendar!$H$4:$L$4,0))</f>
        <v/>
      </c>
      <c r="AA30" s="54">
        <f>INDEX(Calendar!$M$5:$M$52,MATCH($A30,Calendar!$A$5:$A$52,0))</f>
        <v/>
      </c>
      <c r="AB30" s="55">
        <f>IF($D30="Actual",IFERROR(S30/Y30,""),AB18)</f>
        <v/>
      </c>
      <c r="AC30" s="56">
        <f>IF($D30="Actual",IFERROR(U30/T30/Z30/AA30,""),AC18)</f>
        <v/>
      </c>
      <c r="AD30" s="57">
        <f>IF($D30="Actual",IFERROR(V30/(U30+V30),""),$K$2)</f>
        <v/>
      </c>
      <c r="AE30" s="56">
        <f>IFERROR(AC30*Z30*AA30,"")</f>
        <v/>
      </c>
      <c r="AF30" s="53">
        <f>K18</f>
        <v/>
      </c>
      <c r="AG30" s="57">
        <f>IF($D30="Forecast",IFERROR(K30/AF30-1,""),"")</f>
        <v/>
      </c>
      <c r="AH30" s="53">
        <f>IF(CPLHSource="National breakdown",CPLH_Breakdown!AR35,SUMIFS(Plan_Inputs!$D$2:$D$5000,Plan_Inputs!$A$2:$A$5000,$A30,Plan_Inputs!$B$2:$B$5000,$B$2))</f>
        <v/>
      </c>
      <c r="AJ30" s="15">
        <f>F30*$AK$11</f>
        <v/>
      </c>
      <c r="AK30" s="9">
        <f>G30*$AK$11</f>
        <v/>
      </c>
      <c r="AL30" s="30">
        <f>H30*$AK$11</f>
        <v/>
      </c>
      <c r="AM30" s="30">
        <f>I30*$AK$11</f>
        <v/>
      </c>
      <c r="AN30" s="30">
        <f>J30*$AK$11</f>
        <v/>
      </c>
      <c r="AP30" s="15">
        <f>F30*$AQ$11</f>
        <v/>
      </c>
      <c r="AQ30" s="9">
        <f>G30*$AQ$11</f>
        <v/>
      </c>
      <c r="AR30" s="30">
        <f>H30*$AQ$11</f>
        <v/>
      </c>
      <c r="AS30" s="30">
        <f>I30*$AQ$11</f>
        <v/>
      </c>
      <c r="AT30" s="30">
        <f>J30*$AQ$11</f>
        <v/>
      </c>
      <c r="AV30" s="15">
        <f>F30*$AW$11</f>
        <v/>
      </c>
      <c r="AW30" s="9">
        <f>G30*$AW$11</f>
        <v/>
      </c>
      <c r="AX30" s="30">
        <f>H30*$AW$11</f>
        <v/>
      </c>
      <c r="AY30" s="30">
        <f>I30*$AW$11</f>
        <v/>
      </c>
      <c r="AZ30" s="30">
        <f>J30*$AW$11</f>
        <v/>
      </c>
    </row>
    <row r="31">
      <c r="A31" s="8" t="n">
        <v>46143</v>
      </c>
      <c r="B31" s="33">
        <f>YEAR(A31)</f>
        <v/>
      </c>
      <c r="C31" s="33">
        <f>MONTH(A31)</f>
        <v/>
      </c>
      <c r="D31">
        <f>IF(A31&lt;=LastActual,"Actual","Forecast")</f>
        <v/>
      </c>
      <c r="E31" s="30">
        <f>IF($D31="Actual",R31,W31)</f>
        <v/>
      </c>
      <c r="F31" s="15">
        <f>IF($D31="Actual",S31,Cases_Forecast!AQ24)</f>
        <v/>
      </c>
      <c r="G31" s="9">
        <f>IF($D31="Actual",T31,IFERROR(F31/K31,0))</f>
        <v/>
      </c>
      <c r="H31" s="30">
        <f>IF($D31="Actual",U31,G31*L31)</f>
        <v/>
      </c>
      <c r="I31" s="30">
        <f>IF($D31="Actual",V31,J31-H31)</f>
        <v/>
      </c>
      <c r="J31" s="30">
        <f>IF($D31="Actual",U31+V31,IFERROR(H31/(1-AD31),0))</f>
        <v/>
      </c>
      <c r="K31" s="10">
        <f>IF($D31="Actual",IFERROR(S31/T31,0),CPLH_Forecast!AQ24)</f>
        <v/>
      </c>
      <c r="L31" s="34">
        <f>IF($D31="Actual",IFERROR(U31/T31,0),N(AE31))</f>
        <v/>
      </c>
      <c r="M31" s="35">
        <f>IFERROR(J31/F31,0)</f>
        <v/>
      </c>
      <c r="N31" s="36">
        <f>IFERROR(J31/E31,0)</f>
        <v/>
      </c>
      <c r="O31" s="36">
        <f>IFERROR(I31/J31,0)</f>
        <v/>
      </c>
      <c r="R31" s="52">
        <f>IF($D31="Actual",SUMIFS(Data_Actuals!$C$2:$C$5000,Data_Actuals!$A$2:$A$5000,$A31,Data_Actuals!$B$2:$B$5000,$B$2),"")</f>
        <v/>
      </c>
      <c r="S31" s="52">
        <f>IF($D31="Actual",SUMIFS(Data_Actuals!$D$2:$D$5000,Data_Actuals!$A$2:$A$5000,$A31,Data_Actuals!$B$2:$B$5000,$B$2),"")</f>
        <v/>
      </c>
      <c r="T31" s="52">
        <f>IF($D31="Actual",SUMIFS(Data_Actuals!$E$2:$E$5000,Data_Actuals!$A$2:$A$5000,$A31,Data_Actuals!$B$2:$B$5000,$B$2),"")</f>
        <v/>
      </c>
      <c r="U31" s="52">
        <f>IF($D31="Actual",SUMIFS(Data_Actuals!$F$2:$F$5000,Data_Actuals!$A$2:$A$5000,$A31,Data_Actuals!$B$2:$B$5000,$B$2),"")</f>
        <v/>
      </c>
      <c r="V31" s="52">
        <f>IF($D31="Actual",SUMIFS(Data_Actuals!$G$2:$G$5000,Data_Actuals!$A$2:$A$5000,$A31,Data_Actuals!$B$2:$B$5000,$B$2),"")</f>
        <v/>
      </c>
      <c r="W31" s="52">
        <f>SUMIFS(Plan_Inputs!$C$2:$C$5000,Plan_Inputs!$A$2:$A$5000,$A31,Plan_Inputs!$B$2:$B$5000,$B$2)</f>
        <v/>
      </c>
      <c r="X31" s="53">
        <f>IF($D31="Actual",IFERROR(S31/T31,""),X19)</f>
        <v/>
      </c>
      <c r="Y31" s="52">
        <f>E31</f>
        <v/>
      </c>
      <c r="Z31" s="54">
        <f>INDEX(Calendar!$H$5:$L$52,MATCH($A31,Calendar!$A$5:$A$52,0),MATCH($D$2,Calendar!$H$4:$L$4,0))</f>
        <v/>
      </c>
      <c r="AA31" s="54">
        <f>INDEX(Calendar!$M$5:$M$52,MATCH($A31,Calendar!$A$5:$A$52,0))</f>
        <v/>
      </c>
      <c r="AB31" s="55">
        <f>IF($D31="Actual",IFERROR(S31/Y31,""),AB19)</f>
        <v/>
      </c>
      <c r="AC31" s="56">
        <f>IF($D31="Actual",IFERROR(U31/T31/Z31/AA31,""),AC19)</f>
        <v/>
      </c>
      <c r="AD31" s="57">
        <f>IF($D31="Actual",IFERROR(V31/(U31+V31),""),$K$2)</f>
        <v/>
      </c>
      <c r="AE31" s="56">
        <f>IFERROR(AC31*Z31*AA31,"")</f>
        <v/>
      </c>
      <c r="AF31" s="53">
        <f>K19</f>
        <v/>
      </c>
      <c r="AG31" s="57">
        <f>IF($D31="Forecast",IFERROR(K31/AF31-1,""),"")</f>
        <v/>
      </c>
      <c r="AH31" s="53">
        <f>IF(CPLHSource="National breakdown",CPLH_Breakdown!AR36,SUMIFS(Plan_Inputs!$D$2:$D$5000,Plan_Inputs!$A$2:$A$5000,$A31,Plan_Inputs!$B$2:$B$5000,$B$2))</f>
        <v/>
      </c>
      <c r="AJ31" s="15">
        <f>F31*$AK$11</f>
        <v/>
      </c>
      <c r="AK31" s="9">
        <f>G31*$AK$11</f>
        <v/>
      </c>
      <c r="AL31" s="30">
        <f>H31*$AK$11</f>
        <v/>
      </c>
      <c r="AM31" s="30">
        <f>I31*$AK$11</f>
        <v/>
      </c>
      <c r="AN31" s="30">
        <f>J31*$AK$11</f>
        <v/>
      </c>
      <c r="AP31" s="15">
        <f>F31*$AQ$11</f>
        <v/>
      </c>
      <c r="AQ31" s="9">
        <f>G31*$AQ$11</f>
        <v/>
      </c>
      <c r="AR31" s="30">
        <f>H31*$AQ$11</f>
        <v/>
      </c>
      <c r="AS31" s="30">
        <f>I31*$AQ$11</f>
        <v/>
      </c>
      <c r="AT31" s="30">
        <f>J31*$AQ$11</f>
        <v/>
      </c>
      <c r="AV31" s="15">
        <f>F31*$AW$11</f>
        <v/>
      </c>
      <c r="AW31" s="9">
        <f>G31*$AW$11</f>
        <v/>
      </c>
      <c r="AX31" s="30">
        <f>H31*$AW$11</f>
        <v/>
      </c>
      <c r="AY31" s="30">
        <f>I31*$AW$11</f>
        <v/>
      </c>
      <c r="AZ31" s="30">
        <f>J31*$AW$11</f>
        <v/>
      </c>
    </row>
    <row r="32">
      <c r="A32" s="8" t="n">
        <v>46174</v>
      </c>
      <c r="B32" s="33">
        <f>YEAR(A32)</f>
        <v/>
      </c>
      <c r="C32" s="33">
        <f>MONTH(A32)</f>
        <v/>
      </c>
      <c r="D32">
        <f>IF(A32&lt;=LastActual,"Actual","Forecast")</f>
        <v/>
      </c>
      <c r="E32" s="30">
        <f>IF($D32="Actual",R32,W32)</f>
        <v/>
      </c>
      <c r="F32" s="15">
        <f>IF($D32="Actual",S32,Cases_Forecast!AQ25)</f>
        <v/>
      </c>
      <c r="G32" s="9">
        <f>IF($D32="Actual",T32,IFERROR(F32/K32,0))</f>
        <v/>
      </c>
      <c r="H32" s="30">
        <f>IF($D32="Actual",U32,G32*L32)</f>
        <v/>
      </c>
      <c r="I32" s="30">
        <f>IF($D32="Actual",V32,J32-H32)</f>
        <v/>
      </c>
      <c r="J32" s="30">
        <f>IF($D32="Actual",U32+V32,IFERROR(H32/(1-AD32),0))</f>
        <v/>
      </c>
      <c r="K32" s="10">
        <f>IF($D32="Actual",IFERROR(S32/T32,0),CPLH_Forecast!AQ25)</f>
        <v/>
      </c>
      <c r="L32" s="34">
        <f>IF($D32="Actual",IFERROR(U32/T32,0),N(AE32))</f>
        <v/>
      </c>
      <c r="M32" s="35">
        <f>IFERROR(J32/F32,0)</f>
        <v/>
      </c>
      <c r="N32" s="36">
        <f>IFERROR(J32/E32,0)</f>
        <v/>
      </c>
      <c r="O32" s="36">
        <f>IFERROR(I32/J32,0)</f>
        <v/>
      </c>
      <c r="R32" s="52">
        <f>IF($D32="Actual",SUMIFS(Data_Actuals!$C$2:$C$5000,Data_Actuals!$A$2:$A$5000,$A32,Data_Actuals!$B$2:$B$5000,$B$2),"")</f>
        <v/>
      </c>
      <c r="S32" s="52">
        <f>IF($D32="Actual",SUMIFS(Data_Actuals!$D$2:$D$5000,Data_Actuals!$A$2:$A$5000,$A32,Data_Actuals!$B$2:$B$5000,$B$2),"")</f>
        <v/>
      </c>
      <c r="T32" s="52">
        <f>IF($D32="Actual",SUMIFS(Data_Actuals!$E$2:$E$5000,Data_Actuals!$A$2:$A$5000,$A32,Data_Actuals!$B$2:$B$5000,$B$2),"")</f>
        <v/>
      </c>
      <c r="U32" s="52">
        <f>IF($D32="Actual",SUMIFS(Data_Actuals!$F$2:$F$5000,Data_Actuals!$A$2:$A$5000,$A32,Data_Actuals!$B$2:$B$5000,$B$2),"")</f>
        <v/>
      </c>
      <c r="V32" s="52">
        <f>IF($D32="Actual",SUMIFS(Data_Actuals!$G$2:$G$5000,Data_Actuals!$A$2:$A$5000,$A32,Data_Actuals!$B$2:$B$5000,$B$2),"")</f>
        <v/>
      </c>
      <c r="W32" s="52">
        <f>SUMIFS(Plan_Inputs!$C$2:$C$5000,Plan_Inputs!$A$2:$A$5000,$A32,Plan_Inputs!$B$2:$B$5000,$B$2)</f>
        <v/>
      </c>
      <c r="X32" s="53">
        <f>IF($D32="Actual",IFERROR(S32/T32,""),X20)</f>
        <v/>
      </c>
      <c r="Y32" s="52">
        <f>E32</f>
        <v/>
      </c>
      <c r="Z32" s="54">
        <f>INDEX(Calendar!$H$5:$L$52,MATCH($A32,Calendar!$A$5:$A$52,0),MATCH($D$2,Calendar!$H$4:$L$4,0))</f>
        <v/>
      </c>
      <c r="AA32" s="54">
        <f>INDEX(Calendar!$M$5:$M$52,MATCH($A32,Calendar!$A$5:$A$52,0))</f>
        <v/>
      </c>
      <c r="AB32" s="55">
        <f>IF($D32="Actual",IFERROR(S32/Y32,""),AB20)</f>
        <v/>
      </c>
      <c r="AC32" s="56">
        <f>IF($D32="Actual",IFERROR(U32/T32/Z32/AA32,""),AC20)</f>
        <v/>
      </c>
      <c r="AD32" s="57">
        <f>IF($D32="Actual",IFERROR(V32/(U32+V32),""),$K$2)</f>
        <v/>
      </c>
      <c r="AE32" s="56">
        <f>IFERROR(AC32*Z32*AA32,"")</f>
        <v/>
      </c>
      <c r="AF32" s="53">
        <f>K20</f>
        <v/>
      </c>
      <c r="AG32" s="57">
        <f>IF($D32="Forecast",IFERROR(K32/AF32-1,""),"")</f>
        <v/>
      </c>
      <c r="AH32" s="53">
        <f>IF(CPLHSource="National breakdown",CPLH_Breakdown!AR37,SUMIFS(Plan_Inputs!$D$2:$D$5000,Plan_Inputs!$A$2:$A$5000,$A32,Plan_Inputs!$B$2:$B$5000,$B$2))</f>
        <v/>
      </c>
      <c r="AJ32" s="15">
        <f>F32*$AK$11</f>
        <v/>
      </c>
      <c r="AK32" s="9">
        <f>G32*$AK$11</f>
        <v/>
      </c>
      <c r="AL32" s="30">
        <f>H32*$AK$11</f>
        <v/>
      </c>
      <c r="AM32" s="30">
        <f>I32*$AK$11</f>
        <v/>
      </c>
      <c r="AN32" s="30">
        <f>J32*$AK$11</f>
        <v/>
      </c>
      <c r="AP32" s="15">
        <f>F32*$AQ$11</f>
        <v/>
      </c>
      <c r="AQ32" s="9">
        <f>G32*$AQ$11</f>
        <v/>
      </c>
      <c r="AR32" s="30">
        <f>H32*$AQ$11</f>
        <v/>
      </c>
      <c r="AS32" s="30">
        <f>I32*$AQ$11</f>
        <v/>
      </c>
      <c r="AT32" s="30">
        <f>J32*$AQ$11</f>
        <v/>
      </c>
      <c r="AV32" s="15">
        <f>F32*$AW$11</f>
        <v/>
      </c>
      <c r="AW32" s="9">
        <f>G32*$AW$11</f>
        <v/>
      </c>
      <c r="AX32" s="30">
        <f>H32*$AW$11</f>
        <v/>
      </c>
      <c r="AY32" s="30">
        <f>I32*$AW$11</f>
        <v/>
      </c>
      <c r="AZ32" s="30">
        <f>J32*$AW$11</f>
        <v/>
      </c>
    </row>
    <row r="33">
      <c r="A33" s="8" t="n">
        <v>46204</v>
      </c>
      <c r="B33" s="33">
        <f>YEAR(A33)</f>
        <v/>
      </c>
      <c r="C33" s="33">
        <f>MONTH(A33)</f>
        <v/>
      </c>
      <c r="D33">
        <f>IF(A33&lt;=LastActual,"Actual","Forecast")</f>
        <v/>
      </c>
      <c r="E33" s="30">
        <f>IF($D33="Actual",R33,W33)</f>
        <v/>
      </c>
      <c r="F33" s="15">
        <f>IF($D33="Actual",S33,Cases_Forecast!AQ26)</f>
        <v/>
      </c>
      <c r="G33" s="9">
        <f>IF($D33="Actual",T33,IFERROR(F33/K33,0))</f>
        <v/>
      </c>
      <c r="H33" s="30">
        <f>IF($D33="Actual",U33,G33*L33)</f>
        <v/>
      </c>
      <c r="I33" s="30">
        <f>IF($D33="Actual",V33,J33-H33)</f>
        <v/>
      </c>
      <c r="J33" s="30">
        <f>IF($D33="Actual",U33+V33,IFERROR(H33/(1-AD33),0))</f>
        <v/>
      </c>
      <c r="K33" s="10">
        <f>IF($D33="Actual",IFERROR(S33/T33,0),CPLH_Forecast!AQ26)</f>
        <v/>
      </c>
      <c r="L33" s="34">
        <f>IF($D33="Actual",IFERROR(U33/T33,0),N(AE33))</f>
        <v/>
      </c>
      <c r="M33" s="35">
        <f>IFERROR(J33/F33,0)</f>
        <v/>
      </c>
      <c r="N33" s="36">
        <f>IFERROR(J33/E33,0)</f>
        <v/>
      </c>
      <c r="O33" s="36">
        <f>IFERROR(I33/J33,0)</f>
        <v/>
      </c>
      <c r="R33" s="52">
        <f>IF($D33="Actual",SUMIFS(Data_Actuals!$C$2:$C$5000,Data_Actuals!$A$2:$A$5000,$A33,Data_Actuals!$B$2:$B$5000,$B$2),"")</f>
        <v/>
      </c>
      <c r="S33" s="52">
        <f>IF($D33="Actual",SUMIFS(Data_Actuals!$D$2:$D$5000,Data_Actuals!$A$2:$A$5000,$A33,Data_Actuals!$B$2:$B$5000,$B$2),"")</f>
        <v/>
      </c>
      <c r="T33" s="52">
        <f>IF($D33="Actual",SUMIFS(Data_Actuals!$E$2:$E$5000,Data_Actuals!$A$2:$A$5000,$A33,Data_Actuals!$B$2:$B$5000,$B$2),"")</f>
        <v/>
      </c>
      <c r="U33" s="52">
        <f>IF($D33="Actual",SUMIFS(Data_Actuals!$F$2:$F$5000,Data_Actuals!$A$2:$A$5000,$A33,Data_Actuals!$B$2:$B$5000,$B$2),"")</f>
        <v/>
      </c>
      <c r="V33" s="52">
        <f>IF($D33="Actual",SUMIFS(Data_Actuals!$G$2:$G$5000,Data_Actuals!$A$2:$A$5000,$A33,Data_Actuals!$B$2:$B$5000,$B$2),"")</f>
        <v/>
      </c>
      <c r="W33" s="52">
        <f>SUMIFS(Plan_Inputs!$C$2:$C$5000,Plan_Inputs!$A$2:$A$5000,$A33,Plan_Inputs!$B$2:$B$5000,$B$2)</f>
        <v/>
      </c>
      <c r="X33" s="53">
        <f>IF($D33="Actual",IFERROR(S33/T33,""),X21)</f>
        <v/>
      </c>
      <c r="Y33" s="52">
        <f>E33</f>
        <v/>
      </c>
      <c r="Z33" s="54">
        <f>INDEX(Calendar!$H$5:$L$52,MATCH($A33,Calendar!$A$5:$A$52,0),MATCH($D$2,Calendar!$H$4:$L$4,0))</f>
        <v/>
      </c>
      <c r="AA33" s="54">
        <f>INDEX(Calendar!$M$5:$M$52,MATCH($A33,Calendar!$A$5:$A$52,0))</f>
        <v/>
      </c>
      <c r="AB33" s="55">
        <f>IF($D33="Actual",IFERROR(S33/Y33,""),AB21)</f>
        <v/>
      </c>
      <c r="AC33" s="56">
        <f>IF($D33="Actual",IFERROR(U33/T33/Z33/AA33,""),AC21)</f>
        <v/>
      </c>
      <c r="AD33" s="57">
        <f>IF($D33="Actual",IFERROR(V33/(U33+V33),""),$K$2)</f>
        <v/>
      </c>
      <c r="AE33" s="56">
        <f>IFERROR(AC33*Z33*AA33,"")</f>
        <v/>
      </c>
      <c r="AF33" s="53">
        <f>K21</f>
        <v/>
      </c>
      <c r="AG33" s="57">
        <f>IF($D33="Forecast",IFERROR(K33/AF33-1,""),"")</f>
        <v/>
      </c>
      <c r="AH33" s="53">
        <f>IF(CPLHSource="National breakdown",CPLH_Breakdown!AR38,SUMIFS(Plan_Inputs!$D$2:$D$5000,Plan_Inputs!$A$2:$A$5000,$A33,Plan_Inputs!$B$2:$B$5000,$B$2))</f>
        <v/>
      </c>
      <c r="AJ33" s="15">
        <f>F33*$AK$11</f>
        <v/>
      </c>
      <c r="AK33" s="9">
        <f>G33*$AK$11</f>
        <v/>
      </c>
      <c r="AL33" s="30">
        <f>H33*$AK$11</f>
        <v/>
      </c>
      <c r="AM33" s="30">
        <f>I33*$AK$11</f>
        <v/>
      </c>
      <c r="AN33" s="30">
        <f>J33*$AK$11</f>
        <v/>
      </c>
      <c r="AP33" s="15">
        <f>F33*$AQ$11</f>
        <v/>
      </c>
      <c r="AQ33" s="9">
        <f>G33*$AQ$11</f>
        <v/>
      </c>
      <c r="AR33" s="30">
        <f>H33*$AQ$11</f>
        <v/>
      </c>
      <c r="AS33" s="30">
        <f>I33*$AQ$11</f>
        <v/>
      </c>
      <c r="AT33" s="30">
        <f>J33*$AQ$11</f>
        <v/>
      </c>
      <c r="AV33" s="15">
        <f>F33*$AW$11</f>
        <v/>
      </c>
      <c r="AW33" s="9">
        <f>G33*$AW$11</f>
        <v/>
      </c>
      <c r="AX33" s="30">
        <f>H33*$AW$11</f>
        <v/>
      </c>
      <c r="AY33" s="30">
        <f>I33*$AW$11</f>
        <v/>
      </c>
      <c r="AZ33" s="30">
        <f>J33*$AW$11</f>
        <v/>
      </c>
    </row>
    <row r="34">
      <c r="A34" s="8" t="n">
        <v>46235</v>
      </c>
      <c r="B34" s="33">
        <f>YEAR(A34)</f>
        <v/>
      </c>
      <c r="C34" s="33">
        <f>MONTH(A34)</f>
        <v/>
      </c>
      <c r="D34">
        <f>IF(A34&lt;=LastActual,"Actual","Forecast")</f>
        <v/>
      </c>
      <c r="E34" s="30">
        <f>IF($D34="Actual",R34,W34)</f>
        <v/>
      </c>
      <c r="F34" s="15">
        <f>IF($D34="Actual",S34,Cases_Forecast!AQ27)</f>
        <v/>
      </c>
      <c r="G34" s="9">
        <f>IF($D34="Actual",T34,IFERROR(F34/K34,0))</f>
        <v/>
      </c>
      <c r="H34" s="30">
        <f>IF($D34="Actual",U34,G34*L34)</f>
        <v/>
      </c>
      <c r="I34" s="30">
        <f>IF($D34="Actual",V34,J34-H34)</f>
        <v/>
      </c>
      <c r="J34" s="30">
        <f>IF($D34="Actual",U34+V34,IFERROR(H34/(1-AD34),0))</f>
        <v/>
      </c>
      <c r="K34" s="10">
        <f>IF($D34="Actual",IFERROR(S34/T34,0),CPLH_Forecast!AQ27)</f>
        <v/>
      </c>
      <c r="L34" s="34">
        <f>IF($D34="Actual",IFERROR(U34/T34,0),N(AE34))</f>
        <v/>
      </c>
      <c r="M34" s="35">
        <f>IFERROR(J34/F34,0)</f>
        <v/>
      </c>
      <c r="N34" s="36">
        <f>IFERROR(J34/E34,0)</f>
        <v/>
      </c>
      <c r="O34" s="36">
        <f>IFERROR(I34/J34,0)</f>
        <v/>
      </c>
      <c r="R34" s="52">
        <f>IF($D34="Actual",SUMIFS(Data_Actuals!$C$2:$C$5000,Data_Actuals!$A$2:$A$5000,$A34,Data_Actuals!$B$2:$B$5000,$B$2),"")</f>
        <v/>
      </c>
      <c r="S34" s="52">
        <f>IF($D34="Actual",SUMIFS(Data_Actuals!$D$2:$D$5000,Data_Actuals!$A$2:$A$5000,$A34,Data_Actuals!$B$2:$B$5000,$B$2),"")</f>
        <v/>
      </c>
      <c r="T34" s="52">
        <f>IF($D34="Actual",SUMIFS(Data_Actuals!$E$2:$E$5000,Data_Actuals!$A$2:$A$5000,$A34,Data_Actuals!$B$2:$B$5000,$B$2),"")</f>
        <v/>
      </c>
      <c r="U34" s="52">
        <f>IF($D34="Actual",SUMIFS(Data_Actuals!$F$2:$F$5000,Data_Actuals!$A$2:$A$5000,$A34,Data_Actuals!$B$2:$B$5000,$B$2),"")</f>
        <v/>
      </c>
      <c r="V34" s="52">
        <f>IF($D34="Actual",SUMIFS(Data_Actuals!$G$2:$G$5000,Data_Actuals!$A$2:$A$5000,$A34,Data_Actuals!$B$2:$B$5000,$B$2),"")</f>
        <v/>
      </c>
      <c r="W34" s="52">
        <f>SUMIFS(Plan_Inputs!$C$2:$C$5000,Plan_Inputs!$A$2:$A$5000,$A34,Plan_Inputs!$B$2:$B$5000,$B$2)</f>
        <v/>
      </c>
      <c r="X34" s="53">
        <f>IF($D34="Actual",IFERROR(S34/T34,""),X22)</f>
        <v/>
      </c>
      <c r="Y34" s="52">
        <f>E34</f>
        <v/>
      </c>
      <c r="Z34" s="54">
        <f>INDEX(Calendar!$H$5:$L$52,MATCH($A34,Calendar!$A$5:$A$52,0),MATCH($D$2,Calendar!$H$4:$L$4,0))</f>
        <v/>
      </c>
      <c r="AA34" s="54">
        <f>INDEX(Calendar!$M$5:$M$52,MATCH($A34,Calendar!$A$5:$A$52,0))</f>
        <v/>
      </c>
      <c r="AB34" s="55">
        <f>IF($D34="Actual",IFERROR(S34/Y34,""),AB22)</f>
        <v/>
      </c>
      <c r="AC34" s="56">
        <f>IF($D34="Actual",IFERROR(U34/T34/Z34/AA34,""),AC22)</f>
        <v/>
      </c>
      <c r="AD34" s="57">
        <f>IF($D34="Actual",IFERROR(V34/(U34+V34),""),$K$2)</f>
        <v/>
      </c>
      <c r="AE34" s="56">
        <f>IFERROR(AC34*Z34*AA34,"")</f>
        <v/>
      </c>
      <c r="AF34" s="53">
        <f>K22</f>
        <v/>
      </c>
      <c r="AG34" s="57">
        <f>IF($D34="Forecast",IFERROR(K34/AF34-1,""),"")</f>
        <v/>
      </c>
      <c r="AH34" s="53">
        <f>IF(CPLHSource="National breakdown",CPLH_Breakdown!AR39,SUMIFS(Plan_Inputs!$D$2:$D$5000,Plan_Inputs!$A$2:$A$5000,$A34,Plan_Inputs!$B$2:$B$5000,$B$2))</f>
        <v/>
      </c>
      <c r="AJ34" s="15">
        <f>F34*$AK$11</f>
        <v/>
      </c>
      <c r="AK34" s="9">
        <f>G34*$AK$11</f>
        <v/>
      </c>
      <c r="AL34" s="30">
        <f>H34*$AK$11</f>
        <v/>
      </c>
      <c r="AM34" s="30">
        <f>I34*$AK$11</f>
        <v/>
      </c>
      <c r="AN34" s="30">
        <f>J34*$AK$11</f>
        <v/>
      </c>
      <c r="AP34" s="15">
        <f>F34*$AQ$11</f>
        <v/>
      </c>
      <c r="AQ34" s="9">
        <f>G34*$AQ$11</f>
        <v/>
      </c>
      <c r="AR34" s="30">
        <f>H34*$AQ$11</f>
        <v/>
      </c>
      <c r="AS34" s="30">
        <f>I34*$AQ$11</f>
        <v/>
      </c>
      <c r="AT34" s="30">
        <f>J34*$AQ$11</f>
        <v/>
      </c>
      <c r="AV34" s="15">
        <f>F34*$AW$11</f>
        <v/>
      </c>
      <c r="AW34" s="9">
        <f>G34*$AW$11</f>
        <v/>
      </c>
      <c r="AX34" s="30">
        <f>H34*$AW$11</f>
        <v/>
      </c>
      <c r="AY34" s="30">
        <f>I34*$AW$11</f>
        <v/>
      </c>
      <c r="AZ34" s="30">
        <f>J34*$AW$11</f>
        <v/>
      </c>
    </row>
    <row r="35">
      <c r="A35" s="8" t="n">
        <v>46266</v>
      </c>
      <c r="B35" s="33">
        <f>YEAR(A35)</f>
        <v/>
      </c>
      <c r="C35" s="33">
        <f>MONTH(A35)</f>
        <v/>
      </c>
      <c r="D35">
        <f>IF(A35&lt;=LastActual,"Actual","Forecast")</f>
        <v/>
      </c>
      <c r="E35" s="30">
        <f>IF($D35="Actual",R35,W35)</f>
        <v/>
      </c>
      <c r="F35" s="15">
        <f>IF($D35="Actual",S35,Cases_Forecast!AQ28)</f>
        <v/>
      </c>
      <c r="G35" s="9">
        <f>IF($D35="Actual",T35,IFERROR(F35/K35,0))</f>
        <v/>
      </c>
      <c r="H35" s="30">
        <f>IF($D35="Actual",U35,G35*L35)</f>
        <v/>
      </c>
      <c r="I35" s="30">
        <f>IF($D35="Actual",V35,J35-H35)</f>
        <v/>
      </c>
      <c r="J35" s="30">
        <f>IF($D35="Actual",U35+V35,IFERROR(H35/(1-AD35),0))</f>
        <v/>
      </c>
      <c r="K35" s="10">
        <f>IF($D35="Actual",IFERROR(S35/T35,0),CPLH_Forecast!AQ28)</f>
        <v/>
      </c>
      <c r="L35" s="34">
        <f>IF($D35="Actual",IFERROR(U35/T35,0),N(AE35))</f>
        <v/>
      </c>
      <c r="M35" s="35">
        <f>IFERROR(J35/F35,0)</f>
        <v/>
      </c>
      <c r="N35" s="36">
        <f>IFERROR(J35/E35,0)</f>
        <v/>
      </c>
      <c r="O35" s="36">
        <f>IFERROR(I35/J35,0)</f>
        <v/>
      </c>
      <c r="R35" s="52">
        <f>IF($D35="Actual",SUMIFS(Data_Actuals!$C$2:$C$5000,Data_Actuals!$A$2:$A$5000,$A35,Data_Actuals!$B$2:$B$5000,$B$2),"")</f>
        <v/>
      </c>
      <c r="S35" s="52">
        <f>IF($D35="Actual",SUMIFS(Data_Actuals!$D$2:$D$5000,Data_Actuals!$A$2:$A$5000,$A35,Data_Actuals!$B$2:$B$5000,$B$2),"")</f>
        <v/>
      </c>
      <c r="T35" s="52">
        <f>IF($D35="Actual",SUMIFS(Data_Actuals!$E$2:$E$5000,Data_Actuals!$A$2:$A$5000,$A35,Data_Actuals!$B$2:$B$5000,$B$2),"")</f>
        <v/>
      </c>
      <c r="U35" s="52">
        <f>IF($D35="Actual",SUMIFS(Data_Actuals!$F$2:$F$5000,Data_Actuals!$A$2:$A$5000,$A35,Data_Actuals!$B$2:$B$5000,$B$2),"")</f>
        <v/>
      </c>
      <c r="V35" s="52">
        <f>IF($D35="Actual",SUMIFS(Data_Actuals!$G$2:$G$5000,Data_Actuals!$A$2:$A$5000,$A35,Data_Actuals!$B$2:$B$5000,$B$2),"")</f>
        <v/>
      </c>
      <c r="W35" s="52">
        <f>SUMIFS(Plan_Inputs!$C$2:$C$5000,Plan_Inputs!$A$2:$A$5000,$A35,Plan_Inputs!$B$2:$B$5000,$B$2)</f>
        <v/>
      </c>
      <c r="X35" s="53">
        <f>IF($D35="Actual",IFERROR(S35/T35,""),X23)</f>
        <v/>
      </c>
      <c r="Y35" s="52">
        <f>E35</f>
        <v/>
      </c>
      <c r="Z35" s="54">
        <f>INDEX(Calendar!$H$5:$L$52,MATCH($A35,Calendar!$A$5:$A$52,0),MATCH($D$2,Calendar!$H$4:$L$4,0))</f>
        <v/>
      </c>
      <c r="AA35" s="54">
        <f>INDEX(Calendar!$M$5:$M$52,MATCH($A35,Calendar!$A$5:$A$52,0))</f>
        <v/>
      </c>
      <c r="AB35" s="55">
        <f>IF($D35="Actual",IFERROR(S35/Y35,""),AB23)</f>
        <v/>
      </c>
      <c r="AC35" s="56">
        <f>IF($D35="Actual",IFERROR(U35/T35/Z35/AA35,""),AC23)</f>
        <v/>
      </c>
      <c r="AD35" s="57">
        <f>IF($D35="Actual",IFERROR(V35/(U35+V35),""),$K$2)</f>
        <v/>
      </c>
      <c r="AE35" s="56">
        <f>IFERROR(AC35*Z35*AA35,"")</f>
        <v/>
      </c>
      <c r="AF35" s="53">
        <f>K23</f>
        <v/>
      </c>
      <c r="AG35" s="57">
        <f>IF($D35="Forecast",IFERROR(K35/AF35-1,""),"")</f>
        <v/>
      </c>
      <c r="AH35" s="53">
        <f>IF(CPLHSource="National breakdown",CPLH_Breakdown!AR40,SUMIFS(Plan_Inputs!$D$2:$D$5000,Plan_Inputs!$A$2:$A$5000,$A35,Plan_Inputs!$B$2:$B$5000,$B$2))</f>
        <v/>
      </c>
      <c r="AJ35" s="15">
        <f>F35*$AK$11</f>
        <v/>
      </c>
      <c r="AK35" s="9">
        <f>G35*$AK$11</f>
        <v/>
      </c>
      <c r="AL35" s="30">
        <f>H35*$AK$11</f>
        <v/>
      </c>
      <c r="AM35" s="30">
        <f>I35*$AK$11</f>
        <v/>
      </c>
      <c r="AN35" s="30">
        <f>J35*$AK$11</f>
        <v/>
      </c>
      <c r="AP35" s="15">
        <f>F35*$AQ$11</f>
        <v/>
      </c>
      <c r="AQ35" s="9">
        <f>G35*$AQ$11</f>
        <v/>
      </c>
      <c r="AR35" s="30">
        <f>H35*$AQ$11</f>
        <v/>
      </c>
      <c r="AS35" s="30">
        <f>I35*$AQ$11</f>
        <v/>
      </c>
      <c r="AT35" s="30">
        <f>J35*$AQ$11</f>
        <v/>
      </c>
      <c r="AV35" s="15">
        <f>F35*$AW$11</f>
        <v/>
      </c>
      <c r="AW35" s="9">
        <f>G35*$AW$11</f>
        <v/>
      </c>
      <c r="AX35" s="30">
        <f>H35*$AW$11</f>
        <v/>
      </c>
      <c r="AY35" s="30">
        <f>I35*$AW$11</f>
        <v/>
      </c>
      <c r="AZ35" s="30">
        <f>J35*$AW$11</f>
        <v/>
      </c>
    </row>
    <row r="36">
      <c r="A36" s="8" t="n">
        <v>46296</v>
      </c>
      <c r="B36" s="33">
        <f>YEAR(A36)</f>
        <v/>
      </c>
      <c r="C36" s="33">
        <f>MONTH(A36)</f>
        <v/>
      </c>
      <c r="D36">
        <f>IF(A36&lt;=LastActual,"Actual","Forecast")</f>
        <v/>
      </c>
      <c r="E36" s="30">
        <f>IF($D36="Actual",R36,W36)</f>
        <v/>
      </c>
      <c r="F36" s="15">
        <f>IF($D36="Actual",S36,Cases_Forecast!AQ29)</f>
        <v/>
      </c>
      <c r="G36" s="9">
        <f>IF($D36="Actual",T36,IFERROR(F36/K36,0))</f>
        <v/>
      </c>
      <c r="H36" s="30">
        <f>IF($D36="Actual",U36,G36*L36)</f>
        <v/>
      </c>
      <c r="I36" s="30">
        <f>IF($D36="Actual",V36,J36-H36)</f>
        <v/>
      </c>
      <c r="J36" s="30">
        <f>IF($D36="Actual",U36+V36,IFERROR(H36/(1-AD36),0))</f>
        <v/>
      </c>
      <c r="K36" s="10">
        <f>IF($D36="Actual",IFERROR(S36/T36,0),CPLH_Forecast!AQ29)</f>
        <v/>
      </c>
      <c r="L36" s="34">
        <f>IF($D36="Actual",IFERROR(U36/T36,0),N(AE36))</f>
        <v/>
      </c>
      <c r="M36" s="35">
        <f>IFERROR(J36/F36,0)</f>
        <v/>
      </c>
      <c r="N36" s="36">
        <f>IFERROR(J36/E36,0)</f>
        <v/>
      </c>
      <c r="O36" s="36">
        <f>IFERROR(I36/J36,0)</f>
        <v/>
      </c>
      <c r="R36" s="52">
        <f>IF($D36="Actual",SUMIFS(Data_Actuals!$C$2:$C$5000,Data_Actuals!$A$2:$A$5000,$A36,Data_Actuals!$B$2:$B$5000,$B$2),"")</f>
        <v/>
      </c>
      <c r="S36" s="52">
        <f>IF($D36="Actual",SUMIFS(Data_Actuals!$D$2:$D$5000,Data_Actuals!$A$2:$A$5000,$A36,Data_Actuals!$B$2:$B$5000,$B$2),"")</f>
        <v/>
      </c>
      <c r="T36" s="52">
        <f>IF($D36="Actual",SUMIFS(Data_Actuals!$E$2:$E$5000,Data_Actuals!$A$2:$A$5000,$A36,Data_Actuals!$B$2:$B$5000,$B$2),"")</f>
        <v/>
      </c>
      <c r="U36" s="52">
        <f>IF($D36="Actual",SUMIFS(Data_Actuals!$F$2:$F$5000,Data_Actuals!$A$2:$A$5000,$A36,Data_Actuals!$B$2:$B$5000,$B$2),"")</f>
        <v/>
      </c>
      <c r="V36" s="52">
        <f>IF($D36="Actual",SUMIFS(Data_Actuals!$G$2:$G$5000,Data_Actuals!$A$2:$A$5000,$A36,Data_Actuals!$B$2:$B$5000,$B$2),"")</f>
        <v/>
      </c>
      <c r="W36" s="52">
        <f>SUMIFS(Plan_Inputs!$C$2:$C$5000,Plan_Inputs!$A$2:$A$5000,$A36,Plan_Inputs!$B$2:$B$5000,$B$2)</f>
        <v/>
      </c>
      <c r="X36" s="53">
        <f>IF($D36="Actual",IFERROR(S36/T36,""),X24)</f>
        <v/>
      </c>
      <c r="Y36" s="52">
        <f>E36</f>
        <v/>
      </c>
      <c r="Z36" s="54">
        <f>INDEX(Calendar!$H$5:$L$52,MATCH($A36,Calendar!$A$5:$A$52,0),MATCH($D$2,Calendar!$H$4:$L$4,0))</f>
        <v/>
      </c>
      <c r="AA36" s="54">
        <f>INDEX(Calendar!$M$5:$M$52,MATCH($A36,Calendar!$A$5:$A$52,0))</f>
        <v/>
      </c>
      <c r="AB36" s="55">
        <f>IF($D36="Actual",IFERROR(S36/Y36,""),AB24)</f>
        <v/>
      </c>
      <c r="AC36" s="56">
        <f>IF($D36="Actual",IFERROR(U36/T36/Z36/AA36,""),AC24)</f>
        <v/>
      </c>
      <c r="AD36" s="57">
        <f>IF($D36="Actual",IFERROR(V36/(U36+V36),""),$K$2)</f>
        <v/>
      </c>
      <c r="AE36" s="56">
        <f>IFERROR(AC36*Z36*AA36,"")</f>
        <v/>
      </c>
      <c r="AF36" s="53">
        <f>K24</f>
        <v/>
      </c>
      <c r="AG36" s="57">
        <f>IF($D36="Forecast",IFERROR(K36/AF36-1,""),"")</f>
        <v/>
      </c>
      <c r="AH36" s="53">
        <f>IF(CPLHSource="National breakdown",CPLH_Breakdown!AR41,SUMIFS(Plan_Inputs!$D$2:$D$5000,Plan_Inputs!$A$2:$A$5000,$A36,Plan_Inputs!$B$2:$B$5000,$B$2))</f>
        <v/>
      </c>
      <c r="AJ36" s="15">
        <f>F36*$AK$11</f>
        <v/>
      </c>
      <c r="AK36" s="9">
        <f>G36*$AK$11</f>
        <v/>
      </c>
      <c r="AL36" s="30">
        <f>H36*$AK$11</f>
        <v/>
      </c>
      <c r="AM36" s="30">
        <f>I36*$AK$11</f>
        <v/>
      </c>
      <c r="AN36" s="30">
        <f>J36*$AK$11</f>
        <v/>
      </c>
      <c r="AP36" s="15">
        <f>F36*$AQ$11</f>
        <v/>
      </c>
      <c r="AQ36" s="9">
        <f>G36*$AQ$11</f>
        <v/>
      </c>
      <c r="AR36" s="30">
        <f>H36*$AQ$11</f>
        <v/>
      </c>
      <c r="AS36" s="30">
        <f>I36*$AQ$11</f>
        <v/>
      </c>
      <c r="AT36" s="30">
        <f>J36*$AQ$11</f>
        <v/>
      </c>
      <c r="AV36" s="15">
        <f>F36*$AW$11</f>
        <v/>
      </c>
      <c r="AW36" s="9">
        <f>G36*$AW$11</f>
        <v/>
      </c>
      <c r="AX36" s="30">
        <f>H36*$AW$11</f>
        <v/>
      </c>
      <c r="AY36" s="30">
        <f>I36*$AW$11</f>
        <v/>
      </c>
      <c r="AZ36" s="30">
        <f>J36*$AW$11</f>
        <v/>
      </c>
    </row>
    <row r="37">
      <c r="A37" s="8" t="n">
        <v>46327</v>
      </c>
      <c r="B37" s="33">
        <f>YEAR(A37)</f>
        <v/>
      </c>
      <c r="C37" s="33">
        <f>MONTH(A37)</f>
        <v/>
      </c>
      <c r="D37">
        <f>IF(A37&lt;=LastActual,"Actual","Forecast")</f>
        <v/>
      </c>
      <c r="E37" s="30">
        <f>IF($D37="Actual",R37,W37)</f>
        <v/>
      </c>
      <c r="F37" s="15">
        <f>IF($D37="Actual",S37,Cases_Forecast!AQ30)</f>
        <v/>
      </c>
      <c r="G37" s="9">
        <f>IF($D37="Actual",T37,IFERROR(F37/K37,0))</f>
        <v/>
      </c>
      <c r="H37" s="30">
        <f>IF($D37="Actual",U37,G37*L37)</f>
        <v/>
      </c>
      <c r="I37" s="30">
        <f>IF($D37="Actual",V37,J37-H37)</f>
        <v/>
      </c>
      <c r="J37" s="30">
        <f>IF($D37="Actual",U37+V37,IFERROR(H37/(1-AD37),0))</f>
        <v/>
      </c>
      <c r="K37" s="10">
        <f>IF($D37="Actual",IFERROR(S37/T37,0),CPLH_Forecast!AQ30)</f>
        <v/>
      </c>
      <c r="L37" s="34">
        <f>IF($D37="Actual",IFERROR(U37/T37,0),N(AE37))</f>
        <v/>
      </c>
      <c r="M37" s="35">
        <f>IFERROR(J37/F37,0)</f>
        <v/>
      </c>
      <c r="N37" s="36">
        <f>IFERROR(J37/E37,0)</f>
        <v/>
      </c>
      <c r="O37" s="36">
        <f>IFERROR(I37/J37,0)</f>
        <v/>
      </c>
      <c r="R37" s="52">
        <f>IF($D37="Actual",SUMIFS(Data_Actuals!$C$2:$C$5000,Data_Actuals!$A$2:$A$5000,$A37,Data_Actuals!$B$2:$B$5000,$B$2),"")</f>
        <v/>
      </c>
      <c r="S37" s="52">
        <f>IF($D37="Actual",SUMIFS(Data_Actuals!$D$2:$D$5000,Data_Actuals!$A$2:$A$5000,$A37,Data_Actuals!$B$2:$B$5000,$B$2),"")</f>
        <v/>
      </c>
      <c r="T37" s="52">
        <f>IF($D37="Actual",SUMIFS(Data_Actuals!$E$2:$E$5000,Data_Actuals!$A$2:$A$5000,$A37,Data_Actuals!$B$2:$B$5000,$B$2),"")</f>
        <v/>
      </c>
      <c r="U37" s="52">
        <f>IF($D37="Actual",SUMIFS(Data_Actuals!$F$2:$F$5000,Data_Actuals!$A$2:$A$5000,$A37,Data_Actuals!$B$2:$B$5000,$B$2),"")</f>
        <v/>
      </c>
      <c r="V37" s="52">
        <f>IF($D37="Actual",SUMIFS(Data_Actuals!$G$2:$G$5000,Data_Actuals!$A$2:$A$5000,$A37,Data_Actuals!$B$2:$B$5000,$B$2),"")</f>
        <v/>
      </c>
      <c r="W37" s="52">
        <f>SUMIFS(Plan_Inputs!$C$2:$C$5000,Plan_Inputs!$A$2:$A$5000,$A37,Plan_Inputs!$B$2:$B$5000,$B$2)</f>
        <v/>
      </c>
      <c r="X37" s="53">
        <f>IF($D37="Actual",IFERROR(S37/T37,""),X25)</f>
        <v/>
      </c>
      <c r="Y37" s="52">
        <f>E37</f>
        <v/>
      </c>
      <c r="Z37" s="54">
        <f>INDEX(Calendar!$H$5:$L$52,MATCH($A37,Calendar!$A$5:$A$52,0),MATCH($D$2,Calendar!$H$4:$L$4,0))</f>
        <v/>
      </c>
      <c r="AA37" s="54">
        <f>INDEX(Calendar!$M$5:$M$52,MATCH($A37,Calendar!$A$5:$A$52,0))</f>
        <v/>
      </c>
      <c r="AB37" s="55">
        <f>IF($D37="Actual",IFERROR(S37/Y37,""),AB25)</f>
        <v/>
      </c>
      <c r="AC37" s="56">
        <f>IF($D37="Actual",IFERROR(U37/T37/Z37/AA37,""),AC25)</f>
        <v/>
      </c>
      <c r="AD37" s="57">
        <f>IF($D37="Actual",IFERROR(V37/(U37+V37),""),$K$2)</f>
        <v/>
      </c>
      <c r="AE37" s="56">
        <f>IFERROR(AC37*Z37*AA37,"")</f>
        <v/>
      </c>
      <c r="AF37" s="53">
        <f>K25</f>
        <v/>
      </c>
      <c r="AG37" s="57">
        <f>IF($D37="Forecast",IFERROR(K37/AF37-1,""),"")</f>
        <v/>
      </c>
      <c r="AH37" s="53">
        <f>IF(CPLHSource="National breakdown",CPLH_Breakdown!AR42,SUMIFS(Plan_Inputs!$D$2:$D$5000,Plan_Inputs!$A$2:$A$5000,$A37,Plan_Inputs!$B$2:$B$5000,$B$2))</f>
        <v/>
      </c>
      <c r="AJ37" s="15">
        <f>F37*$AK$11</f>
        <v/>
      </c>
      <c r="AK37" s="9">
        <f>G37*$AK$11</f>
        <v/>
      </c>
      <c r="AL37" s="30">
        <f>H37*$AK$11</f>
        <v/>
      </c>
      <c r="AM37" s="30">
        <f>I37*$AK$11</f>
        <v/>
      </c>
      <c r="AN37" s="30">
        <f>J37*$AK$11</f>
        <v/>
      </c>
      <c r="AP37" s="15">
        <f>F37*$AQ$11</f>
        <v/>
      </c>
      <c r="AQ37" s="9">
        <f>G37*$AQ$11</f>
        <v/>
      </c>
      <c r="AR37" s="30">
        <f>H37*$AQ$11</f>
        <v/>
      </c>
      <c r="AS37" s="30">
        <f>I37*$AQ$11</f>
        <v/>
      </c>
      <c r="AT37" s="30">
        <f>J37*$AQ$11</f>
        <v/>
      </c>
      <c r="AV37" s="15">
        <f>F37*$AW$11</f>
        <v/>
      </c>
      <c r="AW37" s="9">
        <f>G37*$AW$11</f>
        <v/>
      </c>
      <c r="AX37" s="30">
        <f>H37*$AW$11</f>
        <v/>
      </c>
      <c r="AY37" s="30">
        <f>I37*$AW$11</f>
        <v/>
      </c>
      <c r="AZ37" s="30">
        <f>J37*$AW$11</f>
        <v/>
      </c>
    </row>
    <row r="38">
      <c r="A38" s="37" t="n">
        <v>46357</v>
      </c>
      <c r="B38" s="38">
        <f>YEAR(A38)</f>
        <v/>
      </c>
      <c r="C38" s="38">
        <f>MONTH(A38)</f>
        <v/>
      </c>
      <c r="D38" s="39">
        <f>IF(A38&lt;=LastActual,"Actual","Forecast")</f>
        <v/>
      </c>
      <c r="E38" s="40">
        <f>IF($D38="Actual",R38,W38)</f>
        <v/>
      </c>
      <c r="F38" s="41">
        <f>IF($D38="Actual",S38,Cases_Forecast!AQ31)</f>
        <v/>
      </c>
      <c r="G38" s="42">
        <f>IF($D38="Actual",T38,IFERROR(F38/K38,0))</f>
        <v/>
      </c>
      <c r="H38" s="40">
        <f>IF($D38="Actual",U38,G38*L38)</f>
        <v/>
      </c>
      <c r="I38" s="40">
        <f>IF($D38="Actual",V38,J38-H38)</f>
        <v/>
      </c>
      <c r="J38" s="40">
        <f>IF($D38="Actual",U38+V38,IFERROR(H38/(1-AD38),0))</f>
        <v/>
      </c>
      <c r="K38" s="43">
        <f>IF($D38="Actual",IFERROR(S38/T38,0),CPLH_Forecast!AQ31)</f>
        <v/>
      </c>
      <c r="L38" s="44">
        <f>IF($D38="Actual",IFERROR(U38/T38,0),N(AE38))</f>
        <v/>
      </c>
      <c r="M38" s="45">
        <f>IFERROR(J38/F38,0)</f>
        <v/>
      </c>
      <c r="N38" s="46">
        <f>IFERROR(J38/E38,0)</f>
        <v/>
      </c>
      <c r="O38" s="46">
        <f>IFERROR(I38/J38,0)</f>
        <v/>
      </c>
      <c r="R38" s="52">
        <f>IF($D38="Actual",SUMIFS(Data_Actuals!$C$2:$C$5000,Data_Actuals!$A$2:$A$5000,$A38,Data_Actuals!$B$2:$B$5000,$B$2),"")</f>
        <v/>
      </c>
      <c r="S38" s="52">
        <f>IF($D38="Actual",SUMIFS(Data_Actuals!$D$2:$D$5000,Data_Actuals!$A$2:$A$5000,$A38,Data_Actuals!$B$2:$B$5000,$B$2),"")</f>
        <v/>
      </c>
      <c r="T38" s="52">
        <f>IF($D38="Actual",SUMIFS(Data_Actuals!$E$2:$E$5000,Data_Actuals!$A$2:$A$5000,$A38,Data_Actuals!$B$2:$B$5000,$B$2),"")</f>
        <v/>
      </c>
      <c r="U38" s="52">
        <f>IF($D38="Actual",SUMIFS(Data_Actuals!$F$2:$F$5000,Data_Actuals!$A$2:$A$5000,$A38,Data_Actuals!$B$2:$B$5000,$B$2),"")</f>
        <v/>
      </c>
      <c r="V38" s="52">
        <f>IF($D38="Actual",SUMIFS(Data_Actuals!$G$2:$G$5000,Data_Actuals!$A$2:$A$5000,$A38,Data_Actuals!$B$2:$B$5000,$B$2),"")</f>
        <v/>
      </c>
      <c r="W38" s="52">
        <f>SUMIFS(Plan_Inputs!$C$2:$C$5000,Plan_Inputs!$A$2:$A$5000,$A38,Plan_Inputs!$B$2:$B$5000,$B$2)</f>
        <v/>
      </c>
      <c r="X38" s="53">
        <f>IF($D38="Actual",IFERROR(S38/T38,""),X26)</f>
        <v/>
      </c>
      <c r="Y38" s="52">
        <f>E38</f>
        <v/>
      </c>
      <c r="Z38" s="54">
        <f>INDEX(Calendar!$H$5:$L$52,MATCH($A38,Calendar!$A$5:$A$52,0),MATCH($D$2,Calendar!$H$4:$L$4,0))</f>
        <v/>
      </c>
      <c r="AA38" s="54">
        <f>INDEX(Calendar!$M$5:$M$52,MATCH($A38,Calendar!$A$5:$A$52,0))</f>
        <v/>
      </c>
      <c r="AB38" s="55">
        <f>IF($D38="Actual",IFERROR(S38/Y38,""),AB26)</f>
        <v/>
      </c>
      <c r="AC38" s="56">
        <f>IF($D38="Actual",IFERROR(U38/T38/Z38/AA38,""),AC26)</f>
        <v/>
      </c>
      <c r="AD38" s="57">
        <f>IF($D38="Actual",IFERROR(V38/(U38+V38),""),$K$2)</f>
        <v/>
      </c>
      <c r="AE38" s="56">
        <f>IFERROR(AC38*Z38*AA38,"")</f>
        <v/>
      </c>
      <c r="AF38" s="53">
        <f>K26</f>
        <v/>
      </c>
      <c r="AG38" s="57">
        <f>IF($D38="Forecast",IFERROR(K38/AF38-1,""),"")</f>
        <v/>
      </c>
      <c r="AH38" s="53">
        <f>IF(CPLHSource="National breakdown",CPLH_Breakdown!AR43,SUMIFS(Plan_Inputs!$D$2:$D$5000,Plan_Inputs!$A$2:$A$5000,$A38,Plan_Inputs!$B$2:$B$5000,$B$2))</f>
        <v/>
      </c>
      <c r="AJ38" s="41">
        <f>F38*$AK$11</f>
        <v/>
      </c>
      <c r="AK38" s="42">
        <f>G38*$AK$11</f>
        <v/>
      </c>
      <c r="AL38" s="40">
        <f>H38*$AK$11</f>
        <v/>
      </c>
      <c r="AM38" s="40">
        <f>I38*$AK$11</f>
        <v/>
      </c>
      <c r="AN38" s="40">
        <f>J38*$AK$11</f>
        <v/>
      </c>
      <c r="AP38" s="41">
        <f>F38*$AQ$11</f>
        <v/>
      </c>
      <c r="AQ38" s="42">
        <f>G38*$AQ$11</f>
        <v/>
      </c>
      <c r="AR38" s="40">
        <f>H38*$AQ$11</f>
        <v/>
      </c>
      <c r="AS38" s="40">
        <f>I38*$AQ$11</f>
        <v/>
      </c>
      <c r="AT38" s="40">
        <f>J38*$AQ$11</f>
        <v/>
      </c>
      <c r="AV38" s="41">
        <f>F38*$AW$11</f>
        <v/>
      </c>
      <c r="AW38" s="42">
        <f>G38*$AW$11</f>
        <v/>
      </c>
      <c r="AX38" s="40">
        <f>H38*$AW$11</f>
        <v/>
      </c>
      <c r="AY38" s="40">
        <f>I38*$AW$11</f>
        <v/>
      </c>
      <c r="AZ38" s="40">
        <f>J38*$AW$11</f>
        <v/>
      </c>
    </row>
    <row r="39">
      <c r="A39" s="8" t="n">
        <v>46388</v>
      </c>
      <c r="B39" s="33">
        <f>YEAR(A39)</f>
        <v/>
      </c>
      <c r="C39" s="33">
        <f>MONTH(A39)</f>
        <v/>
      </c>
      <c r="D39">
        <f>IF(A39&lt;=LastActual,"Actual","Forecast")</f>
        <v/>
      </c>
      <c r="E39" s="30">
        <f>IF($D39="Actual",R39,W39)</f>
        <v/>
      </c>
      <c r="F39" s="15">
        <f>IF($D39="Actual",S39,Cases_Forecast!AQ32)</f>
        <v/>
      </c>
      <c r="G39" s="9">
        <f>IF($D39="Actual",T39,IFERROR(F39/K39,0))</f>
        <v/>
      </c>
      <c r="H39" s="30">
        <f>IF($D39="Actual",U39,G39*L39)</f>
        <v/>
      </c>
      <c r="I39" s="30">
        <f>IF($D39="Actual",V39,J39-H39)</f>
        <v/>
      </c>
      <c r="J39" s="30">
        <f>IF($D39="Actual",U39+V39,IFERROR(H39/(1-AD39),0))</f>
        <v/>
      </c>
      <c r="K39" s="10">
        <f>IF($D39="Actual",IFERROR(S39/T39,0),CPLH_Forecast!AQ32)</f>
        <v/>
      </c>
      <c r="L39" s="34">
        <f>IF($D39="Actual",IFERROR(U39/T39,0),N(AE39))</f>
        <v/>
      </c>
      <c r="M39" s="35">
        <f>IFERROR(J39/F39,0)</f>
        <v/>
      </c>
      <c r="N39" s="36">
        <f>IFERROR(J39/E39,0)</f>
        <v/>
      </c>
      <c r="O39" s="36">
        <f>IFERROR(I39/J39,0)</f>
        <v/>
      </c>
      <c r="R39" s="52">
        <f>IF($D39="Actual",SUMIFS(Data_Actuals!$C$2:$C$5000,Data_Actuals!$A$2:$A$5000,$A39,Data_Actuals!$B$2:$B$5000,$B$2),"")</f>
        <v/>
      </c>
      <c r="S39" s="52">
        <f>IF($D39="Actual",SUMIFS(Data_Actuals!$D$2:$D$5000,Data_Actuals!$A$2:$A$5000,$A39,Data_Actuals!$B$2:$B$5000,$B$2),"")</f>
        <v/>
      </c>
      <c r="T39" s="52">
        <f>IF($D39="Actual",SUMIFS(Data_Actuals!$E$2:$E$5000,Data_Actuals!$A$2:$A$5000,$A39,Data_Actuals!$B$2:$B$5000,$B$2),"")</f>
        <v/>
      </c>
      <c r="U39" s="52">
        <f>IF($D39="Actual",SUMIFS(Data_Actuals!$F$2:$F$5000,Data_Actuals!$A$2:$A$5000,$A39,Data_Actuals!$B$2:$B$5000,$B$2),"")</f>
        <v/>
      </c>
      <c r="V39" s="52">
        <f>IF($D39="Actual",SUMIFS(Data_Actuals!$G$2:$G$5000,Data_Actuals!$A$2:$A$5000,$A39,Data_Actuals!$B$2:$B$5000,$B$2),"")</f>
        <v/>
      </c>
      <c r="W39" s="52">
        <f>SUMIFS(Plan_Inputs!$C$2:$C$5000,Plan_Inputs!$A$2:$A$5000,$A39,Plan_Inputs!$B$2:$B$5000,$B$2)</f>
        <v/>
      </c>
      <c r="X39" s="53">
        <f>IF($D39="Actual",IFERROR(S39/T39,""),X27)</f>
        <v/>
      </c>
      <c r="Y39" s="52">
        <f>E39</f>
        <v/>
      </c>
      <c r="Z39" s="54">
        <f>INDEX(Calendar!$H$5:$L$52,MATCH($A39,Calendar!$A$5:$A$52,0),MATCH($D$2,Calendar!$H$4:$L$4,0))</f>
        <v/>
      </c>
      <c r="AA39" s="54">
        <f>INDEX(Calendar!$M$5:$M$52,MATCH($A39,Calendar!$A$5:$A$52,0))</f>
        <v/>
      </c>
      <c r="AB39" s="55">
        <f>IF($D39="Actual",IFERROR(S39/Y39,""),AB27)</f>
        <v/>
      </c>
      <c r="AC39" s="56">
        <f>IF($D39="Actual",IFERROR(U39/T39/Z39/AA39,""),AC27)</f>
        <v/>
      </c>
      <c r="AD39" s="57">
        <f>IF($D39="Actual",IFERROR(V39/(U39+V39),""),$K$2)</f>
        <v/>
      </c>
      <c r="AE39" s="56">
        <f>IFERROR(AC39*Z39*AA39,"")</f>
        <v/>
      </c>
      <c r="AF39" s="53">
        <f>K27</f>
        <v/>
      </c>
      <c r="AG39" s="57">
        <f>IF($D39="Forecast",IFERROR(K39/AF39-1,""),"")</f>
        <v/>
      </c>
      <c r="AH39" s="53">
        <f>IF(CPLHSource="National breakdown",CPLH_Breakdown!AR44,SUMIFS(Plan_Inputs!$D$2:$D$5000,Plan_Inputs!$A$2:$A$5000,$A39,Plan_Inputs!$B$2:$B$5000,$B$2))</f>
        <v/>
      </c>
      <c r="AJ39" s="15">
        <f>F39*$AK$11</f>
        <v/>
      </c>
      <c r="AK39" s="9">
        <f>G39*$AK$11</f>
        <v/>
      </c>
      <c r="AL39" s="30">
        <f>H39*$AK$11</f>
        <v/>
      </c>
      <c r="AM39" s="30">
        <f>I39*$AK$11</f>
        <v/>
      </c>
      <c r="AN39" s="30">
        <f>J39*$AK$11</f>
        <v/>
      </c>
      <c r="AP39" s="15">
        <f>F39*$AQ$11</f>
        <v/>
      </c>
      <c r="AQ39" s="9">
        <f>G39*$AQ$11</f>
        <v/>
      </c>
      <c r="AR39" s="30">
        <f>H39*$AQ$11</f>
        <v/>
      </c>
      <c r="AS39" s="30">
        <f>I39*$AQ$11</f>
        <v/>
      </c>
      <c r="AT39" s="30">
        <f>J39*$AQ$11</f>
        <v/>
      </c>
      <c r="AV39" s="15">
        <f>F39*$AW$11</f>
        <v/>
      </c>
      <c r="AW39" s="9">
        <f>G39*$AW$11</f>
        <v/>
      </c>
      <c r="AX39" s="30">
        <f>H39*$AW$11</f>
        <v/>
      </c>
      <c r="AY39" s="30">
        <f>I39*$AW$11</f>
        <v/>
      </c>
      <c r="AZ39" s="30">
        <f>J39*$AW$11</f>
        <v/>
      </c>
    </row>
    <row r="40">
      <c r="A40" s="8" t="n">
        <v>46419</v>
      </c>
      <c r="B40" s="33">
        <f>YEAR(A40)</f>
        <v/>
      </c>
      <c r="C40" s="33">
        <f>MONTH(A40)</f>
        <v/>
      </c>
      <c r="D40">
        <f>IF(A40&lt;=LastActual,"Actual","Forecast")</f>
        <v/>
      </c>
      <c r="E40" s="30">
        <f>IF($D40="Actual",R40,W40)</f>
        <v/>
      </c>
      <c r="F40" s="15">
        <f>IF($D40="Actual",S40,Cases_Forecast!AQ33)</f>
        <v/>
      </c>
      <c r="G40" s="9">
        <f>IF($D40="Actual",T40,IFERROR(F40/K40,0))</f>
        <v/>
      </c>
      <c r="H40" s="30">
        <f>IF($D40="Actual",U40,G40*L40)</f>
        <v/>
      </c>
      <c r="I40" s="30">
        <f>IF($D40="Actual",V40,J40-H40)</f>
        <v/>
      </c>
      <c r="J40" s="30">
        <f>IF($D40="Actual",U40+V40,IFERROR(H40/(1-AD40),0))</f>
        <v/>
      </c>
      <c r="K40" s="10">
        <f>IF($D40="Actual",IFERROR(S40/T40,0),CPLH_Forecast!AQ33)</f>
        <v/>
      </c>
      <c r="L40" s="34">
        <f>IF($D40="Actual",IFERROR(U40/T40,0),N(AE40))</f>
        <v/>
      </c>
      <c r="M40" s="35">
        <f>IFERROR(J40/F40,0)</f>
        <v/>
      </c>
      <c r="N40" s="36">
        <f>IFERROR(J40/E40,0)</f>
        <v/>
      </c>
      <c r="O40" s="36">
        <f>IFERROR(I40/J40,0)</f>
        <v/>
      </c>
      <c r="R40" s="52">
        <f>IF($D40="Actual",SUMIFS(Data_Actuals!$C$2:$C$5000,Data_Actuals!$A$2:$A$5000,$A40,Data_Actuals!$B$2:$B$5000,$B$2),"")</f>
        <v/>
      </c>
      <c r="S40" s="52">
        <f>IF($D40="Actual",SUMIFS(Data_Actuals!$D$2:$D$5000,Data_Actuals!$A$2:$A$5000,$A40,Data_Actuals!$B$2:$B$5000,$B$2),"")</f>
        <v/>
      </c>
      <c r="T40" s="52">
        <f>IF($D40="Actual",SUMIFS(Data_Actuals!$E$2:$E$5000,Data_Actuals!$A$2:$A$5000,$A40,Data_Actuals!$B$2:$B$5000,$B$2),"")</f>
        <v/>
      </c>
      <c r="U40" s="52">
        <f>IF($D40="Actual",SUMIFS(Data_Actuals!$F$2:$F$5000,Data_Actuals!$A$2:$A$5000,$A40,Data_Actuals!$B$2:$B$5000,$B$2),"")</f>
        <v/>
      </c>
      <c r="V40" s="52">
        <f>IF($D40="Actual",SUMIFS(Data_Actuals!$G$2:$G$5000,Data_Actuals!$A$2:$A$5000,$A40,Data_Actuals!$B$2:$B$5000,$B$2),"")</f>
        <v/>
      </c>
      <c r="W40" s="52">
        <f>SUMIFS(Plan_Inputs!$C$2:$C$5000,Plan_Inputs!$A$2:$A$5000,$A40,Plan_Inputs!$B$2:$B$5000,$B$2)</f>
        <v/>
      </c>
      <c r="X40" s="53">
        <f>IF($D40="Actual",IFERROR(S40/T40,""),X28)</f>
        <v/>
      </c>
      <c r="Y40" s="52">
        <f>E40</f>
        <v/>
      </c>
      <c r="Z40" s="54">
        <f>INDEX(Calendar!$H$5:$L$52,MATCH($A40,Calendar!$A$5:$A$52,0),MATCH($D$2,Calendar!$H$4:$L$4,0))</f>
        <v/>
      </c>
      <c r="AA40" s="54">
        <f>INDEX(Calendar!$M$5:$M$52,MATCH($A40,Calendar!$A$5:$A$52,0))</f>
        <v/>
      </c>
      <c r="AB40" s="55">
        <f>IF($D40="Actual",IFERROR(S40/Y40,""),AB28)</f>
        <v/>
      </c>
      <c r="AC40" s="56">
        <f>IF($D40="Actual",IFERROR(U40/T40/Z40/AA40,""),AC28)</f>
        <v/>
      </c>
      <c r="AD40" s="57">
        <f>IF($D40="Actual",IFERROR(V40/(U40+V40),""),$K$2)</f>
        <v/>
      </c>
      <c r="AE40" s="56">
        <f>IFERROR(AC40*Z40*AA40,"")</f>
        <v/>
      </c>
      <c r="AF40" s="53">
        <f>K28</f>
        <v/>
      </c>
      <c r="AG40" s="57">
        <f>IF($D40="Forecast",IFERROR(K40/AF40-1,""),"")</f>
        <v/>
      </c>
      <c r="AH40" s="53">
        <f>IF(CPLHSource="National breakdown",CPLH_Breakdown!AR45,SUMIFS(Plan_Inputs!$D$2:$D$5000,Plan_Inputs!$A$2:$A$5000,$A40,Plan_Inputs!$B$2:$B$5000,$B$2))</f>
        <v/>
      </c>
      <c r="AJ40" s="15">
        <f>F40*$AK$11</f>
        <v/>
      </c>
      <c r="AK40" s="9">
        <f>G40*$AK$11</f>
        <v/>
      </c>
      <c r="AL40" s="30">
        <f>H40*$AK$11</f>
        <v/>
      </c>
      <c r="AM40" s="30">
        <f>I40*$AK$11</f>
        <v/>
      </c>
      <c r="AN40" s="30">
        <f>J40*$AK$11</f>
        <v/>
      </c>
      <c r="AP40" s="15">
        <f>F40*$AQ$11</f>
        <v/>
      </c>
      <c r="AQ40" s="9">
        <f>G40*$AQ$11</f>
        <v/>
      </c>
      <c r="AR40" s="30">
        <f>H40*$AQ$11</f>
        <v/>
      </c>
      <c r="AS40" s="30">
        <f>I40*$AQ$11</f>
        <v/>
      </c>
      <c r="AT40" s="30">
        <f>J40*$AQ$11</f>
        <v/>
      </c>
      <c r="AV40" s="15">
        <f>F40*$AW$11</f>
        <v/>
      </c>
      <c r="AW40" s="9">
        <f>G40*$AW$11</f>
        <v/>
      </c>
      <c r="AX40" s="30">
        <f>H40*$AW$11</f>
        <v/>
      </c>
      <c r="AY40" s="30">
        <f>I40*$AW$11</f>
        <v/>
      </c>
      <c r="AZ40" s="30">
        <f>J40*$AW$11</f>
        <v/>
      </c>
    </row>
    <row r="41">
      <c r="A41" s="8" t="n">
        <v>46447</v>
      </c>
      <c r="B41" s="33">
        <f>YEAR(A41)</f>
        <v/>
      </c>
      <c r="C41" s="33">
        <f>MONTH(A41)</f>
        <v/>
      </c>
      <c r="D41">
        <f>IF(A41&lt;=LastActual,"Actual","Forecast")</f>
        <v/>
      </c>
      <c r="E41" s="30">
        <f>IF($D41="Actual",R41,W41)</f>
        <v/>
      </c>
      <c r="F41" s="15">
        <f>IF($D41="Actual",S41,Cases_Forecast!AQ34)</f>
        <v/>
      </c>
      <c r="G41" s="9">
        <f>IF($D41="Actual",T41,IFERROR(F41/K41,0))</f>
        <v/>
      </c>
      <c r="H41" s="30">
        <f>IF($D41="Actual",U41,G41*L41)</f>
        <v/>
      </c>
      <c r="I41" s="30">
        <f>IF($D41="Actual",V41,J41-H41)</f>
        <v/>
      </c>
      <c r="J41" s="30">
        <f>IF($D41="Actual",U41+V41,IFERROR(H41/(1-AD41),0))</f>
        <v/>
      </c>
      <c r="K41" s="10">
        <f>IF($D41="Actual",IFERROR(S41/T41,0),CPLH_Forecast!AQ34)</f>
        <v/>
      </c>
      <c r="L41" s="34">
        <f>IF($D41="Actual",IFERROR(U41/T41,0),N(AE41))</f>
        <v/>
      </c>
      <c r="M41" s="35">
        <f>IFERROR(J41/F41,0)</f>
        <v/>
      </c>
      <c r="N41" s="36">
        <f>IFERROR(J41/E41,0)</f>
        <v/>
      </c>
      <c r="O41" s="36">
        <f>IFERROR(I41/J41,0)</f>
        <v/>
      </c>
      <c r="R41" s="52">
        <f>IF($D41="Actual",SUMIFS(Data_Actuals!$C$2:$C$5000,Data_Actuals!$A$2:$A$5000,$A41,Data_Actuals!$B$2:$B$5000,$B$2),"")</f>
        <v/>
      </c>
      <c r="S41" s="52">
        <f>IF($D41="Actual",SUMIFS(Data_Actuals!$D$2:$D$5000,Data_Actuals!$A$2:$A$5000,$A41,Data_Actuals!$B$2:$B$5000,$B$2),"")</f>
        <v/>
      </c>
      <c r="T41" s="52">
        <f>IF($D41="Actual",SUMIFS(Data_Actuals!$E$2:$E$5000,Data_Actuals!$A$2:$A$5000,$A41,Data_Actuals!$B$2:$B$5000,$B$2),"")</f>
        <v/>
      </c>
      <c r="U41" s="52">
        <f>IF($D41="Actual",SUMIFS(Data_Actuals!$F$2:$F$5000,Data_Actuals!$A$2:$A$5000,$A41,Data_Actuals!$B$2:$B$5000,$B$2),"")</f>
        <v/>
      </c>
      <c r="V41" s="52">
        <f>IF($D41="Actual",SUMIFS(Data_Actuals!$G$2:$G$5000,Data_Actuals!$A$2:$A$5000,$A41,Data_Actuals!$B$2:$B$5000,$B$2),"")</f>
        <v/>
      </c>
      <c r="W41" s="52">
        <f>SUMIFS(Plan_Inputs!$C$2:$C$5000,Plan_Inputs!$A$2:$A$5000,$A41,Plan_Inputs!$B$2:$B$5000,$B$2)</f>
        <v/>
      </c>
      <c r="X41" s="53">
        <f>IF($D41="Actual",IFERROR(S41/T41,""),X29)</f>
        <v/>
      </c>
      <c r="Y41" s="52">
        <f>E41</f>
        <v/>
      </c>
      <c r="Z41" s="54">
        <f>INDEX(Calendar!$H$5:$L$52,MATCH($A41,Calendar!$A$5:$A$52,0),MATCH($D$2,Calendar!$H$4:$L$4,0))</f>
        <v/>
      </c>
      <c r="AA41" s="54">
        <f>INDEX(Calendar!$M$5:$M$52,MATCH($A41,Calendar!$A$5:$A$52,0))</f>
        <v/>
      </c>
      <c r="AB41" s="55">
        <f>IF($D41="Actual",IFERROR(S41/Y41,""),AB29)</f>
        <v/>
      </c>
      <c r="AC41" s="56">
        <f>IF($D41="Actual",IFERROR(U41/T41/Z41/AA41,""),AC29)</f>
        <v/>
      </c>
      <c r="AD41" s="57">
        <f>IF($D41="Actual",IFERROR(V41/(U41+V41),""),$K$2)</f>
        <v/>
      </c>
      <c r="AE41" s="56">
        <f>IFERROR(AC41*Z41*AA41,"")</f>
        <v/>
      </c>
      <c r="AF41" s="53">
        <f>K29</f>
        <v/>
      </c>
      <c r="AG41" s="57">
        <f>IF($D41="Forecast",IFERROR(K41/AF41-1,""),"")</f>
        <v/>
      </c>
      <c r="AH41" s="53">
        <f>IF(CPLHSource="National breakdown",CPLH_Breakdown!AR46,SUMIFS(Plan_Inputs!$D$2:$D$5000,Plan_Inputs!$A$2:$A$5000,$A41,Plan_Inputs!$B$2:$B$5000,$B$2))</f>
        <v/>
      </c>
      <c r="AJ41" s="15">
        <f>F41*$AK$11</f>
        <v/>
      </c>
      <c r="AK41" s="9">
        <f>G41*$AK$11</f>
        <v/>
      </c>
      <c r="AL41" s="30">
        <f>H41*$AK$11</f>
        <v/>
      </c>
      <c r="AM41" s="30">
        <f>I41*$AK$11</f>
        <v/>
      </c>
      <c r="AN41" s="30">
        <f>J41*$AK$11</f>
        <v/>
      </c>
      <c r="AP41" s="15">
        <f>F41*$AQ$11</f>
        <v/>
      </c>
      <c r="AQ41" s="9">
        <f>G41*$AQ$11</f>
        <v/>
      </c>
      <c r="AR41" s="30">
        <f>H41*$AQ$11</f>
        <v/>
      </c>
      <c r="AS41" s="30">
        <f>I41*$AQ$11</f>
        <v/>
      </c>
      <c r="AT41" s="30">
        <f>J41*$AQ$11</f>
        <v/>
      </c>
      <c r="AV41" s="15">
        <f>F41*$AW$11</f>
        <v/>
      </c>
      <c r="AW41" s="9">
        <f>G41*$AW$11</f>
        <v/>
      </c>
      <c r="AX41" s="30">
        <f>H41*$AW$11</f>
        <v/>
      </c>
      <c r="AY41" s="30">
        <f>I41*$AW$11</f>
        <v/>
      </c>
      <c r="AZ41" s="30">
        <f>J41*$AW$11</f>
        <v/>
      </c>
    </row>
    <row r="42">
      <c r="A42" s="8" t="n">
        <v>46478</v>
      </c>
      <c r="B42" s="33">
        <f>YEAR(A42)</f>
        <v/>
      </c>
      <c r="C42" s="33">
        <f>MONTH(A42)</f>
        <v/>
      </c>
      <c r="D42">
        <f>IF(A42&lt;=LastActual,"Actual","Forecast")</f>
        <v/>
      </c>
      <c r="E42" s="30">
        <f>IF($D42="Actual",R42,W42)</f>
        <v/>
      </c>
      <c r="F42" s="15">
        <f>IF($D42="Actual",S42,Cases_Forecast!AQ35)</f>
        <v/>
      </c>
      <c r="G42" s="9">
        <f>IF($D42="Actual",T42,IFERROR(F42/K42,0))</f>
        <v/>
      </c>
      <c r="H42" s="30">
        <f>IF($D42="Actual",U42,G42*L42)</f>
        <v/>
      </c>
      <c r="I42" s="30">
        <f>IF($D42="Actual",V42,J42-H42)</f>
        <v/>
      </c>
      <c r="J42" s="30">
        <f>IF($D42="Actual",U42+V42,IFERROR(H42/(1-AD42),0))</f>
        <v/>
      </c>
      <c r="K42" s="10">
        <f>IF($D42="Actual",IFERROR(S42/T42,0),CPLH_Forecast!AQ35)</f>
        <v/>
      </c>
      <c r="L42" s="34">
        <f>IF($D42="Actual",IFERROR(U42/T42,0),N(AE42))</f>
        <v/>
      </c>
      <c r="M42" s="35">
        <f>IFERROR(J42/F42,0)</f>
        <v/>
      </c>
      <c r="N42" s="36">
        <f>IFERROR(J42/E42,0)</f>
        <v/>
      </c>
      <c r="O42" s="36">
        <f>IFERROR(I42/J42,0)</f>
        <v/>
      </c>
      <c r="R42" s="52">
        <f>IF($D42="Actual",SUMIFS(Data_Actuals!$C$2:$C$5000,Data_Actuals!$A$2:$A$5000,$A42,Data_Actuals!$B$2:$B$5000,$B$2),"")</f>
        <v/>
      </c>
      <c r="S42" s="52">
        <f>IF($D42="Actual",SUMIFS(Data_Actuals!$D$2:$D$5000,Data_Actuals!$A$2:$A$5000,$A42,Data_Actuals!$B$2:$B$5000,$B$2),"")</f>
        <v/>
      </c>
      <c r="T42" s="52">
        <f>IF($D42="Actual",SUMIFS(Data_Actuals!$E$2:$E$5000,Data_Actuals!$A$2:$A$5000,$A42,Data_Actuals!$B$2:$B$5000,$B$2),"")</f>
        <v/>
      </c>
      <c r="U42" s="52">
        <f>IF($D42="Actual",SUMIFS(Data_Actuals!$F$2:$F$5000,Data_Actuals!$A$2:$A$5000,$A42,Data_Actuals!$B$2:$B$5000,$B$2),"")</f>
        <v/>
      </c>
      <c r="V42" s="52">
        <f>IF($D42="Actual",SUMIFS(Data_Actuals!$G$2:$G$5000,Data_Actuals!$A$2:$A$5000,$A42,Data_Actuals!$B$2:$B$5000,$B$2),"")</f>
        <v/>
      </c>
      <c r="W42" s="52">
        <f>SUMIFS(Plan_Inputs!$C$2:$C$5000,Plan_Inputs!$A$2:$A$5000,$A42,Plan_Inputs!$B$2:$B$5000,$B$2)</f>
        <v/>
      </c>
      <c r="X42" s="53">
        <f>IF($D42="Actual",IFERROR(S42/T42,""),X30)</f>
        <v/>
      </c>
      <c r="Y42" s="52">
        <f>E42</f>
        <v/>
      </c>
      <c r="Z42" s="54">
        <f>INDEX(Calendar!$H$5:$L$52,MATCH($A42,Calendar!$A$5:$A$52,0),MATCH($D$2,Calendar!$H$4:$L$4,0))</f>
        <v/>
      </c>
      <c r="AA42" s="54">
        <f>INDEX(Calendar!$M$5:$M$52,MATCH($A42,Calendar!$A$5:$A$52,0))</f>
        <v/>
      </c>
      <c r="AB42" s="55">
        <f>IF($D42="Actual",IFERROR(S42/Y42,""),AB30)</f>
        <v/>
      </c>
      <c r="AC42" s="56">
        <f>IF($D42="Actual",IFERROR(U42/T42/Z42/AA42,""),AC30)</f>
        <v/>
      </c>
      <c r="AD42" s="57">
        <f>IF($D42="Actual",IFERROR(V42/(U42+V42),""),$K$2)</f>
        <v/>
      </c>
      <c r="AE42" s="56">
        <f>IFERROR(AC42*Z42*AA42,"")</f>
        <v/>
      </c>
      <c r="AF42" s="53">
        <f>K30</f>
        <v/>
      </c>
      <c r="AG42" s="57">
        <f>IF($D42="Forecast",IFERROR(K42/AF42-1,""),"")</f>
        <v/>
      </c>
      <c r="AH42" s="53">
        <f>IF(CPLHSource="National breakdown",CPLH_Breakdown!AR47,SUMIFS(Plan_Inputs!$D$2:$D$5000,Plan_Inputs!$A$2:$A$5000,$A42,Plan_Inputs!$B$2:$B$5000,$B$2))</f>
        <v/>
      </c>
      <c r="AJ42" s="15">
        <f>F42*$AK$11</f>
        <v/>
      </c>
      <c r="AK42" s="9">
        <f>G42*$AK$11</f>
        <v/>
      </c>
      <c r="AL42" s="30">
        <f>H42*$AK$11</f>
        <v/>
      </c>
      <c r="AM42" s="30">
        <f>I42*$AK$11</f>
        <v/>
      </c>
      <c r="AN42" s="30">
        <f>J42*$AK$11</f>
        <v/>
      </c>
      <c r="AP42" s="15">
        <f>F42*$AQ$11</f>
        <v/>
      </c>
      <c r="AQ42" s="9">
        <f>G42*$AQ$11</f>
        <v/>
      </c>
      <c r="AR42" s="30">
        <f>H42*$AQ$11</f>
        <v/>
      </c>
      <c r="AS42" s="30">
        <f>I42*$AQ$11</f>
        <v/>
      </c>
      <c r="AT42" s="30">
        <f>J42*$AQ$11</f>
        <v/>
      </c>
      <c r="AV42" s="15">
        <f>F42*$AW$11</f>
        <v/>
      </c>
      <c r="AW42" s="9">
        <f>G42*$AW$11</f>
        <v/>
      </c>
      <c r="AX42" s="30">
        <f>H42*$AW$11</f>
        <v/>
      </c>
      <c r="AY42" s="30">
        <f>I42*$AW$11</f>
        <v/>
      </c>
      <c r="AZ42" s="30">
        <f>J42*$AW$11</f>
        <v/>
      </c>
    </row>
    <row r="43">
      <c r="A43" s="8" t="n">
        <v>46508</v>
      </c>
      <c r="B43" s="33">
        <f>YEAR(A43)</f>
        <v/>
      </c>
      <c r="C43" s="33">
        <f>MONTH(A43)</f>
        <v/>
      </c>
      <c r="D43">
        <f>IF(A43&lt;=LastActual,"Actual","Forecast")</f>
        <v/>
      </c>
      <c r="E43" s="30">
        <f>IF($D43="Actual",R43,W43)</f>
        <v/>
      </c>
      <c r="F43" s="15">
        <f>IF($D43="Actual",S43,Cases_Forecast!AQ36)</f>
        <v/>
      </c>
      <c r="G43" s="9">
        <f>IF($D43="Actual",T43,IFERROR(F43/K43,0))</f>
        <v/>
      </c>
      <c r="H43" s="30">
        <f>IF($D43="Actual",U43,G43*L43)</f>
        <v/>
      </c>
      <c r="I43" s="30">
        <f>IF($D43="Actual",V43,J43-H43)</f>
        <v/>
      </c>
      <c r="J43" s="30">
        <f>IF($D43="Actual",U43+V43,IFERROR(H43/(1-AD43),0))</f>
        <v/>
      </c>
      <c r="K43" s="10">
        <f>IF($D43="Actual",IFERROR(S43/T43,0),CPLH_Forecast!AQ36)</f>
        <v/>
      </c>
      <c r="L43" s="34">
        <f>IF($D43="Actual",IFERROR(U43/T43,0),N(AE43))</f>
        <v/>
      </c>
      <c r="M43" s="35">
        <f>IFERROR(J43/F43,0)</f>
        <v/>
      </c>
      <c r="N43" s="36">
        <f>IFERROR(J43/E43,0)</f>
        <v/>
      </c>
      <c r="O43" s="36">
        <f>IFERROR(I43/J43,0)</f>
        <v/>
      </c>
      <c r="R43" s="52">
        <f>IF($D43="Actual",SUMIFS(Data_Actuals!$C$2:$C$5000,Data_Actuals!$A$2:$A$5000,$A43,Data_Actuals!$B$2:$B$5000,$B$2),"")</f>
        <v/>
      </c>
      <c r="S43" s="52">
        <f>IF($D43="Actual",SUMIFS(Data_Actuals!$D$2:$D$5000,Data_Actuals!$A$2:$A$5000,$A43,Data_Actuals!$B$2:$B$5000,$B$2),"")</f>
        <v/>
      </c>
      <c r="T43" s="52">
        <f>IF($D43="Actual",SUMIFS(Data_Actuals!$E$2:$E$5000,Data_Actuals!$A$2:$A$5000,$A43,Data_Actuals!$B$2:$B$5000,$B$2),"")</f>
        <v/>
      </c>
      <c r="U43" s="52">
        <f>IF($D43="Actual",SUMIFS(Data_Actuals!$F$2:$F$5000,Data_Actuals!$A$2:$A$5000,$A43,Data_Actuals!$B$2:$B$5000,$B$2),"")</f>
        <v/>
      </c>
      <c r="V43" s="52">
        <f>IF($D43="Actual",SUMIFS(Data_Actuals!$G$2:$G$5000,Data_Actuals!$A$2:$A$5000,$A43,Data_Actuals!$B$2:$B$5000,$B$2),"")</f>
        <v/>
      </c>
      <c r="W43" s="52">
        <f>SUMIFS(Plan_Inputs!$C$2:$C$5000,Plan_Inputs!$A$2:$A$5000,$A43,Plan_Inputs!$B$2:$B$5000,$B$2)</f>
        <v/>
      </c>
      <c r="X43" s="53">
        <f>IF($D43="Actual",IFERROR(S43/T43,""),X31)</f>
        <v/>
      </c>
      <c r="Y43" s="52">
        <f>E43</f>
        <v/>
      </c>
      <c r="Z43" s="54">
        <f>INDEX(Calendar!$H$5:$L$52,MATCH($A43,Calendar!$A$5:$A$52,0),MATCH($D$2,Calendar!$H$4:$L$4,0))</f>
        <v/>
      </c>
      <c r="AA43" s="54">
        <f>INDEX(Calendar!$M$5:$M$52,MATCH($A43,Calendar!$A$5:$A$52,0))</f>
        <v/>
      </c>
      <c r="AB43" s="55">
        <f>IF($D43="Actual",IFERROR(S43/Y43,""),AB31)</f>
        <v/>
      </c>
      <c r="AC43" s="56">
        <f>IF($D43="Actual",IFERROR(U43/T43/Z43/AA43,""),AC31)</f>
        <v/>
      </c>
      <c r="AD43" s="57">
        <f>IF($D43="Actual",IFERROR(V43/(U43+V43),""),$K$2)</f>
        <v/>
      </c>
      <c r="AE43" s="56">
        <f>IFERROR(AC43*Z43*AA43,"")</f>
        <v/>
      </c>
      <c r="AF43" s="53">
        <f>K31</f>
        <v/>
      </c>
      <c r="AG43" s="57">
        <f>IF($D43="Forecast",IFERROR(K43/AF43-1,""),"")</f>
        <v/>
      </c>
      <c r="AH43" s="53">
        <f>IF(CPLHSource="National breakdown",CPLH_Breakdown!AR48,SUMIFS(Plan_Inputs!$D$2:$D$5000,Plan_Inputs!$A$2:$A$5000,$A43,Plan_Inputs!$B$2:$B$5000,$B$2))</f>
        <v/>
      </c>
      <c r="AJ43" s="15">
        <f>F43*$AK$11</f>
        <v/>
      </c>
      <c r="AK43" s="9">
        <f>G43*$AK$11</f>
        <v/>
      </c>
      <c r="AL43" s="30">
        <f>H43*$AK$11</f>
        <v/>
      </c>
      <c r="AM43" s="30">
        <f>I43*$AK$11</f>
        <v/>
      </c>
      <c r="AN43" s="30">
        <f>J43*$AK$11</f>
        <v/>
      </c>
      <c r="AP43" s="15">
        <f>F43*$AQ$11</f>
        <v/>
      </c>
      <c r="AQ43" s="9">
        <f>G43*$AQ$11</f>
        <v/>
      </c>
      <c r="AR43" s="30">
        <f>H43*$AQ$11</f>
        <v/>
      </c>
      <c r="AS43" s="30">
        <f>I43*$AQ$11</f>
        <v/>
      </c>
      <c r="AT43" s="30">
        <f>J43*$AQ$11</f>
        <v/>
      </c>
      <c r="AV43" s="15">
        <f>F43*$AW$11</f>
        <v/>
      </c>
      <c r="AW43" s="9">
        <f>G43*$AW$11</f>
        <v/>
      </c>
      <c r="AX43" s="30">
        <f>H43*$AW$11</f>
        <v/>
      </c>
      <c r="AY43" s="30">
        <f>I43*$AW$11</f>
        <v/>
      </c>
      <c r="AZ43" s="30">
        <f>J43*$AW$11</f>
        <v/>
      </c>
    </row>
    <row r="44">
      <c r="A44" s="8" t="n">
        <v>46539</v>
      </c>
      <c r="B44" s="33">
        <f>YEAR(A44)</f>
        <v/>
      </c>
      <c r="C44" s="33">
        <f>MONTH(A44)</f>
        <v/>
      </c>
      <c r="D44">
        <f>IF(A44&lt;=LastActual,"Actual","Forecast")</f>
        <v/>
      </c>
      <c r="E44" s="30">
        <f>IF($D44="Actual",R44,W44)</f>
        <v/>
      </c>
      <c r="F44" s="15">
        <f>IF($D44="Actual",S44,Cases_Forecast!AQ37)</f>
        <v/>
      </c>
      <c r="G44" s="9">
        <f>IF($D44="Actual",T44,IFERROR(F44/K44,0))</f>
        <v/>
      </c>
      <c r="H44" s="30">
        <f>IF($D44="Actual",U44,G44*L44)</f>
        <v/>
      </c>
      <c r="I44" s="30">
        <f>IF($D44="Actual",V44,J44-H44)</f>
        <v/>
      </c>
      <c r="J44" s="30">
        <f>IF($D44="Actual",U44+V44,IFERROR(H44/(1-AD44),0))</f>
        <v/>
      </c>
      <c r="K44" s="10">
        <f>IF($D44="Actual",IFERROR(S44/T44,0),CPLH_Forecast!AQ37)</f>
        <v/>
      </c>
      <c r="L44" s="34">
        <f>IF($D44="Actual",IFERROR(U44/T44,0),N(AE44))</f>
        <v/>
      </c>
      <c r="M44" s="35">
        <f>IFERROR(J44/F44,0)</f>
        <v/>
      </c>
      <c r="N44" s="36">
        <f>IFERROR(J44/E44,0)</f>
        <v/>
      </c>
      <c r="O44" s="36">
        <f>IFERROR(I44/J44,0)</f>
        <v/>
      </c>
      <c r="R44" s="52">
        <f>IF($D44="Actual",SUMIFS(Data_Actuals!$C$2:$C$5000,Data_Actuals!$A$2:$A$5000,$A44,Data_Actuals!$B$2:$B$5000,$B$2),"")</f>
        <v/>
      </c>
      <c r="S44" s="52">
        <f>IF($D44="Actual",SUMIFS(Data_Actuals!$D$2:$D$5000,Data_Actuals!$A$2:$A$5000,$A44,Data_Actuals!$B$2:$B$5000,$B$2),"")</f>
        <v/>
      </c>
      <c r="T44" s="52">
        <f>IF($D44="Actual",SUMIFS(Data_Actuals!$E$2:$E$5000,Data_Actuals!$A$2:$A$5000,$A44,Data_Actuals!$B$2:$B$5000,$B$2),"")</f>
        <v/>
      </c>
      <c r="U44" s="52">
        <f>IF($D44="Actual",SUMIFS(Data_Actuals!$F$2:$F$5000,Data_Actuals!$A$2:$A$5000,$A44,Data_Actuals!$B$2:$B$5000,$B$2),"")</f>
        <v/>
      </c>
      <c r="V44" s="52">
        <f>IF($D44="Actual",SUMIFS(Data_Actuals!$G$2:$G$5000,Data_Actuals!$A$2:$A$5000,$A44,Data_Actuals!$B$2:$B$5000,$B$2),"")</f>
        <v/>
      </c>
      <c r="W44" s="52">
        <f>SUMIFS(Plan_Inputs!$C$2:$C$5000,Plan_Inputs!$A$2:$A$5000,$A44,Plan_Inputs!$B$2:$B$5000,$B$2)</f>
        <v/>
      </c>
      <c r="X44" s="53">
        <f>IF($D44="Actual",IFERROR(S44/T44,""),X32)</f>
        <v/>
      </c>
      <c r="Y44" s="52">
        <f>E44</f>
        <v/>
      </c>
      <c r="Z44" s="54">
        <f>INDEX(Calendar!$H$5:$L$52,MATCH($A44,Calendar!$A$5:$A$52,0),MATCH($D$2,Calendar!$H$4:$L$4,0))</f>
        <v/>
      </c>
      <c r="AA44" s="54">
        <f>INDEX(Calendar!$M$5:$M$52,MATCH($A44,Calendar!$A$5:$A$52,0))</f>
        <v/>
      </c>
      <c r="AB44" s="55">
        <f>IF($D44="Actual",IFERROR(S44/Y44,""),AB32)</f>
        <v/>
      </c>
      <c r="AC44" s="56">
        <f>IF($D44="Actual",IFERROR(U44/T44/Z44/AA44,""),AC32)</f>
        <v/>
      </c>
      <c r="AD44" s="57">
        <f>IF($D44="Actual",IFERROR(V44/(U44+V44),""),$K$2)</f>
        <v/>
      </c>
      <c r="AE44" s="56">
        <f>IFERROR(AC44*Z44*AA44,"")</f>
        <v/>
      </c>
      <c r="AF44" s="53">
        <f>K32</f>
        <v/>
      </c>
      <c r="AG44" s="57">
        <f>IF($D44="Forecast",IFERROR(K44/AF44-1,""),"")</f>
        <v/>
      </c>
      <c r="AH44" s="53">
        <f>IF(CPLHSource="National breakdown",CPLH_Breakdown!AR49,SUMIFS(Plan_Inputs!$D$2:$D$5000,Plan_Inputs!$A$2:$A$5000,$A44,Plan_Inputs!$B$2:$B$5000,$B$2))</f>
        <v/>
      </c>
      <c r="AJ44" s="15">
        <f>F44*$AK$11</f>
        <v/>
      </c>
      <c r="AK44" s="9">
        <f>G44*$AK$11</f>
        <v/>
      </c>
      <c r="AL44" s="30">
        <f>H44*$AK$11</f>
        <v/>
      </c>
      <c r="AM44" s="30">
        <f>I44*$AK$11</f>
        <v/>
      </c>
      <c r="AN44" s="30">
        <f>J44*$AK$11</f>
        <v/>
      </c>
      <c r="AP44" s="15">
        <f>F44*$AQ$11</f>
        <v/>
      </c>
      <c r="AQ44" s="9">
        <f>G44*$AQ$11</f>
        <v/>
      </c>
      <c r="AR44" s="30">
        <f>H44*$AQ$11</f>
        <v/>
      </c>
      <c r="AS44" s="30">
        <f>I44*$AQ$11</f>
        <v/>
      </c>
      <c r="AT44" s="30">
        <f>J44*$AQ$11</f>
        <v/>
      </c>
      <c r="AV44" s="15">
        <f>F44*$AW$11</f>
        <v/>
      </c>
      <c r="AW44" s="9">
        <f>G44*$AW$11</f>
        <v/>
      </c>
      <c r="AX44" s="30">
        <f>H44*$AW$11</f>
        <v/>
      </c>
      <c r="AY44" s="30">
        <f>I44*$AW$11</f>
        <v/>
      </c>
      <c r="AZ44" s="30">
        <f>J44*$AW$11</f>
        <v/>
      </c>
    </row>
    <row r="45">
      <c r="A45" s="8" t="n">
        <v>46569</v>
      </c>
      <c r="B45" s="33">
        <f>YEAR(A45)</f>
        <v/>
      </c>
      <c r="C45" s="33">
        <f>MONTH(A45)</f>
        <v/>
      </c>
      <c r="D45">
        <f>IF(A45&lt;=LastActual,"Actual","Forecast")</f>
        <v/>
      </c>
      <c r="E45" s="30">
        <f>IF($D45="Actual",R45,W45)</f>
        <v/>
      </c>
      <c r="F45" s="15">
        <f>IF($D45="Actual",S45,Cases_Forecast!AQ38)</f>
        <v/>
      </c>
      <c r="G45" s="9">
        <f>IF($D45="Actual",T45,IFERROR(F45/K45,0))</f>
        <v/>
      </c>
      <c r="H45" s="30">
        <f>IF($D45="Actual",U45,G45*L45)</f>
        <v/>
      </c>
      <c r="I45" s="30">
        <f>IF($D45="Actual",V45,J45-H45)</f>
        <v/>
      </c>
      <c r="J45" s="30">
        <f>IF($D45="Actual",U45+V45,IFERROR(H45/(1-AD45),0))</f>
        <v/>
      </c>
      <c r="K45" s="10">
        <f>IF($D45="Actual",IFERROR(S45/T45,0),CPLH_Forecast!AQ38)</f>
        <v/>
      </c>
      <c r="L45" s="34">
        <f>IF($D45="Actual",IFERROR(U45/T45,0),N(AE45))</f>
        <v/>
      </c>
      <c r="M45" s="35">
        <f>IFERROR(J45/F45,0)</f>
        <v/>
      </c>
      <c r="N45" s="36">
        <f>IFERROR(J45/E45,0)</f>
        <v/>
      </c>
      <c r="O45" s="36">
        <f>IFERROR(I45/J45,0)</f>
        <v/>
      </c>
      <c r="R45" s="52">
        <f>IF($D45="Actual",SUMIFS(Data_Actuals!$C$2:$C$5000,Data_Actuals!$A$2:$A$5000,$A45,Data_Actuals!$B$2:$B$5000,$B$2),"")</f>
        <v/>
      </c>
      <c r="S45" s="52">
        <f>IF($D45="Actual",SUMIFS(Data_Actuals!$D$2:$D$5000,Data_Actuals!$A$2:$A$5000,$A45,Data_Actuals!$B$2:$B$5000,$B$2),"")</f>
        <v/>
      </c>
      <c r="T45" s="52">
        <f>IF($D45="Actual",SUMIFS(Data_Actuals!$E$2:$E$5000,Data_Actuals!$A$2:$A$5000,$A45,Data_Actuals!$B$2:$B$5000,$B$2),"")</f>
        <v/>
      </c>
      <c r="U45" s="52">
        <f>IF($D45="Actual",SUMIFS(Data_Actuals!$F$2:$F$5000,Data_Actuals!$A$2:$A$5000,$A45,Data_Actuals!$B$2:$B$5000,$B$2),"")</f>
        <v/>
      </c>
      <c r="V45" s="52">
        <f>IF($D45="Actual",SUMIFS(Data_Actuals!$G$2:$G$5000,Data_Actuals!$A$2:$A$5000,$A45,Data_Actuals!$B$2:$B$5000,$B$2),"")</f>
        <v/>
      </c>
      <c r="W45" s="52">
        <f>SUMIFS(Plan_Inputs!$C$2:$C$5000,Plan_Inputs!$A$2:$A$5000,$A45,Plan_Inputs!$B$2:$B$5000,$B$2)</f>
        <v/>
      </c>
      <c r="X45" s="53">
        <f>IF($D45="Actual",IFERROR(S45/T45,""),X33)</f>
        <v/>
      </c>
      <c r="Y45" s="52">
        <f>E45</f>
        <v/>
      </c>
      <c r="Z45" s="54">
        <f>INDEX(Calendar!$H$5:$L$52,MATCH($A45,Calendar!$A$5:$A$52,0),MATCH($D$2,Calendar!$H$4:$L$4,0))</f>
        <v/>
      </c>
      <c r="AA45" s="54">
        <f>INDEX(Calendar!$M$5:$M$52,MATCH($A45,Calendar!$A$5:$A$52,0))</f>
        <v/>
      </c>
      <c r="AB45" s="55">
        <f>IF($D45="Actual",IFERROR(S45/Y45,""),AB33)</f>
        <v/>
      </c>
      <c r="AC45" s="56">
        <f>IF($D45="Actual",IFERROR(U45/T45/Z45/AA45,""),AC33)</f>
        <v/>
      </c>
      <c r="AD45" s="57">
        <f>IF($D45="Actual",IFERROR(V45/(U45+V45),""),$K$2)</f>
        <v/>
      </c>
      <c r="AE45" s="56">
        <f>IFERROR(AC45*Z45*AA45,"")</f>
        <v/>
      </c>
      <c r="AF45" s="53">
        <f>K33</f>
        <v/>
      </c>
      <c r="AG45" s="57">
        <f>IF($D45="Forecast",IFERROR(K45/AF45-1,""),"")</f>
        <v/>
      </c>
      <c r="AH45" s="53">
        <f>IF(CPLHSource="National breakdown",CPLH_Breakdown!AR50,SUMIFS(Plan_Inputs!$D$2:$D$5000,Plan_Inputs!$A$2:$A$5000,$A45,Plan_Inputs!$B$2:$B$5000,$B$2))</f>
        <v/>
      </c>
      <c r="AJ45" s="15">
        <f>F45*$AK$11</f>
        <v/>
      </c>
      <c r="AK45" s="9">
        <f>G45*$AK$11</f>
        <v/>
      </c>
      <c r="AL45" s="30">
        <f>H45*$AK$11</f>
        <v/>
      </c>
      <c r="AM45" s="30">
        <f>I45*$AK$11</f>
        <v/>
      </c>
      <c r="AN45" s="30">
        <f>J45*$AK$11</f>
        <v/>
      </c>
      <c r="AP45" s="15">
        <f>F45*$AQ$11</f>
        <v/>
      </c>
      <c r="AQ45" s="9">
        <f>G45*$AQ$11</f>
        <v/>
      </c>
      <c r="AR45" s="30">
        <f>H45*$AQ$11</f>
        <v/>
      </c>
      <c r="AS45" s="30">
        <f>I45*$AQ$11</f>
        <v/>
      </c>
      <c r="AT45" s="30">
        <f>J45*$AQ$11</f>
        <v/>
      </c>
      <c r="AV45" s="15">
        <f>F45*$AW$11</f>
        <v/>
      </c>
      <c r="AW45" s="9">
        <f>G45*$AW$11</f>
        <v/>
      </c>
      <c r="AX45" s="30">
        <f>H45*$AW$11</f>
        <v/>
      </c>
      <c r="AY45" s="30">
        <f>I45*$AW$11</f>
        <v/>
      </c>
      <c r="AZ45" s="30">
        <f>J45*$AW$11</f>
        <v/>
      </c>
    </row>
    <row r="46">
      <c r="A46" s="8" t="n">
        <v>46600</v>
      </c>
      <c r="B46" s="33">
        <f>YEAR(A46)</f>
        <v/>
      </c>
      <c r="C46" s="33">
        <f>MONTH(A46)</f>
        <v/>
      </c>
      <c r="D46">
        <f>IF(A46&lt;=LastActual,"Actual","Forecast")</f>
        <v/>
      </c>
      <c r="E46" s="30">
        <f>IF($D46="Actual",R46,W46)</f>
        <v/>
      </c>
      <c r="F46" s="15">
        <f>IF($D46="Actual",S46,Cases_Forecast!AQ39)</f>
        <v/>
      </c>
      <c r="G46" s="9">
        <f>IF($D46="Actual",T46,IFERROR(F46/K46,0))</f>
        <v/>
      </c>
      <c r="H46" s="30">
        <f>IF($D46="Actual",U46,G46*L46)</f>
        <v/>
      </c>
      <c r="I46" s="30">
        <f>IF($D46="Actual",V46,J46-H46)</f>
        <v/>
      </c>
      <c r="J46" s="30">
        <f>IF($D46="Actual",U46+V46,IFERROR(H46/(1-AD46),0))</f>
        <v/>
      </c>
      <c r="K46" s="10">
        <f>IF($D46="Actual",IFERROR(S46/T46,0),CPLH_Forecast!AQ39)</f>
        <v/>
      </c>
      <c r="L46" s="34">
        <f>IF($D46="Actual",IFERROR(U46/T46,0),N(AE46))</f>
        <v/>
      </c>
      <c r="M46" s="35">
        <f>IFERROR(J46/F46,0)</f>
        <v/>
      </c>
      <c r="N46" s="36">
        <f>IFERROR(J46/E46,0)</f>
        <v/>
      </c>
      <c r="O46" s="36">
        <f>IFERROR(I46/J46,0)</f>
        <v/>
      </c>
      <c r="R46" s="52">
        <f>IF($D46="Actual",SUMIFS(Data_Actuals!$C$2:$C$5000,Data_Actuals!$A$2:$A$5000,$A46,Data_Actuals!$B$2:$B$5000,$B$2),"")</f>
        <v/>
      </c>
      <c r="S46" s="52">
        <f>IF($D46="Actual",SUMIFS(Data_Actuals!$D$2:$D$5000,Data_Actuals!$A$2:$A$5000,$A46,Data_Actuals!$B$2:$B$5000,$B$2),"")</f>
        <v/>
      </c>
      <c r="T46" s="52">
        <f>IF($D46="Actual",SUMIFS(Data_Actuals!$E$2:$E$5000,Data_Actuals!$A$2:$A$5000,$A46,Data_Actuals!$B$2:$B$5000,$B$2),"")</f>
        <v/>
      </c>
      <c r="U46" s="52">
        <f>IF($D46="Actual",SUMIFS(Data_Actuals!$F$2:$F$5000,Data_Actuals!$A$2:$A$5000,$A46,Data_Actuals!$B$2:$B$5000,$B$2),"")</f>
        <v/>
      </c>
      <c r="V46" s="52">
        <f>IF($D46="Actual",SUMIFS(Data_Actuals!$G$2:$G$5000,Data_Actuals!$A$2:$A$5000,$A46,Data_Actuals!$B$2:$B$5000,$B$2),"")</f>
        <v/>
      </c>
      <c r="W46" s="52">
        <f>SUMIFS(Plan_Inputs!$C$2:$C$5000,Plan_Inputs!$A$2:$A$5000,$A46,Plan_Inputs!$B$2:$B$5000,$B$2)</f>
        <v/>
      </c>
      <c r="X46" s="53">
        <f>IF($D46="Actual",IFERROR(S46/T46,""),X34)</f>
        <v/>
      </c>
      <c r="Y46" s="52">
        <f>E46</f>
        <v/>
      </c>
      <c r="Z46" s="54">
        <f>INDEX(Calendar!$H$5:$L$52,MATCH($A46,Calendar!$A$5:$A$52,0),MATCH($D$2,Calendar!$H$4:$L$4,0))</f>
        <v/>
      </c>
      <c r="AA46" s="54">
        <f>INDEX(Calendar!$M$5:$M$52,MATCH($A46,Calendar!$A$5:$A$52,0))</f>
        <v/>
      </c>
      <c r="AB46" s="55">
        <f>IF($D46="Actual",IFERROR(S46/Y46,""),AB34)</f>
        <v/>
      </c>
      <c r="AC46" s="56">
        <f>IF($D46="Actual",IFERROR(U46/T46/Z46/AA46,""),AC34)</f>
        <v/>
      </c>
      <c r="AD46" s="57">
        <f>IF($D46="Actual",IFERROR(V46/(U46+V46),""),$K$2)</f>
        <v/>
      </c>
      <c r="AE46" s="56">
        <f>IFERROR(AC46*Z46*AA46,"")</f>
        <v/>
      </c>
      <c r="AF46" s="53">
        <f>K34</f>
        <v/>
      </c>
      <c r="AG46" s="57">
        <f>IF($D46="Forecast",IFERROR(K46/AF46-1,""),"")</f>
        <v/>
      </c>
      <c r="AH46" s="53">
        <f>IF(CPLHSource="National breakdown",CPLH_Breakdown!AR51,SUMIFS(Plan_Inputs!$D$2:$D$5000,Plan_Inputs!$A$2:$A$5000,$A46,Plan_Inputs!$B$2:$B$5000,$B$2))</f>
        <v/>
      </c>
      <c r="AJ46" s="15">
        <f>F46*$AK$11</f>
        <v/>
      </c>
      <c r="AK46" s="9">
        <f>G46*$AK$11</f>
        <v/>
      </c>
      <c r="AL46" s="30">
        <f>H46*$AK$11</f>
        <v/>
      </c>
      <c r="AM46" s="30">
        <f>I46*$AK$11</f>
        <v/>
      </c>
      <c r="AN46" s="30">
        <f>J46*$AK$11</f>
        <v/>
      </c>
      <c r="AP46" s="15">
        <f>F46*$AQ$11</f>
        <v/>
      </c>
      <c r="AQ46" s="9">
        <f>G46*$AQ$11</f>
        <v/>
      </c>
      <c r="AR46" s="30">
        <f>H46*$AQ$11</f>
        <v/>
      </c>
      <c r="AS46" s="30">
        <f>I46*$AQ$11</f>
        <v/>
      </c>
      <c r="AT46" s="30">
        <f>J46*$AQ$11</f>
        <v/>
      </c>
      <c r="AV46" s="15">
        <f>F46*$AW$11</f>
        <v/>
      </c>
      <c r="AW46" s="9">
        <f>G46*$AW$11</f>
        <v/>
      </c>
      <c r="AX46" s="30">
        <f>H46*$AW$11</f>
        <v/>
      </c>
      <c r="AY46" s="30">
        <f>I46*$AW$11</f>
        <v/>
      </c>
      <c r="AZ46" s="30">
        <f>J46*$AW$11</f>
        <v/>
      </c>
    </row>
    <row r="47">
      <c r="A47" s="8" t="n">
        <v>46631</v>
      </c>
      <c r="B47" s="33">
        <f>YEAR(A47)</f>
        <v/>
      </c>
      <c r="C47" s="33">
        <f>MONTH(A47)</f>
        <v/>
      </c>
      <c r="D47">
        <f>IF(A47&lt;=LastActual,"Actual","Forecast")</f>
        <v/>
      </c>
      <c r="E47" s="30">
        <f>IF($D47="Actual",R47,W47)</f>
        <v/>
      </c>
      <c r="F47" s="15">
        <f>IF($D47="Actual",S47,Cases_Forecast!AQ40)</f>
        <v/>
      </c>
      <c r="G47" s="9">
        <f>IF($D47="Actual",T47,IFERROR(F47/K47,0))</f>
        <v/>
      </c>
      <c r="H47" s="30">
        <f>IF($D47="Actual",U47,G47*L47)</f>
        <v/>
      </c>
      <c r="I47" s="30">
        <f>IF($D47="Actual",V47,J47-H47)</f>
        <v/>
      </c>
      <c r="J47" s="30">
        <f>IF($D47="Actual",U47+V47,IFERROR(H47/(1-AD47),0))</f>
        <v/>
      </c>
      <c r="K47" s="10">
        <f>IF($D47="Actual",IFERROR(S47/T47,0),CPLH_Forecast!AQ40)</f>
        <v/>
      </c>
      <c r="L47" s="34">
        <f>IF($D47="Actual",IFERROR(U47/T47,0),N(AE47))</f>
        <v/>
      </c>
      <c r="M47" s="35">
        <f>IFERROR(J47/F47,0)</f>
        <v/>
      </c>
      <c r="N47" s="36">
        <f>IFERROR(J47/E47,0)</f>
        <v/>
      </c>
      <c r="O47" s="36">
        <f>IFERROR(I47/J47,0)</f>
        <v/>
      </c>
      <c r="R47" s="52">
        <f>IF($D47="Actual",SUMIFS(Data_Actuals!$C$2:$C$5000,Data_Actuals!$A$2:$A$5000,$A47,Data_Actuals!$B$2:$B$5000,$B$2),"")</f>
        <v/>
      </c>
      <c r="S47" s="52">
        <f>IF($D47="Actual",SUMIFS(Data_Actuals!$D$2:$D$5000,Data_Actuals!$A$2:$A$5000,$A47,Data_Actuals!$B$2:$B$5000,$B$2),"")</f>
        <v/>
      </c>
      <c r="T47" s="52">
        <f>IF($D47="Actual",SUMIFS(Data_Actuals!$E$2:$E$5000,Data_Actuals!$A$2:$A$5000,$A47,Data_Actuals!$B$2:$B$5000,$B$2),"")</f>
        <v/>
      </c>
      <c r="U47" s="52">
        <f>IF($D47="Actual",SUMIFS(Data_Actuals!$F$2:$F$5000,Data_Actuals!$A$2:$A$5000,$A47,Data_Actuals!$B$2:$B$5000,$B$2),"")</f>
        <v/>
      </c>
      <c r="V47" s="52">
        <f>IF($D47="Actual",SUMIFS(Data_Actuals!$G$2:$G$5000,Data_Actuals!$A$2:$A$5000,$A47,Data_Actuals!$B$2:$B$5000,$B$2),"")</f>
        <v/>
      </c>
      <c r="W47" s="52">
        <f>SUMIFS(Plan_Inputs!$C$2:$C$5000,Plan_Inputs!$A$2:$A$5000,$A47,Plan_Inputs!$B$2:$B$5000,$B$2)</f>
        <v/>
      </c>
      <c r="X47" s="53">
        <f>IF($D47="Actual",IFERROR(S47/T47,""),X35)</f>
        <v/>
      </c>
      <c r="Y47" s="52">
        <f>E47</f>
        <v/>
      </c>
      <c r="Z47" s="54">
        <f>INDEX(Calendar!$H$5:$L$52,MATCH($A47,Calendar!$A$5:$A$52,0),MATCH($D$2,Calendar!$H$4:$L$4,0))</f>
        <v/>
      </c>
      <c r="AA47" s="54">
        <f>INDEX(Calendar!$M$5:$M$52,MATCH($A47,Calendar!$A$5:$A$52,0))</f>
        <v/>
      </c>
      <c r="AB47" s="55">
        <f>IF($D47="Actual",IFERROR(S47/Y47,""),AB35)</f>
        <v/>
      </c>
      <c r="AC47" s="56">
        <f>IF($D47="Actual",IFERROR(U47/T47/Z47/AA47,""),AC35)</f>
        <v/>
      </c>
      <c r="AD47" s="57">
        <f>IF($D47="Actual",IFERROR(V47/(U47+V47),""),$K$2)</f>
        <v/>
      </c>
      <c r="AE47" s="56">
        <f>IFERROR(AC47*Z47*AA47,"")</f>
        <v/>
      </c>
      <c r="AF47" s="53">
        <f>K35</f>
        <v/>
      </c>
      <c r="AG47" s="57">
        <f>IF($D47="Forecast",IFERROR(K47/AF47-1,""),"")</f>
        <v/>
      </c>
      <c r="AH47" s="53">
        <f>IF(CPLHSource="National breakdown",CPLH_Breakdown!AR52,SUMIFS(Plan_Inputs!$D$2:$D$5000,Plan_Inputs!$A$2:$A$5000,$A47,Plan_Inputs!$B$2:$B$5000,$B$2))</f>
        <v/>
      </c>
      <c r="AJ47" s="15">
        <f>F47*$AK$11</f>
        <v/>
      </c>
      <c r="AK47" s="9">
        <f>G47*$AK$11</f>
        <v/>
      </c>
      <c r="AL47" s="30">
        <f>H47*$AK$11</f>
        <v/>
      </c>
      <c r="AM47" s="30">
        <f>I47*$AK$11</f>
        <v/>
      </c>
      <c r="AN47" s="30">
        <f>J47*$AK$11</f>
        <v/>
      </c>
      <c r="AP47" s="15">
        <f>F47*$AQ$11</f>
        <v/>
      </c>
      <c r="AQ47" s="9">
        <f>G47*$AQ$11</f>
        <v/>
      </c>
      <c r="AR47" s="30">
        <f>H47*$AQ$11</f>
        <v/>
      </c>
      <c r="AS47" s="30">
        <f>I47*$AQ$11</f>
        <v/>
      </c>
      <c r="AT47" s="30">
        <f>J47*$AQ$11</f>
        <v/>
      </c>
      <c r="AV47" s="15">
        <f>F47*$AW$11</f>
        <v/>
      </c>
      <c r="AW47" s="9">
        <f>G47*$AW$11</f>
        <v/>
      </c>
      <c r="AX47" s="30">
        <f>H47*$AW$11</f>
        <v/>
      </c>
      <c r="AY47" s="30">
        <f>I47*$AW$11</f>
        <v/>
      </c>
      <c r="AZ47" s="30">
        <f>J47*$AW$11</f>
        <v/>
      </c>
    </row>
    <row r="48">
      <c r="A48" s="8" t="n">
        <v>46661</v>
      </c>
      <c r="B48" s="33">
        <f>YEAR(A48)</f>
        <v/>
      </c>
      <c r="C48" s="33">
        <f>MONTH(A48)</f>
        <v/>
      </c>
      <c r="D48">
        <f>IF(A48&lt;=LastActual,"Actual","Forecast")</f>
        <v/>
      </c>
      <c r="E48" s="30">
        <f>IF($D48="Actual",R48,W48)</f>
        <v/>
      </c>
      <c r="F48" s="15">
        <f>IF($D48="Actual",S48,Cases_Forecast!AQ41)</f>
        <v/>
      </c>
      <c r="G48" s="9">
        <f>IF($D48="Actual",T48,IFERROR(F48/K48,0))</f>
        <v/>
      </c>
      <c r="H48" s="30">
        <f>IF($D48="Actual",U48,G48*L48)</f>
        <v/>
      </c>
      <c r="I48" s="30">
        <f>IF($D48="Actual",V48,J48-H48)</f>
        <v/>
      </c>
      <c r="J48" s="30">
        <f>IF($D48="Actual",U48+V48,IFERROR(H48/(1-AD48),0))</f>
        <v/>
      </c>
      <c r="K48" s="10">
        <f>IF($D48="Actual",IFERROR(S48/T48,0),CPLH_Forecast!AQ41)</f>
        <v/>
      </c>
      <c r="L48" s="34">
        <f>IF($D48="Actual",IFERROR(U48/T48,0),N(AE48))</f>
        <v/>
      </c>
      <c r="M48" s="35">
        <f>IFERROR(J48/F48,0)</f>
        <v/>
      </c>
      <c r="N48" s="36">
        <f>IFERROR(J48/E48,0)</f>
        <v/>
      </c>
      <c r="O48" s="36">
        <f>IFERROR(I48/J48,0)</f>
        <v/>
      </c>
      <c r="R48" s="52">
        <f>IF($D48="Actual",SUMIFS(Data_Actuals!$C$2:$C$5000,Data_Actuals!$A$2:$A$5000,$A48,Data_Actuals!$B$2:$B$5000,$B$2),"")</f>
        <v/>
      </c>
      <c r="S48" s="52">
        <f>IF($D48="Actual",SUMIFS(Data_Actuals!$D$2:$D$5000,Data_Actuals!$A$2:$A$5000,$A48,Data_Actuals!$B$2:$B$5000,$B$2),"")</f>
        <v/>
      </c>
      <c r="T48" s="52">
        <f>IF($D48="Actual",SUMIFS(Data_Actuals!$E$2:$E$5000,Data_Actuals!$A$2:$A$5000,$A48,Data_Actuals!$B$2:$B$5000,$B$2),"")</f>
        <v/>
      </c>
      <c r="U48" s="52">
        <f>IF($D48="Actual",SUMIFS(Data_Actuals!$F$2:$F$5000,Data_Actuals!$A$2:$A$5000,$A48,Data_Actuals!$B$2:$B$5000,$B$2),"")</f>
        <v/>
      </c>
      <c r="V48" s="52">
        <f>IF($D48="Actual",SUMIFS(Data_Actuals!$G$2:$G$5000,Data_Actuals!$A$2:$A$5000,$A48,Data_Actuals!$B$2:$B$5000,$B$2),"")</f>
        <v/>
      </c>
      <c r="W48" s="52">
        <f>SUMIFS(Plan_Inputs!$C$2:$C$5000,Plan_Inputs!$A$2:$A$5000,$A48,Plan_Inputs!$B$2:$B$5000,$B$2)</f>
        <v/>
      </c>
      <c r="X48" s="53">
        <f>IF($D48="Actual",IFERROR(S48/T48,""),X36)</f>
        <v/>
      </c>
      <c r="Y48" s="52">
        <f>E48</f>
        <v/>
      </c>
      <c r="Z48" s="54">
        <f>INDEX(Calendar!$H$5:$L$52,MATCH($A48,Calendar!$A$5:$A$52,0),MATCH($D$2,Calendar!$H$4:$L$4,0))</f>
        <v/>
      </c>
      <c r="AA48" s="54">
        <f>INDEX(Calendar!$M$5:$M$52,MATCH($A48,Calendar!$A$5:$A$52,0))</f>
        <v/>
      </c>
      <c r="AB48" s="55">
        <f>IF($D48="Actual",IFERROR(S48/Y48,""),AB36)</f>
        <v/>
      </c>
      <c r="AC48" s="56">
        <f>IF($D48="Actual",IFERROR(U48/T48/Z48/AA48,""),AC36)</f>
        <v/>
      </c>
      <c r="AD48" s="57">
        <f>IF($D48="Actual",IFERROR(V48/(U48+V48),""),$K$2)</f>
        <v/>
      </c>
      <c r="AE48" s="56">
        <f>IFERROR(AC48*Z48*AA48,"")</f>
        <v/>
      </c>
      <c r="AF48" s="53">
        <f>K36</f>
        <v/>
      </c>
      <c r="AG48" s="57">
        <f>IF($D48="Forecast",IFERROR(K48/AF48-1,""),"")</f>
        <v/>
      </c>
      <c r="AH48" s="53">
        <f>IF(CPLHSource="National breakdown",CPLH_Breakdown!AR53,SUMIFS(Plan_Inputs!$D$2:$D$5000,Plan_Inputs!$A$2:$A$5000,$A48,Plan_Inputs!$B$2:$B$5000,$B$2))</f>
        <v/>
      </c>
      <c r="AJ48" s="15">
        <f>F48*$AK$11</f>
        <v/>
      </c>
      <c r="AK48" s="9">
        <f>G48*$AK$11</f>
        <v/>
      </c>
      <c r="AL48" s="30">
        <f>H48*$AK$11</f>
        <v/>
      </c>
      <c r="AM48" s="30">
        <f>I48*$AK$11</f>
        <v/>
      </c>
      <c r="AN48" s="30">
        <f>J48*$AK$11</f>
        <v/>
      </c>
      <c r="AP48" s="15">
        <f>F48*$AQ$11</f>
        <v/>
      </c>
      <c r="AQ48" s="9">
        <f>G48*$AQ$11</f>
        <v/>
      </c>
      <c r="AR48" s="30">
        <f>H48*$AQ$11</f>
        <v/>
      </c>
      <c r="AS48" s="30">
        <f>I48*$AQ$11</f>
        <v/>
      </c>
      <c r="AT48" s="30">
        <f>J48*$AQ$11</f>
        <v/>
      </c>
      <c r="AV48" s="15">
        <f>F48*$AW$11</f>
        <v/>
      </c>
      <c r="AW48" s="9">
        <f>G48*$AW$11</f>
        <v/>
      </c>
      <c r="AX48" s="30">
        <f>H48*$AW$11</f>
        <v/>
      </c>
      <c r="AY48" s="30">
        <f>I48*$AW$11</f>
        <v/>
      </c>
      <c r="AZ48" s="30">
        <f>J48*$AW$11</f>
        <v/>
      </c>
    </row>
    <row r="49">
      <c r="A49" s="8" t="n">
        <v>46692</v>
      </c>
      <c r="B49" s="33">
        <f>YEAR(A49)</f>
        <v/>
      </c>
      <c r="C49" s="33">
        <f>MONTH(A49)</f>
        <v/>
      </c>
      <c r="D49">
        <f>IF(A49&lt;=LastActual,"Actual","Forecast")</f>
        <v/>
      </c>
      <c r="E49" s="30">
        <f>IF($D49="Actual",R49,W49)</f>
        <v/>
      </c>
      <c r="F49" s="15">
        <f>IF($D49="Actual",S49,Cases_Forecast!AQ42)</f>
        <v/>
      </c>
      <c r="G49" s="9">
        <f>IF($D49="Actual",T49,IFERROR(F49/K49,0))</f>
        <v/>
      </c>
      <c r="H49" s="30">
        <f>IF($D49="Actual",U49,G49*L49)</f>
        <v/>
      </c>
      <c r="I49" s="30">
        <f>IF($D49="Actual",V49,J49-H49)</f>
        <v/>
      </c>
      <c r="J49" s="30">
        <f>IF($D49="Actual",U49+V49,IFERROR(H49/(1-AD49),0))</f>
        <v/>
      </c>
      <c r="K49" s="10">
        <f>IF($D49="Actual",IFERROR(S49/T49,0),CPLH_Forecast!AQ42)</f>
        <v/>
      </c>
      <c r="L49" s="34">
        <f>IF($D49="Actual",IFERROR(U49/T49,0),N(AE49))</f>
        <v/>
      </c>
      <c r="M49" s="35">
        <f>IFERROR(J49/F49,0)</f>
        <v/>
      </c>
      <c r="N49" s="36">
        <f>IFERROR(J49/E49,0)</f>
        <v/>
      </c>
      <c r="O49" s="36">
        <f>IFERROR(I49/J49,0)</f>
        <v/>
      </c>
      <c r="R49" s="52">
        <f>IF($D49="Actual",SUMIFS(Data_Actuals!$C$2:$C$5000,Data_Actuals!$A$2:$A$5000,$A49,Data_Actuals!$B$2:$B$5000,$B$2),"")</f>
        <v/>
      </c>
      <c r="S49" s="52">
        <f>IF($D49="Actual",SUMIFS(Data_Actuals!$D$2:$D$5000,Data_Actuals!$A$2:$A$5000,$A49,Data_Actuals!$B$2:$B$5000,$B$2),"")</f>
        <v/>
      </c>
      <c r="T49" s="52">
        <f>IF($D49="Actual",SUMIFS(Data_Actuals!$E$2:$E$5000,Data_Actuals!$A$2:$A$5000,$A49,Data_Actuals!$B$2:$B$5000,$B$2),"")</f>
        <v/>
      </c>
      <c r="U49" s="52">
        <f>IF($D49="Actual",SUMIFS(Data_Actuals!$F$2:$F$5000,Data_Actuals!$A$2:$A$5000,$A49,Data_Actuals!$B$2:$B$5000,$B$2),"")</f>
        <v/>
      </c>
      <c r="V49" s="52">
        <f>IF($D49="Actual",SUMIFS(Data_Actuals!$G$2:$G$5000,Data_Actuals!$A$2:$A$5000,$A49,Data_Actuals!$B$2:$B$5000,$B$2),"")</f>
        <v/>
      </c>
      <c r="W49" s="52">
        <f>SUMIFS(Plan_Inputs!$C$2:$C$5000,Plan_Inputs!$A$2:$A$5000,$A49,Plan_Inputs!$B$2:$B$5000,$B$2)</f>
        <v/>
      </c>
      <c r="X49" s="53">
        <f>IF($D49="Actual",IFERROR(S49/T49,""),X37)</f>
        <v/>
      </c>
      <c r="Y49" s="52">
        <f>E49</f>
        <v/>
      </c>
      <c r="Z49" s="54">
        <f>INDEX(Calendar!$H$5:$L$52,MATCH($A49,Calendar!$A$5:$A$52,0),MATCH($D$2,Calendar!$H$4:$L$4,0))</f>
        <v/>
      </c>
      <c r="AA49" s="54">
        <f>INDEX(Calendar!$M$5:$M$52,MATCH($A49,Calendar!$A$5:$A$52,0))</f>
        <v/>
      </c>
      <c r="AB49" s="55">
        <f>IF($D49="Actual",IFERROR(S49/Y49,""),AB37)</f>
        <v/>
      </c>
      <c r="AC49" s="56">
        <f>IF($D49="Actual",IFERROR(U49/T49/Z49/AA49,""),AC37)</f>
        <v/>
      </c>
      <c r="AD49" s="57">
        <f>IF($D49="Actual",IFERROR(V49/(U49+V49),""),$K$2)</f>
        <v/>
      </c>
      <c r="AE49" s="56">
        <f>IFERROR(AC49*Z49*AA49,"")</f>
        <v/>
      </c>
      <c r="AF49" s="53">
        <f>K37</f>
        <v/>
      </c>
      <c r="AG49" s="57">
        <f>IF($D49="Forecast",IFERROR(K49/AF49-1,""),"")</f>
        <v/>
      </c>
      <c r="AH49" s="53">
        <f>IF(CPLHSource="National breakdown",CPLH_Breakdown!AR54,SUMIFS(Plan_Inputs!$D$2:$D$5000,Plan_Inputs!$A$2:$A$5000,$A49,Plan_Inputs!$B$2:$B$5000,$B$2))</f>
        <v/>
      </c>
      <c r="AJ49" s="15">
        <f>F49*$AK$11</f>
        <v/>
      </c>
      <c r="AK49" s="9">
        <f>G49*$AK$11</f>
        <v/>
      </c>
      <c r="AL49" s="30">
        <f>H49*$AK$11</f>
        <v/>
      </c>
      <c r="AM49" s="30">
        <f>I49*$AK$11</f>
        <v/>
      </c>
      <c r="AN49" s="30">
        <f>J49*$AK$11</f>
        <v/>
      </c>
      <c r="AP49" s="15">
        <f>F49*$AQ$11</f>
        <v/>
      </c>
      <c r="AQ49" s="9">
        <f>G49*$AQ$11</f>
        <v/>
      </c>
      <c r="AR49" s="30">
        <f>H49*$AQ$11</f>
        <v/>
      </c>
      <c r="AS49" s="30">
        <f>I49*$AQ$11</f>
        <v/>
      </c>
      <c r="AT49" s="30">
        <f>J49*$AQ$11</f>
        <v/>
      </c>
      <c r="AV49" s="15">
        <f>F49*$AW$11</f>
        <v/>
      </c>
      <c r="AW49" s="9">
        <f>G49*$AW$11</f>
        <v/>
      </c>
      <c r="AX49" s="30">
        <f>H49*$AW$11</f>
        <v/>
      </c>
      <c r="AY49" s="30">
        <f>I49*$AW$11</f>
        <v/>
      </c>
      <c r="AZ49" s="30">
        <f>J49*$AW$11</f>
        <v/>
      </c>
    </row>
    <row r="50">
      <c r="A50" s="37" t="n">
        <v>46722</v>
      </c>
      <c r="B50" s="38">
        <f>YEAR(A50)</f>
        <v/>
      </c>
      <c r="C50" s="38">
        <f>MONTH(A50)</f>
        <v/>
      </c>
      <c r="D50" s="39">
        <f>IF(A50&lt;=LastActual,"Actual","Forecast")</f>
        <v/>
      </c>
      <c r="E50" s="40">
        <f>IF($D50="Actual",R50,W50)</f>
        <v/>
      </c>
      <c r="F50" s="41">
        <f>IF($D50="Actual",S50,Cases_Forecast!AQ43)</f>
        <v/>
      </c>
      <c r="G50" s="42">
        <f>IF($D50="Actual",T50,IFERROR(F50/K50,0))</f>
        <v/>
      </c>
      <c r="H50" s="40">
        <f>IF($D50="Actual",U50,G50*L50)</f>
        <v/>
      </c>
      <c r="I50" s="40">
        <f>IF($D50="Actual",V50,J50-H50)</f>
        <v/>
      </c>
      <c r="J50" s="40">
        <f>IF($D50="Actual",U50+V50,IFERROR(H50/(1-AD50),0))</f>
        <v/>
      </c>
      <c r="K50" s="43">
        <f>IF($D50="Actual",IFERROR(S50/T50,0),CPLH_Forecast!AQ43)</f>
        <v/>
      </c>
      <c r="L50" s="44">
        <f>IF($D50="Actual",IFERROR(U50/T50,0),N(AE50))</f>
        <v/>
      </c>
      <c r="M50" s="45">
        <f>IFERROR(J50/F50,0)</f>
        <v/>
      </c>
      <c r="N50" s="46">
        <f>IFERROR(J50/E50,0)</f>
        <v/>
      </c>
      <c r="O50" s="46">
        <f>IFERROR(I50/J50,0)</f>
        <v/>
      </c>
      <c r="R50" s="52">
        <f>IF($D50="Actual",SUMIFS(Data_Actuals!$C$2:$C$5000,Data_Actuals!$A$2:$A$5000,$A50,Data_Actuals!$B$2:$B$5000,$B$2),"")</f>
        <v/>
      </c>
      <c r="S50" s="52">
        <f>IF($D50="Actual",SUMIFS(Data_Actuals!$D$2:$D$5000,Data_Actuals!$A$2:$A$5000,$A50,Data_Actuals!$B$2:$B$5000,$B$2),"")</f>
        <v/>
      </c>
      <c r="T50" s="52">
        <f>IF($D50="Actual",SUMIFS(Data_Actuals!$E$2:$E$5000,Data_Actuals!$A$2:$A$5000,$A50,Data_Actuals!$B$2:$B$5000,$B$2),"")</f>
        <v/>
      </c>
      <c r="U50" s="52">
        <f>IF($D50="Actual",SUMIFS(Data_Actuals!$F$2:$F$5000,Data_Actuals!$A$2:$A$5000,$A50,Data_Actuals!$B$2:$B$5000,$B$2),"")</f>
        <v/>
      </c>
      <c r="V50" s="52">
        <f>IF($D50="Actual",SUMIFS(Data_Actuals!$G$2:$G$5000,Data_Actuals!$A$2:$A$5000,$A50,Data_Actuals!$B$2:$B$5000,$B$2),"")</f>
        <v/>
      </c>
      <c r="W50" s="52">
        <f>SUMIFS(Plan_Inputs!$C$2:$C$5000,Plan_Inputs!$A$2:$A$5000,$A50,Plan_Inputs!$B$2:$B$5000,$B$2)</f>
        <v/>
      </c>
      <c r="X50" s="53">
        <f>IF($D50="Actual",IFERROR(S50/T50,""),X38)</f>
        <v/>
      </c>
      <c r="Y50" s="52">
        <f>E50</f>
        <v/>
      </c>
      <c r="Z50" s="54">
        <f>INDEX(Calendar!$H$5:$L$52,MATCH($A50,Calendar!$A$5:$A$52,0),MATCH($D$2,Calendar!$H$4:$L$4,0))</f>
        <v/>
      </c>
      <c r="AA50" s="54">
        <f>INDEX(Calendar!$M$5:$M$52,MATCH($A50,Calendar!$A$5:$A$52,0))</f>
        <v/>
      </c>
      <c r="AB50" s="55">
        <f>IF($D50="Actual",IFERROR(S50/Y50,""),AB38)</f>
        <v/>
      </c>
      <c r="AC50" s="56">
        <f>IF($D50="Actual",IFERROR(U50/T50/Z50/AA50,""),AC38)</f>
        <v/>
      </c>
      <c r="AD50" s="57">
        <f>IF($D50="Actual",IFERROR(V50/(U50+V50),""),$K$2)</f>
        <v/>
      </c>
      <c r="AE50" s="56">
        <f>IFERROR(AC50*Z50*AA50,"")</f>
        <v/>
      </c>
      <c r="AF50" s="53">
        <f>K38</f>
        <v/>
      </c>
      <c r="AG50" s="57">
        <f>IF($D50="Forecast",IFERROR(K50/AF50-1,""),"")</f>
        <v/>
      </c>
      <c r="AH50" s="53">
        <f>IF(CPLHSource="National breakdown",CPLH_Breakdown!AR55,SUMIFS(Plan_Inputs!$D$2:$D$5000,Plan_Inputs!$A$2:$A$5000,$A50,Plan_Inputs!$B$2:$B$5000,$B$2))</f>
        <v/>
      </c>
      <c r="AJ50" s="41">
        <f>F50*$AK$11</f>
        <v/>
      </c>
      <c r="AK50" s="42">
        <f>G50*$AK$11</f>
        <v/>
      </c>
      <c r="AL50" s="40">
        <f>H50*$AK$11</f>
        <v/>
      </c>
      <c r="AM50" s="40">
        <f>I50*$AK$11</f>
        <v/>
      </c>
      <c r="AN50" s="40">
        <f>J50*$AK$11</f>
        <v/>
      </c>
      <c r="AP50" s="41">
        <f>F50*$AQ$11</f>
        <v/>
      </c>
      <c r="AQ50" s="42">
        <f>G50*$AQ$11</f>
        <v/>
      </c>
      <c r="AR50" s="40">
        <f>H50*$AQ$11</f>
        <v/>
      </c>
      <c r="AS50" s="40">
        <f>I50*$AQ$11</f>
        <v/>
      </c>
      <c r="AT50" s="40">
        <f>J50*$AQ$11</f>
        <v/>
      </c>
      <c r="AV50" s="41">
        <f>F50*$AW$11</f>
        <v/>
      </c>
      <c r="AW50" s="42">
        <f>G50*$AW$11</f>
        <v/>
      </c>
      <c r="AX50" s="40">
        <f>H50*$AW$11</f>
        <v/>
      </c>
      <c r="AY50" s="40">
        <f>I50*$AW$11</f>
        <v/>
      </c>
      <c r="AZ50" s="40">
        <f>J50*$AW$11</f>
        <v/>
      </c>
    </row>
    <row r="51">
      <c r="A51" s="8" t="n">
        <v>46753</v>
      </c>
      <c r="B51" s="33">
        <f>YEAR(A51)</f>
        <v/>
      </c>
      <c r="C51" s="33">
        <f>MONTH(A51)</f>
        <v/>
      </c>
      <c r="D51">
        <f>IF(A51&lt;=LastActual,"Actual","Forecast")</f>
        <v/>
      </c>
      <c r="E51" s="30">
        <f>IF($D51="Actual",R51,W51)</f>
        <v/>
      </c>
      <c r="F51" s="15">
        <f>IF($D51="Actual",S51,Cases_Forecast!AQ44)</f>
        <v/>
      </c>
      <c r="G51" s="9">
        <f>IF($D51="Actual",T51,IFERROR(F51/K51,0))</f>
        <v/>
      </c>
      <c r="H51" s="30">
        <f>IF($D51="Actual",U51,G51*L51)</f>
        <v/>
      </c>
      <c r="I51" s="30">
        <f>IF($D51="Actual",V51,J51-H51)</f>
        <v/>
      </c>
      <c r="J51" s="30">
        <f>IF($D51="Actual",U51+V51,IFERROR(H51/(1-AD51),0))</f>
        <v/>
      </c>
      <c r="K51" s="10">
        <f>IF($D51="Actual",IFERROR(S51/T51,0),CPLH_Forecast!AQ44)</f>
        <v/>
      </c>
      <c r="L51" s="34">
        <f>IF($D51="Actual",IFERROR(U51/T51,0),N(AE51))</f>
        <v/>
      </c>
      <c r="M51" s="35">
        <f>IFERROR(J51/F51,0)</f>
        <v/>
      </c>
      <c r="N51" s="36">
        <f>IFERROR(J51/E51,0)</f>
        <v/>
      </c>
      <c r="O51" s="36">
        <f>IFERROR(I51/J51,0)</f>
        <v/>
      </c>
      <c r="R51" s="52">
        <f>IF($D51="Actual",SUMIFS(Data_Actuals!$C$2:$C$5000,Data_Actuals!$A$2:$A$5000,$A51,Data_Actuals!$B$2:$B$5000,$B$2),"")</f>
        <v/>
      </c>
      <c r="S51" s="52">
        <f>IF($D51="Actual",SUMIFS(Data_Actuals!$D$2:$D$5000,Data_Actuals!$A$2:$A$5000,$A51,Data_Actuals!$B$2:$B$5000,$B$2),"")</f>
        <v/>
      </c>
      <c r="T51" s="52">
        <f>IF($D51="Actual",SUMIFS(Data_Actuals!$E$2:$E$5000,Data_Actuals!$A$2:$A$5000,$A51,Data_Actuals!$B$2:$B$5000,$B$2),"")</f>
        <v/>
      </c>
      <c r="U51" s="52">
        <f>IF($D51="Actual",SUMIFS(Data_Actuals!$F$2:$F$5000,Data_Actuals!$A$2:$A$5000,$A51,Data_Actuals!$B$2:$B$5000,$B$2),"")</f>
        <v/>
      </c>
      <c r="V51" s="52">
        <f>IF($D51="Actual",SUMIFS(Data_Actuals!$G$2:$G$5000,Data_Actuals!$A$2:$A$5000,$A51,Data_Actuals!$B$2:$B$5000,$B$2),"")</f>
        <v/>
      </c>
      <c r="W51" s="52">
        <f>SUMIFS(Plan_Inputs!$C$2:$C$5000,Plan_Inputs!$A$2:$A$5000,$A51,Plan_Inputs!$B$2:$B$5000,$B$2)</f>
        <v/>
      </c>
      <c r="X51" s="53">
        <f>IF($D51="Actual",IFERROR(S51/T51,""),X39)</f>
        <v/>
      </c>
      <c r="Y51" s="52">
        <f>E51</f>
        <v/>
      </c>
      <c r="Z51" s="54">
        <f>INDEX(Calendar!$H$5:$L$52,MATCH($A51,Calendar!$A$5:$A$52,0),MATCH($D$2,Calendar!$H$4:$L$4,0))</f>
        <v/>
      </c>
      <c r="AA51" s="54">
        <f>INDEX(Calendar!$M$5:$M$52,MATCH($A51,Calendar!$A$5:$A$52,0))</f>
        <v/>
      </c>
      <c r="AB51" s="55">
        <f>IF($D51="Actual",IFERROR(S51/Y51,""),AB39)</f>
        <v/>
      </c>
      <c r="AC51" s="56">
        <f>IF($D51="Actual",IFERROR(U51/T51/Z51/AA51,""),AC39)</f>
        <v/>
      </c>
      <c r="AD51" s="57">
        <f>IF($D51="Actual",IFERROR(V51/(U51+V51),""),$K$2)</f>
        <v/>
      </c>
      <c r="AE51" s="56">
        <f>IFERROR(AC51*Z51*AA51,"")</f>
        <v/>
      </c>
      <c r="AF51" s="53">
        <f>K39</f>
        <v/>
      </c>
      <c r="AG51" s="57">
        <f>IF($D51="Forecast",IFERROR(K51/AF51-1,""),"")</f>
        <v/>
      </c>
      <c r="AH51" s="53">
        <f>IF(CPLHSource="National breakdown",CPLH_Breakdown!AR56,SUMIFS(Plan_Inputs!$D$2:$D$5000,Plan_Inputs!$A$2:$A$5000,$A51,Plan_Inputs!$B$2:$B$5000,$B$2))</f>
        <v/>
      </c>
      <c r="AJ51" s="15">
        <f>F51*$AK$11</f>
        <v/>
      </c>
      <c r="AK51" s="9">
        <f>G51*$AK$11</f>
        <v/>
      </c>
      <c r="AL51" s="30">
        <f>H51*$AK$11</f>
        <v/>
      </c>
      <c r="AM51" s="30">
        <f>I51*$AK$11</f>
        <v/>
      </c>
      <c r="AN51" s="30">
        <f>J51*$AK$11</f>
        <v/>
      </c>
      <c r="AP51" s="15">
        <f>F51*$AQ$11</f>
        <v/>
      </c>
      <c r="AQ51" s="9">
        <f>G51*$AQ$11</f>
        <v/>
      </c>
      <c r="AR51" s="30">
        <f>H51*$AQ$11</f>
        <v/>
      </c>
      <c r="AS51" s="30">
        <f>I51*$AQ$11</f>
        <v/>
      </c>
      <c r="AT51" s="30">
        <f>J51*$AQ$11</f>
        <v/>
      </c>
      <c r="AV51" s="15">
        <f>F51*$AW$11</f>
        <v/>
      </c>
      <c r="AW51" s="9">
        <f>G51*$AW$11</f>
        <v/>
      </c>
      <c r="AX51" s="30">
        <f>H51*$AW$11</f>
        <v/>
      </c>
      <c r="AY51" s="30">
        <f>I51*$AW$11</f>
        <v/>
      </c>
      <c r="AZ51" s="30">
        <f>J51*$AW$11</f>
        <v/>
      </c>
    </row>
    <row r="52">
      <c r="A52" s="8" t="n">
        <v>46784</v>
      </c>
      <c r="B52" s="33">
        <f>YEAR(A52)</f>
        <v/>
      </c>
      <c r="C52" s="33">
        <f>MONTH(A52)</f>
        <v/>
      </c>
      <c r="D52">
        <f>IF(A52&lt;=LastActual,"Actual","Forecast")</f>
        <v/>
      </c>
      <c r="E52" s="30">
        <f>IF($D52="Actual",R52,W52)</f>
        <v/>
      </c>
      <c r="F52" s="15">
        <f>IF($D52="Actual",S52,Cases_Forecast!AQ45)</f>
        <v/>
      </c>
      <c r="G52" s="9">
        <f>IF($D52="Actual",T52,IFERROR(F52/K52,0))</f>
        <v/>
      </c>
      <c r="H52" s="30">
        <f>IF($D52="Actual",U52,G52*L52)</f>
        <v/>
      </c>
      <c r="I52" s="30">
        <f>IF($D52="Actual",V52,J52-H52)</f>
        <v/>
      </c>
      <c r="J52" s="30">
        <f>IF($D52="Actual",U52+V52,IFERROR(H52/(1-AD52),0))</f>
        <v/>
      </c>
      <c r="K52" s="10">
        <f>IF($D52="Actual",IFERROR(S52/T52,0),CPLH_Forecast!AQ45)</f>
        <v/>
      </c>
      <c r="L52" s="34">
        <f>IF($D52="Actual",IFERROR(U52/T52,0),N(AE52))</f>
        <v/>
      </c>
      <c r="M52" s="35">
        <f>IFERROR(J52/F52,0)</f>
        <v/>
      </c>
      <c r="N52" s="36">
        <f>IFERROR(J52/E52,0)</f>
        <v/>
      </c>
      <c r="O52" s="36">
        <f>IFERROR(I52/J52,0)</f>
        <v/>
      </c>
      <c r="R52" s="52">
        <f>IF($D52="Actual",SUMIFS(Data_Actuals!$C$2:$C$5000,Data_Actuals!$A$2:$A$5000,$A52,Data_Actuals!$B$2:$B$5000,$B$2),"")</f>
        <v/>
      </c>
      <c r="S52" s="52">
        <f>IF($D52="Actual",SUMIFS(Data_Actuals!$D$2:$D$5000,Data_Actuals!$A$2:$A$5000,$A52,Data_Actuals!$B$2:$B$5000,$B$2),"")</f>
        <v/>
      </c>
      <c r="T52" s="52">
        <f>IF($D52="Actual",SUMIFS(Data_Actuals!$E$2:$E$5000,Data_Actuals!$A$2:$A$5000,$A52,Data_Actuals!$B$2:$B$5000,$B$2),"")</f>
        <v/>
      </c>
      <c r="U52" s="52">
        <f>IF($D52="Actual",SUMIFS(Data_Actuals!$F$2:$F$5000,Data_Actuals!$A$2:$A$5000,$A52,Data_Actuals!$B$2:$B$5000,$B$2),"")</f>
        <v/>
      </c>
      <c r="V52" s="52">
        <f>IF($D52="Actual",SUMIFS(Data_Actuals!$G$2:$G$5000,Data_Actuals!$A$2:$A$5000,$A52,Data_Actuals!$B$2:$B$5000,$B$2),"")</f>
        <v/>
      </c>
      <c r="W52" s="52">
        <f>SUMIFS(Plan_Inputs!$C$2:$C$5000,Plan_Inputs!$A$2:$A$5000,$A52,Plan_Inputs!$B$2:$B$5000,$B$2)</f>
        <v/>
      </c>
      <c r="X52" s="53">
        <f>IF($D52="Actual",IFERROR(S52/T52,""),X40)</f>
        <v/>
      </c>
      <c r="Y52" s="52">
        <f>E52</f>
        <v/>
      </c>
      <c r="Z52" s="54">
        <f>INDEX(Calendar!$H$5:$L$52,MATCH($A52,Calendar!$A$5:$A$52,0),MATCH($D$2,Calendar!$H$4:$L$4,0))</f>
        <v/>
      </c>
      <c r="AA52" s="54">
        <f>INDEX(Calendar!$M$5:$M$52,MATCH($A52,Calendar!$A$5:$A$52,0))</f>
        <v/>
      </c>
      <c r="AB52" s="55">
        <f>IF($D52="Actual",IFERROR(S52/Y52,""),AB40)</f>
        <v/>
      </c>
      <c r="AC52" s="56">
        <f>IF($D52="Actual",IFERROR(U52/T52/Z52/AA52,""),AC40)</f>
        <v/>
      </c>
      <c r="AD52" s="57">
        <f>IF($D52="Actual",IFERROR(V52/(U52+V52),""),$K$2)</f>
        <v/>
      </c>
      <c r="AE52" s="56">
        <f>IFERROR(AC52*Z52*AA52,"")</f>
        <v/>
      </c>
      <c r="AF52" s="53">
        <f>K40</f>
        <v/>
      </c>
      <c r="AG52" s="57">
        <f>IF($D52="Forecast",IFERROR(K52/AF52-1,""),"")</f>
        <v/>
      </c>
      <c r="AH52" s="53">
        <f>IF(CPLHSource="National breakdown",CPLH_Breakdown!AR57,SUMIFS(Plan_Inputs!$D$2:$D$5000,Plan_Inputs!$A$2:$A$5000,$A52,Plan_Inputs!$B$2:$B$5000,$B$2))</f>
        <v/>
      </c>
      <c r="AJ52" s="15">
        <f>F52*$AK$11</f>
        <v/>
      </c>
      <c r="AK52" s="9">
        <f>G52*$AK$11</f>
        <v/>
      </c>
      <c r="AL52" s="30">
        <f>H52*$AK$11</f>
        <v/>
      </c>
      <c r="AM52" s="30">
        <f>I52*$AK$11</f>
        <v/>
      </c>
      <c r="AN52" s="30">
        <f>J52*$AK$11</f>
        <v/>
      </c>
      <c r="AP52" s="15">
        <f>F52*$AQ$11</f>
        <v/>
      </c>
      <c r="AQ52" s="9">
        <f>G52*$AQ$11</f>
        <v/>
      </c>
      <c r="AR52" s="30">
        <f>H52*$AQ$11</f>
        <v/>
      </c>
      <c r="AS52" s="30">
        <f>I52*$AQ$11</f>
        <v/>
      </c>
      <c r="AT52" s="30">
        <f>J52*$AQ$11</f>
        <v/>
      </c>
      <c r="AV52" s="15">
        <f>F52*$AW$11</f>
        <v/>
      </c>
      <c r="AW52" s="9">
        <f>G52*$AW$11</f>
        <v/>
      </c>
      <c r="AX52" s="30">
        <f>H52*$AW$11</f>
        <v/>
      </c>
      <c r="AY52" s="30">
        <f>I52*$AW$11</f>
        <v/>
      </c>
      <c r="AZ52" s="30">
        <f>J52*$AW$11</f>
        <v/>
      </c>
    </row>
    <row r="53">
      <c r="A53" s="8" t="n">
        <v>46813</v>
      </c>
      <c r="B53" s="33">
        <f>YEAR(A53)</f>
        <v/>
      </c>
      <c r="C53" s="33">
        <f>MONTH(A53)</f>
        <v/>
      </c>
      <c r="D53">
        <f>IF(A53&lt;=LastActual,"Actual","Forecast")</f>
        <v/>
      </c>
      <c r="E53" s="30">
        <f>IF($D53="Actual",R53,W53)</f>
        <v/>
      </c>
      <c r="F53" s="15">
        <f>IF($D53="Actual",S53,Cases_Forecast!AQ46)</f>
        <v/>
      </c>
      <c r="G53" s="9">
        <f>IF($D53="Actual",T53,IFERROR(F53/K53,0))</f>
        <v/>
      </c>
      <c r="H53" s="30">
        <f>IF($D53="Actual",U53,G53*L53)</f>
        <v/>
      </c>
      <c r="I53" s="30">
        <f>IF($D53="Actual",V53,J53-H53)</f>
        <v/>
      </c>
      <c r="J53" s="30">
        <f>IF($D53="Actual",U53+V53,IFERROR(H53/(1-AD53),0))</f>
        <v/>
      </c>
      <c r="K53" s="10">
        <f>IF($D53="Actual",IFERROR(S53/T53,0),CPLH_Forecast!AQ46)</f>
        <v/>
      </c>
      <c r="L53" s="34">
        <f>IF($D53="Actual",IFERROR(U53/T53,0),N(AE53))</f>
        <v/>
      </c>
      <c r="M53" s="35">
        <f>IFERROR(J53/F53,0)</f>
        <v/>
      </c>
      <c r="N53" s="36">
        <f>IFERROR(J53/E53,0)</f>
        <v/>
      </c>
      <c r="O53" s="36">
        <f>IFERROR(I53/J53,0)</f>
        <v/>
      </c>
      <c r="R53" s="52">
        <f>IF($D53="Actual",SUMIFS(Data_Actuals!$C$2:$C$5000,Data_Actuals!$A$2:$A$5000,$A53,Data_Actuals!$B$2:$B$5000,$B$2),"")</f>
        <v/>
      </c>
      <c r="S53" s="52">
        <f>IF($D53="Actual",SUMIFS(Data_Actuals!$D$2:$D$5000,Data_Actuals!$A$2:$A$5000,$A53,Data_Actuals!$B$2:$B$5000,$B$2),"")</f>
        <v/>
      </c>
      <c r="T53" s="52">
        <f>IF($D53="Actual",SUMIFS(Data_Actuals!$E$2:$E$5000,Data_Actuals!$A$2:$A$5000,$A53,Data_Actuals!$B$2:$B$5000,$B$2),"")</f>
        <v/>
      </c>
      <c r="U53" s="52">
        <f>IF($D53="Actual",SUMIFS(Data_Actuals!$F$2:$F$5000,Data_Actuals!$A$2:$A$5000,$A53,Data_Actuals!$B$2:$B$5000,$B$2),"")</f>
        <v/>
      </c>
      <c r="V53" s="52">
        <f>IF($D53="Actual",SUMIFS(Data_Actuals!$G$2:$G$5000,Data_Actuals!$A$2:$A$5000,$A53,Data_Actuals!$B$2:$B$5000,$B$2),"")</f>
        <v/>
      </c>
      <c r="W53" s="52">
        <f>SUMIFS(Plan_Inputs!$C$2:$C$5000,Plan_Inputs!$A$2:$A$5000,$A53,Plan_Inputs!$B$2:$B$5000,$B$2)</f>
        <v/>
      </c>
      <c r="X53" s="53">
        <f>IF($D53="Actual",IFERROR(S53/T53,""),X41)</f>
        <v/>
      </c>
      <c r="Y53" s="52">
        <f>E53</f>
        <v/>
      </c>
      <c r="Z53" s="54">
        <f>INDEX(Calendar!$H$5:$L$52,MATCH($A53,Calendar!$A$5:$A$52,0),MATCH($D$2,Calendar!$H$4:$L$4,0))</f>
        <v/>
      </c>
      <c r="AA53" s="54">
        <f>INDEX(Calendar!$M$5:$M$52,MATCH($A53,Calendar!$A$5:$A$52,0))</f>
        <v/>
      </c>
      <c r="AB53" s="55">
        <f>IF($D53="Actual",IFERROR(S53/Y53,""),AB41)</f>
        <v/>
      </c>
      <c r="AC53" s="56">
        <f>IF($D53="Actual",IFERROR(U53/T53/Z53/AA53,""),AC41)</f>
        <v/>
      </c>
      <c r="AD53" s="57">
        <f>IF($D53="Actual",IFERROR(V53/(U53+V53),""),$K$2)</f>
        <v/>
      </c>
      <c r="AE53" s="56">
        <f>IFERROR(AC53*Z53*AA53,"")</f>
        <v/>
      </c>
      <c r="AF53" s="53">
        <f>K41</f>
        <v/>
      </c>
      <c r="AG53" s="57">
        <f>IF($D53="Forecast",IFERROR(K53/AF53-1,""),"")</f>
        <v/>
      </c>
      <c r="AH53" s="53">
        <f>IF(CPLHSource="National breakdown",CPLH_Breakdown!AR58,SUMIFS(Plan_Inputs!$D$2:$D$5000,Plan_Inputs!$A$2:$A$5000,$A53,Plan_Inputs!$B$2:$B$5000,$B$2))</f>
        <v/>
      </c>
      <c r="AJ53" s="15">
        <f>F53*$AK$11</f>
        <v/>
      </c>
      <c r="AK53" s="9">
        <f>G53*$AK$11</f>
        <v/>
      </c>
      <c r="AL53" s="30">
        <f>H53*$AK$11</f>
        <v/>
      </c>
      <c r="AM53" s="30">
        <f>I53*$AK$11</f>
        <v/>
      </c>
      <c r="AN53" s="30">
        <f>J53*$AK$11</f>
        <v/>
      </c>
      <c r="AP53" s="15">
        <f>F53*$AQ$11</f>
        <v/>
      </c>
      <c r="AQ53" s="9">
        <f>G53*$AQ$11</f>
        <v/>
      </c>
      <c r="AR53" s="30">
        <f>H53*$AQ$11</f>
        <v/>
      </c>
      <c r="AS53" s="30">
        <f>I53*$AQ$11</f>
        <v/>
      </c>
      <c r="AT53" s="30">
        <f>J53*$AQ$11</f>
        <v/>
      </c>
      <c r="AV53" s="15">
        <f>F53*$AW$11</f>
        <v/>
      </c>
      <c r="AW53" s="9">
        <f>G53*$AW$11</f>
        <v/>
      </c>
      <c r="AX53" s="30">
        <f>H53*$AW$11</f>
        <v/>
      </c>
      <c r="AY53" s="30">
        <f>I53*$AW$11</f>
        <v/>
      </c>
      <c r="AZ53" s="30">
        <f>J53*$AW$11</f>
        <v/>
      </c>
    </row>
    <row r="54">
      <c r="A54" s="8" t="n">
        <v>46844</v>
      </c>
      <c r="B54" s="33">
        <f>YEAR(A54)</f>
        <v/>
      </c>
      <c r="C54" s="33">
        <f>MONTH(A54)</f>
        <v/>
      </c>
      <c r="D54">
        <f>IF(A54&lt;=LastActual,"Actual","Forecast")</f>
        <v/>
      </c>
      <c r="E54" s="30">
        <f>IF($D54="Actual",R54,W54)</f>
        <v/>
      </c>
      <c r="F54" s="15">
        <f>IF($D54="Actual",S54,Cases_Forecast!AQ47)</f>
        <v/>
      </c>
      <c r="G54" s="9">
        <f>IF($D54="Actual",T54,IFERROR(F54/K54,0))</f>
        <v/>
      </c>
      <c r="H54" s="30">
        <f>IF($D54="Actual",U54,G54*L54)</f>
        <v/>
      </c>
      <c r="I54" s="30">
        <f>IF($D54="Actual",V54,J54-H54)</f>
        <v/>
      </c>
      <c r="J54" s="30">
        <f>IF($D54="Actual",U54+V54,IFERROR(H54/(1-AD54),0))</f>
        <v/>
      </c>
      <c r="K54" s="10">
        <f>IF($D54="Actual",IFERROR(S54/T54,0),CPLH_Forecast!AQ47)</f>
        <v/>
      </c>
      <c r="L54" s="34">
        <f>IF($D54="Actual",IFERROR(U54/T54,0),N(AE54))</f>
        <v/>
      </c>
      <c r="M54" s="35">
        <f>IFERROR(J54/F54,0)</f>
        <v/>
      </c>
      <c r="N54" s="36">
        <f>IFERROR(J54/E54,0)</f>
        <v/>
      </c>
      <c r="O54" s="36">
        <f>IFERROR(I54/J54,0)</f>
        <v/>
      </c>
      <c r="R54" s="52">
        <f>IF($D54="Actual",SUMIFS(Data_Actuals!$C$2:$C$5000,Data_Actuals!$A$2:$A$5000,$A54,Data_Actuals!$B$2:$B$5000,$B$2),"")</f>
        <v/>
      </c>
      <c r="S54" s="52">
        <f>IF($D54="Actual",SUMIFS(Data_Actuals!$D$2:$D$5000,Data_Actuals!$A$2:$A$5000,$A54,Data_Actuals!$B$2:$B$5000,$B$2),"")</f>
        <v/>
      </c>
      <c r="T54" s="52">
        <f>IF($D54="Actual",SUMIFS(Data_Actuals!$E$2:$E$5000,Data_Actuals!$A$2:$A$5000,$A54,Data_Actuals!$B$2:$B$5000,$B$2),"")</f>
        <v/>
      </c>
      <c r="U54" s="52">
        <f>IF($D54="Actual",SUMIFS(Data_Actuals!$F$2:$F$5000,Data_Actuals!$A$2:$A$5000,$A54,Data_Actuals!$B$2:$B$5000,$B$2),"")</f>
        <v/>
      </c>
      <c r="V54" s="52">
        <f>IF($D54="Actual",SUMIFS(Data_Actuals!$G$2:$G$5000,Data_Actuals!$A$2:$A$5000,$A54,Data_Actuals!$B$2:$B$5000,$B$2),"")</f>
        <v/>
      </c>
      <c r="W54" s="52">
        <f>SUMIFS(Plan_Inputs!$C$2:$C$5000,Plan_Inputs!$A$2:$A$5000,$A54,Plan_Inputs!$B$2:$B$5000,$B$2)</f>
        <v/>
      </c>
      <c r="X54" s="53">
        <f>IF($D54="Actual",IFERROR(S54/T54,""),X42)</f>
        <v/>
      </c>
      <c r="Y54" s="52">
        <f>E54</f>
        <v/>
      </c>
      <c r="Z54" s="54">
        <f>INDEX(Calendar!$H$5:$L$52,MATCH($A54,Calendar!$A$5:$A$52,0),MATCH($D$2,Calendar!$H$4:$L$4,0))</f>
        <v/>
      </c>
      <c r="AA54" s="54">
        <f>INDEX(Calendar!$M$5:$M$52,MATCH($A54,Calendar!$A$5:$A$52,0))</f>
        <v/>
      </c>
      <c r="AB54" s="55">
        <f>IF($D54="Actual",IFERROR(S54/Y54,""),AB42)</f>
        <v/>
      </c>
      <c r="AC54" s="56">
        <f>IF($D54="Actual",IFERROR(U54/T54/Z54/AA54,""),AC42)</f>
        <v/>
      </c>
      <c r="AD54" s="57">
        <f>IF($D54="Actual",IFERROR(V54/(U54+V54),""),$K$2)</f>
        <v/>
      </c>
      <c r="AE54" s="56">
        <f>IFERROR(AC54*Z54*AA54,"")</f>
        <v/>
      </c>
      <c r="AF54" s="53">
        <f>K42</f>
        <v/>
      </c>
      <c r="AG54" s="57">
        <f>IF($D54="Forecast",IFERROR(K54/AF54-1,""),"")</f>
        <v/>
      </c>
      <c r="AH54" s="53">
        <f>IF(CPLHSource="National breakdown",CPLH_Breakdown!AR59,SUMIFS(Plan_Inputs!$D$2:$D$5000,Plan_Inputs!$A$2:$A$5000,$A54,Plan_Inputs!$B$2:$B$5000,$B$2))</f>
        <v/>
      </c>
      <c r="AJ54" s="15">
        <f>F54*$AK$11</f>
        <v/>
      </c>
      <c r="AK54" s="9">
        <f>G54*$AK$11</f>
        <v/>
      </c>
      <c r="AL54" s="30">
        <f>H54*$AK$11</f>
        <v/>
      </c>
      <c r="AM54" s="30">
        <f>I54*$AK$11</f>
        <v/>
      </c>
      <c r="AN54" s="30">
        <f>J54*$AK$11</f>
        <v/>
      </c>
      <c r="AP54" s="15">
        <f>F54*$AQ$11</f>
        <v/>
      </c>
      <c r="AQ54" s="9">
        <f>G54*$AQ$11</f>
        <v/>
      </c>
      <c r="AR54" s="30">
        <f>H54*$AQ$11</f>
        <v/>
      </c>
      <c r="AS54" s="30">
        <f>I54*$AQ$11</f>
        <v/>
      </c>
      <c r="AT54" s="30">
        <f>J54*$AQ$11</f>
        <v/>
      </c>
      <c r="AV54" s="15">
        <f>F54*$AW$11</f>
        <v/>
      </c>
      <c r="AW54" s="9">
        <f>G54*$AW$11</f>
        <v/>
      </c>
      <c r="AX54" s="30">
        <f>H54*$AW$11</f>
        <v/>
      </c>
      <c r="AY54" s="30">
        <f>I54*$AW$11</f>
        <v/>
      </c>
      <c r="AZ54" s="30">
        <f>J54*$AW$11</f>
        <v/>
      </c>
    </row>
    <row r="55">
      <c r="A55" s="8" t="n">
        <v>46874</v>
      </c>
      <c r="B55" s="33">
        <f>YEAR(A55)</f>
        <v/>
      </c>
      <c r="C55" s="33">
        <f>MONTH(A55)</f>
        <v/>
      </c>
      <c r="D55">
        <f>IF(A55&lt;=LastActual,"Actual","Forecast")</f>
        <v/>
      </c>
      <c r="E55" s="30">
        <f>IF($D55="Actual",R55,W55)</f>
        <v/>
      </c>
      <c r="F55" s="15">
        <f>IF($D55="Actual",S55,Cases_Forecast!AQ48)</f>
        <v/>
      </c>
      <c r="G55" s="9">
        <f>IF($D55="Actual",T55,IFERROR(F55/K55,0))</f>
        <v/>
      </c>
      <c r="H55" s="30">
        <f>IF($D55="Actual",U55,G55*L55)</f>
        <v/>
      </c>
      <c r="I55" s="30">
        <f>IF($D55="Actual",V55,J55-H55)</f>
        <v/>
      </c>
      <c r="J55" s="30">
        <f>IF($D55="Actual",U55+V55,IFERROR(H55/(1-AD55),0))</f>
        <v/>
      </c>
      <c r="K55" s="10">
        <f>IF($D55="Actual",IFERROR(S55/T55,0),CPLH_Forecast!AQ48)</f>
        <v/>
      </c>
      <c r="L55" s="34">
        <f>IF($D55="Actual",IFERROR(U55/T55,0),N(AE55))</f>
        <v/>
      </c>
      <c r="M55" s="35">
        <f>IFERROR(J55/F55,0)</f>
        <v/>
      </c>
      <c r="N55" s="36">
        <f>IFERROR(J55/E55,0)</f>
        <v/>
      </c>
      <c r="O55" s="36">
        <f>IFERROR(I55/J55,0)</f>
        <v/>
      </c>
      <c r="R55" s="52">
        <f>IF($D55="Actual",SUMIFS(Data_Actuals!$C$2:$C$5000,Data_Actuals!$A$2:$A$5000,$A55,Data_Actuals!$B$2:$B$5000,$B$2),"")</f>
        <v/>
      </c>
      <c r="S55" s="52">
        <f>IF($D55="Actual",SUMIFS(Data_Actuals!$D$2:$D$5000,Data_Actuals!$A$2:$A$5000,$A55,Data_Actuals!$B$2:$B$5000,$B$2),"")</f>
        <v/>
      </c>
      <c r="T55" s="52">
        <f>IF($D55="Actual",SUMIFS(Data_Actuals!$E$2:$E$5000,Data_Actuals!$A$2:$A$5000,$A55,Data_Actuals!$B$2:$B$5000,$B$2),"")</f>
        <v/>
      </c>
      <c r="U55" s="52">
        <f>IF($D55="Actual",SUMIFS(Data_Actuals!$F$2:$F$5000,Data_Actuals!$A$2:$A$5000,$A55,Data_Actuals!$B$2:$B$5000,$B$2),"")</f>
        <v/>
      </c>
      <c r="V55" s="52">
        <f>IF($D55="Actual",SUMIFS(Data_Actuals!$G$2:$G$5000,Data_Actuals!$A$2:$A$5000,$A55,Data_Actuals!$B$2:$B$5000,$B$2),"")</f>
        <v/>
      </c>
      <c r="W55" s="52">
        <f>SUMIFS(Plan_Inputs!$C$2:$C$5000,Plan_Inputs!$A$2:$A$5000,$A55,Plan_Inputs!$B$2:$B$5000,$B$2)</f>
        <v/>
      </c>
      <c r="X55" s="53">
        <f>IF($D55="Actual",IFERROR(S55/T55,""),X43)</f>
        <v/>
      </c>
      <c r="Y55" s="52">
        <f>E55</f>
        <v/>
      </c>
      <c r="Z55" s="54">
        <f>INDEX(Calendar!$H$5:$L$52,MATCH($A55,Calendar!$A$5:$A$52,0),MATCH($D$2,Calendar!$H$4:$L$4,0))</f>
        <v/>
      </c>
      <c r="AA55" s="54">
        <f>INDEX(Calendar!$M$5:$M$52,MATCH($A55,Calendar!$A$5:$A$52,0))</f>
        <v/>
      </c>
      <c r="AB55" s="55">
        <f>IF($D55="Actual",IFERROR(S55/Y55,""),AB43)</f>
        <v/>
      </c>
      <c r="AC55" s="56">
        <f>IF($D55="Actual",IFERROR(U55/T55/Z55/AA55,""),AC43)</f>
        <v/>
      </c>
      <c r="AD55" s="57">
        <f>IF($D55="Actual",IFERROR(V55/(U55+V55),""),$K$2)</f>
        <v/>
      </c>
      <c r="AE55" s="56">
        <f>IFERROR(AC55*Z55*AA55,"")</f>
        <v/>
      </c>
      <c r="AF55" s="53">
        <f>K43</f>
        <v/>
      </c>
      <c r="AG55" s="57">
        <f>IF($D55="Forecast",IFERROR(K55/AF55-1,""),"")</f>
        <v/>
      </c>
      <c r="AH55" s="53">
        <f>IF(CPLHSource="National breakdown",CPLH_Breakdown!AR60,SUMIFS(Plan_Inputs!$D$2:$D$5000,Plan_Inputs!$A$2:$A$5000,$A55,Plan_Inputs!$B$2:$B$5000,$B$2))</f>
        <v/>
      </c>
      <c r="AJ55" s="15">
        <f>F55*$AK$11</f>
        <v/>
      </c>
      <c r="AK55" s="9">
        <f>G55*$AK$11</f>
        <v/>
      </c>
      <c r="AL55" s="30">
        <f>H55*$AK$11</f>
        <v/>
      </c>
      <c r="AM55" s="30">
        <f>I55*$AK$11</f>
        <v/>
      </c>
      <c r="AN55" s="30">
        <f>J55*$AK$11</f>
        <v/>
      </c>
      <c r="AP55" s="15">
        <f>F55*$AQ$11</f>
        <v/>
      </c>
      <c r="AQ55" s="9">
        <f>G55*$AQ$11</f>
        <v/>
      </c>
      <c r="AR55" s="30">
        <f>H55*$AQ$11</f>
        <v/>
      </c>
      <c r="AS55" s="30">
        <f>I55*$AQ$11</f>
        <v/>
      </c>
      <c r="AT55" s="30">
        <f>J55*$AQ$11</f>
        <v/>
      </c>
      <c r="AV55" s="15">
        <f>F55*$AW$11</f>
        <v/>
      </c>
      <c r="AW55" s="9">
        <f>G55*$AW$11</f>
        <v/>
      </c>
      <c r="AX55" s="30">
        <f>H55*$AW$11</f>
        <v/>
      </c>
      <c r="AY55" s="30">
        <f>I55*$AW$11</f>
        <v/>
      </c>
      <c r="AZ55" s="30">
        <f>J55*$AW$11</f>
        <v/>
      </c>
    </row>
    <row r="56">
      <c r="A56" s="8" t="n">
        <v>46905</v>
      </c>
      <c r="B56" s="33">
        <f>YEAR(A56)</f>
        <v/>
      </c>
      <c r="C56" s="33">
        <f>MONTH(A56)</f>
        <v/>
      </c>
      <c r="D56">
        <f>IF(A56&lt;=LastActual,"Actual","Forecast")</f>
        <v/>
      </c>
      <c r="E56" s="30">
        <f>IF($D56="Actual",R56,W56)</f>
        <v/>
      </c>
      <c r="F56" s="15">
        <f>IF($D56="Actual",S56,Cases_Forecast!AQ49)</f>
        <v/>
      </c>
      <c r="G56" s="9">
        <f>IF($D56="Actual",T56,IFERROR(F56/K56,0))</f>
        <v/>
      </c>
      <c r="H56" s="30">
        <f>IF($D56="Actual",U56,G56*L56)</f>
        <v/>
      </c>
      <c r="I56" s="30">
        <f>IF($D56="Actual",V56,J56-H56)</f>
        <v/>
      </c>
      <c r="J56" s="30">
        <f>IF($D56="Actual",U56+V56,IFERROR(H56/(1-AD56),0))</f>
        <v/>
      </c>
      <c r="K56" s="10">
        <f>IF($D56="Actual",IFERROR(S56/T56,0),CPLH_Forecast!AQ49)</f>
        <v/>
      </c>
      <c r="L56" s="34">
        <f>IF($D56="Actual",IFERROR(U56/T56,0),N(AE56))</f>
        <v/>
      </c>
      <c r="M56" s="35">
        <f>IFERROR(J56/F56,0)</f>
        <v/>
      </c>
      <c r="N56" s="36">
        <f>IFERROR(J56/E56,0)</f>
        <v/>
      </c>
      <c r="O56" s="36">
        <f>IFERROR(I56/J56,0)</f>
        <v/>
      </c>
      <c r="R56" s="52">
        <f>IF($D56="Actual",SUMIFS(Data_Actuals!$C$2:$C$5000,Data_Actuals!$A$2:$A$5000,$A56,Data_Actuals!$B$2:$B$5000,$B$2),"")</f>
        <v/>
      </c>
      <c r="S56" s="52">
        <f>IF($D56="Actual",SUMIFS(Data_Actuals!$D$2:$D$5000,Data_Actuals!$A$2:$A$5000,$A56,Data_Actuals!$B$2:$B$5000,$B$2),"")</f>
        <v/>
      </c>
      <c r="T56" s="52">
        <f>IF($D56="Actual",SUMIFS(Data_Actuals!$E$2:$E$5000,Data_Actuals!$A$2:$A$5000,$A56,Data_Actuals!$B$2:$B$5000,$B$2),"")</f>
        <v/>
      </c>
      <c r="U56" s="52">
        <f>IF($D56="Actual",SUMIFS(Data_Actuals!$F$2:$F$5000,Data_Actuals!$A$2:$A$5000,$A56,Data_Actuals!$B$2:$B$5000,$B$2),"")</f>
        <v/>
      </c>
      <c r="V56" s="52">
        <f>IF($D56="Actual",SUMIFS(Data_Actuals!$G$2:$G$5000,Data_Actuals!$A$2:$A$5000,$A56,Data_Actuals!$B$2:$B$5000,$B$2),"")</f>
        <v/>
      </c>
      <c r="W56" s="52">
        <f>SUMIFS(Plan_Inputs!$C$2:$C$5000,Plan_Inputs!$A$2:$A$5000,$A56,Plan_Inputs!$B$2:$B$5000,$B$2)</f>
        <v/>
      </c>
      <c r="X56" s="53">
        <f>IF($D56="Actual",IFERROR(S56/T56,""),X44)</f>
        <v/>
      </c>
      <c r="Y56" s="52">
        <f>E56</f>
        <v/>
      </c>
      <c r="Z56" s="54">
        <f>INDEX(Calendar!$H$5:$L$52,MATCH($A56,Calendar!$A$5:$A$52,0),MATCH($D$2,Calendar!$H$4:$L$4,0))</f>
        <v/>
      </c>
      <c r="AA56" s="54">
        <f>INDEX(Calendar!$M$5:$M$52,MATCH($A56,Calendar!$A$5:$A$52,0))</f>
        <v/>
      </c>
      <c r="AB56" s="55">
        <f>IF($D56="Actual",IFERROR(S56/Y56,""),AB44)</f>
        <v/>
      </c>
      <c r="AC56" s="56">
        <f>IF($D56="Actual",IFERROR(U56/T56/Z56/AA56,""),AC44)</f>
        <v/>
      </c>
      <c r="AD56" s="57">
        <f>IF($D56="Actual",IFERROR(V56/(U56+V56),""),$K$2)</f>
        <v/>
      </c>
      <c r="AE56" s="56">
        <f>IFERROR(AC56*Z56*AA56,"")</f>
        <v/>
      </c>
      <c r="AF56" s="53">
        <f>K44</f>
        <v/>
      </c>
      <c r="AG56" s="57">
        <f>IF($D56="Forecast",IFERROR(K56/AF56-1,""),"")</f>
        <v/>
      </c>
      <c r="AH56" s="53">
        <f>IF(CPLHSource="National breakdown",CPLH_Breakdown!AR61,SUMIFS(Plan_Inputs!$D$2:$D$5000,Plan_Inputs!$A$2:$A$5000,$A56,Plan_Inputs!$B$2:$B$5000,$B$2))</f>
        <v/>
      </c>
      <c r="AJ56" s="15">
        <f>F56*$AK$11</f>
        <v/>
      </c>
      <c r="AK56" s="9">
        <f>G56*$AK$11</f>
        <v/>
      </c>
      <c r="AL56" s="30">
        <f>H56*$AK$11</f>
        <v/>
      </c>
      <c r="AM56" s="30">
        <f>I56*$AK$11</f>
        <v/>
      </c>
      <c r="AN56" s="30">
        <f>J56*$AK$11</f>
        <v/>
      </c>
      <c r="AP56" s="15">
        <f>F56*$AQ$11</f>
        <v/>
      </c>
      <c r="AQ56" s="9">
        <f>G56*$AQ$11</f>
        <v/>
      </c>
      <c r="AR56" s="30">
        <f>H56*$AQ$11</f>
        <v/>
      </c>
      <c r="AS56" s="30">
        <f>I56*$AQ$11</f>
        <v/>
      </c>
      <c r="AT56" s="30">
        <f>J56*$AQ$11</f>
        <v/>
      </c>
      <c r="AV56" s="15">
        <f>F56*$AW$11</f>
        <v/>
      </c>
      <c r="AW56" s="9">
        <f>G56*$AW$11</f>
        <v/>
      </c>
      <c r="AX56" s="30">
        <f>H56*$AW$11</f>
        <v/>
      </c>
      <c r="AY56" s="30">
        <f>I56*$AW$11</f>
        <v/>
      </c>
      <c r="AZ56" s="30">
        <f>J56*$AW$11</f>
        <v/>
      </c>
    </row>
    <row r="57">
      <c r="A57" s="8" t="n">
        <v>46935</v>
      </c>
      <c r="B57" s="33">
        <f>YEAR(A57)</f>
        <v/>
      </c>
      <c r="C57" s="33">
        <f>MONTH(A57)</f>
        <v/>
      </c>
      <c r="D57">
        <f>IF(A57&lt;=LastActual,"Actual","Forecast")</f>
        <v/>
      </c>
      <c r="E57" s="30">
        <f>IF($D57="Actual",R57,W57)</f>
        <v/>
      </c>
      <c r="F57" s="15">
        <f>IF($D57="Actual",S57,Cases_Forecast!AQ50)</f>
        <v/>
      </c>
      <c r="G57" s="9">
        <f>IF($D57="Actual",T57,IFERROR(F57/K57,0))</f>
        <v/>
      </c>
      <c r="H57" s="30">
        <f>IF($D57="Actual",U57,G57*L57)</f>
        <v/>
      </c>
      <c r="I57" s="30">
        <f>IF($D57="Actual",V57,J57-H57)</f>
        <v/>
      </c>
      <c r="J57" s="30">
        <f>IF($D57="Actual",U57+V57,IFERROR(H57/(1-AD57),0))</f>
        <v/>
      </c>
      <c r="K57" s="10">
        <f>IF($D57="Actual",IFERROR(S57/T57,0),CPLH_Forecast!AQ50)</f>
        <v/>
      </c>
      <c r="L57" s="34">
        <f>IF($D57="Actual",IFERROR(U57/T57,0),N(AE57))</f>
        <v/>
      </c>
      <c r="M57" s="35">
        <f>IFERROR(J57/F57,0)</f>
        <v/>
      </c>
      <c r="N57" s="36">
        <f>IFERROR(J57/E57,0)</f>
        <v/>
      </c>
      <c r="O57" s="36">
        <f>IFERROR(I57/J57,0)</f>
        <v/>
      </c>
      <c r="R57" s="52">
        <f>IF($D57="Actual",SUMIFS(Data_Actuals!$C$2:$C$5000,Data_Actuals!$A$2:$A$5000,$A57,Data_Actuals!$B$2:$B$5000,$B$2),"")</f>
        <v/>
      </c>
      <c r="S57" s="52">
        <f>IF($D57="Actual",SUMIFS(Data_Actuals!$D$2:$D$5000,Data_Actuals!$A$2:$A$5000,$A57,Data_Actuals!$B$2:$B$5000,$B$2),"")</f>
        <v/>
      </c>
      <c r="T57" s="52">
        <f>IF($D57="Actual",SUMIFS(Data_Actuals!$E$2:$E$5000,Data_Actuals!$A$2:$A$5000,$A57,Data_Actuals!$B$2:$B$5000,$B$2),"")</f>
        <v/>
      </c>
      <c r="U57" s="52">
        <f>IF($D57="Actual",SUMIFS(Data_Actuals!$F$2:$F$5000,Data_Actuals!$A$2:$A$5000,$A57,Data_Actuals!$B$2:$B$5000,$B$2),"")</f>
        <v/>
      </c>
      <c r="V57" s="52">
        <f>IF($D57="Actual",SUMIFS(Data_Actuals!$G$2:$G$5000,Data_Actuals!$A$2:$A$5000,$A57,Data_Actuals!$B$2:$B$5000,$B$2),"")</f>
        <v/>
      </c>
      <c r="W57" s="52">
        <f>SUMIFS(Plan_Inputs!$C$2:$C$5000,Plan_Inputs!$A$2:$A$5000,$A57,Plan_Inputs!$B$2:$B$5000,$B$2)</f>
        <v/>
      </c>
      <c r="X57" s="53">
        <f>IF($D57="Actual",IFERROR(S57/T57,""),X45)</f>
        <v/>
      </c>
      <c r="Y57" s="52">
        <f>E57</f>
        <v/>
      </c>
      <c r="Z57" s="54">
        <f>INDEX(Calendar!$H$5:$L$52,MATCH($A57,Calendar!$A$5:$A$52,0),MATCH($D$2,Calendar!$H$4:$L$4,0))</f>
        <v/>
      </c>
      <c r="AA57" s="54">
        <f>INDEX(Calendar!$M$5:$M$52,MATCH($A57,Calendar!$A$5:$A$52,0))</f>
        <v/>
      </c>
      <c r="AB57" s="55">
        <f>IF($D57="Actual",IFERROR(S57/Y57,""),AB45)</f>
        <v/>
      </c>
      <c r="AC57" s="56">
        <f>IF($D57="Actual",IFERROR(U57/T57/Z57/AA57,""),AC45)</f>
        <v/>
      </c>
      <c r="AD57" s="57">
        <f>IF($D57="Actual",IFERROR(V57/(U57+V57),""),$K$2)</f>
        <v/>
      </c>
      <c r="AE57" s="56">
        <f>IFERROR(AC57*Z57*AA57,"")</f>
        <v/>
      </c>
      <c r="AF57" s="53">
        <f>K45</f>
        <v/>
      </c>
      <c r="AG57" s="57">
        <f>IF($D57="Forecast",IFERROR(K57/AF57-1,""),"")</f>
        <v/>
      </c>
      <c r="AH57" s="53">
        <f>IF(CPLHSource="National breakdown",CPLH_Breakdown!AR62,SUMIFS(Plan_Inputs!$D$2:$D$5000,Plan_Inputs!$A$2:$A$5000,$A57,Plan_Inputs!$B$2:$B$5000,$B$2))</f>
        <v/>
      </c>
      <c r="AJ57" s="15">
        <f>F57*$AK$11</f>
        <v/>
      </c>
      <c r="AK57" s="9">
        <f>G57*$AK$11</f>
        <v/>
      </c>
      <c r="AL57" s="30">
        <f>H57*$AK$11</f>
        <v/>
      </c>
      <c r="AM57" s="30">
        <f>I57*$AK$11</f>
        <v/>
      </c>
      <c r="AN57" s="30">
        <f>J57*$AK$11</f>
        <v/>
      </c>
      <c r="AP57" s="15">
        <f>F57*$AQ$11</f>
        <v/>
      </c>
      <c r="AQ57" s="9">
        <f>G57*$AQ$11</f>
        <v/>
      </c>
      <c r="AR57" s="30">
        <f>H57*$AQ$11</f>
        <v/>
      </c>
      <c r="AS57" s="30">
        <f>I57*$AQ$11</f>
        <v/>
      </c>
      <c r="AT57" s="30">
        <f>J57*$AQ$11</f>
        <v/>
      </c>
      <c r="AV57" s="15">
        <f>F57*$AW$11</f>
        <v/>
      </c>
      <c r="AW57" s="9">
        <f>G57*$AW$11</f>
        <v/>
      </c>
      <c r="AX57" s="30">
        <f>H57*$AW$11</f>
        <v/>
      </c>
      <c r="AY57" s="30">
        <f>I57*$AW$11</f>
        <v/>
      </c>
      <c r="AZ57" s="30">
        <f>J57*$AW$11</f>
        <v/>
      </c>
    </row>
    <row r="58">
      <c r="A58" s="8" t="n">
        <v>46966</v>
      </c>
      <c r="B58" s="33">
        <f>YEAR(A58)</f>
        <v/>
      </c>
      <c r="C58" s="33">
        <f>MONTH(A58)</f>
        <v/>
      </c>
      <c r="D58">
        <f>IF(A58&lt;=LastActual,"Actual","Forecast")</f>
        <v/>
      </c>
      <c r="E58" s="30">
        <f>IF($D58="Actual",R58,W58)</f>
        <v/>
      </c>
      <c r="F58" s="15">
        <f>IF($D58="Actual",S58,Cases_Forecast!AQ51)</f>
        <v/>
      </c>
      <c r="G58" s="9">
        <f>IF($D58="Actual",T58,IFERROR(F58/K58,0))</f>
        <v/>
      </c>
      <c r="H58" s="30">
        <f>IF($D58="Actual",U58,G58*L58)</f>
        <v/>
      </c>
      <c r="I58" s="30">
        <f>IF($D58="Actual",V58,J58-H58)</f>
        <v/>
      </c>
      <c r="J58" s="30">
        <f>IF($D58="Actual",U58+V58,IFERROR(H58/(1-AD58),0))</f>
        <v/>
      </c>
      <c r="K58" s="10">
        <f>IF($D58="Actual",IFERROR(S58/T58,0),CPLH_Forecast!AQ51)</f>
        <v/>
      </c>
      <c r="L58" s="34">
        <f>IF($D58="Actual",IFERROR(U58/T58,0),N(AE58))</f>
        <v/>
      </c>
      <c r="M58" s="35">
        <f>IFERROR(J58/F58,0)</f>
        <v/>
      </c>
      <c r="N58" s="36">
        <f>IFERROR(J58/E58,0)</f>
        <v/>
      </c>
      <c r="O58" s="36">
        <f>IFERROR(I58/J58,0)</f>
        <v/>
      </c>
      <c r="R58" s="52">
        <f>IF($D58="Actual",SUMIFS(Data_Actuals!$C$2:$C$5000,Data_Actuals!$A$2:$A$5000,$A58,Data_Actuals!$B$2:$B$5000,$B$2),"")</f>
        <v/>
      </c>
      <c r="S58" s="52">
        <f>IF($D58="Actual",SUMIFS(Data_Actuals!$D$2:$D$5000,Data_Actuals!$A$2:$A$5000,$A58,Data_Actuals!$B$2:$B$5000,$B$2),"")</f>
        <v/>
      </c>
      <c r="T58" s="52">
        <f>IF($D58="Actual",SUMIFS(Data_Actuals!$E$2:$E$5000,Data_Actuals!$A$2:$A$5000,$A58,Data_Actuals!$B$2:$B$5000,$B$2),"")</f>
        <v/>
      </c>
      <c r="U58" s="52">
        <f>IF($D58="Actual",SUMIFS(Data_Actuals!$F$2:$F$5000,Data_Actuals!$A$2:$A$5000,$A58,Data_Actuals!$B$2:$B$5000,$B$2),"")</f>
        <v/>
      </c>
      <c r="V58" s="52">
        <f>IF($D58="Actual",SUMIFS(Data_Actuals!$G$2:$G$5000,Data_Actuals!$A$2:$A$5000,$A58,Data_Actuals!$B$2:$B$5000,$B$2),"")</f>
        <v/>
      </c>
      <c r="W58" s="52">
        <f>SUMIFS(Plan_Inputs!$C$2:$C$5000,Plan_Inputs!$A$2:$A$5000,$A58,Plan_Inputs!$B$2:$B$5000,$B$2)</f>
        <v/>
      </c>
      <c r="X58" s="53">
        <f>IF($D58="Actual",IFERROR(S58/T58,""),X46)</f>
        <v/>
      </c>
      <c r="Y58" s="52">
        <f>E58</f>
        <v/>
      </c>
      <c r="Z58" s="54">
        <f>INDEX(Calendar!$H$5:$L$52,MATCH($A58,Calendar!$A$5:$A$52,0),MATCH($D$2,Calendar!$H$4:$L$4,0))</f>
        <v/>
      </c>
      <c r="AA58" s="54">
        <f>INDEX(Calendar!$M$5:$M$52,MATCH($A58,Calendar!$A$5:$A$52,0))</f>
        <v/>
      </c>
      <c r="AB58" s="55">
        <f>IF($D58="Actual",IFERROR(S58/Y58,""),AB46)</f>
        <v/>
      </c>
      <c r="AC58" s="56">
        <f>IF($D58="Actual",IFERROR(U58/T58/Z58/AA58,""),AC46)</f>
        <v/>
      </c>
      <c r="AD58" s="57">
        <f>IF($D58="Actual",IFERROR(V58/(U58+V58),""),$K$2)</f>
        <v/>
      </c>
      <c r="AE58" s="56">
        <f>IFERROR(AC58*Z58*AA58,"")</f>
        <v/>
      </c>
      <c r="AF58" s="53">
        <f>K46</f>
        <v/>
      </c>
      <c r="AG58" s="57">
        <f>IF($D58="Forecast",IFERROR(K58/AF58-1,""),"")</f>
        <v/>
      </c>
      <c r="AH58" s="53">
        <f>IF(CPLHSource="National breakdown",CPLH_Breakdown!AR63,SUMIFS(Plan_Inputs!$D$2:$D$5000,Plan_Inputs!$A$2:$A$5000,$A58,Plan_Inputs!$B$2:$B$5000,$B$2))</f>
        <v/>
      </c>
      <c r="AJ58" s="15">
        <f>F58*$AK$11</f>
        <v/>
      </c>
      <c r="AK58" s="9">
        <f>G58*$AK$11</f>
        <v/>
      </c>
      <c r="AL58" s="30">
        <f>H58*$AK$11</f>
        <v/>
      </c>
      <c r="AM58" s="30">
        <f>I58*$AK$11</f>
        <v/>
      </c>
      <c r="AN58" s="30">
        <f>J58*$AK$11</f>
        <v/>
      </c>
      <c r="AP58" s="15">
        <f>F58*$AQ$11</f>
        <v/>
      </c>
      <c r="AQ58" s="9">
        <f>G58*$AQ$11</f>
        <v/>
      </c>
      <c r="AR58" s="30">
        <f>H58*$AQ$11</f>
        <v/>
      </c>
      <c r="AS58" s="30">
        <f>I58*$AQ$11</f>
        <v/>
      </c>
      <c r="AT58" s="30">
        <f>J58*$AQ$11</f>
        <v/>
      </c>
      <c r="AV58" s="15">
        <f>F58*$AW$11</f>
        <v/>
      </c>
      <c r="AW58" s="9">
        <f>G58*$AW$11</f>
        <v/>
      </c>
      <c r="AX58" s="30">
        <f>H58*$AW$11</f>
        <v/>
      </c>
      <c r="AY58" s="30">
        <f>I58*$AW$11</f>
        <v/>
      </c>
      <c r="AZ58" s="30">
        <f>J58*$AW$11</f>
        <v/>
      </c>
    </row>
    <row r="59">
      <c r="A59" s="8" t="n">
        <v>46997</v>
      </c>
      <c r="B59" s="33">
        <f>YEAR(A59)</f>
        <v/>
      </c>
      <c r="C59" s="33">
        <f>MONTH(A59)</f>
        <v/>
      </c>
      <c r="D59">
        <f>IF(A59&lt;=LastActual,"Actual","Forecast")</f>
        <v/>
      </c>
      <c r="E59" s="30">
        <f>IF($D59="Actual",R59,W59)</f>
        <v/>
      </c>
      <c r="F59" s="15">
        <f>IF($D59="Actual",S59,Cases_Forecast!AQ52)</f>
        <v/>
      </c>
      <c r="G59" s="9">
        <f>IF($D59="Actual",T59,IFERROR(F59/K59,0))</f>
        <v/>
      </c>
      <c r="H59" s="30">
        <f>IF($D59="Actual",U59,G59*L59)</f>
        <v/>
      </c>
      <c r="I59" s="30">
        <f>IF($D59="Actual",V59,J59-H59)</f>
        <v/>
      </c>
      <c r="J59" s="30">
        <f>IF($D59="Actual",U59+V59,IFERROR(H59/(1-AD59),0))</f>
        <v/>
      </c>
      <c r="K59" s="10">
        <f>IF($D59="Actual",IFERROR(S59/T59,0),CPLH_Forecast!AQ52)</f>
        <v/>
      </c>
      <c r="L59" s="34">
        <f>IF($D59="Actual",IFERROR(U59/T59,0),N(AE59))</f>
        <v/>
      </c>
      <c r="M59" s="35">
        <f>IFERROR(J59/F59,0)</f>
        <v/>
      </c>
      <c r="N59" s="36">
        <f>IFERROR(J59/E59,0)</f>
        <v/>
      </c>
      <c r="O59" s="36">
        <f>IFERROR(I59/J59,0)</f>
        <v/>
      </c>
      <c r="R59" s="52">
        <f>IF($D59="Actual",SUMIFS(Data_Actuals!$C$2:$C$5000,Data_Actuals!$A$2:$A$5000,$A59,Data_Actuals!$B$2:$B$5000,$B$2),"")</f>
        <v/>
      </c>
      <c r="S59" s="52">
        <f>IF($D59="Actual",SUMIFS(Data_Actuals!$D$2:$D$5000,Data_Actuals!$A$2:$A$5000,$A59,Data_Actuals!$B$2:$B$5000,$B$2),"")</f>
        <v/>
      </c>
      <c r="T59" s="52">
        <f>IF($D59="Actual",SUMIFS(Data_Actuals!$E$2:$E$5000,Data_Actuals!$A$2:$A$5000,$A59,Data_Actuals!$B$2:$B$5000,$B$2),"")</f>
        <v/>
      </c>
      <c r="U59" s="52">
        <f>IF($D59="Actual",SUMIFS(Data_Actuals!$F$2:$F$5000,Data_Actuals!$A$2:$A$5000,$A59,Data_Actuals!$B$2:$B$5000,$B$2),"")</f>
        <v/>
      </c>
      <c r="V59" s="52">
        <f>IF($D59="Actual",SUMIFS(Data_Actuals!$G$2:$G$5000,Data_Actuals!$A$2:$A$5000,$A59,Data_Actuals!$B$2:$B$5000,$B$2),"")</f>
        <v/>
      </c>
      <c r="W59" s="52">
        <f>SUMIFS(Plan_Inputs!$C$2:$C$5000,Plan_Inputs!$A$2:$A$5000,$A59,Plan_Inputs!$B$2:$B$5000,$B$2)</f>
        <v/>
      </c>
      <c r="X59" s="53">
        <f>IF($D59="Actual",IFERROR(S59/T59,""),X47)</f>
        <v/>
      </c>
      <c r="Y59" s="52">
        <f>E59</f>
        <v/>
      </c>
      <c r="Z59" s="54">
        <f>INDEX(Calendar!$H$5:$L$52,MATCH($A59,Calendar!$A$5:$A$52,0),MATCH($D$2,Calendar!$H$4:$L$4,0))</f>
        <v/>
      </c>
      <c r="AA59" s="54">
        <f>INDEX(Calendar!$M$5:$M$52,MATCH($A59,Calendar!$A$5:$A$52,0))</f>
        <v/>
      </c>
      <c r="AB59" s="55">
        <f>IF($D59="Actual",IFERROR(S59/Y59,""),AB47)</f>
        <v/>
      </c>
      <c r="AC59" s="56">
        <f>IF($D59="Actual",IFERROR(U59/T59/Z59/AA59,""),AC47)</f>
        <v/>
      </c>
      <c r="AD59" s="57">
        <f>IF($D59="Actual",IFERROR(V59/(U59+V59),""),$K$2)</f>
        <v/>
      </c>
      <c r="AE59" s="56">
        <f>IFERROR(AC59*Z59*AA59,"")</f>
        <v/>
      </c>
      <c r="AF59" s="53">
        <f>K47</f>
        <v/>
      </c>
      <c r="AG59" s="57">
        <f>IF($D59="Forecast",IFERROR(K59/AF59-1,""),"")</f>
        <v/>
      </c>
      <c r="AH59" s="53">
        <f>IF(CPLHSource="National breakdown",CPLH_Breakdown!AR64,SUMIFS(Plan_Inputs!$D$2:$D$5000,Plan_Inputs!$A$2:$A$5000,$A59,Plan_Inputs!$B$2:$B$5000,$B$2))</f>
        <v/>
      </c>
      <c r="AJ59" s="15">
        <f>F59*$AK$11</f>
        <v/>
      </c>
      <c r="AK59" s="9">
        <f>G59*$AK$11</f>
        <v/>
      </c>
      <c r="AL59" s="30">
        <f>H59*$AK$11</f>
        <v/>
      </c>
      <c r="AM59" s="30">
        <f>I59*$AK$11</f>
        <v/>
      </c>
      <c r="AN59" s="30">
        <f>J59*$AK$11</f>
        <v/>
      </c>
      <c r="AP59" s="15">
        <f>F59*$AQ$11</f>
        <v/>
      </c>
      <c r="AQ59" s="9">
        <f>G59*$AQ$11</f>
        <v/>
      </c>
      <c r="AR59" s="30">
        <f>H59*$AQ$11</f>
        <v/>
      </c>
      <c r="AS59" s="30">
        <f>I59*$AQ$11</f>
        <v/>
      </c>
      <c r="AT59" s="30">
        <f>J59*$AQ$11</f>
        <v/>
      </c>
      <c r="AV59" s="15">
        <f>F59*$AW$11</f>
        <v/>
      </c>
      <c r="AW59" s="9">
        <f>G59*$AW$11</f>
        <v/>
      </c>
      <c r="AX59" s="30">
        <f>H59*$AW$11</f>
        <v/>
      </c>
      <c r="AY59" s="30">
        <f>I59*$AW$11</f>
        <v/>
      </c>
      <c r="AZ59" s="30">
        <f>J59*$AW$11</f>
        <v/>
      </c>
    </row>
    <row r="60">
      <c r="A60" s="8" t="n">
        <v>47027</v>
      </c>
      <c r="B60" s="33">
        <f>YEAR(A60)</f>
        <v/>
      </c>
      <c r="C60" s="33">
        <f>MONTH(A60)</f>
        <v/>
      </c>
      <c r="D60">
        <f>IF(A60&lt;=LastActual,"Actual","Forecast")</f>
        <v/>
      </c>
      <c r="E60" s="30">
        <f>IF($D60="Actual",R60,W60)</f>
        <v/>
      </c>
      <c r="F60" s="15">
        <f>IF($D60="Actual",S60,Cases_Forecast!AQ53)</f>
        <v/>
      </c>
      <c r="G60" s="9">
        <f>IF($D60="Actual",T60,IFERROR(F60/K60,0))</f>
        <v/>
      </c>
      <c r="H60" s="30">
        <f>IF($D60="Actual",U60,G60*L60)</f>
        <v/>
      </c>
      <c r="I60" s="30">
        <f>IF($D60="Actual",V60,J60-H60)</f>
        <v/>
      </c>
      <c r="J60" s="30">
        <f>IF($D60="Actual",U60+V60,IFERROR(H60/(1-AD60),0))</f>
        <v/>
      </c>
      <c r="K60" s="10">
        <f>IF($D60="Actual",IFERROR(S60/T60,0),CPLH_Forecast!AQ53)</f>
        <v/>
      </c>
      <c r="L60" s="34">
        <f>IF($D60="Actual",IFERROR(U60/T60,0),N(AE60))</f>
        <v/>
      </c>
      <c r="M60" s="35">
        <f>IFERROR(J60/F60,0)</f>
        <v/>
      </c>
      <c r="N60" s="36">
        <f>IFERROR(J60/E60,0)</f>
        <v/>
      </c>
      <c r="O60" s="36">
        <f>IFERROR(I60/J60,0)</f>
        <v/>
      </c>
      <c r="R60" s="52">
        <f>IF($D60="Actual",SUMIFS(Data_Actuals!$C$2:$C$5000,Data_Actuals!$A$2:$A$5000,$A60,Data_Actuals!$B$2:$B$5000,$B$2),"")</f>
        <v/>
      </c>
      <c r="S60" s="52">
        <f>IF($D60="Actual",SUMIFS(Data_Actuals!$D$2:$D$5000,Data_Actuals!$A$2:$A$5000,$A60,Data_Actuals!$B$2:$B$5000,$B$2),"")</f>
        <v/>
      </c>
      <c r="T60" s="52">
        <f>IF($D60="Actual",SUMIFS(Data_Actuals!$E$2:$E$5000,Data_Actuals!$A$2:$A$5000,$A60,Data_Actuals!$B$2:$B$5000,$B$2),"")</f>
        <v/>
      </c>
      <c r="U60" s="52">
        <f>IF($D60="Actual",SUMIFS(Data_Actuals!$F$2:$F$5000,Data_Actuals!$A$2:$A$5000,$A60,Data_Actuals!$B$2:$B$5000,$B$2),"")</f>
        <v/>
      </c>
      <c r="V60" s="52">
        <f>IF($D60="Actual",SUMIFS(Data_Actuals!$G$2:$G$5000,Data_Actuals!$A$2:$A$5000,$A60,Data_Actuals!$B$2:$B$5000,$B$2),"")</f>
        <v/>
      </c>
      <c r="W60" s="52">
        <f>SUMIFS(Plan_Inputs!$C$2:$C$5000,Plan_Inputs!$A$2:$A$5000,$A60,Plan_Inputs!$B$2:$B$5000,$B$2)</f>
        <v/>
      </c>
      <c r="X60" s="53">
        <f>IF($D60="Actual",IFERROR(S60/T60,""),X48)</f>
        <v/>
      </c>
      <c r="Y60" s="52">
        <f>E60</f>
        <v/>
      </c>
      <c r="Z60" s="54">
        <f>INDEX(Calendar!$H$5:$L$52,MATCH($A60,Calendar!$A$5:$A$52,0),MATCH($D$2,Calendar!$H$4:$L$4,0))</f>
        <v/>
      </c>
      <c r="AA60" s="54">
        <f>INDEX(Calendar!$M$5:$M$52,MATCH($A60,Calendar!$A$5:$A$52,0))</f>
        <v/>
      </c>
      <c r="AB60" s="55">
        <f>IF($D60="Actual",IFERROR(S60/Y60,""),AB48)</f>
        <v/>
      </c>
      <c r="AC60" s="56">
        <f>IF($D60="Actual",IFERROR(U60/T60/Z60/AA60,""),AC48)</f>
        <v/>
      </c>
      <c r="AD60" s="57">
        <f>IF($D60="Actual",IFERROR(V60/(U60+V60),""),$K$2)</f>
        <v/>
      </c>
      <c r="AE60" s="56">
        <f>IFERROR(AC60*Z60*AA60,"")</f>
        <v/>
      </c>
      <c r="AF60" s="53">
        <f>K48</f>
        <v/>
      </c>
      <c r="AG60" s="57">
        <f>IF($D60="Forecast",IFERROR(K60/AF60-1,""),"")</f>
        <v/>
      </c>
      <c r="AH60" s="53">
        <f>IF(CPLHSource="National breakdown",CPLH_Breakdown!AR65,SUMIFS(Plan_Inputs!$D$2:$D$5000,Plan_Inputs!$A$2:$A$5000,$A60,Plan_Inputs!$B$2:$B$5000,$B$2))</f>
        <v/>
      </c>
      <c r="AJ60" s="15">
        <f>F60*$AK$11</f>
        <v/>
      </c>
      <c r="AK60" s="9">
        <f>G60*$AK$11</f>
        <v/>
      </c>
      <c r="AL60" s="30">
        <f>H60*$AK$11</f>
        <v/>
      </c>
      <c r="AM60" s="30">
        <f>I60*$AK$11</f>
        <v/>
      </c>
      <c r="AN60" s="30">
        <f>J60*$AK$11</f>
        <v/>
      </c>
      <c r="AP60" s="15">
        <f>F60*$AQ$11</f>
        <v/>
      </c>
      <c r="AQ60" s="9">
        <f>G60*$AQ$11</f>
        <v/>
      </c>
      <c r="AR60" s="30">
        <f>H60*$AQ$11</f>
        <v/>
      </c>
      <c r="AS60" s="30">
        <f>I60*$AQ$11</f>
        <v/>
      </c>
      <c r="AT60" s="30">
        <f>J60*$AQ$11</f>
        <v/>
      </c>
      <c r="AV60" s="15">
        <f>F60*$AW$11</f>
        <v/>
      </c>
      <c r="AW60" s="9">
        <f>G60*$AW$11</f>
        <v/>
      </c>
      <c r="AX60" s="30">
        <f>H60*$AW$11</f>
        <v/>
      </c>
      <c r="AY60" s="30">
        <f>I60*$AW$11</f>
        <v/>
      </c>
      <c r="AZ60" s="30">
        <f>J60*$AW$11</f>
        <v/>
      </c>
    </row>
    <row r="61">
      <c r="A61" s="8" t="n">
        <v>47058</v>
      </c>
      <c r="B61" s="33">
        <f>YEAR(A61)</f>
        <v/>
      </c>
      <c r="C61" s="33">
        <f>MONTH(A61)</f>
        <v/>
      </c>
      <c r="D61">
        <f>IF(A61&lt;=LastActual,"Actual","Forecast")</f>
        <v/>
      </c>
      <c r="E61" s="30">
        <f>IF($D61="Actual",R61,W61)</f>
        <v/>
      </c>
      <c r="F61" s="15">
        <f>IF($D61="Actual",S61,Cases_Forecast!AQ54)</f>
        <v/>
      </c>
      <c r="G61" s="9">
        <f>IF($D61="Actual",T61,IFERROR(F61/K61,0))</f>
        <v/>
      </c>
      <c r="H61" s="30">
        <f>IF($D61="Actual",U61,G61*L61)</f>
        <v/>
      </c>
      <c r="I61" s="30">
        <f>IF($D61="Actual",V61,J61-H61)</f>
        <v/>
      </c>
      <c r="J61" s="30">
        <f>IF($D61="Actual",U61+V61,IFERROR(H61/(1-AD61),0))</f>
        <v/>
      </c>
      <c r="K61" s="10">
        <f>IF($D61="Actual",IFERROR(S61/T61,0),CPLH_Forecast!AQ54)</f>
        <v/>
      </c>
      <c r="L61" s="34">
        <f>IF($D61="Actual",IFERROR(U61/T61,0),N(AE61))</f>
        <v/>
      </c>
      <c r="M61" s="35">
        <f>IFERROR(J61/F61,0)</f>
        <v/>
      </c>
      <c r="N61" s="36">
        <f>IFERROR(J61/E61,0)</f>
        <v/>
      </c>
      <c r="O61" s="36">
        <f>IFERROR(I61/J61,0)</f>
        <v/>
      </c>
      <c r="R61" s="52">
        <f>IF($D61="Actual",SUMIFS(Data_Actuals!$C$2:$C$5000,Data_Actuals!$A$2:$A$5000,$A61,Data_Actuals!$B$2:$B$5000,$B$2),"")</f>
        <v/>
      </c>
      <c r="S61" s="52">
        <f>IF($D61="Actual",SUMIFS(Data_Actuals!$D$2:$D$5000,Data_Actuals!$A$2:$A$5000,$A61,Data_Actuals!$B$2:$B$5000,$B$2),"")</f>
        <v/>
      </c>
      <c r="T61" s="52">
        <f>IF($D61="Actual",SUMIFS(Data_Actuals!$E$2:$E$5000,Data_Actuals!$A$2:$A$5000,$A61,Data_Actuals!$B$2:$B$5000,$B$2),"")</f>
        <v/>
      </c>
      <c r="U61" s="52">
        <f>IF($D61="Actual",SUMIFS(Data_Actuals!$F$2:$F$5000,Data_Actuals!$A$2:$A$5000,$A61,Data_Actuals!$B$2:$B$5000,$B$2),"")</f>
        <v/>
      </c>
      <c r="V61" s="52">
        <f>IF($D61="Actual",SUMIFS(Data_Actuals!$G$2:$G$5000,Data_Actuals!$A$2:$A$5000,$A61,Data_Actuals!$B$2:$B$5000,$B$2),"")</f>
        <v/>
      </c>
      <c r="W61" s="52">
        <f>SUMIFS(Plan_Inputs!$C$2:$C$5000,Plan_Inputs!$A$2:$A$5000,$A61,Plan_Inputs!$B$2:$B$5000,$B$2)</f>
        <v/>
      </c>
      <c r="X61" s="53">
        <f>IF($D61="Actual",IFERROR(S61/T61,""),X49)</f>
        <v/>
      </c>
      <c r="Y61" s="52">
        <f>E61</f>
        <v/>
      </c>
      <c r="Z61" s="54">
        <f>INDEX(Calendar!$H$5:$L$52,MATCH($A61,Calendar!$A$5:$A$52,0),MATCH($D$2,Calendar!$H$4:$L$4,0))</f>
        <v/>
      </c>
      <c r="AA61" s="54">
        <f>INDEX(Calendar!$M$5:$M$52,MATCH($A61,Calendar!$A$5:$A$52,0))</f>
        <v/>
      </c>
      <c r="AB61" s="55">
        <f>IF($D61="Actual",IFERROR(S61/Y61,""),AB49)</f>
        <v/>
      </c>
      <c r="AC61" s="56">
        <f>IF($D61="Actual",IFERROR(U61/T61/Z61/AA61,""),AC49)</f>
        <v/>
      </c>
      <c r="AD61" s="57">
        <f>IF($D61="Actual",IFERROR(V61/(U61+V61),""),$K$2)</f>
        <v/>
      </c>
      <c r="AE61" s="56">
        <f>IFERROR(AC61*Z61*AA61,"")</f>
        <v/>
      </c>
      <c r="AF61" s="53">
        <f>K49</f>
        <v/>
      </c>
      <c r="AG61" s="57">
        <f>IF($D61="Forecast",IFERROR(K61/AF61-1,""),"")</f>
        <v/>
      </c>
      <c r="AH61" s="53">
        <f>IF(CPLHSource="National breakdown",CPLH_Breakdown!AR66,SUMIFS(Plan_Inputs!$D$2:$D$5000,Plan_Inputs!$A$2:$A$5000,$A61,Plan_Inputs!$B$2:$B$5000,$B$2))</f>
        <v/>
      </c>
      <c r="AJ61" s="15">
        <f>F61*$AK$11</f>
        <v/>
      </c>
      <c r="AK61" s="9">
        <f>G61*$AK$11</f>
        <v/>
      </c>
      <c r="AL61" s="30">
        <f>H61*$AK$11</f>
        <v/>
      </c>
      <c r="AM61" s="30">
        <f>I61*$AK$11</f>
        <v/>
      </c>
      <c r="AN61" s="30">
        <f>J61*$AK$11</f>
        <v/>
      </c>
      <c r="AP61" s="15">
        <f>F61*$AQ$11</f>
        <v/>
      </c>
      <c r="AQ61" s="9">
        <f>G61*$AQ$11</f>
        <v/>
      </c>
      <c r="AR61" s="30">
        <f>H61*$AQ$11</f>
        <v/>
      </c>
      <c r="AS61" s="30">
        <f>I61*$AQ$11</f>
        <v/>
      </c>
      <c r="AT61" s="30">
        <f>J61*$AQ$11</f>
        <v/>
      </c>
      <c r="AV61" s="15">
        <f>F61*$AW$11</f>
        <v/>
      </c>
      <c r="AW61" s="9">
        <f>G61*$AW$11</f>
        <v/>
      </c>
      <c r="AX61" s="30">
        <f>H61*$AW$11</f>
        <v/>
      </c>
      <c r="AY61" s="30">
        <f>I61*$AW$11</f>
        <v/>
      </c>
      <c r="AZ61" s="30">
        <f>J61*$AW$11</f>
        <v/>
      </c>
    </row>
    <row r="62">
      <c r="A62" s="37" t="n">
        <v>47088</v>
      </c>
      <c r="B62" s="38">
        <f>YEAR(A62)</f>
        <v/>
      </c>
      <c r="C62" s="38">
        <f>MONTH(A62)</f>
        <v/>
      </c>
      <c r="D62" s="39">
        <f>IF(A62&lt;=LastActual,"Actual","Forecast")</f>
        <v/>
      </c>
      <c r="E62" s="40">
        <f>IF($D62="Actual",R62,W62)</f>
        <v/>
      </c>
      <c r="F62" s="41">
        <f>IF($D62="Actual",S62,Cases_Forecast!AQ55)</f>
        <v/>
      </c>
      <c r="G62" s="42">
        <f>IF($D62="Actual",T62,IFERROR(F62/K62,0))</f>
        <v/>
      </c>
      <c r="H62" s="40">
        <f>IF($D62="Actual",U62,G62*L62)</f>
        <v/>
      </c>
      <c r="I62" s="40">
        <f>IF($D62="Actual",V62,J62-H62)</f>
        <v/>
      </c>
      <c r="J62" s="40">
        <f>IF($D62="Actual",U62+V62,IFERROR(H62/(1-AD62),0))</f>
        <v/>
      </c>
      <c r="K62" s="43">
        <f>IF($D62="Actual",IFERROR(S62/T62,0),CPLH_Forecast!AQ55)</f>
        <v/>
      </c>
      <c r="L62" s="44">
        <f>IF($D62="Actual",IFERROR(U62/T62,0),N(AE62))</f>
        <v/>
      </c>
      <c r="M62" s="45">
        <f>IFERROR(J62/F62,0)</f>
        <v/>
      </c>
      <c r="N62" s="46">
        <f>IFERROR(J62/E62,0)</f>
        <v/>
      </c>
      <c r="O62" s="46">
        <f>IFERROR(I62/J62,0)</f>
        <v/>
      </c>
      <c r="R62" s="52">
        <f>IF($D62="Actual",SUMIFS(Data_Actuals!$C$2:$C$5000,Data_Actuals!$A$2:$A$5000,$A62,Data_Actuals!$B$2:$B$5000,$B$2),"")</f>
        <v/>
      </c>
      <c r="S62" s="52">
        <f>IF($D62="Actual",SUMIFS(Data_Actuals!$D$2:$D$5000,Data_Actuals!$A$2:$A$5000,$A62,Data_Actuals!$B$2:$B$5000,$B$2),"")</f>
        <v/>
      </c>
      <c r="T62" s="52">
        <f>IF($D62="Actual",SUMIFS(Data_Actuals!$E$2:$E$5000,Data_Actuals!$A$2:$A$5000,$A62,Data_Actuals!$B$2:$B$5000,$B$2),"")</f>
        <v/>
      </c>
      <c r="U62" s="52">
        <f>IF($D62="Actual",SUMIFS(Data_Actuals!$F$2:$F$5000,Data_Actuals!$A$2:$A$5000,$A62,Data_Actuals!$B$2:$B$5000,$B$2),"")</f>
        <v/>
      </c>
      <c r="V62" s="52">
        <f>IF($D62="Actual",SUMIFS(Data_Actuals!$G$2:$G$5000,Data_Actuals!$A$2:$A$5000,$A62,Data_Actuals!$B$2:$B$5000,$B$2),"")</f>
        <v/>
      </c>
      <c r="W62" s="52">
        <f>SUMIFS(Plan_Inputs!$C$2:$C$5000,Plan_Inputs!$A$2:$A$5000,$A62,Plan_Inputs!$B$2:$B$5000,$B$2)</f>
        <v/>
      </c>
      <c r="X62" s="53">
        <f>IF($D62="Actual",IFERROR(S62/T62,""),X50)</f>
        <v/>
      </c>
      <c r="Y62" s="52">
        <f>E62</f>
        <v/>
      </c>
      <c r="Z62" s="54">
        <f>INDEX(Calendar!$H$5:$L$52,MATCH($A62,Calendar!$A$5:$A$52,0),MATCH($D$2,Calendar!$H$4:$L$4,0))</f>
        <v/>
      </c>
      <c r="AA62" s="54">
        <f>INDEX(Calendar!$M$5:$M$52,MATCH($A62,Calendar!$A$5:$A$52,0))</f>
        <v/>
      </c>
      <c r="AB62" s="55">
        <f>IF($D62="Actual",IFERROR(S62/Y62,""),AB50)</f>
        <v/>
      </c>
      <c r="AC62" s="56">
        <f>IF($D62="Actual",IFERROR(U62/T62/Z62/AA62,""),AC50)</f>
        <v/>
      </c>
      <c r="AD62" s="57">
        <f>IF($D62="Actual",IFERROR(V62/(U62+V62),""),$K$2)</f>
        <v/>
      </c>
      <c r="AE62" s="56">
        <f>IFERROR(AC62*Z62*AA62,"")</f>
        <v/>
      </c>
      <c r="AF62" s="53">
        <f>K50</f>
        <v/>
      </c>
      <c r="AG62" s="57">
        <f>IF($D62="Forecast",IFERROR(K62/AF62-1,""),"")</f>
        <v/>
      </c>
      <c r="AH62" s="53">
        <f>IF(CPLHSource="National breakdown",CPLH_Breakdown!AR67,SUMIFS(Plan_Inputs!$D$2:$D$5000,Plan_Inputs!$A$2:$A$5000,$A62,Plan_Inputs!$B$2:$B$5000,$B$2))</f>
        <v/>
      </c>
      <c r="AJ62" s="41">
        <f>F62*$AK$11</f>
        <v/>
      </c>
      <c r="AK62" s="42">
        <f>G62*$AK$11</f>
        <v/>
      </c>
      <c r="AL62" s="40">
        <f>H62*$AK$11</f>
        <v/>
      </c>
      <c r="AM62" s="40">
        <f>I62*$AK$11</f>
        <v/>
      </c>
      <c r="AN62" s="40">
        <f>J62*$AK$11</f>
        <v/>
      </c>
      <c r="AP62" s="41">
        <f>F62*$AQ$11</f>
        <v/>
      </c>
      <c r="AQ62" s="42">
        <f>G62*$AQ$11</f>
        <v/>
      </c>
      <c r="AR62" s="40">
        <f>H62*$AQ$11</f>
        <v/>
      </c>
      <c r="AS62" s="40">
        <f>I62*$AQ$11</f>
        <v/>
      </c>
      <c r="AT62" s="40">
        <f>J62*$AQ$11</f>
        <v/>
      </c>
      <c r="AV62" s="41">
        <f>F62*$AW$11</f>
        <v/>
      </c>
      <c r="AW62" s="42">
        <f>G62*$AW$11</f>
        <v/>
      </c>
      <c r="AX62" s="40">
        <f>H62*$AW$11</f>
        <v/>
      </c>
      <c r="AY62" s="40">
        <f>I62*$AW$11</f>
        <v/>
      </c>
      <c r="AZ62" s="40">
        <f>J62*$AW$11</f>
        <v/>
      </c>
    </row>
  </sheetData>
  <mergeCells count="6">
    <mergeCell ref="K12:O12"/>
    <mergeCell ref="AV12:AZ12"/>
    <mergeCell ref="AJ12:AN12"/>
    <mergeCell ref="AP12:AT12"/>
    <mergeCell ref="R12:AH12"/>
    <mergeCell ref="E12:J12"/>
  </mergeCells>
  <conditionalFormatting sqref="A15:O62">
    <cfRule type="expression" priority="1" dxfId="4">
      <formula>$D15="Forecast"</formula>
    </cfRule>
  </conditionalFormatting>
  <conditionalFormatting sqref="AJ15:AZ62">
    <cfRule type="expression" priority="2" dxfId="4">
      <formula>$D15="Forecast"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2E75B6"/>
    <outlinePr summaryBelow="1" summaryRight="1"/>
    <pageSetUpPr/>
  </sheetPr>
  <dimension ref="A1:AZ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  <col width="10" customWidth="1" min="34" max="34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2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2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2" customWidth="1" min="53" max="53"/>
  </cols>
  <sheetData>
    <row r="1">
      <c r="A1" s="2">
        <f>$B$2&amp;"  |  IDC  |  NSW  |  payroll % of "&amp;Inputs!$A$36&amp;" sales  |  volume from "&amp;Inputs!$A$36&amp;"+"&amp;Inputs!$A$39&amp;" sales"</f>
        <v/>
      </c>
    </row>
    <row r="2">
      <c r="A2" t="inlineStr">
        <is>
          <t>Code</t>
        </is>
      </c>
      <c r="B2" s="1">
        <f>Inputs!$A$44</f>
        <v/>
      </c>
      <c r="C2" t="inlineStr">
        <is>
          <t>State</t>
        </is>
      </c>
      <c r="D2" s="1" t="inlineStr">
        <is>
          <t>NSW</t>
        </is>
      </c>
      <c r="F2" t="inlineStr">
        <is>
          <t>Leadership share of total payroll, last actual month</t>
        </is>
      </c>
      <c r="K2" s="50">
        <f>IFERROR(INDEX($V$15:$V$62,MATCH(LastActual,$A$15:$A$62,0))/(INDEX($U$15:$U$62,MATCH(LastActual,$A$15:$A$62,0))+INDEX($V$15:$V$62,MATCH(LastActual,$A$15:$A$62,0))),0)</f>
        <v/>
      </c>
    </row>
    <row r="5" ht="45" customHeight="1">
      <c r="A5" s="7" t="inlineStr">
        <is>
          <t>FY</t>
        </is>
      </c>
      <c r="D5" s="7" t="inlineStr">
        <is>
          <t>Status</t>
        </is>
      </c>
      <c r="E5" s="7" t="inlineStr">
        <is>
          <t>Sales</t>
        </is>
      </c>
      <c r="F5" s="7" t="inlineStr">
        <is>
          <t>Cases picked</t>
        </is>
      </c>
      <c r="G5" s="7" t="inlineStr">
        <is>
          <t>WH hours worked</t>
        </is>
      </c>
      <c r="H5" s="7" t="inlineStr">
        <is>
          <t>Staff payroll</t>
        </is>
      </c>
      <c r="I5" s="7" t="inlineStr">
        <is>
          <t>Leadership payroll</t>
        </is>
      </c>
      <c r="J5" s="7" t="inlineStr">
        <is>
          <t>Total payroll</t>
        </is>
      </c>
      <c r="K5" s="7" t="inlineStr">
        <is>
          <t>CPLH (cases / hr)</t>
        </is>
      </c>
      <c r="L5" s="7" t="inlineStr">
        <is>
          <t>Cost per hour (staff)</t>
        </is>
      </c>
      <c r="M5" s="7" t="inlineStr">
        <is>
          <t>Cost per case (total payroll)</t>
        </is>
      </c>
      <c r="N5" s="7" t="inlineStr">
        <is>
          <t>Total payroll % sales</t>
        </is>
      </c>
      <c r="O5" s="7" t="inlineStr">
        <is>
          <t>Leadership % of total payroll</t>
        </is>
      </c>
      <c r="AJ5" s="20" t="inlineStr">
        <is>
          <t>Cases picked</t>
        </is>
      </c>
      <c r="AK5" s="20" t="inlineStr">
        <is>
          <t>WH hours worked</t>
        </is>
      </c>
      <c r="AL5" s="20" t="inlineStr">
        <is>
          <t>Staff payroll</t>
        </is>
      </c>
      <c r="AM5" s="20" t="inlineStr">
        <is>
          <t>Leadership payroll</t>
        </is>
      </c>
      <c r="AN5" s="20" t="inlineStr">
        <is>
          <t>Total payroll</t>
        </is>
      </c>
      <c r="AP5" s="20" t="inlineStr">
        <is>
          <t>Cases picked</t>
        </is>
      </c>
      <c r="AQ5" s="20" t="inlineStr">
        <is>
          <t>WH hours worked</t>
        </is>
      </c>
      <c r="AR5" s="20" t="inlineStr">
        <is>
          <t>Staff payroll</t>
        </is>
      </c>
      <c r="AS5" s="20" t="inlineStr">
        <is>
          <t>Leadership payroll</t>
        </is>
      </c>
      <c r="AT5" s="20" t="inlineStr">
        <is>
          <t>Total payroll</t>
        </is>
      </c>
      <c r="AV5" s="20" t="inlineStr">
        <is>
          <t>Cases picked</t>
        </is>
      </c>
      <c r="AW5" s="20" t="inlineStr">
        <is>
          <t>WH hours worked</t>
        </is>
      </c>
      <c r="AX5" s="20" t="inlineStr">
        <is>
          <t>Staff payroll</t>
        </is>
      </c>
      <c r="AY5" s="20" t="inlineStr">
        <is>
          <t>Leadership payroll</t>
        </is>
      </c>
      <c r="AZ5" s="20" t="inlineStr">
        <is>
          <t>Total payroll</t>
        </is>
      </c>
    </row>
    <row r="6">
      <c r="A6" s="21" t="n">
        <v>2025</v>
      </c>
      <c r="D6" s="22">
        <f>IF(DATE(A6,12,1)&lt;=LastActual,"Actual",IF(DATE(A6,1,1)&gt;LastActual,"Forecast","Blended"))</f>
        <v/>
      </c>
      <c r="E6" s="23">
        <f>SUMIFS($E$15:$E$62,$B$15:$B$62,$A6)</f>
        <v/>
      </c>
      <c r="F6" s="24">
        <f>SUMIFS($F$15:$F$62,$B$15:$B$62,$A6)</f>
        <v/>
      </c>
      <c r="G6" s="25">
        <f>SUMIFS($G$15:$G$62,$B$15:$B$62,$A6)</f>
        <v/>
      </c>
      <c r="H6" s="23">
        <f>SUMIFS($H$15:$H$62,$B$15:$B$62,$A6)</f>
        <v/>
      </c>
      <c r="I6" s="23">
        <f>SUMIFS($I$15:$I$62,$B$15:$B$62,$A6)</f>
        <v/>
      </c>
      <c r="J6" s="23">
        <f>SUMIFS($J$15:$J$62,$B$15:$B$62,$A6)</f>
        <v/>
      </c>
      <c r="K6" s="26">
        <f>IFERROR(F6/G6,0)</f>
        <v/>
      </c>
      <c r="L6" s="27">
        <f>IFERROR(H6/G6,0)</f>
        <v/>
      </c>
      <c r="M6" s="28">
        <f>IFERROR(J6/F6,0)</f>
        <v/>
      </c>
      <c r="N6" s="29">
        <f>IFERROR(J6/E6,0)</f>
        <v/>
      </c>
      <c r="O6" s="29">
        <f>IFERROR(I6/J6,0)</f>
        <v/>
      </c>
      <c r="AJ6" s="24">
        <f>SUMIFS($AJ$15:$AJ$62,$B$15:$B$62,$A6)</f>
        <v/>
      </c>
      <c r="AK6" s="25">
        <f>SUMIFS($AK$15:$AK$62,$B$15:$B$62,$A6)</f>
        <v/>
      </c>
      <c r="AL6" s="23">
        <f>SUMIFS($AL$15:$AL$62,$B$15:$B$62,$A6)</f>
        <v/>
      </c>
      <c r="AM6" s="23">
        <f>SUMIFS($AM$15:$AM$62,$B$15:$B$62,$A6)</f>
        <v/>
      </c>
      <c r="AN6" s="23">
        <f>SUMIFS($AN$15:$AN$62,$B$15:$B$62,$A6)</f>
        <v/>
      </c>
      <c r="AP6" s="24">
        <f>SUMIFS($AP$15:$AP$62,$B$15:$B$62,$A6)</f>
        <v/>
      </c>
      <c r="AQ6" s="25">
        <f>SUMIFS($AQ$15:$AQ$62,$B$15:$B$62,$A6)</f>
        <v/>
      </c>
      <c r="AR6" s="23">
        <f>SUMIFS($AR$15:$AR$62,$B$15:$B$62,$A6)</f>
        <v/>
      </c>
      <c r="AS6" s="23">
        <f>SUMIFS($AS$15:$AS$62,$B$15:$B$62,$A6)</f>
        <v/>
      </c>
      <c r="AT6" s="23">
        <f>SUMIFS($AT$15:$AT$62,$B$15:$B$62,$A6)</f>
        <v/>
      </c>
      <c r="AV6" s="24">
        <f>SUMIFS($AV$15:$AV$62,$B$15:$B$62,$A6)</f>
        <v/>
      </c>
      <c r="AW6" s="25">
        <f>SUMIFS($AW$15:$AW$62,$B$15:$B$62,$A6)</f>
        <v/>
      </c>
      <c r="AX6" s="23">
        <f>SUMIFS($AX$15:$AX$62,$B$15:$B$62,$A6)</f>
        <v/>
      </c>
      <c r="AY6" s="23">
        <f>SUMIFS($AY$15:$AY$62,$B$15:$B$62,$A6)</f>
        <v/>
      </c>
      <c r="AZ6" s="23">
        <f>SUMIFS($AZ$15:$AZ$62,$B$15:$B$62,$A6)</f>
        <v/>
      </c>
    </row>
    <row r="7">
      <c r="A7" s="21" t="n">
        <v>2026</v>
      </c>
      <c r="D7" s="22">
        <f>IF(DATE(A7,12,1)&lt;=LastActual,"Actual",IF(DATE(A7,1,1)&gt;LastActual,"Forecast","Blended"))</f>
        <v/>
      </c>
      <c r="E7" s="23">
        <f>SUMIFS($E$15:$E$62,$B$15:$B$62,$A7)</f>
        <v/>
      </c>
      <c r="F7" s="24">
        <f>SUMIFS($F$15:$F$62,$B$15:$B$62,$A7)</f>
        <v/>
      </c>
      <c r="G7" s="25">
        <f>SUMIFS($G$15:$G$62,$B$15:$B$62,$A7)</f>
        <v/>
      </c>
      <c r="H7" s="23">
        <f>SUMIFS($H$15:$H$62,$B$15:$B$62,$A7)</f>
        <v/>
      </c>
      <c r="I7" s="23">
        <f>SUMIFS($I$15:$I$62,$B$15:$B$62,$A7)</f>
        <v/>
      </c>
      <c r="J7" s="23">
        <f>SUMIFS($J$15:$J$62,$B$15:$B$62,$A7)</f>
        <v/>
      </c>
      <c r="K7" s="26">
        <f>IFERROR(F7/G7,0)</f>
        <v/>
      </c>
      <c r="L7" s="27">
        <f>IFERROR(H7/G7,0)</f>
        <v/>
      </c>
      <c r="M7" s="28">
        <f>IFERROR(J7/F7,0)</f>
        <v/>
      </c>
      <c r="N7" s="29">
        <f>IFERROR(J7/E7,0)</f>
        <v/>
      </c>
      <c r="O7" s="29">
        <f>IFERROR(I7/J7,0)</f>
        <v/>
      </c>
      <c r="AJ7" s="24">
        <f>SUMIFS($AJ$15:$AJ$62,$B$15:$B$62,$A7)</f>
        <v/>
      </c>
      <c r="AK7" s="25">
        <f>SUMIFS($AK$15:$AK$62,$B$15:$B$62,$A7)</f>
        <v/>
      </c>
      <c r="AL7" s="23">
        <f>SUMIFS($AL$15:$AL$62,$B$15:$B$62,$A7)</f>
        <v/>
      </c>
      <c r="AM7" s="23">
        <f>SUMIFS($AM$15:$AM$62,$B$15:$B$62,$A7)</f>
        <v/>
      </c>
      <c r="AN7" s="23">
        <f>SUMIFS($AN$15:$AN$62,$B$15:$B$62,$A7)</f>
        <v/>
      </c>
      <c r="AP7" s="24">
        <f>SUMIFS($AP$15:$AP$62,$B$15:$B$62,$A7)</f>
        <v/>
      </c>
      <c r="AQ7" s="25">
        <f>SUMIFS($AQ$15:$AQ$62,$B$15:$B$62,$A7)</f>
        <v/>
      </c>
      <c r="AR7" s="23">
        <f>SUMIFS($AR$15:$AR$62,$B$15:$B$62,$A7)</f>
        <v/>
      </c>
      <c r="AS7" s="23">
        <f>SUMIFS($AS$15:$AS$62,$B$15:$B$62,$A7)</f>
        <v/>
      </c>
      <c r="AT7" s="23">
        <f>SUMIFS($AT$15:$AT$62,$B$15:$B$62,$A7)</f>
        <v/>
      </c>
      <c r="AV7" s="24">
        <f>SUMIFS($AV$15:$AV$62,$B$15:$B$62,$A7)</f>
        <v/>
      </c>
      <c r="AW7" s="25">
        <f>SUMIFS($AW$15:$AW$62,$B$15:$B$62,$A7)</f>
        <v/>
      </c>
      <c r="AX7" s="23">
        <f>SUMIFS($AX$15:$AX$62,$B$15:$B$62,$A7)</f>
        <v/>
      </c>
      <c r="AY7" s="23">
        <f>SUMIFS($AY$15:$AY$62,$B$15:$B$62,$A7)</f>
        <v/>
      </c>
      <c r="AZ7" s="23">
        <f>SUMIFS($AZ$15:$AZ$62,$B$15:$B$62,$A7)</f>
        <v/>
      </c>
    </row>
    <row r="8">
      <c r="A8" s="21" t="n">
        <v>2027</v>
      </c>
      <c r="D8" s="22">
        <f>IF(DATE(A8,12,1)&lt;=LastActual,"Actual",IF(DATE(A8,1,1)&gt;LastActual,"Forecast","Blended"))</f>
        <v/>
      </c>
      <c r="E8" s="23">
        <f>SUMIFS($E$15:$E$62,$B$15:$B$62,$A8)</f>
        <v/>
      </c>
      <c r="F8" s="24">
        <f>SUMIFS($F$15:$F$62,$B$15:$B$62,$A8)</f>
        <v/>
      </c>
      <c r="G8" s="25">
        <f>SUMIFS($G$15:$G$62,$B$15:$B$62,$A8)</f>
        <v/>
      </c>
      <c r="H8" s="23">
        <f>SUMIFS($H$15:$H$62,$B$15:$B$62,$A8)</f>
        <v/>
      </c>
      <c r="I8" s="23">
        <f>SUMIFS($I$15:$I$62,$B$15:$B$62,$A8)</f>
        <v/>
      </c>
      <c r="J8" s="23">
        <f>SUMIFS($J$15:$J$62,$B$15:$B$62,$A8)</f>
        <v/>
      </c>
      <c r="K8" s="26">
        <f>IFERROR(F8/G8,0)</f>
        <v/>
      </c>
      <c r="L8" s="27">
        <f>IFERROR(H8/G8,0)</f>
        <v/>
      </c>
      <c r="M8" s="28">
        <f>IFERROR(J8/F8,0)</f>
        <v/>
      </c>
      <c r="N8" s="29">
        <f>IFERROR(J8/E8,0)</f>
        <v/>
      </c>
      <c r="O8" s="29">
        <f>IFERROR(I8/J8,0)</f>
        <v/>
      </c>
      <c r="AJ8" s="24">
        <f>SUMIFS($AJ$15:$AJ$62,$B$15:$B$62,$A8)</f>
        <v/>
      </c>
      <c r="AK8" s="25">
        <f>SUMIFS($AK$15:$AK$62,$B$15:$B$62,$A8)</f>
        <v/>
      </c>
      <c r="AL8" s="23">
        <f>SUMIFS($AL$15:$AL$62,$B$15:$B$62,$A8)</f>
        <v/>
      </c>
      <c r="AM8" s="23">
        <f>SUMIFS($AM$15:$AM$62,$B$15:$B$62,$A8)</f>
        <v/>
      </c>
      <c r="AN8" s="23">
        <f>SUMIFS($AN$15:$AN$62,$B$15:$B$62,$A8)</f>
        <v/>
      </c>
      <c r="AP8" s="24">
        <f>SUMIFS($AP$15:$AP$62,$B$15:$B$62,$A8)</f>
        <v/>
      </c>
      <c r="AQ8" s="25">
        <f>SUMIFS($AQ$15:$AQ$62,$B$15:$B$62,$A8)</f>
        <v/>
      </c>
      <c r="AR8" s="23">
        <f>SUMIFS($AR$15:$AR$62,$B$15:$B$62,$A8)</f>
        <v/>
      </c>
      <c r="AS8" s="23">
        <f>SUMIFS($AS$15:$AS$62,$B$15:$B$62,$A8)</f>
        <v/>
      </c>
      <c r="AT8" s="23">
        <f>SUMIFS($AT$15:$AT$62,$B$15:$B$62,$A8)</f>
        <v/>
      </c>
      <c r="AV8" s="24">
        <f>SUMIFS($AV$15:$AV$62,$B$15:$B$62,$A8)</f>
        <v/>
      </c>
      <c r="AW8" s="25">
        <f>SUMIFS($AW$15:$AW$62,$B$15:$B$62,$A8)</f>
        <v/>
      </c>
      <c r="AX8" s="23">
        <f>SUMIFS($AX$15:$AX$62,$B$15:$B$62,$A8)</f>
        <v/>
      </c>
      <c r="AY8" s="23">
        <f>SUMIFS($AY$15:$AY$62,$B$15:$B$62,$A8)</f>
        <v/>
      </c>
      <c r="AZ8" s="23">
        <f>SUMIFS($AZ$15:$AZ$62,$B$15:$B$62,$A8)</f>
        <v/>
      </c>
    </row>
    <row r="9">
      <c r="A9" s="21" t="n">
        <v>2028</v>
      </c>
      <c r="D9" s="22">
        <f>IF(DATE(A9,12,1)&lt;=LastActual,"Actual",IF(DATE(A9,1,1)&gt;LastActual,"Forecast","Blended"))</f>
        <v/>
      </c>
      <c r="E9" s="23">
        <f>SUMIFS($E$15:$E$62,$B$15:$B$62,$A9)</f>
        <v/>
      </c>
      <c r="F9" s="24">
        <f>SUMIFS($F$15:$F$62,$B$15:$B$62,$A9)</f>
        <v/>
      </c>
      <c r="G9" s="25">
        <f>SUMIFS($G$15:$G$62,$B$15:$B$62,$A9)</f>
        <v/>
      </c>
      <c r="H9" s="23">
        <f>SUMIFS($H$15:$H$62,$B$15:$B$62,$A9)</f>
        <v/>
      </c>
      <c r="I9" s="23">
        <f>SUMIFS($I$15:$I$62,$B$15:$B$62,$A9)</f>
        <v/>
      </c>
      <c r="J9" s="23">
        <f>SUMIFS($J$15:$J$62,$B$15:$B$62,$A9)</f>
        <v/>
      </c>
      <c r="K9" s="26">
        <f>IFERROR(F9/G9,0)</f>
        <v/>
      </c>
      <c r="L9" s="27">
        <f>IFERROR(H9/G9,0)</f>
        <v/>
      </c>
      <c r="M9" s="28">
        <f>IFERROR(J9/F9,0)</f>
        <v/>
      </c>
      <c r="N9" s="29">
        <f>IFERROR(J9/E9,0)</f>
        <v/>
      </c>
      <c r="O9" s="29">
        <f>IFERROR(I9/J9,0)</f>
        <v/>
      </c>
      <c r="AJ9" s="24">
        <f>SUMIFS($AJ$15:$AJ$62,$B$15:$B$62,$A9)</f>
        <v/>
      </c>
      <c r="AK9" s="25">
        <f>SUMIFS($AK$15:$AK$62,$B$15:$B$62,$A9)</f>
        <v/>
      </c>
      <c r="AL9" s="23">
        <f>SUMIFS($AL$15:$AL$62,$B$15:$B$62,$A9)</f>
        <v/>
      </c>
      <c r="AM9" s="23">
        <f>SUMIFS($AM$15:$AM$62,$B$15:$B$62,$A9)</f>
        <v/>
      </c>
      <c r="AN9" s="23">
        <f>SUMIFS($AN$15:$AN$62,$B$15:$B$62,$A9)</f>
        <v/>
      </c>
      <c r="AP9" s="24">
        <f>SUMIFS($AP$15:$AP$62,$B$15:$B$62,$A9)</f>
        <v/>
      </c>
      <c r="AQ9" s="25">
        <f>SUMIFS($AQ$15:$AQ$62,$B$15:$B$62,$A9)</f>
        <v/>
      </c>
      <c r="AR9" s="23">
        <f>SUMIFS($AR$15:$AR$62,$B$15:$B$62,$A9)</f>
        <v/>
      </c>
      <c r="AS9" s="23">
        <f>SUMIFS($AS$15:$AS$62,$B$15:$B$62,$A9)</f>
        <v/>
      </c>
      <c r="AT9" s="23">
        <f>SUMIFS($AT$15:$AT$62,$B$15:$B$62,$A9)</f>
        <v/>
      </c>
      <c r="AV9" s="24">
        <f>SUMIFS($AV$15:$AV$62,$B$15:$B$62,$A9)</f>
        <v/>
      </c>
      <c r="AW9" s="25">
        <f>SUMIFS($AW$15:$AW$62,$B$15:$B$62,$A9)</f>
        <v/>
      </c>
      <c r="AX9" s="23">
        <f>SUMIFS($AX$15:$AX$62,$B$15:$B$62,$A9)</f>
        <v/>
      </c>
      <c r="AY9" s="23">
        <f>SUMIFS($AY$15:$AY$62,$B$15:$B$62,$A9)</f>
        <v/>
      </c>
      <c r="AZ9" s="23">
        <f>SUMIFS($AZ$15:$AZ$62,$B$15:$B$62,$A9)</f>
        <v/>
      </c>
    </row>
    <row r="10">
      <c r="AJ10" s="1" t="inlineStr">
        <is>
          <t>Chamber split (same CPLH and cost per hour in every chamber; mix from Chamber Weights)</t>
        </is>
      </c>
    </row>
    <row r="11">
      <c r="AJ11" s="6" t="inlineStr">
        <is>
          <t>Case mix</t>
        </is>
      </c>
      <c r="AK11" s="31">
        <f>IFERROR(INDEX('Chamber Weights'!$B$24:$K$26,MATCH($AJ$12,'Chamber Weights'!$A$24:$A$26,0),MATCH($B$2,'Chamber Weights'!$B$23:$K$23,0)),0)</f>
        <v/>
      </c>
      <c r="AP11" s="6" t="inlineStr">
        <is>
          <t>Case mix</t>
        </is>
      </c>
      <c r="AQ11" s="31">
        <f>IFERROR(INDEX('Chamber Weights'!$B$24:$K$26,MATCH($AP$12,'Chamber Weights'!$A$24:$A$26,0),MATCH($B$2,'Chamber Weights'!$B$23:$K$23,0)),0)</f>
        <v/>
      </c>
      <c r="AV11" s="6" t="inlineStr">
        <is>
          <t>Case mix</t>
        </is>
      </c>
      <c r="AW11" s="31">
        <f>IFERROR(INDEX('Chamber Weights'!$B$24:$K$26,MATCH($AV$12,'Chamber Weights'!$A$24:$A$26,0),MATCH($B$2,'Chamber Weights'!$B$23:$K$23,0)),0)</f>
        <v/>
      </c>
    </row>
    <row r="12">
      <c r="E12" s="7" t="inlineStr">
        <is>
          <t>Drivers</t>
        </is>
      </c>
      <c r="K12" s="7" t="inlineStr">
        <is>
          <t>Metrics</t>
        </is>
      </c>
      <c r="R12" s="7" t="inlineStr">
        <is>
          <t>Helper calculations (actuals, plan, same-month-last-year rates)</t>
        </is>
      </c>
      <c r="AJ12" s="20" t="inlineStr">
        <is>
          <t>Ambient</t>
        </is>
      </c>
      <c r="AP12" s="20" t="inlineStr">
        <is>
          <t>Chiller</t>
        </is>
      </c>
      <c r="AV12" s="20" t="inlineStr">
        <is>
          <t>Freezer</t>
        </is>
      </c>
    </row>
    <row r="13" ht="60" customHeight="1">
      <c r="A13" s="7" t="inlineStr">
        <is>
          <t>Month</t>
        </is>
      </c>
      <c r="B13" s="7" t="inlineStr">
        <is>
          <t>Year</t>
        </is>
      </c>
      <c r="C13" s="7" t="inlineStr">
        <is>
          <t>Mth</t>
        </is>
      </c>
      <c r="D13" s="7" t="inlineStr">
        <is>
          <t>Status</t>
        </is>
      </c>
      <c r="E13" s="7" t="inlineStr">
        <is>
          <t>Sales</t>
        </is>
      </c>
      <c r="F13" s="7" t="inlineStr">
        <is>
          <t>Cases picked</t>
        </is>
      </c>
      <c r="G13" s="7" t="inlineStr">
        <is>
          <t>WH hours worked</t>
        </is>
      </c>
      <c r="H13" s="7" t="inlineStr">
        <is>
          <t>Staff payroll</t>
        </is>
      </c>
      <c r="I13" s="7" t="inlineStr">
        <is>
          <t>Leadership payroll</t>
        </is>
      </c>
      <c r="J13" s="7" t="inlineStr">
        <is>
          <t>Total payroll</t>
        </is>
      </c>
      <c r="K13" s="7" t="inlineStr">
        <is>
          <t>CPLH (cases / hr)</t>
        </is>
      </c>
      <c r="L13" s="7" t="inlineStr">
        <is>
          <t>Cost per hour (staff)</t>
        </is>
      </c>
      <c r="M13" s="7" t="inlineStr">
        <is>
          <t>Cost per case (total payroll)</t>
        </is>
      </c>
      <c r="N13" s="7" t="inlineStr">
        <is>
          <t>Total payroll % sales</t>
        </is>
      </c>
      <c r="O13" s="7" t="inlineStr">
        <is>
          <t>Leadership % of total payroll</t>
        </is>
      </c>
      <c r="R13" s="51" t="inlineStr">
        <is>
          <t>Act sales</t>
        </is>
      </c>
      <c r="S13" s="51" t="inlineStr">
        <is>
          <t>Act cases</t>
        </is>
      </c>
      <c r="T13" s="51" t="inlineStr">
        <is>
          <t>Act hours</t>
        </is>
      </c>
      <c r="U13" s="51" t="inlineStr">
        <is>
          <t>Act staff $</t>
        </is>
      </c>
      <c r="V13" s="51" t="inlineStr">
        <is>
          <t>Act leadership $</t>
        </is>
      </c>
      <c r="W13" s="51" t="inlineStr">
        <is>
          <t>Plan sales</t>
        </is>
      </c>
      <c r="X13" s="51" t="inlineStr">
        <is>
          <t>CPLH run rate (actual, else same month LY)</t>
        </is>
      </c>
      <c r="Y13" s="51" t="inlineStr">
        <is>
          <t>Volume driver sales</t>
        </is>
      </c>
      <c r="Z13" s="51" t="inlineStr">
        <is>
          <t>PH factor</t>
        </is>
      </c>
      <c r="AA13" s="51" t="inlineStr">
        <is>
          <t>Wage index</t>
        </is>
      </c>
      <c r="AB13" s="51" t="inlineStr">
        <is>
          <t>Cases per $ (actual, else same month LY)</t>
        </is>
      </c>
      <c r="AC13" s="51" t="inlineStr">
        <is>
          <t>Cost per hour ex PH &amp; wage (actual, else same month LY)</t>
        </is>
      </c>
      <c r="AD13" s="51" t="inlineStr">
        <is>
          <t>Leadership share of total payroll (actual, else last actual month)</t>
        </is>
      </c>
      <c r="AE13" s="51" t="inlineStr">
        <is>
          <t>Fcst cost per hour (AC x PH x wage)</t>
        </is>
      </c>
      <c r="AF13" s="51" t="inlineStr">
        <is>
          <t>LY CPLH (same month, as used)</t>
        </is>
      </c>
      <c r="AG13" s="51" t="inlineStr">
        <is>
          <t>Fcst CPLH vs LY</t>
        </is>
      </c>
      <c r="AH13" s="51" t="inlineStr">
        <is>
          <t>Plan CPLH (Plan_Inputs or CPLH_Breakdown)</t>
        </is>
      </c>
      <c r="AJ13" s="20" t="inlineStr">
        <is>
          <t>Cases picked</t>
        </is>
      </c>
      <c r="AK13" s="20" t="inlineStr">
        <is>
          <t>WH hours worked</t>
        </is>
      </c>
      <c r="AL13" s="20" t="inlineStr">
        <is>
          <t>Staff payroll</t>
        </is>
      </c>
      <c r="AM13" s="20" t="inlineStr">
        <is>
          <t>Leadership payroll</t>
        </is>
      </c>
      <c r="AN13" s="20" t="inlineStr">
        <is>
          <t>Total payroll</t>
        </is>
      </c>
      <c r="AP13" s="20" t="inlineStr">
        <is>
          <t>Cases picked</t>
        </is>
      </c>
      <c r="AQ13" s="20" t="inlineStr">
        <is>
          <t>WH hours worked</t>
        </is>
      </c>
      <c r="AR13" s="20" t="inlineStr">
        <is>
          <t>Staff payroll</t>
        </is>
      </c>
      <c r="AS13" s="20" t="inlineStr">
        <is>
          <t>Leadership payroll</t>
        </is>
      </c>
      <c r="AT13" s="20" t="inlineStr">
        <is>
          <t>Total payroll</t>
        </is>
      </c>
      <c r="AV13" s="20" t="inlineStr">
        <is>
          <t>Cases picked</t>
        </is>
      </c>
      <c r="AW13" s="20" t="inlineStr">
        <is>
          <t>WH hours worked</t>
        </is>
      </c>
      <c r="AX13" s="20" t="inlineStr">
        <is>
          <t>Staff payroll</t>
        </is>
      </c>
      <c r="AY13" s="20" t="inlineStr">
        <is>
          <t>Leadership payroll</t>
        </is>
      </c>
      <c r="AZ13" s="20" t="inlineStr">
        <is>
          <t>Total payroll</t>
        </is>
      </c>
    </row>
    <row r="14">
      <c r="E14" s="32" t="inlineStr">
        <is>
          <t>$m</t>
        </is>
      </c>
      <c r="F14" s="32" t="inlineStr">
        <is>
          <t>m</t>
        </is>
      </c>
      <c r="G14" s="32" t="inlineStr">
        <is>
          <t>#</t>
        </is>
      </c>
      <c r="H14" s="32" t="inlineStr">
        <is>
          <t>$m</t>
        </is>
      </c>
      <c r="I14" s="32" t="inlineStr">
        <is>
          <t>$m</t>
        </is>
      </c>
      <c r="J14" s="32" t="inlineStr">
        <is>
          <t>$m</t>
        </is>
      </c>
      <c r="K14" s="32" t="inlineStr">
        <is>
          <t>#</t>
        </is>
      </c>
      <c r="L14" s="32" t="inlineStr">
        <is>
          <t>$</t>
        </is>
      </c>
      <c r="M14" s="32" t="inlineStr">
        <is>
          <t>$</t>
        </is>
      </c>
      <c r="N14" s="32" t="inlineStr">
        <is>
          <t>%</t>
        </is>
      </c>
      <c r="O14" s="32" t="inlineStr">
        <is>
          <t>%</t>
        </is>
      </c>
      <c r="AJ14" s="32" t="inlineStr">
        <is>
          <t>m</t>
        </is>
      </c>
      <c r="AK14" s="32" t="inlineStr">
        <is>
          <t>#</t>
        </is>
      </c>
      <c r="AL14" s="32" t="inlineStr">
        <is>
          <t>$m</t>
        </is>
      </c>
      <c r="AM14" s="32" t="inlineStr">
        <is>
          <t>$m</t>
        </is>
      </c>
      <c r="AN14" s="32" t="inlineStr">
        <is>
          <t>$m</t>
        </is>
      </c>
      <c r="AP14" s="32" t="inlineStr">
        <is>
          <t>m</t>
        </is>
      </c>
      <c r="AQ14" s="32" t="inlineStr">
        <is>
          <t>#</t>
        </is>
      </c>
      <c r="AR14" s="32" t="inlineStr">
        <is>
          <t>$m</t>
        </is>
      </c>
      <c r="AS14" s="32" t="inlineStr">
        <is>
          <t>$m</t>
        </is>
      </c>
      <c r="AT14" s="32" t="inlineStr">
        <is>
          <t>$m</t>
        </is>
      </c>
      <c r="AV14" s="32" t="inlineStr">
        <is>
          <t>m</t>
        </is>
      </c>
      <c r="AW14" s="32" t="inlineStr">
        <is>
          <t>#</t>
        </is>
      </c>
      <c r="AX14" s="32" t="inlineStr">
        <is>
          <t>$m</t>
        </is>
      </c>
      <c r="AY14" s="32" t="inlineStr">
        <is>
          <t>$m</t>
        </is>
      </c>
      <c r="AZ14" s="32" t="inlineStr">
        <is>
          <t>$m</t>
        </is>
      </c>
    </row>
    <row r="15">
      <c r="A15" s="8" t="n">
        <v>45658</v>
      </c>
      <c r="B15" s="33">
        <f>YEAR(A15)</f>
        <v/>
      </c>
      <c r="C15" s="33">
        <f>MONTH(A15)</f>
        <v/>
      </c>
      <c r="D15">
        <f>IF(A15&lt;=LastActual,"Actual","Forecast")</f>
        <v/>
      </c>
      <c r="E15" s="30">
        <f>'NSW-1'!E15</f>
        <v/>
      </c>
      <c r="F15" s="15">
        <f>IF($D15="Actual",S15,Cases_Forecast!AR8)</f>
        <v/>
      </c>
      <c r="G15" s="9">
        <f>IF($D15="Actual",T15,IFERROR(F15/K15,0))</f>
        <v/>
      </c>
      <c r="H15" s="30">
        <f>IF($D15="Actual",U15,G15*L15)</f>
        <v/>
      </c>
      <c r="I15" s="30">
        <f>IF($D15="Actual",V15,J15-H15)</f>
        <v/>
      </c>
      <c r="J15" s="30">
        <f>IF($D15="Actual",U15+V15,IFERROR(H15/(1-AD15),0))</f>
        <v/>
      </c>
      <c r="K15" s="10">
        <f>IF($D15="Actual",IFERROR(S15/T15,0),CPLH_Forecast!AR8)</f>
        <v/>
      </c>
      <c r="L15" s="34">
        <f>IF($D15="Actual",IFERROR(U15/T15,0),N(AE15))</f>
        <v/>
      </c>
      <c r="M15" s="35">
        <f>IFERROR(J15/F15,0)</f>
        <v/>
      </c>
      <c r="N15" s="36">
        <f>IFERROR(J15/E15,0)</f>
        <v/>
      </c>
      <c r="O15" s="36">
        <f>IFERROR(I15/J15,0)</f>
        <v/>
      </c>
      <c r="R15" s="52">
        <f>IF($D15="Actual",E15,"")</f>
        <v/>
      </c>
      <c r="S15" s="52">
        <f>IF($D15="Actual",SUMIFS(Data_Actuals!$D$2:$D$5000,Data_Actuals!$A$2:$A$5000,$A15,Data_Actuals!$B$2:$B$5000,$B$2),"")</f>
        <v/>
      </c>
      <c r="T15" s="52">
        <f>IF($D15="Actual",SUMIFS(Data_Actuals!$E$2:$E$5000,Data_Actuals!$A$2:$A$5000,$A15,Data_Actuals!$B$2:$B$5000,$B$2),"")</f>
        <v/>
      </c>
      <c r="U15" s="52">
        <f>IF($D15="Actual",SUMIFS(Data_Actuals!$F$2:$F$5000,Data_Actuals!$A$2:$A$5000,$A15,Data_Actuals!$B$2:$B$5000,$B$2),"")</f>
        <v/>
      </c>
      <c r="V15" s="52">
        <f>IF($D15="Actual",SUMIFS(Data_Actuals!$G$2:$G$5000,Data_Actuals!$A$2:$A$5000,$A15,Data_Actuals!$B$2:$B$5000,$B$2),"")</f>
        <v/>
      </c>
      <c r="W15" s="52">
        <f>SUMIFS(Plan_Inputs!$C$2:$C$5000,Plan_Inputs!$A$2:$A$5000,$A15,Plan_Inputs!$B$2:$B$5000,$B$2)</f>
        <v/>
      </c>
      <c r="X15" s="53">
        <f>IF($D15="Actual",IFERROR(S15/T15,""),"")</f>
        <v/>
      </c>
      <c r="Y15" s="52">
        <f>'NSW-1'!E15+'NSW-2'!E15</f>
        <v/>
      </c>
      <c r="Z15" s="54">
        <f>INDEX(Calendar!$H$5:$L$52,MATCH($A15,Calendar!$A$5:$A$52,0),MATCH($D$2,Calendar!$H$4:$L$4,0))</f>
        <v/>
      </c>
      <c r="AA15" s="54">
        <f>INDEX(Calendar!$M$5:$M$52,MATCH($A15,Calendar!$A$5:$A$52,0))</f>
        <v/>
      </c>
      <c r="AB15" s="55">
        <f>IF($D15="Actual",IFERROR(S15/Y15,""),"")</f>
        <v/>
      </c>
      <c r="AC15" s="56">
        <f>IF($D15="Actual",IFERROR(U15/T15/Z15/AA15,""),"")</f>
        <v/>
      </c>
      <c r="AD15" s="57">
        <f>IF($D15="Actual",IFERROR(V15/(U15+V15),""),$K$2)</f>
        <v/>
      </c>
      <c r="AE15" s="56">
        <f>IFERROR(AC15*Z15*AA15,"")</f>
        <v/>
      </c>
      <c r="AF15" s="53" t="n"/>
      <c r="AG15" s="57">
        <f>IF($D15="Forecast",IFERROR(K15/AF15-1,""),"")</f>
        <v/>
      </c>
      <c r="AH15" s="53">
        <f>IF(CPLHSource="National breakdown",CPLH_Breakdown!AS20,SUMIFS(Plan_Inputs!$D$2:$D$5000,Plan_Inputs!$A$2:$A$5000,$A15,Plan_Inputs!$B$2:$B$5000,$B$2))</f>
        <v/>
      </c>
      <c r="AJ15" s="15">
        <f>F15*$AK$11</f>
        <v/>
      </c>
      <c r="AK15" s="9">
        <f>G15*$AK$11</f>
        <v/>
      </c>
      <c r="AL15" s="30">
        <f>H15*$AK$11</f>
        <v/>
      </c>
      <c r="AM15" s="30">
        <f>I15*$AK$11</f>
        <v/>
      </c>
      <c r="AN15" s="30">
        <f>J15*$AK$11</f>
        <v/>
      </c>
      <c r="AP15" s="15">
        <f>F15*$AQ$11</f>
        <v/>
      </c>
      <c r="AQ15" s="9">
        <f>G15*$AQ$11</f>
        <v/>
      </c>
      <c r="AR15" s="30">
        <f>H15*$AQ$11</f>
        <v/>
      </c>
      <c r="AS15" s="30">
        <f>I15*$AQ$11</f>
        <v/>
      </c>
      <c r="AT15" s="30">
        <f>J15*$AQ$11</f>
        <v/>
      </c>
      <c r="AV15" s="15">
        <f>F15*$AW$11</f>
        <v/>
      </c>
      <c r="AW15" s="9">
        <f>G15*$AW$11</f>
        <v/>
      </c>
      <c r="AX15" s="30">
        <f>H15*$AW$11</f>
        <v/>
      </c>
      <c r="AY15" s="30">
        <f>I15*$AW$11</f>
        <v/>
      </c>
      <c r="AZ15" s="30">
        <f>J15*$AW$11</f>
        <v/>
      </c>
    </row>
    <row r="16">
      <c r="A16" s="8" t="n">
        <v>45689</v>
      </c>
      <c r="B16" s="33">
        <f>YEAR(A16)</f>
        <v/>
      </c>
      <c r="C16" s="33">
        <f>MONTH(A16)</f>
        <v/>
      </c>
      <c r="D16">
        <f>IF(A16&lt;=LastActual,"Actual","Forecast")</f>
        <v/>
      </c>
      <c r="E16" s="30">
        <f>'NSW-1'!E16</f>
        <v/>
      </c>
      <c r="F16" s="15">
        <f>IF($D16="Actual",S16,Cases_Forecast!AR9)</f>
        <v/>
      </c>
      <c r="G16" s="9">
        <f>IF($D16="Actual",T16,IFERROR(F16/K16,0))</f>
        <v/>
      </c>
      <c r="H16" s="30">
        <f>IF($D16="Actual",U16,G16*L16)</f>
        <v/>
      </c>
      <c r="I16" s="30">
        <f>IF($D16="Actual",V16,J16-H16)</f>
        <v/>
      </c>
      <c r="J16" s="30">
        <f>IF($D16="Actual",U16+V16,IFERROR(H16/(1-AD16),0))</f>
        <v/>
      </c>
      <c r="K16" s="10">
        <f>IF($D16="Actual",IFERROR(S16/T16,0),CPLH_Forecast!AR9)</f>
        <v/>
      </c>
      <c r="L16" s="34">
        <f>IF($D16="Actual",IFERROR(U16/T16,0),N(AE16))</f>
        <v/>
      </c>
      <c r="M16" s="35">
        <f>IFERROR(J16/F16,0)</f>
        <v/>
      </c>
      <c r="N16" s="36">
        <f>IFERROR(J16/E16,0)</f>
        <v/>
      </c>
      <c r="O16" s="36">
        <f>IFERROR(I16/J16,0)</f>
        <v/>
      </c>
      <c r="R16" s="52">
        <f>IF($D16="Actual",E16,"")</f>
        <v/>
      </c>
      <c r="S16" s="52">
        <f>IF($D16="Actual",SUMIFS(Data_Actuals!$D$2:$D$5000,Data_Actuals!$A$2:$A$5000,$A16,Data_Actuals!$B$2:$B$5000,$B$2),"")</f>
        <v/>
      </c>
      <c r="T16" s="52">
        <f>IF($D16="Actual",SUMIFS(Data_Actuals!$E$2:$E$5000,Data_Actuals!$A$2:$A$5000,$A16,Data_Actuals!$B$2:$B$5000,$B$2),"")</f>
        <v/>
      </c>
      <c r="U16" s="52">
        <f>IF($D16="Actual",SUMIFS(Data_Actuals!$F$2:$F$5000,Data_Actuals!$A$2:$A$5000,$A16,Data_Actuals!$B$2:$B$5000,$B$2),"")</f>
        <v/>
      </c>
      <c r="V16" s="52">
        <f>IF($D16="Actual",SUMIFS(Data_Actuals!$G$2:$G$5000,Data_Actuals!$A$2:$A$5000,$A16,Data_Actuals!$B$2:$B$5000,$B$2),"")</f>
        <v/>
      </c>
      <c r="W16" s="52">
        <f>SUMIFS(Plan_Inputs!$C$2:$C$5000,Plan_Inputs!$A$2:$A$5000,$A16,Plan_Inputs!$B$2:$B$5000,$B$2)</f>
        <v/>
      </c>
      <c r="X16" s="53">
        <f>IF($D16="Actual",IFERROR(S16/T16,""),"")</f>
        <v/>
      </c>
      <c r="Y16" s="52">
        <f>'NSW-1'!E16+'NSW-2'!E16</f>
        <v/>
      </c>
      <c r="Z16" s="54">
        <f>INDEX(Calendar!$H$5:$L$52,MATCH($A16,Calendar!$A$5:$A$52,0),MATCH($D$2,Calendar!$H$4:$L$4,0))</f>
        <v/>
      </c>
      <c r="AA16" s="54">
        <f>INDEX(Calendar!$M$5:$M$52,MATCH($A16,Calendar!$A$5:$A$52,0))</f>
        <v/>
      </c>
      <c r="AB16" s="55">
        <f>IF($D16="Actual",IFERROR(S16/Y16,""),"")</f>
        <v/>
      </c>
      <c r="AC16" s="56">
        <f>IF($D16="Actual",IFERROR(U16/T16/Z16/AA16,""),"")</f>
        <v/>
      </c>
      <c r="AD16" s="57">
        <f>IF($D16="Actual",IFERROR(V16/(U16+V16),""),$K$2)</f>
        <v/>
      </c>
      <c r="AE16" s="56">
        <f>IFERROR(AC16*Z16*AA16,"")</f>
        <v/>
      </c>
      <c r="AF16" s="53" t="n"/>
      <c r="AG16" s="57">
        <f>IF($D16="Forecast",IFERROR(K16/AF16-1,""),"")</f>
        <v/>
      </c>
      <c r="AH16" s="53">
        <f>IF(CPLHSource="National breakdown",CPLH_Breakdown!AS21,SUMIFS(Plan_Inputs!$D$2:$D$5000,Plan_Inputs!$A$2:$A$5000,$A16,Plan_Inputs!$B$2:$B$5000,$B$2))</f>
        <v/>
      </c>
      <c r="AJ16" s="15">
        <f>F16*$AK$11</f>
        <v/>
      </c>
      <c r="AK16" s="9">
        <f>G16*$AK$11</f>
        <v/>
      </c>
      <c r="AL16" s="30">
        <f>H16*$AK$11</f>
        <v/>
      </c>
      <c r="AM16" s="30">
        <f>I16*$AK$11</f>
        <v/>
      </c>
      <c r="AN16" s="30">
        <f>J16*$AK$11</f>
        <v/>
      </c>
      <c r="AP16" s="15">
        <f>F16*$AQ$11</f>
        <v/>
      </c>
      <c r="AQ16" s="9">
        <f>G16*$AQ$11</f>
        <v/>
      </c>
      <c r="AR16" s="30">
        <f>H16*$AQ$11</f>
        <v/>
      </c>
      <c r="AS16" s="30">
        <f>I16*$AQ$11</f>
        <v/>
      </c>
      <c r="AT16" s="30">
        <f>J16*$AQ$11</f>
        <v/>
      </c>
      <c r="AV16" s="15">
        <f>F16*$AW$11</f>
        <v/>
      </c>
      <c r="AW16" s="9">
        <f>G16*$AW$11</f>
        <v/>
      </c>
      <c r="AX16" s="30">
        <f>H16*$AW$11</f>
        <v/>
      </c>
      <c r="AY16" s="30">
        <f>I16*$AW$11</f>
        <v/>
      </c>
      <c r="AZ16" s="30">
        <f>J16*$AW$11</f>
        <v/>
      </c>
    </row>
    <row r="17">
      <c r="A17" s="8" t="n">
        <v>45717</v>
      </c>
      <c r="B17" s="33">
        <f>YEAR(A17)</f>
        <v/>
      </c>
      <c r="C17" s="33">
        <f>MONTH(A17)</f>
        <v/>
      </c>
      <c r="D17">
        <f>IF(A17&lt;=LastActual,"Actual","Forecast")</f>
        <v/>
      </c>
      <c r="E17" s="30">
        <f>'NSW-1'!E17</f>
        <v/>
      </c>
      <c r="F17" s="15">
        <f>IF($D17="Actual",S17,Cases_Forecast!AR10)</f>
        <v/>
      </c>
      <c r="G17" s="9">
        <f>IF($D17="Actual",T17,IFERROR(F17/K17,0))</f>
        <v/>
      </c>
      <c r="H17" s="30">
        <f>IF($D17="Actual",U17,G17*L17)</f>
        <v/>
      </c>
      <c r="I17" s="30">
        <f>IF($D17="Actual",V17,J17-H17)</f>
        <v/>
      </c>
      <c r="J17" s="30">
        <f>IF($D17="Actual",U17+V17,IFERROR(H17/(1-AD17),0))</f>
        <v/>
      </c>
      <c r="K17" s="10">
        <f>IF($D17="Actual",IFERROR(S17/T17,0),CPLH_Forecast!AR10)</f>
        <v/>
      </c>
      <c r="L17" s="34">
        <f>IF($D17="Actual",IFERROR(U17/T17,0),N(AE17))</f>
        <v/>
      </c>
      <c r="M17" s="35">
        <f>IFERROR(J17/F17,0)</f>
        <v/>
      </c>
      <c r="N17" s="36">
        <f>IFERROR(J17/E17,0)</f>
        <v/>
      </c>
      <c r="O17" s="36">
        <f>IFERROR(I17/J17,0)</f>
        <v/>
      </c>
      <c r="R17" s="52">
        <f>IF($D17="Actual",E17,"")</f>
        <v/>
      </c>
      <c r="S17" s="52">
        <f>IF($D17="Actual",SUMIFS(Data_Actuals!$D$2:$D$5000,Data_Actuals!$A$2:$A$5000,$A17,Data_Actuals!$B$2:$B$5000,$B$2),"")</f>
        <v/>
      </c>
      <c r="T17" s="52">
        <f>IF($D17="Actual",SUMIFS(Data_Actuals!$E$2:$E$5000,Data_Actuals!$A$2:$A$5000,$A17,Data_Actuals!$B$2:$B$5000,$B$2),"")</f>
        <v/>
      </c>
      <c r="U17" s="52">
        <f>IF($D17="Actual",SUMIFS(Data_Actuals!$F$2:$F$5000,Data_Actuals!$A$2:$A$5000,$A17,Data_Actuals!$B$2:$B$5000,$B$2),"")</f>
        <v/>
      </c>
      <c r="V17" s="52">
        <f>IF($D17="Actual",SUMIFS(Data_Actuals!$G$2:$G$5000,Data_Actuals!$A$2:$A$5000,$A17,Data_Actuals!$B$2:$B$5000,$B$2),"")</f>
        <v/>
      </c>
      <c r="W17" s="52">
        <f>SUMIFS(Plan_Inputs!$C$2:$C$5000,Plan_Inputs!$A$2:$A$5000,$A17,Plan_Inputs!$B$2:$B$5000,$B$2)</f>
        <v/>
      </c>
      <c r="X17" s="53">
        <f>IF($D17="Actual",IFERROR(S17/T17,""),"")</f>
        <v/>
      </c>
      <c r="Y17" s="52">
        <f>'NSW-1'!E17+'NSW-2'!E17</f>
        <v/>
      </c>
      <c r="Z17" s="54">
        <f>INDEX(Calendar!$H$5:$L$52,MATCH($A17,Calendar!$A$5:$A$52,0),MATCH($D$2,Calendar!$H$4:$L$4,0))</f>
        <v/>
      </c>
      <c r="AA17" s="54">
        <f>INDEX(Calendar!$M$5:$M$52,MATCH($A17,Calendar!$A$5:$A$52,0))</f>
        <v/>
      </c>
      <c r="AB17" s="55">
        <f>IF($D17="Actual",IFERROR(S17/Y17,""),"")</f>
        <v/>
      </c>
      <c r="AC17" s="56">
        <f>IF($D17="Actual",IFERROR(U17/T17/Z17/AA17,""),"")</f>
        <v/>
      </c>
      <c r="AD17" s="57">
        <f>IF($D17="Actual",IFERROR(V17/(U17+V17),""),$K$2)</f>
        <v/>
      </c>
      <c r="AE17" s="56">
        <f>IFERROR(AC17*Z17*AA17,"")</f>
        <v/>
      </c>
      <c r="AF17" s="53" t="n"/>
      <c r="AG17" s="57">
        <f>IF($D17="Forecast",IFERROR(K17/AF17-1,""),"")</f>
        <v/>
      </c>
      <c r="AH17" s="53">
        <f>IF(CPLHSource="National breakdown",CPLH_Breakdown!AS22,SUMIFS(Plan_Inputs!$D$2:$D$5000,Plan_Inputs!$A$2:$A$5000,$A17,Plan_Inputs!$B$2:$B$5000,$B$2))</f>
        <v/>
      </c>
      <c r="AJ17" s="15">
        <f>F17*$AK$11</f>
        <v/>
      </c>
      <c r="AK17" s="9">
        <f>G17*$AK$11</f>
        <v/>
      </c>
      <c r="AL17" s="30">
        <f>H17*$AK$11</f>
        <v/>
      </c>
      <c r="AM17" s="30">
        <f>I17*$AK$11</f>
        <v/>
      </c>
      <c r="AN17" s="30">
        <f>J17*$AK$11</f>
        <v/>
      </c>
      <c r="AP17" s="15">
        <f>F17*$AQ$11</f>
        <v/>
      </c>
      <c r="AQ17" s="9">
        <f>G17*$AQ$11</f>
        <v/>
      </c>
      <c r="AR17" s="30">
        <f>H17*$AQ$11</f>
        <v/>
      </c>
      <c r="AS17" s="30">
        <f>I17*$AQ$11</f>
        <v/>
      </c>
      <c r="AT17" s="30">
        <f>J17*$AQ$11</f>
        <v/>
      </c>
      <c r="AV17" s="15">
        <f>F17*$AW$11</f>
        <v/>
      </c>
      <c r="AW17" s="9">
        <f>G17*$AW$11</f>
        <v/>
      </c>
      <c r="AX17" s="30">
        <f>H17*$AW$11</f>
        <v/>
      </c>
      <c r="AY17" s="30">
        <f>I17*$AW$11</f>
        <v/>
      </c>
      <c r="AZ17" s="30">
        <f>J17*$AW$11</f>
        <v/>
      </c>
    </row>
    <row r="18">
      <c r="A18" s="8" t="n">
        <v>45748</v>
      </c>
      <c r="B18" s="33">
        <f>YEAR(A18)</f>
        <v/>
      </c>
      <c r="C18" s="33">
        <f>MONTH(A18)</f>
        <v/>
      </c>
      <c r="D18">
        <f>IF(A18&lt;=LastActual,"Actual","Forecast")</f>
        <v/>
      </c>
      <c r="E18" s="30">
        <f>'NSW-1'!E18</f>
        <v/>
      </c>
      <c r="F18" s="15">
        <f>IF($D18="Actual",S18,Cases_Forecast!AR11)</f>
        <v/>
      </c>
      <c r="G18" s="9">
        <f>IF($D18="Actual",T18,IFERROR(F18/K18,0))</f>
        <v/>
      </c>
      <c r="H18" s="30">
        <f>IF($D18="Actual",U18,G18*L18)</f>
        <v/>
      </c>
      <c r="I18" s="30">
        <f>IF($D18="Actual",V18,J18-H18)</f>
        <v/>
      </c>
      <c r="J18" s="30">
        <f>IF($D18="Actual",U18+V18,IFERROR(H18/(1-AD18),0))</f>
        <v/>
      </c>
      <c r="K18" s="10">
        <f>IF($D18="Actual",IFERROR(S18/T18,0),CPLH_Forecast!AR11)</f>
        <v/>
      </c>
      <c r="L18" s="34">
        <f>IF($D18="Actual",IFERROR(U18/T18,0),N(AE18))</f>
        <v/>
      </c>
      <c r="M18" s="35">
        <f>IFERROR(J18/F18,0)</f>
        <v/>
      </c>
      <c r="N18" s="36">
        <f>IFERROR(J18/E18,0)</f>
        <v/>
      </c>
      <c r="O18" s="36">
        <f>IFERROR(I18/J18,0)</f>
        <v/>
      </c>
      <c r="R18" s="52">
        <f>IF($D18="Actual",E18,"")</f>
        <v/>
      </c>
      <c r="S18" s="52">
        <f>IF($D18="Actual",SUMIFS(Data_Actuals!$D$2:$D$5000,Data_Actuals!$A$2:$A$5000,$A18,Data_Actuals!$B$2:$B$5000,$B$2),"")</f>
        <v/>
      </c>
      <c r="T18" s="52">
        <f>IF($D18="Actual",SUMIFS(Data_Actuals!$E$2:$E$5000,Data_Actuals!$A$2:$A$5000,$A18,Data_Actuals!$B$2:$B$5000,$B$2),"")</f>
        <v/>
      </c>
      <c r="U18" s="52">
        <f>IF($D18="Actual",SUMIFS(Data_Actuals!$F$2:$F$5000,Data_Actuals!$A$2:$A$5000,$A18,Data_Actuals!$B$2:$B$5000,$B$2),"")</f>
        <v/>
      </c>
      <c r="V18" s="52">
        <f>IF($D18="Actual",SUMIFS(Data_Actuals!$G$2:$G$5000,Data_Actuals!$A$2:$A$5000,$A18,Data_Actuals!$B$2:$B$5000,$B$2),"")</f>
        <v/>
      </c>
      <c r="W18" s="52">
        <f>SUMIFS(Plan_Inputs!$C$2:$C$5000,Plan_Inputs!$A$2:$A$5000,$A18,Plan_Inputs!$B$2:$B$5000,$B$2)</f>
        <v/>
      </c>
      <c r="X18" s="53">
        <f>IF($D18="Actual",IFERROR(S18/T18,""),"")</f>
        <v/>
      </c>
      <c r="Y18" s="52">
        <f>'NSW-1'!E18+'NSW-2'!E18</f>
        <v/>
      </c>
      <c r="Z18" s="54">
        <f>INDEX(Calendar!$H$5:$L$52,MATCH($A18,Calendar!$A$5:$A$52,0),MATCH($D$2,Calendar!$H$4:$L$4,0))</f>
        <v/>
      </c>
      <c r="AA18" s="54">
        <f>INDEX(Calendar!$M$5:$M$52,MATCH($A18,Calendar!$A$5:$A$52,0))</f>
        <v/>
      </c>
      <c r="AB18" s="55">
        <f>IF($D18="Actual",IFERROR(S18/Y18,""),"")</f>
        <v/>
      </c>
      <c r="AC18" s="56">
        <f>IF($D18="Actual",IFERROR(U18/T18/Z18/AA18,""),"")</f>
        <v/>
      </c>
      <c r="AD18" s="57">
        <f>IF($D18="Actual",IFERROR(V18/(U18+V18),""),$K$2)</f>
        <v/>
      </c>
      <c r="AE18" s="56">
        <f>IFERROR(AC18*Z18*AA18,"")</f>
        <v/>
      </c>
      <c r="AF18" s="53" t="n"/>
      <c r="AG18" s="57">
        <f>IF($D18="Forecast",IFERROR(K18/AF18-1,""),"")</f>
        <v/>
      </c>
      <c r="AH18" s="53">
        <f>IF(CPLHSource="National breakdown",CPLH_Breakdown!AS23,SUMIFS(Plan_Inputs!$D$2:$D$5000,Plan_Inputs!$A$2:$A$5000,$A18,Plan_Inputs!$B$2:$B$5000,$B$2))</f>
        <v/>
      </c>
      <c r="AJ18" s="15">
        <f>F18*$AK$11</f>
        <v/>
      </c>
      <c r="AK18" s="9">
        <f>G18*$AK$11</f>
        <v/>
      </c>
      <c r="AL18" s="30">
        <f>H18*$AK$11</f>
        <v/>
      </c>
      <c r="AM18" s="30">
        <f>I18*$AK$11</f>
        <v/>
      </c>
      <c r="AN18" s="30">
        <f>J18*$AK$11</f>
        <v/>
      </c>
      <c r="AP18" s="15">
        <f>F18*$AQ$11</f>
        <v/>
      </c>
      <c r="AQ18" s="9">
        <f>G18*$AQ$11</f>
        <v/>
      </c>
      <c r="AR18" s="30">
        <f>H18*$AQ$11</f>
        <v/>
      </c>
      <c r="AS18" s="30">
        <f>I18*$AQ$11</f>
        <v/>
      </c>
      <c r="AT18" s="30">
        <f>J18*$AQ$11</f>
        <v/>
      </c>
      <c r="AV18" s="15">
        <f>F18*$AW$11</f>
        <v/>
      </c>
      <c r="AW18" s="9">
        <f>G18*$AW$11</f>
        <v/>
      </c>
      <c r="AX18" s="30">
        <f>H18*$AW$11</f>
        <v/>
      </c>
      <c r="AY18" s="30">
        <f>I18*$AW$11</f>
        <v/>
      </c>
      <c r="AZ18" s="30">
        <f>J18*$AW$11</f>
        <v/>
      </c>
    </row>
    <row r="19">
      <c r="A19" s="8" t="n">
        <v>45778</v>
      </c>
      <c r="B19" s="33">
        <f>YEAR(A19)</f>
        <v/>
      </c>
      <c r="C19" s="33">
        <f>MONTH(A19)</f>
        <v/>
      </c>
      <c r="D19">
        <f>IF(A19&lt;=LastActual,"Actual","Forecast")</f>
        <v/>
      </c>
      <c r="E19" s="30">
        <f>'NSW-1'!E19</f>
        <v/>
      </c>
      <c r="F19" s="15">
        <f>IF($D19="Actual",S19,Cases_Forecast!AR12)</f>
        <v/>
      </c>
      <c r="G19" s="9">
        <f>IF($D19="Actual",T19,IFERROR(F19/K19,0))</f>
        <v/>
      </c>
      <c r="H19" s="30">
        <f>IF($D19="Actual",U19,G19*L19)</f>
        <v/>
      </c>
      <c r="I19" s="30">
        <f>IF($D19="Actual",V19,J19-H19)</f>
        <v/>
      </c>
      <c r="J19" s="30">
        <f>IF($D19="Actual",U19+V19,IFERROR(H19/(1-AD19),0))</f>
        <v/>
      </c>
      <c r="K19" s="10">
        <f>IF($D19="Actual",IFERROR(S19/T19,0),CPLH_Forecast!AR12)</f>
        <v/>
      </c>
      <c r="L19" s="34">
        <f>IF($D19="Actual",IFERROR(U19/T19,0),N(AE19))</f>
        <v/>
      </c>
      <c r="M19" s="35">
        <f>IFERROR(J19/F19,0)</f>
        <v/>
      </c>
      <c r="N19" s="36">
        <f>IFERROR(J19/E19,0)</f>
        <v/>
      </c>
      <c r="O19" s="36">
        <f>IFERROR(I19/J19,0)</f>
        <v/>
      </c>
      <c r="R19" s="52">
        <f>IF($D19="Actual",E19,"")</f>
        <v/>
      </c>
      <c r="S19" s="52">
        <f>IF($D19="Actual",SUMIFS(Data_Actuals!$D$2:$D$5000,Data_Actuals!$A$2:$A$5000,$A19,Data_Actuals!$B$2:$B$5000,$B$2),"")</f>
        <v/>
      </c>
      <c r="T19" s="52">
        <f>IF($D19="Actual",SUMIFS(Data_Actuals!$E$2:$E$5000,Data_Actuals!$A$2:$A$5000,$A19,Data_Actuals!$B$2:$B$5000,$B$2),"")</f>
        <v/>
      </c>
      <c r="U19" s="52">
        <f>IF($D19="Actual",SUMIFS(Data_Actuals!$F$2:$F$5000,Data_Actuals!$A$2:$A$5000,$A19,Data_Actuals!$B$2:$B$5000,$B$2),"")</f>
        <v/>
      </c>
      <c r="V19" s="52">
        <f>IF($D19="Actual",SUMIFS(Data_Actuals!$G$2:$G$5000,Data_Actuals!$A$2:$A$5000,$A19,Data_Actuals!$B$2:$B$5000,$B$2),"")</f>
        <v/>
      </c>
      <c r="W19" s="52">
        <f>SUMIFS(Plan_Inputs!$C$2:$C$5000,Plan_Inputs!$A$2:$A$5000,$A19,Plan_Inputs!$B$2:$B$5000,$B$2)</f>
        <v/>
      </c>
      <c r="X19" s="53">
        <f>IF($D19="Actual",IFERROR(S19/T19,""),"")</f>
        <v/>
      </c>
      <c r="Y19" s="52">
        <f>'NSW-1'!E19+'NSW-2'!E19</f>
        <v/>
      </c>
      <c r="Z19" s="54">
        <f>INDEX(Calendar!$H$5:$L$52,MATCH($A19,Calendar!$A$5:$A$52,0),MATCH($D$2,Calendar!$H$4:$L$4,0))</f>
        <v/>
      </c>
      <c r="AA19" s="54">
        <f>INDEX(Calendar!$M$5:$M$52,MATCH($A19,Calendar!$A$5:$A$52,0))</f>
        <v/>
      </c>
      <c r="AB19" s="55">
        <f>IF($D19="Actual",IFERROR(S19/Y19,""),"")</f>
        <v/>
      </c>
      <c r="AC19" s="56">
        <f>IF($D19="Actual",IFERROR(U19/T19/Z19/AA19,""),"")</f>
        <v/>
      </c>
      <c r="AD19" s="57">
        <f>IF($D19="Actual",IFERROR(V19/(U19+V19),""),$K$2)</f>
        <v/>
      </c>
      <c r="AE19" s="56">
        <f>IFERROR(AC19*Z19*AA19,"")</f>
        <v/>
      </c>
      <c r="AF19" s="53" t="n"/>
      <c r="AG19" s="57">
        <f>IF($D19="Forecast",IFERROR(K19/AF19-1,""),"")</f>
        <v/>
      </c>
      <c r="AH19" s="53">
        <f>IF(CPLHSource="National breakdown",CPLH_Breakdown!AS24,SUMIFS(Plan_Inputs!$D$2:$D$5000,Plan_Inputs!$A$2:$A$5000,$A19,Plan_Inputs!$B$2:$B$5000,$B$2))</f>
        <v/>
      </c>
      <c r="AJ19" s="15">
        <f>F19*$AK$11</f>
        <v/>
      </c>
      <c r="AK19" s="9">
        <f>G19*$AK$11</f>
        <v/>
      </c>
      <c r="AL19" s="30">
        <f>H19*$AK$11</f>
        <v/>
      </c>
      <c r="AM19" s="30">
        <f>I19*$AK$11</f>
        <v/>
      </c>
      <c r="AN19" s="30">
        <f>J19*$AK$11</f>
        <v/>
      </c>
      <c r="AP19" s="15">
        <f>F19*$AQ$11</f>
        <v/>
      </c>
      <c r="AQ19" s="9">
        <f>G19*$AQ$11</f>
        <v/>
      </c>
      <c r="AR19" s="30">
        <f>H19*$AQ$11</f>
        <v/>
      </c>
      <c r="AS19" s="30">
        <f>I19*$AQ$11</f>
        <v/>
      </c>
      <c r="AT19" s="30">
        <f>J19*$AQ$11</f>
        <v/>
      </c>
      <c r="AV19" s="15">
        <f>F19*$AW$11</f>
        <v/>
      </c>
      <c r="AW19" s="9">
        <f>G19*$AW$11</f>
        <v/>
      </c>
      <c r="AX19" s="30">
        <f>H19*$AW$11</f>
        <v/>
      </c>
      <c r="AY19" s="30">
        <f>I19*$AW$11</f>
        <v/>
      </c>
      <c r="AZ19" s="30">
        <f>J19*$AW$11</f>
        <v/>
      </c>
    </row>
    <row r="20">
      <c r="A20" s="8" t="n">
        <v>45809</v>
      </c>
      <c r="B20" s="33">
        <f>YEAR(A20)</f>
        <v/>
      </c>
      <c r="C20" s="33">
        <f>MONTH(A20)</f>
        <v/>
      </c>
      <c r="D20">
        <f>IF(A20&lt;=LastActual,"Actual","Forecast")</f>
        <v/>
      </c>
      <c r="E20" s="30">
        <f>'NSW-1'!E20</f>
        <v/>
      </c>
      <c r="F20" s="15">
        <f>IF($D20="Actual",S20,Cases_Forecast!AR13)</f>
        <v/>
      </c>
      <c r="G20" s="9">
        <f>IF($D20="Actual",T20,IFERROR(F20/K20,0))</f>
        <v/>
      </c>
      <c r="H20" s="30">
        <f>IF($D20="Actual",U20,G20*L20)</f>
        <v/>
      </c>
      <c r="I20" s="30">
        <f>IF($D20="Actual",V20,J20-H20)</f>
        <v/>
      </c>
      <c r="J20" s="30">
        <f>IF($D20="Actual",U20+V20,IFERROR(H20/(1-AD20),0))</f>
        <v/>
      </c>
      <c r="K20" s="10">
        <f>IF($D20="Actual",IFERROR(S20/T20,0),CPLH_Forecast!AR13)</f>
        <v/>
      </c>
      <c r="L20" s="34">
        <f>IF($D20="Actual",IFERROR(U20/T20,0),N(AE20))</f>
        <v/>
      </c>
      <c r="M20" s="35">
        <f>IFERROR(J20/F20,0)</f>
        <v/>
      </c>
      <c r="N20" s="36">
        <f>IFERROR(J20/E20,0)</f>
        <v/>
      </c>
      <c r="O20" s="36">
        <f>IFERROR(I20/J20,0)</f>
        <v/>
      </c>
      <c r="R20" s="52">
        <f>IF($D20="Actual",E20,"")</f>
        <v/>
      </c>
      <c r="S20" s="52">
        <f>IF($D20="Actual",SUMIFS(Data_Actuals!$D$2:$D$5000,Data_Actuals!$A$2:$A$5000,$A20,Data_Actuals!$B$2:$B$5000,$B$2),"")</f>
        <v/>
      </c>
      <c r="T20" s="52">
        <f>IF($D20="Actual",SUMIFS(Data_Actuals!$E$2:$E$5000,Data_Actuals!$A$2:$A$5000,$A20,Data_Actuals!$B$2:$B$5000,$B$2),"")</f>
        <v/>
      </c>
      <c r="U20" s="52">
        <f>IF($D20="Actual",SUMIFS(Data_Actuals!$F$2:$F$5000,Data_Actuals!$A$2:$A$5000,$A20,Data_Actuals!$B$2:$B$5000,$B$2),"")</f>
        <v/>
      </c>
      <c r="V20" s="52">
        <f>IF($D20="Actual",SUMIFS(Data_Actuals!$G$2:$G$5000,Data_Actuals!$A$2:$A$5000,$A20,Data_Actuals!$B$2:$B$5000,$B$2),"")</f>
        <v/>
      </c>
      <c r="W20" s="52">
        <f>SUMIFS(Plan_Inputs!$C$2:$C$5000,Plan_Inputs!$A$2:$A$5000,$A20,Plan_Inputs!$B$2:$B$5000,$B$2)</f>
        <v/>
      </c>
      <c r="X20" s="53">
        <f>IF($D20="Actual",IFERROR(S20/T20,""),"")</f>
        <v/>
      </c>
      <c r="Y20" s="52">
        <f>'NSW-1'!E20+'NSW-2'!E20</f>
        <v/>
      </c>
      <c r="Z20" s="54">
        <f>INDEX(Calendar!$H$5:$L$52,MATCH($A20,Calendar!$A$5:$A$52,0),MATCH($D$2,Calendar!$H$4:$L$4,0))</f>
        <v/>
      </c>
      <c r="AA20" s="54">
        <f>INDEX(Calendar!$M$5:$M$52,MATCH($A20,Calendar!$A$5:$A$52,0))</f>
        <v/>
      </c>
      <c r="AB20" s="55">
        <f>IF($D20="Actual",IFERROR(S20/Y20,""),"")</f>
        <v/>
      </c>
      <c r="AC20" s="56">
        <f>IF($D20="Actual",IFERROR(U20/T20/Z20/AA20,""),"")</f>
        <v/>
      </c>
      <c r="AD20" s="57">
        <f>IF($D20="Actual",IFERROR(V20/(U20+V20),""),$K$2)</f>
        <v/>
      </c>
      <c r="AE20" s="56">
        <f>IFERROR(AC20*Z20*AA20,"")</f>
        <v/>
      </c>
      <c r="AF20" s="53" t="n"/>
      <c r="AG20" s="57">
        <f>IF($D20="Forecast",IFERROR(K20/AF20-1,""),"")</f>
        <v/>
      </c>
      <c r="AH20" s="53">
        <f>IF(CPLHSource="National breakdown",CPLH_Breakdown!AS25,SUMIFS(Plan_Inputs!$D$2:$D$5000,Plan_Inputs!$A$2:$A$5000,$A20,Plan_Inputs!$B$2:$B$5000,$B$2))</f>
        <v/>
      </c>
      <c r="AJ20" s="15">
        <f>F20*$AK$11</f>
        <v/>
      </c>
      <c r="AK20" s="9">
        <f>G20*$AK$11</f>
        <v/>
      </c>
      <c r="AL20" s="30">
        <f>H20*$AK$11</f>
        <v/>
      </c>
      <c r="AM20" s="30">
        <f>I20*$AK$11</f>
        <v/>
      </c>
      <c r="AN20" s="30">
        <f>J20*$AK$11</f>
        <v/>
      </c>
      <c r="AP20" s="15">
        <f>F20*$AQ$11</f>
        <v/>
      </c>
      <c r="AQ20" s="9">
        <f>G20*$AQ$11</f>
        <v/>
      </c>
      <c r="AR20" s="30">
        <f>H20*$AQ$11</f>
        <v/>
      </c>
      <c r="AS20" s="30">
        <f>I20*$AQ$11</f>
        <v/>
      </c>
      <c r="AT20" s="30">
        <f>J20*$AQ$11</f>
        <v/>
      </c>
      <c r="AV20" s="15">
        <f>F20*$AW$11</f>
        <v/>
      </c>
      <c r="AW20" s="9">
        <f>G20*$AW$11</f>
        <v/>
      </c>
      <c r="AX20" s="30">
        <f>H20*$AW$11</f>
        <v/>
      </c>
      <c r="AY20" s="30">
        <f>I20*$AW$11</f>
        <v/>
      </c>
      <c r="AZ20" s="30">
        <f>J20*$AW$11</f>
        <v/>
      </c>
    </row>
    <row r="21">
      <c r="A21" s="8" t="n">
        <v>45839</v>
      </c>
      <c r="B21" s="33">
        <f>YEAR(A21)</f>
        <v/>
      </c>
      <c r="C21" s="33">
        <f>MONTH(A21)</f>
        <v/>
      </c>
      <c r="D21">
        <f>IF(A21&lt;=LastActual,"Actual","Forecast")</f>
        <v/>
      </c>
      <c r="E21" s="30">
        <f>'NSW-1'!E21</f>
        <v/>
      </c>
      <c r="F21" s="15">
        <f>IF($D21="Actual",S21,Cases_Forecast!AR14)</f>
        <v/>
      </c>
      <c r="G21" s="9">
        <f>IF($D21="Actual",T21,IFERROR(F21/K21,0))</f>
        <v/>
      </c>
      <c r="H21" s="30">
        <f>IF($D21="Actual",U21,G21*L21)</f>
        <v/>
      </c>
      <c r="I21" s="30">
        <f>IF($D21="Actual",V21,J21-H21)</f>
        <v/>
      </c>
      <c r="J21" s="30">
        <f>IF($D21="Actual",U21+V21,IFERROR(H21/(1-AD21),0))</f>
        <v/>
      </c>
      <c r="K21" s="10">
        <f>IF($D21="Actual",IFERROR(S21/T21,0),CPLH_Forecast!AR14)</f>
        <v/>
      </c>
      <c r="L21" s="34">
        <f>IF($D21="Actual",IFERROR(U21/T21,0),N(AE21))</f>
        <v/>
      </c>
      <c r="M21" s="35">
        <f>IFERROR(J21/F21,0)</f>
        <v/>
      </c>
      <c r="N21" s="36">
        <f>IFERROR(J21/E21,0)</f>
        <v/>
      </c>
      <c r="O21" s="36">
        <f>IFERROR(I21/J21,0)</f>
        <v/>
      </c>
      <c r="R21" s="52">
        <f>IF($D21="Actual",E21,"")</f>
        <v/>
      </c>
      <c r="S21" s="52">
        <f>IF($D21="Actual",SUMIFS(Data_Actuals!$D$2:$D$5000,Data_Actuals!$A$2:$A$5000,$A21,Data_Actuals!$B$2:$B$5000,$B$2),"")</f>
        <v/>
      </c>
      <c r="T21" s="52">
        <f>IF($D21="Actual",SUMIFS(Data_Actuals!$E$2:$E$5000,Data_Actuals!$A$2:$A$5000,$A21,Data_Actuals!$B$2:$B$5000,$B$2),"")</f>
        <v/>
      </c>
      <c r="U21" s="52">
        <f>IF($D21="Actual",SUMIFS(Data_Actuals!$F$2:$F$5000,Data_Actuals!$A$2:$A$5000,$A21,Data_Actuals!$B$2:$B$5000,$B$2),"")</f>
        <v/>
      </c>
      <c r="V21" s="52">
        <f>IF($D21="Actual",SUMIFS(Data_Actuals!$G$2:$G$5000,Data_Actuals!$A$2:$A$5000,$A21,Data_Actuals!$B$2:$B$5000,$B$2),"")</f>
        <v/>
      </c>
      <c r="W21" s="52">
        <f>SUMIFS(Plan_Inputs!$C$2:$C$5000,Plan_Inputs!$A$2:$A$5000,$A21,Plan_Inputs!$B$2:$B$5000,$B$2)</f>
        <v/>
      </c>
      <c r="X21" s="53">
        <f>IF($D21="Actual",IFERROR(S21/T21,""),"")</f>
        <v/>
      </c>
      <c r="Y21" s="52">
        <f>'NSW-1'!E21+'NSW-2'!E21</f>
        <v/>
      </c>
      <c r="Z21" s="54">
        <f>INDEX(Calendar!$H$5:$L$52,MATCH($A21,Calendar!$A$5:$A$52,0),MATCH($D$2,Calendar!$H$4:$L$4,0))</f>
        <v/>
      </c>
      <c r="AA21" s="54">
        <f>INDEX(Calendar!$M$5:$M$52,MATCH($A21,Calendar!$A$5:$A$52,0))</f>
        <v/>
      </c>
      <c r="AB21" s="55">
        <f>IF($D21="Actual",IFERROR(S21/Y21,""),"")</f>
        <v/>
      </c>
      <c r="AC21" s="56">
        <f>IF($D21="Actual",IFERROR(U21/T21/Z21/AA21,""),"")</f>
        <v/>
      </c>
      <c r="AD21" s="57">
        <f>IF($D21="Actual",IFERROR(V21/(U21+V21),""),$K$2)</f>
        <v/>
      </c>
      <c r="AE21" s="56">
        <f>IFERROR(AC21*Z21*AA21,"")</f>
        <v/>
      </c>
      <c r="AF21" s="53" t="n"/>
      <c r="AG21" s="57">
        <f>IF($D21="Forecast",IFERROR(K21/AF21-1,""),"")</f>
        <v/>
      </c>
      <c r="AH21" s="53">
        <f>IF(CPLHSource="National breakdown",CPLH_Breakdown!AS26,SUMIFS(Plan_Inputs!$D$2:$D$5000,Plan_Inputs!$A$2:$A$5000,$A21,Plan_Inputs!$B$2:$B$5000,$B$2))</f>
        <v/>
      </c>
      <c r="AJ21" s="15">
        <f>F21*$AK$11</f>
        <v/>
      </c>
      <c r="AK21" s="9">
        <f>G21*$AK$11</f>
        <v/>
      </c>
      <c r="AL21" s="30">
        <f>H21*$AK$11</f>
        <v/>
      </c>
      <c r="AM21" s="30">
        <f>I21*$AK$11</f>
        <v/>
      </c>
      <c r="AN21" s="30">
        <f>J21*$AK$11</f>
        <v/>
      </c>
      <c r="AP21" s="15">
        <f>F21*$AQ$11</f>
        <v/>
      </c>
      <c r="AQ21" s="9">
        <f>G21*$AQ$11</f>
        <v/>
      </c>
      <c r="AR21" s="30">
        <f>H21*$AQ$11</f>
        <v/>
      </c>
      <c r="AS21" s="30">
        <f>I21*$AQ$11</f>
        <v/>
      </c>
      <c r="AT21" s="30">
        <f>J21*$AQ$11</f>
        <v/>
      </c>
      <c r="AV21" s="15">
        <f>F21*$AW$11</f>
        <v/>
      </c>
      <c r="AW21" s="9">
        <f>G21*$AW$11</f>
        <v/>
      </c>
      <c r="AX21" s="30">
        <f>H21*$AW$11</f>
        <v/>
      </c>
      <c r="AY21" s="30">
        <f>I21*$AW$11</f>
        <v/>
      </c>
      <c r="AZ21" s="30">
        <f>J21*$AW$11</f>
        <v/>
      </c>
    </row>
    <row r="22">
      <c r="A22" s="8" t="n">
        <v>45870</v>
      </c>
      <c r="B22" s="33">
        <f>YEAR(A22)</f>
        <v/>
      </c>
      <c r="C22" s="33">
        <f>MONTH(A22)</f>
        <v/>
      </c>
      <c r="D22">
        <f>IF(A22&lt;=LastActual,"Actual","Forecast")</f>
        <v/>
      </c>
      <c r="E22" s="30">
        <f>'NSW-1'!E22</f>
        <v/>
      </c>
      <c r="F22" s="15">
        <f>IF($D22="Actual",S22,Cases_Forecast!AR15)</f>
        <v/>
      </c>
      <c r="G22" s="9">
        <f>IF($D22="Actual",T22,IFERROR(F22/K22,0))</f>
        <v/>
      </c>
      <c r="H22" s="30">
        <f>IF($D22="Actual",U22,G22*L22)</f>
        <v/>
      </c>
      <c r="I22" s="30">
        <f>IF($D22="Actual",V22,J22-H22)</f>
        <v/>
      </c>
      <c r="J22" s="30">
        <f>IF($D22="Actual",U22+V22,IFERROR(H22/(1-AD22),0))</f>
        <v/>
      </c>
      <c r="K22" s="10">
        <f>IF($D22="Actual",IFERROR(S22/T22,0),CPLH_Forecast!AR15)</f>
        <v/>
      </c>
      <c r="L22" s="34">
        <f>IF($D22="Actual",IFERROR(U22/T22,0),N(AE22))</f>
        <v/>
      </c>
      <c r="M22" s="35">
        <f>IFERROR(J22/F22,0)</f>
        <v/>
      </c>
      <c r="N22" s="36">
        <f>IFERROR(J22/E22,0)</f>
        <v/>
      </c>
      <c r="O22" s="36">
        <f>IFERROR(I22/J22,0)</f>
        <v/>
      </c>
      <c r="R22" s="52">
        <f>IF($D22="Actual",E22,"")</f>
        <v/>
      </c>
      <c r="S22" s="52">
        <f>IF($D22="Actual",SUMIFS(Data_Actuals!$D$2:$D$5000,Data_Actuals!$A$2:$A$5000,$A22,Data_Actuals!$B$2:$B$5000,$B$2),"")</f>
        <v/>
      </c>
      <c r="T22" s="52">
        <f>IF($D22="Actual",SUMIFS(Data_Actuals!$E$2:$E$5000,Data_Actuals!$A$2:$A$5000,$A22,Data_Actuals!$B$2:$B$5000,$B$2),"")</f>
        <v/>
      </c>
      <c r="U22" s="52">
        <f>IF($D22="Actual",SUMIFS(Data_Actuals!$F$2:$F$5000,Data_Actuals!$A$2:$A$5000,$A22,Data_Actuals!$B$2:$B$5000,$B$2),"")</f>
        <v/>
      </c>
      <c r="V22" s="52">
        <f>IF($D22="Actual",SUMIFS(Data_Actuals!$G$2:$G$5000,Data_Actuals!$A$2:$A$5000,$A22,Data_Actuals!$B$2:$B$5000,$B$2),"")</f>
        <v/>
      </c>
      <c r="W22" s="52">
        <f>SUMIFS(Plan_Inputs!$C$2:$C$5000,Plan_Inputs!$A$2:$A$5000,$A22,Plan_Inputs!$B$2:$B$5000,$B$2)</f>
        <v/>
      </c>
      <c r="X22" s="53">
        <f>IF($D22="Actual",IFERROR(S22/T22,""),"")</f>
        <v/>
      </c>
      <c r="Y22" s="52">
        <f>'NSW-1'!E22+'NSW-2'!E22</f>
        <v/>
      </c>
      <c r="Z22" s="54">
        <f>INDEX(Calendar!$H$5:$L$52,MATCH($A22,Calendar!$A$5:$A$52,0),MATCH($D$2,Calendar!$H$4:$L$4,0))</f>
        <v/>
      </c>
      <c r="AA22" s="54">
        <f>INDEX(Calendar!$M$5:$M$52,MATCH($A22,Calendar!$A$5:$A$52,0))</f>
        <v/>
      </c>
      <c r="AB22" s="55">
        <f>IF($D22="Actual",IFERROR(S22/Y22,""),"")</f>
        <v/>
      </c>
      <c r="AC22" s="56">
        <f>IF($D22="Actual",IFERROR(U22/T22/Z22/AA22,""),"")</f>
        <v/>
      </c>
      <c r="AD22" s="57">
        <f>IF($D22="Actual",IFERROR(V22/(U22+V22),""),$K$2)</f>
        <v/>
      </c>
      <c r="AE22" s="56">
        <f>IFERROR(AC22*Z22*AA22,"")</f>
        <v/>
      </c>
      <c r="AF22" s="53" t="n"/>
      <c r="AG22" s="57">
        <f>IF($D22="Forecast",IFERROR(K22/AF22-1,""),"")</f>
        <v/>
      </c>
      <c r="AH22" s="53">
        <f>IF(CPLHSource="National breakdown",CPLH_Breakdown!AS27,SUMIFS(Plan_Inputs!$D$2:$D$5000,Plan_Inputs!$A$2:$A$5000,$A22,Plan_Inputs!$B$2:$B$5000,$B$2))</f>
        <v/>
      </c>
      <c r="AJ22" s="15">
        <f>F22*$AK$11</f>
        <v/>
      </c>
      <c r="AK22" s="9">
        <f>G22*$AK$11</f>
        <v/>
      </c>
      <c r="AL22" s="30">
        <f>H22*$AK$11</f>
        <v/>
      </c>
      <c r="AM22" s="30">
        <f>I22*$AK$11</f>
        <v/>
      </c>
      <c r="AN22" s="30">
        <f>J22*$AK$11</f>
        <v/>
      </c>
      <c r="AP22" s="15">
        <f>F22*$AQ$11</f>
        <v/>
      </c>
      <c r="AQ22" s="9">
        <f>G22*$AQ$11</f>
        <v/>
      </c>
      <c r="AR22" s="30">
        <f>H22*$AQ$11</f>
        <v/>
      </c>
      <c r="AS22" s="30">
        <f>I22*$AQ$11</f>
        <v/>
      </c>
      <c r="AT22" s="30">
        <f>J22*$AQ$11</f>
        <v/>
      </c>
      <c r="AV22" s="15">
        <f>F22*$AW$11</f>
        <v/>
      </c>
      <c r="AW22" s="9">
        <f>G22*$AW$11</f>
        <v/>
      </c>
      <c r="AX22" s="30">
        <f>H22*$AW$11</f>
        <v/>
      </c>
      <c r="AY22" s="30">
        <f>I22*$AW$11</f>
        <v/>
      </c>
      <c r="AZ22" s="30">
        <f>J22*$AW$11</f>
        <v/>
      </c>
    </row>
    <row r="23">
      <c r="A23" s="8" t="n">
        <v>45901</v>
      </c>
      <c r="B23" s="33">
        <f>YEAR(A23)</f>
        <v/>
      </c>
      <c r="C23" s="33">
        <f>MONTH(A23)</f>
        <v/>
      </c>
      <c r="D23">
        <f>IF(A23&lt;=LastActual,"Actual","Forecast")</f>
        <v/>
      </c>
      <c r="E23" s="30">
        <f>'NSW-1'!E23</f>
        <v/>
      </c>
      <c r="F23" s="15">
        <f>IF($D23="Actual",S23,Cases_Forecast!AR16)</f>
        <v/>
      </c>
      <c r="G23" s="9">
        <f>IF($D23="Actual",T23,IFERROR(F23/K23,0))</f>
        <v/>
      </c>
      <c r="H23" s="30">
        <f>IF($D23="Actual",U23,G23*L23)</f>
        <v/>
      </c>
      <c r="I23" s="30">
        <f>IF($D23="Actual",V23,J23-H23)</f>
        <v/>
      </c>
      <c r="J23" s="30">
        <f>IF($D23="Actual",U23+V23,IFERROR(H23/(1-AD23),0))</f>
        <v/>
      </c>
      <c r="K23" s="10">
        <f>IF($D23="Actual",IFERROR(S23/T23,0),CPLH_Forecast!AR16)</f>
        <v/>
      </c>
      <c r="L23" s="34">
        <f>IF($D23="Actual",IFERROR(U23/T23,0),N(AE23))</f>
        <v/>
      </c>
      <c r="M23" s="35">
        <f>IFERROR(J23/F23,0)</f>
        <v/>
      </c>
      <c r="N23" s="36">
        <f>IFERROR(J23/E23,0)</f>
        <v/>
      </c>
      <c r="O23" s="36">
        <f>IFERROR(I23/J23,0)</f>
        <v/>
      </c>
      <c r="R23" s="52">
        <f>IF($D23="Actual",E23,"")</f>
        <v/>
      </c>
      <c r="S23" s="52">
        <f>IF($D23="Actual",SUMIFS(Data_Actuals!$D$2:$D$5000,Data_Actuals!$A$2:$A$5000,$A23,Data_Actuals!$B$2:$B$5000,$B$2),"")</f>
        <v/>
      </c>
      <c r="T23" s="52">
        <f>IF($D23="Actual",SUMIFS(Data_Actuals!$E$2:$E$5000,Data_Actuals!$A$2:$A$5000,$A23,Data_Actuals!$B$2:$B$5000,$B$2),"")</f>
        <v/>
      </c>
      <c r="U23" s="52">
        <f>IF($D23="Actual",SUMIFS(Data_Actuals!$F$2:$F$5000,Data_Actuals!$A$2:$A$5000,$A23,Data_Actuals!$B$2:$B$5000,$B$2),"")</f>
        <v/>
      </c>
      <c r="V23" s="52">
        <f>IF($D23="Actual",SUMIFS(Data_Actuals!$G$2:$G$5000,Data_Actuals!$A$2:$A$5000,$A23,Data_Actuals!$B$2:$B$5000,$B$2),"")</f>
        <v/>
      </c>
      <c r="W23" s="52">
        <f>SUMIFS(Plan_Inputs!$C$2:$C$5000,Plan_Inputs!$A$2:$A$5000,$A23,Plan_Inputs!$B$2:$B$5000,$B$2)</f>
        <v/>
      </c>
      <c r="X23" s="53">
        <f>IF($D23="Actual",IFERROR(S23/T23,""),"")</f>
        <v/>
      </c>
      <c r="Y23" s="52">
        <f>'NSW-1'!E23+'NSW-2'!E23</f>
        <v/>
      </c>
      <c r="Z23" s="54">
        <f>INDEX(Calendar!$H$5:$L$52,MATCH($A23,Calendar!$A$5:$A$52,0),MATCH($D$2,Calendar!$H$4:$L$4,0))</f>
        <v/>
      </c>
      <c r="AA23" s="54">
        <f>INDEX(Calendar!$M$5:$M$52,MATCH($A23,Calendar!$A$5:$A$52,0))</f>
        <v/>
      </c>
      <c r="AB23" s="55">
        <f>IF($D23="Actual",IFERROR(S23/Y23,""),"")</f>
        <v/>
      </c>
      <c r="AC23" s="56">
        <f>IF($D23="Actual",IFERROR(U23/T23/Z23/AA23,""),"")</f>
        <v/>
      </c>
      <c r="AD23" s="57">
        <f>IF($D23="Actual",IFERROR(V23/(U23+V23),""),$K$2)</f>
        <v/>
      </c>
      <c r="AE23" s="56">
        <f>IFERROR(AC23*Z23*AA23,"")</f>
        <v/>
      </c>
      <c r="AF23" s="53" t="n"/>
      <c r="AG23" s="57">
        <f>IF($D23="Forecast",IFERROR(K23/AF23-1,""),"")</f>
        <v/>
      </c>
      <c r="AH23" s="53">
        <f>IF(CPLHSource="National breakdown",CPLH_Breakdown!AS28,SUMIFS(Plan_Inputs!$D$2:$D$5000,Plan_Inputs!$A$2:$A$5000,$A23,Plan_Inputs!$B$2:$B$5000,$B$2))</f>
        <v/>
      </c>
      <c r="AJ23" s="15">
        <f>F23*$AK$11</f>
        <v/>
      </c>
      <c r="AK23" s="9">
        <f>G23*$AK$11</f>
        <v/>
      </c>
      <c r="AL23" s="30">
        <f>H23*$AK$11</f>
        <v/>
      </c>
      <c r="AM23" s="30">
        <f>I23*$AK$11</f>
        <v/>
      </c>
      <c r="AN23" s="30">
        <f>J23*$AK$11</f>
        <v/>
      </c>
      <c r="AP23" s="15">
        <f>F23*$AQ$11</f>
        <v/>
      </c>
      <c r="AQ23" s="9">
        <f>G23*$AQ$11</f>
        <v/>
      </c>
      <c r="AR23" s="30">
        <f>H23*$AQ$11</f>
        <v/>
      </c>
      <c r="AS23" s="30">
        <f>I23*$AQ$11</f>
        <v/>
      </c>
      <c r="AT23" s="30">
        <f>J23*$AQ$11</f>
        <v/>
      </c>
      <c r="AV23" s="15">
        <f>F23*$AW$11</f>
        <v/>
      </c>
      <c r="AW23" s="9">
        <f>G23*$AW$11</f>
        <v/>
      </c>
      <c r="AX23" s="30">
        <f>H23*$AW$11</f>
        <v/>
      </c>
      <c r="AY23" s="30">
        <f>I23*$AW$11</f>
        <v/>
      </c>
      <c r="AZ23" s="30">
        <f>J23*$AW$11</f>
        <v/>
      </c>
    </row>
    <row r="24">
      <c r="A24" s="8" t="n">
        <v>45931</v>
      </c>
      <c r="B24" s="33">
        <f>YEAR(A24)</f>
        <v/>
      </c>
      <c r="C24" s="33">
        <f>MONTH(A24)</f>
        <v/>
      </c>
      <c r="D24">
        <f>IF(A24&lt;=LastActual,"Actual","Forecast")</f>
        <v/>
      </c>
      <c r="E24" s="30">
        <f>'NSW-1'!E24</f>
        <v/>
      </c>
      <c r="F24" s="15">
        <f>IF($D24="Actual",S24,Cases_Forecast!AR17)</f>
        <v/>
      </c>
      <c r="G24" s="9">
        <f>IF($D24="Actual",T24,IFERROR(F24/K24,0))</f>
        <v/>
      </c>
      <c r="H24" s="30">
        <f>IF($D24="Actual",U24,G24*L24)</f>
        <v/>
      </c>
      <c r="I24" s="30">
        <f>IF($D24="Actual",V24,J24-H24)</f>
        <v/>
      </c>
      <c r="J24" s="30">
        <f>IF($D24="Actual",U24+V24,IFERROR(H24/(1-AD24),0))</f>
        <v/>
      </c>
      <c r="K24" s="10">
        <f>IF($D24="Actual",IFERROR(S24/T24,0),CPLH_Forecast!AR17)</f>
        <v/>
      </c>
      <c r="L24" s="34">
        <f>IF($D24="Actual",IFERROR(U24/T24,0),N(AE24))</f>
        <v/>
      </c>
      <c r="M24" s="35">
        <f>IFERROR(J24/F24,0)</f>
        <v/>
      </c>
      <c r="N24" s="36">
        <f>IFERROR(J24/E24,0)</f>
        <v/>
      </c>
      <c r="O24" s="36">
        <f>IFERROR(I24/J24,0)</f>
        <v/>
      </c>
      <c r="R24" s="52">
        <f>IF($D24="Actual",E24,"")</f>
        <v/>
      </c>
      <c r="S24" s="52">
        <f>IF($D24="Actual",SUMIFS(Data_Actuals!$D$2:$D$5000,Data_Actuals!$A$2:$A$5000,$A24,Data_Actuals!$B$2:$B$5000,$B$2),"")</f>
        <v/>
      </c>
      <c r="T24" s="52">
        <f>IF($D24="Actual",SUMIFS(Data_Actuals!$E$2:$E$5000,Data_Actuals!$A$2:$A$5000,$A24,Data_Actuals!$B$2:$B$5000,$B$2),"")</f>
        <v/>
      </c>
      <c r="U24" s="52">
        <f>IF($D24="Actual",SUMIFS(Data_Actuals!$F$2:$F$5000,Data_Actuals!$A$2:$A$5000,$A24,Data_Actuals!$B$2:$B$5000,$B$2),"")</f>
        <v/>
      </c>
      <c r="V24" s="52">
        <f>IF($D24="Actual",SUMIFS(Data_Actuals!$G$2:$G$5000,Data_Actuals!$A$2:$A$5000,$A24,Data_Actuals!$B$2:$B$5000,$B$2),"")</f>
        <v/>
      </c>
      <c r="W24" s="52">
        <f>SUMIFS(Plan_Inputs!$C$2:$C$5000,Plan_Inputs!$A$2:$A$5000,$A24,Plan_Inputs!$B$2:$B$5000,$B$2)</f>
        <v/>
      </c>
      <c r="X24" s="53">
        <f>IF($D24="Actual",IFERROR(S24/T24,""),"")</f>
        <v/>
      </c>
      <c r="Y24" s="52">
        <f>'NSW-1'!E24+'NSW-2'!E24</f>
        <v/>
      </c>
      <c r="Z24" s="54">
        <f>INDEX(Calendar!$H$5:$L$52,MATCH($A24,Calendar!$A$5:$A$52,0),MATCH($D$2,Calendar!$H$4:$L$4,0))</f>
        <v/>
      </c>
      <c r="AA24" s="54">
        <f>INDEX(Calendar!$M$5:$M$52,MATCH($A24,Calendar!$A$5:$A$52,0))</f>
        <v/>
      </c>
      <c r="AB24" s="55">
        <f>IF($D24="Actual",IFERROR(S24/Y24,""),"")</f>
        <v/>
      </c>
      <c r="AC24" s="56">
        <f>IF($D24="Actual",IFERROR(U24/T24/Z24/AA24,""),"")</f>
        <v/>
      </c>
      <c r="AD24" s="57">
        <f>IF($D24="Actual",IFERROR(V24/(U24+V24),""),$K$2)</f>
        <v/>
      </c>
      <c r="AE24" s="56">
        <f>IFERROR(AC24*Z24*AA24,"")</f>
        <v/>
      </c>
      <c r="AF24" s="53" t="n"/>
      <c r="AG24" s="57">
        <f>IF($D24="Forecast",IFERROR(K24/AF24-1,""),"")</f>
        <v/>
      </c>
      <c r="AH24" s="53">
        <f>IF(CPLHSource="National breakdown",CPLH_Breakdown!AS29,SUMIFS(Plan_Inputs!$D$2:$D$5000,Plan_Inputs!$A$2:$A$5000,$A24,Plan_Inputs!$B$2:$B$5000,$B$2))</f>
        <v/>
      </c>
      <c r="AJ24" s="15">
        <f>F24*$AK$11</f>
        <v/>
      </c>
      <c r="AK24" s="9">
        <f>G24*$AK$11</f>
        <v/>
      </c>
      <c r="AL24" s="30">
        <f>H24*$AK$11</f>
        <v/>
      </c>
      <c r="AM24" s="30">
        <f>I24*$AK$11</f>
        <v/>
      </c>
      <c r="AN24" s="30">
        <f>J24*$AK$11</f>
        <v/>
      </c>
      <c r="AP24" s="15">
        <f>F24*$AQ$11</f>
        <v/>
      </c>
      <c r="AQ24" s="9">
        <f>G24*$AQ$11</f>
        <v/>
      </c>
      <c r="AR24" s="30">
        <f>H24*$AQ$11</f>
        <v/>
      </c>
      <c r="AS24" s="30">
        <f>I24*$AQ$11</f>
        <v/>
      </c>
      <c r="AT24" s="30">
        <f>J24*$AQ$11</f>
        <v/>
      </c>
      <c r="AV24" s="15">
        <f>F24*$AW$11</f>
        <v/>
      </c>
      <c r="AW24" s="9">
        <f>G24*$AW$11</f>
        <v/>
      </c>
      <c r="AX24" s="30">
        <f>H24*$AW$11</f>
        <v/>
      </c>
      <c r="AY24" s="30">
        <f>I24*$AW$11</f>
        <v/>
      </c>
      <c r="AZ24" s="30">
        <f>J24*$AW$11</f>
        <v/>
      </c>
    </row>
    <row r="25">
      <c r="A25" s="8" t="n">
        <v>45962</v>
      </c>
      <c r="B25" s="33">
        <f>YEAR(A25)</f>
        <v/>
      </c>
      <c r="C25" s="33">
        <f>MONTH(A25)</f>
        <v/>
      </c>
      <c r="D25">
        <f>IF(A25&lt;=LastActual,"Actual","Forecast")</f>
        <v/>
      </c>
      <c r="E25" s="30">
        <f>'NSW-1'!E25</f>
        <v/>
      </c>
      <c r="F25" s="15">
        <f>IF($D25="Actual",S25,Cases_Forecast!AR18)</f>
        <v/>
      </c>
      <c r="G25" s="9">
        <f>IF($D25="Actual",T25,IFERROR(F25/K25,0))</f>
        <v/>
      </c>
      <c r="H25" s="30">
        <f>IF($D25="Actual",U25,G25*L25)</f>
        <v/>
      </c>
      <c r="I25" s="30">
        <f>IF($D25="Actual",V25,J25-H25)</f>
        <v/>
      </c>
      <c r="J25" s="30">
        <f>IF($D25="Actual",U25+V25,IFERROR(H25/(1-AD25),0))</f>
        <v/>
      </c>
      <c r="K25" s="10">
        <f>IF($D25="Actual",IFERROR(S25/T25,0),CPLH_Forecast!AR18)</f>
        <v/>
      </c>
      <c r="L25" s="34">
        <f>IF($D25="Actual",IFERROR(U25/T25,0),N(AE25))</f>
        <v/>
      </c>
      <c r="M25" s="35">
        <f>IFERROR(J25/F25,0)</f>
        <v/>
      </c>
      <c r="N25" s="36">
        <f>IFERROR(J25/E25,0)</f>
        <v/>
      </c>
      <c r="O25" s="36">
        <f>IFERROR(I25/J25,0)</f>
        <v/>
      </c>
      <c r="R25" s="52">
        <f>IF($D25="Actual",E25,"")</f>
        <v/>
      </c>
      <c r="S25" s="52">
        <f>IF($D25="Actual",SUMIFS(Data_Actuals!$D$2:$D$5000,Data_Actuals!$A$2:$A$5000,$A25,Data_Actuals!$B$2:$B$5000,$B$2),"")</f>
        <v/>
      </c>
      <c r="T25" s="52">
        <f>IF($D25="Actual",SUMIFS(Data_Actuals!$E$2:$E$5000,Data_Actuals!$A$2:$A$5000,$A25,Data_Actuals!$B$2:$B$5000,$B$2),"")</f>
        <v/>
      </c>
      <c r="U25" s="52">
        <f>IF($D25="Actual",SUMIFS(Data_Actuals!$F$2:$F$5000,Data_Actuals!$A$2:$A$5000,$A25,Data_Actuals!$B$2:$B$5000,$B$2),"")</f>
        <v/>
      </c>
      <c r="V25" s="52">
        <f>IF($D25="Actual",SUMIFS(Data_Actuals!$G$2:$G$5000,Data_Actuals!$A$2:$A$5000,$A25,Data_Actuals!$B$2:$B$5000,$B$2),"")</f>
        <v/>
      </c>
      <c r="W25" s="52">
        <f>SUMIFS(Plan_Inputs!$C$2:$C$5000,Plan_Inputs!$A$2:$A$5000,$A25,Plan_Inputs!$B$2:$B$5000,$B$2)</f>
        <v/>
      </c>
      <c r="X25" s="53">
        <f>IF($D25="Actual",IFERROR(S25/T25,""),"")</f>
        <v/>
      </c>
      <c r="Y25" s="52">
        <f>'NSW-1'!E25+'NSW-2'!E25</f>
        <v/>
      </c>
      <c r="Z25" s="54">
        <f>INDEX(Calendar!$H$5:$L$52,MATCH($A25,Calendar!$A$5:$A$52,0),MATCH($D$2,Calendar!$H$4:$L$4,0))</f>
        <v/>
      </c>
      <c r="AA25" s="54">
        <f>INDEX(Calendar!$M$5:$M$52,MATCH($A25,Calendar!$A$5:$A$52,0))</f>
        <v/>
      </c>
      <c r="AB25" s="55">
        <f>IF($D25="Actual",IFERROR(S25/Y25,""),"")</f>
        <v/>
      </c>
      <c r="AC25" s="56">
        <f>IF($D25="Actual",IFERROR(U25/T25/Z25/AA25,""),"")</f>
        <v/>
      </c>
      <c r="AD25" s="57">
        <f>IF($D25="Actual",IFERROR(V25/(U25+V25),""),$K$2)</f>
        <v/>
      </c>
      <c r="AE25" s="56">
        <f>IFERROR(AC25*Z25*AA25,"")</f>
        <v/>
      </c>
      <c r="AF25" s="53" t="n"/>
      <c r="AG25" s="57">
        <f>IF($D25="Forecast",IFERROR(K25/AF25-1,""),"")</f>
        <v/>
      </c>
      <c r="AH25" s="53">
        <f>IF(CPLHSource="National breakdown",CPLH_Breakdown!AS30,SUMIFS(Plan_Inputs!$D$2:$D$5000,Plan_Inputs!$A$2:$A$5000,$A25,Plan_Inputs!$B$2:$B$5000,$B$2))</f>
        <v/>
      </c>
      <c r="AJ25" s="15">
        <f>F25*$AK$11</f>
        <v/>
      </c>
      <c r="AK25" s="9">
        <f>G25*$AK$11</f>
        <v/>
      </c>
      <c r="AL25" s="30">
        <f>H25*$AK$11</f>
        <v/>
      </c>
      <c r="AM25" s="30">
        <f>I25*$AK$11</f>
        <v/>
      </c>
      <c r="AN25" s="30">
        <f>J25*$AK$11</f>
        <v/>
      </c>
      <c r="AP25" s="15">
        <f>F25*$AQ$11</f>
        <v/>
      </c>
      <c r="AQ25" s="9">
        <f>G25*$AQ$11</f>
        <v/>
      </c>
      <c r="AR25" s="30">
        <f>H25*$AQ$11</f>
        <v/>
      </c>
      <c r="AS25" s="30">
        <f>I25*$AQ$11</f>
        <v/>
      </c>
      <c r="AT25" s="30">
        <f>J25*$AQ$11</f>
        <v/>
      </c>
      <c r="AV25" s="15">
        <f>F25*$AW$11</f>
        <v/>
      </c>
      <c r="AW25" s="9">
        <f>G25*$AW$11</f>
        <v/>
      </c>
      <c r="AX25" s="30">
        <f>H25*$AW$11</f>
        <v/>
      </c>
      <c r="AY25" s="30">
        <f>I25*$AW$11</f>
        <v/>
      </c>
      <c r="AZ25" s="30">
        <f>J25*$AW$11</f>
        <v/>
      </c>
    </row>
    <row r="26">
      <c r="A26" s="37" t="n">
        <v>45992</v>
      </c>
      <c r="B26" s="38">
        <f>YEAR(A26)</f>
        <v/>
      </c>
      <c r="C26" s="38">
        <f>MONTH(A26)</f>
        <v/>
      </c>
      <c r="D26" s="39">
        <f>IF(A26&lt;=LastActual,"Actual","Forecast")</f>
        <v/>
      </c>
      <c r="E26" s="40">
        <f>'NSW-1'!E26</f>
        <v/>
      </c>
      <c r="F26" s="41">
        <f>IF($D26="Actual",S26,Cases_Forecast!AR19)</f>
        <v/>
      </c>
      <c r="G26" s="42">
        <f>IF($D26="Actual",T26,IFERROR(F26/K26,0))</f>
        <v/>
      </c>
      <c r="H26" s="40">
        <f>IF($D26="Actual",U26,G26*L26)</f>
        <v/>
      </c>
      <c r="I26" s="40">
        <f>IF($D26="Actual",V26,J26-H26)</f>
        <v/>
      </c>
      <c r="J26" s="40">
        <f>IF($D26="Actual",U26+V26,IFERROR(H26/(1-AD26),0))</f>
        <v/>
      </c>
      <c r="K26" s="43">
        <f>IF($D26="Actual",IFERROR(S26/T26,0),CPLH_Forecast!AR19)</f>
        <v/>
      </c>
      <c r="L26" s="44">
        <f>IF($D26="Actual",IFERROR(U26/T26,0),N(AE26))</f>
        <v/>
      </c>
      <c r="M26" s="45">
        <f>IFERROR(J26/F26,0)</f>
        <v/>
      </c>
      <c r="N26" s="46">
        <f>IFERROR(J26/E26,0)</f>
        <v/>
      </c>
      <c r="O26" s="46">
        <f>IFERROR(I26/J26,0)</f>
        <v/>
      </c>
      <c r="R26" s="52">
        <f>IF($D26="Actual",E26,"")</f>
        <v/>
      </c>
      <c r="S26" s="52">
        <f>IF($D26="Actual",SUMIFS(Data_Actuals!$D$2:$D$5000,Data_Actuals!$A$2:$A$5000,$A26,Data_Actuals!$B$2:$B$5000,$B$2),"")</f>
        <v/>
      </c>
      <c r="T26" s="52">
        <f>IF($D26="Actual",SUMIFS(Data_Actuals!$E$2:$E$5000,Data_Actuals!$A$2:$A$5000,$A26,Data_Actuals!$B$2:$B$5000,$B$2),"")</f>
        <v/>
      </c>
      <c r="U26" s="52">
        <f>IF($D26="Actual",SUMIFS(Data_Actuals!$F$2:$F$5000,Data_Actuals!$A$2:$A$5000,$A26,Data_Actuals!$B$2:$B$5000,$B$2),"")</f>
        <v/>
      </c>
      <c r="V26" s="52">
        <f>IF($D26="Actual",SUMIFS(Data_Actuals!$G$2:$G$5000,Data_Actuals!$A$2:$A$5000,$A26,Data_Actuals!$B$2:$B$5000,$B$2),"")</f>
        <v/>
      </c>
      <c r="W26" s="52">
        <f>SUMIFS(Plan_Inputs!$C$2:$C$5000,Plan_Inputs!$A$2:$A$5000,$A26,Plan_Inputs!$B$2:$B$5000,$B$2)</f>
        <v/>
      </c>
      <c r="X26" s="53">
        <f>IF($D26="Actual",IFERROR(S26/T26,""),"")</f>
        <v/>
      </c>
      <c r="Y26" s="52">
        <f>'NSW-1'!E26+'NSW-2'!E26</f>
        <v/>
      </c>
      <c r="Z26" s="54">
        <f>INDEX(Calendar!$H$5:$L$52,MATCH($A26,Calendar!$A$5:$A$52,0),MATCH($D$2,Calendar!$H$4:$L$4,0))</f>
        <v/>
      </c>
      <c r="AA26" s="54">
        <f>INDEX(Calendar!$M$5:$M$52,MATCH($A26,Calendar!$A$5:$A$52,0))</f>
        <v/>
      </c>
      <c r="AB26" s="55">
        <f>IF($D26="Actual",IFERROR(S26/Y26,""),"")</f>
        <v/>
      </c>
      <c r="AC26" s="56">
        <f>IF($D26="Actual",IFERROR(U26/T26/Z26/AA26,""),"")</f>
        <v/>
      </c>
      <c r="AD26" s="57">
        <f>IF($D26="Actual",IFERROR(V26/(U26+V26),""),$K$2)</f>
        <v/>
      </c>
      <c r="AE26" s="56">
        <f>IFERROR(AC26*Z26*AA26,"")</f>
        <v/>
      </c>
      <c r="AF26" s="53" t="n"/>
      <c r="AG26" s="57">
        <f>IF($D26="Forecast",IFERROR(K26/AF26-1,""),"")</f>
        <v/>
      </c>
      <c r="AH26" s="53">
        <f>IF(CPLHSource="National breakdown",CPLH_Breakdown!AS31,SUMIFS(Plan_Inputs!$D$2:$D$5000,Plan_Inputs!$A$2:$A$5000,$A26,Plan_Inputs!$B$2:$B$5000,$B$2))</f>
        <v/>
      </c>
      <c r="AJ26" s="41">
        <f>F26*$AK$11</f>
        <v/>
      </c>
      <c r="AK26" s="42">
        <f>G26*$AK$11</f>
        <v/>
      </c>
      <c r="AL26" s="40">
        <f>H26*$AK$11</f>
        <v/>
      </c>
      <c r="AM26" s="40">
        <f>I26*$AK$11</f>
        <v/>
      </c>
      <c r="AN26" s="40">
        <f>J26*$AK$11</f>
        <v/>
      </c>
      <c r="AP26" s="41">
        <f>F26*$AQ$11</f>
        <v/>
      </c>
      <c r="AQ26" s="42">
        <f>G26*$AQ$11</f>
        <v/>
      </c>
      <c r="AR26" s="40">
        <f>H26*$AQ$11</f>
        <v/>
      </c>
      <c r="AS26" s="40">
        <f>I26*$AQ$11</f>
        <v/>
      </c>
      <c r="AT26" s="40">
        <f>J26*$AQ$11</f>
        <v/>
      </c>
      <c r="AV26" s="41">
        <f>F26*$AW$11</f>
        <v/>
      </c>
      <c r="AW26" s="42">
        <f>G26*$AW$11</f>
        <v/>
      </c>
      <c r="AX26" s="40">
        <f>H26*$AW$11</f>
        <v/>
      </c>
      <c r="AY26" s="40">
        <f>I26*$AW$11</f>
        <v/>
      </c>
      <c r="AZ26" s="40">
        <f>J26*$AW$11</f>
        <v/>
      </c>
    </row>
    <row r="27">
      <c r="A27" s="8" t="n">
        <v>46023</v>
      </c>
      <c r="B27" s="33">
        <f>YEAR(A27)</f>
        <v/>
      </c>
      <c r="C27" s="33">
        <f>MONTH(A27)</f>
        <v/>
      </c>
      <c r="D27">
        <f>IF(A27&lt;=LastActual,"Actual","Forecast")</f>
        <v/>
      </c>
      <c r="E27" s="30">
        <f>'NSW-1'!E27</f>
        <v/>
      </c>
      <c r="F27" s="15">
        <f>IF($D27="Actual",S27,Cases_Forecast!AR20)</f>
        <v/>
      </c>
      <c r="G27" s="9">
        <f>IF($D27="Actual",T27,IFERROR(F27/K27,0))</f>
        <v/>
      </c>
      <c r="H27" s="30">
        <f>IF($D27="Actual",U27,G27*L27)</f>
        <v/>
      </c>
      <c r="I27" s="30">
        <f>IF($D27="Actual",V27,J27-H27)</f>
        <v/>
      </c>
      <c r="J27" s="30">
        <f>IF($D27="Actual",U27+V27,IFERROR(H27/(1-AD27),0))</f>
        <v/>
      </c>
      <c r="K27" s="10">
        <f>IF($D27="Actual",IFERROR(S27/T27,0),CPLH_Forecast!AR20)</f>
        <v/>
      </c>
      <c r="L27" s="34">
        <f>IF($D27="Actual",IFERROR(U27/T27,0),N(AE27))</f>
        <v/>
      </c>
      <c r="M27" s="35">
        <f>IFERROR(J27/F27,0)</f>
        <v/>
      </c>
      <c r="N27" s="36">
        <f>IFERROR(J27/E27,0)</f>
        <v/>
      </c>
      <c r="O27" s="36">
        <f>IFERROR(I27/J27,0)</f>
        <v/>
      </c>
      <c r="R27" s="52">
        <f>IF($D27="Actual",E27,"")</f>
        <v/>
      </c>
      <c r="S27" s="52">
        <f>IF($D27="Actual",SUMIFS(Data_Actuals!$D$2:$D$5000,Data_Actuals!$A$2:$A$5000,$A27,Data_Actuals!$B$2:$B$5000,$B$2),"")</f>
        <v/>
      </c>
      <c r="T27" s="52">
        <f>IF($D27="Actual",SUMIFS(Data_Actuals!$E$2:$E$5000,Data_Actuals!$A$2:$A$5000,$A27,Data_Actuals!$B$2:$B$5000,$B$2),"")</f>
        <v/>
      </c>
      <c r="U27" s="52">
        <f>IF($D27="Actual",SUMIFS(Data_Actuals!$F$2:$F$5000,Data_Actuals!$A$2:$A$5000,$A27,Data_Actuals!$B$2:$B$5000,$B$2),"")</f>
        <v/>
      </c>
      <c r="V27" s="52">
        <f>IF($D27="Actual",SUMIFS(Data_Actuals!$G$2:$G$5000,Data_Actuals!$A$2:$A$5000,$A27,Data_Actuals!$B$2:$B$5000,$B$2),"")</f>
        <v/>
      </c>
      <c r="W27" s="52">
        <f>SUMIFS(Plan_Inputs!$C$2:$C$5000,Plan_Inputs!$A$2:$A$5000,$A27,Plan_Inputs!$B$2:$B$5000,$B$2)</f>
        <v/>
      </c>
      <c r="X27" s="53">
        <f>IF($D27="Actual",IFERROR(S27/T27,""),X15)</f>
        <v/>
      </c>
      <c r="Y27" s="52">
        <f>'NSW-1'!E27+'NSW-2'!E27</f>
        <v/>
      </c>
      <c r="Z27" s="54">
        <f>INDEX(Calendar!$H$5:$L$52,MATCH($A27,Calendar!$A$5:$A$52,0),MATCH($D$2,Calendar!$H$4:$L$4,0))</f>
        <v/>
      </c>
      <c r="AA27" s="54">
        <f>INDEX(Calendar!$M$5:$M$52,MATCH($A27,Calendar!$A$5:$A$52,0))</f>
        <v/>
      </c>
      <c r="AB27" s="55">
        <f>IF($D27="Actual",IFERROR(S27/Y27,""),AB15)</f>
        <v/>
      </c>
      <c r="AC27" s="56">
        <f>IF($D27="Actual",IFERROR(U27/T27/Z27/AA27,""),AC15)</f>
        <v/>
      </c>
      <c r="AD27" s="57">
        <f>IF($D27="Actual",IFERROR(V27/(U27+V27),""),$K$2)</f>
        <v/>
      </c>
      <c r="AE27" s="56">
        <f>IFERROR(AC27*Z27*AA27,"")</f>
        <v/>
      </c>
      <c r="AF27" s="53">
        <f>K15</f>
        <v/>
      </c>
      <c r="AG27" s="57">
        <f>IF($D27="Forecast",IFERROR(K27/AF27-1,""),"")</f>
        <v/>
      </c>
      <c r="AH27" s="53">
        <f>IF(CPLHSource="National breakdown",CPLH_Breakdown!AS32,SUMIFS(Plan_Inputs!$D$2:$D$5000,Plan_Inputs!$A$2:$A$5000,$A27,Plan_Inputs!$B$2:$B$5000,$B$2))</f>
        <v/>
      </c>
      <c r="AJ27" s="15">
        <f>F27*$AK$11</f>
        <v/>
      </c>
      <c r="AK27" s="9">
        <f>G27*$AK$11</f>
        <v/>
      </c>
      <c r="AL27" s="30">
        <f>H27*$AK$11</f>
        <v/>
      </c>
      <c r="AM27" s="30">
        <f>I27*$AK$11</f>
        <v/>
      </c>
      <c r="AN27" s="30">
        <f>J27*$AK$11</f>
        <v/>
      </c>
      <c r="AP27" s="15">
        <f>F27*$AQ$11</f>
        <v/>
      </c>
      <c r="AQ27" s="9">
        <f>G27*$AQ$11</f>
        <v/>
      </c>
      <c r="AR27" s="30">
        <f>H27*$AQ$11</f>
        <v/>
      </c>
      <c r="AS27" s="30">
        <f>I27*$AQ$11</f>
        <v/>
      </c>
      <c r="AT27" s="30">
        <f>J27*$AQ$11</f>
        <v/>
      </c>
      <c r="AV27" s="15">
        <f>F27*$AW$11</f>
        <v/>
      </c>
      <c r="AW27" s="9">
        <f>G27*$AW$11</f>
        <v/>
      </c>
      <c r="AX27" s="30">
        <f>H27*$AW$11</f>
        <v/>
      </c>
      <c r="AY27" s="30">
        <f>I27*$AW$11</f>
        <v/>
      </c>
      <c r="AZ27" s="30">
        <f>J27*$AW$11</f>
        <v/>
      </c>
    </row>
    <row r="28">
      <c r="A28" s="8" t="n">
        <v>46054</v>
      </c>
      <c r="B28" s="33">
        <f>YEAR(A28)</f>
        <v/>
      </c>
      <c r="C28" s="33">
        <f>MONTH(A28)</f>
        <v/>
      </c>
      <c r="D28">
        <f>IF(A28&lt;=LastActual,"Actual","Forecast")</f>
        <v/>
      </c>
      <c r="E28" s="30">
        <f>'NSW-1'!E28</f>
        <v/>
      </c>
      <c r="F28" s="15">
        <f>IF($D28="Actual",S28,Cases_Forecast!AR21)</f>
        <v/>
      </c>
      <c r="G28" s="9">
        <f>IF($D28="Actual",T28,IFERROR(F28/K28,0))</f>
        <v/>
      </c>
      <c r="H28" s="30">
        <f>IF($D28="Actual",U28,G28*L28)</f>
        <v/>
      </c>
      <c r="I28" s="30">
        <f>IF($D28="Actual",V28,J28-H28)</f>
        <v/>
      </c>
      <c r="J28" s="30">
        <f>IF($D28="Actual",U28+V28,IFERROR(H28/(1-AD28),0))</f>
        <v/>
      </c>
      <c r="K28" s="10">
        <f>IF($D28="Actual",IFERROR(S28/T28,0),CPLH_Forecast!AR21)</f>
        <v/>
      </c>
      <c r="L28" s="34">
        <f>IF($D28="Actual",IFERROR(U28/T28,0),N(AE28))</f>
        <v/>
      </c>
      <c r="M28" s="35">
        <f>IFERROR(J28/F28,0)</f>
        <v/>
      </c>
      <c r="N28" s="36">
        <f>IFERROR(J28/E28,0)</f>
        <v/>
      </c>
      <c r="O28" s="36">
        <f>IFERROR(I28/J28,0)</f>
        <v/>
      </c>
      <c r="R28" s="52">
        <f>IF($D28="Actual",E28,"")</f>
        <v/>
      </c>
      <c r="S28" s="52">
        <f>IF($D28="Actual",SUMIFS(Data_Actuals!$D$2:$D$5000,Data_Actuals!$A$2:$A$5000,$A28,Data_Actuals!$B$2:$B$5000,$B$2),"")</f>
        <v/>
      </c>
      <c r="T28" s="52">
        <f>IF($D28="Actual",SUMIFS(Data_Actuals!$E$2:$E$5000,Data_Actuals!$A$2:$A$5000,$A28,Data_Actuals!$B$2:$B$5000,$B$2),"")</f>
        <v/>
      </c>
      <c r="U28" s="52">
        <f>IF($D28="Actual",SUMIFS(Data_Actuals!$F$2:$F$5000,Data_Actuals!$A$2:$A$5000,$A28,Data_Actuals!$B$2:$B$5000,$B$2),"")</f>
        <v/>
      </c>
      <c r="V28" s="52">
        <f>IF($D28="Actual",SUMIFS(Data_Actuals!$G$2:$G$5000,Data_Actuals!$A$2:$A$5000,$A28,Data_Actuals!$B$2:$B$5000,$B$2),"")</f>
        <v/>
      </c>
      <c r="W28" s="52">
        <f>SUMIFS(Plan_Inputs!$C$2:$C$5000,Plan_Inputs!$A$2:$A$5000,$A28,Plan_Inputs!$B$2:$B$5000,$B$2)</f>
        <v/>
      </c>
      <c r="X28" s="53">
        <f>IF($D28="Actual",IFERROR(S28/T28,""),X16)</f>
        <v/>
      </c>
      <c r="Y28" s="52">
        <f>'NSW-1'!E28+'NSW-2'!E28</f>
        <v/>
      </c>
      <c r="Z28" s="54">
        <f>INDEX(Calendar!$H$5:$L$52,MATCH($A28,Calendar!$A$5:$A$52,0),MATCH($D$2,Calendar!$H$4:$L$4,0))</f>
        <v/>
      </c>
      <c r="AA28" s="54">
        <f>INDEX(Calendar!$M$5:$M$52,MATCH($A28,Calendar!$A$5:$A$52,0))</f>
        <v/>
      </c>
      <c r="AB28" s="55">
        <f>IF($D28="Actual",IFERROR(S28/Y28,""),AB16)</f>
        <v/>
      </c>
      <c r="AC28" s="56">
        <f>IF($D28="Actual",IFERROR(U28/T28/Z28/AA28,""),AC16)</f>
        <v/>
      </c>
      <c r="AD28" s="57">
        <f>IF($D28="Actual",IFERROR(V28/(U28+V28),""),$K$2)</f>
        <v/>
      </c>
      <c r="AE28" s="56">
        <f>IFERROR(AC28*Z28*AA28,"")</f>
        <v/>
      </c>
      <c r="AF28" s="53">
        <f>K16</f>
        <v/>
      </c>
      <c r="AG28" s="57">
        <f>IF($D28="Forecast",IFERROR(K28/AF28-1,""),"")</f>
        <v/>
      </c>
      <c r="AH28" s="53">
        <f>IF(CPLHSource="National breakdown",CPLH_Breakdown!AS33,SUMIFS(Plan_Inputs!$D$2:$D$5000,Plan_Inputs!$A$2:$A$5000,$A28,Plan_Inputs!$B$2:$B$5000,$B$2))</f>
        <v/>
      </c>
      <c r="AJ28" s="15">
        <f>F28*$AK$11</f>
        <v/>
      </c>
      <c r="AK28" s="9">
        <f>G28*$AK$11</f>
        <v/>
      </c>
      <c r="AL28" s="30">
        <f>H28*$AK$11</f>
        <v/>
      </c>
      <c r="AM28" s="30">
        <f>I28*$AK$11</f>
        <v/>
      </c>
      <c r="AN28" s="30">
        <f>J28*$AK$11</f>
        <v/>
      </c>
      <c r="AP28" s="15">
        <f>F28*$AQ$11</f>
        <v/>
      </c>
      <c r="AQ28" s="9">
        <f>G28*$AQ$11</f>
        <v/>
      </c>
      <c r="AR28" s="30">
        <f>H28*$AQ$11</f>
        <v/>
      </c>
      <c r="AS28" s="30">
        <f>I28*$AQ$11</f>
        <v/>
      </c>
      <c r="AT28" s="30">
        <f>J28*$AQ$11</f>
        <v/>
      </c>
      <c r="AV28" s="15">
        <f>F28*$AW$11</f>
        <v/>
      </c>
      <c r="AW28" s="9">
        <f>G28*$AW$11</f>
        <v/>
      </c>
      <c r="AX28" s="30">
        <f>H28*$AW$11</f>
        <v/>
      </c>
      <c r="AY28" s="30">
        <f>I28*$AW$11</f>
        <v/>
      </c>
      <c r="AZ28" s="30">
        <f>J28*$AW$11</f>
        <v/>
      </c>
    </row>
    <row r="29">
      <c r="A29" s="8" t="n">
        <v>46082</v>
      </c>
      <c r="B29" s="33">
        <f>YEAR(A29)</f>
        <v/>
      </c>
      <c r="C29" s="33">
        <f>MONTH(A29)</f>
        <v/>
      </c>
      <c r="D29">
        <f>IF(A29&lt;=LastActual,"Actual","Forecast")</f>
        <v/>
      </c>
      <c r="E29" s="30">
        <f>'NSW-1'!E29</f>
        <v/>
      </c>
      <c r="F29" s="15">
        <f>IF($D29="Actual",S29,Cases_Forecast!AR22)</f>
        <v/>
      </c>
      <c r="G29" s="9">
        <f>IF($D29="Actual",T29,IFERROR(F29/K29,0))</f>
        <v/>
      </c>
      <c r="H29" s="30">
        <f>IF($D29="Actual",U29,G29*L29)</f>
        <v/>
      </c>
      <c r="I29" s="30">
        <f>IF($D29="Actual",V29,J29-H29)</f>
        <v/>
      </c>
      <c r="J29" s="30">
        <f>IF($D29="Actual",U29+V29,IFERROR(H29/(1-AD29),0))</f>
        <v/>
      </c>
      <c r="K29" s="10">
        <f>IF($D29="Actual",IFERROR(S29/T29,0),CPLH_Forecast!AR22)</f>
        <v/>
      </c>
      <c r="L29" s="34">
        <f>IF($D29="Actual",IFERROR(U29/T29,0),N(AE29))</f>
        <v/>
      </c>
      <c r="M29" s="35">
        <f>IFERROR(J29/F29,0)</f>
        <v/>
      </c>
      <c r="N29" s="36">
        <f>IFERROR(J29/E29,0)</f>
        <v/>
      </c>
      <c r="O29" s="36">
        <f>IFERROR(I29/J29,0)</f>
        <v/>
      </c>
      <c r="R29" s="52">
        <f>IF($D29="Actual",E29,"")</f>
        <v/>
      </c>
      <c r="S29" s="52">
        <f>IF($D29="Actual",SUMIFS(Data_Actuals!$D$2:$D$5000,Data_Actuals!$A$2:$A$5000,$A29,Data_Actuals!$B$2:$B$5000,$B$2),"")</f>
        <v/>
      </c>
      <c r="T29" s="52">
        <f>IF($D29="Actual",SUMIFS(Data_Actuals!$E$2:$E$5000,Data_Actuals!$A$2:$A$5000,$A29,Data_Actuals!$B$2:$B$5000,$B$2),"")</f>
        <v/>
      </c>
      <c r="U29" s="52">
        <f>IF($D29="Actual",SUMIFS(Data_Actuals!$F$2:$F$5000,Data_Actuals!$A$2:$A$5000,$A29,Data_Actuals!$B$2:$B$5000,$B$2),"")</f>
        <v/>
      </c>
      <c r="V29" s="52">
        <f>IF($D29="Actual",SUMIFS(Data_Actuals!$G$2:$G$5000,Data_Actuals!$A$2:$A$5000,$A29,Data_Actuals!$B$2:$B$5000,$B$2),"")</f>
        <v/>
      </c>
      <c r="W29" s="52">
        <f>SUMIFS(Plan_Inputs!$C$2:$C$5000,Plan_Inputs!$A$2:$A$5000,$A29,Plan_Inputs!$B$2:$B$5000,$B$2)</f>
        <v/>
      </c>
      <c r="X29" s="53">
        <f>IF($D29="Actual",IFERROR(S29/T29,""),X17)</f>
        <v/>
      </c>
      <c r="Y29" s="52">
        <f>'NSW-1'!E29+'NSW-2'!E29</f>
        <v/>
      </c>
      <c r="Z29" s="54">
        <f>INDEX(Calendar!$H$5:$L$52,MATCH($A29,Calendar!$A$5:$A$52,0),MATCH($D$2,Calendar!$H$4:$L$4,0))</f>
        <v/>
      </c>
      <c r="AA29" s="54">
        <f>INDEX(Calendar!$M$5:$M$52,MATCH($A29,Calendar!$A$5:$A$52,0))</f>
        <v/>
      </c>
      <c r="AB29" s="55">
        <f>IF($D29="Actual",IFERROR(S29/Y29,""),AB17)</f>
        <v/>
      </c>
      <c r="AC29" s="56">
        <f>IF($D29="Actual",IFERROR(U29/T29/Z29/AA29,""),AC17)</f>
        <v/>
      </c>
      <c r="AD29" s="57">
        <f>IF($D29="Actual",IFERROR(V29/(U29+V29),""),$K$2)</f>
        <v/>
      </c>
      <c r="AE29" s="56">
        <f>IFERROR(AC29*Z29*AA29,"")</f>
        <v/>
      </c>
      <c r="AF29" s="53">
        <f>K17</f>
        <v/>
      </c>
      <c r="AG29" s="57">
        <f>IF($D29="Forecast",IFERROR(K29/AF29-1,""),"")</f>
        <v/>
      </c>
      <c r="AH29" s="53">
        <f>IF(CPLHSource="National breakdown",CPLH_Breakdown!AS34,SUMIFS(Plan_Inputs!$D$2:$D$5000,Plan_Inputs!$A$2:$A$5000,$A29,Plan_Inputs!$B$2:$B$5000,$B$2))</f>
        <v/>
      </c>
      <c r="AJ29" s="15">
        <f>F29*$AK$11</f>
        <v/>
      </c>
      <c r="AK29" s="9">
        <f>G29*$AK$11</f>
        <v/>
      </c>
      <c r="AL29" s="30">
        <f>H29*$AK$11</f>
        <v/>
      </c>
      <c r="AM29" s="30">
        <f>I29*$AK$11</f>
        <v/>
      </c>
      <c r="AN29" s="30">
        <f>J29*$AK$11</f>
        <v/>
      </c>
      <c r="AP29" s="15">
        <f>F29*$AQ$11</f>
        <v/>
      </c>
      <c r="AQ29" s="9">
        <f>G29*$AQ$11</f>
        <v/>
      </c>
      <c r="AR29" s="30">
        <f>H29*$AQ$11</f>
        <v/>
      </c>
      <c r="AS29" s="30">
        <f>I29*$AQ$11</f>
        <v/>
      </c>
      <c r="AT29" s="30">
        <f>J29*$AQ$11</f>
        <v/>
      </c>
      <c r="AV29" s="15">
        <f>F29*$AW$11</f>
        <v/>
      </c>
      <c r="AW29" s="9">
        <f>G29*$AW$11</f>
        <v/>
      </c>
      <c r="AX29" s="30">
        <f>H29*$AW$11</f>
        <v/>
      </c>
      <c r="AY29" s="30">
        <f>I29*$AW$11</f>
        <v/>
      </c>
      <c r="AZ29" s="30">
        <f>J29*$AW$11</f>
        <v/>
      </c>
    </row>
    <row r="30">
      <c r="A30" s="8" t="n">
        <v>46113</v>
      </c>
      <c r="B30" s="33">
        <f>YEAR(A30)</f>
        <v/>
      </c>
      <c r="C30" s="33">
        <f>MONTH(A30)</f>
        <v/>
      </c>
      <c r="D30">
        <f>IF(A30&lt;=LastActual,"Actual","Forecast")</f>
        <v/>
      </c>
      <c r="E30" s="30">
        <f>'NSW-1'!E30</f>
        <v/>
      </c>
      <c r="F30" s="15">
        <f>IF($D30="Actual",S30,Cases_Forecast!AR23)</f>
        <v/>
      </c>
      <c r="G30" s="9">
        <f>IF($D30="Actual",T30,IFERROR(F30/K30,0))</f>
        <v/>
      </c>
      <c r="H30" s="30">
        <f>IF($D30="Actual",U30,G30*L30)</f>
        <v/>
      </c>
      <c r="I30" s="30">
        <f>IF($D30="Actual",V30,J30-H30)</f>
        <v/>
      </c>
      <c r="J30" s="30">
        <f>IF($D30="Actual",U30+V30,IFERROR(H30/(1-AD30),0))</f>
        <v/>
      </c>
      <c r="K30" s="10">
        <f>IF($D30="Actual",IFERROR(S30/T30,0),CPLH_Forecast!AR23)</f>
        <v/>
      </c>
      <c r="L30" s="34">
        <f>IF($D30="Actual",IFERROR(U30/T30,0),N(AE30))</f>
        <v/>
      </c>
      <c r="M30" s="35">
        <f>IFERROR(J30/F30,0)</f>
        <v/>
      </c>
      <c r="N30" s="36">
        <f>IFERROR(J30/E30,0)</f>
        <v/>
      </c>
      <c r="O30" s="36">
        <f>IFERROR(I30/J30,0)</f>
        <v/>
      </c>
      <c r="R30" s="52">
        <f>IF($D30="Actual",E30,"")</f>
        <v/>
      </c>
      <c r="S30" s="52">
        <f>IF($D30="Actual",SUMIFS(Data_Actuals!$D$2:$D$5000,Data_Actuals!$A$2:$A$5000,$A30,Data_Actuals!$B$2:$B$5000,$B$2),"")</f>
        <v/>
      </c>
      <c r="T30" s="52">
        <f>IF($D30="Actual",SUMIFS(Data_Actuals!$E$2:$E$5000,Data_Actuals!$A$2:$A$5000,$A30,Data_Actuals!$B$2:$B$5000,$B$2),"")</f>
        <v/>
      </c>
      <c r="U30" s="52">
        <f>IF($D30="Actual",SUMIFS(Data_Actuals!$F$2:$F$5000,Data_Actuals!$A$2:$A$5000,$A30,Data_Actuals!$B$2:$B$5000,$B$2),"")</f>
        <v/>
      </c>
      <c r="V30" s="52">
        <f>IF($D30="Actual",SUMIFS(Data_Actuals!$G$2:$G$5000,Data_Actuals!$A$2:$A$5000,$A30,Data_Actuals!$B$2:$B$5000,$B$2),"")</f>
        <v/>
      </c>
      <c r="W30" s="52">
        <f>SUMIFS(Plan_Inputs!$C$2:$C$5000,Plan_Inputs!$A$2:$A$5000,$A30,Plan_Inputs!$B$2:$B$5000,$B$2)</f>
        <v/>
      </c>
      <c r="X30" s="53">
        <f>IF($D30="Actual",IFERROR(S30/T30,""),X18)</f>
        <v/>
      </c>
      <c r="Y30" s="52">
        <f>'NSW-1'!E30+'NSW-2'!E30</f>
        <v/>
      </c>
      <c r="Z30" s="54">
        <f>INDEX(Calendar!$H$5:$L$52,MATCH($A30,Calendar!$A$5:$A$52,0),MATCH($D$2,Calendar!$H$4:$L$4,0))</f>
        <v/>
      </c>
      <c r="AA30" s="54">
        <f>INDEX(Calendar!$M$5:$M$52,MATCH($A30,Calendar!$A$5:$A$52,0))</f>
        <v/>
      </c>
      <c r="AB30" s="55">
        <f>IF($D30="Actual",IFERROR(S30/Y30,""),AB18)</f>
        <v/>
      </c>
      <c r="AC30" s="56">
        <f>IF($D30="Actual",IFERROR(U30/T30/Z30/AA30,""),AC18)</f>
        <v/>
      </c>
      <c r="AD30" s="57">
        <f>IF($D30="Actual",IFERROR(V30/(U30+V30),""),$K$2)</f>
        <v/>
      </c>
      <c r="AE30" s="56">
        <f>IFERROR(AC30*Z30*AA30,"")</f>
        <v/>
      </c>
      <c r="AF30" s="53">
        <f>K18</f>
        <v/>
      </c>
      <c r="AG30" s="57">
        <f>IF($D30="Forecast",IFERROR(K30/AF30-1,""),"")</f>
        <v/>
      </c>
      <c r="AH30" s="53">
        <f>IF(CPLHSource="National breakdown",CPLH_Breakdown!AS35,SUMIFS(Plan_Inputs!$D$2:$D$5000,Plan_Inputs!$A$2:$A$5000,$A30,Plan_Inputs!$B$2:$B$5000,$B$2))</f>
        <v/>
      </c>
      <c r="AJ30" s="15">
        <f>F30*$AK$11</f>
        <v/>
      </c>
      <c r="AK30" s="9">
        <f>G30*$AK$11</f>
        <v/>
      </c>
      <c r="AL30" s="30">
        <f>H30*$AK$11</f>
        <v/>
      </c>
      <c r="AM30" s="30">
        <f>I30*$AK$11</f>
        <v/>
      </c>
      <c r="AN30" s="30">
        <f>J30*$AK$11</f>
        <v/>
      </c>
      <c r="AP30" s="15">
        <f>F30*$AQ$11</f>
        <v/>
      </c>
      <c r="AQ30" s="9">
        <f>G30*$AQ$11</f>
        <v/>
      </c>
      <c r="AR30" s="30">
        <f>H30*$AQ$11</f>
        <v/>
      </c>
      <c r="AS30" s="30">
        <f>I30*$AQ$11</f>
        <v/>
      </c>
      <c r="AT30" s="30">
        <f>J30*$AQ$11</f>
        <v/>
      </c>
      <c r="AV30" s="15">
        <f>F30*$AW$11</f>
        <v/>
      </c>
      <c r="AW30" s="9">
        <f>G30*$AW$11</f>
        <v/>
      </c>
      <c r="AX30" s="30">
        <f>H30*$AW$11</f>
        <v/>
      </c>
      <c r="AY30" s="30">
        <f>I30*$AW$11</f>
        <v/>
      </c>
      <c r="AZ30" s="30">
        <f>J30*$AW$11</f>
        <v/>
      </c>
    </row>
    <row r="31">
      <c r="A31" s="8" t="n">
        <v>46143</v>
      </c>
      <c r="B31" s="33">
        <f>YEAR(A31)</f>
        <v/>
      </c>
      <c r="C31" s="33">
        <f>MONTH(A31)</f>
        <v/>
      </c>
      <c r="D31">
        <f>IF(A31&lt;=LastActual,"Actual","Forecast")</f>
        <v/>
      </c>
      <c r="E31" s="30">
        <f>'NSW-1'!E31</f>
        <v/>
      </c>
      <c r="F31" s="15">
        <f>IF($D31="Actual",S31,Cases_Forecast!AR24)</f>
        <v/>
      </c>
      <c r="G31" s="9">
        <f>IF($D31="Actual",T31,IFERROR(F31/K31,0))</f>
        <v/>
      </c>
      <c r="H31" s="30">
        <f>IF($D31="Actual",U31,G31*L31)</f>
        <v/>
      </c>
      <c r="I31" s="30">
        <f>IF($D31="Actual",V31,J31-H31)</f>
        <v/>
      </c>
      <c r="J31" s="30">
        <f>IF($D31="Actual",U31+V31,IFERROR(H31/(1-AD31),0))</f>
        <v/>
      </c>
      <c r="K31" s="10">
        <f>IF($D31="Actual",IFERROR(S31/T31,0),CPLH_Forecast!AR24)</f>
        <v/>
      </c>
      <c r="L31" s="34">
        <f>IF($D31="Actual",IFERROR(U31/T31,0),N(AE31))</f>
        <v/>
      </c>
      <c r="M31" s="35">
        <f>IFERROR(J31/F31,0)</f>
        <v/>
      </c>
      <c r="N31" s="36">
        <f>IFERROR(J31/E31,0)</f>
        <v/>
      </c>
      <c r="O31" s="36">
        <f>IFERROR(I31/J31,0)</f>
        <v/>
      </c>
      <c r="R31" s="52">
        <f>IF($D31="Actual",E31,"")</f>
        <v/>
      </c>
      <c r="S31" s="52">
        <f>IF($D31="Actual",SUMIFS(Data_Actuals!$D$2:$D$5000,Data_Actuals!$A$2:$A$5000,$A31,Data_Actuals!$B$2:$B$5000,$B$2),"")</f>
        <v/>
      </c>
      <c r="T31" s="52">
        <f>IF($D31="Actual",SUMIFS(Data_Actuals!$E$2:$E$5000,Data_Actuals!$A$2:$A$5000,$A31,Data_Actuals!$B$2:$B$5000,$B$2),"")</f>
        <v/>
      </c>
      <c r="U31" s="52">
        <f>IF($D31="Actual",SUMIFS(Data_Actuals!$F$2:$F$5000,Data_Actuals!$A$2:$A$5000,$A31,Data_Actuals!$B$2:$B$5000,$B$2),"")</f>
        <v/>
      </c>
      <c r="V31" s="52">
        <f>IF($D31="Actual",SUMIFS(Data_Actuals!$G$2:$G$5000,Data_Actuals!$A$2:$A$5000,$A31,Data_Actuals!$B$2:$B$5000,$B$2),"")</f>
        <v/>
      </c>
      <c r="W31" s="52">
        <f>SUMIFS(Plan_Inputs!$C$2:$C$5000,Plan_Inputs!$A$2:$A$5000,$A31,Plan_Inputs!$B$2:$B$5000,$B$2)</f>
        <v/>
      </c>
      <c r="X31" s="53">
        <f>IF($D31="Actual",IFERROR(S31/T31,""),X19)</f>
        <v/>
      </c>
      <c r="Y31" s="52">
        <f>'NSW-1'!E31+'NSW-2'!E31</f>
        <v/>
      </c>
      <c r="Z31" s="54">
        <f>INDEX(Calendar!$H$5:$L$52,MATCH($A31,Calendar!$A$5:$A$52,0),MATCH($D$2,Calendar!$H$4:$L$4,0))</f>
        <v/>
      </c>
      <c r="AA31" s="54">
        <f>INDEX(Calendar!$M$5:$M$52,MATCH($A31,Calendar!$A$5:$A$52,0))</f>
        <v/>
      </c>
      <c r="AB31" s="55">
        <f>IF($D31="Actual",IFERROR(S31/Y31,""),AB19)</f>
        <v/>
      </c>
      <c r="AC31" s="56">
        <f>IF($D31="Actual",IFERROR(U31/T31/Z31/AA31,""),AC19)</f>
        <v/>
      </c>
      <c r="AD31" s="57">
        <f>IF($D31="Actual",IFERROR(V31/(U31+V31),""),$K$2)</f>
        <v/>
      </c>
      <c r="AE31" s="56">
        <f>IFERROR(AC31*Z31*AA31,"")</f>
        <v/>
      </c>
      <c r="AF31" s="53">
        <f>K19</f>
        <v/>
      </c>
      <c r="AG31" s="57">
        <f>IF($D31="Forecast",IFERROR(K31/AF31-1,""),"")</f>
        <v/>
      </c>
      <c r="AH31" s="53">
        <f>IF(CPLHSource="National breakdown",CPLH_Breakdown!AS36,SUMIFS(Plan_Inputs!$D$2:$D$5000,Plan_Inputs!$A$2:$A$5000,$A31,Plan_Inputs!$B$2:$B$5000,$B$2))</f>
        <v/>
      </c>
      <c r="AJ31" s="15">
        <f>F31*$AK$11</f>
        <v/>
      </c>
      <c r="AK31" s="9">
        <f>G31*$AK$11</f>
        <v/>
      </c>
      <c r="AL31" s="30">
        <f>H31*$AK$11</f>
        <v/>
      </c>
      <c r="AM31" s="30">
        <f>I31*$AK$11</f>
        <v/>
      </c>
      <c r="AN31" s="30">
        <f>J31*$AK$11</f>
        <v/>
      </c>
      <c r="AP31" s="15">
        <f>F31*$AQ$11</f>
        <v/>
      </c>
      <c r="AQ31" s="9">
        <f>G31*$AQ$11</f>
        <v/>
      </c>
      <c r="AR31" s="30">
        <f>H31*$AQ$11</f>
        <v/>
      </c>
      <c r="AS31" s="30">
        <f>I31*$AQ$11</f>
        <v/>
      </c>
      <c r="AT31" s="30">
        <f>J31*$AQ$11</f>
        <v/>
      </c>
      <c r="AV31" s="15">
        <f>F31*$AW$11</f>
        <v/>
      </c>
      <c r="AW31" s="9">
        <f>G31*$AW$11</f>
        <v/>
      </c>
      <c r="AX31" s="30">
        <f>H31*$AW$11</f>
        <v/>
      </c>
      <c r="AY31" s="30">
        <f>I31*$AW$11</f>
        <v/>
      </c>
      <c r="AZ31" s="30">
        <f>J31*$AW$11</f>
        <v/>
      </c>
    </row>
    <row r="32">
      <c r="A32" s="8" t="n">
        <v>46174</v>
      </c>
      <c r="B32" s="33">
        <f>YEAR(A32)</f>
        <v/>
      </c>
      <c r="C32" s="33">
        <f>MONTH(A32)</f>
        <v/>
      </c>
      <c r="D32">
        <f>IF(A32&lt;=LastActual,"Actual","Forecast")</f>
        <v/>
      </c>
      <c r="E32" s="30">
        <f>'NSW-1'!E32</f>
        <v/>
      </c>
      <c r="F32" s="15">
        <f>IF($D32="Actual",S32,Cases_Forecast!AR25)</f>
        <v/>
      </c>
      <c r="G32" s="9">
        <f>IF($D32="Actual",T32,IFERROR(F32/K32,0))</f>
        <v/>
      </c>
      <c r="H32" s="30">
        <f>IF($D32="Actual",U32,G32*L32)</f>
        <v/>
      </c>
      <c r="I32" s="30">
        <f>IF($D32="Actual",V32,J32-H32)</f>
        <v/>
      </c>
      <c r="J32" s="30">
        <f>IF($D32="Actual",U32+V32,IFERROR(H32/(1-AD32),0))</f>
        <v/>
      </c>
      <c r="K32" s="10">
        <f>IF($D32="Actual",IFERROR(S32/T32,0),CPLH_Forecast!AR25)</f>
        <v/>
      </c>
      <c r="L32" s="34">
        <f>IF($D32="Actual",IFERROR(U32/T32,0),N(AE32))</f>
        <v/>
      </c>
      <c r="M32" s="35">
        <f>IFERROR(J32/F32,0)</f>
        <v/>
      </c>
      <c r="N32" s="36">
        <f>IFERROR(J32/E32,0)</f>
        <v/>
      </c>
      <c r="O32" s="36">
        <f>IFERROR(I32/J32,0)</f>
        <v/>
      </c>
      <c r="R32" s="52">
        <f>IF($D32="Actual",E32,"")</f>
        <v/>
      </c>
      <c r="S32" s="52">
        <f>IF($D32="Actual",SUMIFS(Data_Actuals!$D$2:$D$5000,Data_Actuals!$A$2:$A$5000,$A32,Data_Actuals!$B$2:$B$5000,$B$2),"")</f>
        <v/>
      </c>
      <c r="T32" s="52">
        <f>IF($D32="Actual",SUMIFS(Data_Actuals!$E$2:$E$5000,Data_Actuals!$A$2:$A$5000,$A32,Data_Actuals!$B$2:$B$5000,$B$2),"")</f>
        <v/>
      </c>
      <c r="U32" s="52">
        <f>IF($D32="Actual",SUMIFS(Data_Actuals!$F$2:$F$5000,Data_Actuals!$A$2:$A$5000,$A32,Data_Actuals!$B$2:$B$5000,$B$2),"")</f>
        <v/>
      </c>
      <c r="V32" s="52">
        <f>IF($D32="Actual",SUMIFS(Data_Actuals!$G$2:$G$5000,Data_Actuals!$A$2:$A$5000,$A32,Data_Actuals!$B$2:$B$5000,$B$2),"")</f>
        <v/>
      </c>
      <c r="W32" s="52">
        <f>SUMIFS(Plan_Inputs!$C$2:$C$5000,Plan_Inputs!$A$2:$A$5000,$A32,Plan_Inputs!$B$2:$B$5000,$B$2)</f>
        <v/>
      </c>
      <c r="X32" s="53">
        <f>IF($D32="Actual",IFERROR(S32/T32,""),X20)</f>
        <v/>
      </c>
      <c r="Y32" s="52">
        <f>'NSW-1'!E32+'NSW-2'!E32</f>
        <v/>
      </c>
      <c r="Z32" s="54">
        <f>INDEX(Calendar!$H$5:$L$52,MATCH($A32,Calendar!$A$5:$A$52,0),MATCH($D$2,Calendar!$H$4:$L$4,0))</f>
        <v/>
      </c>
      <c r="AA32" s="54">
        <f>INDEX(Calendar!$M$5:$M$52,MATCH($A32,Calendar!$A$5:$A$52,0))</f>
        <v/>
      </c>
      <c r="AB32" s="55">
        <f>IF($D32="Actual",IFERROR(S32/Y32,""),AB20)</f>
        <v/>
      </c>
      <c r="AC32" s="56">
        <f>IF($D32="Actual",IFERROR(U32/T32/Z32/AA32,""),AC20)</f>
        <v/>
      </c>
      <c r="AD32" s="57">
        <f>IF($D32="Actual",IFERROR(V32/(U32+V32),""),$K$2)</f>
        <v/>
      </c>
      <c r="AE32" s="56">
        <f>IFERROR(AC32*Z32*AA32,"")</f>
        <v/>
      </c>
      <c r="AF32" s="53">
        <f>K20</f>
        <v/>
      </c>
      <c r="AG32" s="57">
        <f>IF($D32="Forecast",IFERROR(K32/AF32-1,""),"")</f>
        <v/>
      </c>
      <c r="AH32" s="53">
        <f>IF(CPLHSource="National breakdown",CPLH_Breakdown!AS37,SUMIFS(Plan_Inputs!$D$2:$D$5000,Plan_Inputs!$A$2:$A$5000,$A32,Plan_Inputs!$B$2:$B$5000,$B$2))</f>
        <v/>
      </c>
      <c r="AJ32" s="15">
        <f>F32*$AK$11</f>
        <v/>
      </c>
      <c r="AK32" s="9">
        <f>G32*$AK$11</f>
        <v/>
      </c>
      <c r="AL32" s="30">
        <f>H32*$AK$11</f>
        <v/>
      </c>
      <c r="AM32" s="30">
        <f>I32*$AK$11</f>
        <v/>
      </c>
      <c r="AN32" s="30">
        <f>J32*$AK$11</f>
        <v/>
      </c>
      <c r="AP32" s="15">
        <f>F32*$AQ$11</f>
        <v/>
      </c>
      <c r="AQ32" s="9">
        <f>G32*$AQ$11</f>
        <v/>
      </c>
      <c r="AR32" s="30">
        <f>H32*$AQ$11</f>
        <v/>
      </c>
      <c r="AS32" s="30">
        <f>I32*$AQ$11</f>
        <v/>
      </c>
      <c r="AT32" s="30">
        <f>J32*$AQ$11</f>
        <v/>
      </c>
      <c r="AV32" s="15">
        <f>F32*$AW$11</f>
        <v/>
      </c>
      <c r="AW32" s="9">
        <f>G32*$AW$11</f>
        <v/>
      </c>
      <c r="AX32" s="30">
        <f>H32*$AW$11</f>
        <v/>
      </c>
      <c r="AY32" s="30">
        <f>I32*$AW$11</f>
        <v/>
      </c>
      <c r="AZ32" s="30">
        <f>J32*$AW$11</f>
        <v/>
      </c>
    </row>
    <row r="33">
      <c r="A33" s="8" t="n">
        <v>46204</v>
      </c>
      <c r="B33" s="33">
        <f>YEAR(A33)</f>
        <v/>
      </c>
      <c r="C33" s="33">
        <f>MONTH(A33)</f>
        <v/>
      </c>
      <c r="D33">
        <f>IF(A33&lt;=LastActual,"Actual","Forecast")</f>
        <v/>
      </c>
      <c r="E33" s="30">
        <f>'NSW-1'!E33</f>
        <v/>
      </c>
      <c r="F33" s="15">
        <f>IF($D33="Actual",S33,Cases_Forecast!AR26)</f>
        <v/>
      </c>
      <c r="G33" s="9">
        <f>IF($D33="Actual",T33,IFERROR(F33/K33,0))</f>
        <v/>
      </c>
      <c r="H33" s="30">
        <f>IF($D33="Actual",U33,G33*L33)</f>
        <v/>
      </c>
      <c r="I33" s="30">
        <f>IF($D33="Actual",V33,J33-H33)</f>
        <v/>
      </c>
      <c r="J33" s="30">
        <f>IF($D33="Actual",U33+V33,IFERROR(H33/(1-AD33),0))</f>
        <v/>
      </c>
      <c r="K33" s="10">
        <f>IF($D33="Actual",IFERROR(S33/T33,0),CPLH_Forecast!AR26)</f>
        <v/>
      </c>
      <c r="L33" s="34">
        <f>IF($D33="Actual",IFERROR(U33/T33,0),N(AE33))</f>
        <v/>
      </c>
      <c r="M33" s="35">
        <f>IFERROR(J33/F33,0)</f>
        <v/>
      </c>
      <c r="N33" s="36">
        <f>IFERROR(J33/E33,0)</f>
        <v/>
      </c>
      <c r="O33" s="36">
        <f>IFERROR(I33/J33,0)</f>
        <v/>
      </c>
      <c r="R33" s="52">
        <f>IF($D33="Actual",E33,"")</f>
        <v/>
      </c>
      <c r="S33" s="52">
        <f>IF($D33="Actual",SUMIFS(Data_Actuals!$D$2:$D$5000,Data_Actuals!$A$2:$A$5000,$A33,Data_Actuals!$B$2:$B$5000,$B$2),"")</f>
        <v/>
      </c>
      <c r="T33" s="52">
        <f>IF($D33="Actual",SUMIFS(Data_Actuals!$E$2:$E$5000,Data_Actuals!$A$2:$A$5000,$A33,Data_Actuals!$B$2:$B$5000,$B$2),"")</f>
        <v/>
      </c>
      <c r="U33" s="52">
        <f>IF($D33="Actual",SUMIFS(Data_Actuals!$F$2:$F$5000,Data_Actuals!$A$2:$A$5000,$A33,Data_Actuals!$B$2:$B$5000,$B$2),"")</f>
        <v/>
      </c>
      <c r="V33" s="52">
        <f>IF($D33="Actual",SUMIFS(Data_Actuals!$G$2:$G$5000,Data_Actuals!$A$2:$A$5000,$A33,Data_Actuals!$B$2:$B$5000,$B$2),"")</f>
        <v/>
      </c>
      <c r="W33" s="52">
        <f>SUMIFS(Plan_Inputs!$C$2:$C$5000,Plan_Inputs!$A$2:$A$5000,$A33,Plan_Inputs!$B$2:$B$5000,$B$2)</f>
        <v/>
      </c>
      <c r="X33" s="53">
        <f>IF($D33="Actual",IFERROR(S33/T33,""),X21)</f>
        <v/>
      </c>
      <c r="Y33" s="52">
        <f>'NSW-1'!E33+'NSW-2'!E33</f>
        <v/>
      </c>
      <c r="Z33" s="54">
        <f>INDEX(Calendar!$H$5:$L$52,MATCH($A33,Calendar!$A$5:$A$52,0),MATCH($D$2,Calendar!$H$4:$L$4,0))</f>
        <v/>
      </c>
      <c r="AA33" s="54">
        <f>INDEX(Calendar!$M$5:$M$52,MATCH($A33,Calendar!$A$5:$A$52,0))</f>
        <v/>
      </c>
      <c r="AB33" s="55">
        <f>IF($D33="Actual",IFERROR(S33/Y33,""),AB21)</f>
        <v/>
      </c>
      <c r="AC33" s="56">
        <f>IF($D33="Actual",IFERROR(U33/T33/Z33/AA33,""),AC21)</f>
        <v/>
      </c>
      <c r="AD33" s="57">
        <f>IF($D33="Actual",IFERROR(V33/(U33+V33),""),$K$2)</f>
        <v/>
      </c>
      <c r="AE33" s="56">
        <f>IFERROR(AC33*Z33*AA33,"")</f>
        <v/>
      </c>
      <c r="AF33" s="53">
        <f>K21</f>
        <v/>
      </c>
      <c r="AG33" s="57">
        <f>IF($D33="Forecast",IFERROR(K33/AF33-1,""),"")</f>
        <v/>
      </c>
      <c r="AH33" s="53">
        <f>IF(CPLHSource="National breakdown",CPLH_Breakdown!AS38,SUMIFS(Plan_Inputs!$D$2:$D$5000,Plan_Inputs!$A$2:$A$5000,$A33,Plan_Inputs!$B$2:$B$5000,$B$2))</f>
        <v/>
      </c>
      <c r="AJ33" s="15">
        <f>F33*$AK$11</f>
        <v/>
      </c>
      <c r="AK33" s="9">
        <f>G33*$AK$11</f>
        <v/>
      </c>
      <c r="AL33" s="30">
        <f>H33*$AK$11</f>
        <v/>
      </c>
      <c r="AM33" s="30">
        <f>I33*$AK$11</f>
        <v/>
      </c>
      <c r="AN33" s="30">
        <f>J33*$AK$11</f>
        <v/>
      </c>
      <c r="AP33" s="15">
        <f>F33*$AQ$11</f>
        <v/>
      </c>
      <c r="AQ33" s="9">
        <f>G33*$AQ$11</f>
        <v/>
      </c>
      <c r="AR33" s="30">
        <f>H33*$AQ$11</f>
        <v/>
      </c>
      <c r="AS33" s="30">
        <f>I33*$AQ$11</f>
        <v/>
      </c>
      <c r="AT33" s="30">
        <f>J33*$AQ$11</f>
        <v/>
      </c>
      <c r="AV33" s="15">
        <f>F33*$AW$11</f>
        <v/>
      </c>
      <c r="AW33" s="9">
        <f>G33*$AW$11</f>
        <v/>
      </c>
      <c r="AX33" s="30">
        <f>H33*$AW$11</f>
        <v/>
      </c>
      <c r="AY33" s="30">
        <f>I33*$AW$11</f>
        <v/>
      </c>
      <c r="AZ33" s="30">
        <f>J33*$AW$11</f>
        <v/>
      </c>
    </row>
    <row r="34">
      <c r="A34" s="8" t="n">
        <v>46235</v>
      </c>
      <c r="B34" s="33">
        <f>YEAR(A34)</f>
        <v/>
      </c>
      <c r="C34" s="33">
        <f>MONTH(A34)</f>
        <v/>
      </c>
      <c r="D34">
        <f>IF(A34&lt;=LastActual,"Actual","Forecast")</f>
        <v/>
      </c>
      <c r="E34" s="30">
        <f>'NSW-1'!E34</f>
        <v/>
      </c>
      <c r="F34" s="15">
        <f>IF($D34="Actual",S34,Cases_Forecast!AR27)</f>
        <v/>
      </c>
      <c r="G34" s="9">
        <f>IF($D34="Actual",T34,IFERROR(F34/K34,0))</f>
        <v/>
      </c>
      <c r="H34" s="30">
        <f>IF($D34="Actual",U34,G34*L34)</f>
        <v/>
      </c>
      <c r="I34" s="30">
        <f>IF($D34="Actual",V34,J34-H34)</f>
        <v/>
      </c>
      <c r="J34" s="30">
        <f>IF($D34="Actual",U34+V34,IFERROR(H34/(1-AD34),0))</f>
        <v/>
      </c>
      <c r="K34" s="10">
        <f>IF($D34="Actual",IFERROR(S34/T34,0),CPLH_Forecast!AR27)</f>
        <v/>
      </c>
      <c r="L34" s="34">
        <f>IF($D34="Actual",IFERROR(U34/T34,0),N(AE34))</f>
        <v/>
      </c>
      <c r="M34" s="35">
        <f>IFERROR(J34/F34,0)</f>
        <v/>
      </c>
      <c r="N34" s="36">
        <f>IFERROR(J34/E34,0)</f>
        <v/>
      </c>
      <c r="O34" s="36">
        <f>IFERROR(I34/J34,0)</f>
        <v/>
      </c>
      <c r="R34" s="52">
        <f>IF($D34="Actual",E34,"")</f>
        <v/>
      </c>
      <c r="S34" s="52">
        <f>IF($D34="Actual",SUMIFS(Data_Actuals!$D$2:$D$5000,Data_Actuals!$A$2:$A$5000,$A34,Data_Actuals!$B$2:$B$5000,$B$2),"")</f>
        <v/>
      </c>
      <c r="T34" s="52">
        <f>IF($D34="Actual",SUMIFS(Data_Actuals!$E$2:$E$5000,Data_Actuals!$A$2:$A$5000,$A34,Data_Actuals!$B$2:$B$5000,$B$2),"")</f>
        <v/>
      </c>
      <c r="U34" s="52">
        <f>IF($D34="Actual",SUMIFS(Data_Actuals!$F$2:$F$5000,Data_Actuals!$A$2:$A$5000,$A34,Data_Actuals!$B$2:$B$5000,$B$2),"")</f>
        <v/>
      </c>
      <c r="V34" s="52">
        <f>IF($D34="Actual",SUMIFS(Data_Actuals!$G$2:$G$5000,Data_Actuals!$A$2:$A$5000,$A34,Data_Actuals!$B$2:$B$5000,$B$2),"")</f>
        <v/>
      </c>
      <c r="W34" s="52">
        <f>SUMIFS(Plan_Inputs!$C$2:$C$5000,Plan_Inputs!$A$2:$A$5000,$A34,Plan_Inputs!$B$2:$B$5000,$B$2)</f>
        <v/>
      </c>
      <c r="X34" s="53">
        <f>IF($D34="Actual",IFERROR(S34/T34,""),X22)</f>
        <v/>
      </c>
      <c r="Y34" s="52">
        <f>'NSW-1'!E34+'NSW-2'!E34</f>
        <v/>
      </c>
      <c r="Z34" s="54">
        <f>INDEX(Calendar!$H$5:$L$52,MATCH($A34,Calendar!$A$5:$A$52,0),MATCH($D$2,Calendar!$H$4:$L$4,0))</f>
        <v/>
      </c>
      <c r="AA34" s="54">
        <f>INDEX(Calendar!$M$5:$M$52,MATCH($A34,Calendar!$A$5:$A$52,0))</f>
        <v/>
      </c>
      <c r="AB34" s="55">
        <f>IF($D34="Actual",IFERROR(S34/Y34,""),AB22)</f>
        <v/>
      </c>
      <c r="AC34" s="56">
        <f>IF($D34="Actual",IFERROR(U34/T34/Z34/AA34,""),AC22)</f>
        <v/>
      </c>
      <c r="AD34" s="57">
        <f>IF($D34="Actual",IFERROR(V34/(U34+V34),""),$K$2)</f>
        <v/>
      </c>
      <c r="AE34" s="56">
        <f>IFERROR(AC34*Z34*AA34,"")</f>
        <v/>
      </c>
      <c r="AF34" s="53">
        <f>K22</f>
        <v/>
      </c>
      <c r="AG34" s="57">
        <f>IF($D34="Forecast",IFERROR(K34/AF34-1,""),"")</f>
        <v/>
      </c>
      <c r="AH34" s="53">
        <f>IF(CPLHSource="National breakdown",CPLH_Breakdown!AS39,SUMIFS(Plan_Inputs!$D$2:$D$5000,Plan_Inputs!$A$2:$A$5000,$A34,Plan_Inputs!$B$2:$B$5000,$B$2))</f>
        <v/>
      </c>
      <c r="AJ34" s="15">
        <f>F34*$AK$11</f>
        <v/>
      </c>
      <c r="AK34" s="9">
        <f>G34*$AK$11</f>
        <v/>
      </c>
      <c r="AL34" s="30">
        <f>H34*$AK$11</f>
        <v/>
      </c>
      <c r="AM34" s="30">
        <f>I34*$AK$11</f>
        <v/>
      </c>
      <c r="AN34" s="30">
        <f>J34*$AK$11</f>
        <v/>
      </c>
      <c r="AP34" s="15">
        <f>F34*$AQ$11</f>
        <v/>
      </c>
      <c r="AQ34" s="9">
        <f>G34*$AQ$11</f>
        <v/>
      </c>
      <c r="AR34" s="30">
        <f>H34*$AQ$11</f>
        <v/>
      </c>
      <c r="AS34" s="30">
        <f>I34*$AQ$11</f>
        <v/>
      </c>
      <c r="AT34" s="30">
        <f>J34*$AQ$11</f>
        <v/>
      </c>
      <c r="AV34" s="15">
        <f>F34*$AW$11</f>
        <v/>
      </c>
      <c r="AW34" s="9">
        <f>G34*$AW$11</f>
        <v/>
      </c>
      <c r="AX34" s="30">
        <f>H34*$AW$11</f>
        <v/>
      </c>
      <c r="AY34" s="30">
        <f>I34*$AW$11</f>
        <v/>
      </c>
      <c r="AZ34" s="30">
        <f>J34*$AW$11</f>
        <v/>
      </c>
    </row>
    <row r="35">
      <c r="A35" s="8" t="n">
        <v>46266</v>
      </c>
      <c r="B35" s="33">
        <f>YEAR(A35)</f>
        <v/>
      </c>
      <c r="C35" s="33">
        <f>MONTH(A35)</f>
        <v/>
      </c>
      <c r="D35">
        <f>IF(A35&lt;=LastActual,"Actual","Forecast")</f>
        <v/>
      </c>
      <c r="E35" s="30">
        <f>'NSW-1'!E35</f>
        <v/>
      </c>
      <c r="F35" s="15">
        <f>IF($D35="Actual",S35,Cases_Forecast!AR28)</f>
        <v/>
      </c>
      <c r="G35" s="9">
        <f>IF($D35="Actual",T35,IFERROR(F35/K35,0))</f>
        <v/>
      </c>
      <c r="H35" s="30">
        <f>IF($D35="Actual",U35,G35*L35)</f>
        <v/>
      </c>
      <c r="I35" s="30">
        <f>IF($D35="Actual",V35,J35-H35)</f>
        <v/>
      </c>
      <c r="J35" s="30">
        <f>IF($D35="Actual",U35+V35,IFERROR(H35/(1-AD35),0))</f>
        <v/>
      </c>
      <c r="K35" s="10">
        <f>IF($D35="Actual",IFERROR(S35/T35,0),CPLH_Forecast!AR28)</f>
        <v/>
      </c>
      <c r="L35" s="34">
        <f>IF($D35="Actual",IFERROR(U35/T35,0),N(AE35))</f>
        <v/>
      </c>
      <c r="M35" s="35">
        <f>IFERROR(J35/F35,0)</f>
        <v/>
      </c>
      <c r="N35" s="36">
        <f>IFERROR(J35/E35,0)</f>
        <v/>
      </c>
      <c r="O35" s="36">
        <f>IFERROR(I35/J35,0)</f>
        <v/>
      </c>
      <c r="R35" s="52">
        <f>IF($D35="Actual",E35,"")</f>
        <v/>
      </c>
      <c r="S35" s="52">
        <f>IF($D35="Actual",SUMIFS(Data_Actuals!$D$2:$D$5000,Data_Actuals!$A$2:$A$5000,$A35,Data_Actuals!$B$2:$B$5000,$B$2),"")</f>
        <v/>
      </c>
      <c r="T35" s="52">
        <f>IF($D35="Actual",SUMIFS(Data_Actuals!$E$2:$E$5000,Data_Actuals!$A$2:$A$5000,$A35,Data_Actuals!$B$2:$B$5000,$B$2),"")</f>
        <v/>
      </c>
      <c r="U35" s="52">
        <f>IF($D35="Actual",SUMIFS(Data_Actuals!$F$2:$F$5000,Data_Actuals!$A$2:$A$5000,$A35,Data_Actuals!$B$2:$B$5000,$B$2),"")</f>
        <v/>
      </c>
      <c r="V35" s="52">
        <f>IF($D35="Actual",SUMIFS(Data_Actuals!$G$2:$G$5000,Data_Actuals!$A$2:$A$5000,$A35,Data_Actuals!$B$2:$B$5000,$B$2),"")</f>
        <v/>
      </c>
      <c r="W35" s="52">
        <f>SUMIFS(Plan_Inputs!$C$2:$C$5000,Plan_Inputs!$A$2:$A$5000,$A35,Plan_Inputs!$B$2:$B$5000,$B$2)</f>
        <v/>
      </c>
      <c r="X35" s="53">
        <f>IF($D35="Actual",IFERROR(S35/T35,""),X23)</f>
        <v/>
      </c>
      <c r="Y35" s="52">
        <f>'NSW-1'!E35+'NSW-2'!E35</f>
        <v/>
      </c>
      <c r="Z35" s="54">
        <f>INDEX(Calendar!$H$5:$L$52,MATCH($A35,Calendar!$A$5:$A$52,0),MATCH($D$2,Calendar!$H$4:$L$4,0))</f>
        <v/>
      </c>
      <c r="AA35" s="54">
        <f>INDEX(Calendar!$M$5:$M$52,MATCH($A35,Calendar!$A$5:$A$52,0))</f>
        <v/>
      </c>
      <c r="AB35" s="55">
        <f>IF($D35="Actual",IFERROR(S35/Y35,""),AB23)</f>
        <v/>
      </c>
      <c r="AC35" s="56">
        <f>IF($D35="Actual",IFERROR(U35/T35/Z35/AA35,""),AC23)</f>
        <v/>
      </c>
      <c r="AD35" s="57">
        <f>IF($D35="Actual",IFERROR(V35/(U35+V35),""),$K$2)</f>
        <v/>
      </c>
      <c r="AE35" s="56">
        <f>IFERROR(AC35*Z35*AA35,"")</f>
        <v/>
      </c>
      <c r="AF35" s="53">
        <f>K23</f>
        <v/>
      </c>
      <c r="AG35" s="57">
        <f>IF($D35="Forecast",IFERROR(K35/AF35-1,""),"")</f>
        <v/>
      </c>
      <c r="AH35" s="53">
        <f>IF(CPLHSource="National breakdown",CPLH_Breakdown!AS40,SUMIFS(Plan_Inputs!$D$2:$D$5000,Plan_Inputs!$A$2:$A$5000,$A35,Plan_Inputs!$B$2:$B$5000,$B$2))</f>
        <v/>
      </c>
      <c r="AJ35" s="15">
        <f>F35*$AK$11</f>
        <v/>
      </c>
      <c r="AK35" s="9">
        <f>G35*$AK$11</f>
        <v/>
      </c>
      <c r="AL35" s="30">
        <f>H35*$AK$11</f>
        <v/>
      </c>
      <c r="AM35" s="30">
        <f>I35*$AK$11</f>
        <v/>
      </c>
      <c r="AN35" s="30">
        <f>J35*$AK$11</f>
        <v/>
      </c>
      <c r="AP35" s="15">
        <f>F35*$AQ$11</f>
        <v/>
      </c>
      <c r="AQ35" s="9">
        <f>G35*$AQ$11</f>
        <v/>
      </c>
      <c r="AR35" s="30">
        <f>H35*$AQ$11</f>
        <v/>
      </c>
      <c r="AS35" s="30">
        <f>I35*$AQ$11</f>
        <v/>
      </c>
      <c r="AT35" s="30">
        <f>J35*$AQ$11</f>
        <v/>
      </c>
      <c r="AV35" s="15">
        <f>F35*$AW$11</f>
        <v/>
      </c>
      <c r="AW35" s="9">
        <f>G35*$AW$11</f>
        <v/>
      </c>
      <c r="AX35" s="30">
        <f>H35*$AW$11</f>
        <v/>
      </c>
      <c r="AY35" s="30">
        <f>I35*$AW$11</f>
        <v/>
      </c>
      <c r="AZ35" s="30">
        <f>J35*$AW$11</f>
        <v/>
      </c>
    </row>
    <row r="36">
      <c r="A36" s="8" t="n">
        <v>46296</v>
      </c>
      <c r="B36" s="33">
        <f>YEAR(A36)</f>
        <v/>
      </c>
      <c r="C36" s="33">
        <f>MONTH(A36)</f>
        <v/>
      </c>
      <c r="D36">
        <f>IF(A36&lt;=LastActual,"Actual","Forecast")</f>
        <v/>
      </c>
      <c r="E36" s="30">
        <f>'NSW-1'!E36</f>
        <v/>
      </c>
      <c r="F36" s="15">
        <f>IF($D36="Actual",S36,Cases_Forecast!AR29)</f>
        <v/>
      </c>
      <c r="G36" s="9">
        <f>IF($D36="Actual",T36,IFERROR(F36/K36,0))</f>
        <v/>
      </c>
      <c r="H36" s="30">
        <f>IF($D36="Actual",U36,G36*L36)</f>
        <v/>
      </c>
      <c r="I36" s="30">
        <f>IF($D36="Actual",V36,J36-H36)</f>
        <v/>
      </c>
      <c r="J36" s="30">
        <f>IF($D36="Actual",U36+V36,IFERROR(H36/(1-AD36),0))</f>
        <v/>
      </c>
      <c r="K36" s="10">
        <f>IF($D36="Actual",IFERROR(S36/T36,0),CPLH_Forecast!AR29)</f>
        <v/>
      </c>
      <c r="L36" s="34">
        <f>IF($D36="Actual",IFERROR(U36/T36,0),N(AE36))</f>
        <v/>
      </c>
      <c r="M36" s="35">
        <f>IFERROR(J36/F36,0)</f>
        <v/>
      </c>
      <c r="N36" s="36">
        <f>IFERROR(J36/E36,0)</f>
        <v/>
      </c>
      <c r="O36" s="36">
        <f>IFERROR(I36/J36,0)</f>
        <v/>
      </c>
      <c r="R36" s="52">
        <f>IF($D36="Actual",E36,"")</f>
        <v/>
      </c>
      <c r="S36" s="52">
        <f>IF($D36="Actual",SUMIFS(Data_Actuals!$D$2:$D$5000,Data_Actuals!$A$2:$A$5000,$A36,Data_Actuals!$B$2:$B$5000,$B$2),"")</f>
        <v/>
      </c>
      <c r="T36" s="52">
        <f>IF($D36="Actual",SUMIFS(Data_Actuals!$E$2:$E$5000,Data_Actuals!$A$2:$A$5000,$A36,Data_Actuals!$B$2:$B$5000,$B$2),"")</f>
        <v/>
      </c>
      <c r="U36" s="52">
        <f>IF($D36="Actual",SUMIFS(Data_Actuals!$F$2:$F$5000,Data_Actuals!$A$2:$A$5000,$A36,Data_Actuals!$B$2:$B$5000,$B$2),"")</f>
        <v/>
      </c>
      <c r="V36" s="52">
        <f>IF($D36="Actual",SUMIFS(Data_Actuals!$G$2:$G$5000,Data_Actuals!$A$2:$A$5000,$A36,Data_Actuals!$B$2:$B$5000,$B$2),"")</f>
        <v/>
      </c>
      <c r="W36" s="52">
        <f>SUMIFS(Plan_Inputs!$C$2:$C$5000,Plan_Inputs!$A$2:$A$5000,$A36,Plan_Inputs!$B$2:$B$5000,$B$2)</f>
        <v/>
      </c>
      <c r="X36" s="53">
        <f>IF($D36="Actual",IFERROR(S36/T36,""),X24)</f>
        <v/>
      </c>
      <c r="Y36" s="52">
        <f>'NSW-1'!E36+'NSW-2'!E36</f>
        <v/>
      </c>
      <c r="Z36" s="54">
        <f>INDEX(Calendar!$H$5:$L$52,MATCH($A36,Calendar!$A$5:$A$52,0),MATCH($D$2,Calendar!$H$4:$L$4,0))</f>
        <v/>
      </c>
      <c r="AA36" s="54">
        <f>INDEX(Calendar!$M$5:$M$52,MATCH($A36,Calendar!$A$5:$A$52,0))</f>
        <v/>
      </c>
      <c r="AB36" s="55">
        <f>IF($D36="Actual",IFERROR(S36/Y36,""),AB24)</f>
        <v/>
      </c>
      <c r="AC36" s="56">
        <f>IF($D36="Actual",IFERROR(U36/T36/Z36/AA36,""),AC24)</f>
        <v/>
      </c>
      <c r="AD36" s="57">
        <f>IF($D36="Actual",IFERROR(V36/(U36+V36),""),$K$2)</f>
        <v/>
      </c>
      <c r="AE36" s="56">
        <f>IFERROR(AC36*Z36*AA36,"")</f>
        <v/>
      </c>
      <c r="AF36" s="53">
        <f>K24</f>
        <v/>
      </c>
      <c r="AG36" s="57">
        <f>IF($D36="Forecast",IFERROR(K36/AF36-1,""),"")</f>
        <v/>
      </c>
      <c r="AH36" s="53">
        <f>IF(CPLHSource="National breakdown",CPLH_Breakdown!AS41,SUMIFS(Plan_Inputs!$D$2:$D$5000,Plan_Inputs!$A$2:$A$5000,$A36,Plan_Inputs!$B$2:$B$5000,$B$2))</f>
        <v/>
      </c>
      <c r="AJ36" s="15">
        <f>F36*$AK$11</f>
        <v/>
      </c>
      <c r="AK36" s="9">
        <f>G36*$AK$11</f>
        <v/>
      </c>
      <c r="AL36" s="30">
        <f>H36*$AK$11</f>
        <v/>
      </c>
      <c r="AM36" s="30">
        <f>I36*$AK$11</f>
        <v/>
      </c>
      <c r="AN36" s="30">
        <f>J36*$AK$11</f>
        <v/>
      </c>
      <c r="AP36" s="15">
        <f>F36*$AQ$11</f>
        <v/>
      </c>
      <c r="AQ36" s="9">
        <f>G36*$AQ$11</f>
        <v/>
      </c>
      <c r="AR36" s="30">
        <f>H36*$AQ$11</f>
        <v/>
      </c>
      <c r="AS36" s="30">
        <f>I36*$AQ$11</f>
        <v/>
      </c>
      <c r="AT36" s="30">
        <f>J36*$AQ$11</f>
        <v/>
      </c>
      <c r="AV36" s="15">
        <f>F36*$AW$11</f>
        <v/>
      </c>
      <c r="AW36" s="9">
        <f>G36*$AW$11</f>
        <v/>
      </c>
      <c r="AX36" s="30">
        <f>H36*$AW$11</f>
        <v/>
      </c>
      <c r="AY36" s="30">
        <f>I36*$AW$11</f>
        <v/>
      </c>
      <c r="AZ36" s="30">
        <f>J36*$AW$11</f>
        <v/>
      </c>
    </row>
    <row r="37">
      <c r="A37" s="8" t="n">
        <v>46327</v>
      </c>
      <c r="B37" s="33">
        <f>YEAR(A37)</f>
        <v/>
      </c>
      <c r="C37" s="33">
        <f>MONTH(A37)</f>
        <v/>
      </c>
      <c r="D37">
        <f>IF(A37&lt;=LastActual,"Actual","Forecast")</f>
        <v/>
      </c>
      <c r="E37" s="30">
        <f>'NSW-1'!E37</f>
        <v/>
      </c>
      <c r="F37" s="15">
        <f>IF($D37="Actual",S37,Cases_Forecast!AR30)</f>
        <v/>
      </c>
      <c r="G37" s="9">
        <f>IF($D37="Actual",T37,IFERROR(F37/K37,0))</f>
        <v/>
      </c>
      <c r="H37" s="30">
        <f>IF($D37="Actual",U37,G37*L37)</f>
        <v/>
      </c>
      <c r="I37" s="30">
        <f>IF($D37="Actual",V37,J37-H37)</f>
        <v/>
      </c>
      <c r="J37" s="30">
        <f>IF($D37="Actual",U37+V37,IFERROR(H37/(1-AD37),0))</f>
        <v/>
      </c>
      <c r="K37" s="10">
        <f>IF($D37="Actual",IFERROR(S37/T37,0),CPLH_Forecast!AR30)</f>
        <v/>
      </c>
      <c r="L37" s="34">
        <f>IF($D37="Actual",IFERROR(U37/T37,0),N(AE37))</f>
        <v/>
      </c>
      <c r="M37" s="35">
        <f>IFERROR(J37/F37,0)</f>
        <v/>
      </c>
      <c r="N37" s="36">
        <f>IFERROR(J37/E37,0)</f>
        <v/>
      </c>
      <c r="O37" s="36">
        <f>IFERROR(I37/J37,0)</f>
        <v/>
      </c>
      <c r="R37" s="52">
        <f>IF($D37="Actual",E37,"")</f>
        <v/>
      </c>
      <c r="S37" s="52">
        <f>IF($D37="Actual",SUMIFS(Data_Actuals!$D$2:$D$5000,Data_Actuals!$A$2:$A$5000,$A37,Data_Actuals!$B$2:$B$5000,$B$2),"")</f>
        <v/>
      </c>
      <c r="T37" s="52">
        <f>IF($D37="Actual",SUMIFS(Data_Actuals!$E$2:$E$5000,Data_Actuals!$A$2:$A$5000,$A37,Data_Actuals!$B$2:$B$5000,$B$2),"")</f>
        <v/>
      </c>
      <c r="U37" s="52">
        <f>IF($D37="Actual",SUMIFS(Data_Actuals!$F$2:$F$5000,Data_Actuals!$A$2:$A$5000,$A37,Data_Actuals!$B$2:$B$5000,$B$2),"")</f>
        <v/>
      </c>
      <c r="V37" s="52">
        <f>IF($D37="Actual",SUMIFS(Data_Actuals!$G$2:$G$5000,Data_Actuals!$A$2:$A$5000,$A37,Data_Actuals!$B$2:$B$5000,$B$2),"")</f>
        <v/>
      </c>
      <c r="W37" s="52">
        <f>SUMIFS(Plan_Inputs!$C$2:$C$5000,Plan_Inputs!$A$2:$A$5000,$A37,Plan_Inputs!$B$2:$B$5000,$B$2)</f>
        <v/>
      </c>
      <c r="X37" s="53">
        <f>IF($D37="Actual",IFERROR(S37/T37,""),X25)</f>
        <v/>
      </c>
      <c r="Y37" s="52">
        <f>'NSW-1'!E37+'NSW-2'!E37</f>
        <v/>
      </c>
      <c r="Z37" s="54">
        <f>INDEX(Calendar!$H$5:$L$52,MATCH($A37,Calendar!$A$5:$A$52,0),MATCH($D$2,Calendar!$H$4:$L$4,0))</f>
        <v/>
      </c>
      <c r="AA37" s="54">
        <f>INDEX(Calendar!$M$5:$M$52,MATCH($A37,Calendar!$A$5:$A$52,0))</f>
        <v/>
      </c>
      <c r="AB37" s="55">
        <f>IF($D37="Actual",IFERROR(S37/Y37,""),AB25)</f>
        <v/>
      </c>
      <c r="AC37" s="56">
        <f>IF($D37="Actual",IFERROR(U37/T37/Z37/AA37,""),AC25)</f>
        <v/>
      </c>
      <c r="AD37" s="57">
        <f>IF($D37="Actual",IFERROR(V37/(U37+V37),""),$K$2)</f>
        <v/>
      </c>
      <c r="AE37" s="56">
        <f>IFERROR(AC37*Z37*AA37,"")</f>
        <v/>
      </c>
      <c r="AF37" s="53">
        <f>K25</f>
        <v/>
      </c>
      <c r="AG37" s="57">
        <f>IF($D37="Forecast",IFERROR(K37/AF37-1,""),"")</f>
        <v/>
      </c>
      <c r="AH37" s="53">
        <f>IF(CPLHSource="National breakdown",CPLH_Breakdown!AS42,SUMIFS(Plan_Inputs!$D$2:$D$5000,Plan_Inputs!$A$2:$A$5000,$A37,Plan_Inputs!$B$2:$B$5000,$B$2))</f>
        <v/>
      </c>
      <c r="AJ37" s="15">
        <f>F37*$AK$11</f>
        <v/>
      </c>
      <c r="AK37" s="9">
        <f>G37*$AK$11</f>
        <v/>
      </c>
      <c r="AL37" s="30">
        <f>H37*$AK$11</f>
        <v/>
      </c>
      <c r="AM37" s="30">
        <f>I37*$AK$11</f>
        <v/>
      </c>
      <c r="AN37" s="30">
        <f>J37*$AK$11</f>
        <v/>
      </c>
      <c r="AP37" s="15">
        <f>F37*$AQ$11</f>
        <v/>
      </c>
      <c r="AQ37" s="9">
        <f>G37*$AQ$11</f>
        <v/>
      </c>
      <c r="AR37" s="30">
        <f>H37*$AQ$11</f>
        <v/>
      </c>
      <c r="AS37" s="30">
        <f>I37*$AQ$11</f>
        <v/>
      </c>
      <c r="AT37" s="30">
        <f>J37*$AQ$11</f>
        <v/>
      </c>
      <c r="AV37" s="15">
        <f>F37*$AW$11</f>
        <v/>
      </c>
      <c r="AW37" s="9">
        <f>G37*$AW$11</f>
        <v/>
      </c>
      <c r="AX37" s="30">
        <f>H37*$AW$11</f>
        <v/>
      </c>
      <c r="AY37" s="30">
        <f>I37*$AW$11</f>
        <v/>
      </c>
      <c r="AZ37" s="30">
        <f>J37*$AW$11</f>
        <v/>
      </c>
    </row>
    <row r="38">
      <c r="A38" s="37" t="n">
        <v>46357</v>
      </c>
      <c r="B38" s="38">
        <f>YEAR(A38)</f>
        <v/>
      </c>
      <c r="C38" s="38">
        <f>MONTH(A38)</f>
        <v/>
      </c>
      <c r="D38" s="39">
        <f>IF(A38&lt;=LastActual,"Actual","Forecast")</f>
        <v/>
      </c>
      <c r="E38" s="40">
        <f>'NSW-1'!E38</f>
        <v/>
      </c>
      <c r="F38" s="41">
        <f>IF($D38="Actual",S38,Cases_Forecast!AR31)</f>
        <v/>
      </c>
      <c r="G38" s="42">
        <f>IF($D38="Actual",T38,IFERROR(F38/K38,0))</f>
        <v/>
      </c>
      <c r="H38" s="40">
        <f>IF($D38="Actual",U38,G38*L38)</f>
        <v/>
      </c>
      <c r="I38" s="40">
        <f>IF($D38="Actual",V38,J38-H38)</f>
        <v/>
      </c>
      <c r="J38" s="40">
        <f>IF($D38="Actual",U38+V38,IFERROR(H38/(1-AD38),0))</f>
        <v/>
      </c>
      <c r="K38" s="43">
        <f>IF($D38="Actual",IFERROR(S38/T38,0),CPLH_Forecast!AR31)</f>
        <v/>
      </c>
      <c r="L38" s="44">
        <f>IF($D38="Actual",IFERROR(U38/T38,0),N(AE38))</f>
        <v/>
      </c>
      <c r="M38" s="45">
        <f>IFERROR(J38/F38,0)</f>
        <v/>
      </c>
      <c r="N38" s="46">
        <f>IFERROR(J38/E38,0)</f>
        <v/>
      </c>
      <c r="O38" s="46">
        <f>IFERROR(I38/J38,0)</f>
        <v/>
      </c>
      <c r="R38" s="52">
        <f>IF($D38="Actual",E38,"")</f>
        <v/>
      </c>
      <c r="S38" s="52">
        <f>IF($D38="Actual",SUMIFS(Data_Actuals!$D$2:$D$5000,Data_Actuals!$A$2:$A$5000,$A38,Data_Actuals!$B$2:$B$5000,$B$2),"")</f>
        <v/>
      </c>
      <c r="T38" s="52">
        <f>IF($D38="Actual",SUMIFS(Data_Actuals!$E$2:$E$5000,Data_Actuals!$A$2:$A$5000,$A38,Data_Actuals!$B$2:$B$5000,$B$2),"")</f>
        <v/>
      </c>
      <c r="U38" s="52">
        <f>IF($D38="Actual",SUMIFS(Data_Actuals!$F$2:$F$5000,Data_Actuals!$A$2:$A$5000,$A38,Data_Actuals!$B$2:$B$5000,$B$2),"")</f>
        <v/>
      </c>
      <c r="V38" s="52">
        <f>IF($D38="Actual",SUMIFS(Data_Actuals!$G$2:$G$5000,Data_Actuals!$A$2:$A$5000,$A38,Data_Actuals!$B$2:$B$5000,$B$2),"")</f>
        <v/>
      </c>
      <c r="W38" s="52">
        <f>SUMIFS(Plan_Inputs!$C$2:$C$5000,Plan_Inputs!$A$2:$A$5000,$A38,Plan_Inputs!$B$2:$B$5000,$B$2)</f>
        <v/>
      </c>
      <c r="X38" s="53">
        <f>IF($D38="Actual",IFERROR(S38/T38,""),X26)</f>
        <v/>
      </c>
      <c r="Y38" s="52">
        <f>'NSW-1'!E38+'NSW-2'!E38</f>
        <v/>
      </c>
      <c r="Z38" s="54">
        <f>INDEX(Calendar!$H$5:$L$52,MATCH($A38,Calendar!$A$5:$A$52,0),MATCH($D$2,Calendar!$H$4:$L$4,0))</f>
        <v/>
      </c>
      <c r="AA38" s="54">
        <f>INDEX(Calendar!$M$5:$M$52,MATCH($A38,Calendar!$A$5:$A$52,0))</f>
        <v/>
      </c>
      <c r="AB38" s="55">
        <f>IF($D38="Actual",IFERROR(S38/Y38,""),AB26)</f>
        <v/>
      </c>
      <c r="AC38" s="56">
        <f>IF($D38="Actual",IFERROR(U38/T38/Z38/AA38,""),AC26)</f>
        <v/>
      </c>
      <c r="AD38" s="57">
        <f>IF($D38="Actual",IFERROR(V38/(U38+V38),""),$K$2)</f>
        <v/>
      </c>
      <c r="AE38" s="56">
        <f>IFERROR(AC38*Z38*AA38,"")</f>
        <v/>
      </c>
      <c r="AF38" s="53">
        <f>K26</f>
        <v/>
      </c>
      <c r="AG38" s="57">
        <f>IF($D38="Forecast",IFERROR(K38/AF38-1,""),"")</f>
        <v/>
      </c>
      <c r="AH38" s="53">
        <f>IF(CPLHSource="National breakdown",CPLH_Breakdown!AS43,SUMIFS(Plan_Inputs!$D$2:$D$5000,Plan_Inputs!$A$2:$A$5000,$A38,Plan_Inputs!$B$2:$B$5000,$B$2))</f>
        <v/>
      </c>
      <c r="AJ38" s="41">
        <f>F38*$AK$11</f>
        <v/>
      </c>
      <c r="AK38" s="42">
        <f>G38*$AK$11</f>
        <v/>
      </c>
      <c r="AL38" s="40">
        <f>H38*$AK$11</f>
        <v/>
      </c>
      <c r="AM38" s="40">
        <f>I38*$AK$11</f>
        <v/>
      </c>
      <c r="AN38" s="40">
        <f>J38*$AK$11</f>
        <v/>
      </c>
      <c r="AP38" s="41">
        <f>F38*$AQ$11</f>
        <v/>
      </c>
      <c r="AQ38" s="42">
        <f>G38*$AQ$11</f>
        <v/>
      </c>
      <c r="AR38" s="40">
        <f>H38*$AQ$11</f>
        <v/>
      </c>
      <c r="AS38" s="40">
        <f>I38*$AQ$11</f>
        <v/>
      </c>
      <c r="AT38" s="40">
        <f>J38*$AQ$11</f>
        <v/>
      </c>
      <c r="AV38" s="41">
        <f>F38*$AW$11</f>
        <v/>
      </c>
      <c r="AW38" s="42">
        <f>G38*$AW$11</f>
        <v/>
      </c>
      <c r="AX38" s="40">
        <f>H38*$AW$11</f>
        <v/>
      </c>
      <c r="AY38" s="40">
        <f>I38*$AW$11</f>
        <v/>
      </c>
      <c r="AZ38" s="40">
        <f>J38*$AW$11</f>
        <v/>
      </c>
    </row>
    <row r="39">
      <c r="A39" s="8" t="n">
        <v>46388</v>
      </c>
      <c r="B39" s="33">
        <f>YEAR(A39)</f>
        <v/>
      </c>
      <c r="C39" s="33">
        <f>MONTH(A39)</f>
        <v/>
      </c>
      <c r="D39">
        <f>IF(A39&lt;=LastActual,"Actual","Forecast")</f>
        <v/>
      </c>
      <c r="E39" s="30">
        <f>'NSW-1'!E39</f>
        <v/>
      </c>
      <c r="F39" s="15">
        <f>IF($D39="Actual",S39,Cases_Forecast!AR32)</f>
        <v/>
      </c>
      <c r="G39" s="9">
        <f>IF($D39="Actual",T39,IFERROR(F39/K39,0))</f>
        <v/>
      </c>
      <c r="H39" s="30">
        <f>IF($D39="Actual",U39,G39*L39)</f>
        <v/>
      </c>
      <c r="I39" s="30">
        <f>IF($D39="Actual",V39,J39-H39)</f>
        <v/>
      </c>
      <c r="J39" s="30">
        <f>IF($D39="Actual",U39+V39,IFERROR(H39/(1-AD39),0))</f>
        <v/>
      </c>
      <c r="K39" s="10">
        <f>IF($D39="Actual",IFERROR(S39/T39,0),CPLH_Forecast!AR32)</f>
        <v/>
      </c>
      <c r="L39" s="34">
        <f>IF($D39="Actual",IFERROR(U39/T39,0),N(AE39))</f>
        <v/>
      </c>
      <c r="M39" s="35">
        <f>IFERROR(J39/F39,0)</f>
        <v/>
      </c>
      <c r="N39" s="36">
        <f>IFERROR(J39/E39,0)</f>
        <v/>
      </c>
      <c r="O39" s="36">
        <f>IFERROR(I39/J39,0)</f>
        <v/>
      </c>
      <c r="R39" s="52">
        <f>IF($D39="Actual",E39,"")</f>
        <v/>
      </c>
      <c r="S39" s="52">
        <f>IF($D39="Actual",SUMIFS(Data_Actuals!$D$2:$D$5000,Data_Actuals!$A$2:$A$5000,$A39,Data_Actuals!$B$2:$B$5000,$B$2),"")</f>
        <v/>
      </c>
      <c r="T39" s="52">
        <f>IF($D39="Actual",SUMIFS(Data_Actuals!$E$2:$E$5000,Data_Actuals!$A$2:$A$5000,$A39,Data_Actuals!$B$2:$B$5000,$B$2),"")</f>
        <v/>
      </c>
      <c r="U39" s="52">
        <f>IF($D39="Actual",SUMIFS(Data_Actuals!$F$2:$F$5000,Data_Actuals!$A$2:$A$5000,$A39,Data_Actuals!$B$2:$B$5000,$B$2),"")</f>
        <v/>
      </c>
      <c r="V39" s="52">
        <f>IF($D39="Actual",SUMIFS(Data_Actuals!$G$2:$G$5000,Data_Actuals!$A$2:$A$5000,$A39,Data_Actuals!$B$2:$B$5000,$B$2),"")</f>
        <v/>
      </c>
      <c r="W39" s="52">
        <f>SUMIFS(Plan_Inputs!$C$2:$C$5000,Plan_Inputs!$A$2:$A$5000,$A39,Plan_Inputs!$B$2:$B$5000,$B$2)</f>
        <v/>
      </c>
      <c r="X39" s="53">
        <f>IF($D39="Actual",IFERROR(S39/T39,""),X27)</f>
        <v/>
      </c>
      <c r="Y39" s="52">
        <f>'NSW-1'!E39+'NSW-2'!E39</f>
        <v/>
      </c>
      <c r="Z39" s="54">
        <f>INDEX(Calendar!$H$5:$L$52,MATCH($A39,Calendar!$A$5:$A$52,0),MATCH($D$2,Calendar!$H$4:$L$4,0))</f>
        <v/>
      </c>
      <c r="AA39" s="54">
        <f>INDEX(Calendar!$M$5:$M$52,MATCH($A39,Calendar!$A$5:$A$52,0))</f>
        <v/>
      </c>
      <c r="AB39" s="55">
        <f>IF($D39="Actual",IFERROR(S39/Y39,""),AB27)</f>
        <v/>
      </c>
      <c r="AC39" s="56">
        <f>IF($D39="Actual",IFERROR(U39/T39/Z39/AA39,""),AC27)</f>
        <v/>
      </c>
      <c r="AD39" s="57">
        <f>IF($D39="Actual",IFERROR(V39/(U39+V39),""),$K$2)</f>
        <v/>
      </c>
      <c r="AE39" s="56">
        <f>IFERROR(AC39*Z39*AA39,"")</f>
        <v/>
      </c>
      <c r="AF39" s="53">
        <f>K27</f>
        <v/>
      </c>
      <c r="AG39" s="57">
        <f>IF($D39="Forecast",IFERROR(K39/AF39-1,""),"")</f>
        <v/>
      </c>
      <c r="AH39" s="53">
        <f>IF(CPLHSource="National breakdown",CPLH_Breakdown!AS44,SUMIFS(Plan_Inputs!$D$2:$D$5000,Plan_Inputs!$A$2:$A$5000,$A39,Plan_Inputs!$B$2:$B$5000,$B$2))</f>
        <v/>
      </c>
      <c r="AJ39" s="15">
        <f>F39*$AK$11</f>
        <v/>
      </c>
      <c r="AK39" s="9">
        <f>G39*$AK$11</f>
        <v/>
      </c>
      <c r="AL39" s="30">
        <f>H39*$AK$11</f>
        <v/>
      </c>
      <c r="AM39" s="30">
        <f>I39*$AK$11</f>
        <v/>
      </c>
      <c r="AN39" s="30">
        <f>J39*$AK$11</f>
        <v/>
      </c>
      <c r="AP39" s="15">
        <f>F39*$AQ$11</f>
        <v/>
      </c>
      <c r="AQ39" s="9">
        <f>G39*$AQ$11</f>
        <v/>
      </c>
      <c r="AR39" s="30">
        <f>H39*$AQ$11</f>
        <v/>
      </c>
      <c r="AS39" s="30">
        <f>I39*$AQ$11</f>
        <v/>
      </c>
      <c r="AT39" s="30">
        <f>J39*$AQ$11</f>
        <v/>
      </c>
      <c r="AV39" s="15">
        <f>F39*$AW$11</f>
        <v/>
      </c>
      <c r="AW39" s="9">
        <f>G39*$AW$11</f>
        <v/>
      </c>
      <c r="AX39" s="30">
        <f>H39*$AW$11</f>
        <v/>
      </c>
      <c r="AY39" s="30">
        <f>I39*$AW$11</f>
        <v/>
      </c>
      <c r="AZ39" s="30">
        <f>J39*$AW$11</f>
        <v/>
      </c>
    </row>
    <row r="40">
      <c r="A40" s="8" t="n">
        <v>46419</v>
      </c>
      <c r="B40" s="33">
        <f>YEAR(A40)</f>
        <v/>
      </c>
      <c r="C40" s="33">
        <f>MONTH(A40)</f>
        <v/>
      </c>
      <c r="D40">
        <f>IF(A40&lt;=LastActual,"Actual","Forecast")</f>
        <v/>
      </c>
      <c r="E40" s="30">
        <f>'NSW-1'!E40</f>
        <v/>
      </c>
      <c r="F40" s="15">
        <f>IF($D40="Actual",S40,Cases_Forecast!AR33)</f>
        <v/>
      </c>
      <c r="G40" s="9">
        <f>IF($D40="Actual",T40,IFERROR(F40/K40,0))</f>
        <v/>
      </c>
      <c r="H40" s="30">
        <f>IF($D40="Actual",U40,G40*L40)</f>
        <v/>
      </c>
      <c r="I40" s="30">
        <f>IF($D40="Actual",V40,J40-H40)</f>
        <v/>
      </c>
      <c r="J40" s="30">
        <f>IF($D40="Actual",U40+V40,IFERROR(H40/(1-AD40),0))</f>
        <v/>
      </c>
      <c r="K40" s="10">
        <f>IF($D40="Actual",IFERROR(S40/T40,0),CPLH_Forecast!AR33)</f>
        <v/>
      </c>
      <c r="L40" s="34">
        <f>IF($D40="Actual",IFERROR(U40/T40,0),N(AE40))</f>
        <v/>
      </c>
      <c r="M40" s="35">
        <f>IFERROR(J40/F40,0)</f>
        <v/>
      </c>
      <c r="N40" s="36">
        <f>IFERROR(J40/E40,0)</f>
        <v/>
      </c>
      <c r="O40" s="36">
        <f>IFERROR(I40/J40,0)</f>
        <v/>
      </c>
      <c r="R40" s="52">
        <f>IF($D40="Actual",E40,"")</f>
        <v/>
      </c>
      <c r="S40" s="52">
        <f>IF($D40="Actual",SUMIFS(Data_Actuals!$D$2:$D$5000,Data_Actuals!$A$2:$A$5000,$A40,Data_Actuals!$B$2:$B$5000,$B$2),"")</f>
        <v/>
      </c>
      <c r="T40" s="52">
        <f>IF($D40="Actual",SUMIFS(Data_Actuals!$E$2:$E$5000,Data_Actuals!$A$2:$A$5000,$A40,Data_Actuals!$B$2:$B$5000,$B$2),"")</f>
        <v/>
      </c>
      <c r="U40" s="52">
        <f>IF($D40="Actual",SUMIFS(Data_Actuals!$F$2:$F$5000,Data_Actuals!$A$2:$A$5000,$A40,Data_Actuals!$B$2:$B$5000,$B$2),"")</f>
        <v/>
      </c>
      <c r="V40" s="52">
        <f>IF($D40="Actual",SUMIFS(Data_Actuals!$G$2:$G$5000,Data_Actuals!$A$2:$A$5000,$A40,Data_Actuals!$B$2:$B$5000,$B$2),"")</f>
        <v/>
      </c>
      <c r="W40" s="52">
        <f>SUMIFS(Plan_Inputs!$C$2:$C$5000,Plan_Inputs!$A$2:$A$5000,$A40,Plan_Inputs!$B$2:$B$5000,$B$2)</f>
        <v/>
      </c>
      <c r="X40" s="53">
        <f>IF($D40="Actual",IFERROR(S40/T40,""),X28)</f>
        <v/>
      </c>
      <c r="Y40" s="52">
        <f>'NSW-1'!E40+'NSW-2'!E40</f>
        <v/>
      </c>
      <c r="Z40" s="54">
        <f>INDEX(Calendar!$H$5:$L$52,MATCH($A40,Calendar!$A$5:$A$52,0),MATCH($D$2,Calendar!$H$4:$L$4,0))</f>
        <v/>
      </c>
      <c r="AA40" s="54">
        <f>INDEX(Calendar!$M$5:$M$52,MATCH($A40,Calendar!$A$5:$A$52,0))</f>
        <v/>
      </c>
      <c r="AB40" s="55">
        <f>IF($D40="Actual",IFERROR(S40/Y40,""),AB28)</f>
        <v/>
      </c>
      <c r="AC40" s="56">
        <f>IF($D40="Actual",IFERROR(U40/T40/Z40/AA40,""),AC28)</f>
        <v/>
      </c>
      <c r="AD40" s="57">
        <f>IF($D40="Actual",IFERROR(V40/(U40+V40),""),$K$2)</f>
        <v/>
      </c>
      <c r="AE40" s="56">
        <f>IFERROR(AC40*Z40*AA40,"")</f>
        <v/>
      </c>
      <c r="AF40" s="53">
        <f>K28</f>
        <v/>
      </c>
      <c r="AG40" s="57">
        <f>IF($D40="Forecast",IFERROR(K40/AF40-1,""),"")</f>
        <v/>
      </c>
      <c r="AH40" s="53">
        <f>IF(CPLHSource="National breakdown",CPLH_Breakdown!AS45,SUMIFS(Plan_Inputs!$D$2:$D$5000,Plan_Inputs!$A$2:$A$5000,$A40,Plan_Inputs!$B$2:$B$5000,$B$2))</f>
        <v/>
      </c>
      <c r="AJ40" s="15">
        <f>F40*$AK$11</f>
        <v/>
      </c>
      <c r="AK40" s="9">
        <f>G40*$AK$11</f>
        <v/>
      </c>
      <c r="AL40" s="30">
        <f>H40*$AK$11</f>
        <v/>
      </c>
      <c r="AM40" s="30">
        <f>I40*$AK$11</f>
        <v/>
      </c>
      <c r="AN40" s="30">
        <f>J40*$AK$11</f>
        <v/>
      </c>
      <c r="AP40" s="15">
        <f>F40*$AQ$11</f>
        <v/>
      </c>
      <c r="AQ40" s="9">
        <f>G40*$AQ$11</f>
        <v/>
      </c>
      <c r="AR40" s="30">
        <f>H40*$AQ$11</f>
        <v/>
      </c>
      <c r="AS40" s="30">
        <f>I40*$AQ$11</f>
        <v/>
      </c>
      <c r="AT40" s="30">
        <f>J40*$AQ$11</f>
        <v/>
      </c>
      <c r="AV40" s="15">
        <f>F40*$AW$11</f>
        <v/>
      </c>
      <c r="AW40" s="9">
        <f>G40*$AW$11</f>
        <v/>
      </c>
      <c r="AX40" s="30">
        <f>H40*$AW$11</f>
        <v/>
      </c>
      <c r="AY40" s="30">
        <f>I40*$AW$11</f>
        <v/>
      </c>
      <c r="AZ40" s="30">
        <f>J40*$AW$11</f>
        <v/>
      </c>
    </row>
    <row r="41">
      <c r="A41" s="8" t="n">
        <v>46447</v>
      </c>
      <c r="B41" s="33">
        <f>YEAR(A41)</f>
        <v/>
      </c>
      <c r="C41" s="33">
        <f>MONTH(A41)</f>
        <v/>
      </c>
      <c r="D41">
        <f>IF(A41&lt;=LastActual,"Actual","Forecast")</f>
        <v/>
      </c>
      <c r="E41" s="30">
        <f>'NSW-1'!E41</f>
        <v/>
      </c>
      <c r="F41" s="15">
        <f>IF($D41="Actual",S41,Cases_Forecast!AR34)</f>
        <v/>
      </c>
      <c r="G41" s="9">
        <f>IF($D41="Actual",T41,IFERROR(F41/K41,0))</f>
        <v/>
      </c>
      <c r="H41" s="30">
        <f>IF($D41="Actual",U41,G41*L41)</f>
        <v/>
      </c>
      <c r="I41" s="30">
        <f>IF($D41="Actual",V41,J41-H41)</f>
        <v/>
      </c>
      <c r="J41" s="30">
        <f>IF($D41="Actual",U41+V41,IFERROR(H41/(1-AD41),0))</f>
        <v/>
      </c>
      <c r="K41" s="10">
        <f>IF($D41="Actual",IFERROR(S41/T41,0),CPLH_Forecast!AR34)</f>
        <v/>
      </c>
      <c r="L41" s="34">
        <f>IF($D41="Actual",IFERROR(U41/T41,0),N(AE41))</f>
        <v/>
      </c>
      <c r="M41" s="35">
        <f>IFERROR(J41/F41,0)</f>
        <v/>
      </c>
      <c r="N41" s="36">
        <f>IFERROR(J41/E41,0)</f>
        <v/>
      </c>
      <c r="O41" s="36">
        <f>IFERROR(I41/J41,0)</f>
        <v/>
      </c>
      <c r="R41" s="52">
        <f>IF($D41="Actual",E41,"")</f>
        <v/>
      </c>
      <c r="S41" s="52">
        <f>IF($D41="Actual",SUMIFS(Data_Actuals!$D$2:$D$5000,Data_Actuals!$A$2:$A$5000,$A41,Data_Actuals!$B$2:$B$5000,$B$2),"")</f>
        <v/>
      </c>
      <c r="T41" s="52">
        <f>IF($D41="Actual",SUMIFS(Data_Actuals!$E$2:$E$5000,Data_Actuals!$A$2:$A$5000,$A41,Data_Actuals!$B$2:$B$5000,$B$2),"")</f>
        <v/>
      </c>
      <c r="U41" s="52">
        <f>IF($D41="Actual",SUMIFS(Data_Actuals!$F$2:$F$5000,Data_Actuals!$A$2:$A$5000,$A41,Data_Actuals!$B$2:$B$5000,$B$2),"")</f>
        <v/>
      </c>
      <c r="V41" s="52">
        <f>IF($D41="Actual",SUMIFS(Data_Actuals!$G$2:$G$5000,Data_Actuals!$A$2:$A$5000,$A41,Data_Actuals!$B$2:$B$5000,$B$2),"")</f>
        <v/>
      </c>
      <c r="W41" s="52">
        <f>SUMIFS(Plan_Inputs!$C$2:$C$5000,Plan_Inputs!$A$2:$A$5000,$A41,Plan_Inputs!$B$2:$B$5000,$B$2)</f>
        <v/>
      </c>
      <c r="X41" s="53">
        <f>IF($D41="Actual",IFERROR(S41/T41,""),X29)</f>
        <v/>
      </c>
      <c r="Y41" s="52">
        <f>'NSW-1'!E41+'NSW-2'!E41</f>
        <v/>
      </c>
      <c r="Z41" s="54">
        <f>INDEX(Calendar!$H$5:$L$52,MATCH($A41,Calendar!$A$5:$A$52,0),MATCH($D$2,Calendar!$H$4:$L$4,0))</f>
        <v/>
      </c>
      <c r="AA41" s="54">
        <f>INDEX(Calendar!$M$5:$M$52,MATCH($A41,Calendar!$A$5:$A$52,0))</f>
        <v/>
      </c>
      <c r="AB41" s="55">
        <f>IF($D41="Actual",IFERROR(S41/Y41,""),AB29)</f>
        <v/>
      </c>
      <c r="AC41" s="56">
        <f>IF($D41="Actual",IFERROR(U41/T41/Z41/AA41,""),AC29)</f>
        <v/>
      </c>
      <c r="AD41" s="57">
        <f>IF($D41="Actual",IFERROR(V41/(U41+V41),""),$K$2)</f>
        <v/>
      </c>
      <c r="AE41" s="56">
        <f>IFERROR(AC41*Z41*AA41,"")</f>
        <v/>
      </c>
      <c r="AF41" s="53">
        <f>K29</f>
        <v/>
      </c>
      <c r="AG41" s="57">
        <f>IF($D41="Forecast",IFERROR(K41/AF41-1,""),"")</f>
        <v/>
      </c>
      <c r="AH41" s="53">
        <f>IF(CPLHSource="National breakdown",CPLH_Breakdown!AS46,SUMIFS(Plan_Inputs!$D$2:$D$5000,Plan_Inputs!$A$2:$A$5000,$A41,Plan_Inputs!$B$2:$B$5000,$B$2))</f>
        <v/>
      </c>
      <c r="AJ41" s="15">
        <f>F41*$AK$11</f>
        <v/>
      </c>
      <c r="AK41" s="9">
        <f>G41*$AK$11</f>
        <v/>
      </c>
      <c r="AL41" s="30">
        <f>H41*$AK$11</f>
        <v/>
      </c>
      <c r="AM41" s="30">
        <f>I41*$AK$11</f>
        <v/>
      </c>
      <c r="AN41" s="30">
        <f>J41*$AK$11</f>
        <v/>
      </c>
      <c r="AP41" s="15">
        <f>F41*$AQ$11</f>
        <v/>
      </c>
      <c r="AQ41" s="9">
        <f>G41*$AQ$11</f>
        <v/>
      </c>
      <c r="AR41" s="30">
        <f>H41*$AQ$11</f>
        <v/>
      </c>
      <c r="AS41" s="30">
        <f>I41*$AQ$11</f>
        <v/>
      </c>
      <c r="AT41" s="30">
        <f>J41*$AQ$11</f>
        <v/>
      </c>
      <c r="AV41" s="15">
        <f>F41*$AW$11</f>
        <v/>
      </c>
      <c r="AW41" s="9">
        <f>G41*$AW$11</f>
        <v/>
      </c>
      <c r="AX41" s="30">
        <f>H41*$AW$11</f>
        <v/>
      </c>
      <c r="AY41" s="30">
        <f>I41*$AW$11</f>
        <v/>
      </c>
      <c r="AZ41" s="30">
        <f>J41*$AW$11</f>
        <v/>
      </c>
    </row>
    <row r="42">
      <c r="A42" s="8" t="n">
        <v>46478</v>
      </c>
      <c r="B42" s="33">
        <f>YEAR(A42)</f>
        <v/>
      </c>
      <c r="C42" s="33">
        <f>MONTH(A42)</f>
        <v/>
      </c>
      <c r="D42">
        <f>IF(A42&lt;=LastActual,"Actual","Forecast")</f>
        <v/>
      </c>
      <c r="E42" s="30">
        <f>'NSW-1'!E42</f>
        <v/>
      </c>
      <c r="F42" s="15">
        <f>IF($D42="Actual",S42,Cases_Forecast!AR35)</f>
        <v/>
      </c>
      <c r="G42" s="9">
        <f>IF($D42="Actual",T42,IFERROR(F42/K42,0))</f>
        <v/>
      </c>
      <c r="H42" s="30">
        <f>IF($D42="Actual",U42,G42*L42)</f>
        <v/>
      </c>
      <c r="I42" s="30">
        <f>IF($D42="Actual",V42,J42-H42)</f>
        <v/>
      </c>
      <c r="J42" s="30">
        <f>IF($D42="Actual",U42+V42,IFERROR(H42/(1-AD42),0))</f>
        <v/>
      </c>
      <c r="K42" s="10">
        <f>IF($D42="Actual",IFERROR(S42/T42,0),CPLH_Forecast!AR35)</f>
        <v/>
      </c>
      <c r="L42" s="34">
        <f>IF($D42="Actual",IFERROR(U42/T42,0),N(AE42))</f>
        <v/>
      </c>
      <c r="M42" s="35">
        <f>IFERROR(J42/F42,0)</f>
        <v/>
      </c>
      <c r="N42" s="36">
        <f>IFERROR(J42/E42,0)</f>
        <v/>
      </c>
      <c r="O42" s="36">
        <f>IFERROR(I42/J42,0)</f>
        <v/>
      </c>
      <c r="R42" s="52">
        <f>IF($D42="Actual",E42,"")</f>
        <v/>
      </c>
      <c r="S42" s="52">
        <f>IF($D42="Actual",SUMIFS(Data_Actuals!$D$2:$D$5000,Data_Actuals!$A$2:$A$5000,$A42,Data_Actuals!$B$2:$B$5000,$B$2),"")</f>
        <v/>
      </c>
      <c r="T42" s="52">
        <f>IF($D42="Actual",SUMIFS(Data_Actuals!$E$2:$E$5000,Data_Actuals!$A$2:$A$5000,$A42,Data_Actuals!$B$2:$B$5000,$B$2),"")</f>
        <v/>
      </c>
      <c r="U42" s="52">
        <f>IF($D42="Actual",SUMIFS(Data_Actuals!$F$2:$F$5000,Data_Actuals!$A$2:$A$5000,$A42,Data_Actuals!$B$2:$B$5000,$B$2),"")</f>
        <v/>
      </c>
      <c r="V42" s="52">
        <f>IF($D42="Actual",SUMIFS(Data_Actuals!$G$2:$G$5000,Data_Actuals!$A$2:$A$5000,$A42,Data_Actuals!$B$2:$B$5000,$B$2),"")</f>
        <v/>
      </c>
      <c r="W42" s="52">
        <f>SUMIFS(Plan_Inputs!$C$2:$C$5000,Plan_Inputs!$A$2:$A$5000,$A42,Plan_Inputs!$B$2:$B$5000,$B$2)</f>
        <v/>
      </c>
      <c r="X42" s="53">
        <f>IF($D42="Actual",IFERROR(S42/T42,""),X30)</f>
        <v/>
      </c>
      <c r="Y42" s="52">
        <f>'NSW-1'!E42+'NSW-2'!E42</f>
        <v/>
      </c>
      <c r="Z42" s="54">
        <f>INDEX(Calendar!$H$5:$L$52,MATCH($A42,Calendar!$A$5:$A$52,0),MATCH($D$2,Calendar!$H$4:$L$4,0))</f>
        <v/>
      </c>
      <c r="AA42" s="54">
        <f>INDEX(Calendar!$M$5:$M$52,MATCH($A42,Calendar!$A$5:$A$52,0))</f>
        <v/>
      </c>
      <c r="AB42" s="55">
        <f>IF($D42="Actual",IFERROR(S42/Y42,""),AB30)</f>
        <v/>
      </c>
      <c r="AC42" s="56">
        <f>IF($D42="Actual",IFERROR(U42/T42/Z42/AA42,""),AC30)</f>
        <v/>
      </c>
      <c r="AD42" s="57">
        <f>IF($D42="Actual",IFERROR(V42/(U42+V42),""),$K$2)</f>
        <v/>
      </c>
      <c r="AE42" s="56">
        <f>IFERROR(AC42*Z42*AA42,"")</f>
        <v/>
      </c>
      <c r="AF42" s="53">
        <f>K30</f>
        <v/>
      </c>
      <c r="AG42" s="57">
        <f>IF($D42="Forecast",IFERROR(K42/AF42-1,""),"")</f>
        <v/>
      </c>
      <c r="AH42" s="53">
        <f>IF(CPLHSource="National breakdown",CPLH_Breakdown!AS47,SUMIFS(Plan_Inputs!$D$2:$D$5000,Plan_Inputs!$A$2:$A$5000,$A42,Plan_Inputs!$B$2:$B$5000,$B$2))</f>
        <v/>
      </c>
      <c r="AJ42" s="15">
        <f>F42*$AK$11</f>
        <v/>
      </c>
      <c r="AK42" s="9">
        <f>G42*$AK$11</f>
        <v/>
      </c>
      <c r="AL42" s="30">
        <f>H42*$AK$11</f>
        <v/>
      </c>
      <c r="AM42" s="30">
        <f>I42*$AK$11</f>
        <v/>
      </c>
      <c r="AN42" s="30">
        <f>J42*$AK$11</f>
        <v/>
      </c>
      <c r="AP42" s="15">
        <f>F42*$AQ$11</f>
        <v/>
      </c>
      <c r="AQ42" s="9">
        <f>G42*$AQ$11</f>
        <v/>
      </c>
      <c r="AR42" s="30">
        <f>H42*$AQ$11</f>
        <v/>
      </c>
      <c r="AS42" s="30">
        <f>I42*$AQ$11</f>
        <v/>
      </c>
      <c r="AT42" s="30">
        <f>J42*$AQ$11</f>
        <v/>
      </c>
      <c r="AV42" s="15">
        <f>F42*$AW$11</f>
        <v/>
      </c>
      <c r="AW42" s="9">
        <f>G42*$AW$11</f>
        <v/>
      </c>
      <c r="AX42" s="30">
        <f>H42*$AW$11</f>
        <v/>
      </c>
      <c r="AY42" s="30">
        <f>I42*$AW$11</f>
        <v/>
      </c>
      <c r="AZ42" s="30">
        <f>J42*$AW$11</f>
        <v/>
      </c>
    </row>
    <row r="43">
      <c r="A43" s="8" t="n">
        <v>46508</v>
      </c>
      <c r="B43" s="33">
        <f>YEAR(A43)</f>
        <v/>
      </c>
      <c r="C43" s="33">
        <f>MONTH(A43)</f>
        <v/>
      </c>
      <c r="D43">
        <f>IF(A43&lt;=LastActual,"Actual","Forecast")</f>
        <v/>
      </c>
      <c r="E43" s="30">
        <f>'NSW-1'!E43</f>
        <v/>
      </c>
      <c r="F43" s="15">
        <f>IF($D43="Actual",S43,Cases_Forecast!AR36)</f>
        <v/>
      </c>
      <c r="G43" s="9">
        <f>IF($D43="Actual",T43,IFERROR(F43/K43,0))</f>
        <v/>
      </c>
      <c r="H43" s="30">
        <f>IF($D43="Actual",U43,G43*L43)</f>
        <v/>
      </c>
      <c r="I43" s="30">
        <f>IF($D43="Actual",V43,J43-H43)</f>
        <v/>
      </c>
      <c r="J43" s="30">
        <f>IF($D43="Actual",U43+V43,IFERROR(H43/(1-AD43),0))</f>
        <v/>
      </c>
      <c r="K43" s="10">
        <f>IF($D43="Actual",IFERROR(S43/T43,0),CPLH_Forecast!AR36)</f>
        <v/>
      </c>
      <c r="L43" s="34">
        <f>IF($D43="Actual",IFERROR(U43/T43,0),N(AE43))</f>
        <v/>
      </c>
      <c r="M43" s="35">
        <f>IFERROR(J43/F43,0)</f>
        <v/>
      </c>
      <c r="N43" s="36">
        <f>IFERROR(J43/E43,0)</f>
        <v/>
      </c>
      <c r="O43" s="36">
        <f>IFERROR(I43/J43,0)</f>
        <v/>
      </c>
      <c r="R43" s="52">
        <f>IF($D43="Actual",E43,"")</f>
        <v/>
      </c>
      <c r="S43" s="52">
        <f>IF($D43="Actual",SUMIFS(Data_Actuals!$D$2:$D$5000,Data_Actuals!$A$2:$A$5000,$A43,Data_Actuals!$B$2:$B$5000,$B$2),"")</f>
        <v/>
      </c>
      <c r="T43" s="52">
        <f>IF($D43="Actual",SUMIFS(Data_Actuals!$E$2:$E$5000,Data_Actuals!$A$2:$A$5000,$A43,Data_Actuals!$B$2:$B$5000,$B$2),"")</f>
        <v/>
      </c>
      <c r="U43" s="52">
        <f>IF($D43="Actual",SUMIFS(Data_Actuals!$F$2:$F$5000,Data_Actuals!$A$2:$A$5000,$A43,Data_Actuals!$B$2:$B$5000,$B$2),"")</f>
        <v/>
      </c>
      <c r="V43" s="52">
        <f>IF($D43="Actual",SUMIFS(Data_Actuals!$G$2:$G$5000,Data_Actuals!$A$2:$A$5000,$A43,Data_Actuals!$B$2:$B$5000,$B$2),"")</f>
        <v/>
      </c>
      <c r="W43" s="52">
        <f>SUMIFS(Plan_Inputs!$C$2:$C$5000,Plan_Inputs!$A$2:$A$5000,$A43,Plan_Inputs!$B$2:$B$5000,$B$2)</f>
        <v/>
      </c>
      <c r="X43" s="53">
        <f>IF($D43="Actual",IFERROR(S43/T43,""),X31)</f>
        <v/>
      </c>
      <c r="Y43" s="52">
        <f>'NSW-1'!E43+'NSW-2'!E43</f>
        <v/>
      </c>
      <c r="Z43" s="54">
        <f>INDEX(Calendar!$H$5:$L$52,MATCH($A43,Calendar!$A$5:$A$52,0),MATCH($D$2,Calendar!$H$4:$L$4,0))</f>
        <v/>
      </c>
      <c r="AA43" s="54">
        <f>INDEX(Calendar!$M$5:$M$52,MATCH($A43,Calendar!$A$5:$A$52,0))</f>
        <v/>
      </c>
      <c r="AB43" s="55">
        <f>IF($D43="Actual",IFERROR(S43/Y43,""),AB31)</f>
        <v/>
      </c>
      <c r="AC43" s="56">
        <f>IF($D43="Actual",IFERROR(U43/T43/Z43/AA43,""),AC31)</f>
        <v/>
      </c>
      <c r="AD43" s="57">
        <f>IF($D43="Actual",IFERROR(V43/(U43+V43),""),$K$2)</f>
        <v/>
      </c>
      <c r="AE43" s="56">
        <f>IFERROR(AC43*Z43*AA43,"")</f>
        <v/>
      </c>
      <c r="AF43" s="53">
        <f>K31</f>
        <v/>
      </c>
      <c r="AG43" s="57">
        <f>IF($D43="Forecast",IFERROR(K43/AF43-1,""),"")</f>
        <v/>
      </c>
      <c r="AH43" s="53">
        <f>IF(CPLHSource="National breakdown",CPLH_Breakdown!AS48,SUMIFS(Plan_Inputs!$D$2:$D$5000,Plan_Inputs!$A$2:$A$5000,$A43,Plan_Inputs!$B$2:$B$5000,$B$2))</f>
        <v/>
      </c>
      <c r="AJ43" s="15">
        <f>F43*$AK$11</f>
        <v/>
      </c>
      <c r="AK43" s="9">
        <f>G43*$AK$11</f>
        <v/>
      </c>
      <c r="AL43" s="30">
        <f>H43*$AK$11</f>
        <v/>
      </c>
      <c r="AM43" s="30">
        <f>I43*$AK$11</f>
        <v/>
      </c>
      <c r="AN43" s="30">
        <f>J43*$AK$11</f>
        <v/>
      </c>
      <c r="AP43" s="15">
        <f>F43*$AQ$11</f>
        <v/>
      </c>
      <c r="AQ43" s="9">
        <f>G43*$AQ$11</f>
        <v/>
      </c>
      <c r="AR43" s="30">
        <f>H43*$AQ$11</f>
        <v/>
      </c>
      <c r="AS43" s="30">
        <f>I43*$AQ$11</f>
        <v/>
      </c>
      <c r="AT43" s="30">
        <f>J43*$AQ$11</f>
        <v/>
      </c>
      <c r="AV43" s="15">
        <f>F43*$AW$11</f>
        <v/>
      </c>
      <c r="AW43" s="9">
        <f>G43*$AW$11</f>
        <v/>
      </c>
      <c r="AX43" s="30">
        <f>H43*$AW$11</f>
        <v/>
      </c>
      <c r="AY43" s="30">
        <f>I43*$AW$11</f>
        <v/>
      </c>
      <c r="AZ43" s="30">
        <f>J43*$AW$11</f>
        <v/>
      </c>
    </row>
    <row r="44">
      <c r="A44" s="8" t="n">
        <v>46539</v>
      </c>
      <c r="B44" s="33">
        <f>YEAR(A44)</f>
        <v/>
      </c>
      <c r="C44" s="33">
        <f>MONTH(A44)</f>
        <v/>
      </c>
      <c r="D44">
        <f>IF(A44&lt;=LastActual,"Actual","Forecast")</f>
        <v/>
      </c>
      <c r="E44" s="30">
        <f>'NSW-1'!E44</f>
        <v/>
      </c>
      <c r="F44" s="15">
        <f>IF($D44="Actual",S44,Cases_Forecast!AR37)</f>
        <v/>
      </c>
      <c r="G44" s="9">
        <f>IF($D44="Actual",T44,IFERROR(F44/K44,0))</f>
        <v/>
      </c>
      <c r="H44" s="30">
        <f>IF($D44="Actual",U44,G44*L44)</f>
        <v/>
      </c>
      <c r="I44" s="30">
        <f>IF($D44="Actual",V44,J44-H44)</f>
        <v/>
      </c>
      <c r="J44" s="30">
        <f>IF($D44="Actual",U44+V44,IFERROR(H44/(1-AD44),0))</f>
        <v/>
      </c>
      <c r="K44" s="10">
        <f>IF($D44="Actual",IFERROR(S44/T44,0),CPLH_Forecast!AR37)</f>
        <v/>
      </c>
      <c r="L44" s="34">
        <f>IF($D44="Actual",IFERROR(U44/T44,0),N(AE44))</f>
        <v/>
      </c>
      <c r="M44" s="35">
        <f>IFERROR(J44/F44,0)</f>
        <v/>
      </c>
      <c r="N44" s="36">
        <f>IFERROR(J44/E44,0)</f>
        <v/>
      </c>
      <c r="O44" s="36">
        <f>IFERROR(I44/J44,0)</f>
        <v/>
      </c>
      <c r="R44" s="52">
        <f>IF($D44="Actual",E44,"")</f>
        <v/>
      </c>
      <c r="S44" s="52">
        <f>IF($D44="Actual",SUMIFS(Data_Actuals!$D$2:$D$5000,Data_Actuals!$A$2:$A$5000,$A44,Data_Actuals!$B$2:$B$5000,$B$2),"")</f>
        <v/>
      </c>
      <c r="T44" s="52">
        <f>IF($D44="Actual",SUMIFS(Data_Actuals!$E$2:$E$5000,Data_Actuals!$A$2:$A$5000,$A44,Data_Actuals!$B$2:$B$5000,$B$2),"")</f>
        <v/>
      </c>
      <c r="U44" s="52">
        <f>IF($D44="Actual",SUMIFS(Data_Actuals!$F$2:$F$5000,Data_Actuals!$A$2:$A$5000,$A44,Data_Actuals!$B$2:$B$5000,$B$2),"")</f>
        <v/>
      </c>
      <c r="V44" s="52">
        <f>IF($D44="Actual",SUMIFS(Data_Actuals!$G$2:$G$5000,Data_Actuals!$A$2:$A$5000,$A44,Data_Actuals!$B$2:$B$5000,$B$2),"")</f>
        <v/>
      </c>
      <c r="W44" s="52">
        <f>SUMIFS(Plan_Inputs!$C$2:$C$5000,Plan_Inputs!$A$2:$A$5000,$A44,Plan_Inputs!$B$2:$B$5000,$B$2)</f>
        <v/>
      </c>
      <c r="X44" s="53">
        <f>IF($D44="Actual",IFERROR(S44/T44,""),X32)</f>
        <v/>
      </c>
      <c r="Y44" s="52">
        <f>'NSW-1'!E44+'NSW-2'!E44</f>
        <v/>
      </c>
      <c r="Z44" s="54">
        <f>INDEX(Calendar!$H$5:$L$52,MATCH($A44,Calendar!$A$5:$A$52,0),MATCH($D$2,Calendar!$H$4:$L$4,0))</f>
        <v/>
      </c>
      <c r="AA44" s="54">
        <f>INDEX(Calendar!$M$5:$M$52,MATCH($A44,Calendar!$A$5:$A$52,0))</f>
        <v/>
      </c>
      <c r="AB44" s="55">
        <f>IF($D44="Actual",IFERROR(S44/Y44,""),AB32)</f>
        <v/>
      </c>
      <c r="AC44" s="56">
        <f>IF($D44="Actual",IFERROR(U44/T44/Z44/AA44,""),AC32)</f>
        <v/>
      </c>
      <c r="AD44" s="57">
        <f>IF($D44="Actual",IFERROR(V44/(U44+V44),""),$K$2)</f>
        <v/>
      </c>
      <c r="AE44" s="56">
        <f>IFERROR(AC44*Z44*AA44,"")</f>
        <v/>
      </c>
      <c r="AF44" s="53">
        <f>K32</f>
        <v/>
      </c>
      <c r="AG44" s="57">
        <f>IF($D44="Forecast",IFERROR(K44/AF44-1,""),"")</f>
        <v/>
      </c>
      <c r="AH44" s="53">
        <f>IF(CPLHSource="National breakdown",CPLH_Breakdown!AS49,SUMIFS(Plan_Inputs!$D$2:$D$5000,Plan_Inputs!$A$2:$A$5000,$A44,Plan_Inputs!$B$2:$B$5000,$B$2))</f>
        <v/>
      </c>
      <c r="AJ44" s="15">
        <f>F44*$AK$11</f>
        <v/>
      </c>
      <c r="AK44" s="9">
        <f>G44*$AK$11</f>
        <v/>
      </c>
      <c r="AL44" s="30">
        <f>H44*$AK$11</f>
        <v/>
      </c>
      <c r="AM44" s="30">
        <f>I44*$AK$11</f>
        <v/>
      </c>
      <c r="AN44" s="30">
        <f>J44*$AK$11</f>
        <v/>
      </c>
      <c r="AP44" s="15">
        <f>F44*$AQ$11</f>
        <v/>
      </c>
      <c r="AQ44" s="9">
        <f>G44*$AQ$11</f>
        <v/>
      </c>
      <c r="AR44" s="30">
        <f>H44*$AQ$11</f>
        <v/>
      </c>
      <c r="AS44" s="30">
        <f>I44*$AQ$11</f>
        <v/>
      </c>
      <c r="AT44" s="30">
        <f>J44*$AQ$11</f>
        <v/>
      </c>
      <c r="AV44" s="15">
        <f>F44*$AW$11</f>
        <v/>
      </c>
      <c r="AW44" s="9">
        <f>G44*$AW$11</f>
        <v/>
      </c>
      <c r="AX44" s="30">
        <f>H44*$AW$11</f>
        <v/>
      </c>
      <c r="AY44" s="30">
        <f>I44*$AW$11</f>
        <v/>
      </c>
      <c r="AZ44" s="30">
        <f>J44*$AW$11</f>
        <v/>
      </c>
    </row>
    <row r="45">
      <c r="A45" s="8" t="n">
        <v>46569</v>
      </c>
      <c r="B45" s="33">
        <f>YEAR(A45)</f>
        <v/>
      </c>
      <c r="C45" s="33">
        <f>MONTH(A45)</f>
        <v/>
      </c>
      <c r="D45">
        <f>IF(A45&lt;=LastActual,"Actual","Forecast")</f>
        <v/>
      </c>
      <c r="E45" s="30">
        <f>'NSW-1'!E45</f>
        <v/>
      </c>
      <c r="F45" s="15">
        <f>IF($D45="Actual",S45,Cases_Forecast!AR38)</f>
        <v/>
      </c>
      <c r="G45" s="9">
        <f>IF($D45="Actual",T45,IFERROR(F45/K45,0))</f>
        <v/>
      </c>
      <c r="H45" s="30">
        <f>IF($D45="Actual",U45,G45*L45)</f>
        <v/>
      </c>
      <c r="I45" s="30">
        <f>IF($D45="Actual",V45,J45-H45)</f>
        <v/>
      </c>
      <c r="J45" s="30">
        <f>IF($D45="Actual",U45+V45,IFERROR(H45/(1-AD45),0))</f>
        <v/>
      </c>
      <c r="K45" s="10">
        <f>IF($D45="Actual",IFERROR(S45/T45,0),CPLH_Forecast!AR38)</f>
        <v/>
      </c>
      <c r="L45" s="34">
        <f>IF($D45="Actual",IFERROR(U45/T45,0),N(AE45))</f>
        <v/>
      </c>
      <c r="M45" s="35">
        <f>IFERROR(J45/F45,0)</f>
        <v/>
      </c>
      <c r="N45" s="36">
        <f>IFERROR(J45/E45,0)</f>
        <v/>
      </c>
      <c r="O45" s="36">
        <f>IFERROR(I45/J45,0)</f>
        <v/>
      </c>
      <c r="R45" s="52">
        <f>IF($D45="Actual",E45,"")</f>
        <v/>
      </c>
      <c r="S45" s="52">
        <f>IF($D45="Actual",SUMIFS(Data_Actuals!$D$2:$D$5000,Data_Actuals!$A$2:$A$5000,$A45,Data_Actuals!$B$2:$B$5000,$B$2),"")</f>
        <v/>
      </c>
      <c r="T45" s="52">
        <f>IF($D45="Actual",SUMIFS(Data_Actuals!$E$2:$E$5000,Data_Actuals!$A$2:$A$5000,$A45,Data_Actuals!$B$2:$B$5000,$B$2),"")</f>
        <v/>
      </c>
      <c r="U45" s="52">
        <f>IF($D45="Actual",SUMIFS(Data_Actuals!$F$2:$F$5000,Data_Actuals!$A$2:$A$5000,$A45,Data_Actuals!$B$2:$B$5000,$B$2),"")</f>
        <v/>
      </c>
      <c r="V45" s="52">
        <f>IF($D45="Actual",SUMIFS(Data_Actuals!$G$2:$G$5000,Data_Actuals!$A$2:$A$5000,$A45,Data_Actuals!$B$2:$B$5000,$B$2),"")</f>
        <v/>
      </c>
      <c r="W45" s="52">
        <f>SUMIFS(Plan_Inputs!$C$2:$C$5000,Plan_Inputs!$A$2:$A$5000,$A45,Plan_Inputs!$B$2:$B$5000,$B$2)</f>
        <v/>
      </c>
      <c r="X45" s="53">
        <f>IF($D45="Actual",IFERROR(S45/T45,""),X33)</f>
        <v/>
      </c>
      <c r="Y45" s="52">
        <f>'NSW-1'!E45+'NSW-2'!E45</f>
        <v/>
      </c>
      <c r="Z45" s="54">
        <f>INDEX(Calendar!$H$5:$L$52,MATCH($A45,Calendar!$A$5:$A$52,0),MATCH($D$2,Calendar!$H$4:$L$4,0))</f>
        <v/>
      </c>
      <c r="AA45" s="54">
        <f>INDEX(Calendar!$M$5:$M$52,MATCH($A45,Calendar!$A$5:$A$52,0))</f>
        <v/>
      </c>
      <c r="AB45" s="55">
        <f>IF($D45="Actual",IFERROR(S45/Y45,""),AB33)</f>
        <v/>
      </c>
      <c r="AC45" s="56">
        <f>IF($D45="Actual",IFERROR(U45/T45/Z45/AA45,""),AC33)</f>
        <v/>
      </c>
      <c r="AD45" s="57">
        <f>IF($D45="Actual",IFERROR(V45/(U45+V45),""),$K$2)</f>
        <v/>
      </c>
      <c r="AE45" s="56">
        <f>IFERROR(AC45*Z45*AA45,"")</f>
        <v/>
      </c>
      <c r="AF45" s="53">
        <f>K33</f>
        <v/>
      </c>
      <c r="AG45" s="57">
        <f>IF($D45="Forecast",IFERROR(K45/AF45-1,""),"")</f>
        <v/>
      </c>
      <c r="AH45" s="53">
        <f>IF(CPLHSource="National breakdown",CPLH_Breakdown!AS50,SUMIFS(Plan_Inputs!$D$2:$D$5000,Plan_Inputs!$A$2:$A$5000,$A45,Plan_Inputs!$B$2:$B$5000,$B$2))</f>
        <v/>
      </c>
      <c r="AJ45" s="15">
        <f>F45*$AK$11</f>
        <v/>
      </c>
      <c r="AK45" s="9">
        <f>G45*$AK$11</f>
        <v/>
      </c>
      <c r="AL45" s="30">
        <f>H45*$AK$11</f>
        <v/>
      </c>
      <c r="AM45" s="30">
        <f>I45*$AK$11</f>
        <v/>
      </c>
      <c r="AN45" s="30">
        <f>J45*$AK$11</f>
        <v/>
      </c>
      <c r="AP45" s="15">
        <f>F45*$AQ$11</f>
        <v/>
      </c>
      <c r="AQ45" s="9">
        <f>G45*$AQ$11</f>
        <v/>
      </c>
      <c r="AR45" s="30">
        <f>H45*$AQ$11</f>
        <v/>
      </c>
      <c r="AS45" s="30">
        <f>I45*$AQ$11</f>
        <v/>
      </c>
      <c r="AT45" s="30">
        <f>J45*$AQ$11</f>
        <v/>
      </c>
      <c r="AV45" s="15">
        <f>F45*$AW$11</f>
        <v/>
      </c>
      <c r="AW45" s="9">
        <f>G45*$AW$11</f>
        <v/>
      </c>
      <c r="AX45" s="30">
        <f>H45*$AW$11</f>
        <v/>
      </c>
      <c r="AY45" s="30">
        <f>I45*$AW$11</f>
        <v/>
      </c>
      <c r="AZ45" s="30">
        <f>J45*$AW$11</f>
        <v/>
      </c>
    </row>
    <row r="46">
      <c r="A46" s="8" t="n">
        <v>46600</v>
      </c>
      <c r="B46" s="33">
        <f>YEAR(A46)</f>
        <v/>
      </c>
      <c r="C46" s="33">
        <f>MONTH(A46)</f>
        <v/>
      </c>
      <c r="D46">
        <f>IF(A46&lt;=LastActual,"Actual","Forecast")</f>
        <v/>
      </c>
      <c r="E46" s="30">
        <f>'NSW-1'!E46</f>
        <v/>
      </c>
      <c r="F46" s="15">
        <f>IF($D46="Actual",S46,Cases_Forecast!AR39)</f>
        <v/>
      </c>
      <c r="G46" s="9">
        <f>IF($D46="Actual",T46,IFERROR(F46/K46,0))</f>
        <v/>
      </c>
      <c r="H46" s="30">
        <f>IF($D46="Actual",U46,G46*L46)</f>
        <v/>
      </c>
      <c r="I46" s="30">
        <f>IF($D46="Actual",V46,J46-H46)</f>
        <v/>
      </c>
      <c r="J46" s="30">
        <f>IF($D46="Actual",U46+V46,IFERROR(H46/(1-AD46),0))</f>
        <v/>
      </c>
      <c r="K46" s="10">
        <f>IF($D46="Actual",IFERROR(S46/T46,0),CPLH_Forecast!AR39)</f>
        <v/>
      </c>
      <c r="L46" s="34">
        <f>IF($D46="Actual",IFERROR(U46/T46,0),N(AE46))</f>
        <v/>
      </c>
      <c r="M46" s="35">
        <f>IFERROR(J46/F46,0)</f>
        <v/>
      </c>
      <c r="N46" s="36">
        <f>IFERROR(J46/E46,0)</f>
        <v/>
      </c>
      <c r="O46" s="36">
        <f>IFERROR(I46/J46,0)</f>
        <v/>
      </c>
      <c r="R46" s="52">
        <f>IF($D46="Actual",E46,"")</f>
        <v/>
      </c>
      <c r="S46" s="52">
        <f>IF($D46="Actual",SUMIFS(Data_Actuals!$D$2:$D$5000,Data_Actuals!$A$2:$A$5000,$A46,Data_Actuals!$B$2:$B$5000,$B$2),"")</f>
        <v/>
      </c>
      <c r="T46" s="52">
        <f>IF($D46="Actual",SUMIFS(Data_Actuals!$E$2:$E$5000,Data_Actuals!$A$2:$A$5000,$A46,Data_Actuals!$B$2:$B$5000,$B$2),"")</f>
        <v/>
      </c>
      <c r="U46" s="52">
        <f>IF($D46="Actual",SUMIFS(Data_Actuals!$F$2:$F$5000,Data_Actuals!$A$2:$A$5000,$A46,Data_Actuals!$B$2:$B$5000,$B$2),"")</f>
        <v/>
      </c>
      <c r="V46" s="52">
        <f>IF($D46="Actual",SUMIFS(Data_Actuals!$G$2:$G$5000,Data_Actuals!$A$2:$A$5000,$A46,Data_Actuals!$B$2:$B$5000,$B$2),"")</f>
        <v/>
      </c>
      <c r="W46" s="52">
        <f>SUMIFS(Plan_Inputs!$C$2:$C$5000,Plan_Inputs!$A$2:$A$5000,$A46,Plan_Inputs!$B$2:$B$5000,$B$2)</f>
        <v/>
      </c>
      <c r="X46" s="53">
        <f>IF($D46="Actual",IFERROR(S46/T46,""),X34)</f>
        <v/>
      </c>
      <c r="Y46" s="52">
        <f>'NSW-1'!E46+'NSW-2'!E46</f>
        <v/>
      </c>
      <c r="Z46" s="54">
        <f>INDEX(Calendar!$H$5:$L$52,MATCH($A46,Calendar!$A$5:$A$52,0),MATCH($D$2,Calendar!$H$4:$L$4,0))</f>
        <v/>
      </c>
      <c r="AA46" s="54">
        <f>INDEX(Calendar!$M$5:$M$52,MATCH($A46,Calendar!$A$5:$A$52,0))</f>
        <v/>
      </c>
      <c r="AB46" s="55">
        <f>IF($D46="Actual",IFERROR(S46/Y46,""),AB34)</f>
        <v/>
      </c>
      <c r="AC46" s="56">
        <f>IF($D46="Actual",IFERROR(U46/T46/Z46/AA46,""),AC34)</f>
        <v/>
      </c>
      <c r="AD46" s="57">
        <f>IF($D46="Actual",IFERROR(V46/(U46+V46),""),$K$2)</f>
        <v/>
      </c>
      <c r="AE46" s="56">
        <f>IFERROR(AC46*Z46*AA46,"")</f>
        <v/>
      </c>
      <c r="AF46" s="53">
        <f>K34</f>
        <v/>
      </c>
      <c r="AG46" s="57">
        <f>IF($D46="Forecast",IFERROR(K46/AF46-1,""),"")</f>
        <v/>
      </c>
      <c r="AH46" s="53">
        <f>IF(CPLHSource="National breakdown",CPLH_Breakdown!AS51,SUMIFS(Plan_Inputs!$D$2:$D$5000,Plan_Inputs!$A$2:$A$5000,$A46,Plan_Inputs!$B$2:$B$5000,$B$2))</f>
        <v/>
      </c>
      <c r="AJ46" s="15">
        <f>F46*$AK$11</f>
        <v/>
      </c>
      <c r="AK46" s="9">
        <f>G46*$AK$11</f>
        <v/>
      </c>
      <c r="AL46" s="30">
        <f>H46*$AK$11</f>
        <v/>
      </c>
      <c r="AM46" s="30">
        <f>I46*$AK$11</f>
        <v/>
      </c>
      <c r="AN46" s="30">
        <f>J46*$AK$11</f>
        <v/>
      </c>
      <c r="AP46" s="15">
        <f>F46*$AQ$11</f>
        <v/>
      </c>
      <c r="AQ46" s="9">
        <f>G46*$AQ$11</f>
        <v/>
      </c>
      <c r="AR46" s="30">
        <f>H46*$AQ$11</f>
        <v/>
      </c>
      <c r="AS46" s="30">
        <f>I46*$AQ$11</f>
        <v/>
      </c>
      <c r="AT46" s="30">
        <f>J46*$AQ$11</f>
        <v/>
      </c>
      <c r="AV46" s="15">
        <f>F46*$AW$11</f>
        <v/>
      </c>
      <c r="AW46" s="9">
        <f>G46*$AW$11</f>
        <v/>
      </c>
      <c r="AX46" s="30">
        <f>H46*$AW$11</f>
        <v/>
      </c>
      <c r="AY46" s="30">
        <f>I46*$AW$11</f>
        <v/>
      </c>
      <c r="AZ46" s="30">
        <f>J46*$AW$11</f>
        <v/>
      </c>
    </row>
    <row r="47">
      <c r="A47" s="8" t="n">
        <v>46631</v>
      </c>
      <c r="B47" s="33">
        <f>YEAR(A47)</f>
        <v/>
      </c>
      <c r="C47" s="33">
        <f>MONTH(A47)</f>
        <v/>
      </c>
      <c r="D47">
        <f>IF(A47&lt;=LastActual,"Actual","Forecast")</f>
        <v/>
      </c>
      <c r="E47" s="30">
        <f>'NSW-1'!E47</f>
        <v/>
      </c>
      <c r="F47" s="15">
        <f>IF($D47="Actual",S47,Cases_Forecast!AR40)</f>
        <v/>
      </c>
      <c r="G47" s="9">
        <f>IF($D47="Actual",T47,IFERROR(F47/K47,0))</f>
        <v/>
      </c>
      <c r="H47" s="30">
        <f>IF($D47="Actual",U47,G47*L47)</f>
        <v/>
      </c>
      <c r="I47" s="30">
        <f>IF($D47="Actual",V47,J47-H47)</f>
        <v/>
      </c>
      <c r="J47" s="30">
        <f>IF($D47="Actual",U47+V47,IFERROR(H47/(1-AD47),0))</f>
        <v/>
      </c>
      <c r="K47" s="10">
        <f>IF($D47="Actual",IFERROR(S47/T47,0),CPLH_Forecast!AR40)</f>
        <v/>
      </c>
      <c r="L47" s="34">
        <f>IF($D47="Actual",IFERROR(U47/T47,0),N(AE47))</f>
        <v/>
      </c>
      <c r="M47" s="35">
        <f>IFERROR(J47/F47,0)</f>
        <v/>
      </c>
      <c r="N47" s="36">
        <f>IFERROR(J47/E47,0)</f>
        <v/>
      </c>
      <c r="O47" s="36">
        <f>IFERROR(I47/J47,0)</f>
        <v/>
      </c>
      <c r="R47" s="52">
        <f>IF($D47="Actual",E47,"")</f>
        <v/>
      </c>
      <c r="S47" s="52">
        <f>IF($D47="Actual",SUMIFS(Data_Actuals!$D$2:$D$5000,Data_Actuals!$A$2:$A$5000,$A47,Data_Actuals!$B$2:$B$5000,$B$2),"")</f>
        <v/>
      </c>
      <c r="T47" s="52">
        <f>IF($D47="Actual",SUMIFS(Data_Actuals!$E$2:$E$5000,Data_Actuals!$A$2:$A$5000,$A47,Data_Actuals!$B$2:$B$5000,$B$2),"")</f>
        <v/>
      </c>
      <c r="U47" s="52">
        <f>IF($D47="Actual",SUMIFS(Data_Actuals!$F$2:$F$5000,Data_Actuals!$A$2:$A$5000,$A47,Data_Actuals!$B$2:$B$5000,$B$2),"")</f>
        <v/>
      </c>
      <c r="V47" s="52">
        <f>IF($D47="Actual",SUMIFS(Data_Actuals!$G$2:$G$5000,Data_Actuals!$A$2:$A$5000,$A47,Data_Actuals!$B$2:$B$5000,$B$2),"")</f>
        <v/>
      </c>
      <c r="W47" s="52">
        <f>SUMIFS(Plan_Inputs!$C$2:$C$5000,Plan_Inputs!$A$2:$A$5000,$A47,Plan_Inputs!$B$2:$B$5000,$B$2)</f>
        <v/>
      </c>
      <c r="X47" s="53">
        <f>IF($D47="Actual",IFERROR(S47/T47,""),X35)</f>
        <v/>
      </c>
      <c r="Y47" s="52">
        <f>'NSW-1'!E47+'NSW-2'!E47</f>
        <v/>
      </c>
      <c r="Z47" s="54">
        <f>INDEX(Calendar!$H$5:$L$52,MATCH($A47,Calendar!$A$5:$A$52,0),MATCH($D$2,Calendar!$H$4:$L$4,0))</f>
        <v/>
      </c>
      <c r="AA47" s="54">
        <f>INDEX(Calendar!$M$5:$M$52,MATCH($A47,Calendar!$A$5:$A$52,0))</f>
        <v/>
      </c>
      <c r="AB47" s="55">
        <f>IF($D47="Actual",IFERROR(S47/Y47,""),AB35)</f>
        <v/>
      </c>
      <c r="AC47" s="56">
        <f>IF($D47="Actual",IFERROR(U47/T47/Z47/AA47,""),AC35)</f>
        <v/>
      </c>
      <c r="AD47" s="57">
        <f>IF($D47="Actual",IFERROR(V47/(U47+V47),""),$K$2)</f>
        <v/>
      </c>
      <c r="AE47" s="56">
        <f>IFERROR(AC47*Z47*AA47,"")</f>
        <v/>
      </c>
      <c r="AF47" s="53">
        <f>K35</f>
        <v/>
      </c>
      <c r="AG47" s="57">
        <f>IF($D47="Forecast",IFERROR(K47/AF47-1,""),"")</f>
        <v/>
      </c>
      <c r="AH47" s="53">
        <f>IF(CPLHSource="National breakdown",CPLH_Breakdown!AS52,SUMIFS(Plan_Inputs!$D$2:$D$5000,Plan_Inputs!$A$2:$A$5000,$A47,Plan_Inputs!$B$2:$B$5000,$B$2))</f>
        <v/>
      </c>
      <c r="AJ47" s="15">
        <f>F47*$AK$11</f>
        <v/>
      </c>
      <c r="AK47" s="9">
        <f>G47*$AK$11</f>
        <v/>
      </c>
      <c r="AL47" s="30">
        <f>H47*$AK$11</f>
        <v/>
      </c>
      <c r="AM47" s="30">
        <f>I47*$AK$11</f>
        <v/>
      </c>
      <c r="AN47" s="30">
        <f>J47*$AK$11</f>
        <v/>
      </c>
      <c r="AP47" s="15">
        <f>F47*$AQ$11</f>
        <v/>
      </c>
      <c r="AQ47" s="9">
        <f>G47*$AQ$11</f>
        <v/>
      </c>
      <c r="AR47" s="30">
        <f>H47*$AQ$11</f>
        <v/>
      </c>
      <c r="AS47" s="30">
        <f>I47*$AQ$11</f>
        <v/>
      </c>
      <c r="AT47" s="30">
        <f>J47*$AQ$11</f>
        <v/>
      </c>
      <c r="AV47" s="15">
        <f>F47*$AW$11</f>
        <v/>
      </c>
      <c r="AW47" s="9">
        <f>G47*$AW$11</f>
        <v/>
      </c>
      <c r="AX47" s="30">
        <f>H47*$AW$11</f>
        <v/>
      </c>
      <c r="AY47" s="30">
        <f>I47*$AW$11</f>
        <v/>
      </c>
      <c r="AZ47" s="30">
        <f>J47*$AW$11</f>
        <v/>
      </c>
    </row>
    <row r="48">
      <c r="A48" s="8" t="n">
        <v>46661</v>
      </c>
      <c r="B48" s="33">
        <f>YEAR(A48)</f>
        <v/>
      </c>
      <c r="C48" s="33">
        <f>MONTH(A48)</f>
        <v/>
      </c>
      <c r="D48">
        <f>IF(A48&lt;=LastActual,"Actual","Forecast")</f>
        <v/>
      </c>
      <c r="E48" s="30">
        <f>'NSW-1'!E48</f>
        <v/>
      </c>
      <c r="F48" s="15">
        <f>IF($D48="Actual",S48,Cases_Forecast!AR41)</f>
        <v/>
      </c>
      <c r="G48" s="9">
        <f>IF($D48="Actual",T48,IFERROR(F48/K48,0))</f>
        <v/>
      </c>
      <c r="H48" s="30">
        <f>IF($D48="Actual",U48,G48*L48)</f>
        <v/>
      </c>
      <c r="I48" s="30">
        <f>IF($D48="Actual",V48,J48-H48)</f>
        <v/>
      </c>
      <c r="J48" s="30">
        <f>IF($D48="Actual",U48+V48,IFERROR(H48/(1-AD48),0))</f>
        <v/>
      </c>
      <c r="K48" s="10">
        <f>IF($D48="Actual",IFERROR(S48/T48,0),CPLH_Forecast!AR41)</f>
        <v/>
      </c>
      <c r="L48" s="34">
        <f>IF($D48="Actual",IFERROR(U48/T48,0),N(AE48))</f>
        <v/>
      </c>
      <c r="M48" s="35">
        <f>IFERROR(J48/F48,0)</f>
        <v/>
      </c>
      <c r="N48" s="36">
        <f>IFERROR(J48/E48,0)</f>
        <v/>
      </c>
      <c r="O48" s="36">
        <f>IFERROR(I48/J48,0)</f>
        <v/>
      </c>
      <c r="R48" s="52">
        <f>IF($D48="Actual",E48,"")</f>
        <v/>
      </c>
      <c r="S48" s="52">
        <f>IF($D48="Actual",SUMIFS(Data_Actuals!$D$2:$D$5000,Data_Actuals!$A$2:$A$5000,$A48,Data_Actuals!$B$2:$B$5000,$B$2),"")</f>
        <v/>
      </c>
      <c r="T48" s="52">
        <f>IF($D48="Actual",SUMIFS(Data_Actuals!$E$2:$E$5000,Data_Actuals!$A$2:$A$5000,$A48,Data_Actuals!$B$2:$B$5000,$B$2),"")</f>
        <v/>
      </c>
      <c r="U48" s="52">
        <f>IF($D48="Actual",SUMIFS(Data_Actuals!$F$2:$F$5000,Data_Actuals!$A$2:$A$5000,$A48,Data_Actuals!$B$2:$B$5000,$B$2),"")</f>
        <v/>
      </c>
      <c r="V48" s="52">
        <f>IF($D48="Actual",SUMIFS(Data_Actuals!$G$2:$G$5000,Data_Actuals!$A$2:$A$5000,$A48,Data_Actuals!$B$2:$B$5000,$B$2),"")</f>
        <v/>
      </c>
      <c r="W48" s="52">
        <f>SUMIFS(Plan_Inputs!$C$2:$C$5000,Plan_Inputs!$A$2:$A$5000,$A48,Plan_Inputs!$B$2:$B$5000,$B$2)</f>
        <v/>
      </c>
      <c r="X48" s="53">
        <f>IF($D48="Actual",IFERROR(S48/T48,""),X36)</f>
        <v/>
      </c>
      <c r="Y48" s="52">
        <f>'NSW-1'!E48+'NSW-2'!E48</f>
        <v/>
      </c>
      <c r="Z48" s="54">
        <f>INDEX(Calendar!$H$5:$L$52,MATCH($A48,Calendar!$A$5:$A$52,0),MATCH($D$2,Calendar!$H$4:$L$4,0))</f>
        <v/>
      </c>
      <c r="AA48" s="54">
        <f>INDEX(Calendar!$M$5:$M$52,MATCH($A48,Calendar!$A$5:$A$52,0))</f>
        <v/>
      </c>
      <c r="AB48" s="55">
        <f>IF($D48="Actual",IFERROR(S48/Y48,""),AB36)</f>
        <v/>
      </c>
      <c r="AC48" s="56">
        <f>IF($D48="Actual",IFERROR(U48/T48/Z48/AA48,""),AC36)</f>
        <v/>
      </c>
      <c r="AD48" s="57">
        <f>IF($D48="Actual",IFERROR(V48/(U48+V48),""),$K$2)</f>
        <v/>
      </c>
      <c r="AE48" s="56">
        <f>IFERROR(AC48*Z48*AA48,"")</f>
        <v/>
      </c>
      <c r="AF48" s="53">
        <f>K36</f>
        <v/>
      </c>
      <c r="AG48" s="57">
        <f>IF($D48="Forecast",IFERROR(K48/AF48-1,""),"")</f>
        <v/>
      </c>
      <c r="AH48" s="53">
        <f>IF(CPLHSource="National breakdown",CPLH_Breakdown!AS53,SUMIFS(Plan_Inputs!$D$2:$D$5000,Plan_Inputs!$A$2:$A$5000,$A48,Plan_Inputs!$B$2:$B$5000,$B$2))</f>
        <v/>
      </c>
      <c r="AJ48" s="15">
        <f>F48*$AK$11</f>
        <v/>
      </c>
      <c r="AK48" s="9">
        <f>G48*$AK$11</f>
        <v/>
      </c>
      <c r="AL48" s="30">
        <f>H48*$AK$11</f>
        <v/>
      </c>
      <c r="AM48" s="30">
        <f>I48*$AK$11</f>
        <v/>
      </c>
      <c r="AN48" s="30">
        <f>J48*$AK$11</f>
        <v/>
      </c>
      <c r="AP48" s="15">
        <f>F48*$AQ$11</f>
        <v/>
      </c>
      <c r="AQ48" s="9">
        <f>G48*$AQ$11</f>
        <v/>
      </c>
      <c r="AR48" s="30">
        <f>H48*$AQ$11</f>
        <v/>
      </c>
      <c r="AS48" s="30">
        <f>I48*$AQ$11</f>
        <v/>
      </c>
      <c r="AT48" s="30">
        <f>J48*$AQ$11</f>
        <v/>
      </c>
      <c r="AV48" s="15">
        <f>F48*$AW$11</f>
        <v/>
      </c>
      <c r="AW48" s="9">
        <f>G48*$AW$11</f>
        <v/>
      </c>
      <c r="AX48" s="30">
        <f>H48*$AW$11</f>
        <v/>
      </c>
      <c r="AY48" s="30">
        <f>I48*$AW$11</f>
        <v/>
      </c>
      <c r="AZ48" s="30">
        <f>J48*$AW$11</f>
        <v/>
      </c>
    </row>
    <row r="49">
      <c r="A49" s="8" t="n">
        <v>46692</v>
      </c>
      <c r="B49" s="33">
        <f>YEAR(A49)</f>
        <v/>
      </c>
      <c r="C49" s="33">
        <f>MONTH(A49)</f>
        <v/>
      </c>
      <c r="D49">
        <f>IF(A49&lt;=LastActual,"Actual","Forecast")</f>
        <v/>
      </c>
      <c r="E49" s="30">
        <f>'NSW-1'!E49</f>
        <v/>
      </c>
      <c r="F49" s="15">
        <f>IF($D49="Actual",S49,Cases_Forecast!AR42)</f>
        <v/>
      </c>
      <c r="G49" s="9">
        <f>IF($D49="Actual",T49,IFERROR(F49/K49,0))</f>
        <v/>
      </c>
      <c r="H49" s="30">
        <f>IF($D49="Actual",U49,G49*L49)</f>
        <v/>
      </c>
      <c r="I49" s="30">
        <f>IF($D49="Actual",V49,J49-H49)</f>
        <v/>
      </c>
      <c r="J49" s="30">
        <f>IF($D49="Actual",U49+V49,IFERROR(H49/(1-AD49),0))</f>
        <v/>
      </c>
      <c r="K49" s="10">
        <f>IF($D49="Actual",IFERROR(S49/T49,0),CPLH_Forecast!AR42)</f>
        <v/>
      </c>
      <c r="L49" s="34">
        <f>IF($D49="Actual",IFERROR(U49/T49,0),N(AE49))</f>
        <v/>
      </c>
      <c r="M49" s="35">
        <f>IFERROR(J49/F49,0)</f>
        <v/>
      </c>
      <c r="N49" s="36">
        <f>IFERROR(J49/E49,0)</f>
        <v/>
      </c>
      <c r="O49" s="36">
        <f>IFERROR(I49/J49,0)</f>
        <v/>
      </c>
      <c r="R49" s="52">
        <f>IF($D49="Actual",E49,"")</f>
        <v/>
      </c>
      <c r="S49" s="52">
        <f>IF($D49="Actual",SUMIFS(Data_Actuals!$D$2:$D$5000,Data_Actuals!$A$2:$A$5000,$A49,Data_Actuals!$B$2:$B$5000,$B$2),"")</f>
        <v/>
      </c>
      <c r="T49" s="52">
        <f>IF($D49="Actual",SUMIFS(Data_Actuals!$E$2:$E$5000,Data_Actuals!$A$2:$A$5000,$A49,Data_Actuals!$B$2:$B$5000,$B$2),"")</f>
        <v/>
      </c>
      <c r="U49" s="52">
        <f>IF($D49="Actual",SUMIFS(Data_Actuals!$F$2:$F$5000,Data_Actuals!$A$2:$A$5000,$A49,Data_Actuals!$B$2:$B$5000,$B$2),"")</f>
        <v/>
      </c>
      <c r="V49" s="52">
        <f>IF($D49="Actual",SUMIFS(Data_Actuals!$G$2:$G$5000,Data_Actuals!$A$2:$A$5000,$A49,Data_Actuals!$B$2:$B$5000,$B$2),"")</f>
        <v/>
      </c>
      <c r="W49" s="52">
        <f>SUMIFS(Plan_Inputs!$C$2:$C$5000,Plan_Inputs!$A$2:$A$5000,$A49,Plan_Inputs!$B$2:$B$5000,$B$2)</f>
        <v/>
      </c>
      <c r="X49" s="53">
        <f>IF($D49="Actual",IFERROR(S49/T49,""),X37)</f>
        <v/>
      </c>
      <c r="Y49" s="52">
        <f>'NSW-1'!E49+'NSW-2'!E49</f>
        <v/>
      </c>
      <c r="Z49" s="54">
        <f>INDEX(Calendar!$H$5:$L$52,MATCH($A49,Calendar!$A$5:$A$52,0),MATCH($D$2,Calendar!$H$4:$L$4,0))</f>
        <v/>
      </c>
      <c r="AA49" s="54">
        <f>INDEX(Calendar!$M$5:$M$52,MATCH($A49,Calendar!$A$5:$A$52,0))</f>
        <v/>
      </c>
      <c r="AB49" s="55">
        <f>IF($D49="Actual",IFERROR(S49/Y49,""),AB37)</f>
        <v/>
      </c>
      <c r="AC49" s="56">
        <f>IF($D49="Actual",IFERROR(U49/T49/Z49/AA49,""),AC37)</f>
        <v/>
      </c>
      <c r="AD49" s="57">
        <f>IF($D49="Actual",IFERROR(V49/(U49+V49),""),$K$2)</f>
        <v/>
      </c>
      <c r="AE49" s="56">
        <f>IFERROR(AC49*Z49*AA49,"")</f>
        <v/>
      </c>
      <c r="AF49" s="53">
        <f>K37</f>
        <v/>
      </c>
      <c r="AG49" s="57">
        <f>IF($D49="Forecast",IFERROR(K49/AF49-1,""),"")</f>
        <v/>
      </c>
      <c r="AH49" s="53">
        <f>IF(CPLHSource="National breakdown",CPLH_Breakdown!AS54,SUMIFS(Plan_Inputs!$D$2:$D$5000,Plan_Inputs!$A$2:$A$5000,$A49,Plan_Inputs!$B$2:$B$5000,$B$2))</f>
        <v/>
      </c>
      <c r="AJ49" s="15">
        <f>F49*$AK$11</f>
        <v/>
      </c>
      <c r="AK49" s="9">
        <f>G49*$AK$11</f>
        <v/>
      </c>
      <c r="AL49" s="30">
        <f>H49*$AK$11</f>
        <v/>
      </c>
      <c r="AM49" s="30">
        <f>I49*$AK$11</f>
        <v/>
      </c>
      <c r="AN49" s="30">
        <f>J49*$AK$11</f>
        <v/>
      </c>
      <c r="AP49" s="15">
        <f>F49*$AQ$11</f>
        <v/>
      </c>
      <c r="AQ49" s="9">
        <f>G49*$AQ$11</f>
        <v/>
      </c>
      <c r="AR49" s="30">
        <f>H49*$AQ$11</f>
        <v/>
      </c>
      <c r="AS49" s="30">
        <f>I49*$AQ$11</f>
        <v/>
      </c>
      <c r="AT49" s="30">
        <f>J49*$AQ$11</f>
        <v/>
      </c>
      <c r="AV49" s="15">
        <f>F49*$AW$11</f>
        <v/>
      </c>
      <c r="AW49" s="9">
        <f>G49*$AW$11</f>
        <v/>
      </c>
      <c r="AX49" s="30">
        <f>H49*$AW$11</f>
        <v/>
      </c>
      <c r="AY49" s="30">
        <f>I49*$AW$11</f>
        <v/>
      </c>
      <c r="AZ49" s="30">
        <f>J49*$AW$11</f>
        <v/>
      </c>
    </row>
    <row r="50">
      <c r="A50" s="37" t="n">
        <v>46722</v>
      </c>
      <c r="B50" s="38">
        <f>YEAR(A50)</f>
        <v/>
      </c>
      <c r="C50" s="38">
        <f>MONTH(A50)</f>
        <v/>
      </c>
      <c r="D50" s="39">
        <f>IF(A50&lt;=LastActual,"Actual","Forecast")</f>
        <v/>
      </c>
      <c r="E50" s="40">
        <f>'NSW-1'!E50</f>
        <v/>
      </c>
      <c r="F50" s="41">
        <f>IF($D50="Actual",S50,Cases_Forecast!AR43)</f>
        <v/>
      </c>
      <c r="G50" s="42">
        <f>IF($D50="Actual",T50,IFERROR(F50/K50,0))</f>
        <v/>
      </c>
      <c r="H50" s="40">
        <f>IF($D50="Actual",U50,G50*L50)</f>
        <v/>
      </c>
      <c r="I50" s="40">
        <f>IF($D50="Actual",V50,J50-H50)</f>
        <v/>
      </c>
      <c r="J50" s="40">
        <f>IF($D50="Actual",U50+V50,IFERROR(H50/(1-AD50),0))</f>
        <v/>
      </c>
      <c r="K50" s="43">
        <f>IF($D50="Actual",IFERROR(S50/T50,0),CPLH_Forecast!AR43)</f>
        <v/>
      </c>
      <c r="L50" s="44">
        <f>IF($D50="Actual",IFERROR(U50/T50,0),N(AE50))</f>
        <v/>
      </c>
      <c r="M50" s="45">
        <f>IFERROR(J50/F50,0)</f>
        <v/>
      </c>
      <c r="N50" s="46">
        <f>IFERROR(J50/E50,0)</f>
        <v/>
      </c>
      <c r="O50" s="46">
        <f>IFERROR(I50/J50,0)</f>
        <v/>
      </c>
      <c r="R50" s="52">
        <f>IF($D50="Actual",E50,"")</f>
        <v/>
      </c>
      <c r="S50" s="52">
        <f>IF($D50="Actual",SUMIFS(Data_Actuals!$D$2:$D$5000,Data_Actuals!$A$2:$A$5000,$A50,Data_Actuals!$B$2:$B$5000,$B$2),"")</f>
        <v/>
      </c>
      <c r="T50" s="52">
        <f>IF($D50="Actual",SUMIFS(Data_Actuals!$E$2:$E$5000,Data_Actuals!$A$2:$A$5000,$A50,Data_Actuals!$B$2:$B$5000,$B$2),"")</f>
        <v/>
      </c>
      <c r="U50" s="52">
        <f>IF($D50="Actual",SUMIFS(Data_Actuals!$F$2:$F$5000,Data_Actuals!$A$2:$A$5000,$A50,Data_Actuals!$B$2:$B$5000,$B$2),"")</f>
        <v/>
      </c>
      <c r="V50" s="52">
        <f>IF($D50="Actual",SUMIFS(Data_Actuals!$G$2:$G$5000,Data_Actuals!$A$2:$A$5000,$A50,Data_Actuals!$B$2:$B$5000,$B$2),"")</f>
        <v/>
      </c>
      <c r="W50" s="52">
        <f>SUMIFS(Plan_Inputs!$C$2:$C$5000,Plan_Inputs!$A$2:$A$5000,$A50,Plan_Inputs!$B$2:$B$5000,$B$2)</f>
        <v/>
      </c>
      <c r="X50" s="53">
        <f>IF($D50="Actual",IFERROR(S50/T50,""),X38)</f>
        <v/>
      </c>
      <c r="Y50" s="52">
        <f>'NSW-1'!E50+'NSW-2'!E50</f>
        <v/>
      </c>
      <c r="Z50" s="54">
        <f>INDEX(Calendar!$H$5:$L$52,MATCH($A50,Calendar!$A$5:$A$52,0),MATCH($D$2,Calendar!$H$4:$L$4,0))</f>
        <v/>
      </c>
      <c r="AA50" s="54">
        <f>INDEX(Calendar!$M$5:$M$52,MATCH($A50,Calendar!$A$5:$A$52,0))</f>
        <v/>
      </c>
      <c r="AB50" s="55">
        <f>IF($D50="Actual",IFERROR(S50/Y50,""),AB38)</f>
        <v/>
      </c>
      <c r="AC50" s="56">
        <f>IF($D50="Actual",IFERROR(U50/T50/Z50/AA50,""),AC38)</f>
        <v/>
      </c>
      <c r="AD50" s="57">
        <f>IF($D50="Actual",IFERROR(V50/(U50+V50),""),$K$2)</f>
        <v/>
      </c>
      <c r="AE50" s="56">
        <f>IFERROR(AC50*Z50*AA50,"")</f>
        <v/>
      </c>
      <c r="AF50" s="53">
        <f>K38</f>
        <v/>
      </c>
      <c r="AG50" s="57">
        <f>IF($D50="Forecast",IFERROR(K50/AF50-1,""),"")</f>
        <v/>
      </c>
      <c r="AH50" s="53">
        <f>IF(CPLHSource="National breakdown",CPLH_Breakdown!AS55,SUMIFS(Plan_Inputs!$D$2:$D$5000,Plan_Inputs!$A$2:$A$5000,$A50,Plan_Inputs!$B$2:$B$5000,$B$2))</f>
        <v/>
      </c>
      <c r="AJ50" s="41">
        <f>F50*$AK$11</f>
        <v/>
      </c>
      <c r="AK50" s="42">
        <f>G50*$AK$11</f>
        <v/>
      </c>
      <c r="AL50" s="40">
        <f>H50*$AK$11</f>
        <v/>
      </c>
      <c r="AM50" s="40">
        <f>I50*$AK$11</f>
        <v/>
      </c>
      <c r="AN50" s="40">
        <f>J50*$AK$11</f>
        <v/>
      </c>
      <c r="AP50" s="41">
        <f>F50*$AQ$11</f>
        <v/>
      </c>
      <c r="AQ50" s="42">
        <f>G50*$AQ$11</f>
        <v/>
      </c>
      <c r="AR50" s="40">
        <f>H50*$AQ$11</f>
        <v/>
      </c>
      <c r="AS50" s="40">
        <f>I50*$AQ$11</f>
        <v/>
      </c>
      <c r="AT50" s="40">
        <f>J50*$AQ$11</f>
        <v/>
      </c>
      <c r="AV50" s="41">
        <f>F50*$AW$11</f>
        <v/>
      </c>
      <c r="AW50" s="42">
        <f>G50*$AW$11</f>
        <v/>
      </c>
      <c r="AX50" s="40">
        <f>H50*$AW$11</f>
        <v/>
      </c>
      <c r="AY50" s="40">
        <f>I50*$AW$11</f>
        <v/>
      </c>
      <c r="AZ50" s="40">
        <f>J50*$AW$11</f>
        <v/>
      </c>
    </row>
    <row r="51">
      <c r="A51" s="8" t="n">
        <v>46753</v>
      </c>
      <c r="B51" s="33">
        <f>YEAR(A51)</f>
        <v/>
      </c>
      <c r="C51" s="33">
        <f>MONTH(A51)</f>
        <v/>
      </c>
      <c r="D51">
        <f>IF(A51&lt;=LastActual,"Actual","Forecast")</f>
        <v/>
      </c>
      <c r="E51" s="30">
        <f>'NSW-1'!E51</f>
        <v/>
      </c>
      <c r="F51" s="15">
        <f>IF($D51="Actual",S51,Cases_Forecast!AR44)</f>
        <v/>
      </c>
      <c r="G51" s="9">
        <f>IF($D51="Actual",T51,IFERROR(F51/K51,0))</f>
        <v/>
      </c>
      <c r="H51" s="30">
        <f>IF($D51="Actual",U51,G51*L51)</f>
        <v/>
      </c>
      <c r="I51" s="30">
        <f>IF($D51="Actual",V51,J51-H51)</f>
        <v/>
      </c>
      <c r="J51" s="30">
        <f>IF($D51="Actual",U51+V51,IFERROR(H51/(1-AD51),0))</f>
        <v/>
      </c>
      <c r="K51" s="10">
        <f>IF($D51="Actual",IFERROR(S51/T51,0),CPLH_Forecast!AR44)</f>
        <v/>
      </c>
      <c r="L51" s="34">
        <f>IF($D51="Actual",IFERROR(U51/T51,0),N(AE51))</f>
        <v/>
      </c>
      <c r="M51" s="35">
        <f>IFERROR(J51/F51,0)</f>
        <v/>
      </c>
      <c r="N51" s="36">
        <f>IFERROR(J51/E51,0)</f>
        <v/>
      </c>
      <c r="O51" s="36">
        <f>IFERROR(I51/J51,0)</f>
        <v/>
      </c>
      <c r="R51" s="52">
        <f>IF($D51="Actual",E51,"")</f>
        <v/>
      </c>
      <c r="S51" s="52">
        <f>IF($D51="Actual",SUMIFS(Data_Actuals!$D$2:$D$5000,Data_Actuals!$A$2:$A$5000,$A51,Data_Actuals!$B$2:$B$5000,$B$2),"")</f>
        <v/>
      </c>
      <c r="T51" s="52">
        <f>IF($D51="Actual",SUMIFS(Data_Actuals!$E$2:$E$5000,Data_Actuals!$A$2:$A$5000,$A51,Data_Actuals!$B$2:$B$5000,$B$2),"")</f>
        <v/>
      </c>
      <c r="U51" s="52">
        <f>IF($D51="Actual",SUMIFS(Data_Actuals!$F$2:$F$5000,Data_Actuals!$A$2:$A$5000,$A51,Data_Actuals!$B$2:$B$5000,$B$2),"")</f>
        <v/>
      </c>
      <c r="V51" s="52">
        <f>IF($D51="Actual",SUMIFS(Data_Actuals!$G$2:$G$5000,Data_Actuals!$A$2:$A$5000,$A51,Data_Actuals!$B$2:$B$5000,$B$2),"")</f>
        <v/>
      </c>
      <c r="W51" s="52">
        <f>SUMIFS(Plan_Inputs!$C$2:$C$5000,Plan_Inputs!$A$2:$A$5000,$A51,Plan_Inputs!$B$2:$B$5000,$B$2)</f>
        <v/>
      </c>
      <c r="X51" s="53">
        <f>IF($D51="Actual",IFERROR(S51/T51,""),X39)</f>
        <v/>
      </c>
      <c r="Y51" s="52">
        <f>'NSW-1'!E51+'NSW-2'!E51</f>
        <v/>
      </c>
      <c r="Z51" s="54">
        <f>INDEX(Calendar!$H$5:$L$52,MATCH($A51,Calendar!$A$5:$A$52,0),MATCH($D$2,Calendar!$H$4:$L$4,0))</f>
        <v/>
      </c>
      <c r="AA51" s="54">
        <f>INDEX(Calendar!$M$5:$M$52,MATCH($A51,Calendar!$A$5:$A$52,0))</f>
        <v/>
      </c>
      <c r="AB51" s="55">
        <f>IF($D51="Actual",IFERROR(S51/Y51,""),AB39)</f>
        <v/>
      </c>
      <c r="AC51" s="56">
        <f>IF($D51="Actual",IFERROR(U51/T51/Z51/AA51,""),AC39)</f>
        <v/>
      </c>
      <c r="AD51" s="57">
        <f>IF($D51="Actual",IFERROR(V51/(U51+V51),""),$K$2)</f>
        <v/>
      </c>
      <c r="AE51" s="56">
        <f>IFERROR(AC51*Z51*AA51,"")</f>
        <v/>
      </c>
      <c r="AF51" s="53">
        <f>K39</f>
        <v/>
      </c>
      <c r="AG51" s="57">
        <f>IF($D51="Forecast",IFERROR(K51/AF51-1,""),"")</f>
        <v/>
      </c>
      <c r="AH51" s="53">
        <f>IF(CPLHSource="National breakdown",CPLH_Breakdown!AS56,SUMIFS(Plan_Inputs!$D$2:$D$5000,Plan_Inputs!$A$2:$A$5000,$A51,Plan_Inputs!$B$2:$B$5000,$B$2))</f>
        <v/>
      </c>
      <c r="AJ51" s="15">
        <f>F51*$AK$11</f>
        <v/>
      </c>
      <c r="AK51" s="9">
        <f>G51*$AK$11</f>
        <v/>
      </c>
      <c r="AL51" s="30">
        <f>H51*$AK$11</f>
        <v/>
      </c>
      <c r="AM51" s="30">
        <f>I51*$AK$11</f>
        <v/>
      </c>
      <c r="AN51" s="30">
        <f>J51*$AK$11</f>
        <v/>
      </c>
      <c r="AP51" s="15">
        <f>F51*$AQ$11</f>
        <v/>
      </c>
      <c r="AQ51" s="9">
        <f>G51*$AQ$11</f>
        <v/>
      </c>
      <c r="AR51" s="30">
        <f>H51*$AQ$11</f>
        <v/>
      </c>
      <c r="AS51" s="30">
        <f>I51*$AQ$11</f>
        <v/>
      </c>
      <c r="AT51" s="30">
        <f>J51*$AQ$11</f>
        <v/>
      </c>
      <c r="AV51" s="15">
        <f>F51*$AW$11</f>
        <v/>
      </c>
      <c r="AW51" s="9">
        <f>G51*$AW$11</f>
        <v/>
      </c>
      <c r="AX51" s="30">
        <f>H51*$AW$11</f>
        <v/>
      </c>
      <c r="AY51" s="30">
        <f>I51*$AW$11</f>
        <v/>
      </c>
      <c r="AZ51" s="30">
        <f>J51*$AW$11</f>
        <v/>
      </c>
    </row>
    <row r="52">
      <c r="A52" s="8" t="n">
        <v>46784</v>
      </c>
      <c r="B52" s="33">
        <f>YEAR(A52)</f>
        <v/>
      </c>
      <c r="C52" s="33">
        <f>MONTH(A52)</f>
        <v/>
      </c>
      <c r="D52">
        <f>IF(A52&lt;=LastActual,"Actual","Forecast")</f>
        <v/>
      </c>
      <c r="E52" s="30">
        <f>'NSW-1'!E52</f>
        <v/>
      </c>
      <c r="F52" s="15">
        <f>IF($D52="Actual",S52,Cases_Forecast!AR45)</f>
        <v/>
      </c>
      <c r="G52" s="9">
        <f>IF($D52="Actual",T52,IFERROR(F52/K52,0))</f>
        <v/>
      </c>
      <c r="H52" s="30">
        <f>IF($D52="Actual",U52,G52*L52)</f>
        <v/>
      </c>
      <c r="I52" s="30">
        <f>IF($D52="Actual",V52,J52-H52)</f>
        <v/>
      </c>
      <c r="J52" s="30">
        <f>IF($D52="Actual",U52+V52,IFERROR(H52/(1-AD52),0))</f>
        <v/>
      </c>
      <c r="K52" s="10">
        <f>IF($D52="Actual",IFERROR(S52/T52,0),CPLH_Forecast!AR45)</f>
        <v/>
      </c>
      <c r="L52" s="34">
        <f>IF($D52="Actual",IFERROR(U52/T52,0),N(AE52))</f>
        <v/>
      </c>
      <c r="M52" s="35">
        <f>IFERROR(J52/F52,0)</f>
        <v/>
      </c>
      <c r="N52" s="36">
        <f>IFERROR(J52/E52,0)</f>
        <v/>
      </c>
      <c r="O52" s="36">
        <f>IFERROR(I52/J52,0)</f>
        <v/>
      </c>
      <c r="R52" s="52">
        <f>IF($D52="Actual",E52,"")</f>
        <v/>
      </c>
      <c r="S52" s="52">
        <f>IF($D52="Actual",SUMIFS(Data_Actuals!$D$2:$D$5000,Data_Actuals!$A$2:$A$5000,$A52,Data_Actuals!$B$2:$B$5000,$B$2),"")</f>
        <v/>
      </c>
      <c r="T52" s="52">
        <f>IF($D52="Actual",SUMIFS(Data_Actuals!$E$2:$E$5000,Data_Actuals!$A$2:$A$5000,$A52,Data_Actuals!$B$2:$B$5000,$B$2),"")</f>
        <v/>
      </c>
      <c r="U52" s="52">
        <f>IF($D52="Actual",SUMIFS(Data_Actuals!$F$2:$F$5000,Data_Actuals!$A$2:$A$5000,$A52,Data_Actuals!$B$2:$B$5000,$B$2),"")</f>
        <v/>
      </c>
      <c r="V52" s="52">
        <f>IF($D52="Actual",SUMIFS(Data_Actuals!$G$2:$G$5000,Data_Actuals!$A$2:$A$5000,$A52,Data_Actuals!$B$2:$B$5000,$B$2),"")</f>
        <v/>
      </c>
      <c r="W52" s="52">
        <f>SUMIFS(Plan_Inputs!$C$2:$C$5000,Plan_Inputs!$A$2:$A$5000,$A52,Plan_Inputs!$B$2:$B$5000,$B$2)</f>
        <v/>
      </c>
      <c r="X52" s="53">
        <f>IF($D52="Actual",IFERROR(S52/T52,""),X40)</f>
        <v/>
      </c>
      <c r="Y52" s="52">
        <f>'NSW-1'!E52+'NSW-2'!E52</f>
        <v/>
      </c>
      <c r="Z52" s="54">
        <f>INDEX(Calendar!$H$5:$L$52,MATCH($A52,Calendar!$A$5:$A$52,0),MATCH($D$2,Calendar!$H$4:$L$4,0))</f>
        <v/>
      </c>
      <c r="AA52" s="54">
        <f>INDEX(Calendar!$M$5:$M$52,MATCH($A52,Calendar!$A$5:$A$52,0))</f>
        <v/>
      </c>
      <c r="AB52" s="55">
        <f>IF($D52="Actual",IFERROR(S52/Y52,""),AB40)</f>
        <v/>
      </c>
      <c r="AC52" s="56">
        <f>IF($D52="Actual",IFERROR(U52/T52/Z52/AA52,""),AC40)</f>
        <v/>
      </c>
      <c r="AD52" s="57">
        <f>IF($D52="Actual",IFERROR(V52/(U52+V52),""),$K$2)</f>
        <v/>
      </c>
      <c r="AE52" s="56">
        <f>IFERROR(AC52*Z52*AA52,"")</f>
        <v/>
      </c>
      <c r="AF52" s="53">
        <f>K40</f>
        <v/>
      </c>
      <c r="AG52" s="57">
        <f>IF($D52="Forecast",IFERROR(K52/AF52-1,""),"")</f>
        <v/>
      </c>
      <c r="AH52" s="53">
        <f>IF(CPLHSource="National breakdown",CPLH_Breakdown!AS57,SUMIFS(Plan_Inputs!$D$2:$D$5000,Plan_Inputs!$A$2:$A$5000,$A52,Plan_Inputs!$B$2:$B$5000,$B$2))</f>
        <v/>
      </c>
      <c r="AJ52" s="15">
        <f>F52*$AK$11</f>
        <v/>
      </c>
      <c r="AK52" s="9">
        <f>G52*$AK$11</f>
        <v/>
      </c>
      <c r="AL52" s="30">
        <f>H52*$AK$11</f>
        <v/>
      </c>
      <c r="AM52" s="30">
        <f>I52*$AK$11</f>
        <v/>
      </c>
      <c r="AN52" s="30">
        <f>J52*$AK$11</f>
        <v/>
      </c>
      <c r="AP52" s="15">
        <f>F52*$AQ$11</f>
        <v/>
      </c>
      <c r="AQ52" s="9">
        <f>G52*$AQ$11</f>
        <v/>
      </c>
      <c r="AR52" s="30">
        <f>H52*$AQ$11</f>
        <v/>
      </c>
      <c r="AS52" s="30">
        <f>I52*$AQ$11</f>
        <v/>
      </c>
      <c r="AT52" s="30">
        <f>J52*$AQ$11</f>
        <v/>
      </c>
      <c r="AV52" s="15">
        <f>F52*$AW$11</f>
        <v/>
      </c>
      <c r="AW52" s="9">
        <f>G52*$AW$11</f>
        <v/>
      </c>
      <c r="AX52" s="30">
        <f>H52*$AW$11</f>
        <v/>
      </c>
      <c r="AY52" s="30">
        <f>I52*$AW$11</f>
        <v/>
      </c>
      <c r="AZ52" s="30">
        <f>J52*$AW$11</f>
        <v/>
      </c>
    </row>
    <row r="53">
      <c r="A53" s="8" t="n">
        <v>46813</v>
      </c>
      <c r="B53" s="33">
        <f>YEAR(A53)</f>
        <v/>
      </c>
      <c r="C53" s="33">
        <f>MONTH(A53)</f>
        <v/>
      </c>
      <c r="D53">
        <f>IF(A53&lt;=LastActual,"Actual","Forecast")</f>
        <v/>
      </c>
      <c r="E53" s="30">
        <f>'NSW-1'!E53</f>
        <v/>
      </c>
      <c r="F53" s="15">
        <f>IF($D53="Actual",S53,Cases_Forecast!AR46)</f>
        <v/>
      </c>
      <c r="G53" s="9">
        <f>IF($D53="Actual",T53,IFERROR(F53/K53,0))</f>
        <v/>
      </c>
      <c r="H53" s="30">
        <f>IF($D53="Actual",U53,G53*L53)</f>
        <v/>
      </c>
      <c r="I53" s="30">
        <f>IF($D53="Actual",V53,J53-H53)</f>
        <v/>
      </c>
      <c r="J53" s="30">
        <f>IF($D53="Actual",U53+V53,IFERROR(H53/(1-AD53),0))</f>
        <v/>
      </c>
      <c r="K53" s="10">
        <f>IF($D53="Actual",IFERROR(S53/T53,0),CPLH_Forecast!AR46)</f>
        <v/>
      </c>
      <c r="L53" s="34">
        <f>IF($D53="Actual",IFERROR(U53/T53,0),N(AE53))</f>
        <v/>
      </c>
      <c r="M53" s="35">
        <f>IFERROR(J53/F53,0)</f>
        <v/>
      </c>
      <c r="N53" s="36">
        <f>IFERROR(J53/E53,0)</f>
        <v/>
      </c>
      <c r="O53" s="36">
        <f>IFERROR(I53/J53,0)</f>
        <v/>
      </c>
      <c r="R53" s="52">
        <f>IF($D53="Actual",E53,"")</f>
        <v/>
      </c>
      <c r="S53" s="52">
        <f>IF($D53="Actual",SUMIFS(Data_Actuals!$D$2:$D$5000,Data_Actuals!$A$2:$A$5000,$A53,Data_Actuals!$B$2:$B$5000,$B$2),"")</f>
        <v/>
      </c>
      <c r="T53" s="52">
        <f>IF($D53="Actual",SUMIFS(Data_Actuals!$E$2:$E$5000,Data_Actuals!$A$2:$A$5000,$A53,Data_Actuals!$B$2:$B$5000,$B$2),"")</f>
        <v/>
      </c>
      <c r="U53" s="52">
        <f>IF($D53="Actual",SUMIFS(Data_Actuals!$F$2:$F$5000,Data_Actuals!$A$2:$A$5000,$A53,Data_Actuals!$B$2:$B$5000,$B$2),"")</f>
        <v/>
      </c>
      <c r="V53" s="52">
        <f>IF($D53="Actual",SUMIFS(Data_Actuals!$G$2:$G$5000,Data_Actuals!$A$2:$A$5000,$A53,Data_Actuals!$B$2:$B$5000,$B$2),"")</f>
        <v/>
      </c>
      <c r="W53" s="52">
        <f>SUMIFS(Plan_Inputs!$C$2:$C$5000,Plan_Inputs!$A$2:$A$5000,$A53,Plan_Inputs!$B$2:$B$5000,$B$2)</f>
        <v/>
      </c>
      <c r="X53" s="53">
        <f>IF($D53="Actual",IFERROR(S53/T53,""),X41)</f>
        <v/>
      </c>
      <c r="Y53" s="52">
        <f>'NSW-1'!E53+'NSW-2'!E53</f>
        <v/>
      </c>
      <c r="Z53" s="54">
        <f>INDEX(Calendar!$H$5:$L$52,MATCH($A53,Calendar!$A$5:$A$52,0),MATCH($D$2,Calendar!$H$4:$L$4,0))</f>
        <v/>
      </c>
      <c r="AA53" s="54">
        <f>INDEX(Calendar!$M$5:$M$52,MATCH($A53,Calendar!$A$5:$A$52,0))</f>
        <v/>
      </c>
      <c r="AB53" s="55">
        <f>IF($D53="Actual",IFERROR(S53/Y53,""),AB41)</f>
        <v/>
      </c>
      <c r="AC53" s="56">
        <f>IF($D53="Actual",IFERROR(U53/T53/Z53/AA53,""),AC41)</f>
        <v/>
      </c>
      <c r="AD53" s="57">
        <f>IF($D53="Actual",IFERROR(V53/(U53+V53),""),$K$2)</f>
        <v/>
      </c>
      <c r="AE53" s="56">
        <f>IFERROR(AC53*Z53*AA53,"")</f>
        <v/>
      </c>
      <c r="AF53" s="53">
        <f>K41</f>
        <v/>
      </c>
      <c r="AG53" s="57">
        <f>IF($D53="Forecast",IFERROR(K53/AF53-1,""),"")</f>
        <v/>
      </c>
      <c r="AH53" s="53">
        <f>IF(CPLHSource="National breakdown",CPLH_Breakdown!AS58,SUMIFS(Plan_Inputs!$D$2:$D$5000,Plan_Inputs!$A$2:$A$5000,$A53,Plan_Inputs!$B$2:$B$5000,$B$2))</f>
        <v/>
      </c>
      <c r="AJ53" s="15">
        <f>F53*$AK$11</f>
        <v/>
      </c>
      <c r="AK53" s="9">
        <f>G53*$AK$11</f>
        <v/>
      </c>
      <c r="AL53" s="30">
        <f>H53*$AK$11</f>
        <v/>
      </c>
      <c r="AM53" s="30">
        <f>I53*$AK$11</f>
        <v/>
      </c>
      <c r="AN53" s="30">
        <f>J53*$AK$11</f>
        <v/>
      </c>
      <c r="AP53" s="15">
        <f>F53*$AQ$11</f>
        <v/>
      </c>
      <c r="AQ53" s="9">
        <f>G53*$AQ$11</f>
        <v/>
      </c>
      <c r="AR53" s="30">
        <f>H53*$AQ$11</f>
        <v/>
      </c>
      <c r="AS53" s="30">
        <f>I53*$AQ$11</f>
        <v/>
      </c>
      <c r="AT53" s="30">
        <f>J53*$AQ$11</f>
        <v/>
      </c>
      <c r="AV53" s="15">
        <f>F53*$AW$11</f>
        <v/>
      </c>
      <c r="AW53" s="9">
        <f>G53*$AW$11</f>
        <v/>
      </c>
      <c r="AX53" s="30">
        <f>H53*$AW$11</f>
        <v/>
      </c>
      <c r="AY53" s="30">
        <f>I53*$AW$11</f>
        <v/>
      </c>
      <c r="AZ53" s="30">
        <f>J53*$AW$11</f>
        <v/>
      </c>
    </row>
    <row r="54">
      <c r="A54" s="8" t="n">
        <v>46844</v>
      </c>
      <c r="B54" s="33">
        <f>YEAR(A54)</f>
        <v/>
      </c>
      <c r="C54" s="33">
        <f>MONTH(A54)</f>
        <v/>
      </c>
      <c r="D54">
        <f>IF(A54&lt;=LastActual,"Actual","Forecast")</f>
        <v/>
      </c>
      <c r="E54" s="30">
        <f>'NSW-1'!E54</f>
        <v/>
      </c>
      <c r="F54" s="15">
        <f>IF($D54="Actual",S54,Cases_Forecast!AR47)</f>
        <v/>
      </c>
      <c r="G54" s="9">
        <f>IF($D54="Actual",T54,IFERROR(F54/K54,0))</f>
        <v/>
      </c>
      <c r="H54" s="30">
        <f>IF($D54="Actual",U54,G54*L54)</f>
        <v/>
      </c>
      <c r="I54" s="30">
        <f>IF($D54="Actual",V54,J54-H54)</f>
        <v/>
      </c>
      <c r="J54" s="30">
        <f>IF($D54="Actual",U54+V54,IFERROR(H54/(1-AD54),0))</f>
        <v/>
      </c>
      <c r="K54" s="10">
        <f>IF($D54="Actual",IFERROR(S54/T54,0),CPLH_Forecast!AR47)</f>
        <v/>
      </c>
      <c r="L54" s="34">
        <f>IF($D54="Actual",IFERROR(U54/T54,0),N(AE54))</f>
        <v/>
      </c>
      <c r="M54" s="35">
        <f>IFERROR(J54/F54,0)</f>
        <v/>
      </c>
      <c r="N54" s="36">
        <f>IFERROR(J54/E54,0)</f>
        <v/>
      </c>
      <c r="O54" s="36">
        <f>IFERROR(I54/J54,0)</f>
        <v/>
      </c>
      <c r="R54" s="52">
        <f>IF($D54="Actual",E54,"")</f>
        <v/>
      </c>
      <c r="S54" s="52">
        <f>IF($D54="Actual",SUMIFS(Data_Actuals!$D$2:$D$5000,Data_Actuals!$A$2:$A$5000,$A54,Data_Actuals!$B$2:$B$5000,$B$2),"")</f>
        <v/>
      </c>
      <c r="T54" s="52">
        <f>IF($D54="Actual",SUMIFS(Data_Actuals!$E$2:$E$5000,Data_Actuals!$A$2:$A$5000,$A54,Data_Actuals!$B$2:$B$5000,$B$2),"")</f>
        <v/>
      </c>
      <c r="U54" s="52">
        <f>IF($D54="Actual",SUMIFS(Data_Actuals!$F$2:$F$5000,Data_Actuals!$A$2:$A$5000,$A54,Data_Actuals!$B$2:$B$5000,$B$2),"")</f>
        <v/>
      </c>
      <c r="V54" s="52">
        <f>IF($D54="Actual",SUMIFS(Data_Actuals!$G$2:$G$5000,Data_Actuals!$A$2:$A$5000,$A54,Data_Actuals!$B$2:$B$5000,$B$2),"")</f>
        <v/>
      </c>
      <c r="W54" s="52">
        <f>SUMIFS(Plan_Inputs!$C$2:$C$5000,Plan_Inputs!$A$2:$A$5000,$A54,Plan_Inputs!$B$2:$B$5000,$B$2)</f>
        <v/>
      </c>
      <c r="X54" s="53">
        <f>IF($D54="Actual",IFERROR(S54/T54,""),X42)</f>
        <v/>
      </c>
      <c r="Y54" s="52">
        <f>'NSW-1'!E54+'NSW-2'!E54</f>
        <v/>
      </c>
      <c r="Z54" s="54">
        <f>INDEX(Calendar!$H$5:$L$52,MATCH($A54,Calendar!$A$5:$A$52,0),MATCH($D$2,Calendar!$H$4:$L$4,0))</f>
        <v/>
      </c>
      <c r="AA54" s="54">
        <f>INDEX(Calendar!$M$5:$M$52,MATCH($A54,Calendar!$A$5:$A$52,0))</f>
        <v/>
      </c>
      <c r="AB54" s="55">
        <f>IF($D54="Actual",IFERROR(S54/Y54,""),AB42)</f>
        <v/>
      </c>
      <c r="AC54" s="56">
        <f>IF($D54="Actual",IFERROR(U54/T54/Z54/AA54,""),AC42)</f>
        <v/>
      </c>
      <c r="AD54" s="57">
        <f>IF($D54="Actual",IFERROR(V54/(U54+V54),""),$K$2)</f>
        <v/>
      </c>
      <c r="AE54" s="56">
        <f>IFERROR(AC54*Z54*AA54,"")</f>
        <v/>
      </c>
      <c r="AF54" s="53">
        <f>K42</f>
        <v/>
      </c>
      <c r="AG54" s="57">
        <f>IF($D54="Forecast",IFERROR(K54/AF54-1,""),"")</f>
        <v/>
      </c>
      <c r="AH54" s="53">
        <f>IF(CPLHSource="National breakdown",CPLH_Breakdown!AS59,SUMIFS(Plan_Inputs!$D$2:$D$5000,Plan_Inputs!$A$2:$A$5000,$A54,Plan_Inputs!$B$2:$B$5000,$B$2))</f>
        <v/>
      </c>
      <c r="AJ54" s="15">
        <f>F54*$AK$11</f>
        <v/>
      </c>
      <c r="AK54" s="9">
        <f>G54*$AK$11</f>
        <v/>
      </c>
      <c r="AL54" s="30">
        <f>H54*$AK$11</f>
        <v/>
      </c>
      <c r="AM54" s="30">
        <f>I54*$AK$11</f>
        <v/>
      </c>
      <c r="AN54" s="30">
        <f>J54*$AK$11</f>
        <v/>
      </c>
      <c r="AP54" s="15">
        <f>F54*$AQ$11</f>
        <v/>
      </c>
      <c r="AQ54" s="9">
        <f>G54*$AQ$11</f>
        <v/>
      </c>
      <c r="AR54" s="30">
        <f>H54*$AQ$11</f>
        <v/>
      </c>
      <c r="AS54" s="30">
        <f>I54*$AQ$11</f>
        <v/>
      </c>
      <c r="AT54" s="30">
        <f>J54*$AQ$11</f>
        <v/>
      </c>
      <c r="AV54" s="15">
        <f>F54*$AW$11</f>
        <v/>
      </c>
      <c r="AW54" s="9">
        <f>G54*$AW$11</f>
        <v/>
      </c>
      <c r="AX54" s="30">
        <f>H54*$AW$11</f>
        <v/>
      </c>
      <c r="AY54" s="30">
        <f>I54*$AW$11</f>
        <v/>
      </c>
      <c r="AZ54" s="30">
        <f>J54*$AW$11</f>
        <v/>
      </c>
    </row>
    <row r="55">
      <c r="A55" s="8" t="n">
        <v>46874</v>
      </c>
      <c r="B55" s="33">
        <f>YEAR(A55)</f>
        <v/>
      </c>
      <c r="C55" s="33">
        <f>MONTH(A55)</f>
        <v/>
      </c>
      <c r="D55">
        <f>IF(A55&lt;=LastActual,"Actual","Forecast")</f>
        <v/>
      </c>
      <c r="E55" s="30">
        <f>'NSW-1'!E55</f>
        <v/>
      </c>
      <c r="F55" s="15">
        <f>IF($D55="Actual",S55,Cases_Forecast!AR48)</f>
        <v/>
      </c>
      <c r="G55" s="9">
        <f>IF($D55="Actual",T55,IFERROR(F55/K55,0))</f>
        <v/>
      </c>
      <c r="H55" s="30">
        <f>IF($D55="Actual",U55,G55*L55)</f>
        <v/>
      </c>
      <c r="I55" s="30">
        <f>IF($D55="Actual",V55,J55-H55)</f>
        <v/>
      </c>
      <c r="J55" s="30">
        <f>IF($D55="Actual",U55+V55,IFERROR(H55/(1-AD55),0))</f>
        <v/>
      </c>
      <c r="K55" s="10">
        <f>IF($D55="Actual",IFERROR(S55/T55,0),CPLH_Forecast!AR48)</f>
        <v/>
      </c>
      <c r="L55" s="34">
        <f>IF($D55="Actual",IFERROR(U55/T55,0),N(AE55))</f>
        <v/>
      </c>
      <c r="M55" s="35">
        <f>IFERROR(J55/F55,0)</f>
        <v/>
      </c>
      <c r="N55" s="36">
        <f>IFERROR(J55/E55,0)</f>
        <v/>
      </c>
      <c r="O55" s="36">
        <f>IFERROR(I55/J55,0)</f>
        <v/>
      </c>
      <c r="R55" s="52">
        <f>IF($D55="Actual",E55,"")</f>
        <v/>
      </c>
      <c r="S55" s="52">
        <f>IF($D55="Actual",SUMIFS(Data_Actuals!$D$2:$D$5000,Data_Actuals!$A$2:$A$5000,$A55,Data_Actuals!$B$2:$B$5000,$B$2),"")</f>
        <v/>
      </c>
      <c r="T55" s="52">
        <f>IF($D55="Actual",SUMIFS(Data_Actuals!$E$2:$E$5000,Data_Actuals!$A$2:$A$5000,$A55,Data_Actuals!$B$2:$B$5000,$B$2),"")</f>
        <v/>
      </c>
      <c r="U55" s="52">
        <f>IF($D55="Actual",SUMIFS(Data_Actuals!$F$2:$F$5000,Data_Actuals!$A$2:$A$5000,$A55,Data_Actuals!$B$2:$B$5000,$B$2),"")</f>
        <v/>
      </c>
      <c r="V55" s="52">
        <f>IF($D55="Actual",SUMIFS(Data_Actuals!$G$2:$G$5000,Data_Actuals!$A$2:$A$5000,$A55,Data_Actuals!$B$2:$B$5000,$B$2),"")</f>
        <v/>
      </c>
      <c r="W55" s="52">
        <f>SUMIFS(Plan_Inputs!$C$2:$C$5000,Plan_Inputs!$A$2:$A$5000,$A55,Plan_Inputs!$B$2:$B$5000,$B$2)</f>
        <v/>
      </c>
      <c r="X55" s="53">
        <f>IF($D55="Actual",IFERROR(S55/T55,""),X43)</f>
        <v/>
      </c>
      <c r="Y55" s="52">
        <f>'NSW-1'!E55+'NSW-2'!E55</f>
        <v/>
      </c>
      <c r="Z55" s="54">
        <f>INDEX(Calendar!$H$5:$L$52,MATCH($A55,Calendar!$A$5:$A$52,0),MATCH($D$2,Calendar!$H$4:$L$4,0))</f>
        <v/>
      </c>
      <c r="AA55" s="54">
        <f>INDEX(Calendar!$M$5:$M$52,MATCH($A55,Calendar!$A$5:$A$52,0))</f>
        <v/>
      </c>
      <c r="AB55" s="55">
        <f>IF($D55="Actual",IFERROR(S55/Y55,""),AB43)</f>
        <v/>
      </c>
      <c r="AC55" s="56">
        <f>IF($D55="Actual",IFERROR(U55/T55/Z55/AA55,""),AC43)</f>
        <v/>
      </c>
      <c r="AD55" s="57">
        <f>IF($D55="Actual",IFERROR(V55/(U55+V55),""),$K$2)</f>
        <v/>
      </c>
      <c r="AE55" s="56">
        <f>IFERROR(AC55*Z55*AA55,"")</f>
        <v/>
      </c>
      <c r="AF55" s="53">
        <f>K43</f>
        <v/>
      </c>
      <c r="AG55" s="57">
        <f>IF($D55="Forecast",IFERROR(K55/AF55-1,""),"")</f>
        <v/>
      </c>
      <c r="AH55" s="53">
        <f>IF(CPLHSource="National breakdown",CPLH_Breakdown!AS60,SUMIFS(Plan_Inputs!$D$2:$D$5000,Plan_Inputs!$A$2:$A$5000,$A55,Plan_Inputs!$B$2:$B$5000,$B$2))</f>
        <v/>
      </c>
      <c r="AJ55" s="15">
        <f>F55*$AK$11</f>
        <v/>
      </c>
      <c r="AK55" s="9">
        <f>G55*$AK$11</f>
        <v/>
      </c>
      <c r="AL55" s="30">
        <f>H55*$AK$11</f>
        <v/>
      </c>
      <c r="AM55" s="30">
        <f>I55*$AK$11</f>
        <v/>
      </c>
      <c r="AN55" s="30">
        <f>J55*$AK$11</f>
        <v/>
      </c>
      <c r="AP55" s="15">
        <f>F55*$AQ$11</f>
        <v/>
      </c>
      <c r="AQ55" s="9">
        <f>G55*$AQ$11</f>
        <v/>
      </c>
      <c r="AR55" s="30">
        <f>H55*$AQ$11</f>
        <v/>
      </c>
      <c r="AS55" s="30">
        <f>I55*$AQ$11</f>
        <v/>
      </c>
      <c r="AT55" s="30">
        <f>J55*$AQ$11</f>
        <v/>
      </c>
      <c r="AV55" s="15">
        <f>F55*$AW$11</f>
        <v/>
      </c>
      <c r="AW55" s="9">
        <f>G55*$AW$11</f>
        <v/>
      </c>
      <c r="AX55" s="30">
        <f>H55*$AW$11</f>
        <v/>
      </c>
      <c r="AY55" s="30">
        <f>I55*$AW$11</f>
        <v/>
      </c>
      <c r="AZ55" s="30">
        <f>J55*$AW$11</f>
        <v/>
      </c>
    </row>
    <row r="56">
      <c r="A56" s="8" t="n">
        <v>46905</v>
      </c>
      <c r="B56" s="33">
        <f>YEAR(A56)</f>
        <v/>
      </c>
      <c r="C56" s="33">
        <f>MONTH(A56)</f>
        <v/>
      </c>
      <c r="D56">
        <f>IF(A56&lt;=LastActual,"Actual","Forecast")</f>
        <v/>
      </c>
      <c r="E56" s="30">
        <f>'NSW-1'!E56</f>
        <v/>
      </c>
      <c r="F56" s="15">
        <f>IF($D56="Actual",S56,Cases_Forecast!AR49)</f>
        <v/>
      </c>
      <c r="G56" s="9">
        <f>IF($D56="Actual",T56,IFERROR(F56/K56,0))</f>
        <v/>
      </c>
      <c r="H56" s="30">
        <f>IF($D56="Actual",U56,G56*L56)</f>
        <v/>
      </c>
      <c r="I56" s="30">
        <f>IF($D56="Actual",V56,J56-H56)</f>
        <v/>
      </c>
      <c r="J56" s="30">
        <f>IF($D56="Actual",U56+V56,IFERROR(H56/(1-AD56),0))</f>
        <v/>
      </c>
      <c r="K56" s="10">
        <f>IF($D56="Actual",IFERROR(S56/T56,0),CPLH_Forecast!AR49)</f>
        <v/>
      </c>
      <c r="L56" s="34">
        <f>IF($D56="Actual",IFERROR(U56/T56,0),N(AE56))</f>
        <v/>
      </c>
      <c r="M56" s="35">
        <f>IFERROR(J56/F56,0)</f>
        <v/>
      </c>
      <c r="N56" s="36">
        <f>IFERROR(J56/E56,0)</f>
        <v/>
      </c>
      <c r="O56" s="36">
        <f>IFERROR(I56/J56,0)</f>
        <v/>
      </c>
      <c r="R56" s="52">
        <f>IF($D56="Actual",E56,"")</f>
        <v/>
      </c>
      <c r="S56" s="52">
        <f>IF($D56="Actual",SUMIFS(Data_Actuals!$D$2:$D$5000,Data_Actuals!$A$2:$A$5000,$A56,Data_Actuals!$B$2:$B$5000,$B$2),"")</f>
        <v/>
      </c>
      <c r="T56" s="52">
        <f>IF($D56="Actual",SUMIFS(Data_Actuals!$E$2:$E$5000,Data_Actuals!$A$2:$A$5000,$A56,Data_Actuals!$B$2:$B$5000,$B$2),"")</f>
        <v/>
      </c>
      <c r="U56" s="52">
        <f>IF($D56="Actual",SUMIFS(Data_Actuals!$F$2:$F$5000,Data_Actuals!$A$2:$A$5000,$A56,Data_Actuals!$B$2:$B$5000,$B$2),"")</f>
        <v/>
      </c>
      <c r="V56" s="52">
        <f>IF($D56="Actual",SUMIFS(Data_Actuals!$G$2:$G$5000,Data_Actuals!$A$2:$A$5000,$A56,Data_Actuals!$B$2:$B$5000,$B$2),"")</f>
        <v/>
      </c>
      <c r="W56" s="52">
        <f>SUMIFS(Plan_Inputs!$C$2:$C$5000,Plan_Inputs!$A$2:$A$5000,$A56,Plan_Inputs!$B$2:$B$5000,$B$2)</f>
        <v/>
      </c>
      <c r="X56" s="53">
        <f>IF($D56="Actual",IFERROR(S56/T56,""),X44)</f>
        <v/>
      </c>
      <c r="Y56" s="52">
        <f>'NSW-1'!E56+'NSW-2'!E56</f>
        <v/>
      </c>
      <c r="Z56" s="54">
        <f>INDEX(Calendar!$H$5:$L$52,MATCH($A56,Calendar!$A$5:$A$52,0),MATCH($D$2,Calendar!$H$4:$L$4,0))</f>
        <v/>
      </c>
      <c r="AA56" s="54">
        <f>INDEX(Calendar!$M$5:$M$52,MATCH($A56,Calendar!$A$5:$A$52,0))</f>
        <v/>
      </c>
      <c r="AB56" s="55">
        <f>IF($D56="Actual",IFERROR(S56/Y56,""),AB44)</f>
        <v/>
      </c>
      <c r="AC56" s="56">
        <f>IF($D56="Actual",IFERROR(U56/T56/Z56/AA56,""),AC44)</f>
        <v/>
      </c>
      <c r="AD56" s="57">
        <f>IF($D56="Actual",IFERROR(V56/(U56+V56),""),$K$2)</f>
        <v/>
      </c>
      <c r="AE56" s="56">
        <f>IFERROR(AC56*Z56*AA56,"")</f>
        <v/>
      </c>
      <c r="AF56" s="53">
        <f>K44</f>
        <v/>
      </c>
      <c r="AG56" s="57">
        <f>IF($D56="Forecast",IFERROR(K56/AF56-1,""),"")</f>
        <v/>
      </c>
      <c r="AH56" s="53">
        <f>IF(CPLHSource="National breakdown",CPLH_Breakdown!AS61,SUMIFS(Plan_Inputs!$D$2:$D$5000,Plan_Inputs!$A$2:$A$5000,$A56,Plan_Inputs!$B$2:$B$5000,$B$2))</f>
        <v/>
      </c>
      <c r="AJ56" s="15">
        <f>F56*$AK$11</f>
        <v/>
      </c>
      <c r="AK56" s="9">
        <f>G56*$AK$11</f>
        <v/>
      </c>
      <c r="AL56" s="30">
        <f>H56*$AK$11</f>
        <v/>
      </c>
      <c r="AM56" s="30">
        <f>I56*$AK$11</f>
        <v/>
      </c>
      <c r="AN56" s="30">
        <f>J56*$AK$11</f>
        <v/>
      </c>
      <c r="AP56" s="15">
        <f>F56*$AQ$11</f>
        <v/>
      </c>
      <c r="AQ56" s="9">
        <f>G56*$AQ$11</f>
        <v/>
      </c>
      <c r="AR56" s="30">
        <f>H56*$AQ$11</f>
        <v/>
      </c>
      <c r="AS56" s="30">
        <f>I56*$AQ$11</f>
        <v/>
      </c>
      <c r="AT56" s="30">
        <f>J56*$AQ$11</f>
        <v/>
      </c>
      <c r="AV56" s="15">
        <f>F56*$AW$11</f>
        <v/>
      </c>
      <c r="AW56" s="9">
        <f>G56*$AW$11</f>
        <v/>
      </c>
      <c r="AX56" s="30">
        <f>H56*$AW$11</f>
        <v/>
      </c>
      <c r="AY56" s="30">
        <f>I56*$AW$11</f>
        <v/>
      </c>
      <c r="AZ56" s="30">
        <f>J56*$AW$11</f>
        <v/>
      </c>
    </row>
    <row r="57">
      <c r="A57" s="8" t="n">
        <v>46935</v>
      </c>
      <c r="B57" s="33">
        <f>YEAR(A57)</f>
        <v/>
      </c>
      <c r="C57" s="33">
        <f>MONTH(A57)</f>
        <v/>
      </c>
      <c r="D57">
        <f>IF(A57&lt;=LastActual,"Actual","Forecast")</f>
        <v/>
      </c>
      <c r="E57" s="30">
        <f>'NSW-1'!E57</f>
        <v/>
      </c>
      <c r="F57" s="15">
        <f>IF($D57="Actual",S57,Cases_Forecast!AR50)</f>
        <v/>
      </c>
      <c r="G57" s="9">
        <f>IF($D57="Actual",T57,IFERROR(F57/K57,0))</f>
        <v/>
      </c>
      <c r="H57" s="30">
        <f>IF($D57="Actual",U57,G57*L57)</f>
        <v/>
      </c>
      <c r="I57" s="30">
        <f>IF($D57="Actual",V57,J57-H57)</f>
        <v/>
      </c>
      <c r="J57" s="30">
        <f>IF($D57="Actual",U57+V57,IFERROR(H57/(1-AD57),0))</f>
        <v/>
      </c>
      <c r="K57" s="10">
        <f>IF($D57="Actual",IFERROR(S57/T57,0),CPLH_Forecast!AR50)</f>
        <v/>
      </c>
      <c r="L57" s="34">
        <f>IF($D57="Actual",IFERROR(U57/T57,0),N(AE57))</f>
        <v/>
      </c>
      <c r="M57" s="35">
        <f>IFERROR(J57/F57,0)</f>
        <v/>
      </c>
      <c r="N57" s="36">
        <f>IFERROR(J57/E57,0)</f>
        <v/>
      </c>
      <c r="O57" s="36">
        <f>IFERROR(I57/J57,0)</f>
        <v/>
      </c>
      <c r="R57" s="52">
        <f>IF($D57="Actual",E57,"")</f>
        <v/>
      </c>
      <c r="S57" s="52">
        <f>IF($D57="Actual",SUMIFS(Data_Actuals!$D$2:$D$5000,Data_Actuals!$A$2:$A$5000,$A57,Data_Actuals!$B$2:$B$5000,$B$2),"")</f>
        <v/>
      </c>
      <c r="T57" s="52">
        <f>IF($D57="Actual",SUMIFS(Data_Actuals!$E$2:$E$5000,Data_Actuals!$A$2:$A$5000,$A57,Data_Actuals!$B$2:$B$5000,$B$2),"")</f>
        <v/>
      </c>
      <c r="U57" s="52">
        <f>IF($D57="Actual",SUMIFS(Data_Actuals!$F$2:$F$5000,Data_Actuals!$A$2:$A$5000,$A57,Data_Actuals!$B$2:$B$5000,$B$2),"")</f>
        <v/>
      </c>
      <c r="V57" s="52">
        <f>IF($D57="Actual",SUMIFS(Data_Actuals!$G$2:$G$5000,Data_Actuals!$A$2:$A$5000,$A57,Data_Actuals!$B$2:$B$5000,$B$2),"")</f>
        <v/>
      </c>
      <c r="W57" s="52">
        <f>SUMIFS(Plan_Inputs!$C$2:$C$5000,Plan_Inputs!$A$2:$A$5000,$A57,Plan_Inputs!$B$2:$B$5000,$B$2)</f>
        <v/>
      </c>
      <c r="X57" s="53">
        <f>IF($D57="Actual",IFERROR(S57/T57,""),X45)</f>
        <v/>
      </c>
      <c r="Y57" s="52">
        <f>'NSW-1'!E57+'NSW-2'!E57</f>
        <v/>
      </c>
      <c r="Z57" s="54">
        <f>INDEX(Calendar!$H$5:$L$52,MATCH($A57,Calendar!$A$5:$A$52,0),MATCH($D$2,Calendar!$H$4:$L$4,0))</f>
        <v/>
      </c>
      <c r="AA57" s="54">
        <f>INDEX(Calendar!$M$5:$M$52,MATCH($A57,Calendar!$A$5:$A$52,0))</f>
        <v/>
      </c>
      <c r="AB57" s="55">
        <f>IF($D57="Actual",IFERROR(S57/Y57,""),AB45)</f>
        <v/>
      </c>
      <c r="AC57" s="56">
        <f>IF($D57="Actual",IFERROR(U57/T57/Z57/AA57,""),AC45)</f>
        <v/>
      </c>
      <c r="AD57" s="57">
        <f>IF($D57="Actual",IFERROR(V57/(U57+V57),""),$K$2)</f>
        <v/>
      </c>
      <c r="AE57" s="56">
        <f>IFERROR(AC57*Z57*AA57,"")</f>
        <v/>
      </c>
      <c r="AF57" s="53">
        <f>K45</f>
        <v/>
      </c>
      <c r="AG57" s="57">
        <f>IF($D57="Forecast",IFERROR(K57/AF57-1,""),"")</f>
        <v/>
      </c>
      <c r="AH57" s="53">
        <f>IF(CPLHSource="National breakdown",CPLH_Breakdown!AS62,SUMIFS(Plan_Inputs!$D$2:$D$5000,Plan_Inputs!$A$2:$A$5000,$A57,Plan_Inputs!$B$2:$B$5000,$B$2))</f>
        <v/>
      </c>
      <c r="AJ57" s="15">
        <f>F57*$AK$11</f>
        <v/>
      </c>
      <c r="AK57" s="9">
        <f>G57*$AK$11</f>
        <v/>
      </c>
      <c r="AL57" s="30">
        <f>H57*$AK$11</f>
        <v/>
      </c>
      <c r="AM57" s="30">
        <f>I57*$AK$11</f>
        <v/>
      </c>
      <c r="AN57" s="30">
        <f>J57*$AK$11</f>
        <v/>
      </c>
      <c r="AP57" s="15">
        <f>F57*$AQ$11</f>
        <v/>
      </c>
      <c r="AQ57" s="9">
        <f>G57*$AQ$11</f>
        <v/>
      </c>
      <c r="AR57" s="30">
        <f>H57*$AQ$11</f>
        <v/>
      </c>
      <c r="AS57" s="30">
        <f>I57*$AQ$11</f>
        <v/>
      </c>
      <c r="AT57" s="30">
        <f>J57*$AQ$11</f>
        <v/>
      </c>
      <c r="AV57" s="15">
        <f>F57*$AW$11</f>
        <v/>
      </c>
      <c r="AW57" s="9">
        <f>G57*$AW$11</f>
        <v/>
      </c>
      <c r="AX57" s="30">
        <f>H57*$AW$11</f>
        <v/>
      </c>
      <c r="AY57" s="30">
        <f>I57*$AW$11</f>
        <v/>
      </c>
      <c r="AZ57" s="30">
        <f>J57*$AW$11</f>
        <v/>
      </c>
    </row>
    <row r="58">
      <c r="A58" s="8" t="n">
        <v>46966</v>
      </c>
      <c r="B58" s="33">
        <f>YEAR(A58)</f>
        <v/>
      </c>
      <c r="C58" s="33">
        <f>MONTH(A58)</f>
        <v/>
      </c>
      <c r="D58">
        <f>IF(A58&lt;=LastActual,"Actual","Forecast")</f>
        <v/>
      </c>
      <c r="E58" s="30">
        <f>'NSW-1'!E58</f>
        <v/>
      </c>
      <c r="F58" s="15">
        <f>IF($D58="Actual",S58,Cases_Forecast!AR51)</f>
        <v/>
      </c>
      <c r="G58" s="9">
        <f>IF($D58="Actual",T58,IFERROR(F58/K58,0))</f>
        <v/>
      </c>
      <c r="H58" s="30">
        <f>IF($D58="Actual",U58,G58*L58)</f>
        <v/>
      </c>
      <c r="I58" s="30">
        <f>IF($D58="Actual",V58,J58-H58)</f>
        <v/>
      </c>
      <c r="J58" s="30">
        <f>IF($D58="Actual",U58+V58,IFERROR(H58/(1-AD58),0))</f>
        <v/>
      </c>
      <c r="K58" s="10">
        <f>IF($D58="Actual",IFERROR(S58/T58,0),CPLH_Forecast!AR51)</f>
        <v/>
      </c>
      <c r="L58" s="34">
        <f>IF($D58="Actual",IFERROR(U58/T58,0),N(AE58))</f>
        <v/>
      </c>
      <c r="M58" s="35">
        <f>IFERROR(J58/F58,0)</f>
        <v/>
      </c>
      <c r="N58" s="36">
        <f>IFERROR(J58/E58,0)</f>
        <v/>
      </c>
      <c r="O58" s="36">
        <f>IFERROR(I58/J58,0)</f>
        <v/>
      </c>
      <c r="R58" s="52">
        <f>IF($D58="Actual",E58,"")</f>
        <v/>
      </c>
      <c r="S58" s="52">
        <f>IF($D58="Actual",SUMIFS(Data_Actuals!$D$2:$D$5000,Data_Actuals!$A$2:$A$5000,$A58,Data_Actuals!$B$2:$B$5000,$B$2),"")</f>
        <v/>
      </c>
      <c r="T58" s="52">
        <f>IF($D58="Actual",SUMIFS(Data_Actuals!$E$2:$E$5000,Data_Actuals!$A$2:$A$5000,$A58,Data_Actuals!$B$2:$B$5000,$B$2),"")</f>
        <v/>
      </c>
      <c r="U58" s="52">
        <f>IF($D58="Actual",SUMIFS(Data_Actuals!$F$2:$F$5000,Data_Actuals!$A$2:$A$5000,$A58,Data_Actuals!$B$2:$B$5000,$B$2),"")</f>
        <v/>
      </c>
      <c r="V58" s="52">
        <f>IF($D58="Actual",SUMIFS(Data_Actuals!$G$2:$G$5000,Data_Actuals!$A$2:$A$5000,$A58,Data_Actuals!$B$2:$B$5000,$B$2),"")</f>
        <v/>
      </c>
      <c r="W58" s="52">
        <f>SUMIFS(Plan_Inputs!$C$2:$C$5000,Plan_Inputs!$A$2:$A$5000,$A58,Plan_Inputs!$B$2:$B$5000,$B$2)</f>
        <v/>
      </c>
      <c r="X58" s="53">
        <f>IF($D58="Actual",IFERROR(S58/T58,""),X46)</f>
        <v/>
      </c>
      <c r="Y58" s="52">
        <f>'NSW-1'!E58+'NSW-2'!E58</f>
        <v/>
      </c>
      <c r="Z58" s="54">
        <f>INDEX(Calendar!$H$5:$L$52,MATCH($A58,Calendar!$A$5:$A$52,0),MATCH($D$2,Calendar!$H$4:$L$4,0))</f>
        <v/>
      </c>
      <c r="AA58" s="54">
        <f>INDEX(Calendar!$M$5:$M$52,MATCH($A58,Calendar!$A$5:$A$52,0))</f>
        <v/>
      </c>
      <c r="AB58" s="55">
        <f>IF($D58="Actual",IFERROR(S58/Y58,""),AB46)</f>
        <v/>
      </c>
      <c r="AC58" s="56">
        <f>IF($D58="Actual",IFERROR(U58/T58/Z58/AA58,""),AC46)</f>
        <v/>
      </c>
      <c r="AD58" s="57">
        <f>IF($D58="Actual",IFERROR(V58/(U58+V58),""),$K$2)</f>
        <v/>
      </c>
      <c r="AE58" s="56">
        <f>IFERROR(AC58*Z58*AA58,"")</f>
        <v/>
      </c>
      <c r="AF58" s="53">
        <f>K46</f>
        <v/>
      </c>
      <c r="AG58" s="57">
        <f>IF($D58="Forecast",IFERROR(K58/AF58-1,""),"")</f>
        <v/>
      </c>
      <c r="AH58" s="53">
        <f>IF(CPLHSource="National breakdown",CPLH_Breakdown!AS63,SUMIFS(Plan_Inputs!$D$2:$D$5000,Plan_Inputs!$A$2:$A$5000,$A58,Plan_Inputs!$B$2:$B$5000,$B$2))</f>
        <v/>
      </c>
      <c r="AJ58" s="15">
        <f>F58*$AK$11</f>
        <v/>
      </c>
      <c r="AK58" s="9">
        <f>G58*$AK$11</f>
        <v/>
      </c>
      <c r="AL58" s="30">
        <f>H58*$AK$11</f>
        <v/>
      </c>
      <c r="AM58" s="30">
        <f>I58*$AK$11</f>
        <v/>
      </c>
      <c r="AN58" s="30">
        <f>J58*$AK$11</f>
        <v/>
      </c>
      <c r="AP58" s="15">
        <f>F58*$AQ$11</f>
        <v/>
      </c>
      <c r="AQ58" s="9">
        <f>G58*$AQ$11</f>
        <v/>
      </c>
      <c r="AR58" s="30">
        <f>H58*$AQ$11</f>
        <v/>
      </c>
      <c r="AS58" s="30">
        <f>I58*$AQ$11</f>
        <v/>
      </c>
      <c r="AT58" s="30">
        <f>J58*$AQ$11</f>
        <v/>
      </c>
      <c r="AV58" s="15">
        <f>F58*$AW$11</f>
        <v/>
      </c>
      <c r="AW58" s="9">
        <f>G58*$AW$11</f>
        <v/>
      </c>
      <c r="AX58" s="30">
        <f>H58*$AW$11</f>
        <v/>
      </c>
      <c r="AY58" s="30">
        <f>I58*$AW$11</f>
        <v/>
      </c>
      <c r="AZ58" s="30">
        <f>J58*$AW$11</f>
        <v/>
      </c>
    </row>
    <row r="59">
      <c r="A59" s="8" t="n">
        <v>46997</v>
      </c>
      <c r="B59" s="33">
        <f>YEAR(A59)</f>
        <v/>
      </c>
      <c r="C59" s="33">
        <f>MONTH(A59)</f>
        <v/>
      </c>
      <c r="D59">
        <f>IF(A59&lt;=LastActual,"Actual","Forecast")</f>
        <v/>
      </c>
      <c r="E59" s="30">
        <f>'NSW-1'!E59</f>
        <v/>
      </c>
      <c r="F59" s="15">
        <f>IF($D59="Actual",S59,Cases_Forecast!AR52)</f>
        <v/>
      </c>
      <c r="G59" s="9">
        <f>IF($D59="Actual",T59,IFERROR(F59/K59,0))</f>
        <v/>
      </c>
      <c r="H59" s="30">
        <f>IF($D59="Actual",U59,G59*L59)</f>
        <v/>
      </c>
      <c r="I59" s="30">
        <f>IF($D59="Actual",V59,J59-H59)</f>
        <v/>
      </c>
      <c r="J59" s="30">
        <f>IF($D59="Actual",U59+V59,IFERROR(H59/(1-AD59),0))</f>
        <v/>
      </c>
      <c r="K59" s="10">
        <f>IF($D59="Actual",IFERROR(S59/T59,0),CPLH_Forecast!AR52)</f>
        <v/>
      </c>
      <c r="L59" s="34">
        <f>IF($D59="Actual",IFERROR(U59/T59,0),N(AE59))</f>
        <v/>
      </c>
      <c r="M59" s="35">
        <f>IFERROR(J59/F59,0)</f>
        <v/>
      </c>
      <c r="N59" s="36">
        <f>IFERROR(J59/E59,0)</f>
        <v/>
      </c>
      <c r="O59" s="36">
        <f>IFERROR(I59/J59,0)</f>
        <v/>
      </c>
      <c r="R59" s="52">
        <f>IF($D59="Actual",E59,"")</f>
        <v/>
      </c>
      <c r="S59" s="52">
        <f>IF($D59="Actual",SUMIFS(Data_Actuals!$D$2:$D$5000,Data_Actuals!$A$2:$A$5000,$A59,Data_Actuals!$B$2:$B$5000,$B$2),"")</f>
        <v/>
      </c>
      <c r="T59" s="52">
        <f>IF($D59="Actual",SUMIFS(Data_Actuals!$E$2:$E$5000,Data_Actuals!$A$2:$A$5000,$A59,Data_Actuals!$B$2:$B$5000,$B$2),"")</f>
        <v/>
      </c>
      <c r="U59" s="52">
        <f>IF($D59="Actual",SUMIFS(Data_Actuals!$F$2:$F$5000,Data_Actuals!$A$2:$A$5000,$A59,Data_Actuals!$B$2:$B$5000,$B$2),"")</f>
        <v/>
      </c>
      <c r="V59" s="52">
        <f>IF($D59="Actual",SUMIFS(Data_Actuals!$G$2:$G$5000,Data_Actuals!$A$2:$A$5000,$A59,Data_Actuals!$B$2:$B$5000,$B$2),"")</f>
        <v/>
      </c>
      <c r="W59" s="52">
        <f>SUMIFS(Plan_Inputs!$C$2:$C$5000,Plan_Inputs!$A$2:$A$5000,$A59,Plan_Inputs!$B$2:$B$5000,$B$2)</f>
        <v/>
      </c>
      <c r="X59" s="53">
        <f>IF($D59="Actual",IFERROR(S59/T59,""),X47)</f>
        <v/>
      </c>
      <c r="Y59" s="52">
        <f>'NSW-1'!E59+'NSW-2'!E59</f>
        <v/>
      </c>
      <c r="Z59" s="54">
        <f>INDEX(Calendar!$H$5:$L$52,MATCH($A59,Calendar!$A$5:$A$52,0),MATCH($D$2,Calendar!$H$4:$L$4,0))</f>
        <v/>
      </c>
      <c r="AA59" s="54">
        <f>INDEX(Calendar!$M$5:$M$52,MATCH($A59,Calendar!$A$5:$A$52,0))</f>
        <v/>
      </c>
      <c r="AB59" s="55">
        <f>IF($D59="Actual",IFERROR(S59/Y59,""),AB47)</f>
        <v/>
      </c>
      <c r="AC59" s="56">
        <f>IF($D59="Actual",IFERROR(U59/T59/Z59/AA59,""),AC47)</f>
        <v/>
      </c>
      <c r="AD59" s="57">
        <f>IF($D59="Actual",IFERROR(V59/(U59+V59),""),$K$2)</f>
        <v/>
      </c>
      <c r="AE59" s="56">
        <f>IFERROR(AC59*Z59*AA59,"")</f>
        <v/>
      </c>
      <c r="AF59" s="53">
        <f>K47</f>
        <v/>
      </c>
      <c r="AG59" s="57">
        <f>IF($D59="Forecast",IFERROR(K59/AF59-1,""),"")</f>
        <v/>
      </c>
      <c r="AH59" s="53">
        <f>IF(CPLHSource="National breakdown",CPLH_Breakdown!AS64,SUMIFS(Plan_Inputs!$D$2:$D$5000,Plan_Inputs!$A$2:$A$5000,$A59,Plan_Inputs!$B$2:$B$5000,$B$2))</f>
        <v/>
      </c>
      <c r="AJ59" s="15">
        <f>F59*$AK$11</f>
        <v/>
      </c>
      <c r="AK59" s="9">
        <f>G59*$AK$11</f>
        <v/>
      </c>
      <c r="AL59" s="30">
        <f>H59*$AK$11</f>
        <v/>
      </c>
      <c r="AM59" s="30">
        <f>I59*$AK$11</f>
        <v/>
      </c>
      <c r="AN59" s="30">
        <f>J59*$AK$11</f>
        <v/>
      </c>
      <c r="AP59" s="15">
        <f>F59*$AQ$11</f>
        <v/>
      </c>
      <c r="AQ59" s="9">
        <f>G59*$AQ$11</f>
        <v/>
      </c>
      <c r="AR59" s="30">
        <f>H59*$AQ$11</f>
        <v/>
      </c>
      <c r="AS59" s="30">
        <f>I59*$AQ$11</f>
        <v/>
      </c>
      <c r="AT59" s="30">
        <f>J59*$AQ$11</f>
        <v/>
      </c>
      <c r="AV59" s="15">
        <f>F59*$AW$11</f>
        <v/>
      </c>
      <c r="AW59" s="9">
        <f>G59*$AW$11</f>
        <v/>
      </c>
      <c r="AX59" s="30">
        <f>H59*$AW$11</f>
        <v/>
      </c>
      <c r="AY59" s="30">
        <f>I59*$AW$11</f>
        <v/>
      </c>
      <c r="AZ59" s="30">
        <f>J59*$AW$11</f>
        <v/>
      </c>
    </row>
    <row r="60">
      <c r="A60" s="8" t="n">
        <v>47027</v>
      </c>
      <c r="B60" s="33">
        <f>YEAR(A60)</f>
        <v/>
      </c>
      <c r="C60" s="33">
        <f>MONTH(A60)</f>
        <v/>
      </c>
      <c r="D60">
        <f>IF(A60&lt;=LastActual,"Actual","Forecast")</f>
        <v/>
      </c>
      <c r="E60" s="30">
        <f>'NSW-1'!E60</f>
        <v/>
      </c>
      <c r="F60" s="15">
        <f>IF($D60="Actual",S60,Cases_Forecast!AR53)</f>
        <v/>
      </c>
      <c r="G60" s="9">
        <f>IF($D60="Actual",T60,IFERROR(F60/K60,0))</f>
        <v/>
      </c>
      <c r="H60" s="30">
        <f>IF($D60="Actual",U60,G60*L60)</f>
        <v/>
      </c>
      <c r="I60" s="30">
        <f>IF($D60="Actual",V60,J60-H60)</f>
        <v/>
      </c>
      <c r="J60" s="30">
        <f>IF($D60="Actual",U60+V60,IFERROR(H60/(1-AD60),0))</f>
        <v/>
      </c>
      <c r="K60" s="10">
        <f>IF($D60="Actual",IFERROR(S60/T60,0),CPLH_Forecast!AR53)</f>
        <v/>
      </c>
      <c r="L60" s="34">
        <f>IF($D60="Actual",IFERROR(U60/T60,0),N(AE60))</f>
        <v/>
      </c>
      <c r="M60" s="35">
        <f>IFERROR(J60/F60,0)</f>
        <v/>
      </c>
      <c r="N60" s="36">
        <f>IFERROR(J60/E60,0)</f>
        <v/>
      </c>
      <c r="O60" s="36">
        <f>IFERROR(I60/J60,0)</f>
        <v/>
      </c>
      <c r="R60" s="52">
        <f>IF($D60="Actual",E60,"")</f>
        <v/>
      </c>
      <c r="S60" s="52">
        <f>IF($D60="Actual",SUMIFS(Data_Actuals!$D$2:$D$5000,Data_Actuals!$A$2:$A$5000,$A60,Data_Actuals!$B$2:$B$5000,$B$2),"")</f>
        <v/>
      </c>
      <c r="T60" s="52">
        <f>IF($D60="Actual",SUMIFS(Data_Actuals!$E$2:$E$5000,Data_Actuals!$A$2:$A$5000,$A60,Data_Actuals!$B$2:$B$5000,$B$2),"")</f>
        <v/>
      </c>
      <c r="U60" s="52">
        <f>IF($D60="Actual",SUMIFS(Data_Actuals!$F$2:$F$5000,Data_Actuals!$A$2:$A$5000,$A60,Data_Actuals!$B$2:$B$5000,$B$2),"")</f>
        <v/>
      </c>
      <c r="V60" s="52">
        <f>IF($D60="Actual",SUMIFS(Data_Actuals!$G$2:$G$5000,Data_Actuals!$A$2:$A$5000,$A60,Data_Actuals!$B$2:$B$5000,$B$2),"")</f>
        <v/>
      </c>
      <c r="W60" s="52">
        <f>SUMIFS(Plan_Inputs!$C$2:$C$5000,Plan_Inputs!$A$2:$A$5000,$A60,Plan_Inputs!$B$2:$B$5000,$B$2)</f>
        <v/>
      </c>
      <c r="X60" s="53">
        <f>IF($D60="Actual",IFERROR(S60/T60,""),X48)</f>
        <v/>
      </c>
      <c r="Y60" s="52">
        <f>'NSW-1'!E60+'NSW-2'!E60</f>
        <v/>
      </c>
      <c r="Z60" s="54">
        <f>INDEX(Calendar!$H$5:$L$52,MATCH($A60,Calendar!$A$5:$A$52,0),MATCH($D$2,Calendar!$H$4:$L$4,0))</f>
        <v/>
      </c>
      <c r="AA60" s="54">
        <f>INDEX(Calendar!$M$5:$M$52,MATCH($A60,Calendar!$A$5:$A$52,0))</f>
        <v/>
      </c>
      <c r="AB60" s="55">
        <f>IF($D60="Actual",IFERROR(S60/Y60,""),AB48)</f>
        <v/>
      </c>
      <c r="AC60" s="56">
        <f>IF($D60="Actual",IFERROR(U60/T60/Z60/AA60,""),AC48)</f>
        <v/>
      </c>
      <c r="AD60" s="57">
        <f>IF($D60="Actual",IFERROR(V60/(U60+V60),""),$K$2)</f>
        <v/>
      </c>
      <c r="AE60" s="56">
        <f>IFERROR(AC60*Z60*AA60,"")</f>
        <v/>
      </c>
      <c r="AF60" s="53">
        <f>K48</f>
        <v/>
      </c>
      <c r="AG60" s="57">
        <f>IF($D60="Forecast",IFERROR(K60/AF60-1,""),"")</f>
        <v/>
      </c>
      <c r="AH60" s="53">
        <f>IF(CPLHSource="National breakdown",CPLH_Breakdown!AS65,SUMIFS(Plan_Inputs!$D$2:$D$5000,Plan_Inputs!$A$2:$A$5000,$A60,Plan_Inputs!$B$2:$B$5000,$B$2))</f>
        <v/>
      </c>
      <c r="AJ60" s="15">
        <f>F60*$AK$11</f>
        <v/>
      </c>
      <c r="AK60" s="9">
        <f>G60*$AK$11</f>
        <v/>
      </c>
      <c r="AL60" s="30">
        <f>H60*$AK$11</f>
        <v/>
      </c>
      <c r="AM60" s="30">
        <f>I60*$AK$11</f>
        <v/>
      </c>
      <c r="AN60" s="30">
        <f>J60*$AK$11</f>
        <v/>
      </c>
      <c r="AP60" s="15">
        <f>F60*$AQ$11</f>
        <v/>
      </c>
      <c r="AQ60" s="9">
        <f>G60*$AQ$11</f>
        <v/>
      </c>
      <c r="AR60" s="30">
        <f>H60*$AQ$11</f>
        <v/>
      </c>
      <c r="AS60" s="30">
        <f>I60*$AQ$11</f>
        <v/>
      </c>
      <c r="AT60" s="30">
        <f>J60*$AQ$11</f>
        <v/>
      </c>
      <c r="AV60" s="15">
        <f>F60*$AW$11</f>
        <v/>
      </c>
      <c r="AW60" s="9">
        <f>G60*$AW$11</f>
        <v/>
      </c>
      <c r="AX60" s="30">
        <f>H60*$AW$11</f>
        <v/>
      </c>
      <c r="AY60" s="30">
        <f>I60*$AW$11</f>
        <v/>
      </c>
      <c r="AZ60" s="30">
        <f>J60*$AW$11</f>
        <v/>
      </c>
    </row>
    <row r="61">
      <c r="A61" s="8" t="n">
        <v>47058</v>
      </c>
      <c r="B61" s="33">
        <f>YEAR(A61)</f>
        <v/>
      </c>
      <c r="C61" s="33">
        <f>MONTH(A61)</f>
        <v/>
      </c>
      <c r="D61">
        <f>IF(A61&lt;=LastActual,"Actual","Forecast")</f>
        <v/>
      </c>
      <c r="E61" s="30">
        <f>'NSW-1'!E61</f>
        <v/>
      </c>
      <c r="F61" s="15">
        <f>IF($D61="Actual",S61,Cases_Forecast!AR54)</f>
        <v/>
      </c>
      <c r="G61" s="9">
        <f>IF($D61="Actual",T61,IFERROR(F61/K61,0))</f>
        <v/>
      </c>
      <c r="H61" s="30">
        <f>IF($D61="Actual",U61,G61*L61)</f>
        <v/>
      </c>
      <c r="I61" s="30">
        <f>IF($D61="Actual",V61,J61-H61)</f>
        <v/>
      </c>
      <c r="J61" s="30">
        <f>IF($D61="Actual",U61+V61,IFERROR(H61/(1-AD61),0))</f>
        <v/>
      </c>
      <c r="K61" s="10">
        <f>IF($D61="Actual",IFERROR(S61/T61,0),CPLH_Forecast!AR54)</f>
        <v/>
      </c>
      <c r="L61" s="34">
        <f>IF($D61="Actual",IFERROR(U61/T61,0),N(AE61))</f>
        <v/>
      </c>
      <c r="M61" s="35">
        <f>IFERROR(J61/F61,0)</f>
        <v/>
      </c>
      <c r="N61" s="36">
        <f>IFERROR(J61/E61,0)</f>
        <v/>
      </c>
      <c r="O61" s="36">
        <f>IFERROR(I61/J61,0)</f>
        <v/>
      </c>
      <c r="R61" s="52">
        <f>IF($D61="Actual",E61,"")</f>
        <v/>
      </c>
      <c r="S61" s="52">
        <f>IF($D61="Actual",SUMIFS(Data_Actuals!$D$2:$D$5000,Data_Actuals!$A$2:$A$5000,$A61,Data_Actuals!$B$2:$B$5000,$B$2),"")</f>
        <v/>
      </c>
      <c r="T61" s="52">
        <f>IF($D61="Actual",SUMIFS(Data_Actuals!$E$2:$E$5000,Data_Actuals!$A$2:$A$5000,$A61,Data_Actuals!$B$2:$B$5000,$B$2),"")</f>
        <v/>
      </c>
      <c r="U61" s="52">
        <f>IF($D61="Actual",SUMIFS(Data_Actuals!$F$2:$F$5000,Data_Actuals!$A$2:$A$5000,$A61,Data_Actuals!$B$2:$B$5000,$B$2),"")</f>
        <v/>
      </c>
      <c r="V61" s="52">
        <f>IF($D61="Actual",SUMIFS(Data_Actuals!$G$2:$G$5000,Data_Actuals!$A$2:$A$5000,$A61,Data_Actuals!$B$2:$B$5000,$B$2),"")</f>
        <v/>
      </c>
      <c r="W61" s="52">
        <f>SUMIFS(Plan_Inputs!$C$2:$C$5000,Plan_Inputs!$A$2:$A$5000,$A61,Plan_Inputs!$B$2:$B$5000,$B$2)</f>
        <v/>
      </c>
      <c r="X61" s="53">
        <f>IF($D61="Actual",IFERROR(S61/T61,""),X49)</f>
        <v/>
      </c>
      <c r="Y61" s="52">
        <f>'NSW-1'!E61+'NSW-2'!E61</f>
        <v/>
      </c>
      <c r="Z61" s="54">
        <f>INDEX(Calendar!$H$5:$L$52,MATCH($A61,Calendar!$A$5:$A$52,0),MATCH($D$2,Calendar!$H$4:$L$4,0))</f>
        <v/>
      </c>
      <c r="AA61" s="54">
        <f>INDEX(Calendar!$M$5:$M$52,MATCH($A61,Calendar!$A$5:$A$52,0))</f>
        <v/>
      </c>
      <c r="AB61" s="55">
        <f>IF($D61="Actual",IFERROR(S61/Y61,""),AB49)</f>
        <v/>
      </c>
      <c r="AC61" s="56">
        <f>IF($D61="Actual",IFERROR(U61/T61/Z61/AA61,""),AC49)</f>
        <v/>
      </c>
      <c r="AD61" s="57">
        <f>IF($D61="Actual",IFERROR(V61/(U61+V61),""),$K$2)</f>
        <v/>
      </c>
      <c r="AE61" s="56">
        <f>IFERROR(AC61*Z61*AA61,"")</f>
        <v/>
      </c>
      <c r="AF61" s="53">
        <f>K49</f>
        <v/>
      </c>
      <c r="AG61" s="57">
        <f>IF($D61="Forecast",IFERROR(K61/AF61-1,""),"")</f>
        <v/>
      </c>
      <c r="AH61" s="53">
        <f>IF(CPLHSource="National breakdown",CPLH_Breakdown!AS66,SUMIFS(Plan_Inputs!$D$2:$D$5000,Plan_Inputs!$A$2:$A$5000,$A61,Plan_Inputs!$B$2:$B$5000,$B$2))</f>
        <v/>
      </c>
      <c r="AJ61" s="15">
        <f>F61*$AK$11</f>
        <v/>
      </c>
      <c r="AK61" s="9">
        <f>G61*$AK$11</f>
        <v/>
      </c>
      <c r="AL61" s="30">
        <f>H61*$AK$11</f>
        <v/>
      </c>
      <c r="AM61" s="30">
        <f>I61*$AK$11</f>
        <v/>
      </c>
      <c r="AN61" s="30">
        <f>J61*$AK$11</f>
        <v/>
      </c>
      <c r="AP61" s="15">
        <f>F61*$AQ$11</f>
        <v/>
      </c>
      <c r="AQ61" s="9">
        <f>G61*$AQ$11</f>
        <v/>
      </c>
      <c r="AR61" s="30">
        <f>H61*$AQ$11</f>
        <v/>
      </c>
      <c r="AS61" s="30">
        <f>I61*$AQ$11</f>
        <v/>
      </c>
      <c r="AT61" s="30">
        <f>J61*$AQ$11</f>
        <v/>
      </c>
      <c r="AV61" s="15">
        <f>F61*$AW$11</f>
        <v/>
      </c>
      <c r="AW61" s="9">
        <f>G61*$AW$11</f>
        <v/>
      </c>
      <c r="AX61" s="30">
        <f>H61*$AW$11</f>
        <v/>
      </c>
      <c r="AY61" s="30">
        <f>I61*$AW$11</f>
        <v/>
      </c>
      <c r="AZ61" s="30">
        <f>J61*$AW$11</f>
        <v/>
      </c>
    </row>
    <row r="62">
      <c r="A62" s="37" t="n">
        <v>47088</v>
      </c>
      <c r="B62" s="38">
        <f>YEAR(A62)</f>
        <v/>
      </c>
      <c r="C62" s="38">
        <f>MONTH(A62)</f>
        <v/>
      </c>
      <c r="D62" s="39">
        <f>IF(A62&lt;=LastActual,"Actual","Forecast")</f>
        <v/>
      </c>
      <c r="E62" s="40">
        <f>'NSW-1'!E62</f>
        <v/>
      </c>
      <c r="F62" s="41">
        <f>IF($D62="Actual",S62,Cases_Forecast!AR55)</f>
        <v/>
      </c>
      <c r="G62" s="42">
        <f>IF($D62="Actual",T62,IFERROR(F62/K62,0))</f>
        <v/>
      </c>
      <c r="H62" s="40">
        <f>IF($D62="Actual",U62,G62*L62)</f>
        <v/>
      </c>
      <c r="I62" s="40">
        <f>IF($D62="Actual",V62,J62-H62)</f>
        <v/>
      </c>
      <c r="J62" s="40">
        <f>IF($D62="Actual",U62+V62,IFERROR(H62/(1-AD62),0))</f>
        <v/>
      </c>
      <c r="K62" s="43">
        <f>IF($D62="Actual",IFERROR(S62/T62,0),CPLH_Forecast!AR55)</f>
        <v/>
      </c>
      <c r="L62" s="44">
        <f>IF($D62="Actual",IFERROR(U62/T62,0),N(AE62))</f>
        <v/>
      </c>
      <c r="M62" s="45">
        <f>IFERROR(J62/F62,0)</f>
        <v/>
      </c>
      <c r="N62" s="46">
        <f>IFERROR(J62/E62,0)</f>
        <v/>
      </c>
      <c r="O62" s="46">
        <f>IFERROR(I62/J62,0)</f>
        <v/>
      </c>
      <c r="R62" s="52">
        <f>IF($D62="Actual",E62,"")</f>
        <v/>
      </c>
      <c r="S62" s="52">
        <f>IF($D62="Actual",SUMIFS(Data_Actuals!$D$2:$D$5000,Data_Actuals!$A$2:$A$5000,$A62,Data_Actuals!$B$2:$B$5000,$B$2),"")</f>
        <v/>
      </c>
      <c r="T62" s="52">
        <f>IF($D62="Actual",SUMIFS(Data_Actuals!$E$2:$E$5000,Data_Actuals!$A$2:$A$5000,$A62,Data_Actuals!$B$2:$B$5000,$B$2),"")</f>
        <v/>
      </c>
      <c r="U62" s="52">
        <f>IF($D62="Actual",SUMIFS(Data_Actuals!$F$2:$F$5000,Data_Actuals!$A$2:$A$5000,$A62,Data_Actuals!$B$2:$B$5000,$B$2),"")</f>
        <v/>
      </c>
      <c r="V62" s="52">
        <f>IF($D62="Actual",SUMIFS(Data_Actuals!$G$2:$G$5000,Data_Actuals!$A$2:$A$5000,$A62,Data_Actuals!$B$2:$B$5000,$B$2),"")</f>
        <v/>
      </c>
      <c r="W62" s="52">
        <f>SUMIFS(Plan_Inputs!$C$2:$C$5000,Plan_Inputs!$A$2:$A$5000,$A62,Plan_Inputs!$B$2:$B$5000,$B$2)</f>
        <v/>
      </c>
      <c r="X62" s="53">
        <f>IF($D62="Actual",IFERROR(S62/T62,""),X50)</f>
        <v/>
      </c>
      <c r="Y62" s="52">
        <f>'NSW-1'!E62+'NSW-2'!E62</f>
        <v/>
      </c>
      <c r="Z62" s="54">
        <f>INDEX(Calendar!$H$5:$L$52,MATCH($A62,Calendar!$A$5:$A$52,0),MATCH($D$2,Calendar!$H$4:$L$4,0))</f>
        <v/>
      </c>
      <c r="AA62" s="54">
        <f>INDEX(Calendar!$M$5:$M$52,MATCH($A62,Calendar!$A$5:$A$52,0))</f>
        <v/>
      </c>
      <c r="AB62" s="55">
        <f>IF($D62="Actual",IFERROR(S62/Y62,""),AB50)</f>
        <v/>
      </c>
      <c r="AC62" s="56">
        <f>IF($D62="Actual",IFERROR(U62/T62/Z62/AA62,""),AC50)</f>
        <v/>
      </c>
      <c r="AD62" s="57">
        <f>IF($D62="Actual",IFERROR(V62/(U62+V62),""),$K$2)</f>
        <v/>
      </c>
      <c r="AE62" s="56">
        <f>IFERROR(AC62*Z62*AA62,"")</f>
        <v/>
      </c>
      <c r="AF62" s="53">
        <f>K50</f>
        <v/>
      </c>
      <c r="AG62" s="57">
        <f>IF($D62="Forecast",IFERROR(K62/AF62-1,""),"")</f>
        <v/>
      </c>
      <c r="AH62" s="53">
        <f>IF(CPLHSource="National breakdown",CPLH_Breakdown!AS67,SUMIFS(Plan_Inputs!$D$2:$D$5000,Plan_Inputs!$A$2:$A$5000,$A62,Plan_Inputs!$B$2:$B$5000,$B$2))</f>
        <v/>
      </c>
      <c r="AJ62" s="41">
        <f>F62*$AK$11</f>
        <v/>
      </c>
      <c r="AK62" s="42">
        <f>G62*$AK$11</f>
        <v/>
      </c>
      <c r="AL62" s="40">
        <f>H62*$AK$11</f>
        <v/>
      </c>
      <c r="AM62" s="40">
        <f>I62*$AK$11</f>
        <v/>
      </c>
      <c r="AN62" s="40">
        <f>J62*$AK$11</f>
        <v/>
      </c>
      <c r="AP62" s="41">
        <f>F62*$AQ$11</f>
        <v/>
      </c>
      <c r="AQ62" s="42">
        <f>G62*$AQ$11</f>
        <v/>
      </c>
      <c r="AR62" s="40">
        <f>H62*$AQ$11</f>
        <v/>
      </c>
      <c r="AS62" s="40">
        <f>I62*$AQ$11</f>
        <v/>
      </c>
      <c r="AT62" s="40">
        <f>J62*$AQ$11</f>
        <v/>
      </c>
      <c r="AV62" s="41">
        <f>F62*$AW$11</f>
        <v/>
      </c>
      <c r="AW62" s="42">
        <f>G62*$AW$11</f>
        <v/>
      </c>
      <c r="AX62" s="40">
        <f>H62*$AW$11</f>
        <v/>
      </c>
      <c r="AY62" s="40">
        <f>I62*$AW$11</f>
        <v/>
      </c>
      <c r="AZ62" s="40">
        <f>J62*$AW$11</f>
        <v/>
      </c>
    </row>
  </sheetData>
  <mergeCells count="6">
    <mergeCell ref="K12:O12"/>
    <mergeCell ref="AV12:AZ12"/>
    <mergeCell ref="AJ12:AN12"/>
    <mergeCell ref="AP12:AT12"/>
    <mergeCell ref="R12:AH12"/>
    <mergeCell ref="E12:J12"/>
  </mergeCells>
  <conditionalFormatting sqref="A15:O62">
    <cfRule type="expression" priority="1" dxfId="4">
      <formula>$D15="Forecast"</formula>
    </cfRule>
  </conditionalFormatting>
  <conditionalFormatting sqref="AJ15:AZ62">
    <cfRule type="expression" priority="2" dxfId="4">
      <formula>$D15="Forecast"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2E75B6"/>
    <outlinePr summaryBelow="1" summaryRight="1"/>
    <pageSetUpPr/>
  </sheetPr>
  <dimension ref="A1:AZ62"/>
  <sheetViews>
    <sheetView workbookViewId="0">
      <pane xSplit="4" ySplit="14" topLeftCell="E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9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1" customWidth="1" min="22" max="22"/>
    <col width="12" customWidth="1" min="23" max="23"/>
    <col width="10" customWidth="1" min="24" max="24"/>
    <col width="12" customWidth="1" min="25" max="25"/>
    <col width="8" customWidth="1" min="26" max="26"/>
    <col width="8" customWidth="1" min="27" max="27"/>
    <col width="11" customWidth="1" min="28" max="28"/>
    <col width="12" customWidth="1" min="29" max="29"/>
    <col width="12" customWidth="1" min="30" max="30"/>
    <col width="11" customWidth="1" min="31" max="31"/>
    <col width="9" customWidth="1" min="32" max="32"/>
    <col width="9" customWidth="1" min="33" max="33"/>
    <col width="10" customWidth="1" min="34" max="34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2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2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2" customWidth="1" min="53" max="53"/>
  </cols>
  <sheetData>
    <row r="1">
      <c r="A1" s="2">
        <f>$B$2&amp;"  |  IDC  |  VIC  |  payroll % of "&amp;Inputs!$A$37&amp;" sales  |  volume from "&amp;Inputs!$A$37&amp;"+"&amp;Inputs!$A$40&amp;" sales"</f>
        <v/>
      </c>
    </row>
    <row r="2">
      <c r="A2" t="inlineStr">
        <is>
          <t>Code</t>
        </is>
      </c>
      <c r="B2" s="1">
        <f>Inputs!$A$45</f>
        <v/>
      </c>
      <c r="C2" t="inlineStr">
        <is>
          <t>State</t>
        </is>
      </c>
      <c r="D2" s="1" t="inlineStr">
        <is>
          <t>VIC</t>
        </is>
      </c>
      <c r="F2" t="inlineStr">
        <is>
          <t>Leadership share of total payroll, last actual month</t>
        </is>
      </c>
      <c r="K2" s="50">
        <f>IFERROR(INDEX($V$15:$V$62,MATCH(LastActual,$A$15:$A$62,0))/(INDEX($U$15:$U$62,MATCH(LastActual,$A$15:$A$62,0))+INDEX($V$15:$V$62,MATCH(LastActual,$A$15:$A$62,0))),0)</f>
        <v/>
      </c>
    </row>
    <row r="5" ht="45" customHeight="1">
      <c r="A5" s="7" t="inlineStr">
        <is>
          <t>FY</t>
        </is>
      </c>
      <c r="D5" s="7" t="inlineStr">
        <is>
          <t>Status</t>
        </is>
      </c>
      <c r="E5" s="7" t="inlineStr">
        <is>
          <t>Sales</t>
        </is>
      </c>
      <c r="F5" s="7" t="inlineStr">
        <is>
          <t>Cases picked</t>
        </is>
      </c>
      <c r="G5" s="7" t="inlineStr">
        <is>
          <t>WH hours worked</t>
        </is>
      </c>
      <c r="H5" s="7" t="inlineStr">
        <is>
          <t>Staff payroll</t>
        </is>
      </c>
      <c r="I5" s="7" t="inlineStr">
        <is>
          <t>Leadership payroll</t>
        </is>
      </c>
      <c r="J5" s="7" t="inlineStr">
        <is>
          <t>Total payroll</t>
        </is>
      </c>
      <c r="K5" s="7" t="inlineStr">
        <is>
          <t>CPLH (cases / hr)</t>
        </is>
      </c>
      <c r="L5" s="7" t="inlineStr">
        <is>
          <t>Cost per hour (staff)</t>
        </is>
      </c>
      <c r="M5" s="7" t="inlineStr">
        <is>
          <t>Cost per case (total payroll)</t>
        </is>
      </c>
      <c r="N5" s="7" t="inlineStr">
        <is>
          <t>Total payroll % sales</t>
        </is>
      </c>
      <c r="O5" s="7" t="inlineStr">
        <is>
          <t>Leadership % of total payroll</t>
        </is>
      </c>
      <c r="AJ5" s="20" t="inlineStr">
        <is>
          <t>Cases picked</t>
        </is>
      </c>
      <c r="AK5" s="20" t="inlineStr">
        <is>
          <t>WH hours worked</t>
        </is>
      </c>
      <c r="AL5" s="20" t="inlineStr">
        <is>
          <t>Staff payroll</t>
        </is>
      </c>
      <c r="AM5" s="20" t="inlineStr">
        <is>
          <t>Leadership payroll</t>
        </is>
      </c>
      <c r="AN5" s="20" t="inlineStr">
        <is>
          <t>Total payroll</t>
        </is>
      </c>
      <c r="AP5" s="20" t="inlineStr">
        <is>
          <t>Cases picked</t>
        </is>
      </c>
      <c r="AQ5" s="20" t="inlineStr">
        <is>
          <t>WH hours worked</t>
        </is>
      </c>
      <c r="AR5" s="20" t="inlineStr">
        <is>
          <t>Staff payroll</t>
        </is>
      </c>
      <c r="AS5" s="20" t="inlineStr">
        <is>
          <t>Leadership payroll</t>
        </is>
      </c>
      <c r="AT5" s="20" t="inlineStr">
        <is>
          <t>Total payroll</t>
        </is>
      </c>
      <c r="AV5" s="20" t="inlineStr">
        <is>
          <t>Cases picked</t>
        </is>
      </c>
      <c r="AW5" s="20" t="inlineStr">
        <is>
          <t>WH hours worked</t>
        </is>
      </c>
      <c r="AX5" s="20" t="inlineStr">
        <is>
          <t>Staff payroll</t>
        </is>
      </c>
      <c r="AY5" s="20" t="inlineStr">
        <is>
          <t>Leadership payroll</t>
        </is>
      </c>
      <c r="AZ5" s="20" t="inlineStr">
        <is>
          <t>Total payroll</t>
        </is>
      </c>
    </row>
    <row r="6">
      <c r="A6" s="21" t="n">
        <v>2025</v>
      </c>
      <c r="D6" s="22">
        <f>IF(DATE(A6,12,1)&lt;=LastActual,"Actual",IF(DATE(A6,1,1)&gt;LastActual,"Forecast","Blended"))</f>
        <v/>
      </c>
      <c r="E6" s="23">
        <f>SUMIFS($E$15:$E$62,$B$15:$B$62,$A6)</f>
        <v/>
      </c>
      <c r="F6" s="24">
        <f>SUMIFS($F$15:$F$62,$B$15:$B$62,$A6)</f>
        <v/>
      </c>
      <c r="G6" s="25">
        <f>SUMIFS($G$15:$G$62,$B$15:$B$62,$A6)</f>
        <v/>
      </c>
      <c r="H6" s="23">
        <f>SUMIFS($H$15:$H$62,$B$15:$B$62,$A6)</f>
        <v/>
      </c>
      <c r="I6" s="23">
        <f>SUMIFS($I$15:$I$62,$B$15:$B$62,$A6)</f>
        <v/>
      </c>
      <c r="J6" s="23">
        <f>SUMIFS($J$15:$J$62,$B$15:$B$62,$A6)</f>
        <v/>
      </c>
      <c r="K6" s="26">
        <f>IFERROR(F6/G6,0)</f>
        <v/>
      </c>
      <c r="L6" s="27">
        <f>IFERROR(H6/G6,0)</f>
        <v/>
      </c>
      <c r="M6" s="28">
        <f>IFERROR(J6/F6,0)</f>
        <v/>
      </c>
      <c r="N6" s="29">
        <f>IFERROR(J6/E6,0)</f>
        <v/>
      </c>
      <c r="O6" s="29">
        <f>IFERROR(I6/J6,0)</f>
        <v/>
      </c>
      <c r="AJ6" s="24">
        <f>SUMIFS($AJ$15:$AJ$62,$B$15:$B$62,$A6)</f>
        <v/>
      </c>
      <c r="AK6" s="25">
        <f>SUMIFS($AK$15:$AK$62,$B$15:$B$62,$A6)</f>
        <v/>
      </c>
      <c r="AL6" s="23">
        <f>SUMIFS($AL$15:$AL$62,$B$15:$B$62,$A6)</f>
        <v/>
      </c>
      <c r="AM6" s="23">
        <f>SUMIFS($AM$15:$AM$62,$B$15:$B$62,$A6)</f>
        <v/>
      </c>
      <c r="AN6" s="23">
        <f>SUMIFS($AN$15:$AN$62,$B$15:$B$62,$A6)</f>
        <v/>
      </c>
      <c r="AP6" s="24">
        <f>SUMIFS($AP$15:$AP$62,$B$15:$B$62,$A6)</f>
        <v/>
      </c>
      <c r="AQ6" s="25">
        <f>SUMIFS($AQ$15:$AQ$62,$B$15:$B$62,$A6)</f>
        <v/>
      </c>
      <c r="AR6" s="23">
        <f>SUMIFS($AR$15:$AR$62,$B$15:$B$62,$A6)</f>
        <v/>
      </c>
      <c r="AS6" s="23">
        <f>SUMIFS($AS$15:$AS$62,$B$15:$B$62,$A6)</f>
        <v/>
      </c>
      <c r="AT6" s="23">
        <f>SUMIFS($AT$15:$AT$62,$B$15:$B$62,$A6)</f>
        <v/>
      </c>
      <c r="AV6" s="24">
        <f>SUMIFS($AV$15:$AV$62,$B$15:$B$62,$A6)</f>
        <v/>
      </c>
      <c r="AW6" s="25">
        <f>SUMIFS($AW$15:$AW$62,$B$15:$B$62,$A6)</f>
        <v/>
      </c>
      <c r="AX6" s="23">
        <f>SUMIFS($AX$15:$AX$62,$B$15:$B$62,$A6)</f>
        <v/>
      </c>
      <c r="AY6" s="23">
        <f>SUMIFS($AY$15:$AY$62,$B$15:$B$62,$A6)</f>
        <v/>
      </c>
      <c r="AZ6" s="23">
        <f>SUMIFS($AZ$15:$AZ$62,$B$15:$B$62,$A6)</f>
        <v/>
      </c>
    </row>
    <row r="7">
      <c r="A7" s="21" t="n">
        <v>2026</v>
      </c>
      <c r="D7" s="22">
        <f>IF(DATE(A7,12,1)&lt;=LastActual,"Actual",IF(DATE(A7,1,1)&gt;LastActual,"Forecast","Blended"))</f>
        <v/>
      </c>
      <c r="E7" s="23">
        <f>SUMIFS($E$15:$E$62,$B$15:$B$62,$A7)</f>
        <v/>
      </c>
      <c r="F7" s="24">
        <f>SUMIFS($F$15:$F$62,$B$15:$B$62,$A7)</f>
        <v/>
      </c>
      <c r="G7" s="25">
        <f>SUMIFS($G$15:$G$62,$B$15:$B$62,$A7)</f>
        <v/>
      </c>
      <c r="H7" s="23">
        <f>SUMIFS($H$15:$H$62,$B$15:$B$62,$A7)</f>
        <v/>
      </c>
      <c r="I7" s="23">
        <f>SUMIFS($I$15:$I$62,$B$15:$B$62,$A7)</f>
        <v/>
      </c>
      <c r="J7" s="23">
        <f>SUMIFS($J$15:$J$62,$B$15:$B$62,$A7)</f>
        <v/>
      </c>
      <c r="K7" s="26">
        <f>IFERROR(F7/G7,0)</f>
        <v/>
      </c>
      <c r="L7" s="27">
        <f>IFERROR(H7/G7,0)</f>
        <v/>
      </c>
      <c r="M7" s="28">
        <f>IFERROR(J7/F7,0)</f>
        <v/>
      </c>
      <c r="N7" s="29">
        <f>IFERROR(J7/E7,0)</f>
        <v/>
      </c>
      <c r="O7" s="29">
        <f>IFERROR(I7/J7,0)</f>
        <v/>
      </c>
      <c r="AJ7" s="24">
        <f>SUMIFS($AJ$15:$AJ$62,$B$15:$B$62,$A7)</f>
        <v/>
      </c>
      <c r="AK7" s="25">
        <f>SUMIFS($AK$15:$AK$62,$B$15:$B$62,$A7)</f>
        <v/>
      </c>
      <c r="AL7" s="23">
        <f>SUMIFS($AL$15:$AL$62,$B$15:$B$62,$A7)</f>
        <v/>
      </c>
      <c r="AM7" s="23">
        <f>SUMIFS($AM$15:$AM$62,$B$15:$B$62,$A7)</f>
        <v/>
      </c>
      <c r="AN7" s="23">
        <f>SUMIFS($AN$15:$AN$62,$B$15:$B$62,$A7)</f>
        <v/>
      </c>
      <c r="AP7" s="24">
        <f>SUMIFS($AP$15:$AP$62,$B$15:$B$62,$A7)</f>
        <v/>
      </c>
      <c r="AQ7" s="25">
        <f>SUMIFS($AQ$15:$AQ$62,$B$15:$B$62,$A7)</f>
        <v/>
      </c>
      <c r="AR7" s="23">
        <f>SUMIFS($AR$15:$AR$62,$B$15:$B$62,$A7)</f>
        <v/>
      </c>
      <c r="AS7" s="23">
        <f>SUMIFS($AS$15:$AS$62,$B$15:$B$62,$A7)</f>
        <v/>
      </c>
      <c r="AT7" s="23">
        <f>SUMIFS($AT$15:$AT$62,$B$15:$B$62,$A7)</f>
        <v/>
      </c>
      <c r="AV7" s="24">
        <f>SUMIFS($AV$15:$AV$62,$B$15:$B$62,$A7)</f>
        <v/>
      </c>
      <c r="AW7" s="25">
        <f>SUMIFS($AW$15:$AW$62,$B$15:$B$62,$A7)</f>
        <v/>
      </c>
      <c r="AX7" s="23">
        <f>SUMIFS($AX$15:$AX$62,$B$15:$B$62,$A7)</f>
        <v/>
      </c>
      <c r="AY7" s="23">
        <f>SUMIFS($AY$15:$AY$62,$B$15:$B$62,$A7)</f>
        <v/>
      </c>
      <c r="AZ7" s="23">
        <f>SUMIFS($AZ$15:$AZ$62,$B$15:$B$62,$A7)</f>
        <v/>
      </c>
    </row>
    <row r="8">
      <c r="A8" s="21" t="n">
        <v>2027</v>
      </c>
      <c r="D8" s="22">
        <f>IF(DATE(A8,12,1)&lt;=LastActual,"Actual",IF(DATE(A8,1,1)&gt;LastActual,"Forecast","Blended"))</f>
        <v/>
      </c>
      <c r="E8" s="23">
        <f>SUMIFS($E$15:$E$62,$B$15:$B$62,$A8)</f>
        <v/>
      </c>
      <c r="F8" s="24">
        <f>SUMIFS($F$15:$F$62,$B$15:$B$62,$A8)</f>
        <v/>
      </c>
      <c r="G8" s="25">
        <f>SUMIFS($G$15:$G$62,$B$15:$B$62,$A8)</f>
        <v/>
      </c>
      <c r="H8" s="23">
        <f>SUMIFS($H$15:$H$62,$B$15:$B$62,$A8)</f>
        <v/>
      </c>
      <c r="I8" s="23">
        <f>SUMIFS($I$15:$I$62,$B$15:$B$62,$A8)</f>
        <v/>
      </c>
      <c r="J8" s="23">
        <f>SUMIFS($J$15:$J$62,$B$15:$B$62,$A8)</f>
        <v/>
      </c>
      <c r="K8" s="26">
        <f>IFERROR(F8/G8,0)</f>
        <v/>
      </c>
      <c r="L8" s="27">
        <f>IFERROR(H8/G8,0)</f>
        <v/>
      </c>
      <c r="M8" s="28">
        <f>IFERROR(J8/F8,0)</f>
        <v/>
      </c>
      <c r="N8" s="29">
        <f>IFERROR(J8/E8,0)</f>
        <v/>
      </c>
      <c r="O8" s="29">
        <f>IFERROR(I8/J8,0)</f>
        <v/>
      </c>
      <c r="AJ8" s="24">
        <f>SUMIFS($AJ$15:$AJ$62,$B$15:$B$62,$A8)</f>
        <v/>
      </c>
      <c r="AK8" s="25">
        <f>SUMIFS($AK$15:$AK$62,$B$15:$B$62,$A8)</f>
        <v/>
      </c>
      <c r="AL8" s="23">
        <f>SUMIFS($AL$15:$AL$62,$B$15:$B$62,$A8)</f>
        <v/>
      </c>
      <c r="AM8" s="23">
        <f>SUMIFS($AM$15:$AM$62,$B$15:$B$62,$A8)</f>
        <v/>
      </c>
      <c r="AN8" s="23">
        <f>SUMIFS($AN$15:$AN$62,$B$15:$B$62,$A8)</f>
        <v/>
      </c>
      <c r="AP8" s="24">
        <f>SUMIFS($AP$15:$AP$62,$B$15:$B$62,$A8)</f>
        <v/>
      </c>
      <c r="AQ8" s="25">
        <f>SUMIFS($AQ$15:$AQ$62,$B$15:$B$62,$A8)</f>
        <v/>
      </c>
      <c r="AR8" s="23">
        <f>SUMIFS($AR$15:$AR$62,$B$15:$B$62,$A8)</f>
        <v/>
      </c>
      <c r="AS8" s="23">
        <f>SUMIFS($AS$15:$AS$62,$B$15:$B$62,$A8)</f>
        <v/>
      </c>
      <c r="AT8" s="23">
        <f>SUMIFS($AT$15:$AT$62,$B$15:$B$62,$A8)</f>
        <v/>
      </c>
      <c r="AV8" s="24">
        <f>SUMIFS($AV$15:$AV$62,$B$15:$B$62,$A8)</f>
        <v/>
      </c>
      <c r="AW8" s="25">
        <f>SUMIFS($AW$15:$AW$62,$B$15:$B$62,$A8)</f>
        <v/>
      </c>
      <c r="AX8" s="23">
        <f>SUMIFS($AX$15:$AX$62,$B$15:$B$62,$A8)</f>
        <v/>
      </c>
      <c r="AY8" s="23">
        <f>SUMIFS($AY$15:$AY$62,$B$15:$B$62,$A8)</f>
        <v/>
      </c>
      <c r="AZ8" s="23">
        <f>SUMIFS($AZ$15:$AZ$62,$B$15:$B$62,$A8)</f>
        <v/>
      </c>
    </row>
    <row r="9">
      <c r="A9" s="21" t="n">
        <v>2028</v>
      </c>
      <c r="D9" s="22">
        <f>IF(DATE(A9,12,1)&lt;=LastActual,"Actual",IF(DATE(A9,1,1)&gt;LastActual,"Forecast","Blended"))</f>
        <v/>
      </c>
      <c r="E9" s="23">
        <f>SUMIFS($E$15:$E$62,$B$15:$B$62,$A9)</f>
        <v/>
      </c>
      <c r="F9" s="24">
        <f>SUMIFS($F$15:$F$62,$B$15:$B$62,$A9)</f>
        <v/>
      </c>
      <c r="G9" s="25">
        <f>SUMIFS($G$15:$G$62,$B$15:$B$62,$A9)</f>
        <v/>
      </c>
      <c r="H9" s="23">
        <f>SUMIFS($H$15:$H$62,$B$15:$B$62,$A9)</f>
        <v/>
      </c>
      <c r="I9" s="23">
        <f>SUMIFS($I$15:$I$62,$B$15:$B$62,$A9)</f>
        <v/>
      </c>
      <c r="J9" s="23">
        <f>SUMIFS($J$15:$J$62,$B$15:$B$62,$A9)</f>
        <v/>
      </c>
      <c r="K9" s="26">
        <f>IFERROR(F9/G9,0)</f>
        <v/>
      </c>
      <c r="L9" s="27">
        <f>IFERROR(H9/G9,0)</f>
        <v/>
      </c>
      <c r="M9" s="28">
        <f>IFERROR(J9/F9,0)</f>
        <v/>
      </c>
      <c r="N9" s="29">
        <f>IFERROR(J9/E9,0)</f>
        <v/>
      </c>
      <c r="O9" s="29">
        <f>IFERROR(I9/J9,0)</f>
        <v/>
      </c>
      <c r="AJ9" s="24">
        <f>SUMIFS($AJ$15:$AJ$62,$B$15:$B$62,$A9)</f>
        <v/>
      </c>
      <c r="AK9" s="25">
        <f>SUMIFS($AK$15:$AK$62,$B$15:$B$62,$A9)</f>
        <v/>
      </c>
      <c r="AL9" s="23">
        <f>SUMIFS($AL$15:$AL$62,$B$15:$B$62,$A9)</f>
        <v/>
      </c>
      <c r="AM9" s="23">
        <f>SUMIFS($AM$15:$AM$62,$B$15:$B$62,$A9)</f>
        <v/>
      </c>
      <c r="AN9" s="23">
        <f>SUMIFS($AN$15:$AN$62,$B$15:$B$62,$A9)</f>
        <v/>
      </c>
      <c r="AP9" s="24">
        <f>SUMIFS($AP$15:$AP$62,$B$15:$B$62,$A9)</f>
        <v/>
      </c>
      <c r="AQ9" s="25">
        <f>SUMIFS($AQ$15:$AQ$62,$B$15:$B$62,$A9)</f>
        <v/>
      </c>
      <c r="AR9" s="23">
        <f>SUMIFS($AR$15:$AR$62,$B$15:$B$62,$A9)</f>
        <v/>
      </c>
      <c r="AS9" s="23">
        <f>SUMIFS($AS$15:$AS$62,$B$15:$B$62,$A9)</f>
        <v/>
      </c>
      <c r="AT9" s="23">
        <f>SUMIFS($AT$15:$AT$62,$B$15:$B$62,$A9)</f>
        <v/>
      </c>
      <c r="AV9" s="24">
        <f>SUMIFS($AV$15:$AV$62,$B$15:$B$62,$A9)</f>
        <v/>
      </c>
      <c r="AW9" s="25">
        <f>SUMIFS($AW$15:$AW$62,$B$15:$B$62,$A9)</f>
        <v/>
      </c>
      <c r="AX9" s="23">
        <f>SUMIFS($AX$15:$AX$62,$B$15:$B$62,$A9)</f>
        <v/>
      </c>
      <c r="AY9" s="23">
        <f>SUMIFS($AY$15:$AY$62,$B$15:$B$62,$A9)</f>
        <v/>
      </c>
      <c r="AZ9" s="23">
        <f>SUMIFS($AZ$15:$AZ$62,$B$15:$B$62,$A9)</f>
        <v/>
      </c>
    </row>
    <row r="10">
      <c r="AJ10" s="1" t="inlineStr">
        <is>
          <t>Chamber split (same CPLH and cost per hour in every chamber; mix from Chamber Weights)</t>
        </is>
      </c>
    </row>
    <row r="11">
      <c r="AJ11" s="6" t="inlineStr">
        <is>
          <t>Case mix</t>
        </is>
      </c>
      <c r="AK11" s="31">
        <f>IFERROR(INDEX('Chamber Weights'!$B$24:$K$26,MATCH($AJ$12,'Chamber Weights'!$A$24:$A$26,0),MATCH($B$2,'Chamber Weights'!$B$23:$K$23,0)),0)</f>
        <v/>
      </c>
      <c r="AP11" s="6" t="inlineStr">
        <is>
          <t>Case mix</t>
        </is>
      </c>
      <c r="AQ11" s="31">
        <f>IFERROR(INDEX('Chamber Weights'!$B$24:$K$26,MATCH($AP$12,'Chamber Weights'!$A$24:$A$26,0),MATCH($B$2,'Chamber Weights'!$B$23:$K$23,0)),0)</f>
        <v/>
      </c>
      <c r="AV11" s="6" t="inlineStr">
        <is>
          <t>Case mix</t>
        </is>
      </c>
      <c r="AW11" s="31">
        <f>IFERROR(INDEX('Chamber Weights'!$B$24:$K$26,MATCH($AV$12,'Chamber Weights'!$A$24:$A$26,0),MATCH($B$2,'Chamber Weights'!$B$23:$K$23,0)),0)</f>
        <v/>
      </c>
    </row>
    <row r="12">
      <c r="E12" s="7" t="inlineStr">
        <is>
          <t>Drivers</t>
        </is>
      </c>
      <c r="K12" s="7" t="inlineStr">
        <is>
          <t>Metrics</t>
        </is>
      </c>
      <c r="R12" s="7" t="inlineStr">
        <is>
          <t>Helper calculations (actuals, plan, same-month-last-year rates)</t>
        </is>
      </c>
      <c r="AJ12" s="20" t="inlineStr">
        <is>
          <t>Ambient</t>
        </is>
      </c>
      <c r="AP12" s="20" t="inlineStr">
        <is>
          <t>Chiller</t>
        </is>
      </c>
      <c r="AV12" s="20" t="inlineStr">
        <is>
          <t>Freezer</t>
        </is>
      </c>
    </row>
    <row r="13" ht="60" customHeight="1">
      <c r="A13" s="7" t="inlineStr">
        <is>
          <t>Month</t>
        </is>
      </c>
      <c r="B13" s="7" t="inlineStr">
        <is>
          <t>Year</t>
        </is>
      </c>
      <c r="C13" s="7" t="inlineStr">
        <is>
          <t>Mth</t>
        </is>
      </c>
      <c r="D13" s="7" t="inlineStr">
        <is>
          <t>Status</t>
        </is>
      </c>
      <c r="E13" s="7" t="inlineStr">
        <is>
          <t>Sales</t>
        </is>
      </c>
      <c r="F13" s="7" t="inlineStr">
        <is>
          <t>Cases picked</t>
        </is>
      </c>
      <c r="G13" s="7" t="inlineStr">
        <is>
          <t>WH hours worked</t>
        </is>
      </c>
      <c r="H13" s="7" t="inlineStr">
        <is>
          <t>Staff payroll</t>
        </is>
      </c>
      <c r="I13" s="7" t="inlineStr">
        <is>
          <t>Leadership payroll</t>
        </is>
      </c>
      <c r="J13" s="7" t="inlineStr">
        <is>
          <t>Total payroll</t>
        </is>
      </c>
      <c r="K13" s="7" t="inlineStr">
        <is>
          <t>CPLH (cases / hr)</t>
        </is>
      </c>
      <c r="L13" s="7" t="inlineStr">
        <is>
          <t>Cost per hour (staff)</t>
        </is>
      </c>
      <c r="M13" s="7" t="inlineStr">
        <is>
          <t>Cost per case (total payroll)</t>
        </is>
      </c>
      <c r="N13" s="7" t="inlineStr">
        <is>
          <t>Total payroll % sales</t>
        </is>
      </c>
      <c r="O13" s="7" t="inlineStr">
        <is>
          <t>Leadership % of total payroll</t>
        </is>
      </c>
      <c r="R13" s="51" t="inlineStr">
        <is>
          <t>Act sales</t>
        </is>
      </c>
      <c r="S13" s="51" t="inlineStr">
        <is>
          <t>Act cases</t>
        </is>
      </c>
      <c r="T13" s="51" t="inlineStr">
        <is>
          <t>Act hours</t>
        </is>
      </c>
      <c r="U13" s="51" t="inlineStr">
        <is>
          <t>Act staff $</t>
        </is>
      </c>
      <c r="V13" s="51" t="inlineStr">
        <is>
          <t>Act leadership $</t>
        </is>
      </c>
      <c r="W13" s="51" t="inlineStr">
        <is>
          <t>Plan sales</t>
        </is>
      </c>
      <c r="X13" s="51" t="inlineStr">
        <is>
          <t>CPLH run rate (actual, else same month LY)</t>
        </is>
      </c>
      <c r="Y13" s="51" t="inlineStr">
        <is>
          <t>Volume driver sales</t>
        </is>
      </c>
      <c r="Z13" s="51" t="inlineStr">
        <is>
          <t>PH factor</t>
        </is>
      </c>
      <c r="AA13" s="51" t="inlineStr">
        <is>
          <t>Wage index</t>
        </is>
      </c>
      <c r="AB13" s="51" t="inlineStr">
        <is>
          <t>Cases per $ (actual, else same month LY)</t>
        </is>
      </c>
      <c r="AC13" s="51" t="inlineStr">
        <is>
          <t>Cost per hour ex PH &amp; wage (actual, else same month LY)</t>
        </is>
      </c>
      <c r="AD13" s="51" t="inlineStr">
        <is>
          <t>Leadership share of total payroll (actual, else last actual month)</t>
        </is>
      </c>
      <c r="AE13" s="51" t="inlineStr">
        <is>
          <t>Fcst cost per hour (AC x PH x wage)</t>
        </is>
      </c>
      <c r="AF13" s="51" t="inlineStr">
        <is>
          <t>LY CPLH (same month, as used)</t>
        </is>
      </c>
      <c r="AG13" s="51" t="inlineStr">
        <is>
          <t>Fcst CPLH vs LY</t>
        </is>
      </c>
      <c r="AH13" s="51" t="inlineStr">
        <is>
          <t>Plan CPLH (Plan_Inputs or CPLH_Breakdown)</t>
        </is>
      </c>
      <c r="AJ13" s="20" t="inlineStr">
        <is>
          <t>Cases picked</t>
        </is>
      </c>
      <c r="AK13" s="20" t="inlineStr">
        <is>
          <t>WH hours worked</t>
        </is>
      </c>
      <c r="AL13" s="20" t="inlineStr">
        <is>
          <t>Staff payroll</t>
        </is>
      </c>
      <c r="AM13" s="20" t="inlineStr">
        <is>
          <t>Leadership payroll</t>
        </is>
      </c>
      <c r="AN13" s="20" t="inlineStr">
        <is>
          <t>Total payroll</t>
        </is>
      </c>
      <c r="AP13" s="20" t="inlineStr">
        <is>
          <t>Cases picked</t>
        </is>
      </c>
      <c r="AQ13" s="20" t="inlineStr">
        <is>
          <t>WH hours worked</t>
        </is>
      </c>
      <c r="AR13" s="20" t="inlineStr">
        <is>
          <t>Staff payroll</t>
        </is>
      </c>
      <c r="AS13" s="20" t="inlineStr">
        <is>
          <t>Leadership payroll</t>
        </is>
      </c>
      <c r="AT13" s="20" t="inlineStr">
        <is>
          <t>Total payroll</t>
        </is>
      </c>
      <c r="AV13" s="20" t="inlineStr">
        <is>
          <t>Cases picked</t>
        </is>
      </c>
      <c r="AW13" s="20" t="inlineStr">
        <is>
          <t>WH hours worked</t>
        </is>
      </c>
      <c r="AX13" s="20" t="inlineStr">
        <is>
          <t>Staff payroll</t>
        </is>
      </c>
      <c r="AY13" s="20" t="inlineStr">
        <is>
          <t>Leadership payroll</t>
        </is>
      </c>
      <c r="AZ13" s="20" t="inlineStr">
        <is>
          <t>Total payroll</t>
        </is>
      </c>
    </row>
    <row r="14">
      <c r="E14" s="32" t="inlineStr">
        <is>
          <t>$m</t>
        </is>
      </c>
      <c r="F14" s="32" t="inlineStr">
        <is>
          <t>m</t>
        </is>
      </c>
      <c r="G14" s="32" t="inlineStr">
        <is>
          <t>#</t>
        </is>
      </c>
      <c r="H14" s="32" t="inlineStr">
        <is>
          <t>$m</t>
        </is>
      </c>
      <c r="I14" s="32" t="inlineStr">
        <is>
          <t>$m</t>
        </is>
      </c>
      <c r="J14" s="32" t="inlineStr">
        <is>
          <t>$m</t>
        </is>
      </c>
      <c r="K14" s="32" t="inlineStr">
        <is>
          <t>#</t>
        </is>
      </c>
      <c r="L14" s="32" t="inlineStr">
        <is>
          <t>$</t>
        </is>
      </c>
      <c r="M14" s="32" t="inlineStr">
        <is>
          <t>$</t>
        </is>
      </c>
      <c r="N14" s="32" t="inlineStr">
        <is>
          <t>%</t>
        </is>
      </c>
      <c r="O14" s="32" t="inlineStr">
        <is>
          <t>%</t>
        </is>
      </c>
      <c r="AJ14" s="32" t="inlineStr">
        <is>
          <t>m</t>
        </is>
      </c>
      <c r="AK14" s="32" t="inlineStr">
        <is>
          <t>#</t>
        </is>
      </c>
      <c r="AL14" s="32" t="inlineStr">
        <is>
          <t>$m</t>
        </is>
      </c>
      <c r="AM14" s="32" t="inlineStr">
        <is>
          <t>$m</t>
        </is>
      </c>
      <c r="AN14" s="32" t="inlineStr">
        <is>
          <t>$m</t>
        </is>
      </c>
      <c r="AP14" s="32" t="inlineStr">
        <is>
          <t>m</t>
        </is>
      </c>
      <c r="AQ14" s="32" t="inlineStr">
        <is>
          <t>#</t>
        </is>
      </c>
      <c r="AR14" s="32" t="inlineStr">
        <is>
          <t>$m</t>
        </is>
      </c>
      <c r="AS14" s="32" t="inlineStr">
        <is>
          <t>$m</t>
        </is>
      </c>
      <c r="AT14" s="32" t="inlineStr">
        <is>
          <t>$m</t>
        </is>
      </c>
      <c r="AV14" s="32" t="inlineStr">
        <is>
          <t>m</t>
        </is>
      </c>
      <c r="AW14" s="32" t="inlineStr">
        <is>
          <t>#</t>
        </is>
      </c>
      <c r="AX14" s="32" t="inlineStr">
        <is>
          <t>$m</t>
        </is>
      </c>
      <c r="AY14" s="32" t="inlineStr">
        <is>
          <t>$m</t>
        </is>
      </c>
      <c r="AZ14" s="32" t="inlineStr">
        <is>
          <t>$m</t>
        </is>
      </c>
    </row>
    <row r="15">
      <c r="A15" s="8" t="n">
        <v>45658</v>
      </c>
      <c r="B15" s="33">
        <f>YEAR(A15)</f>
        <v/>
      </c>
      <c r="C15" s="33">
        <f>MONTH(A15)</f>
        <v/>
      </c>
      <c r="D15">
        <f>IF(A15&lt;=LastActual,"Actual","Forecast")</f>
        <v/>
      </c>
      <c r="E15" s="30">
        <f>'VIC-1'!E15</f>
        <v/>
      </c>
      <c r="F15" s="15">
        <f>IF($D15="Actual",S15,Cases_Forecast!AS8)</f>
        <v/>
      </c>
      <c r="G15" s="9">
        <f>IF($D15="Actual",T15,IFERROR(F15/K15,0))</f>
        <v/>
      </c>
      <c r="H15" s="30">
        <f>IF($D15="Actual",U15,G15*L15)</f>
        <v/>
      </c>
      <c r="I15" s="30">
        <f>IF($D15="Actual",V15,J15-H15)</f>
        <v/>
      </c>
      <c r="J15" s="30">
        <f>IF($D15="Actual",U15+V15,IFERROR(H15/(1-AD15),0))</f>
        <v/>
      </c>
      <c r="K15" s="10">
        <f>IF($D15="Actual",IFERROR(S15/T15,0),CPLH_Forecast!AS8)</f>
        <v/>
      </c>
      <c r="L15" s="34">
        <f>IF($D15="Actual",IFERROR(U15/T15,0),N(AE15))</f>
        <v/>
      </c>
      <c r="M15" s="35">
        <f>IFERROR(J15/F15,0)</f>
        <v/>
      </c>
      <c r="N15" s="36">
        <f>IFERROR(J15/E15,0)</f>
        <v/>
      </c>
      <c r="O15" s="36">
        <f>IFERROR(I15/J15,0)</f>
        <v/>
      </c>
      <c r="R15" s="52">
        <f>IF($D15="Actual",E15,"")</f>
        <v/>
      </c>
      <c r="S15" s="52">
        <f>IF($D15="Actual",SUMIFS(Data_Actuals!$D$2:$D$5000,Data_Actuals!$A$2:$A$5000,$A15,Data_Actuals!$B$2:$B$5000,$B$2),"")</f>
        <v/>
      </c>
      <c r="T15" s="52">
        <f>IF($D15="Actual",SUMIFS(Data_Actuals!$E$2:$E$5000,Data_Actuals!$A$2:$A$5000,$A15,Data_Actuals!$B$2:$B$5000,$B$2),"")</f>
        <v/>
      </c>
      <c r="U15" s="52">
        <f>IF($D15="Actual",SUMIFS(Data_Actuals!$F$2:$F$5000,Data_Actuals!$A$2:$A$5000,$A15,Data_Actuals!$B$2:$B$5000,$B$2),"")</f>
        <v/>
      </c>
      <c r="V15" s="52">
        <f>IF($D15="Actual",SUMIFS(Data_Actuals!$G$2:$G$5000,Data_Actuals!$A$2:$A$5000,$A15,Data_Actuals!$B$2:$B$5000,$B$2),"")</f>
        <v/>
      </c>
      <c r="W15" s="52">
        <f>SUMIFS(Plan_Inputs!$C$2:$C$5000,Plan_Inputs!$A$2:$A$5000,$A15,Plan_Inputs!$B$2:$B$5000,$B$2)</f>
        <v/>
      </c>
      <c r="X15" s="53">
        <f>IF($D15="Actual",IFERROR(S15/T15,""),"")</f>
        <v/>
      </c>
      <c r="Y15" s="52">
        <f>'VIC-1'!E15+'VIC-2'!E15</f>
        <v/>
      </c>
      <c r="Z15" s="54">
        <f>INDEX(Calendar!$H$5:$L$52,MATCH($A15,Calendar!$A$5:$A$52,0),MATCH($D$2,Calendar!$H$4:$L$4,0))</f>
        <v/>
      </c>
      <c r="AA15" s="54">
        <f>INDEX(Calendar!$M$5:$M$52,MATCH($A15,Calendar!$A$5:$A$52,0))</f>
        <v/>
      </c>
      <c r="AB15" s="55">
        <f>IF($D15="Actual",IFERROR(S15/Y15,""),"")</f>
        <v/>
      </c>
      <c r="AC15" s="56">
        <f>IF($D15="Actual",IFERROR(U15/T15/Z15/AA15,""),"")</f>
        <v/>
      </c>
      <c r="AD15" s="57">
        <f>IF($D15="Actual",IFERROR(V15/(U15+V15),""),$K$2)</f>
        <v/>
      </c>
      <c r="AE15" s="56">
        <f>IFERROR(AC15*Z15*AA15,"")</f>
        <v/>
      </c>
      <c r="AF15" s="53" t="n"/>
      <c r="AG15" s="57">
        <f>IF($D15="Forecast",IFERROR(K15/AF15-1,""),"")</f>
        <v/>
      </c>
      <c r="AH15" s="53">
        <f>IF(CPLHSource="National breakdown",CPLH_Breakdown!AT20,SUMIFS(Plan_Inputs!$D$2:$D$5000,Plan_Inputs!$A$2:$A$5000,$A15,Plan_Inputs!$B$2:$B$5000,$B$2))</f>
        <v/>
      </c>
      <c r="AJ15" s="15">
        <f>F15*$AK$11</f>
        <v/>
      </c>
      <c r="AK15" s="9">
        <f>G15*$AK$11</f>
        <v/>
      </c>
      <c r="AL15" s="30">
        <f>H15*$AK$11</f>
        <v/>
      </c>
      <c r="AM15" s="30">
        <f>I15*$AK$11</f>
        <v/>
      </c>
      <c r="AN15" s="30">
        <f>J15*$AK$11</f>
        <v/>
      </c>
      <c r="AP15" s="15">
        <f>F15*$AQ$11</f>
        <v/>
      </c>
      <c r="AQ15" s="9">
        <f>G15*$AQ$11</f>
        <v/>
      </c>
      <c r="AR15" s="30">
        <f>H15*$AQ$11</f>
        <v/>
      </c>
      <c r="AS15" s="30">
        <f>I15*$AQ$11</f>
        <v/>
      </c>
      <c r="AT15" s="30">
        <f>J15*$AQ$11</f>
        <v/>
      </c>
      <c r="AV15" s="15">
        <f>F15*$AW$11</f>
        <v/>
      </c>
      <c r="AW15" s="9">
        <f>G15*$AW$11</f>
        <v/>
      </c>
      <c r="AX15" s="30">
        <f>H15*$AW$11</f>
        <v/>
      </c>
      <c r="AY15" s="30">
        <f>I15*$AW$11</f>
        <v/>
      </c>
      <c r="AZ15" s="30">
        <f>J15*$AW$11</f>
        <v/>
      </c>
    </row>
    <row r="16">
      <c r="A16" s="8" t="n">
        <v>45689</v>
      </c>
      <c r="B16" s="33">
        <f>YEAR(A16)</f>
        <v/>
      </c>
      <c r="C16" s="33">
        <f>MONTH(A16)</f>
        <v/>
      </c>
      <c r="D16">
        <f>IF(A16&lt;=LastActual,"Actual","Forecast")</f>
        <v/>
      </c>
      <c r="E16" s="30">
        <f>'VIC-1'!E16</f>
        <v/>
      </c>
      <c r="F16" s="15">
        <f>IF($D16="Actual",S16,Cases_Forecast!AS9)</f>
        <v/>
      </c>
      <c r="G16" s="9">
        <f>IF($D16="Actual",T16,IFERROR(F16/K16,0))</f>
        <v/>
      </c>
      <c r="H16" s="30">
        <f>IF($D16="Actual",U16,G16*L16)</f>
        <v/>
      </c>
      <c r="I16" s="30">
        <f>IF($D16="Actual",V16,J16-H16)</f>
        <v/>
      </c>
      <c r="J16" s="30">
        <f>IF($D16="Actual",U16+V16,IFERROR(H16/(1-AD16),0))</f>
        <v/>
      </c>
      <c r="K16" s="10">
        <f>IF($D16="Actual",IFERROR(S16/T16,0),CPLH_Forecast!AS9)</f>
        <v/>
      </c>
      <c r="L16" s="34">
        <f>IF($D16="Actual",IFERROR(U16/T16,0),N(AE16))</f>
        <v/>
      </c>
      <c r="M16" s="35">
        <f>IFERROR(J16/F16,0)</f>
        <v/>
      </c>
      <c r="N16" s="36">
        <f>IFERROR(J16/E16,0)</f>
        <v/>
      </c>
      <c r="O16" s="36">
        <f>IFERROR(I16/J16,0)</f>
        <v/>
      </c>
      <c r="R16" s="52">
        <f>IF($D16="Actual",E16,"")</f>
        <v/>
      </c>
      <c r="S16" s="52">
        <f>IF($D16="Actual",SUMIFS(Data_Actuals!$D$2:$D$5000,Data_Actuals!$A$2:$A$5000,$A16,Data_Actuals!$B$2:$B$5000,$B$2),"")</f>
        <v/>
      </c>
      <c r="T16" s="52">
        <f>IF($D16="Actual",SUMIFS(Data_Actuals!$E$2:$E$5000,Data_Actuals!$A$2:$A$5000,$A16,Data_Actuals!$B$2:$B$5000,$B$2),"")</f>
        <v/>
      </c>
      <c r="U16" s="52">
        <f>IF($D16="Actual",SUMIFS(Data_Actuals!$F$2:$F$5000,Data_Actuals!$A$2:$A$5000,$A16,Data_Actuals!$B$2:$B$5000,$B$2),"")</f>
        <v/>
      </c>
      <c r="V16" s="52">
        <f>IF($D16="Actual",SUMIFS(Data_Actuals!$G$2:$G$5000,Data_Actuals!$A$2:$A$5000,$A16,Data_Actuals!$B$2:$B$5000,$B$2),"")</f>
        <v/>
      </c>
      <c r="W16" s="52">
        <f>SUMIFS(Plan_Inputs!$C$2:$C$5000,Plan_Inputs!$A$2:$A$5000,$A16,Plan_Inputs!$B$2:$B$5000,$B$2)</f>
        <v/>
      </c>
      <c r="X16" s="53">
        <f>IF($D16="Actual",IFERROR(S16/T16,""),"")</f>
        <v/>
      </c>
      <c r="Y16" s="52">
        <f>'VIC-1'!E16+'VIC-2'!E16</f>
        <v/>
      </c>
      <c r="Z16" s="54">
        <f>INDEX(Calendar!$H$5:$L$52,MATCH($A16,Calendar!$A$5:$A$52,0),MATCH($D$2,Calendar!$H$4:$L$4,0))</f>
        <v/>
      </c>
      <c r="AA16" s="54">
        <f>INDEX(Calendar!$M$5:$M$52,MATCH($A16,Calendar!$A$5:$A$52,0))</f>
        <v/>
      </c>
      <c r="AB16" s="55">
        <f>IF($D16="Actual",IFERROR(S16/Y16,""),"")</f>
        <v/>
      </c>
      <c r="AC16" s="56">
        <f>IF($D16="Actual",IFERROR(U16/T16/Z16/AA16,""),"")</f>
        <v/>
      </c>
      <c r="AD16" s="57">
        <f>IF($D16="Actual",IFERROR(V16/(U16+V16),""),$K$2)</f>
        <v/>
      </c>
      <c r="AE16" s="56">
        <f>IFERROR(AC16*Z16*AA16,"")</f>
        <v/>
      </c>
      <c r="AF16" s="53" t="n"/>
      <c r="AG16" s="57">
        <f>IF($D16="Forecast",IFERROR(K16/AF16-1,""),"")</f>
        <v/>
      </c>
      <c r="AH16" s="53">
        <f>IF(CPLHSource="National breakdown",CPLH_Breakdown!AT21,SUMIFS(Plan_Inputs!$D$2:$D$5000,Plan_Inputs!$A$2:$A$5000,$A16,Plan_Inputs!$B$2:$B$5000,$B$2))</f>
        <v/>
      </c>
      <c r="AJ16" s="15">
        <f>F16*$AK$11</f>
        <v/>
      </c>
      <c r="AK16" s="9">
        <f>G16*$AK$11</f>
        <v/>
      </c>
      <c r="AL16" s="30">
        <f>H16*$AK$11</f>
        <v/>
      </c>
      <c r="AM16" s="30">
        <f>I16*$AK$11</f>
        <v/>
      </c>
      <c r="AN16" s="30">
        <f>J16*$AK$11</f>
        <v/>
      </c>
      <c r="AP16" s="15">
        <f>F16*$AQ$11</f>
        <v/>
      </c>
      <c r="AQ16" s="9">
        <f>G16*$AQ$11</f>
        <v/>
      </c>
      <c r="AR16" s="30">
        <f>H16*$AQ$11</f>
        <v/>
      </c>
      <c r="AS16" s="30">
        <f>I16*$AQ$11</f>
        <v/>
      </c>
      <c r="AT16" s="30">
        <f>J16*$AQ$11</f>
        <v/>
      </c>
      <c r="AV16" s="15">
        <f>F16*$AW$11</f>
        <v/>
      </c>
      <c r="AW16" s="9">
        <f>G16*$AW$11</f>
        <v/>
      </c>
      <c r="AX16" s="30">
        <f>H16*$AW$11</f>
        <v/>
      </c>
      <c r="AY16" s="30">
        <f>I16*$AW$11</f>
        <v/>
      </c>
      <c r="AZ16" s="30">
        <f>J16*$AW$11</f>
        <v/>
      </c>
    </row>
    <row r="17">
      <c r="A17" s="8" t="n">
        <v>45717</v>
      </c>
      <c r="B17" s="33">
        <f>YEAR(A17)</f>
        <v/>
      </c>
      <c r="C17" s="33">
        <f>MONTH(A17)</f>
        <v/>
      </c>
      <c r="D17">
        <f>IF(A17&lt;=LastActual,"Actual","Forecast")</f>
        <v/>
      </c>
      <c r="E17" s="30">
        <f>'VIC-1'!E17</f>
        <v/>
      </c>
      <c r="F17" s="15">
        <f>IF($D17="Actual",S17,Cases_Forecast!AS10)</f>
        <v/>
      </c>
      <c r="G17" s="9">
        <f>IF($D17="Actual",T17,IFERROR(F17/K17,0))</f>
        <v/>
      </c>
      <c r="H17" s="30">
        <f>IF($D17="Actual",U17,G17*L17)</f>
        <v/>
      </c>
      <c r="I17" s="30">
        <f>IF($D17="Actual",V17,J17-H17)</f>
        <v/>
      </c>
      <c r="J17" s="30">
        <f>IF($D17="Actual",U17+V17,IFERROR(H17/(1-AD17),0))</f>
        <v/>
      </c>
      <c r="K17" s="10">
        <f>IF($D17="Actual",IFERROR(S17/T17,0),CPLH_Forecast!AS10)</f>
        <v/>
      </c>
      <c r="L17" s="34">
        <f>IF($D17="Actual",IFERROR(U17/T17,0),N(AE17))</f>
        <v/>
      </c>
      <c r="M17" s="35">
        <f>IFERROR(J17/F17,0)</f>
        <v/>
      </c>
      <c r="N17" s="36">
        <f>IFERROR(J17/E17,0)</f>
        <v/>
      </c>
      <c r="O17" s="36">
        <f>IFERROR(I17/J17,0)</f>
        <v/>
      </c>
      <c r="R17" s="52">
        <f>IF($D17="Actual",E17,"")</f>
        <v/>
      </c>
      <c r="S17" s="52">
        <f>IF($D17="Actual",SUMIFS(Data_Actuals!$D$2:$D$5000,Data_Actuals!$A$2:$A$5000,$A17,Data_Actuals!$B$2:$B$5000,$B$2),"")</f>
        <v/>
      </c>
      <c r="T17" s="52">
        <f>IF($D17="Actual",SUMIFS(Data_Actuals!$E$2:$E$5000,Data_Actuals!$A$2:$A$5000,$A17,Data_Actuals!$B$2:$B$5000,$B$2),"")</f>
        <v/>
      </c>
      <c r="U17" s="52">
        <f>IF($D17="Actual",SUMIFS(Data_Actuals!$F$2:$F$5000,Data_Actuals!$A$2:$A$5000,$A17,Data_Actuals!$B$2:$B$5000,$B$2),"")</f>
        <v/>
      </c>
      <c r="V17" s="52">
        <f>IF($D17="Actual",SUMIFS(Data_Actuals!$G$2:$G$5000,Data_Actuals!$A$2:$A$5000,$A17,Data_Actuals!$B$2:$B$5000,$B$2),"")</f>
        <v/>
      </c>
      <c r="W17" s="52">
        <f>SUMIFS(Plan_Inputs!$C$2:$C$5000,Plan_Inputs!$A$2:$A$5000,$A17,Plan_Inputs!$B$2:$B$5000,$B$2)</f>
        <v/>
      </c>
      <c r="X17" s="53">
        <f>IF($D17="Actual",IFERROR(S17/T17,""),"")</f>
        <v/>
      </c>
      <c r="Y17" s="52">
        <f>'VIC-1'!E17+'VIC-2'!E17</f>
        <v/>
      </c>
      <c r="Z17" s="54">
        <f>INDEX(Calendar!$H$5:$L$52,MATCH($A17,Calendar!$A$5:$A$52,0),MATCH($D$2,Calendar!$H$4:$L$4,0))</f>
        <v/>
      </c>
      <c r="AA17" s="54">
        <f>INDEX(Calendar!$M$5:$M$52,MATCH($A17,Calendar!$A$5:$A$52,0))</f>
        <v/>
      </c>
      <c r="AB17" s="55">
        <f>IF($D17="Actual",IFERROR(S17/Y17,""),"")</f>
        <v/>
      </c>
      <c r="AC17" s="56">
        <f>IF($D17="Actual",IFERROR(U17/T17/Z17/AA17,""),"")</f>
        <v/>
      </c>
      <c r="AD17" s="57">
        <f>IF($D17="Actual",IFERROR(V17/(U17+V17),""),$K$2)</f>
        <v/>
      </c>
      <c r="AE17" s="56">
        <f>IFERROR(AC17*Z17*AA17,"")</f>
        <v/>
      </c>
      <c r="AF17" s="53" t="n"/>
      <c r="AG17" s="57">
        <f>IF($D17="Forecast",IFERROR(K17/AF17-1,""),"")</f>
        <v/>
      </c>
      <c r="AH17" s="53">
        <f>IF(CPLHSource="National breakdown",CPLH_Breakdown!AT22,SUMIFS(Plan_Inputs!$D$2:$D$5000,Plan_Inputs!$A$2:$A$5000,$A17,Plan_Inputs!$B$2:$B$5000,$B$2))</f>
        <v/>
      </c>
      <c r="AJ17" s="15">
        <f>F17*$AK$11</f>
        <v/>
      </c>
      <c r="AK17" s="9">
        <f>G17*$AK$11</f>
        <v/>
      </c>
      <c r="AL17" s="30">
        <f>H17*$AK$11</f>
        <v/>
      </c>
      <c r="AM17" s="30">
        <f>I17*$AK$11</f>
        <v/>
      </c>
      <c r="AN17" s="30">
        <f>J17*$AK$11</f>
        <v/>
      </c>
      <c r="AP17" s="15">
        <f>F17*$AQ$11</f>
        <v/>
      </c>
      <c r="AQ17" s="9">
        <f>G17*$AQ$11</f>
        <v/>
      </c>
      <c r="AR17" s="30">
        <f>H17*$AQ$11</f>
        <v/>
      </c>
      <c r="AS17" s="30">
        <f>I17*$AQ$11</f>
        <v/>
      </c>
      <c r="AT17" s="30">
        <f>J17*$AQ$11</f>
        <v/>
      </c>
      <c r="AV17" s="15">
        <f>F17*$AW$11</f>
        <v/>
      </c>
      <c r="AW17" s="9">
        <f>G17*$AW$11</f>
        <v/>
      </c>
      <c r="AX17" s="30">
        <f>H17*$AW$11</f>
        <v/>
      </c>
      <c r="AY17" s="30">
        <f>I17*$AW$11</f>
        <v/>
      </c>
      <c r="AZ17" s="30">
        <f>J17*$AW$11</f>
        <v/>
      </c>
    </row>
    <row r="18">
      <c r="A18" s="8" t="n">
        <v>45748</v>
      </c>
      <c r="B18" s="33">
        <f>YEAR(A18)</f>
        <v/>
      </c>
      <c r="C18" s="33">
        <f>MONTH(A18)</f>
        <v/>
      </c>
      <c r="D18">
        <f>IF(A18&lt;=LastActual,"Actual","Forecast")</f>
        <v/>
      </c>
      <c r="E18" s="30">
        <f>'VIC-1'!E18</f>
        <v/>
      </c>
      <c r="F18" s="15">
        <f>IF($D18="Actual",S18,Cases_Forecast!AS11)</f>
        <v/>
      </c>
      <c r="G18" s="9">
        <f>IF($D18="Actual",T18,IFERROR(F18/K18,0))</f>
        <v/>
      </c>
      <c r="H18" s="30">
        <f>IF($D18="Actual",U18,G18*L18)</f>
        <v/>
      </c>
      <c r="I18" s="30">
        <f>IF($D18="Actual",V18,J18-H18)</f>
        <v/>
      </c>
      <c r="J18" s="30">
        <f>IF($D18="Actual",U18+V18,IFERROR(H18/(1-AD18),0))</f>
        <v/>
      </c>
      <c r="K18" s="10">
        <f>IF($D18="Actual",IFERROR(S18/T18,0),CPLH_Forecast!AS11)</f>
        <v/>
      </c>
      <c r="L18" s="34">
        <f>IF($D18="Actual",IFERROR(U18/T18,0),N(AE18))</f>
        <v/>
      </c>
      <c r="M18" s="35">
        <f>IFERROR(J18/F18,0)</f>
        <v/>
      </c>
      <c r="N18" s="36">
        <f>IFERROR(J18/E18,0)</f>
        <v/>
      </c>
      <c r="O18" s="36">
        <f>IFERROR(I18/J18,0)</f>
        <v/>
      </c>
      <c r="R18" s="52">
        <f>IF($D18="Actual",E18,"")</f>
        <v/>
      </c>
      <c r="S18" s="52">
        <f>IF($D18="Actual",SUMIFS(Data_Actuals!$D$2:$D$5000,Data_Actuals!$A$2:$A$5000,$A18,Data_Actuals!$B$2:$B$5000,$B$2),"")</f>
        <v/>
      </c>
      <c r="T18" s="52">
        <f>IF($D18="Actual",SUMIFS(Data_Actuals!$E$2:$E$5000,Data_Actuals!$A$2:$A$5000,$A18,Data_Actuals!$B$2:$B$5000,$B$2),"")</f>
        <v/>
      </c>
      <c r="U18" s="52">
        <f>IF($D18="Actual",SUMIFS(Data_Actuals!$F$2:$F$5000,Data_Actuals!$A$2:$A$5000,$A18,Data_Actuals!$B$2:$B$5000,$B$2),"")</f>
        <v/>
      </c>
      <c r="V18" s="52">
        <f>IF($D18="Actual",SUMIFS(Data_Actuals!$G$2:$G$5000,Data_Actuals!$A$2:$A$5000,$A18,Data_Actuals!$B$2:$B$5000,$B$2),"")</f>
        <v/>
      </c>
      <c r="W18" s="52">
        <f>SUMIFS(Plan_Inputs!$C$2:$C$5000,Plan_Inputs!$A$2:$A$5000,$A18,Plan_Inputs!$B$2:$B$5000,$B$2)</f>
        <v/>
      </c>
      <c r="X18" s="53">
        <f>IF($D18="Actual",IFERROR(S18/T18,""),"")</f>
        <v/>
      </c>
      <c r="Y18" s="52">
        <f>'VIC-1'!E18+'VIC-2'!E18</f>
        <v/>
      </c>
      <c r="Z18" s="54">
        <f>INDEX(Calendar!$H$5:$L$52,MATCH($A18,Calendar!$A$5:$A$52,0),MATCH($D$2,Calendar!$H$4:$L$4,0))</f>
        <v/>
      </c>
      <c r="AA18" s="54">
        <f>INDEX(Calendar!$M$5:$M$52,MATCH($A18,Calendar!$A$5:$A$52,0))</f>
        <v/>
      </c>
      <c r="AB18" s="55">
        <f>IF($D18="Actual",IFERROR(S18/Y18,""),"")</f>
        <v/>
      </c>
      <c r="AC18" s="56">
        <f>IF($D18="Actual",IFERROR(U18/T18/Z18/AA18,""),"")</f>
        <v/>
      </c>
      <c r="AD18" s="57">
        <f>IF($D18="Actual",IFERROR(V18/(U18+V18),""),$K$2)</f>
        <v/>
      </c>
      <c r="AE18" s="56">
        <f>IFERROR(AC18*Z18*AA18,"")</f>
        <v/>
      </c>
      <c r="AF18" s="53" t="n"/>
      <c r="AG18" s="57">
        <f>IF($D18="Forecast",IFERROR(K18/AF18-1,""),"")</f>
        <v/>
      </c>
      <c r="AH18" s="53">
        <f>IF(CPLHSource="National breakdown",CPLH_Breakdown!AT23,SUMIFS(Plan_Inputs!$D$2:$D$5000,Plan_Inputs!$A$2:$A$5000,$A18,Plan_Inputs!$B$2:$B$5000,$B$2))</f>
        <v/>
      </c>
      <c r="AJ18" s="15">
        <f>F18*$AK$11</f>
        <v/>
      </c>
      <c r="AK18" s="9">
        <f>G18*$AK$11</f>
        <v/>
      </c>
      <c r="AL18" s="30">
        <f>H18*$AK$11</f>
        <v/>
      </c>
      <c r="AM18" s="30">
        <f>I18*$AK$11</f>
        <v/>
      </c>
      <c r="AN18" s="30">
        <f>J18*$AK$11</f>
        <v/>
      </c>
      <c r="AP18" s="15">
        <f>F18*$AQ$11</f>
        <v/>
      </c>
      <c r="AQ18" s="9">
        <f>G18*$AQ$11</f>
        <v/>
      </c>
      <c r="AR18" s="30">
        <f>H18*$AQ$11</f>
        <v/>
      </c>
      <c r="AS18" s="30">
        <f>I18*$AQ$11</f>
        <v/>
      </c>
      <c r="AT18" s="30">
        <f>J18*$AQ$11</f>
        <v/>
      </c>
      <c r="AV18" s="15">
        <f>F18*$AW$11</f>
        <v/>
      </c>
      <c r="AW18" s="9">
        <f>G18*$AW$11</f>
        <v/>
      </c>
      <c r="AX18" s="30">
        <f>H18*$AW$11</f>
        <v/>
      </c>
      <c r="AY18" s="30">
        <f>I18*$AW$11</f>
        <v/>
      </c>
      <c r="AZ18" s="30">
        <f>J18*$AW$11</f>
        <v/>
      </c>
    </row>
    <row r="19">
      <c r="A19" s="8" t="n">
        <v>45778</v>
      </c>
      <c r="B19" s="33">
        <f>YEAR(A19)</f>
        <v/>
      </c>
      <c r="C19" s="33">
        <f>MONTH(A19)</f>
        <v/>
      </c>
      <c r="D19">
        <f>IF(A19&lt;=LastActual,"Actual","Forecast")</f>
        <v/>
      </c>
      <c r="E19" s="30">
        <f>'VIC-1'!E19</f>
        <v/>
      </c>
      <c r="F19" s="15">
        <f>IF($D19="Actual",S19,Cases_Forecast!AS12)</f>
        <v/>
      </c>
      <c r="G19" s="9">
        <f>IF($D19="Actual",T19,IFERROR(F19/K19,0))</f>
        <v/>
      </c>
      <c r="H19" s="30">
        <f>IF($D19="Actual",U19,G19*L19)</f>
        <v/>
      </c>
      <c r="I19" s="30">
        <f>IF($D19="Actual",V19,J19-H19)</f>
        <v/>
      </c>
      <c r="J19" s="30">
        <f>IF($D19="Actual",U19+V19,IFERROR(H19/(1-AD19),0))</f>
        <v/>
      </c>
      <c r="K19" s="10">
        <f>IF($D19="Actual",IFERROR(S19/T19,0),CPLH_Forecast!AS12)</f>
        <v/>
      </c>
      <c r="L19" s="34">
        <f>IF($D19="Actual",IFERROR(U19/T19,0),N(AE19))</f>
        <v/>
      </c>
      <c r="M19" s="35">
        <f>IFERROR(J19/F19,0)</f>
        <v/>
      </c>
      <c r="N19" s="36">
        <f>IFERROR(J19/E19,0)</f>
        <v/>
      </c>
      <c r="O19" s="36">
        <f>IFERROR(I19/J19,0)</f>
        <v/>
      </c>
      <c r="R19" s="52">
        <f>IF($D19="Actual",E19,"")</f>
        <v/>
      </c>
      <c r="S19" s="52">
        <f>IF($D19="Actual",SUMIFS(Data_Actuals!$D$2:$D$5000,Data_Actuals!$A$2:$A$5000,$A19,Data_Actuals!$B$2:$B$5000,$B$2),"")</f>
        <v/>
      </c>
      <c r="T19" s="52">
        <f>IF($D19="Actual",SUMIFS(Data_Actuals!$E$2:$E$5000,Data_Actuals!$A$2:$A$5000,$A19,Data_Actuals!$B$2:$B$5000,$B$2),"")</f>
        <v/>
      </c>
      <c r="U19" s="52">
        <f>IF($D19="Actual",SUMIFS(Data_Actuals!$F$2:$F$5000,Data_Actuals!$A$2:$A$5000,$A19,Data_Actuals!$B$2:$B$5000,$B$2),"")</f>
        <v/>
      </c>
      <c r="V19" s="52">
        <f>IF($D19="Actual",SUMIFS(Data_Actuals!$G$2:$G$5000,Data_Actuals!$A$2:$A$5000,$A19,Data_Actuals!$B$2:$B$5000,$B$2),"")</f>
        <v/>
      </c>
      <c r="W19" s="52">
        <f>SUMIFS(Plan_Inputs!$C$2:$C$5000,Plan_Inputs!$A$2:$A$5000,$A19,Plan_Inputs!$B$2:$B$5000,$B$2)</f>
        <v/>
      </c>
      <c r="X19" s="53">
        <f>IF($D19="Actual",IFERROR(S19/T19,""),"")</f>
        <v/>
      </c>
      <c r="Y19" s="52">
        <f>'VIC-1'!E19+'VIC-2'!E19</f>
        <v/>
      </c>
      <c r="Z19" s="54">
        <f>INDEX(Calendar!$H$5:$L$52,MATCH($A19,Calendar!$A$5:$A$52,0),MATCH($D$2,Calendar!$H$4:$L$4,0))</f>
        <v/>
      </c>
      <c r="AA19" s="54">
        <f>INDEX(Calendar!$M$5:$M$52,MATCH($A19,Calendar!$A$5:$A$52,0))</f>
        <v/>
      </c>
      <c r="AB19" s="55">
        <f>IF($D19="Actual",IFERROR(S19/Y19,""),"")</f>
        <v/>
      </c>
      <c r="AC19" s="56">
        <f>IF($D19="Actual",IFERROR(U19/T19/Z19/AA19,""),"")</f>
        <v/>
      </c>
      <c r="AD19" s="57">
        <f>IF($D19="Actual",IFERROR(V19/(U19+V19),""),$K$2)</f>
        <v/>
      </c>
      <c r="AE19" s="56">
        <f>IFERROR(AC19*Z19*AA19,"")</f>
        <v/>
      </c>
      <c r="AF19" s="53" t="n"/>
      <c r="AG19" s="57">
        <f>IF($D19="Forecast",IFERROR(K19/AF19-1,""),"")</f>
        <v/>
      </c>
      <c r="AH19" s="53">
        <f>IF(CPLHSource="National breakdown",CPLH_Breakdown!AT24,SUMIFS(Plan_Inputs!$D$2:$D$5000,Plan_Inputs!$A$2:$A$5000,$A19,Plan_Inputs!$B$2:$B$5000,$B$2))</f>
        <v/>
      </c>
      <c r="AJ19" s="15">
        <f>F19*$AK$11</f>
        <v/>
      </c>
      <c r="AK19" s="9">
        <f>G19*$AK$11</f>
        <v/>
      </c>
      <c r="AL19" s="30">
        <f>H19*$AK$11</f>
        <v/>
      </c>
      <c r="AM19" s="30">
        <f>I19*$AK$11</f>
        <v/>
      </c>
      <c r="AN19" s="30">
        <f>J19*$AK$11</f>
        <v/>
      </c>
      <c r="AP19" s="15">
        <f>F19*$AQ$11</f>
        <v/>
      </c>
      <c r="AQ19" s="9">
        <f>G19*$AQ$11</f>
        <v/>
      </c>
      <c r="AR19" s="30">
        <f>H19*$AQ$11</f>
        <v/>
      </c>
      <c r="AS19" s="30">
        <f>I19*$AQ$11</f>
        <v/>
      </c>
      <c r="AT19" s="30">
        <f>J19*$AQ$11</f>
        <v/>
      </c>
      <c r="AV19" s="15">
        <f>F19*$AW$11</f>
        <v/>
      </c>
      <c r="AW19" s="9">
        <f>G19*$AW$11</f>
        <v/>
      </c>
      <c r="AX19" s="30">
        <f>H19*$AW$11</f>
        <v/>
      </c>
      <c r="AY19" s="30">
        <f>I19*$AW$11</f>
        <v/>
      </c>
      <c r="AZ19" s="30">
        <f>J19*$AW$11</f>
        <v/>
      </c>
    </row>
    <row r="20">
      <c r="A20" s="8" t="n">
        <v>45809</v>
      </c>
      <c r="B20" s="33">
        <f>YEAR(A20)</f>
        <v/>
      </c>
      <c r="C20" s="33">
        <f>MONTH(A20)</f>
        <v/>
      </c>
      <c r="D20">
        <f>IF(A20&lt;=LastActual,"Actual","Forecast")</f>
        <v/>
      </c>
      <c r="E20" s="30">
        <f>'VIC-1'!E20</f>
        <v/>
      </c>
      <c r="F20" s="15">
        <f>IF($D20="Actual",S20,Cases_Forecast!AS13)</f>
        <v/>
      </c>
      <c r="G20" s="9">
        <f>IF($D20="Actual",T20,IFERROR(F20/K20,0))</f>
        <v/>
      </c>
      <c r="H20" s="30">
        <f>IF($D20="Actual",U20,G20*L20)</f>
        <v/>
      </c>
      <c r="I20" s="30">
        <f>IF($D20="Actual",V20,J20-H20)</f>
        <v/>
      </c>
      <c r="J20" s="30">
        <f>IF($D20="Actual",U20+V20,IFERROR(H20/(1-AD20),0))</f>
        <v/>
      </c>
      <c r="K20" s="10">
        <f>IF($D20="Actual",IFERROR(S20/T20,0),CPLH_Forecast!AS13)</f>
        <v/>
      </c>
      <c r="L20" s="34">
        <f>IF($D20="Actual",IFERROR(U20/T20,0),N(AE20))</f>
        <v/>
      </c>
      <c r="M20" s="35">
        <f>IFERROR(J20/F20,0)</f>
        <v/>
      </c>
      <c r="N20" s="36">
        <f>IFERROR(J20/E20,0)</f>
        <v/>
      </c>
      <c r="O20" s="36">
        <f>IFERROR(I20/J20,0)</f>
        <v/>
      </c>
      <c r="R20" s="52">
        <f>IF($D20="Actual",E20,"")</f>
        <v/>
      </c>
      <c r="S20" s="52">
        <f>IF($D20="Actual",SUMIFS(Data_Actuals!$D$2:$D$5000,Data_Actuals!$A$2:$A$5000,$A20,Data_Actuals!$B$2:$B$5000,$B$2),"")</f>
        <v/>
      </c>
      <c r="T20" s="52">
        <f>IF($D20="Actual",SUMIFS(Data_Actuals!$E$2:$E$5000,Data_Actuals!$A$2:$A$5000,$A20,Data_Actuals!$B$2:$B$5000,$B$2),"")</f>
        <v/>
      </c>
      <c r="U20" s="52">
        <f>IF($D20="Actual",SUMIFS(Data_Actuals!$F$2:$F$5000,Data_Actuals!$A$2:$A$5000,$A20,Data_Actuals!$B$2:$B$5000,$B$2),"")</f>
        <v/>
      </c>
      <c r="V20" s="52">
        <f>IF($D20="Actual",SUMIFS(Data_Actuals!$G$2:$G$5000,Data_Actuals!$A$2:$A$5000,$A20,Data_Actuals!$B$2:$B$5000,$B$2),"")</f>
        <v/>
      </c>
      <c r="W20" s="52">
        <f>SUMIFS(Plan_Inputs!$C$2:$C$5000,Plan_Inputs!$A$2:$A$5000,$A20,Plan_Inputs!$B$2:$B$5000,$B$2)</f>
        <v/>
      </c>
      <c r="X20" s="53">
        <f>IF($D20="Actual",IFERROR(S20/T20,""),"")</f>
        <v/>
      </c>
      <c r="Y20" s="52">
        <f>'VIC-1'!E20+'VIC-2'!E20</f>
        <v/>
      </c>
      <c r="Z20" s="54">
        <f>INDEX(Calendar!$H$5:$L$52,MATCH($A20,Calendar!$A$5:$A$52,0),MATCH($D$2,Calendar!$H$4:$L$4,0))</f>
        <v/>
      </c>
      <c r="AA20" s="54">
        <f>INDEX(Calendar!$M$5:$M$52,MATCH($A20,Calendar!$A$5:$A$52,0))</f>
        <v/>
      </c>
      <c r="AB20" s="55">
        <f>IF($D20="Actual",IFERROR(S20/Y20,""),"")</f>
        <v/>
      </c>
      <c r="AC20" s="56">
        <f>IF($D20="Actual",IFERROR(U20/T20/Z20/AA20,""),"")</f>
        <v/>
      </c>
      <c r="AD20" s="57">
        <f>IF($D20="Actual",IFERROR(V20/(U20+V20),""),$K$2)</f>
        <v/>
      </c>
      <c r="AE20" s="56">
        <f>IFERROR(AC20*Z20*AA20,"")</f>
        <v/>
      </c>
      <c r="AF20" s="53" t="n"/>
      <c r="AG20" s="57">
        <f>IF($D20="Forecast",IFERROR(K20/AF20-1,""),"")</f>
        <v/>
      </c>
      <c r="AH20" s="53">
        <f>IF(CPLHSource="National breakdown",CPLH_Breakdown!AT25,SUMIFS(Plan_Inputs!$D$2:$D$5000,Plan_Inputs!$A$2:$A$5000,$A20,Plan_Inputs!$B$2:$B$5000,$B$2))</f>
        <v/>
      </c>
      <c r="AJ20" s="15">
        <f>F20*$AK$11</f>
        <v/>
      </c>
      <c r="AK20" s="9">
        <f>G20*$AK$11</f>
        <v/>
      </c>
      <c r="AL20" s="30">
        <f>H20*$AK$11</f>
        <v/>
      </c>
      <c r="AM20" s="30">
        <f>I20*$AK$11</f>
        <v/>
      </c>
      <c r="AN20" s="30">
        <f>J20*$AK$11</f>
        <v/>
      </c>
      <c r="AP20" s="15">
        <f>F20*$AQ$11</f>
        <v/>
      </c>
      <c r="AQ20" s="9">
        <f>G20*$AQ$11</f>
        <v/>
      </c>
      <c r="AR20" s="30">
        <f>H20*$AQ$11</f>
        <v/>
      </c>
      <c r="AS20" s="30">
        <f>I20*$AQ$11</f>
        <v/>
      </c>
      <c r="AT20" s="30">
        <f>J20*$AQ$11</f>
        <v/>
      </c>
      <c r="AV20" s="15">
        <f>F20*$AW$11</f>
        <v/>
      </c>
      <c r="AW20" s="9">
        <f>G20*$AW$11</f>
        <v/>
      </c>
      <c r="AX20" s="30">
        <f>H20*$AW$11</f>
        <v/>
      </c>
      <c r="AY20" s="30">
        <f>I20*$AW$11</f>
        <v/>
      </c>
      <c r="AZ20" s="30">
        <f>J20*$AW$11</f>
        <v/>
      </c>
    </row>
    <row r="21">
      <c r="A21" s="8" t="n">
        <v>45839</v>
      </c>
      <c r="B21" s="33">
        <f>YEAR(A21)</f>
        <v/>
      </c>
      <c r="C21" s="33">
        <f>MONTH(A21)</f>
        <v/>
      </c>
      <c r="D21">
        <f>IF(A21&lt;=LastActual,"Actual","Forecast")</f>
        <v/>
      </c>
      <c r="E21" s="30">
        <f>'VIC-1'!E21</f>
        <v/>
      </c>
      <c r="F21" s="15">
        <f>IF($D21="Actual",S21,Cases_Forecast!AS14)</f>
        <v/>
      </c>
      <c r="G21" s="9">
        <f>IF($D21="Actual",T21,IFERROR(F21/K21,0))</f>
        <v/>
      </c>
      <c r="H21" s="30">
        <f>IF($D21="Actual",U21,G21*L21)</f>
        <v/>
      </c>
      <c r="I21" s="30">
        <f>IF($D21="Actual",V21,J21-H21)</f>
        <v/>
      </c>
      <c r="J21" s="30">
        <f>IF($D21="Actual",U21+V21,IFERROR(H21/(1-AD21),0))</f>
        <v/>
      </c>
      <c r="K21" s="10">
        <f>IF($D21="Actual",IFERROR(S21/T21,0),CPLH_Forecast!AS14)</f>
        <v/>
      </c>
      <c r="L21" s="34">
        <f>IF($D21="Actual",IFERROR(U21/T21,0),N(AE21))</f>
        <v/>
      </c>
      <c r="M21" s="35">
        <f>IFERROR(J21/F21,0)</f>
        <v/>
      </c>
      <c r="N21" s="36">
        <f>IFERROR(J21/E21,0)</f>
        <v/>
      </c>
      <c r="O21" s="36">
        <f>IFERROR(I21/J21,0)</f>
        <v/>
      </c>
      <c r="R21" s="52">
        <f>IF($D21="Actual",E21,"")</f>
        <v/>
      </c>
      <c r="S21" s="52">
        <f>IF($D21="Actual",SUMIFS(Data_Actuals!$D$2:$D$5000,Data_Actuals!$A$2:$A$5000,$A21,Data_Actuals!$B$2:$B$5000,$B$2),"")</f>
        <v/>
      </c>
      <c r="T21" s="52">
        <f>IF($D21="Actual",SUMIFS(Data_Actuals!$E$2:$E$5000,Data_Actuals!$A$2:$A$5000,$A21,Data_Actuals!$B$2:$B$5000,$B$2),"")</f>
        <v/>
      </c>
      <c r="U21" s="52">
        <f>IF($D21="Actual",SUMIFS(Data_Actuals!$F$2:$F$5000,Data_Actuals!$A$2:$A$5000,$A21,Data_Actuals!$B$2:$B$5000,$B$2),"")</f>
        <v/>
      </c>
      <c r="V21" s="52">
        <f>IF($D21="Actual",SUMIFS(Data_Actuals!$G$2:$G$5000,Data_Actuals!$A$2:$A$5000,$A21,Data_Actuals!$B$2:$B$5000,$B$2),"")</f>
        <v/>
      </c>
      <c r="W21" s="52">
        <f>SUMIFS(Plan_Inputs!$C$2:$C$5000,Plan_Inputs!$A$2:$A$5000,$A21,Plan_Inputs!$B$2:$B$5000,$B$2)</f>
        <v/>
      </c>
      <c r="X21" s="53">
        <f>IF($D21="Actual",IFERROR(S21/T21,""),"")</f>
        <v/>
      </c>
      <c r="Y21" s="52">
        <f>'VIC-1'!E21+'VIC-2'!E21</f>
        <v/>
      </c>
      <c r="Z21" s="54">
        <f>INDEX(Calendar!$H$5:$L$52,MATCH($A21,Calendar!$A$5:$A$52,0),MATCH($D$2,Calendar!$H$4:$L$4,0))</f>
        <v/>
      </c>
      <c r="AA21" s="54">
        <f>INDEX(Calendar!$M$5:$M$52,MATCH($A21,Calendar!$A$5:$A$52,0))</f>
        <v/>
      </c>
      <c r="AB21" s="55">
        <f>IF($D21="Actual",IFERROR(S21/Y21,""),"")</f>
        <v/>
      </c>
      <c r="AC21" s="56">
        <f>IF($D21="Actual",IFERROR(U21/T21/Z21/AA21,""),"")</f>
        <v/>
      </c>
      <c r="AD21" s="57">
        <f>IF($D21="Actual",IFERROR(V21/(U21+V21),""),$K$2)</f>
        <v/>
      </c>
      <c r="AE21" s="56">
        <f>IFERROR(AC21*Z21*AA21,"")</f>
        <v/>
      </c>
      <c r="AF21" s="53" t="n"/>
      <c r="AG21" s="57">
        <f>IF($D21="Forecast",IFERROR(K21/AF21-1,""),"")</f>
        <v/>
      </c>
      <c r="AH21" s="53">
        <f>IF(CPLHSource="National breakdown",CPLH_Breakdown!AT26,SUMIFS(Plan_Inputs!$D$2:$D$5000,Plan_Inputs!$A$2:$A$5000,$A21,Plan_Inputs!$B$2:$B$5000,$B$2))</f>
        <v/>
      </c>
      <c r="AJ21" s="15">
        <f>F21*$AK$11</f>
        <v/>
      </c>
      <c r="AK21" s="9">
        <f>G21*$AK$11</f>
        <v/>
      </c>
      <c r="AL21" s="30">
        <f>H21*$AK$11</f>
        <v/>
      </c>
      <c r="AM21" s="30">
        <f>I21*$AK$11</f>
        <v/>
      </c>
      <c r="AN21" s="30">
        <f>J21*$AK$11</f>
        <v/>
      </c>
      <c r="AP21" s="15">
        <f>F21*$AQ$11</f>
        <v/>
      </c>
      <c r="AQ21" s="9">
        <f>G21*$AQ$11</f>
        <v/>
      </c>
      <c r="AR21" s="30">
        <f>H21*$AQ$11</f>
        <v/>
      </c>
      <c r="AS21" s="30">
        <f>I21*$AQ$11</f>
        <v/>
      </c>
      <c r="AT21" s="30">
        <f>J21*$AQ$11</f>
        <v/>
      </c>
      <c r="AV21" s="15">
        <f>F21*$AW$11</f>
        <v/>
      </c>
      <c r="AW21" s="9">
        <f>G21*$AW$11</f>
        <v/>
      </c>
      <c r="AX21" s="30">
        <f>H21*$AW$11</f>
        <v/>
      </c>
      <c r="AY21" s="30">
        <f>I21*$AW$11</f>
        <v/>
      </c>
      <c r="AZ21" s="30">
        <f>J21*$AW$11</f>
        <v/>
      </c>
    </row>
    <row r="22">
      <c r="A22" s="8" t="n">
        <v>45870</v>
      </c>
      <c r="B22" s="33">
        <f>YEAR(A22)</f>
        <v/>
      </c>
      <c r="C22" s="33">
        <f>MONTH(A22)</f>
        <v/>
      </c>
      <c r="D22">
        <f>IF(A22&lt;=LastActual,"Actual","Forecast")</f>
        <v/>
      </c>
      <c r="E22" s="30">
        <f>'VIC-1'!E22</f>
        <v/>
      </c>
      <c r="F22" s="15">
        <f>IF($D22="Actual",S22,Cases_Forecast!AS15)</f>
        <v/>
      </c>
      <c r="G22" s="9">
        <f>IF($D22="Actual",T22,IFERROR(F22/K22,0))</f>
        <v/>
      </c>
      <c r="H22" s="30">
        <f>IF($D22="Actual",U22,G22*L22)</f>
        <v/>
      </c>
      <c r="I22" s="30">
        <f>IF($D22="Actual",V22,J22-H22)</f>
        <v/>
      </c>
      <c r="J22" s="30">
        <f>IF($D22="Actual",U22+V22,IFERROR(H22/(1-AD22),0))</f>
        <v/>
      </c>
      <c r="K22" s="10">
        <f>IF($D22="Actual",IFERROR(S22/T22,0),CPLH_Forecast!AS15)</f>
        <v/>
      </c>
      <c r="L22" s="34">
        <f>IF($D22="Actual",IFERROR(U22/T22,0),N(AE22))</f>
        <v/>
      </c>
      <c r="M22" s="35">
        <f>IFERROR(J22/F22,0)</f>
        <v/>
      </c>
      <c r="N22" s="36">
        <f>IFERROR(J22/E22,0)</f>
        <v/>
      </c>
      <c r="O22" s="36">
        <f>IFERROR(I22/J22,0)</f>
        <v/>
      </c>
      <c r="R22" s="52">
        <f>IF($D22="Actual",E22,"")</f>
        <v/>
      </c>
      <c r="S22" s="52">
        <f>IF($D22="Actual",SUMIFS(Data_Actuals!$D$2:$D$5000,Data_Actuals!$A$2:$A$5000,$A22,Data_Actuals!$B$2:$B$5000,$B$2),"")</f>
        <v/>
      </c>
      <c r="T22" s="52">
        <f>IF($D22="Actual",SUMIFS(Data_Actuals!$E$2:$E$5000,Data_Actuals!$A$2:$A$5000,$A22,Data_Actuals!$B$2:$B$5000,$B$2),"")</f>
        <v/>
      </c>
      <c r="U22" s="52">
        <f>IF($D22="Actual",SUMIFS(Data_Actuals!$F$2:$F$5000,Data_Actuals!$A$2:$A$5000,$A22,Data_Actuals!$B$2:$B$5000,$B$2),"")</f>
        <v/>
      </c>
      <c r="V22" s="52">
        <f>IF($D22="Actual",SUMIFS(Data_Actuals!$G$2:$G$5000,Data_Actuals!$A$2:$A$5000,$A22,Data_Actuals!$B$2:$B$5000,$B$2),"")</f>
        <v/>
      </c>
      <c r="W22" s="52">
        <f>SUMIFS(Plan_Inputs!$C$2:$C$5000,Plan_Inputs!$A$2:$A$5000,$A22,Plan_Inputs!$B$2:$B$5000,$B$2)</f>
        <v/>
      </c>
      <c r="X22" s="53">
        <f>IF($D22="Actual",IFERROR(S22/T22,""),"")</f>
        <v/>
      </c>
      <c r="Y22" s="52">
        <f>'VIC-1'!E22+'VIC-2'!E22</f>
        <v/>
      </c>
      <c r="Z22" s="54">
        <f>INDEX(Calendar!$H$5:$L$52,MATCH($A22,Calendar!$A$5:$A$52,0),MATCH($D$2,Calendar!$H$4:$L$4,0))</f>
        <v/>
      </c>
      <c r="AA22" s="54">
        <f>INDEX(Calendar!$M$5:$M$52,MATCH($A22,Calendar!$A$5:$A$52,0))</f>
        <v/>
      </c>
      <c r="AB22" s="55">
        <f>IF($D22="Actual",IFERROR(S22/Y22,""),"")</f>
        <v/>
      </c>
      <c r="AC22" s="56">
        <f>IF($D22="Actual",IFERROR(U22/T22/Z22/AA22,""),"")</f>
        <v/>
      </c>
      <c r="AD22" s="57">
        <f>IF($D22="Actual",IFERROR(V22/(U22+V22),""),$K$2)</f>
        <v/>
      </c>
      <c r="AE22" s="56">
        <f>IFERROR(AC22*Z22*AA22,"")</f>
        <v/>
      </c>
      <c r="AF22" s="53" t="n"/>
      <c r="AG22" s="57">
        <f>IF($D22="Forecast",IFERROR(K22/AF22-1,""),"")</f>
        <v/>
      </c>
      <c r="AH22" s="53">
        <f>IF(CPLHSource="National breakdown",CPLH_Breakdown!AT27,SUMIFS(Plan_Inputs!$D$2:$D$5000,Plan_Inputs!$A$2:$A$5000,$A22,Plan_Inputs!$B$2:$B$5000,$B$2))</f>
        <v/>
      </c>
      <c r="AJ22" s="15">
        <f>F22*$AK$11</f>
        <v/>
      </c>
      <c r="AK22" s="9">
        <f>G22*$AK$11</f>
        <v/>
      </c>
      <c r="AL22" s="30">
        <f>H22*$AK$11</f>
        <v/>
      </c>
      <c r="AM22" s="30">
        <f>I22*$AK$11</f>
        <v/>
      </c>
      <c r="AN22" s="30">
        <f>J22*$AK$11</f>
        <v/>
      </c>
      <c r="AP22" s="15">
        <f>F22*$AQ$11</f>
        <v/>
      </c>
      <c r="AQ22" s="9">
        <f>G22*$AQ$11</f>
        <v/>
      </c>
      <c r="AR22" s="30">
        <f>H22*$AQ$11</f>
        <v/>
      </c>
      <c r="AS22" s="30">
        <f>I22*$AQ$11</f>
        <v/>
      </c>
      <c r="AT22" s="30">
        <f>J22*$AQ$11</f>
        <v/>
      </c>
      <c r="AV22" s="15">
        <f>F22*$AW$11</f>
        <v/>
      </c>
      <c r="AW22" s="9">
        <f>G22*$AW$11</f>
        <v/>
      </c>
      <c r="AX22" s="30">
        <f>H22*$AW$11</f>
        <v/>
      </c>
      <c r="AY22" s="30">
        <f>I22*$AW$11</f>
        <v/>
      </c>
      <c r="AZ22" s="30">
        <f>J22*$AW$11</f>
        <v/>
      </c>
    </row>
    <row r="23">
      <c r="A23" s="8" t="n">
        <v>45901</v>
      </c>
      <c r="B23" s="33">
        <f>YEAR(A23)</f>
        <v/>
      </c>
      <c r="C23" s="33">
        <f>MONTH(A23)</f>
        <v/>
      </c>
      <c r="D23">
        <f>IF(A23&lt;=LastActual,"Actual","Forecast")</f>
        <v/>
      </c>
      <c r="E23" s="30">
        <f>'VIC-1'!E23</f>
        <v/>
      </c>
      <c r="F23" s="15">
        <f>IF($D23="Actual",S23,Cases_Forecast!AS16)</f>
        <v/>
      </c>
      <c r="G23" s="9">
        <f>IF($D23="Actual",T23,IFERROR(F23/K23,0))</f>
        <v/>
      </c>
      <c r="H23" s="30">
        <f>IF($D23="Actual",U23,G23*L23)</f>
        <v/>
      </c>
      <c r="I23" s="30">
        <f>IF($D23="Actual",V23,J23-H23)</f>
        <v/>
      </c>
      <c r="J23" s="30">
        <f>IF($D23="Actual",U23+V23,IFERROR(H23/(1-AD23),0))</f>
        <v/>
      </c>
      <c r="K23" s="10">
        <f>IF($D23="Actual",IFERROR(S23/T23,0),CPLH_Forecast!AS16)</f>
        <v/>
      </c>
      <c r="L23" s="34">
        <f>IF($D23="Actual",IFERROR(U23/T23,0),N(AE23))</f>
        <v/>
      </c>
      <c r="M23" s="35">
        <f>IFERROR(J23/F23,0)</f>
        <v/>
      </c>
      <c r="N23" s="36">
        <f>IFERROR(J23/E23,0)</f>
        <v/>
      </c>
      <c r="O23" s="36">
        <f>IFERROR(I23/J23,0)</f>
        <v/>
      </c>
      <c r="R23" s="52">
        <f>IF($D23="Actual",E23,"")</f>
        <v/>
      </c>
      <c r="S23" s="52">
        <f>IF($D23="Actual",SUMIFS(Data_Actuals!$D$2:$D$5000,Data_Actuals!$A$2:$A$5000,$A23,Data_Actuals!$B$2:$B$5000,$B$2),"")</f>
        <v/>
      </c>
      <c r="T23" s="52">
        <f>IF($D23="Actual",SUMIFS(Data_Actuals!$E$2:$E$5000,Data_Actuals!$A$2:$A$5000,$A23,Data_Actuals!$B$2:$B$5000,$B$2),"")</f>
        <v/>
      </c>
      <c r="U23" s="52">
        <f>IF($D23="Actual",SUMIFS(Data_Actuals!$F$2:$F$5000,Data_Actuals!$A$2:$A$5000,$A23,Data_Actuals!$B$2:$B$5000,$B$2),"")</f>
        <v/>
      </c>
      <c r="V23" s="52">
        <f>IF($D23="Actual",SUMIFS(Data_Actuals!$G$2:$G$5000,Data_Actuals!$A$2:$A$5000,$A23,Data_Actuals!$B$2:$B$5000,$B$2),"")</f>
        <v/>
      </c>
      <c r="W23" s="52">
        <f>SUMIFS(Plan_Inputs!$C$2:$C$5000,Plan_Inputs!$A$2:$A$5000,$A23,Plan_Inputs!$B$2:$B$5000,$B$2)</f>
        <v/>
      </c>
      <c r="X23" s="53">
        <f>IF($D23="Actual",IFERROR(S23/T23,""),"")</f>
        <v/>
      </c>
      <c r="Y23" s="52">
        <f>'VIC-1'!E23+'VIC-2'!E23</f>
        <v/>
      </c>
      <c r="Z23" s="54">
        <f>INDEX(Calendar!$H$5:$L$52,MATCH($A23,Calendar!$A$5:$A$52,0),MATCH($D$2,Calendar!$H$4:$L$4,0))</f>
        <v/>
      </c>
      <c r="AA23" s="54">
        <f>INDEX(Calendar!$M$5:$M$52,MATCH($A23,Calendar!$A$5:$A$52,0))</f>
        <v/>
      </c>
      <c r="AB23" s="55">
        <f>IF($D23="Actual",IFERROR(S23/Y23,""),"")</f>
        <v/>
      </c>
      <c r="AC23" s="56">
        <f>IF($D23="Actual",IFERROR(U23/T23/Z23/AA23,""),"")</f>
        <v/>
      </c>
      <c r="AD23" s="57">
        <f>IF($D23="Actual",IFERROR(V23/(U23+V23),""),$K$2)</f>
        <v/>
      </c>
      <c r="AE23" s="56">
        <f>IFERROR(AC23*Z23*AA23,"")</f>
        <v/>
      </c>
      <c r="AF23" s="53" t="n"/>
      <c r="AG23" s="57">
        <f>IF($D23="Forecast",IFERROR(K23/AF23-1,""),"")</f>
        <v/>
      </c>
      <c r="AH23" s="53">
        <f>IF(CPLHSource="National breakdown",CPLH_Breakdown!AT28,SUMIFS(Plan_Inputs!$D$2:$D$5000,Plan_Inputs!$A$2:$A$5000,$A23,Plan_Inputs!$B$2:$B$5000,$B$2))</f>
        <v/>
      </c>
      <c r="AJ23" s="15">
        <f>F23*$AK$11</f>
        <v/>
      </c>
      <c r="AK23" s="9">
        <f>G23*$AK$11</f>
        <v/>
      </c>
      <c r="AL23" s="30">
        <f>H23*$AK$11</f>
        <v/>
      </c>
      <c r="AM23" s="30">
        <f>I23*$AK$11</f>
        <v/>
      </c>
      <c r="AN23" s="30">
        <f>J23*$AK$11</f>
        <v/>
      </c>
      <c r="AP23" s="15">
        <f>F23*$AQ$11</f>
        <v/>
      </c>
      <c r="AQ23" s="9">
        <f>G23*$AQ$11</f>
        <v/>
      </c>
      <c r="AR23" s="30">
        <f>H23*$AQ$11</f>
        <v/>
      </c>
      <c r="AS23" s="30">
        <f>I23*$AQ$11</f>
        <v/>
      </c>
      <c r="AT23" s="30">
        <f>J23*$AQ$11</f>
        <v/>
      </c>
      <c r="AV23" s="15">
        <f>F23*$AW$11</f>
        <v/>
      </c>
      <c r="AW23" s="9">
        <f>G23*$AW$11</f>
        <v/>
      </c>
      <c r="AX23" s="30">
        <f>H23*$AW$11</f>
        <v/>
      </c>
      <c r="AY23" s="30">
        <f>I23*$AW$11</f>
        <v/>
      </c>
      <c r="AZ23" s="30">
        <f>J23*$AW$11</f>
        <v/>
      </c>
    </row>
    <row r="24">
      <c r="A24" s="8" t="n">
        <v>45931</v>
      </c>
      <c r="B24" s="33">
        <f>YEAR(A24)</f>
        <v/>
      </c>
      <c r="C24" s="33">
        <f>MONTH(A24)</f>
        <v/>
      </c>
      <c r="D24">
        <f>IF(A24&lt;=LastActual,"Actual","Forecast")</f>
        <v/>
      </c>
      <c r="E24" s="30">
        <f>'VIC-1'!E24</f>
        <v/>
      </c>
      <c r="F24" s="15">
        <f>IF($D24="Actual",S24,Cases_Forecast!AS17)</f>
        <v/>
      </c>
      <c r="G24" s="9">
        <f>IF($D24="Actual",T24,IFERROR(F24/K24,0))</f>
        <v/>
      </c>
      <c r="H24" s="30">
        <f>IF($D24="Actual",U24,G24*L24)</f>
        <v/>
      </c>
      <c r="I24" s="30">
        <f>IF($D24="Actual",V24,J24-H24)</f>
        <v/>
      </c>
      <c r="J24" s="30">
        <f>IF($D24="Actual",U24+V24,IFERROR(H24/(1-AD24),0))</f>
        <v/>
      </c>
      <c r="K24" s="10">
        <f>IF($D24="Actual",IFERROR(S24/T24,0),CPLH_Forecast!AS17)</f>
        <v/>
      </c>
      <c r="L24" s="34">
        <f>IF($D24="Actual",IFERROR(U24/T24,0),N(AE24))</f>
        <v/>
      </c>
      <c r="M24" s="35">
        <f>IFERROR(J24/F24,0)</f>
        <v/>
      </c>
      <c r="N24" s="36">
        <f>IFERROR(J24/E24,0)</f>
        <v/>
      </c>
      <c r="O24" s="36">
        <f>IFERROR(I24/J24,0)</f>
        <v/>
      </c>
      <c r="R24" s="52">
        <f>IF($D24="Actual",E24,"")</f>
        <v/>
      </c>
      <c r="S24" s="52">
        <f>IF($D24="Actual",SUMIFS(Data_Actuals!$D$2:$D$5000,Data_Actuals!$A$2:$A$5000,$A24,Data_Actuals!$B$2:$B$5000,$B$2),"")</f>
        <v/>
      </c>
      <c r="T24" s="52">
        <f>IF($D24="Actual",SUMIFS(Data_Actuals!$E$2:$E$5000,Data_Actuals!$A$2:$A$5000,$A24,Data_Actuals!$B$2:$B$5000,$B$2),"")</f>
        <v/>
      </c>
      <c r="U24" s="52">
        <f>IF($D24="Actual",SUMIFS(Data_Actuals!$F$2:$F$5000,Data_Actuals!$A$2:$A$5000,$A24,Data_Actuals!$B$2:$B$5000,$B$2),"")</f>
        <v/>
      </c>
      <c r="V24" s="52">
        <f>IF($D24="Actual",SUMIFS(Data_Actuals!$G$2:$G$5000,Data_Actuals!$A$2:$A$5000,$A24,Data_Actuals!$B$2:$B$5000,$B$2),"")</f>
        <v/>
      </c>
      <c r="W24" s="52">
        <f>SUMIFS(Plan_Inputs!$C$2:$C$5000,Plan_Inputs!$A$2:$A$5000,$A24,Plan_Inputs!$B$2:$B$5000,$B$2)</f>
        <v/>
      </c>
      <c r="X24" s="53">
        <f>IF($D24="Actual",IFERROR(S24/T24,""),"")</f>
        <v/>
      </c>
      <c r="Y24" s="52">
        <f>'VIC-1'!E24+'VIC-2'!E24</f>
        <v/>
      </c>
      <c r="Z24" s="54">
        <f>INDEX(Calendar!$H$5:$L$52,MATCH($A24,Calendar!$A$5:$A$52,0),MATCH($D$2,Calendar!$H$4:$L$4,0))</f>
        <v/>
      </c>
      <c r="AA24" s="54">
        <f>INDEX(Calendar!$M$5:$M$52,MATCH($A24,Calendar!$A$5:$A$52,0))</f>
        <v/>
      </c>
      <c r="AB24" s="55">
        <f>IF($D24="Actual",IFERROR(S24/Y24,""),"")</f>
        <v/>
      </c>
      <c r="AC24" s="56">
        <f>IF($D24="Actual",IFERROR(U24/T24/Z24/AA24,""),"")</f>
        <v/>
      </c>
      <c r="AD24" s="57">
        <f>IF($D24="Actual",IFERROR(V24/(U24+V24),""),$K$2)</f>
        <v/>
      </c>
      <c r="AE24" s="56">
        <f>IFERROR(AC24*Z24*AA24,"")</f>
        <v/>
      </c>
      <c r="AF24" s="53" t="n"/>
      <c r="AG24" s="57">
        <f>IF($D24="Forecast",IFERROR(K24/AF24-1,""),"")</f>
        <v/>
      </c>
      <c r="AH24" s="53">
        <f>IF(CPLHSource="National breakdown",CPLH_Breakdown!AT29,SUMIFS(Plan_Inputs!$D$2:$D$5000,Plan_Inputs!$A$2:$A$5000,$A24,Plan_Inputs!$B$2:$B$5000,$B$2))</f>
        <v/>
      </c>
      <c r="AJ24" s="15">
        <f>F24*$AK$11</f>
        <v/>
      </c>
      <c r="AK24" s="9">
        <f>G24*$AK$11</f>
        <v/>
      </c>
      <c r="AL24" s="30">
        <f>H24*$AK$11</f>
        <v/>
      </c>
      <c r="AM24" s="30">
        <f>I24*$AK$11</f>
        <v/>
      </c>
      <c r="AN24" s="30">
        <f>J24*$AK$11</f>
        <v/>
      </c>
      <c r="AP24" s="15">
        <f>F24*$AQ$11</f>
        <v/>
      </c>
      <c r="AQ24" s="9">
        <f>G24*$AQ$11</f>
        <v/>
      </c>
      <c r="AR24" s="30">
        <f>H24*$AQ$11</f>
        <v/>
      </c>
      <c r="AS24" s="30">
        <f>I24*$AQ$11</f>
        <v/>
      </c>
      <c r="AT24" s="30">
        <f>J24*$AQ$11</f>
        <v/>
      </c>
      <c r="AV24" s="15">
        <f>F24*$AW$11</f>
        <v/>
      </c>
      <c r="AW24" s="9">
        <f>G24*$AW$11</f>
        <v/>
      </c>
      <c r="AX24" s="30">
        <f>H24*$AW$11</f>
        <v/>
      </c>
      <c r="AY24" s="30">
        <f>I24*$AW$11</f>
        <v/>
      </c>
      <c r="AZ24" s="30">
        <f>J24*$AW$11</f>
        <v/>
      </c>
    </row>
    <row r="25">
      <c r="A25" s="8" t="n">
        <v>45962</v>
      </c>
      <c r="B25" s="33">
        <f>YEAR(A25)</f>
        <v/>
      </c>
      <c r="C25" s="33">
        <f>MONTH(A25)</f>
        <v/>
      </c>
      <c r="D25">
        <f>IF(A25&lt;=LastActual,"Actual","Forecast")</f>
        <v/>
      </c>
      <c r="E25" s="30">
        <f>'VIC-1'!E25</f>
        <v/>
      </c>
      <c r="F25" s="15">
        <f>IF($D25="Actual",S25,Cases_Forecast!AS18)</f>
        <v/>
      </c>
      <c r="G25" s="9">
        <f>IF($D25="Actual",T25,IFERROR(F25/K25,0))</f>
        <v/>
      </c>
      <c r="H25" s="30">
        <f>IF($D25="Actual",U25,G25*L25)</f>
        <v/>
      </c>
      <c r="I25" s="30">
        <f>IF($D25="Actual",V25,J25-H25)</f>
        <v/>
      </c>
      <c r="J25" s="30">
        <f>IF($D25="Actual",U25+V25,IFERROR(H25/(1-AD25),0))</f>
        <v/>
      </c>
      <c r="K25" s="10">
        <f>IF($D25="Actual",IFERROR(S25/T25,0),CPLH_Forecast!AS18)</f>
        <v/>
      </c>
      <c r="L25" s="34">
        <f>IF($D25="Actual",IFERROR(U25/T25,0),N(AE25))</f>
        <v/>
      </c>
      <c r="M25" s="35">
        <f>IFERROR(J25/F25,0)</f>
        <v/>
      </c>
      <c r="N25" s="36">
        <f>IFERROR(J25/E25,0)</f>
        <v/>
      </c>
      <c r="O25" s="36">
        <f>IFERROR(I25/J25,0)</f>
        <v/>
      </c>
      <c r="R25" s="52">
        <f>IF($D25="Actual",E25,"")</f>
        <v/>
      </c>
      <c r="S25" s="52">
        <f>IF($D25="Actual",SUMIFS(Data_Actuals!$D$2:$D$5000,Data_Actuals!$A$2:$A$5000,$A25,Data_Actuals!$B$2:$B$5000,$B$2),"")</f>
        <v/>
      </c>
      <c r="T25" s="52">
        <f>IF($D25="Actual",SUMIFS(Data_Actuals!$E$2:$E$5000,Data_Actuals!$A$2:$A$5000,$A25,Data_Actuals!$B$2:$B$5000,$B$2),"")</f>
        <v/>
      </c>
      <c r="U25" s="52">
        <f>IF($D25="Actual",SUMIFS(Data_Actuals!$F$2:$F$5000,Data_Actuals!$A$2:$A$5000,$A25,Data_Actuals!$B$2:$B$5000,$B$2),"")</f>
        <v/>
      </c>
      <c r="V25" s="52">
        <f>IF($D25="Actual",SUMIFS(Data_Actuals!$G$2:$G$5000,Data_Actuals!$A$2:$A$5000,$A25,Data_Actuals!$B$2:$B$5000,$B$2),"")</f>
        <v/>
      </c>
      <c r="W25" s="52">
        <f>SUMIFS(Plan_Inputs!$C$2:$C$5000,Plan_Inputs!$A$2:$A$5000,$A25,Plan_Inputs!$B$2:$B$5000,$B$2)</f>
        <v/>
      </c>
      <c r="X25" s="53">
        <f>IF($D25="Actual",IFERROR(S25/T25,""),"")</f>
        <v/>
      </c>
      <c r="Y25" s="52">
        <f>'VIC-1'!E25+'VIC-2'!E25</f>
        <v/>
      </c>
      <c r="Z25" s="54">
        <f>INDEX(Calendar!$H$5:$L$52,MATCH($A25,Calendar!$A$5:$A$52,0),MATCH($D$2,Calendar!$H$4:$L$4,0))</f>
        <v/>
      </c>
      <c r="AA25" s="54">
        <f>INDEX(Calendar!$M$5:$M$52,MATCH($A25,Calendar!$A$5:$A$52,0))</f>
        <v/>
      </c>
      <c r="AB25" s="55">
        <f>IF($D25="Actual",IFERROR(S25/Y25,""),"")</f>
        <v/>
      </c>
      <c r="AC25" s="56">
        <f>IF($D25="Actual",IFERROR(U25/T25/Z25/AA25,""),"")</f>
        <v/>
      </c>
      <c r="AD25" s="57">
        <f>IF($D25="Actual",IFERROR(V25/(U25+V25),""),$K$2)</f>
        <v/>
      </c>
      <c r="AE25" s="56">
        <f>IFERROR(AC25*Z25*AA25,"")</f>
        <v/>
      </c>
      <c r="AF25" s="53" t="n"/>
      <c r="AG25" s="57">
        <f>IF($D25="Forecast",IFERROR(K25/AF25-1,""),"")</f>
        <v/>
      </c>
      <c r="AH25" s="53">
        <f>IF(CPLHSource="National breakdown",CPLH_Breakdown!AT30,SUMIFS(Plan_Inputs!$D$2:$D$5000,Plan_Inputs!$A$2:$A$5000,$A25,Plan_Inputs!$B$2:$B$5000,$B$2))</f>
        <v/>
      </c>
      <c r="AJ25" s="15">
        <f>F25*$AK$11</f>
        <v/>
      </c>
      <c r="AK25" s="9">
        <f>G25*$AK$11</f>
        <v/>
      </c>
      <c r="AL25" s="30">
        <f>H25*$AK$11</f>
        <v/>
      </c>
      <c r="AM25" s="30">
        <f>I25*$AK$11</f>
        <v/>
      </c>
      <c r="AN25" s="30">
        <f>J25*$AK$11</f>
        <v/>
      </c>
      <c r="AP25" s="15">
        <f>F25*$AQ$11</f>
        <v/>
      </c>
      <c r="AQ25" s="9">
        <f>G25*$AQ$11</f>
        <v/>
      </c>
      <c r="AR25" s="30">
        <f>H25*$AQ$11</f>
        <v/>
      </c>
      <c r="AS25" s="30">
        <f>I25*$AQ$11</f>
        <v/>
      </c>
      <c r="AT25" s="30">
        <f>J25*$AQ$11</f>
        <v/>
      </c>
      <c r="AV25" s="15">
        <f>F25*$AW$11</f>
        <v/>
      </c>
      <c r="AW25" s="9">
        <f>G25*$AW$11</f>
        <v/>
      </c>
      <c r="AX25" s="30">
        <f>H25*$AW$11</f>
        <v/>
      </c>
      <c r="AY25" s="30">
        <f>I25*$AW$11</f>
        <v/>
      </c>
      <c r="AZ25" s="30">
        <f>J25*$AW$11</f>
        <v/>
      </c>
    </row>
    <row r="26">
      <c r="A26" s="37" t="n">
        <v>45992</v>
      </c>
      <c r="B26" s="38">
        <f>YEAR(A26)</f>
        <v/>
      </c>
      <c r="C26" s="38">
        <f>MONTH(A26)</f>
        <v/>
      </c>
      <c r="D26" s="39">
        <f>IF(A26&lt;=LastActual,"Actual","Forecast")</f>
        <v/>
      </c>
      <c r="E26" s="40">
        <f>'VIC-1'!E26</f>
        <v/>
      </c>
      <c r="F26" s="41">
        <f>IF($D26="Actual",S26,Cases_Forecast!AS19)</f>
        <v/>
      </c>
      <c r="G26" s="42">
        <f>IF($D26="Actual",T26,IFERROR(F26/K26,0))</f>
        <v/>
      </c>
      <c r="H26" s="40">
        <f>IF($D26="Actual",U26,G26*L26)</f>
        <v/>
      </c>
      <c r="I26" s="40">
        <f>IF($D26="Actual",V26,J26-H26)</f>
        <v/>
      </c>
      <c r="J26" s="40">
        <f>IF($D26="Actual",U26+V26,IFERROR(H26/(1-AD26),0))</f>
        <v/>
      </c>
      <c r="K26" s="43">
        <f>IF($D26="Actual",IFERROR(S26/T26,0),CPLH_Forecast!AS19)</f>
        <v/>
      </c>
      <c r="L26" s="44">
        <f>IF($D26="Actual",IFERROR(U26/T26,0),N(AE26))</f>
        <v/>
      </c>
      <c r="M26" s="45">
        <f>IFERROR(J26/F26,0)</f>
        <v/>
      </c>
      <c r="N26" s="46">
        <f>IFERROR(J26/E26,0)</f>
        <v/>
      </c>
      <c r="O26" s="46">
        <f>IFERROR(I26/J26,0)</f>
        <v/>
      </c>
      <c r="R26" s="52">
        <f>IF($D26="Actual",E26,"")</f>
        <v/>
      </c>
      <c r="S26" s="52">
        <f>IF($D26="Actual",SUMIFS(Data_Actuals!$D$2:$D$5000,Data_Actuals!$A$2:$A$5000,$A26,Data_Actuals!$B$2:$B$5000,$B$2),"")</f>
        <v/>
      </c>
      <c r="T26" s="52">
        <f>IF($D26="Actual",SUMIFS(Data_Actuals!$E$2:$E$5000,Data_Actuals!$A$2:$A$5000,$A26,Data_Actuals!$B$2:$B$5000,$B$2),"")</f>
        <v/>
      </c>
      <c r="U26" s="52">
        <f>IF($D26="Actual",SUMIFS(Data_Actuals!$F$2:$F$5000,Data_Actuals!$A$2:$A$5000,$A26,Data_Actuals!$B$2:$B$5000,$B$2),"")</f>
        <v/>
      </c>
      <c r="V26" s="52">
        <f>IF($D26="Actual",SUMIFS(Data_Actuals!$G$2:$G$5000,Data_Actuals!$A$2:$A$5000,$A26,Data_Actuals!$B$2:$B$5000,$B$2),"")</f>
        <v/>
      </c>
      <c r="W26" s="52">
        <f>SUMIFS(Plan_Inputs!$C$2:$C$5000,Plan_Inputs!$A$2:$A$5000,$A26,Plan_Inputs!$B$2:$B$5000,$B$2)</f>
        <v/>
      </c>
      <c r="X26" s="53">
        <f>IF($D26="Actual",IFERROR(S26/T26,""),"")</f>
        <v/>
      </c>
      <c r="Y26" s="52">
        <f>'VIC-1'!E26+'VIC-2'!E26</f>
        <v/>
      </c>
      <c r="Z26" s="54">
        <f>INDEX(Calendar!$H$5:$L$52,MATCH($A26,Calendar!$A$5:$A$52,0),MATCH($D$2,Calendar!$H$4:$L$4,0))</f>
        <v/>
      </c>
      <c r="AA26" s="54">
        <f>INDEX(Calendar!$M$5:$M$52,MATCH($A26,Calendar!$A$5:$A$52,0))</f>
        <v/>
      </c>
      <c r="AB26" s="55">
        <f>IF($D26="Actual",IFERROR(S26/Y26,""),"")</f>
        <v/>
      </c>
      <c r="AC26" s="56">
        <f>IF($D26="Actual",IFERROR(U26/T26/Z26/AA26,""),"")</f>
        <v/>
      </c>
      <c r="AD26" s="57">
        <f>IF($D26="Actual",IFERROR(V26/(U26+V26),""),$K$2)</f>
        <v/>
      </c>
      <c r="AE26" s="56">
        <f>IFERROR(AC26*Z26*AA26,"")</f>
        <v/>
      </c>
      <c r="AF26" s="53" t="n"/>
      <c r="AG26" s="57">
        <f>IF($D26="Forecast",IFERROR(K26/AF26-1,""),"")</f>
        <v/>
      </c>
      <c r="AH26" s="53">
        <f>IF(CPLHSource="National breakdown",CPLH_Breakdown!AT31,SUMIFS(Plan_Inputs!$D$2:$D$5000,Plan_Inputs!$A$2:$A$5000,$A26,Plan_Inputs!$B$2:$B$5000,$B$2))</f>
        <v/>
      </c>
      <c r="AJ26" s="41">
        <f>F26*$AK$11</f>
        <v/>
      </c>
      <c r="AK26" s="42">
        <f>G26*$AK$11</f>
        <v/>
      </c>
      <c r="AL26" s="40">
        <f>H26*$AK$11</f>
        <v/>
      </c>
      <c r="AM26" s="40">
        <f>I26*$AK$11</f>
        <v/>
      </c>
      <c r="AN26" s="40">
        <f>J26*$AK$11</f>
        <v/>
      </c>
      <c r="AP26" s="41">
        <f>F26*$AQ$11</f>
        <v/>
      </c>
      <c r="AQ26" s="42">
        <f>G26*$AQ$11</f>
        <v/>
      </c>
      <c r="AR26" s="40">
        <f>H26*$AQ$11</f>
        <v/>
      </c>
      <c r="AS26" s="40">
        <f>I26*$AQ$11</f>
        <v/>
      </c>
      <c r="AT26" s="40">
        <f>J26*$AQ$11</f>
        <v/>
      </c>
      <c r="AV26" s="41">
        <f>F26*$AW$11</f>
        <v/>
      </c>
      <c r="AW26" s="42">
        <f>G26*$AW$11</f>
        <v/>
      </c>
      <c r="AX26" s="40">
        <f>H26*$AW$11</f>
        <v/>
      </c>
      <c r="AY26" s="40">
        <f>I26*$AW$11</f>
        <v/>
      </c>
      <c r="AZ26" s="40">
        <f>J26*$AW$11</f>
        <v/>
      </c>
    </row>
    <row r="27">
      <c r="A27" s="8" t="n">
        <v>46023</v>
      </c>
      <c r="B27" s="33">
        <f>YEAR(A27)</f>
        <v/>
      </c>
      <c r="C27" s="33">
        <f>MONTH(A27)</f>
        <v/>
      </c>
      <c r="D27">
        <f>IF(A27&lt;=LastActual,"Actual","Forecast")</f>
        <v/>
      </c>
      <c r="E27" s="30">
        <f>'VIC-1'!E27</f>
        <v/>
      </c>
      <c r="F27" s="15">
        <f>IF($D27="Actual",S27,Cases_Forecast!AS20)</f>
        <v/>
      </c>
      <c r="G27" s="9">
        <f>IF($D27="Actual",T27,IFERROR(F27/K27,0))</f>
        <v/>
      </c>
      <c r="H27" s="30">
        <f>IF($D27="Actual",U27,G27*L27)</f>
        <v/>
      </c>
      <c r="I27" s="30">
        <f>IF($D27="Actual",V27,J27-H27)</f>
        <v/>
      </c>
      <c r="J27" s="30">
        <f>IF($D27="Actual",U27+V27,IFERROR(H27/(1-AD27),0))</f>
        <v/>
      </c>
      <c r="K27" s="10">
        <f>IF($D27="Actual",IFERROR(S27/T27,0),CPLH_Forecast!AS20)</f>
        <v/>
      </c>
      <c r="L27" s="34">
        <f>IF($D27="Actual",IFERROR(U27/T27,0),N(AE27))</f>
        <v/>
      </c>
      <c r="M27" s="35">
        <f>IFERROR(J27/F27,0)</f>
        <v/>
      </c>
      <c r="N27" s="36">
        <f>IFERROR(J27/E27,0)</f>
        <v/>
      </c>
      <c r="O27" s="36">
        <f>IFERROR(I27/J27,0)</f>
        <v/>
      </c>
      <c r="R27" s="52">
        <f>IF($D27="Actual",E27,"")</f>
        <v/>
      </c>
      <c r="S27" s="52">
        <f>IF($D27="Actual",SUMIFS(Data_Actuals!$D$2:$D$5000,Data_Actuals!$A$2:$A$5000,$A27,Data_Actuals!$B$2:$B$5000,$B$2),"")</f>
        <v/>
      </c>
      <c r="T27" s="52">
        <f>IF($D27="Actual",SUMIFS(Data_Actuals!$E$2:$E$5000,Data_Actuals!$A$2:$A$5000,$A27,Data_Actuals!$B$2:$B$5000,$B$2),"")</f>
        <v/>
      </c>
      <c r="U27" s="52">
        <f>IF($D27="Actual",SUMIFS(Data_Actuals!$F$2:$F$5000,Data_Actuals!$A$2:$A$5000,$A27,Data_Actuals!$B$2:$B$5000,$B$2),"")</f>
        <v/>
      </c>
      <c r="V27" s="52">
        <f>IF($D27="Actual",SUMIFS(Data_Actuals!$G$2:$G$5000,Data_Actuals!$A$2:$A$5000,$A27,Data_Actuals!$B$2:$B$5000,$B$2),"")</f>
        <v/>
      </c>
      <c r="W27" s="52">
        <f>SUMIFS(Plan_Inputs!$C$2:$C$5000,Plan_Inputs!$A$2:$A$5000,$A27,Plan_Inputs!$B$2:$B$5000,$B$2)</f>
        <v/>
      </c>
      <c r="X27" s="53">
        <f>IF($D27="Actual",IFERROR(S27/T27,""),X15)</f>
        <v/>
      </c>
      <c r="Y27" s="52">
        <f>'VIC-1'!E27+'VIC-2'!E27</f>
        <v/>
      </c>
      <c r="Z27" s="54">
        <f>INDEX(Calendar!$H$5:$L$52,MATCH($A27,Calendar!$A$5:$A$52,0),MATCH($D$2,Calendar!$H$4:$L$4,0))</f>
        <v/>
      </c>
      <c r="AA27" s="54">
        <f>INDEX(Calendar!$M$5:$M$52,MATCH($A27,Calendar!$A$5:$A$52,0))</f>
        <v/>
      </c>
      <c r="AB27" s="55">
        <f>IF($D27="Actual",IFERROR(S27/Y27,""),AB15)</f>
        <v/>
      </c>
      <c r="AC27" s="56">
        <f>IF($D27="Actual",IFERROR(U27/T27/Z27/AA27,""),AC15)</f>
        <v/>
      </c>
      <c r="AD27" s="57">
        <f>IF($D27="Actual",IFERROR(V27/(U27+V27),""),$K$2)</f>
        <v/>
      </c>
      <c r="AE27" s="56">
        <f>IFERROR(AC27*Z27*AA27,"")</f>
        <v/>
      </c>
      <c r="AF27" s="53">
        <f>K15</f>
        <v/>
      </c>
      <c r="AG27" s="57">
        <f>IF($D27="Forecast",IFERROR(K27/AF27-1,""),"")</f>
        <v/>
      </c>
      <c r="AH27" s="53">
        <f>IF(CPLHSource="National breakdown",CPLH_Breakdown!AT32,SUMIFS(Plan_Inputs!$D$2:$D$5000,Plan_Inputs!$A$2:$A$5000,$A27,Plan_Inputs!$B$2:$B$5000,$B$2))</f>
        <v/>
      </c>
      <c r="AJ27" s="15">
        <f>F27*$AK$11</f>
        <v/>
      </c>
      <c r="AK27" s="9">
        <f>G27*$AK$11</f>
        <v/>
      </c>
      <c r="AL27" s="30">
        <f>H27*$AK$11</f>
        <v/>
      </c>
      <c r="AM27" s="30">
        <f>I27*$AK$11</f>
        <v/>
      </c>
      <c r="AN27" s="30">
        <f>J27*$AK$11</f>
        <v/>
      </c>
      <c r="AP27" s="15">
        <f>F27*$AQ$11</f>
        <v/>
      </c>
      <c r="AQ27" s="9">
        <f>G27*$AQ$11</f>
        <v/>
      </c>
      <c r="AR27" s="30">
        <f>H27*$AQ$11</f>
        <v/>
      </c>
      <c r="AS27" s="30">
        <f>I27*$AQ$11</f>
        <v/>
      </c>
      <c r="AT27" s="30">
        <f>J27*$AQ$11</f>
        <v/>
      </c>
      <c r="AV27" s="15">
        <f>F27*$AW$11</f>
        <v/>
      </c>
      <c r="AW27" s="9">
        <f>G27*$AW$11</f>
        <v/>
      </c>
      <c r="AX27" s="30">
        <f>H27*$AW$11</f>
        <v/>
      </c>
      <c r="AY27" s="30">
        <f>I27*$AW$11</f>
        <v/>
      </c>
      <c r="AZ27" s="30">
        <f>J27*$AW$11</f>
        <v/>
      </c>
    </row>
    <row r="28">
      <c r="A28" s="8" t="n">
        <v>46054</v>
      </c>
      <c r="B28" s="33">
        <f>YEAR(A28)</f>
        <v/>
      </c>
      <c r="C28" s="33">
        <f>MONTH(A28)</f>
        <v/>
      </c>
      <c r="D28">
        <f>IF(A28&lt;=LastActual,"Actual","Forecast")</f>
        <v/>
      </c>
      <c r="E28" s="30">
        <f>'VIC-1'!E28</f>
        <v/>
      </c>
      <c r="F28" s="15">
        <f>IF($D28="Actual",S28,Cases_Forecast!AS21)</f>
        <v/>
      </c>
      <c r="G28" s="9">
        <f>IF($D28="Actual",T28,IFERROR(F28/K28,0))</f>
        <v/>
      </c>
      <c r="H28" s="30">
        <f>IF($D28="Actual",U28,G28*L28)</f>
        <v/>
      </c>
      <c r="I28" s="30">
        <f>IF($D28="Actual",V28,J28-H28)</f>
        <v/>
      </c>
      <c r="J28" s="30">
        <f>IF($D28="Actual",U28+V28,IFERROR(H28/(1-AD28),0))</f>
        <v/>
      </c>
      <c r="K28" s="10">
        <f>IF($D28="Actual",IFERROR(S28/T28,0),CPLH_Forecast!AS21)</f>
        <v/>
      </c>
      <c r="L28" s="34">
        <f>IF($D28="Actual",IFERROR(U28/T28,0),N(AE28))</f>
        <v/>
      </c>
      <c r="M28" s="35">
        <f>IFERROR(J28/F28,0)</f>
        <v/>
      </c>
      <c r="N28" s="36">
        <f>IFERROR(J28/E28,0)</f>
        <v/>
      </c>
      <c r="O28" s="36">
        <f>IFERROR(I28/J28,0)</f>
        <v/>
      </c>
      <c r="R28" s="52">
        <f>IF($D28="Actual",E28,"")</f>
        <v/>
      </c>
      <c r="S28" s="52">
        <f>IF($D28="Actual",SUMIFS(Data_Actuals!$D$2:$D$5000,Data_Actuals!$A$2:$A$5000,$A28,Data_Actuals!$B$2:$B$5000,$B$2),"")</f>
        <v/>
      </c>
      <c r="T28" s="52">
        <f>IF($D28="Actual",SUMIFS(Data_Actuals!$E$2:$E$5000,Data_Actuals!$A$2:$A$5000,$A28,Data_Actuals!$B$2:$B$5000,$B$2),"")</f>
        <v/>
      </c>
      <c r="U28" s="52">
        <f>IF($D28="Actual",SUMIFS(Data_Actuals!$F$2:$F$5000,Data_Actuals!$A$2:$A$5000,$A28,Data_Actuals!$B$2:$B$5000,$B$2),"")</f>
        <v/>
      </c>
      <c r="V28" s="52">
        <f>IF($D28="Actual",SUMIFS(Data_Actuals!$G$2:$G$5000,Data_Actuals!$A$2:$A$5000,$A28,Data_Actuals!$B$2:$B$5000,$B$2),"")</f>
        <v/>
      </c>
      <c r="W28" s="52">
        <f>SUMIFS(Plan_Inputs!$C$2:$C$5000,Plan_Inputs!$A$2:$A$5000,$A28,Plan_Inputs!$B$2:$B$5000,$B$2)</f>
        <v/>
      </c>
      <c r="X28" s="53">
        <f>IF($D28="Actual",IFERROR(S28/T28,""),X16)</f>
        <v/>
      </c>
      <c r="Y28" s="52">
        <f>'VIC-1'!E28+'VIC-2'!E28</f>
        <v/>
      </c>
      <c r="Z28" s="54">
        <f>INDEX(Calendar!$H$5:$L$52,MATCH($A28,Calendar!$A$5:$A$52,0),MATCH($D$2,Calendar!$H$4:$L$4,0))</f>
        <v/>
      </c>
      <c r="AA28" s="54">
        <f>INDEX(Calendar!$M$5:$M$52,MATCH($A28,Calendar!$A$5:$A$52,0))</f>
        <v/>
      </c>
      <c r="AB28" s="55">
        <f>IF($D28="Actual",IFERROR(S28/Y28,""),AB16)</f>
        <v/>
      </c>
      <c r="AC28" s="56">
        <f>IF($D28="Actual",IFERROR(U28/T28/Z28/AA28,""),AC16)</f>
        <v/>
      </c>
      <c r="AD28" s="57">
        <f>IF($D28="Actual",IFERROR(V28/(U28+V28),""),$K$2)</f>
        <v/>
      </c>
      <c r="AE28" s="56">
        <f>IFERROR(AC28*Z28*AA28,"")</f>
        <v/>
      </c>
      <c r="AF28" s="53">
        <f>K16</f>
        <v/>
      </c>
      <c r="AG28" s="57">
        <f>IF($D28="Forecast",IFERROR(K28/AF28-1,""),"")</f>
        <v/>
      </c>
      <c r="AH28" s="53">
        <f>IF(CPLHSource="National breakdown",CPLH_Breakdown!AT33,SUMIFS(Plan_Inputs!$D$2:$D$5000,Plan_Inputs!$A$2:$A$5000,$A28,Plan_Inputs!$B$2:$B$5000,$B$2))</f>
        <v/>
      </c>
      <c r="AJ28" s="15">
        <f>F28*$AK$11</f>
        <v/>
      </c>
      <c r="AK28" s="9">
        <f>G28*$AK$11</f>
        <v/>
      </c>
      <c r="AL28" s="30">
        <f>H28*$AK$11</f>
        <v/>
      </c>
      <c r="AM28" s="30">
        <f>I28*$AK$11</f>
        <v/>
      </c>
      <c r="AN28" s="30">
        <f>J28*$AK$11</f>
        <v/>
      </c>
      <c r="AP28" s="15">
        <f>F28*$AQ$11</f>
        <v/>
      </c>
      <c r="AQ28" s="9">
        <f>G28*$AQ$11</f>
        <v/>
      </c>
      <c r="AR28" s="30">
        <f>H28*$AQ$11</f>
        <v/>
      </c>
      <c r="AS28" s="30">
        <f>I28*$AQ$11</f>
        <v/>
      </c>
      <c r="AT28" s="30">
        <f>J28*$AQ$11</f>
        <v/>
      </c>
      <c r="AV28" s="15">
        <f>F28*$AW$11</f>
        <v/>
      </c>
      <c r="AW28" s="9">
        <f>G28*$AW$11</f>
        <v/>
      </c>
      <c r="AX28" s="30">
        <f>H28*$AW$11</f>
        <v/>
      </c>
      <c r="AY28" s="30">
        <f>I28*$AW$11</f>
        <v/>
      </c>
      <c r="AZ28" s="30">
        <f>J28*$AW$11</f>
        <v/>
      </c>
    </row>
    <row r="29">
      <c r="A29" s="8" t="n">
        <v>46082</v>
      </c>
      <c r="B29" s="33">
        <f>YEAR(A29)</f>
        <v/>
      </c>
      <c r="C29" s="33">
        <f>MONTH(A29)</f>
        <v/>
      </c>
      <c r="D29">
        <f>IF(A29&lt;=LastActual,"Actual","Forecast")</f>
        <v/>
      </c>
      <c r="E29" s="30">
        <f>'VIC-1'!E29</f>
        <v/>
      </c>
      <c r="F29" s="15">
        <f>IF($D29="Actual",S29,Cases_Forecast!AS22)</f>
        <v/>
      </c>
      <c r="G29" s="9">
        <f>IF($D29="Actual",T29,IFERROR(F29/K29,0))</f>
        <v/>
      </c>
      <c r="H29" s="30">
        <f>IF($D29="Actual",U29,G29*L29)</f>
        <v/>
      </c>
      <c r="I29" s="30">
        <f>IF($D29="Actual",V29,J29-H29)</f>
        <v/>
      </c>
      <c r="J29" s="30">
        <f>IF($D29="Actual",U29+V29,IFERROR(H29/(1-AD29),0))</f>
        <v/>
      </c>
      <c r="K29" s="10">
        <f>IF($D29="Actual",IFERROR(S29/T29,0),CPLH_Forecast!AS22)</f>
        <v/>
      </c>
      <c r="L29" s="34">
        <f>IF($D29="Actual",IFERROR(U29/T29,0),N(AE29))</f>
        <v/>
      </c>
      <c r="M29" s="35">
        <f>IFERROR(J29/F29,0)</f>
        <v/>
      </c>
      <c r="N29" s="36">
        <f>IFERROR(J29/E29,0)</f>
        <v/>
      </c>
      <c r="O29" s="36">
        <f>IFERROR(I29/J29,0)</f>
        <v/>
      </c>
      <c r="R29" s="52">
        <f>IF($D29="Actual",E29,"")</f>
        <v/>
      </c>
      <c r="S29" s="52">
        <f>IF($D29="Actual",SUMIFS(Data_Actuals!$D$2:$D$5000,Data_Actuals!$A$2:$A$5000,$A29,Data_Actuals!$B$2:$B$5000,$B$2),"")</f>
        <v/>
      </c>
      <c r="T29" s="52">
        <f>IF($D29="Actual",SUMIFS(Data_Actuals!$E$2:$E$5000,Data_Actuals!$A$2:$A$5000,$A29,Data_Actuals!$B$2:$B$5000,$B$2),"")</f>
        <v/>
      </c>
      <c r="U29" s="52">
        <f>IF($D29="Actual",SUMIFS(Data_Actuals!$F$2:$F$5000,Data_Actuals!$A$2:$A$5000,$A29,Data_Actuals!$B$2:$B$5000,$B$2),"")</f>
        <v/>
      </c>
      <c r="V29" s="52">
        <f>IF($D29="Actual",SUMIFS(Data_Actuals!$G$2:$G$5000,Data_Actuals!$A$2:$A$5000,$A29,Data_Actuals!$B$2:$B$5000,$B$2),"")</f>
        <v/>
      </c>
      <c r="W29" s="52">
        <f>SUMIFS(Plan_Inputs!$C$2:$C$5000,Plan_Inputs!$A$2:$A$5000,$A29,Plan_Inputs!$B$2:$B$5000,$B$2)</f>
        <v/>
      </c>
      <c r="X29" s="53">
        <f>IF($D29="Actual",IFERROR(S29/T29,""),X17)</f>
        <v/>
      </c>
      <c r="Y29" s="52">
        <f>'VIC-1'!E29+'VIC-2'!E29</f>
        <v/>
      </c>
      <c r="Z29" s="54">
        <f>INDEX(Calendar!$H$5:$L$52,MATCH($A29,Calendar!$A$5:$A$52,0),MATCH($D$2,Calendar!$H$4:$L$4,0))</f>
        <v/>
      </c>
      <c r="AA29" s="54">
        <f>INDEX(Calendar!$M$5:$M$52,MATCH($A29,Calendar!$A$5:$A$52,0))</f>
        <v/>
      </c>
      <c r="AB29" s="55">
        <f>IF($D29="Actual",IFERROR(S29/Y29,""),AB17)</f>
        <v/>
      </c>
      <c r="AC29" s="56">
        <f>IF($D29="Actual",IFERROR(U29/T29/Z29/AA29,""),AC17)</f>
        <v/>
      </c>
      <c r="AD29" s="57">
        <f>IF($D29="Actual",IFERROR(V29/(U29+V29),""),$K$2)</f>
        <v/>
      </c>
      <c r="AE29" s="56">
        <f>IFERROR(AC29*Z29*AA29,"")</f>
        <v/>
      </c>
      <c r="AF29" s="53">
        <f>K17</f>
        <v/>
      </c>
      <c r="AG29" s="57">
        <f>IF($D29="Forecast",IFERROR(K29/AF29-1,""),"")</f>
        <v/>
      </c>
      <c r="AH29" s="53">
        <f>IF(CPLHSource="National breakdown",CPLH_Breakdown!AT34,SUMIFS(Plan_Inputs!$D$2:$D$5000,Plan_Inputs!$A$2:$A$5000,$A29,Plan_Inputs!$B$2:$B$5000,$B$2))</f>
        <v/>
      </c>
      <c r="AJ29" s="15">
        <f>F29*$AK$11</f>
        <v/>
      </c>
      <c r="AK29" s="9">
        <f>G29*$AK$11</f>
        <v/>
      </c>
      <c r="AL29" s="30">
        <f>H29*$AK$11</f>
        <v/>
      </c>
      <c r="AM29" s="30">
        <f>I29*$AK$11</f>
        <v/>
      </c>
      <c r="AN29" s="30">
        <f>J29*$AK$11</f>
        <v/>
      </c>
      <c r="AP29" s="15">
        <f>F29*$AQ$11</f>
        <v/>
      </c>
      <c r="AQ29" s="9">
        <f>G29*$AQ$11</f>
        <v/>
      </c>
      <c r="AR29" s="30">
        <f>H29*$AQ$11</f>
        <v/>
      </c>
      <c r="AS29" s="30">
        <f>I29*$AQ$11</f>
        <v/>
      </c>
      <c r="AT29" s="30">
        <f>J29*$AQ$11</f>
        <v/>
      </c>
      <c r="AV29" s="15">
        <f>F29*$AW$11</f>
        <v/>
      </c>
      <c r="AW29" s="9">
        <f>G29*$AW$11</f>
        <v/>
      </c>
      <c r="AX29" s="30">
        <f>H29*$AW$11</f>
        <v/>
      </c>
      <c r="AY29" s="30">
        <f>I29*$AW$11</f>
        <v/>
      </c>
      <c r="AZ29" s="30">
        <f>J29*$AW$11</f>
        <v/>
      </c>
    </row>
    <row r="30">
      <c r="A30" s="8" t="n">
        <v>46113</v>
      </c>
      <c r="B30" s="33">
        <f>YEAR(A30)</f>
        <v/>
      </c>
      <c r="C30" s="33">
        <f>MONTH(A30)</f>
        <v/>
      </c>
      <c r="D30">
        <f>IF(A30&lt;=LastActual,"Actual","Forecast")</f>
        <v/>
      </c>
      <c r="E30" s="30">
        <f>'VIC-1'!E30</f>
        <v/>
      </c>
      <c r="F30" s="15">
        <f>IF($D30="Actual",S30,Cases_Forecast!AS23)</f>
        <v/>
      </c>
      <c r="G30" s="9">
        <f>IF($D30="Actual",T30,IFERROR(F30/K30,0))</f>
        <v/>
      </c>
      <c r="H30" s="30">
        <f>IF($D30="Actual",U30,G30*L30)</f>
        <v/>
      </c>
      <c r="I30" s="30">
        <f>IF($D30="Actual",V30,J30-H30)</f>
        <v/>
      </c>
      <c r="J30" s="30">
        <f>IF($D30="Actual",U30+V30,IFERROR(H30/(1-AD30),0))</f>
        <v/>
      </c>
      <c r="K30" s="10">
        <f>IF($D30="Actual",IFERROR(S30/T30,0),CPLH_Forecast!AS23)</f>
        <v/>
      </c>
      <c r="L30" s="34">
        <f>IF($D30="Actual",IFERROR(U30/T30,0),N(AE30))</f>
        <v/>
      </c>
      <c r="M30" s="35">
        <f>IFERROR(J30/F30,0)</f>
        <v/>
      </c>
      <c r="N30" s="36">
        <f>IFERROR(J30/E30,0)</f>
        <v/>
      </c>
      <c r="O30" s="36">
        <f>IFERROR(I30/J30,0)</f>
        <v/>
      </c>
      <c r="R30" s="52">
        <f>IF($D30="Actual",E30,"")</f>
        <v/>
      </c>
      <c r="S30" s="52">
        <f>IF($D30="Actual",SUMIFS(Data_Actuals!$D$2:$D$5000,Data_Actuals!$A$2:$A$5000,$A30,Data_Actuals!$B$2:$B$5000,$B$2),"")</f>
        <v/>
      </c>
      <c r="T30" s="52">
        <f>IF($D30="Actual",SUMIFS(Data_Actuals!$E$2:$E$5000,Data_Actuals!$A$2:$A$5000,$A30,Data_Actuals!$B$2:$B$5000,$B$2),"")</f>
        <v/>
      </c>
      <c r="U30" s="52">
        <f>IF($D30="Actual",SUMIFS(Data_Actuals!$F$2:$F$5000,Data_Actuals!$A$2:$A$5000,$A30,Data_Actuals!$B$2:$B$5000,$B$2),"")</f>
        <v/>
      </c>
      <c r="V30" s="52">
        <f>IF($D30="Actual",SUMIFS(Data_Actuals!$G$2:$G$5000,Data_Actuals!$A$2:$A$5000,$A30,Data_Actuals!$B$2:$B$5000,$B$2),"")</f>
        <v/>
      </c>
      <c r="W30" s="52">
        <f>SUMIFS(Plan_Inputs!$C$2:$C$5000,Plan_Inputs!$A$2:$A$5000,$A30,Plan_Inputs!$B$2:$B$5000,$B$2)</f>
        <v/>
      </c>
      <c r="X30" s="53">
        <f>IF($D30="Actual",IFERROR(S30/T30,""),X18)</f>
        <v/>
      </c>
      <c r="Y30" s="52">
        <f>'VIC-1'!E30+'VIC-2'!E30</f>
        <v/>
      </c>
      <c r="Z30" s="54">
        <f>INDEX(Calendar!$H$5:$L$52,MATCH($A30,Calendar!$A$5:$A$52,0),MATCH($D$2,Calendar!$H$4:$L$4,0))</f>
        <v/>
      </c>
      <c r="AA30" s="54">
        <f>INDEX(Calendar!$M$5:$M$52,MATCH($A30,Calendar!$A$5:$A$52,0))</f>
        <v/>
      </c>
      <c r="AB30" s="55">
        <f>IF($D30="Actual",IFERROR(S30/Y30,""),AB18)</f>
        <v/>
      </c>
      <c r="AC30" s="56">
        <f>IF($D30="Actual",IFERROR(U30/T30/Z30/AA30,""),AC18)</f>
        <v/>
      </c>
      <c r="AD30" s="57">
        <f>IF($D30="Actual",IFERROR(V30/(U30+V30),""),$K$2)</f>
        <v/>
      </c>
      <c r="AE30" s="56">
        <f>IFERROR(AC30*Z30*AA30,"")</f>
        <v/>
      </c>
      <c r="AF30" s="53">
        <f>K18</f>
        <v/>
      </c>
      <c r="AG30" s="57">
        <f>IF($D30="Forecast",IFERROR(K30/AF30-1,""),"")</f>
        <v/>
      </c>
      <c r="AH30" s="53">
        <f>IF(CPLHSource="National breakdown",CPLH_Breakdown!AT35,SUMIFS(Plan_Inputs!$D$2:$D$5000,Plan_Inputs!$A$2:$A$5000,$A30,Plan_Inputs!$B$2:$B$5000,$B$2))</f>
        <v/>
      </c>
      <c r="AJ30" s="15">
        <f>F30*$AK$11</f>
        <v/>
      </c>
      <c r="AK30" s="9">
        <f>G30*$AK$11</f>
        <v/>
      </c>
      <c r="AL30" s="30">
        <f>H30*$AK$11</f>
        <v/>
      </c>
      <c r="AM30" s="30">
        <f>I30*$AK$11</f>
        <v/>
      </c>
      <c r="AN30" s="30">
        <f>J30*$AK$11</f>
        <v/>
      </c>
      <c r="AP30" s="15">
        <f>F30*$AQ$11</f>
        <v/>
      </c>
      <c r="AQ30" s="9">
        <f>G30*$AQ$11</f>
        <v/>
      </c>
      <c r="AR30" s="30">
        <f>H30*$AQ$11</f>
        <v/>
      </c>
      <c r="AS30" s="30">
        <f>I30*$AQ$11</f>
        <v/>
      </c>
      <c r="AT30" s="30">
        <f>J30*$AQ$11</f>
        <v/>
      </c>
      <c r="AV30" s="15">
        <f>F30*$AW$11</f>
        <v/>
      </c>
      <c r="AW30" s="9">
        <f>G30*$AW$11</f>
        <v/>
      </c>
      <c r="AX30" s="30">
        <f>H30*$AW$11</f>
        <v/>
      </c>
      <c r="AY30" s="30">
        <f>I30*$AW$11</f>
        <v/>
      </c>
      <c r="AZ30" s="30">
        <f>J30*$AW$11</f>
        <v/>
      </c>
    </row>
    <row r="31">
      <c r="A31" s="8" t="n">
        <v>46143</v>
      </c>
      <c r="B31" s="33">
        <f>YEAR(A31)</f>
        <v/>
      </c>
      <c r="C31" s="33">
        <f>MONTH(A31)</f>
        <v/>
      </c>
      <c r="D31">
        <f>IF(A31&lt;=LastActual,"Actual","Forecast")</f>
        <v/>
      </c>
      <c r="E31" s="30">
        <f>'VIC-1'!E31</f>
        <v/>
      </c>
      <c r="F31" s="15">
        <f>IF($D31="Actual",S31,Cases_Forecast!AS24)</f>
        <v/>
      </c>
      <c r="G31" s="9">
        <f>IF($D31="Actual",T31,IFERROR(F31/K31,0))</f>
        <v/>
      </c>
      <c r="H31" s="30">
        <f>IF($D31="Actual",U31,G31*L31)</f>
        <v/>
      </c>
      <c r="I31" s="30">
        <f>IF($D31="Actual",V31,J31-H31)</f>
        <v/>
      </c>
      <c r="J31" s="30">
        <f>IF($D31="Actual",U31+V31,IFERROR(H31/(1-AD31),0))</f>
        <v/>
      </c>
      <c r="K31" s="10">
        <f>IF($D31="Actual",IFERROR(S31/T31,0),CPLH_Forecast!AS24)</f>
        <v/>
      </c>
      <c r="L31" s="34">
        <f>IF($D31="Actual",IFERROR(U31/T31,0),N(AE31))</f>
        <v/>
      </c>
      <c r="M31" s="35">
        <f>IFERROR(J31/F31,0)</f>
        <v/>
      </c>
      <c r="N31" s="36">
        <f>IFERROR(J31/E31,0)</f>
        <v/>
      </c>
      <c r="O31" s="36">
        <f>IFERROR(I31/J31,0)</f>
        <v/>
      </c>
      <c r="R31" s="52">
        <f>IF($D31="Actual",E31,"")</f>
        <v/>
      </c>
      <c r="S31" s="52">
        <f>IF($D31="Actual",SUMIFS(Data_Actuals!$D$2:$D$5000,Data_Actuals!$A$2:$A$5000,$A31,Data_Actuals!$B$2:$B$5000,$B$2),"")</f>
        <v/>
      </c>
      <c r="T31" s="52">
        <f>IF($D31="Actual",SUMIFS(Data_Actuals!$E$2:$E$5000,Data_Actuals!$A$2:$A$5000,$A31,Data_Actuals!$B$2:$B$5000,$B$2),"")</f>
        <v/>
      </c>
      <c r="U31" s="52">
        <f>IF($D31="Actual",SUMIFS(Data_Actuals!$F$2:$F$5000,Data_Actuals!$A$2:$A$5000,$A31,Data_Actuals!$B$2:$B$5000,$B$2),"")</f>
        <v/>
      </c>
      <c r="V31" s="52">
        <f>IF($D31="Actual",SUMIFS(Data_Actuals!$G$2:$G$5000,Data_Actuals!$A$2:$A$5000,$A31,Data_Actuals!$B$2:$B$5000,$B$2),"")</f>
        <v/>
      </c>
      <c r="W31" s="52">
        <f>SUMIFS(Plan_Inputs!$C$2:$C$5000,Plan_Inputs!$A$2:$A$5000,$A31,Plan_Inputs!$B$2:$B$5000,$B$2)</f>
        <v/>
      </c>
      <c r="X31" s="53">
        <f>IF($D31="Actual",IFERROR(S31/T31,""),X19)</f>
        <v/>
      </c>
      <c r="Y31" s="52">
        <f>'VIC-1'!E31+'VIC-2'!E31</f>
        <v/>
      </c>
      <c r="Z31" s="54">
        <f>INDEX(Calendar!$H$5:$L$52,MATCH($A31,Calendar!$A$5:$A$52,0),MATCH($D$2,Calendar!$H$4:$L$4,0))</f>
        <v/>
      </c>
      <c r="AA31" s="54">
        <f>INDEX(Calendar!$M$5:$M$52,MATCH($A31,Calendar!$A$5:$A$52,0))</f>
        <v/>
      </c>
      <c r="AB31" s="55">
        <f>IF($D31="Actual",IFERROR(S31/Y31,""),AB19)</f>
        <v/>
      </c>
      <c r="AC31" s="56">
        <f>IF($D31="Actual",IFERROR(U31/T31/Z31/AA31,""),AC19)</f>
        <v/>
      </c>
      <c r="AD31" s="57">
        <f>IF($D31="Actual",IFERROR(V31/(U31+V31),""),$K$2)</f>
        <v/>
      </c>
      <c r="AE31" s="56">
        <f>IFERROR(AC31*Z31*AA31,"")</f>
        <v/>
      </c>
      <c r="AF31" s="53">
        <f>K19</f>
        <v/>
      </c>
      <c r="AG31" s="57">
        <f>IF($D31="Forecast",IFERROR(K31/AF31-1,""),"")</f>
        <v/>
      </c>
      <c r="AH31" s="53">
        <f>IF(CPLHSource="National breakdown",CPLH_Breakdown!AT36,SUMIFS(Plan_Inputs!$D$2:$D$5000,Plan_Inputs!$A$2:$A$5000,$A31,Plan_Inputs!$B$2:$B$5000,$B$2))</f>
        <v/>
      </c>
      <c r="AJ31" s="15">
        <f>F31*$AK$11</f>
        <v/>
      </c>
      <c r="AK31" s="9">
        <f>G31*$AK$11</f>
        <v/>
      </c>
      <c r="AL31" s="30">
        <f>H31*$AK$11</f>
        <v/>
      </c>
      <c r="AM31" s="30">
        <f>I31*$AK$11</f>
        <v/>
      </c>
      <c r="AN31" s="30">
        <f>J31*$AK$11</f>
        <v/>
      </c>
      <c r="AP31" s="15">
        <f>F31*$AQ$11</f>
        <v/>
      </c>
      <c r="AQ31" s="9">
        <f>G31*$AQ$11</f>
        <v/>
      </c>
      <c r="AR31" s="30">
        <f>H31*$AQ$11</f>
        <v/>
      </c>
      <c r="AS31" s="30">
        <f>I31*$AQ$11</f>
        <v/>
      </c>
      <c r="AT31" s="30">
        <f>J31*$AQ$11</f>
        <v/>
      </c>
      <c r="AV31" s="15">
        <f>F31*$AW$11</f>
        <v/>
      </c>
      <c r="AW31" s="9">
        <f>G31*$AW$11</f>
        <v/>
      </c>
      <c r="AX31" s="30">
        <f>H31*$AW$11</f>
        <v/>
      </c>
      <c r="AY31" s="30">
        <f>I31*$AW$11</f>
        <v/>
      </c>
      <c r="AZ31" s="30">
        <f>J31*$AW$11</f>
        <v/>
      </c>
    </row>
    <row r="32">
      <c r="A32" s="8" t="n">
        <v>46174</v>
      </c>
      <c r="B32" s="33">
        <f>YEAR(A32)</f>
        <v/>
      </c>
      <c r="C32" s="33">
        <f>MONTH(A32)</f>
        <v/>
      </c>
      <c r="D32">
        <f>IF(A32&lt;=LastActual,"Actual","Forecast")</f>
        <v/>
      </c>
      <c r="E32" s="30">
        <f>'VIC-1'!E32</f>
        <v/>
      </c>
      <c r="F32" s="15">
        <f>IF($D32="Actual",S32,Cases_Forecast!AS25)</f>
        <v/>
      </c>
      <c r="G32" s="9">
        <f>IF($D32="Actual",T32,IFERROR(F32/K32,0))</f>
        <v/>
      </c>
      <c r="H32" s="30">
        <f>IF($D32="Actual",U32,G32*L32)</f>
        <v/>
      </c>
      <c r="I32" s="30">
        <f>IF($D32="Actual",V32,J32-H32)</f>
        <v/>
      </c>
      <c r="J32" s="30">
        <f>IF($D32="Actual",U32+V32,IFERROR(H32/(1-AD32),0))</f>
        <v/>
      </c>
      <c r="K32" s="10">
        <f>IF($D32="Actual",IFERROR(S32/T32,0),CPLH_Forecast!AS25)</f>
        <v/>
      </c>
      <c r="L32" s="34">
        <f>IF($D32="Actual",IFERROR(U32/T32,0),N(AE32))</f>
        <v/>
      </c>
      <c r="M32" s="35">
        <f>IFERROR(J32/F32,0)</f>
        <v/>
      </c>
      <c r="N32" s="36">
        <f>IFERROR(J32/E32,0)</f>
        <v/>
      </c>
      <c r="O32" s="36">
        <f>IFERROR(I32/J32,0)</f>
        <v/>
      </c>
      <c r="R32" s="52">
        <f>IF($D32="Actual",E32,"")</f>
        <v/>
      </c>
      <c r="S32" s="52">
        <f>IF($D32="Actual",SUMIFS(Data_Actuals!$D$2:$D$5000,Data_Actuals!$A$2:$A$5000,$A32,Data_Actuals!$B$2:$B$5000,$B$2),"")</f>
        <v/>
      </c>
      <c r="T32" s="52">
        <f>IF($D32="Actual",SUMIFS(Data_Actuals!$E$2:$E$5000,Data_Actuals!$A$2:$A$5000,$A32,Data_Actuals!$B$2:$B$5000,$B$2),"")</f>
        <v/>
      </c>
      <c r="U32" s="52">
        <f>IF($D32="Actual",SUMIFS(Data_Actuals!$F$2:$F$5000,Data_Actuals!$A$2:$A$5000,$A32,Data_Actuals!$B$2:$B$5000,$B$2),"")</f>
        <v/>
      </c>
      <c r="V32" s="52">
        <f>IF($D32="Actual",SUMIFS(Data_Actuals!$G$2:$G$5000,Data_Actuals!$A$2:$A$5000,$A32,Data_Actuals!$B$2:$B$5000,$B$2),"")</f>
        <v/>
      </c>
      <c r="W32" s="52">
        <f>SUMIFS(Plan_Inputs!$C$2:$C$5000,Plan_Inputs!$A$2:$A$5000,$A32,Plan_Inputs!$B$2:$B$5000,$B$2)</f>
        <v/>
      </c>
      <c r="X32" s="53">
        <f>IF($D32="Actual",IFERROR(S32/T32,""),X20)</f>
        <v/>
      </c>
      <c r="Y32" s="52">
        <f>'VIC-1'!E32+'VIC-2'!E32</f>
        <v/>
      </c>
      <c r="Z32" s="54">
        <f>INDEX(Calendar!$H$5:$L$52,MATCH($A32,Calendar!$A$5:$A$52,0),MATCH($D$2,Calendar!$H$4:$L$4,0))</f>
        <v/>
      </c>
      <c r="AA32" s="54">
        <f>INDEX(Calendar!$M$5:$M$52,MATCH($A32,Calendar!$A$5:$A$52,0))</f>
        <v/>
      </c>
      <c r="AB32" s="55">
        <f>IF($D32="Actual",IFERROR(S32/Y32,""),AB20)</f>
        <v/>
      </c>
      <c r="AC32" s="56">
        <f>IF($D32="Actual",IFERROR(U32/T32/Z32/AA32,""),AC20)</f>
        <v/>
      </c>
      <c r="AD32" s="57">
        <f>IF($D32="Actual",IFERROR(V32/(U32+V32),""),$K$2)</f>
        <v/>
      </c>
      <c r="AE32" s="56">
        <f>IFERROR(AC32*Z32*AA32,"")</f>
        <v/>
      </c>
      <c r="AF32" s="53">
        <f>K20</f>
        <v/>
      </c>
      <c r="AG32" s="57">
        <f>IF($D32="Forecast",IFERROR(K32/AF32-1,""),"")</f>
        <v/>
      </c>
      <c r="AH32" s="53">
        <f>IF(CPLHSource="National breakdown",CPLH_Breakdown!AT37,SUMIFS(Plan_Inputs!$D$2:$D$5000,Plan_Inputs!$A$2:$A$5000,$A32,Plan_Inputs!$B$2:$B$5000,$B$2))</f>
        <v/>
      </c>
      <c r="AJ32" s="15">
        <f>F32*$AK$11</f>
        <v/>
      </c>
      <c r="AK32" s="9">
        <f>G32*$AK$11</f>
        <v/>
      </c>
      <c r="AL32" s="30">
        <f>H32*$AK$11</f>
        <v/>
      </c>
      <c r="AM32" s="30">
        <f>I32*$AK$11</f>
        <v/>
      </c>
      <c r="AN32" s="30">
        <f>J32*$AK$11</f>
        <v/>
      </c>
      <c r="AP32" s="15">
        <f>F32*$AQ$11</f>
        <v/>
      </c>
      <c r="AQ32" s="9">
        <f>G32*$AQ$11</f>
        <v/>
      </c>
      <c r="AR32" s="30">
        <f>H32*$AQ$11</f>
        <v/>
      </c>
      <c r="AS32" s="30">
        <f>I32*$AQ$11</f>
        <v/>
      </c>
      <c r="AT32" s="30">
        <f>J32*$AQ$11</f>
        <v/>
      </c>
      <c r="AV32" s="15">
        <f>F32*$AW$11</f>
        <v/>
      </c>
      <c r="AW32" s="9">
        <f>G32*$AW$11</f>
        <v/>
      </c>
      <c r="AX32" s="30">
        <f>H32*$AW$11</f>
        <v/>
      </c>
      <c r="AY32" s="30">
        <f>I32*$AW$11</f>
        <v/>
      </c>
      <c r="AZ32" s="30">
        <f>J32*$AW$11</f>
        <v/>
      </c>
    </row>
    <row r="33">
      <c r="A33" s="8" t="n">
        <v>46204</v>
      </c>
      <c r="B33" s="33">
        <f>YEAR(A33)</f>
        <v/>
      </c>
      <c r="C33" s="33">
        <f>MONTH(A33)</f>
        <v/>
      </c>
      <c r="D33">
        <f>IF(A33&lt;=LastActual,"Actual","Forecast")</f>
        <v/>
      </c>
      <c r="E33" s="30">
        <f>'VIC-1'!E33</f>
        <v/>
      </c>
      <c r="F33" s="15">
        <f>IF($D33="Actual",S33,Cases_Forecast!AS26)</f>
        <v/>
      </c>
      <c r="G33" s="9">
        <f>IF($D33="Actual",T33,IFERROR(F33/K33,0))</f>
        <v/>
      </c>
      <c r="H33" s="30">
        <f>IF($D33="Actual",U33,G33*L33)</f>
        <v/>
      </c>
      <c r="I33" s="30">
        <f>IF($D33="Actual",V33,J33-H33)</f>
        <v/>
      </c>
      <c r="J33" s="30">
        <f>IF($D33="Actual",U33+V33,IFERROR(H33/(1-AD33),0))</f>
        <v/>
      </c>
      <c r="K33" s="10">
        <f>IF($D33="Actual",IFERROR(S33/T33,0),CPLH_Forecast!AS26)</f>
        <v/>
      </c>
      <c r="L33" s="34">
        <f>IF($D33="Actual",IFERROR(U33/T33,0),N(AE33))</f>
        <v/>
      </c>
      <c r="M33" s="35">
        <f>IFERROR(J33/F33,0)</f>
        <v/>
      </c>
      <c r="N33" s="36">
        <f>IFERROR(J33/E33,0)</f>
        <v/>
      </c>
      <c r="O33" s="36">
        <f>IFERROR(I33/J33,0)</f>
        <v/>
      </c>
      <c r="R33" s="52">
        <f>IF($D33="Actual",E33,"")</f>
        <v/>
      </c>
      <c r="S33" s="52">
        <f>IF($D33="Actual",SUMIFS(Data_Actuals!$D$2:$D$5000,Data_Actuals!$A$2:$A$5000,$A33,Data_Actuals!$B$2:$B$5000,$B$2),"")</f>
        <v/>
      </c>
      <c r="T33" s="52">
        <f>IF($D33="Actual",SUMIFS(Data_Actuals!$E$2:$E$5000,Data_Actuals!$A$2:$A$5000,$A33,Data_Actuals!$B$2:$B$5000,$B$2),"")</f>
        <v/>
      </c>
      <c r="U33" s="52">
        <f>IF($D33="Actual",SUMIFS(Data_Actuals!$F$2:$F$5000,Data_Actuals!$A$2:$A$5000,$A33,Data_Actuals!$B$2:$B$5000,$B$2),"")</f>
        <v/>
      </c>
      <c r="V33" s="52">
        <f>IF($D33="Actual",SUMIFS(Data_Actuals!$G$2:$G$5000,Data_Actuals!$A$2:$A$5000,$A33,Data_Actuals!$B$2:$B$5000,$B$2),"")</f>
        <v/>
      </c>
      <c r="W33" s="52">
        <f>SUMIFS(Plan_Inputs!$C$2:$C$5000,Plan_Inputs!$A$2:$A$5000,$A33,Plan_Inputs!$B$2:$B$5000,$B$2)</f>
        <v/>
      </c>
      <c r="X33" s="53">
        <f>IF($D33="Actual",IFERROR(S33/T33,""),X21)</f>
        <v/>
      </c>
      <c r="Y33" s="52">
        <f>'VIC-1'!E33+'VIC-2'!E33</f>
        <v/>
      </c>
      <c r="Z33" s="54">
        <f>INDEX(Calendar!$H$5:$L$52,MATCH($A33,Calendar!$A$5:$A$52,0),MATCH($D$2,Calendar!$H$4:$L$4,0))</f>
        <v/>
      </c>
      <c r="AA33" s="54">
        <f>INDEX(Calendar!$M$5:$M$52,MATCH($A33,Calendar!$A$5:$A$52,0))</f>
        <v/>
      </c>
      <c r="AB33" s="55">
        <f>IF($D33="Actual",IFERROR(S33/Y33,""),AB21)</f>
        <v/>
      </c>
      <c r="AC33" s="56">
        <f>IF($D33="Actual",IFERROR(U33/T33/Z33/AA33,""),AC21)</f>
        <v/>
      </c>
      <c r="AD33" s="57">
        <f>IF($D33="Actual",IFERROR(V33/(U33+V33),""),$K$2)</f>
        <v/>
      </c>
      <c r="AE33" s="56">
        <f>IFERROR(AC33*Z33*AA33,"")</f>
        <v/>
      </c>
      <c r="AF33" s="53">
        <f>K21</f>
        <v/>
      </c>
      <c r="AG33" s="57">
        <f>IF($D33="Forecast",IFERROR(K33/AF33-1,""),"")</f>
        <v/>
      </c>
      <c r="AH33" s="53">
        <f>IF(CPLHSource="National breakdown",CPLH_Breakdown!AT38,SUMIFS(Plan_Inputs!$D$2:$D$5000,Plan_Inputs!$A$2:$A$5000,$A33,Plan_Inputs!$B$2:$B$5000,$B$2))</f>
        <v/>
      </c>
      <c r="AJ33" s="15">
        <f>F33*$AK$11</f>
        <v/>
      </c>
      <c r="AK33" s="9">
        <f>G33*$AK$11</f>
        <v/>
      </c>
      <c r="AL33" s="30">
        <f>H33*$AK$11</f>
        <v/>
      </c>
      <c r="AM33" s="30">
        <f>I33*$AK$11</f>
        <v/>
      </c>
      <c r="AN33" s="30">
        <f>J33*$AK$11</f>
        <v/>
      </c>
      <c r="AP33" s="15">
        <f>F33*$AQ$11</f>
        <v/>
      </c>
      <c r="AQ33" s="9">
        <f>G33*$AQ$11</f>
        <v/>
      </c>
      <c r="AR33" s="30">
        <f>H33*$AQ$11</f>
        <v/>
      </c>
      <c r="AS33" s="30">
        <f>I33*$AQ$11</f>
        <v/>
      </c>
      <c r="AT33" s="30">
        <f>J33*$AQ$11</f>
        <v/>
      </c>
      <c r="AV33" s="15">
        <f>F33*$AW$11</f>
        <v/>
      </c>
      <c r="AW33" s="9">
        <f>G33*$AW$11</f>
        <v/>
      </c>
      <c r="AX33" s="30">
        <f>H33*$AW$11</f>
        <v/>
      </c>
      <c r="AY33" s="30">
        <f>I33*$AW$11</f>
        <v/>
      </c>
      <c r="AZ33" s="30">
        <f>J33*$AW$11</f>
        <v/>
      </c>
    </row>
    <row r="34">
      <c r="A34" s="8" t="n">
        <v>46235</v>
      </c>
      <c r="B34" s="33">
        <f>YEAR(A34)</f>
        <v/>
      </c>
      <c r="C34" s="33">
        <f>MONTH(A34)</f>
        <v/>
      </c>
      <c r="D34">
        <f>IF(A34&lt;=LastActual,"Actual","Forecast")</f>
        <v/>
      </c>
      <c r="E34" s="30">
        <f>'VIC-1'!E34</f>
        <v/>
      </c>
      <c r="F34" s="15">
        <f>IF($D34="Actual",S34,Cases_Forecast!AS27)</f>
        <v/>
      </c>
      <c r="G34" s="9">
        <f>IF($D34="Actual",T34,IFERROR(F34/K34,0))</f>
        <v/>
      </c>
      <c r="H34" s="30">
        <f>IF($D34="Actual",U34,G34*L34)</f>
        <v/>
      </c>
      <c r="I34" s="30">
        <f>IF($D34="Actual",V34,J34-H34)</f>
        <v/>
      </c>
      <c r="J34" s="30">
        <f>IF($D34="Actual",U34+V34,IFERROR(H34/(1-AD34),0))</f>
        <v/>
      </c>
      <c r="K34" s="10">
        <f>IF($D34="Actual",IFERROR(S34/T34,0),CPLH_Forecast!AS27)</f>
        <v/>
      </c>
      <c r="L34" s="34">
        <f>IF($D34="Actual",IFERROR(U34/T34,0),N(AE34))</f>
        <v/>
      </c>
      <c r="M34" s="35">
        <f>IFERROR(J34/F34,0)</f>
        <v/>
      </c>
      <c r="N34" s="36">
        <f>IFERROR(J34/E34,0)</f>
        <v/>
      </c>
      <c r="O34" s="36">
        <f>IFERROR(I34/J34,0)</f>
        <v/>
      </c>
      <c r="R34" s="52">
        <f>IF($D34="Actual",E34,"")</f>
        <v/>
      </c>
      <c r="S34" s="52">
        <f>IF($D34="Actual",SUMIFS(Data_Actuals!$D$2:$D$5000,Data_Actuals!$A$2:$A$5000,$A34,Data_Actuals!$B$2:$B$5000,$B$2),"")</f>
        <v/>
      </c>
      <c r="T34" s="52">
        <f>IF($D34="Actual",SUMIFS(Data_Actuals!$E$2:$E$5000,Data_Actuals!$A$2:$A$5000,$A34,Data_Actuals!$B$2:$B$5000,$B$2),"")</f>
        <v/>
      </c>
      <c r="U34" s="52">
        <f>IF($D34="Actual",SUMIFS(Data_Actuals!$F$2:$F$5000,Data_Actuals!$A$2:$A$5000,$A34,Data_Actuals!$B$2:$B$5000,$B$2),"")</f>
        <v/>
      </c>
      <c r="V34" s="52">
        <f>IF($D34="Actual",SUMIFS(Data_Actuals!$G$2:$G$5000,Data_Actuals!$A$2:$A$5000,$A34,Data_Actuals!$B$2:$B$5000,$B$2),"")</f>
        <v/>
      </c>
      <c r="W34" s="52">
        <f>SUMIFS(Plan_Inputs!$C$2:$C$5000,Plan_Inputs!$A$2:$A$5000,$A34,Plan_Inputs!$B$2:$B$5000,$B$2)</f>
        <v/>
      </c>
      <c r="X34" s="53">
        <f>IF($D34="Actual",IFERROR(S34/T34,""),X22)</f>
        <v/>
      </c>
      <c r="Y34" s="52">
        <f>'VIC-1'!E34+'VIC-2'!E34</f>
        <v/>
      </c>
      <c r="Z34" s="54">
        <f>INDEX(Calendar!$H$5:$L$52,MATCH($A34,Calendar!$A$5:$A$52,0),MATCH($D$2,Calendar!$H$4:$L$4,0))</f>
        <v/>
      </c>
      <c r="AA34" s="54">
        <f>INDEX(Calendar!$M$5:$M$52,MATCH($A34,Calendar!$A$5:$A$52,0))</f>
        <v/>
      </c>
      <c r="AB34" s="55">
        <f>IF($D34="Actual",IFERROR(S34/Y34,""),AB22)</f>
        <v/>
      </c>
      <c r="AC34" s="56">
        <f>IF($D34="Actual",IFERROR(U34/T34/Z34/AA34,""),AC22)</f>
        <v/>
      </c>
      <c r="AD34" s="57">
        <f>IF($D34="Actual",IFERROR(V34/(U34+V34),""),$K$2)</f>
        <v/>
      </c>
      <c r="AE34" s="56">
        <f>IFERROR(AC34*Z34*AA34,"")</f>
        <v/>
      </c>
      <c r="AF34" s="53">
        <f>K22</f>
        <v/>
      </c>
      <c r="AG34" s="57">
        <f>IF($D34="Forecast",IFERROR(K34/AF34-1,""),"")</f>
        <v/>
      </c>
      <c r="AH34" s="53">
        <f>IF(CPLHSource="National breakdown",CPLH_Breakdown!AT39,SUMIFS(Plan_Inputs!$D$2:$D$5000,Plan_Inputs!$A$2:$A$5000,$A34,Plan_Inputs!$B$2:$B$5000,$B$2))</f>
        <v/>
      </c>
      <c r="AJ34" s="15">
        <f>F34*$AK$11</f>
        <v/>
      </c>
      <c r="AK34" s="9">
        <f>G34*$AK$11</f>
        <v/>
      </c>
      <c r="AL34" s="30">
        <f>H34*$AK$11</f>
        <v/>
      </c>
      <c r="AM34" s="30">
        <f>I34*$AK$11</f>
        <v/>
      </c>
      <c r="AN34" s="30">
        <f>J34*$AK$11</f>
        <v/>
      </c>
      <c r="AP34" s="15">
        <f>F34*$AQ$11</f>
        <v/>
      </c>
      <c r="AQ34" s="9">
        <f>G34*$AQ$11</f>
        <v/>
      </c>
      <c r="AR34" s="30">
        <f>H34*$AQ$11</f>
        <v/>
      </c>
      <c r="AS34" s="30">
        <f>I34*$AQ$11</f>
        <v/>
      </c>
      <c r="AT34" s="30">
        <f>J34*$AQ$11</f>
        <v/>
      </c>
      <c r="AV34" s="15">
        <f>F34*$AW$11</f>
        <v/>
      </c>
      <c r="AW34" s="9">
        <f>G34*$AW$11</f>
        <v/>
      </c>
      <c r="AX34" s="30">
        <f>H34*$AW$11</f>
        <v/>
      </c>
      <c r="AY34" s="30">
        <f>I34*$AW$11</f>
        <v/>
      </c>
      <c r="AZ34" s="30">
        <f>J34*$AW$11</f>
        <v/>
      </c>
    </row>
    <row r="35">
      <c r="A35" s="8" t="n">
        <v>46266</v>
      </c>
      <c r="B35" s="33">
        <f>YEAR(A35)</f>
        <v/>
      </c>
      <c r="C35" s="33">
        <f>MONTH(A35)</f>
        <v/>
      </c>
      <c r="D35">
        <f>IF(A35&lt;=LastActual,"Actual","Forecast")</f>
        <v/>
      </c>
      <c r="E35" s="30">
        <f>'VIC-1'!E35</f>
        <v/>
      </c>
      <c r="F35" s="15">
        <f>IF($D35="Actual",S35,Cases_Forecast!AS28)</f>
        <v/>
      </c>
      <c r="G35" s="9">
        <f>IF($D35="Actual",T35,IFERROR(F35/K35,0))</f>
        <v/>
      </c>
      <c r="H35" s="30">
        <f>IF($D35="Actual",U35,G35*L35)</f>
        <v/>
      </c>
      <c r="I35" s="30">
        <f>IF($D35="Actual",V35,J35-H35)</f>
        <v/>
      </c>
      <c r="J35" s="30">
        <f>IF($D35="Actual",U35+V35,IFERROR(H35/(1-AD35),0))</f>
        <v/>
      </c>
      <c r="K35" s="10">
        <f>IF($D35="Actual",IFERROR(S35/T35,0),CPLH_Forecast!AS28)</f>
        <v/>
      </c>
      <c r="L35" s="34">
        <f>IF($D35="Actual",IFERROR(U35/T35,0),N(AE35))</f>
        <v/>
      </c>
      <c r="M35" s="35">
        <f>IFERROR(J35/F35,0)</f>
        <v/>
      </c>
      <c r="N35" s="36">
        <f>IFERROR(J35/E35,0)</f>
        <v/>
      </c>
      <c r="O35" s="36">
        <f>IFERROR(I35/J35,0)</f>
        <v/>
      </c>
      <c r="R35" s="52">
        <f>IF($D35="Actual",E35,"")</f>
        <v/>
      </c>
      <c r="S35" s="52">
        <f>IF($D35="Actual",SUMIFS(Data_Actuals!$D$2:$D$5000,Data_Actuals!$A$2:$A$5000,$A35,Data_Actuals!$B$2:$B$5000,$B$2),"")</f>
        <v/>
      </c>
      <c r="T35" s="52">
        <f>IF($D35="Actual",SUMIFS(Data_Actuals!$E$2:$E$5000,Data_Actuals!$A$2:$A$5000,$A35,Data_Actuals!$B$2:$B$5000,$B$2),"")</f>
        <v/>
      </c>
      <c r="U35" s="52">
        <f>IF($D35="Actual",SUMIFS(Data_Actuals!$F$2:$F$5000,Data_Actuals!$A$2:$A$5000,$A35,Data_Actuals!$B$2:$B$5000,$B$2),"")</f>
        <v/>
      </c>
      <c r="V35" s="52">
        <f>IF($D35="Actual",SUMIFS(Data_Actuals!$G$2:$G$5000,Data_Actuals!$A$2:$A$5000,$A35,Data_Actuals!$B$2:$B$5000,$B$2),"")</f>
        <v/>
      </c>
      <c r="W35" s="52">
        <f>SUMIFS(Plan_Inputs!$C$2:$C$5000,Plan_Inputs!$A$2:$A$5000,$A35,Plan_Inputs!$B$2:$B$5000,$B$2)</f>
        <v/>
      </c>
      <c r="X35" s="53">
        <f>IF($D35="Actual",IFERROR(S35/T35,""),X23)</f>
        <v/>
      </c>
      <c r="Y35" s="52">
        <f>'VIC-1'!E35+'VIC-2'!E35</f>
        <v/>
      </c>
      <c r="Z35" s="54">
        <f>INDEX(Calendar!$H$5:$L$52,MATCH($A35,Calendar!$A$5:$A$52,0),MATCH($D$2,Calendar!$H$4:$L$4,0))</f>
        <v/>
      </c>
      <c r="AA35" s="54">
        <f>INDEX(Calendar!$M$5:$M$52,MATCH($A35,Calendar!$A$5:$A$52,0))</f>
        <v/>
      </c>
      <c r="AB35" s="55">
        <f>IF($D35="Actual",IFERROR(S35/Y35,""),AB23)</f>
        <v/>
      </c>
      <c r="AC35" s="56">
        <f>IF($D35="Actual",IFERROR(U35/T35/Z35/AA35,""),AC23)</f>
        <v/>
      </c>
      <c r="AD35" s="57">
        <f>IF($D35="Actual",IFERROR(V35/(U35+V35),""),$K$2)</f>
        <v/>
      </c>
      <c r="AE35" s="56">
        <f>IFERROR(AC35*Z35*AA35,"")</f>
        <v/>
      </c>
      <c r="AF35" s="53">
        <f>K23</f>
        <v/>
      </c>
      <c r="AG35" s="57">
        <f>IF($D35="Forecast",IFERROR(K35/AF35-1,""),"")</f>
        <v/>
      </c>
      <c r="AH35" s="53">
        <f>IF(CPLHSource="National breakdown",CPLH_Breakdown!AT40,SUMIFS(Plan_Inputs!$D$2:$D$5000,Plan_Inputs!$A$2:$A$5000,$A35,Plan_Inputs!$B$2:$B$5000,$B$2))</f>
        <v/>
      </c>
      <c r="AJ35" s="15">
        <f>F35*$AK$11</f>
        <v/>
      </c>
      <c r="AK35" s="9">
        <f>G35*$AK$11</f>
        <v/>
      </c>
      <c r="AL35" s="30">
        <f>H35*$AK$11</f>
        <v/>
      </c>
      <c r="AM35" s="30">
        <f>I35*$AK$11</f>
        <v/>
      </c>
      <c r="AN35" s="30">
        <f>J35*$AK$11</f>
        <v/>
      </c>
      <c r="AP35" s="15">
        <f>F35*$AQ$11</f>
        <v/>
      </c>
      <c r="AQ35" s="9">
        <f>G35*$AQ$11</f>
        <v/>
      </c>
      <c r="AR35" s="30">
        <f>H35*$AQ$11</f>
        <v/>
      </c>
      <c r="AS35" s="30">
        <f>I35*$AQ$11</f>
        <v/>
      </c>
      <c r="AT35" s="30">
        <f>J35*$AQ$11</f>
        <v/>
      </c>
      <c r="AV35" s="15">
        <f>F35*$AW$11</f>
        <v/>
      </c>
      <c r="AW35" s="9">
        <f>G35*$AW$11</f>
        <v/>
      </c>
      <c r="AX35" s="30">
        <f>H35*$AW$11</f>
        <v/>
      </c>
      <c r="AY35" s="30">
        <f>I35*$AW$11</f>
        <v/>
      </c>
      <c r="AZ35" s="30">
        <f>J35*$AW$11</f>
        <v/>
      </c>
    </row>
    <row r="36">
      <c r="A36" s="8" t="n">
        <v>46296</v>
      </c>
      <c r="B36" s="33">
        <f>YEAR(A36)</f>
        <v/>
      </c>
      <c r="C36" s="33">
        <f>MONTH(A36)</f>
        <v/>
      </c>
      <c r="D36">
        <f>IF(A36&lt;=LastActual,"Actual","Forecast")</f>
        <v/>
      </c>
      <c r="E36" s="30">
        <f>'VIC-1'!E36</f>
        <v/>
      </c>
      <c r="F36" s="15">
        <f>IF($D36="Actual",S36,Cases_Forecast!AS29)</f>
        <v/>
      </c>
      <c r="G36" s="9">
        <f>IF($D36="Actual",T36,IFERROR(F36/K36,0))</f>
        <v/>
      </c>
      <c r="H36" s="30">
        <f>IF($D36="Actual",U36,G36*L36)</f>
        <v/>
      </c>
      <c r="I36" s="30">
        <f>IF($D36="Actual",V36,J36-H36)</f>
        <v/>
      </c>
      <c r="J36" s="30">
        <f>IF($D36="Actual",U36+V36,IFERROR(H36/(1-AD36),0))</f>
        <v/>
      </c>
      <c r="K36" s="10">
        <f>IF($D36="Actual",IFERROR(S36/T36,0),CPLH_Forecast!AS29)</f>
        <v/>
      </c>
      <c r="L36" s="34">
        <f>IF($D36="Actual",IFERROR(U36/T36,0),N(AE36))</f>
        <v/>
      </c>
      <c r="M36" s="35">
        <f>IFERROR(J36/F36,0)</f>
        <v/>
      </c>
      <c r="N36" s="36">
        <f>IFERROR(J36/E36,0)</f>
        <v/>
      </c>
      <c r="O36" s="36">
        <f>IFERROR(I36/J36,0)</f>
        <v/>
      </c>
      <c r="R36" s="52">
        <f>IF($D36="Actual",E36,"")</f>
        <v/>
      </c>
      <c r="S36" s="52">
        <f>IF($D36="Actual",SUMIFS(Data_Actuals!$D$2:$D$5000,Data_Actuals!$A$2:$A$5000,$A36,Data_Actuals!$B$2:$B$5000,$B$2),"")</f>
        <v/>
      </c>
      <c r="T36" s="52">
        <f>IF($D36="Actual",SUMIFS(Data_Actuals!$E$2:$E$5000,Data_Actuals!$A$2:$A$5000,$A36,Data_Actuals!$B$2:$B$5000,$B$2),"")</f>
        <v/>
      </c>
      <c r="U36" s="52">
        <f>IF($D36="Actual",SUMIFS(Data_Actuals!$F$2:$F$5000,Data_Actuals!$A$2:$A$5000,$A36,Data_Actuals!$B$2:$B$5000,$B$2),"")</f>
        <v/>
      </c>
      <c r="V36" s="52">
        <f>IF($D36="Actual",SUMIFS(Data_Actuals!$G$2:$G$5000,Data_Actuals!$A$2:$A$5000,$A36,Data_Actuals!$B$2:$B$5000,$B$2),"")</f>
        <v/>
      </c>
      <c r="W36" s="52">
        <f>SUMIFS(Plan_Inputs!$C$2:$C$5000,Plan_Inputs!$A$2:$A$5000,$A36,Plan_Inputs!$B$2:$B$5000,$B$2)</f>
        <v/>
      </c>
      <c r="X36" s="53">
        <f>IF($D36="Actual",IFERROR(S36/T36,""),X24)</f>
        <v/>
      </c>
      <c r="Y36" s="52">
        <f>'VIC-1'!E36+'VIC-2'!E36</f>
        <v/>
      </c>
      <c r="Z36" s="54">
        <f>INDEX(Calendar!$H$5:$L$52,MATCH($A36,Calendar!$A$5:$A$52,0),MATCH($D$2,Calendar!$H$4:$L$4,0))</f>
        <v/>
      </c>
      <c r="AA36" s="54">
        <f>INDEX(Calendar!$M$5:$M$52,MATCH($A36,Calendar!$A$5:$A$52,0))</f>
        <v/>
      </c>
      <c r="AB36" s="55">
        <f>IF($D36="Actual",IFERROR(S36/Y36,""),AB24)</f>
        <v/>
      </c>
      <c r="AC36" s="56">
        <f>IF($D36="Actual",IFERROR(U36/T36/Z36/AA36,""),AC24)</f>
        <v/>
      </c>
      <c r="AD36" s="57">
        <f>IF($D36="Actual",IFERROR(V36/(U36+V36),""),$K$2)</f>
        <v/>
      </c>
      <c r="AE36" s="56">
        <f>IFERROR(AC36*Z36*AA36,"")</f>
        <v/>
      </c>
      <c r="AF36" s="53">
        <f>K24</f>
        <v/>
      </c>
      <c r="AG36" s="57">
        <f>IF($D36="Forecast",IFERROR(K36/AF36-1,""),"")</f>
        <v/>
      </c>
      <c r="AH36" s="53">
        <f>IF(CPLHSource="National breakdown",CPLH_Breakdown!AT41,SUMIFS(Plan_Inputs!$D$2:$D$5000,Plan_Inputs!$A$2:$A$5000,$A36,Plan_Inputs!$B$2:$B$5000,$B$2))</f>
        <v/>
      </c>
      <c r="AJ36" s="15">
        <f>F36*$AK$11</f>
        <v/>
      </c>
      <c r="AK36" s="9">
        <f>G36*$AK$11</f>
        <v/>
      </c>
      <c r="AL36" s="30">
        <f>H36*$AK$11</f>
        <v/>
      </c>
      <c r="AM36" s="30">
        <f>I36*$AK$11</f>
        <v/>
      </c>
      <c r="AN36" s="30">
        <f>J36*$AK$11</f>
        <v/>
      </c>
      <c r="AP36" s="15">
        <f>F36*$AQ$11</f>
        <v/>
      </c>
      <c r="AQ36" s="9">
        <f>G36*$AQ$11</f>
        <v/>
      </c>
      <c r="AR36" s="30">
        <f>H36*$AQ$11</f>
        <v/>
      </c>
      <c r="AS36" s="30">
        <f>I36*$AQ$11</f>
        <v/>
      </c>
      <c r="AT36" s="30">
        <f>J36*$AQ$11</f>
        <v/>
      </c>
      <c r="AV36" s="15">
        <f>F36*$AW$11</f>
        <v/>
      </c>
      <c r="AW36" s="9">
        <f>G36*$AW$11</f>
        <v/>
      </c>
      <c r="AX36" s="30">
        <f>H36*$AW$11</f>
        <v/>
      </c>
      <c r="AY36" s="30">
        <f>I36*$AW$11</f>
        <v/>
      </c>
      <c r="AZ36" s="30">
        <f>J36*$AW$11</f>
        <v/>
      </c>
    </row>
    <row r="37">
      <c r="A37" s="8" t="n">
        <v>46327</v>
      </c>
      <c r="B37" s="33">
        <f>YEAR(A37)</f>
        <v/>
      </c>
      <c r="C37" s="33">
        <f>MONTH(A37)</f>
        <v/>
      </c>
      <c r="D37">
        <f>IF(A37&lt;=LastActual,"Actual","Forecast")</f>
        <v/>
      </c>
      <c r="E37" s="30">
        <f>'VIC-1'!E37</f>
        <v/>
      </c>
      <c r="F37" s="15">
        <f>IF($D37="Actual",S37,Cases_Forecast!AS30)</f>
        <v/>
      </c>
      <c r="G37" s="9">
        <f>IF($D37="Actual",T37,IFERROR(F37/K37,0))</f>
        <v/>
      </c>
      <c r="H37" s="30">
        <f>IF($D37="Actual",U37,G37*L37)</f>
        <v/>
      </c>
      <c r="I37" s="30">
        <f>IF($D37="Actual",V37,J37-H37)</f>
        <v/>
      </c>
      <c r="J37" s="30">
        <f>IF($D37="Actual",U37+V37,IFERROR(H37/(1-AD37),0))</f>
        <v/>
      </c>
      <c r="K37" s="10">
        <f>IF($D37="Actual",IFERROR(S37/T37,0),CPLH_Forecast!AS30)</f>
        <v/>
      </c>
      <c r="L37" s="34">
        <f>IF($D37="Actual",IFERROR(U37/T37,0),N(AE37))</f>
        <v/>
      </c>
      <c r="M37" s="35">
        <f>IFERROR(J37/F37,0)</f>
        <v/>
      </c>
      <c r="N37" s="36">
        <f>IFERROR(J37/E37,0)</f>
        <v/>
      </c>
      <c r="O37" s="36">
        <f>IFERROR(I37/J37,0)</f>
        <v/>
      </c>
      <c r="R37" s="52">
        <f>IF($D37="Actual",E37,"")</f>
        <v/>
      </c>
      <c r="S37" s="52">
        <f>IF($D37="Actual",SUMIFS(Data_Actuals!$D$2:$D$5000,Data_Actuals!$A$2:$A$5000,$A37,Data_Actuals!$B$2:$B$5000,$B$2),"")</f>
        <v/>
      </c>
      <c r="T37" s="52">
        <f>IF($D37="Actual",SUMIFS(Data_Actuals!$E$2:$E$5000,Data_Actuals!$A$2:$A$5000,$A37,Data_Actuals!$B$2:$B$5000,$B$2),"")</f>
        <v/>
      </c>
      <c r="U37" s="52">
        <f>IF($D37="Actual",SUMIFS(Data_Actuals!$F$2:$F$5000,Data_Actuals!$A$2:$A$5000,$A37,Data_Actuals!$B$2:$B$5000,$B$2),"")</f>
        <v/>
      </c>
      <c r="V37" s="52">
        <f>IF($D37="Actual",SUMIFS(Data_Actuals!$G$2:$G$5000,Data_Actuals!$A$2:$A$5000,$A37,Data_Actuals!$B$2:$B$5000,$B$2),"")</f>
        <v/>
      </c>
      <c r="W37" s="52">
        <f>SUMIFS(Plan_Inputs!$C$2:$C$5000,Plan_Inputs!$A$2:$A$5000,$A37,Plan_Inputs!$B$2:$B$5000,$B$2)</f>
        <v/>
      </c>
      <c r="X37" s="53">
        <f>IF($D37="Actual",IFERROR(S37/T37,""),X25)</f>
        <v/>
      </c>
      <c r="Y37" s="52">
        <f>'VIC-1'!E37+'VIC-2'!E37</f>
        <v/>
      </c>
      <c r="Z37" s="54">
        <f>INDEX(Calendar!$H$5:$L$52,MATCH($A37,Calendar!$A$5:$A$52,0),MATCH($D$2,Calendar!$H$4:$L$4,0))</f>
        <v/>
      </c>
      <c r="AA37" s="54">
        <f>INDEX(Calendar!$M$5:$M$52,MATCH($A37,Calendar!$A$5:$A$52,0))</f>
        <v/>
      </c>
      <c r="AB37" s="55">
        <f>IF($D37="Actual",IFERROR(S37/Y37,""),AB25)</f>
        <v/>
      </c>
      <c r="AC37" s="56">
        <f>IF($D37="Actual",IFERROR(U37/T37/Z37/AA37,""),AC25)</f>
        <v/>
      </c>
      <c r="AD37" s="57">
        <f>IF($D37="Actual",IFERROR(V37/(U37+V37),""),$K$2)</f>
        <v/>
      </c>
      <c r="AE37" s="56">
        <f>IFERROR(AC37*Z37*AA37,"")</f>
        <v/>
      </c>
      <c r="AF37" s="53">
        <f>K25</f>
        <v/>
      </c>
      <c r="AG37" s="57">
        <f>IF($D37="Forecast",IFERROR(K37/AF37-1,""),"")</f>
        <v/>
      </c>
      <c r="AH37" s="53">
        <f>IF(CPLHSource="National breakdown",CPLH_Breakdown!AT42,SUMIFS(Plan_Inputs!$D$2:$D$5000,Plan_Inputs!$A$2:$A$5000,$A37,Plan_Inputs!$B$2:$B$5000,$B$2))</f>
        <v/>
      </c>
      <c r="AJ37" s="15">
        <f>F37*$AK$11</f>
        <v/>
      </c>
      <c r="AK37" s="9">
        <f>G37*$AK$11</f>
        <v/>
      </c>
      <c r="AL37" s="30">
        <f>H37*$AK$11</f>
        <v/>
      </c>
      <c r="AM37" s="30">
        <f>I37*$AK$11</f>
        <v/>
      </c>
      <c r="AN37" s="30">
        <f>J37*$AK$11</f>
        <v/>
      </c>
      <c r="AP37" s="15">
        <f>F37*$AQ$11</f>
        <v/>
      </c>
      <c r="AQ37" s="9">
        <f>G37*$AQ$11</f>
        <v/>
      </c>
      <c r="AR37" s="30">
        <f>H37*$AQ$11</f>
        <v/>
      </c>
      <c r="AS37" s="30">
        <f>I37*$AQ$11</f>
        <v/>
      </c>
      <c r="AT37" s="30">
        <f>J37*$AQ$11</f>
        <v/>
      </c>
      <c r="AV37" s="15">
        <f>F37*$AW$11</f>
        <v/>
      </c>
      <c r="AW37" s="9">
        <f>G37*$AW$11</f>
        <v/>
      </c>
      <c r="AX37" s="30">
        <f>H37*$AW$11</f>
        <v/>
      </c>
      <c r="AY37" s="30">
        <f>I37*$AW$11</f>
        <v/>
      </c>
      <c r="AZ37" s="30">
        <f>J37*$AW$11</f>
        <v/>
      </c>
    </row>
    <row r="38">
      <c r="A38" s="37" t="n">
        <v>46357</v>
      </c>
      <c r="B38" s="38">
        <f>YEAR(A38)</f>
        <v/>
      </c>
      <c r="C38" s="38">
        <f>MONTH(A38)</f>
        <v/>
      </c>
      <c r="D38" s="39">
        <f>IF(A38&lt;=LastActual,"Actual","Forecast")</f>
        <v/>
      </c>
      <c r="E38" s="40">
        <f>'VIC-1'!E38</f>
        <v/>
      </c>
      <c r="F38" s="41">
        <f>IF($D38="Actual",S38,Cases_Forecast!AS31)</f>
        <v/>
      </c>
      <c r="G38" s="42">
        <f>IF($D38="Actual",T38,IFERROR(F38/K38,0))</f>
        <v/>
      </c>
      <c r="H38" s="40">
        <f>IF($D38="Actual",U38,G38*L38)</f>
        <v/>
      </c>
      <c r="I38" s="40">
        <f>IF($D38="Actual",V38,J38-H38)</f>
        <v/>
      </c>
      <c r="J38" s="40">
        <f>IF($D38="Actual",U38+V38,IFERROR(H38/(1-AD38),0))</f>
        <v/>
      </c>
      <c r="K38" s="43">
        <f>IF($D38="Actual",IFERROR(S38/T38,0),CPLH_Forecast!AS31)</f>
        <v/>
      </c>
      <c r="L38" s="44">
        <f>IF($D38="Actual",IFERROR(U38/T38,0),N(AE38))</f>
        <v/>
      </c>
      <c r="M38" s="45">
        <f>IFERROR(J38/F38,0)</f>
        <v/>
      </c>
      <c r="N38" s="46">
        <f>IFERROR(J38/E38,0)</f>
        <v/>
      </c>
      <c r="O38" s="46">
        <f>IFERROR(I38/J38,0)</f>
        <v/>
      </c>
      <c r="R38" s="52">
        <f>IF($D38="Actual",E38,"")</f>
        <v/>
      </c>
      <c r="S38" s="52">
        <f>IF($D38="Actual",SUMIFS(Data_Actuals!$D$2:$D$5000,Data_Actuals!$A$2:$A$5000,$A38,Data_Actuals!$B$2:$B$5000,$B$2),"")</f>
        <v/>
      </c>
      <c r="T38" s="52">
        <f>IF($D38="Actual",SUMIFS(Data_Actuals!$E$2:$E$5000,Data_Actuals!$A$2:$A$5000,$A38,Data_Actuals!$B$2:$B$5000,$B$2),"")</f>
        <v/>
      </c>
      <c r="U38" s="52">
        <f>IF($D38="Actual",SUMIFS(Data_Actuals!$F$2:$F$5000,Data_Actuals!$A$2:$A$5000,$A38,Data_Actuals!$B$2:$B$5000,$B$2),"")</f>
        <v/>
      </c>
      <c r="V38" s="52">
        <f>IF($D38="Actual",SUMIFS(Data_Actuals!$G$2:$G$5000,Data_Actuals!$A$2:$A$5000,$A38,Data_Actuals!$B$2:$B$5000,$B$2),"")</f>
        <v/>
      </c>
      <c r="W38" s="52">
        <f>SUMIFS(Plan_Inputs!$C$2:$C$5000,Plan_Inputs!$A$2:$A$5000,$A38,Plan_Inputs!$B$2:$B$5000,$B$2)</f>
        <v/>
      </c>
      <c r="X38" s="53">
        <f>IF($D38="Actual",IFERROR(S38/T38,""),X26)</f>
        <v/>
      </c>
      <c r="Y38" s="52">
        <f>'VIC-1'!E38+'VIC-2'!E38</f>
        <v/>
      </c>
      <c r="Z38" s="54">
        <f>INDEX(Calendar!$H$5:$L$52,MATCH($A38,Calendar!$A$5:$A$52,0),MATCH($D$2,Calendar!$H$4:$L$4,0))</f>
        <v/>
      </c>
      <c r="AA38" s="54">
        <f>INDEX(Calendar!$M$5:$M$52,MATCH($A38,Calendar!$A$5:$A$52,0))</f>
        <v/>
      </c>
      <c r="AB38" s="55">
        <f>IF($D38="Actual",IFERROR(S38/Y38,""),AB26)</f>
        <v/>
      </c>
      <c r="AC38" s="56">
        <f>IF($D38="Actual",IFERROR(U38/T38/Z38/AA38,""),AC26)</f>
        <v/>
      </c>
      <c r="AD38" s="57">
        <f>IF($D38="Actual",IFERROR(V38/(U38+V38),""),$K$2)</f>
        <v/>
      </c>
      <c r="AE38" s="56">
        <f>IFERROR(AC38*Z38*AA38,"")</f>
        <v/>
      </c>
      <c r="AF38" s="53">
        <f>K26</f>
        <v/>
      </c>
      <c r="AG38" s="57">
        <f>IF($D38="Forecast",IFERROR(K38/AF38-1,""),"")</f>
        <v/>
      </c>
      <c r="AH38" s="53">
        <f>IF(CPLHSource="National breakdown",CPLH_Breakdown!AT43,SUMIFS(Plan_Inputs!$D$2:$D$5000,Plan_Inputs!$A$2:$A$5000,$A38,Plan_Inputs!$B$2:$B$5000,$B$2))</f>
        <v/>
      </c>
      <c r="AJ38" s="41">
        <f>F38*$AK$11</f>
        <v/>
      </c>
      <c r="AK38" s="42">
        <f>G38*$AK$11</f>
        <v/>
      </c>
      <c r="AL38" s="40">
        <f>H38*$AK$11</f>
        <v/>
      </c>
      <c r="AM38" s="40">
        <f>I38*$AK$11</f>
        <v/>
      </c>
      <c r="AN38" s="40">
        <f>J38*$AK$11</f>
        <v/>
      </c>
      <c r="AP38" s="41">
        <f>F38*$AQ$11</f>
        <v/>
      </c>
      <c r="AQ38" s="42">
        <f>G38*$AQ$11</f>
        <v/>
      </c>
      <c r="AR38" s="40">
        <f>H38*$AQ$11</f>
        <v/>
      </c>
      <c r="AS38" s="40">
        <f>I38*$AQ$11</f>
        <v/>
      </c>
      <c r="AT38" s="40">
        <f>J38*$AQ$11</f>
        <v/>
      </c>
      <c r="AV38" s="41">
        <f>F38*$AW$11</f>
        <v/>
      </c>
      <c r="AW38" s="42">
        <f>G38*$AW$11</f>
        <v/>
      </c>
      <c r="AX38" s="40">
        <f>H38*$AW$11</f>
        <v/>
      </c>
      <c r="AY38" s="40">
        <f>I38*$AW$11</f>
        <v/>
      </c>
      <c r="AZ38" s="40">
        <f>J38*$AW$11</f>
        <v/>
      </c>
    </row>
    <row r="39">
      <c r="A39" s="8" t="n">
        <v>46388</v>
      </c>
      <c r="B39" s="33">
        <f>YEAR(A39)</f>
        <v/>
      </c>
      <c r="C39" s="33">
        <f>MONTH(A39)</f>
        <v/>
      </c>
      <c r="D39">
        <f>IF(A39&lt;=LastActual,"Actual","Forecast")</f>
        <v/>
      </c>
      <c r="E39" s="30">
        <f>'VIC-1'!E39</f>
        <v/>
      </c>
      <c r="F39" s="15">
        <f>IF($D39="Actual",S39,Cases_Forecast!AS32)</f>
        <v/>
      </c>
      <c r="G39" s="9">
        <f>IF($D39="Actual",T39,IFERROR(F39/K39,0))</f>
        <v/>
      </c>
      <c r="H39" s="30">
        <f>IF($D39="Actual",U39,G39*L39)</f>
        <v/>
      </c>
      <c r="I39" s="30">
        <f>IF($D39="Actual",V39,J39-H39)</f>
        <v/>
      </c>
      <c r="J39" s="30">
        <f>IF($D39="Actual",U39+V39,IFERROR(H39/(1-AD39),0))</f>
        <v/>
      </c>
      <c r="K39" s="10">
        <f>IF($D39="Actual",IFERROR(S39/T39,0),CPLH_Forecast!AS32)</f>
        <v/>
      </c>
      <c r="L39" s="34">
        <f>IF($D39="Actual",IFERROR(U39/T39,0),N(AE39))</f>
        <v/>
      </c>
      <c r="M39" s="35">
        <f>IFERROR(J39/F39,0)</f>
        <v/>
      </c>
      <c r="N39" s="36">
        <f>IFERROR(J39/E39,0)</f>
        <v/>
      </c>
      <c r="O39" s="36">
        <f>IFERROR(I39/J39,0)</f>
        <v/>
      </c>
      <c r="R39" s="52">
        <f>IF($D39="Actual",E39,"")</f>
        <v/>
      </c>
      <c r="S39" s="52">
        <f>IF($D39="Actual",SUMIFS(Data_Actuals!$D$2:$D$5000,Data_Actuals!$A$2:$A$5000,$A39,Data_Actuals!$B$2:$B$5000,$B$2),"")</f>
        <v/>
      </c>
      <c r="T39" s="52">
        <f>IF($D39="Actual",SUMIFS(Data_Actuals!$E$2:$E$5000,Data_Actuals!$A$2:$A$5000,$A39,Data_Actuals!$B$2:$B$5000,$B$2),"")</f>
        <v/>
      </c>
      <c r="U39" s="52">
        <f>IF($D39="Actual",SUMIFS(Data_Actuals!$F$2:$F$5000,Data_Actuals!$A$2:$A$5000,$A39,Data_Actuals!$B$2:$B$5000,$B$2),"")</f>
        <v/>
      </c>
      <c r="V39" s="52">
        <f>IF($D39="Actual",SUMIFS(Data_Actuals!$G$2:$G$5000,Data_Actuals!$A$2:$A$5000,$A39,Data_Actuals!$B$2:$B$5000,$B$2),"")</f>
        <v/>
      </c>
      <c r="W39" s="52">
        <f>SUMIFS(Plan_Inputs!$C$2:$C$5000,Plan_Inputs!$A$2:$A$5000,$A39,Plan_Inputs!$B$2:$B$5000,$B$2)</f>
        <v/>
      </c>
      <c r="X39" s="53">
        <f>IF($D39="Actual",IFERROR(S39/T39,""),X27)</f>
        <v/>
      </c>
      <c r="Y39" s="52">
        <f>'VIC-1'!E39+'VIC-2'!E39</f>
        <v/>
      </c>
      <c r="Z39" s="54">
        <f>INDEX(Calendar!$H$5:$L$52,MATCH($A39,Calendar!$A$5:$A$52,0),MATCH($D$2,Calendar!$H$4:$L$4,0))</f>
        <v/>
      </c>
      <c r="AA39" s="54">
        <f>INDEX(Calendar!$M$5:$M$52,MATCH($A39,Calendar!$A$5:$A$52,0))</f>
        <v/>
      </c>
      <c r="AB39" s="55">
        <f>IF($D39="Actual",IFERROR(S39/Y39,""),AB27)</f>
        <v/>
      </c>
      <c r="AC39" s="56">
        <f>IF($D39="Actual",IFERROR(U39/T39/Z39/AA39,""),AC27)</f>
        <v/>
      </c>
      <c r="AD39" s="57">
        <f>IF($D39="Actual",IFERROR(V39/(U39+V39),""),$K$2)</f>
        <v/>
      </c>
      <c r="AE39" s="56">
        <f>IFERROR(AC39*Z39*AA39,"")</f>
        <v/>
      </c>
      <c r="AF39" s="53">
        <f>K27</f>
        <v/>
      </c>
      <c r="AG39" s="57">
        <f>IF($D39="Forecast",IFERROR(K39/AF39-1,""),"")</f>
        <v/>
      </c>
      <c r="AH39" s="53">
        <f>IF(CPLHSource="National breakdown",CPLH_Breakdown!AT44,SUMIFS(Plan_Inputs!$D$2:$D$5000,Plan_Inputs!$A$2:$A$5000,$A39,Plan_Inputs!$B$2:$B$5000,$B$2))</f>
        <v/>
      </c>
      <c r="AJ39" s="15">
        <f>F39*$AK$11</f>
        <v/>
      </c>
      <c r="AK39" s="9">
        <f>G39*$AK$11</f>
        <v/>
      </c>
      <c r="AL39" s="30">
        <f>H39*$AK$11</f>
        <v/>
      </c>
      <c r="AM39" s="30">
        <f>I39*$AK$11</f>
        <v/>
      </c>
      <c r="AN39" s="30">
        <f>J39*$AK$11</f>
        <v/>
      </c>
      <c r="AP39" s="15">
        <f>F39*$AQ$11</f>
        <v/>
      </c>
      <c r="AQ39" s="9">
        <f>G39*$AQ$11</f>
        <v/>
      </c>
      <c r="AR39" s="30">
        <f>H39*$AQ$11</f>
        <v/>
      </c>
      <c r="AS39" s="30">
        <f>I39*$AQ$11</f>
        <v/>
      </c>
      <c r="AT39" s="30">
        <f>J39*$AQ$11</f>
        <v/>
      </c>
      <c r="AV39" s="15">
        <f>F39*$AW$11</f>
        <v/>
      </c>
      <c r="AW39" s="9">
        <f>G39*$AW$11</f>
        <v/>
      </c>
      <c r="AX39" s="30">
        <f>H39*$AW$11</f>
        <v/>
      </c>
      <c r="AY39" s="30">
        <f>I39*$AW$11</f>
        <v/>
      </c>
      <c r="AZ39" s="30">
        <f>J39*$AW$11</f>
        <v/>
      </c>
    </row>
    <row r="40">
      <c r="A40" s="8" t="n">
        <v>46419</v>
      </c>
      <c r="B40" s="33">
        <f>YEAR(A40)</f>
        <v/>
      </c>
      <c r="C40" s="33">
        <f>MONTH(A40)</f>
        <v/>
      </c>
      <c r="D40">
        <f>IF(A40&lt;=LastActual,"Actual","Forecast")</f>
        <v/>
      </c>
      <c r="E40" s="30">
        <f>'VIC-1'!E40</f>
        <v/>
      </c>
      <c r="F40" s="15">
        <f>IF($D40="Actual",S40,Cases_Forecast!AS33)</f>
        <v/>
      </c>
      <c r="G40" s="9">
        <f>IF($D40="Actual",T40,IFERROR(F40/K40,0))</f>
        <v/>
      </c>
      <c r="H40" s="30">
        <f>IF($D40="Actual",U40,G40*L40)</f>
        <v/>
      </c>
      <c r="I40" s="30">
        <f>IF($D40="Actual",V40,J40-H40)</f>
        <v/>
      </c>
      <c r="J40" s="30">
        <f>IF($D40="Actual",U40+V40,IFERROR(H40/(1-AD40),0))</f>
        <v/>
      </c>
      <c r="K40" s="10">
        <f>IF($D40="Actual",IFERROR(S40/T40,0),CPLH_Forecast!AS33)</f>
        <v/>
      </c>
      <c r="L40" s="34">
        <f>IF($D40="Actual",IFERROR(U40/T40,0),N(AE40))</f>
        <v/>
      </c>
      <c r="M40" s="35">
        <f>IFERROR(J40/F40,0)</f>
        <v/>
      </c>
      <c r="N40" s="36">
        <f>IFERROR(J40/E40,0)</f>
        <v/>
      </c>
      <c r="O40" s="36">
        <f>IFERROR(I40/J40,0)</f>
        <v/>
      </c>
      <c r="R40" s="52">
        <f>IF($D40="Actual",E40,"")</f>
        <v/>
      </c>
      <c r="S40" s="52">
        <f>IF($D40="Actual",SUMIFS(Data_Actuals!$D$2:$D$5000,Data_Actuals!$A$2:$A$5000,$A40,Data_Actuals!$B$2:$B$5000,$B$2),"")</f>
        <v/>
      </c>
      <c r="T40" s="52">
        <f>IF($D40="Actual",SUMIFS(Data_Actuals!$E$2:$E$5000,Data_Actuals!$A$2:$A$5000,$A40,Data_Actuals!$B$2:$B$5000,$B$2),"")</f>
        <v/>
      </c>
      <c r="U40" s="52">
        <f>IF($D40="Actual",SUMIFS(Data_Actuals!$F$2:$F$5000,Data_Actuals!$A$2:$A$5000,$A40,Data_Actuals!$B$2:$B$5000,$B$2),"")</f>
        <v/>
      </c>
      <c r="V40" s="52">
        <f>IF($D40="Actual",SUMIFS(Data_Actuals!$G$2:$G$5000,Data_Actuals!$A$2:$A$5000,$A40,Data_Actuals!$B$2:$B$5000,$B$2),"")</f>
        <v/>
      </c>
      <c r="W40" s="52">
        <f>SUMIFS(Plan_Inputs!$C$2:$C$5000,Plan_Inputs!$A$2:$A$5000,$A40,Plan_Inputs!$B$2:$B$5000,$B$2)</f>
        <v/>
      </c>
      <c r="X40" s="53">
        <f>IF($D40="Actual",IFERROR(S40/T40,""),X28)</f>
        <v/>
      </c>
      <c r="Y40" s="52">
        <f>'VIC-1'!E40+'VIC-2'!E40</f>
        <v/>
      </c>
      <c r="Z40" s="54">
        <f>INDEX(Calendar!$H$5:$L$52,MATCH($A40,Calendar!$A$5:$A$52,0),MATCH($D$2,Calendar!$H$4:$L$4,0))</f>
        <v/>
      </c>
      <c r="AA40" s="54">
        <f>INDEX(Calendar!$M$5:$M$52,MATCH($A40,Calendar!$A$5:$A$52,0))</f>
        <v/>
      </c>
      <c r="AB40" s="55">
        <f>IF($D40="Actual",IFERROR(S40/Y40,""),AB28)</f>
        <v/>
      </c>
      <c r="AC40" s="56">
        <f>IF($D40="Actual",IFERROR(U40/T40/Z40/AA40,""),AC28)</f>
        <v/>
      </c>
      <c r="AD40" s="57">
        <f>IF($D40="Actual",IFERROR(V40/(U40+V40),""),$K$2)</f>
        <v/>
      </c>
      <c r="AE40" s="56">
        <f>IFERROR(AC40*Z40*AA40,"")</f>
        <v/>
      </c>
      <c r="AF40" s="53">
        <f>K28</f>
        <v/>
      </c>
      <c r="AG40" s="57">
        <f>IF($D40="Forecast",IFERROR(K40/AF40-1,""),"")</f>
        <v/>
      </c>
      <c r="AH40" s="53">
        <f>IF(CPLHSource="National breakdown",CPLH_Breakdown!AT45,SUMIFS(Plan_Inputs!$D$2:$D$5000,Plan_Inputs!$A$2:$A$5000,$A40,Plan_Inputs!$B$2:$B$5000,$B$2))</f>
        <v/>
      </c>
      <c r="AJ40" s="15">
        <f>F40*$AK$11</f>
        <v/>
      </c>
      <c r="AK40" s="9">
        <f>G40*$AK$11</f>
        <v/>
      </c>
      <c r="AL40" s="30">
        <f>H40*$AK$11</f>
        <v/>
      </c>
      <c r="AM40" s="30">
        <f>I40*$AK$11</f>
        <v/>
      </c>
      <c r="AN40" s="30">
        <f>J40*$AK$11</f>
        <v/>
      </c>
      <c r="AP40" s="15">
        <f>F40*$AQ$11</f>
        <v/>
      </c>
      <c r="AQ40" s="9">
        <f>G40*$AQ$11</f>
        <v/>
      </c>
      <c r="AR40" s="30">
        <f>H40*$AQ$11</f>
        <v/>
      </c>
      <c r="AS40" s="30">
        <f>I40*$AQ$11</f>
        <v/>
      </c>
      <c r="AT40" s="30">
        <f>J40*$AQ$11</f>
        <v/>
      </c>
      <c r="AV40" s="15">
        <f>F40*$AW$11</f>
        <v/>
      </c>
      <c r="AW40" s="9">
        <f>G40*$AW$11</f>
        <v/>
      </c>
      <c r="AX40" s="30">
        <f>H40*$AW$11</f>
        <v/>
      </c>
      <c r="AY40" s="30">
        <f>I40*$AW$11</f>
        <v/>
      </c>
      <c r="AZ40" s="30">
        <f>J40*$AW$11</f>
        <v/>
      </c>
    </row>
    <row r="41">
      <c r="A41" s="8" t="n">
        <v>46447</v>
      </c>
      <c r="B41" s="33">
        <f>YEAR(A41)</f>
        <v/>
      </c>
      <c r="C41" s="33">
        <f>MONTH(A41)</f>
        <v/>
      </c>
      <c r="D41">
        <f>IF(A41&lt;=LastActual,"Actual","Forecast")</f>
        <v/>
      </c>
      <c r="E41" s="30">
        <f>'VIC-1'!E41</f>
        <v/>
      </c>
      <c r="F41" s="15">
        <f>IF($D41="Actual",S41,Cases_Forecast!AS34)</f>
        <v/>
      </c>
      <c r="G41" s="9">
        <f>IF($D41="Actual",T41,IFERROR(F41/K41,0))</f>
        <v/>
      </c>
      <c r="H41" s="30">
        <f>IF($D41="Actual",U41,G41*L41)</f>
        <v/>
      </c>
      <c r="I41" s="30">
        <f>IF($D41="Actual",V41,J41-H41)</f>
        <v/>
      </c>
      <c r="J41" s="30">
        <f>IF($D41="Actual",U41+V41,IFERROR(H41/(1-AD41),0))</f>
        <v/>
      </c>
      <c r="K41" s="10">
        <f>IF($D41="Actual",IFERROR(S41/T41,0),CPLH_Forecast!AS34)</f>
        <v/>
      </c>
      <c r="L41" s="34">
        <f>IF($D41="Actual",IFERROR(U41/T41,0),N(AE41))</f>
        <v/>
      </c>
      <c r="M41" s="35">
        <f>IFERROR(J41/F41,0)</f>
        <v/>
      </c>
      <c r="N41" s="36">
        <f>IFERROR(J41/E41,0)</f>
        <v/>
      </c>
      <c r="O41" s="36">
        <f>IFERROR(I41/J41,0)</f>
        <v/>
      </c>
      <c r="R41" s="52">
        <f>IF($D41="Actual",E41,"")</f>
        <v/>
      </c>
      <c r="S41" s="52">
        <f>IF($D41="Actual",SUMIFS(Data_Actuals!$D$2:$D$5000,Data_Actuals!$A$2:$A$5000,$A41,Data_Actuals!$B$2:$B$5000,$B$2),"")</f>
        <v/>
      </c>
      <c r="T41" s="52">
        <f>IF($D41="Actual",SUMIFS(Data_Actuals!$E$2:$E$5000,Data_Actuals!$A$2:$A$5000,$A41,Data_Actuals!$B$2:$B$5000,$B$2),"")</f>
        <v/>
      </c>
      <c r="U41" s="52">
        <f>IF($D41="Actual",SUMIFS(Data_Actuals!$F$2:$F$5000,Data_Actuals!$A$2:$A$5000,$A41,Data_Actuals!$B$2:$B$5000,$B$2),"")</f>
        <v/>
      </c>
      <c r="V41" s="52">
        <f>IF($D41="Actual",SUMIFS(Data_Actuals!$G$2:$G$5000,Data_Actuals!$A$2:$A$5000,$A41,Data_Actuals!$B$2:$B$5000,$B$2),"")</f>
        <v/>
      </c>
      <c r="W41" s="52">
        <f>SUMIFS(Plan_Inputs!$C$2:$C$5000,Plan_Inputs!$A$2:$A$5000,$A41,Plan_Inputs!$B$2:$B$5000,$B$2)</f>
        <v/>
      </c>
      <c r="X41" s="53">
        <f>IF($D41="Actual",IFERROR(S41/T41,""),X29)</f>
        <v/>
      </c>
      <c r="Y41" s="52">
        <f>'VIC-1'!E41+'VIC-2'!E41</f>
        <v/>
      </c>
      <c r="Z41" s="54">
        <f>INDEX(Calendar!$H$5:$L$52,MATCH($A41,Calendar!$A$5:$A$52,0),MATCH($D$2,Calendar!$H$4:$L$4,0))</f>
        <v/>
      </c>
      <c r="AA41" s="54">
        <f>INDEX(Calendar!$M$5:$M$52,MATCH($A41,Calendar!$A$5:$A$52,0))</f>
        <v/>
      </c>
      <c r="AB41" s="55">
        <f>IF($D41="Actual",IFERROR(S41/Y41,""),AB29)</f>
        <v/>
      </c>
      <c r="AC41" s="56">
        <f>IF($D41="Actual",IFERROR(U41/T41/Z41/AA41,""),AC29)</f>
        <v/>
      </c>
      <c r="AD41" s="57">
        <f>IF($D41="Actual",IFERROR(V41/(U41+V41),""),$K$2)</f>
        <v/>
      </c>
      <c r="AE41" s="56">
        <f>IFERROR(AC41*Z41*AA41,"")</f>
        <v/>
      </c>
      <c r="AF41" s="53">
        <f>K29</f>
        <v/>
      </c>
      <c r="AG41" s="57">
        <f>IF($D41="Forecast",IFERROR(K41/AF41-1,""),"")</f>
        <v/>
      </c>
      <c r="AH41" s="53">
        <f>IF(CPLHSource="National breakdown",CPLH_Breakdown!AT46,SUMIFS(Plan_Inputs!$D$2:$D$5000,Plan_Inputs!$A$2:$A$5000,$A41,Plan_Inputs!$B$2:$B$5000,$B$2))</f>
        <v/>
      </c>
      <c r="AJ41" s="15">
        <f>F41*$AK$11</f>
        <v/>
      </c>
      <c r="AK41" s="9">
        <f>G41*$AK$11</f>
        <v/>
      </c>
      <c r="AL41" s="30">
        <f>H41*$AK$11</f>
        <v/>
      </c>
      <c r="AM41" s="30">
        <f>I41*$AK$11</f>
        <v/>
      </c>
      <c r="AN41" s="30">
        <f>J41*$AK$11</f>
        <v/>
      </c>
      <c r="AP41" s="15">
        <f>F41*$AQ$11</f>
        <v/>
      </c>
      <c r="AQ41" s="9">
        <f>G41*$AQ$11</f>
        <v/>
      </c>
      <c r="AR41" s="30">
        <f>H41*$AQ$11</f>
        <v/>
      </c>
      <c r="AS41" s="30">
        <f>I41*$AQ$11</f>
        <v/>
      </c>
      <c r="AT41" s="30">
        <f>J41*$AQ$11</f>
        <v/>
      </c>
      <c r="AV41" s="15">
        <f>F41*$AW$11</f>
        <v/>
      </c>
      <c r="AW41" s="9">
        <f>G41*$AW$11</f>
        <v/>
      </c>
      <c r="AX41" s="30">
        <f>H41*$AW$11</f>
        <v/>
      </c>
      <c r="AY41" s="30">
        <f>I41*$AW$11</f>
        <v/>
      </c>
      <c r="AZ41" s="30">
        <f>J41*$AW$11</f>
        <v/>
      </c>
    </row>
    <row r="42">
      <c r="A42" s="8" t="n">
        <v>46478</v>
      </c>
      <c r="B42" s="33">
        <f>YEAR(A42)</f>
        <v/>
      </c>
      <c r="C42" s="33">
        <f>MONTH(A42)</f>
        <v/>
      </c>
      <c r="D42">
        <f>IF(A42&lt;=LastActual,"Actual","Forecast")</f>
        <v/>
      </c>
      <c r="E42" s="30">
        <f>'VIC-1'!E42</f>
        <v/>
      </c>
      <c r="F42" s="15">
        <f>IF($D42="Actual",S42,Cases_Forecast!AS35)</f>
        <v/>
      </c>
      <c r="G42" s="9">
        <f>IF($D42="Actual",T42,IFERROR(F42/K42,0))</f>
        <v/>
      </c>
      <c r="H42" s="30">
        <f>IF($D42="Actual",U42,G42*L42)</f>
        <v/>
      </c>
      <c r="I42" s="30">
        <f>IF($D42="Actual",V42,J42-H42)</f>
        <v/>
      </c>
      <c r="J42" s="30">
        <f>IF($D42="Actual",U42+V42,IFERROR(H42/(1-AD42),0))</f>
        <v/>
      </c>
      <c r="K42" s="10">
        <f>IF($D42="Actual",IFERROR(S42/T42,0),CPLH_Forecast!AS35)</f>
        <v/>
      </c>
      <c r="L42" s="34">
        <f>IF($D42="Actual",IFERROR(U42/T42,0),N(AE42))</f>
        <v/>
      </c>
      <c r="M42" s="35">
        <f>IFERROR(J42/F42,0)</f>
        <v/>
      </c>
      <c r="N42" s="36">
        <f>IFERROR(J42/E42,0)</f>
        <v/>
      </c>
      <c r="O42" s="36">
        <f>IFERROR(I42/J42,0)</f>
        <v/>
      </c>
      <c r="R42" s="52">
        <f>IF($D42="Actual",E42,"")</f>
        <v/>
      </c>
      <c r="S42" s="52">
        <f>IF($D42="Actual",SUMIFS(Data_Actuals!$D$2:$D$5000,Data_Actuals!$A$2:$A$5000,$A42,Data_Actuals!$B$2:$B$5000,$B$2),"")</f>
        <v/>
      </c>
      <c r="T42" s="52">
        <f>IF($D42="Actual",SUMIFS(Data_Actuals!$E$2:$E$5000,Data_Actuals!$A$2:$A$5000,$A42,Data_Actuals!$B$2:$B$5000,$B$2),"")</f>
        <v/>
      </c>
      <c r="U42" s="52">
        <f>IF($D42="Actual",SUMIFS(Data_Actuals!$F$2:$F$5000,Data_Actuals!$A$2:$A$5000,$A42,Data_Actuals!$B$2:$B$5000,$B$2),"")</f>
        <v/>
      </c>
      <c r="V42" s="52">
        <f>IF($D42="Actual",SUMIFS(Data_Actuals!$G$2:$G$5000,Data_Actuals!$A$2:$A$5000,$A42,Data_Actuals!$B$2:$B$5000,$B$2),"")</f>
        <v/>
      </c>
      <c r="W42" s="52">
        <f>SUMIFS(Plan_Inputs!$C$2:$C$5000,Plan_Inputs!$A$2:$A$5000,$A42,Plan_Inputs!$B$2:$B$5000,$B$2)</f>
        <v/>
      </c>
      <c r="X42" s="53">
        <f>IF($D42="Actual",IFERROR(S42/T42,""),X30)</f>
        <v/>
      </c>
      <c r="Y42" s="52">
        <f>'VIC-1'!E42+'VIC-2'!E42</f>
        <v/>
      </c>
      <c r="Z42" s="54">
        <f>INDEX(Calendar!$H$5:$L$52,MATCH($A42,Calendar!$A$5:$A$52,0),MATCH($D$2,Calendar!$H$4:$L$4,0))</f>
        <v/>
      </c>
      <c r="AA42" s="54">
        <f>INDEX(Calendar!$M$5:$M$52,MATCH($A42,Calendar!$A$5:$A$52,0))</f>
        <v/>
      </c>
      <c r="AB42" s="55">
        <f>IF($D42="Actual",IFERROR(S42/Y42,""),AB30)</f>
        <v/>
      </c>
      <c r="AC42" s="56">
        <f>IF($D42="Actual",IFERROR(U42/T42/Z42/AA42,""),AC30)</f>
        <v/>
      </c>
      <c r="AD42" s="57">
        <f>IF($D42="Actual",IFERROR(V42/(U42+V42),""),$K$2)</f>
        <v/>
      </c>
      <c r="AE42" s="56">
        <f>IFERROR(AC42*Z42*AA42,"")</f>
        <v/>
      </c>
      <c r="AF42" s="53">
        <f>K30</f>
        <v/>
      </c>
      <c r="AG42" s="57">
        <f>IF($D42="Forecast",IFERROR(K42/AF42-1,""),"")</f>
        <v/>
      </c>
      <c r="AH42" s="53">
        <f>IF(CPLHSource="National breakdown",CPLH_Breakdown!AT47,SUMIFS(Plan_Inputs!$D$2:$D$5000,Plan_Inputs!$A$2:$A$5000,$A42,Plan_Inputs!$B$2:$B$5000,$B$2))</f>
        <v/>
      </c>
      <c r="AJ42" s="15">
        <f>F42*$AK$11</f>
        <v/>
      </c>
      <c r="AK42" s="9">
        <f>G42*$AK$11</f>
        <v/>
      </c>
      <c r="AL42" s="30">
        <f>H42*$AK$11</f>
        <v/>
      </c>
      <c r="AM42" s="30">
        <f>I42*$AK$11</f>
        <v/>
      </c>
      <c r="AN42" s="30">
        <f>J42*$AK$11</f>
        <v/>
      </c>
      <c r="AP42" s="15">
        <f>F42*$AQ$11</f>
        <v/>
      </c>
      <c r="AQ42" s="9">
        <f>G42*$AQ$11</f>
        <v/>
      </c>
      <c r="AR42" s="30">
        <f>H42*$AQ$11</f>
        <v/>
      </c>
      <c r="AS42" s="30">
        <f>I42*$AQ$11</f>
        <v/>
      </c>
      <c r="AT42" s="30">
        <f>J42*$AQ$11</f>
        <v/>
      </c>
      <c r="AV42" s="15">
        <f>F42*$AW$11</f>
        <v/>
      </c>
      <c r="AW42" s="9">
        <f>G42*$AW$11</f>
        <v/>
      </c>
      <c r="AX42" s="30">
        <f>H42*$AW$11</f>
        <v/>
      </c>
      <c r="AY42" s="30">
        <f>I42*$AW$11</f>
        <v/>
      </c>
      <c r="AZ42" s="30">
        <f>J42*$AW$11</f>
        <v/>
      </c>
    </row>
    <row r="43">
      <c r="A43" s="8" t="n">
        <v>46508</v>
      </c>
      <c r="B43" s="33">
        <f>YEAR(A43)</f>
        <v/>
      </c>
      <c r="C43" s="33">
        <f>MONTH(A43)</f>
        <v/>
      </c>
      <c r="D43">
        <f>IF(A43&lt;=LastActual,"Actual","Forecast")</f>
        <v/>
      </c>
      <c r="E43" s="30">
        <f>'VIC-1'!E43</f>
        <v/>
      </c>
      <c r="F43" s="15">
        <f>IF($D43="Actual",S43,Cases_Forecast!AS36)</f>
        <v/>
      </c>
      <c r="G43" s="9">
        <f>IF($D43="Actual",T43,IFERROR(F43/K43,0))</f>
        <v/>
      </c>
      <c r="H43" s="30">
        <f>IF($D43="Actual",U43,G43*L43)</f>
        <v/>
      </c>
      <c r="I43" s="30">
        <f>IF($D43="Actual",V43,J43-H43)</f>
        <v/>
      </c>
      <c r="J43" s="30">
        <f>IF($D43="Actual",U43+V43,IFERROR(H43/(1-AD43),0))</f>
        <v/>
      </c>
      <c r="K43" s="10">
        <f>IF($D43="Actual",IFERROR(S43/T43,0),CPLH_Forecast!AS36)</f>
        <v/>
      </c>
      <c r="L43" s="34">
        <f>IF($D43="Actual",IFERROR(U43/T43,0),N(AE43))</f>
        <v/>
      </c>
      <c r="M43" s="35">
        <f>IFERROR(J43/F43,0)</f>
        <v/>
      </c>
      <c r="N43" s="36">
        <f>IFERROR(J43/E43,0)</f>
        <v/>
      </c>
      <c r="O43" s="36">
        <f>IFERROR(I43/J43,0)</f>
        <v/>
      </c>
      <c r="R43" s="52">
        <f>IF($D43="Actual",E43,"")</f>
        <v/>
      </c>
      <c r="S43" s="52">
        <f>IF($D43="Actual",SUMIFS(Data_Actuals!$D$2:$D$5000,Data_Actuals!$A$2:$A$5000,$A43,Data_Actuals!$B$2:$B$5000,$B$2),"")</f>
        <v/>
      </c>
      <c r="T43" s="52">
        <f>IF($D43="Actual",SUMIFS(Data_Actuals!$E$2:$E$5000,Data_Actuals!$A$2:$A$5000,$A43,Data_Actuals!$B$2:$B$5000,$B$2),"")</f>
        <v/>
      </c>
      <c r="U43" s="52">
        <f>IF($D43="Actual",SUMIFS(Data_Actuals!$F$2:$F$5000,Data_Actuals!$A$2:$A$5000,$A43,Data_Actuals!$B$2:$B$5000,$B$2),"")</f>
        <v/>
      </c>
      <c r="V43" s="52">
        <f>IF($D43="Actual",SUMIFS(Data_Actuals!$G$2:$G$5000,Data_Actuals!$A$2:$A$5000,$A43,Data_Actuals!$B$2:$B$5000,$B$2),"")</f>
        <v/>
      </c>
      <c r="W43" s="52">
        <f>SUMIFS(Plan_Inputs!$C$2:$C$5000,Plan_Inputs!$A$2:$A$5000,$A43,Plan_Inputs!$B$2:$B$5000,$B$2)</f>
        <v/>
      </c>
      <c r="X43" s="53">
        <f>IF($D43="Actual",IFERROR(S43/T43,""),X31)</f>
        <v/>
      </c>
      <c r="Y43" s="52">
        <f>'VIC-1'!E43+'VIC-2'!E43</f>
        <v/>
      </c>
      <c r="Z43" s="54">
        <f>INDEX(Calendar!$H$5:$L$52,MATCH($A43,Calendar!$A$5:$A$52,0),MATCH($D$2,Calendar!$H$4:$L$4,0))</f>
        <v/>
      </c>
      <c r="AA43" s="54">
        <f>INDEX(Calendar!$M$5:$M$52,MATCH($A43,Calendar!$A$5:$A$52,0))</f>
        <v/>
      </c>
      <c r="AB43" s="55">
        <f>IF($D43="Actual",IFERROR(S43/Y43,""),AB31)</f>
        <v/>
      </c>
      <c r="AC43" s="56">
        <f>IF($D43="Actual",IFERROR(U43/T43/Z43/AA43,""),AC31)</f>
        <v/>
      </c>
      <c r="AD43" s="57">
        <f>IF($D43="Actual",IFERROR(V43/(U43+V43),""),$K$2)</f>
        <v/>
      </c>
      <c r="AE43" s="56">
        <f>IFERROR(AC43*Z43*AA43,"")</f>
        <v/>
      </c>
      <c r="AF43" s="53">
        <f>K31</f>
        <v/>
      </c>
      <c r="AG43" s="57">
        <f>IF($D43="Forecast",IFERROR(K43/AF43-1,""),"")</f>
        <v/>
      </c>
      <c r="AH43" s="53">
        <f>IF(CPLHSource="National breakdown",CPLH_Breakdown!AT48,SUMIFS(Plan_Inputs!$D$2:$D$5000,Plan_Inputs!$A$2:$A$5000,$A43,Plan_Inputs!$B$2:$B$5000,$B$2))</f>
        <v/>
      </c>
      <c r="AJ43" s="15">
        <f>F43*$AK$11</f>
        <v/>
      </c>
      <c r="AK43" s="9">
        <f>G43*$AK$11</f>
        <v/>
      </c>
      <c r="AL43" s="30">
        <f>H43*$AK$11</f>
        <v/>
      </c>
      <c r="AM43" s="30">
        <f>I43*$AK$11</f>
        <v/>
      </c>
      <c r="AN43" s="30">
        <f>J43*$AK$11</f>
        <v/>
      </c>
      <c r="AP43" s="15">
        <f>F43*$AQ$11</f>
        <v/>
      </c>
      <c r="AQ43" s="9">
        <f>G43*$AQ$11</f>
        <v/>
      </c>
      <c r="AR43" s="30">
        <f>H43*$AQ$11</f>
        <v/>
      </c>
      <c r="AS43" s="30">
        <f>I43*$AQ$11</f>
        <v/>
      </c>
      <c r="AT43" s="30">
        <f>J43*$AQ$11</f>
        <v/>
      </c>
      <c r="AV43" s="15">
        <f>F43*$AW$11</f>
        <v/>
      </c>
      <c r="AW43" s="9">
        <f>G43*$AW$11</f>
        <v/>
      </c>
      <c r="AX43" s="30">
        <f>H43*$AW$11</f>
        <v/>
      </c>
      <c r="AY43" s="30">
        <f>I43*$AW$11</f>
        <v/>
      </c>
      <c r="AZ43" s="30">
        <f>J43*$AW$11</f>
        <v/>
      </c>
    </row>
    <row r="44">
      <c r="A44" s="8" t="n">
        <v>46539</v>
      </c>
      <c r="B44" s="33">
        <f>YEAR(A44)</f>
        <v/>
      </c>
      <c r="C44" s="33">
        <f>MONTH(A44)</f>
        <v/>
      </c>
      <c r="D44">
        <f>IF(A44&lt;=LastActual,"Actual","Forecast")</f>
        <v/>
      </c>
      <c r="E44" s="30">
        <f>'VIC-1'!E44</f>
        <v/>
      </c>
      <c r="F44" s="15">
        <f>IF($D44="Actual",S44,Cases_Forecast!AS37)</f>
        <v/>
      </c>
      <c r="G44" s="9">
        <f>IF($D44="Actual",T44,IFERROR(F44/K44,0))</f>
        <v/>
      </c>
      <c r="H44" s="30">
        <f>IF($D44="Actual",U44,G44*L44)</f>
        <v/>
      </c>
      <c r="I44" s="30">
        <f>IF($D44="Actual",V44,J44-H44)</f>
        <v/>
      </c>
      <c r="J44" s="30">
        <f>IF($D44="Actual",U44+V44,IFERROR(H44/(1-AD44),0))</f>
        <v/>
      </c>
      <c r="K44" s="10">
        <f>IF($D44="Actual",IFERROR(S44/T44,0),CPLH_Forecast!AS37)</f>
        <v/>
      </c>
      <c r="L44" s="34">
        <f>IF($D44="Actual",IFERROR(U44/T44,0),N(AE44))</f>
        <v/>
      </c>
      <c r="M44" s="35">
        <f>IFERROR(J44/F44,0)</f>
        <v/>
      </c>
      <c r="N44" s="36">
        <f>IFERROR(J44/E44,0)</f>
        <v/>
      </c>
      <c r="O44" s="36">
        <f>IFERROR(I44/J44,0)</f>
        <v/>
      </c>
      <c r="R44" s="52">
        <f>IF($D44="Actual",E44,"")</f>
        <v/>
      </c>
      <c r="S44" s="52">
        <f>IF($D44="Actual",SUMIFS(Data_Actuals!$D$2:$D$5000,Data_Actuals!$A$2:$A$5000,$A44,Data_Actuals!$B$2:$B$5000,$B$2),"")</f>
        <v/>
      </c>
      <c r="T44" s="52">
        <f>IF($D44="Actual",SUMIFS(Data_Actuals!$E$2:$E$5000,Data_Actuals!$A$2:$A$5000,$A44,Data_Actuals!$B$2:$B$5000,$B$2),"")</f>
        <v/>
      </c>
      <c r="U44" s="52">
        <f>IF($D44="Actual",SUMIFS(Data_Actuals!$F$2:$F$5000,Data_Actuals!$A$2:$A$5000,$A44,Data_Actuals!$B$2:$B$5000,$B$2),"")</f>
        <v/>
      </c>
      <c r="V44" s="52">
        <f>IF($D44="Actual",SUMIFS(Data_Actuals!$G$2:$G$5000,Data_Actuals!$A$2:$A$5000,$A44,Data_Actuals!$B$2:$B$5000,$B$2),"")</f>
        <v/>
      </c>
      <c r="W44" s="52">
        <f>SUMIFS(Plan_Inputs!$C$2:$C$5000,Plan_Inputs!$A$2:$A$5000,$A44,Plan_Inputs!$B$2:$B$5000,$B$2)</f>
        <v/>
      </c>
      <c r="X44" s="53">
        <f>IF($D44="Actual",IFERROR(S44/T44,""),X32)</f>
        <v/>
      </c>
      <c r="Y44" s="52">
        <f>'VIC-1'!E44+'VIC-2'!E44</f>
        <v/>
      </c>
      <c r="Z44" s="54">
        <f>INDEX(Calendar!$H$5:$L$52,MATCH($A44,Calendar!$A$5:$A$52,0),MATCH($D$2,Calendar!$H$4:$L$4,0))</f>
        <v/>
      </c>
      <c r="AA44" s="54">
        <f>INDEX(Calendar!$M$5:$M$52,MATCH($A44,Calendar!$A$5:$A$52,0))</f>
        <v/>
      </c>
      <c r="AB44" s="55">
        <f>IF($D44="Actual",IFERROR(S44/Y44,""),AB32)</f>
        <v/>
      </c>
      <c r="AC44" s="56">
        <f>IF($D44="Actual",IFERROR(U44/T44/Z44/AA44,""),AC32)</f>
        <v/>
      </c>
      <c r="AD44" s="57">
        <f>IF($D44="Actual",IFERROR(V44/(U44+V44),""),$K$2)</f>
        <v/>
      </c>
      <c r="AE44" s="56">
        <f>IFERROR(AC44*Z44*AA44,"")</f>
        <v/>
      </c>
      <c r="AF44" s="53">
        <f>K32</f>
        <v/>
      </c>
      <c r="AG44" s="57">
        <f>IF($D44="Forecast",IFERROR(K44/AF44-1,""),"")</f>
        <v/>
      </c>
      <c r="AH44" s="53">
        <f>IF(CPLHSource="National breakdown",CPLH_Breakdown!AT49,SUMIFS(Plan_Inputs!$D$2:$D$5000,Plan_Inputs!$A$2:$A$5000,$A44,Plan_Inputs!$B$2:$B$5000,$B$2))</f>
        <v/>
      </c>
      <c r="AJ44" s="15">
        <f>F44*$AK$11</f>
        <v/>
      </c>
      <c r="AK44" s="9">
        <f>G44*$AK$11</f>
        <v/>
      </c>
      <c r="AL44" s="30">
        <f>H44*$AK$11</f>
        <v/>
      </c>
      <c r="AM44" s="30">
        <f>I44*$AK$11</f>
        <v/>
      </c>
      <c r="AN44" s="30">
        <f>J44*$AK$11</f>
        <v/>
      </c>
      <c r="AP44" s="15">
        <f>F44*$AQ$11</f>
        <v/>
      </c>
      <c r="AQ44" s="9">
        <f>G44*$AQ$11</f>
        <v/>
      </c>
      <c r="AR44" s="30">
        <f>H44*$AQ$11</f>
        <v/>
      </c>
      <c r="AS44" s="30">
        <f>I44*$AQ$11</f>
        <v/>
      </c>
      <c r="AT44" s="30">
        <f>J44*$AQ$11</f>
        <v/>
      </c>
      <c r="AV44" s="15">
        <f>F44*$AW$11</f>
        <v/>
      </c>
      <c r="AW44" s="9">
        <f>G44*$AW$11</f>
        <v/>
      </c>
      <c r="AX44" s="30">
        <f>H44*$AW$11</f>
        <v/>
      </c>
      <c r="AY44" s="30">
        <f>I44*$AW$11</f>
        <v/>
      </c>
      <c r="AZ44" s="30">
        <f>J44*$AW$11</f>
        <v/>
      </c>
    </row>
    <row r="45">
      <c r="A45" s="8" t="n">
        <v>46569</v>
      </c>
      <c r="B45" s="33">
        <f>YEAR(A45)</f>
        <v/>
      </c>
      <c r="C45" s="33">
        <f>MONTH(A45)</f>
        <v/>
      </c>
      <c r="D45">
        <f>IF(A45&lt;=LastActual,"Actual","Forecast")</f>
        <v/>
      </c>
      <c r="E45" s="30">
        <f>'VIC-1'!E45</f>
        <v/>
      </c>
      <c r="F45" s="15">
        <f>IF($D45="Actual",S45,Cases_Forecast!AS38)</f>
        <v/>
      </c>
      <c r="G45" s="9">
        <f>IF($D45="Actual",T45,IFERROR(F45/K45,0))</f>
        <v/>
      </c>
      <c r="H45" s="30">
        <f>IF($D45="Actual",U45,G45*L45)</f>
        <v/>
      </c>
      <c r="I45" s="30">
        <f>IF($D45="Actual",V45,J45-H45)</f>
        <v/>
      </c>
      <c r="J45" s="30">
        <f>IF($D45="Actual",U45+V45,IFERROR(H45/(1-AD45),0))</f>
        <v/>
      </c>
      <c r="K45" s="10">
        <f>IF($D45="Actual",IFERROR(S45/T45,0),CPLH_Forecast!AS38)</f>
        <v/>
      </c>
      <c r="L45" s="34">
        <f>IF($D45="Actual",IFERROR(U45/T45,0),N(AE45))</f>
        <v/>
      </c>
      <c r="M45" s="35">
        <f>IFERROR(J45/F45,0)</f>
        <v/>
      </c>
      <c r="N45" s="36">
        <f>IFERROR(J45/E45,0)</f>
        <v/>
      </c>
      <c r="O45" s="36">
        <f>IFERROR(I45/J45,0)</f>
        <v/>
      </c>
      <c r="R45" s="52">
        <f>IF($D45="Actual",E45,"")</f>
        <v/>
      </c>
      <c r="S45" s="52">
        <f>IF($D45="Actual",SUMIFS(Data_Actuals!$D$2:$D$5000,Data_Actuals!$A$2:$A$5000,$A45,Data_Actuals!$B$2:$B$5000,$B$2),"")</f>
        <v/>
      </c>
      <c r="T45" s="52">
        <f>IF($D45="Actual",SUMIFS(Data_Actuals!$E$2:$E$5000,Data_Actuals!$A$2:$A$5000,$A45,Data_Actuals!$B$2:$B$5000,$B$2),"")</f>
        <v/>
      </c>
      <c r="U45" s="52">
        <f>IF($D45="Actual",SUMIFS(Data_Actuals!$F$2:$F$5000,Data_Actuals!$A$2:$A$5000,$A45,Data_Actuals!$B$2:$B$5000,$B$2),"")</f>
        <v/>
      </c>
      <c r="V45" s="52">
        <f>IF($D45="Actual",SUMIFS(Data_Actuals!$G$2:$G$5000,Data_Actuals!$A$2:$A$5000,$A45,Data_Actuals!$B$2:$B$5000,$B$2),"")</f>
        <v/>
      </c>
      <c r="W45" s="52">
        <f>SUMIFS(Plan_Inputs!$C$2:$C$5000,Plan_Inputs!$A$2:$A$5000,$A45,Plan_Inputs!$B$2:$B$5000,$B$2)</f>
        <v/>
      </c>
      <c r="X45" s="53">
        <f>IF($D45="Actual",IFERROR(S45/T45,""),X33)</f>
        <v/>
      </c>
      <c r="Y45" s="52">
        <f>'VIC-1'!E45+'VIC-2'!E45</f>
        <v/>
      </c>
      <c r="Z45" s="54">
        <f>INDEX(Calendar!$H$5:$L$52,MATCH($A45,Calendar!$A$5:$A$52,0),MATCH($D$2,Calendar!$H$4:$L$4,0))</f>
        <v/>
      </c>
      <c r="AA45" s="54">
        <f>INDEX(Calendar!$M$5:$M$52,MATCH($A45,Calendar!$A$5:$A$52,0))</f>
        <v/>
      </c>
      <c r="AB45" s="55">
        <f>IF($D45="Actual",IFERROR(S45/Y45,""),AB33)</f>
        <v/>
      </c>
      <c r="AC45" s="56">
        <f>IF($D45="Actual",IFERROR(U45/T45/Z45/AA45,""),AC33)</f>
        <v/>
      </c>
      <c r="AD45" s="57">
        <f>IF($D45="Actual",IFERROR(V45/(U45+V45),""),$K$2)</f>
        <v/>
      </c>
      <c r="AE45" s="56">
        <f>IFERROR(AC45*Z45*AA45,"")</f>
        <v/>
      </c>
      <c r="AF45" s="53">
        <f>K33</f>
        <v/>
      </c>
      <c r="AG45" s="57">
        <f>IF($D45="Forecast",IFERROR(K45/AF45-1,""),"")</f>
        <v/>
      </c>
      <c r="AH45" s="53">
        <f>IF(CPLHSource="National breakdown",CPLH_Breakdown!AT50,SUMIFS(Plan_Inputs!$D$2:$D$5000,Plan_Inputs!$A$2:$A$5000,$A45,Plan_Inputs!$B$2:$B$5000,$B$2))</f>
        <v/>
      </c>
      <c r="AJ45" s="15">
        <f>F45*$AK$11</f>
        <v/>
      </c>
      <c r="AK45" s="9">
        <f>G45*$AK$11</f>
        <v/>
      </c>
      <c r="AL45" s="30">
        <f>H45*$AK$11</f>
        <v/>
      </c>
      <c r="AM45" s="30">
        <f>I45*$AK$11</f>
        <v/>
      </c>
      <c r="AN45" s="30">
        <f>J45*$AK$11</f>
        <v/>
      </c>
      <c r="AP45" s="15">
        <f>F45*$AQ$11</f>
        <v/>
      </c>
      <c r="AQ45" s="9">
        <f>G45*$AQ$11</f>
        <v/>
      </c>
      <c r="AR45" s="30">
        <f>H45*$AQ$11</f>
        <v/>
      </c>
      <c r="AS45" s="30">
        <f>I45*$AQ$11</f>
        <v/>
      </c>
      <c r="AT45" s="30">
        <f>J45*$AQ$11</f>
        <v/>
      </c>
      <c r="AV45" s="15">
        <f>F45*$AW$11</f>
        <v/>
      </c>
      <c r="AW45" s="9">
        <f>G45*$AW$11</f>
        <v/>
      </c>
      <c r="AX45" s="30">
        <f>H45*$AW$11</f>
        <v/>
      </c>
      <c r="AY45" s="30">
        <f>I45*$AW$11</f>
        <v/>
      </c>
      <c r="AZ45" s="30">
        <f>J45*$AW$11</f>
        <v/>
      </c>
    </row>
    <row r="46">
      <c r="A46" s="8" t="n">
        <v>46600</v>
      </c>
      <c r="B46" s="33">
        <f>YEAR(A46)</f>
        <v/>
      </c>
      <c r="C46" s="33">
        <f>MONTH(A46)</f>
        <v/>
      </c>
      <c r="D46">
        <f>IF(A46&lt;=LastActual,"Actual","Forecast")</f>
        <v/>
      </c>
      <c r="E46" s="30">
        <f>'VIC-1'!E46</f>
        <v/>
      </c>
      <c r="F46" s="15">
        <f>IF($D46="Actual",S46,Cases_Forecast!AS39)</f>
        <v/>
      </c>
      <c r="G46" s="9">
        <f>IF($D46="Actual",T46,IFERROR(F46/K46,0))</f>
        <v/>
      </c>
      <c r="H46" s="30">
        <f>IF($D46="Actual",U46,G46*L46)</f>
        <v/>
      </c>
      <c r="I46" s="30">
        <f>IF($D46="Actual",V46,J46-H46)</f>
        <v/>
      </c>
      <c r="J46" s="30">
        <f>IF($D46="Actual",U46+V46,IFERROR(H46/(1-AD46),0))</f>
        <v/>
      </c>
      <c r="K46" s="10">
        <f>IF($D46="Actual",IFERROR(S46/T46,0),CPLH_Forecast!AS39)</f>
        <v/>
      </c>
      <c r="L46" s="34">
        <f>IF($D46="Actual",IFERROR(U46/T46,0),N(AE46))</f>
        <v/>
      </c>
      <c r="M46" s="35">
        <f>IFERROR(J46/F46,0)</f>
        <v/>
      </c>
      <c r="N46" s="36">
        <f>IFERROR(J46/E46,0)</f>
        <v/>
      </c>
      <c r="O46" s="36">
        <f>IFERROR(I46/J46,0)</f>
        <v/>
      </c>
      <c r="R46" s="52">
        <f>IF($D46="Actual",E46,"")</f>
        <v/>
      </c>
      <c r="S46" s="52">
        <f>IF($D46="Actual",SUMIFS(Data_Actuals!$D$2:$D$5000,Data_Actuals!$A$2:$A$5000,$A46,Data_Actuals!$B$2:$B$5000,$B$2),"")</f>
        <v/>
      </c>
      <c r="T46" s="52">
        <f>IF($D46="Actual",SUMIFS(Data_Actuals!$E$2:$E$5000,Data_Actuals!$A$2:$A$5000,$A46,Data_Actuals!$B$2:$B$5000,$B$2),"")</f>
        <v/>
      </c>
      <c r="U46" s="52">
        <f>IF($D46="Actual",SUMIFS(Data_Actuals!$F$2:$F$5000,Data_Actuals!$A$2:$A$5000,$A46,Data_Actuals!$B$2:$B$5000,$B$2),"")</f>
        <v/>
      </c>
      <c r="V46" s="52">
        <f>IF($D46="Actual",SUMIFS(Data_Actuals!$G$2:$G$5000,Data_Actuals!$A$2:$A$5000,$A46,Data_Actuals!$B$2:$B$5000,$B$2),"")</f>
        <v/>
      </c>
      <c r="W46" s="52">
        <f>SUMIFS(Plan_Inputs!$C$2:$C$5000,Plan_Inputs!$A$2:$A$5000,$A46,Plan_Inputs!$B$2:$B$5000,$B$2)</f>
        <v/>
      </c>
      <c r="X46" s="53">
        <f>IF($D46="Actual",IFERROR(S46/T46,""),X34)</f>
        <v/>
      </c>
      <c r="Y46" s="52">
        <f>'VIC-1'!E46+'VIC-2'!E46</f>
        <v/>
      </c>
      <c r="Z46" s="54">
        <f>INDEX(Calendar!$H$5:$L$52,MATCH($A46,Calendar!$A$5:$A$52,0),MATCH($D$2,Calendar!$H$4:$L$4,0))</f>
        <v/>
      </c>
      <c r="AA46" s="54">
        <f>INDEX(Calendar!$M$5:$M$52,MATCH($A46,Calendar!$A$5:$A$52,0))</f>
        <v/>
      </c>
      <c r="AB46" s="55">
        <f>IF($D46="Actual",IFERROR(S46/Y46,""),AB34)</f>
        <v/>
      </c>
      <c r="AC46" s="56">
        <f>IF($D46="Actual",IFERROR(U46/T46/Z46/AA46,""),AC34)</f>
        <v/>
      </c>
      <c r="AD46" s="57">
        <f>IF($D46="Actual",IFERROR(V46/(U46+V46),""),$K$2)</f>
        <v/>
      </c>
      <c r="AE46" s="56">
        <f>IFERROR(AC46*Z46*AA46,"")</f>
        <v/>
      </c>
      <c r="AF46" s="53">
        <f>K34</f>
        <v/>
      </c>
      <c r="AG46" s="57">
        <f>IF($D46="Forecast",IFERROR(K46/AF46-1,""),"")</f>
        <v/>
      </c>
      <c r="AH46" s="53">
        <f>IF(CPLHSource="National breakdown",CPLH_Breakdown!AT51,SUMIFS(Plan_Inputs!$D$2:$D$5000,Plan_Inputs!$A$2:$A$5000,$A46,Plan_Inputs!$B$2:$B$5000,$B$2))</f>
        <v/>
      </c>
      <c r="AJ46" s="15">
        <f>F46*$AK$11</f>
        <v/>
      </c>
      <c r="AK46" s="9">
        <f>G46*$AK$11</f>
        <v/>
      </c>
      <c r="AL46" s="30">
        <f>H46*$AK$11</f>
        <v/>
      </c>
      <c r="AM46" s="30">
        <f>I46*$AK$11</f>
        <v/>
      </c>
      <c r="AN46" s="30">
        <f>J46*$AK$11</f>
        <v/>
      </c>
      <c r="AP46" s="15">
        <f>F46*$AQ$11</f>
        <v/>
      </c>
      <c r="AQ46" s="9">
        <f>G46*$AQ$11</f>
        <v/>
      </c>
      <c r="AR46" s="30">
        <f>H46*$AQ$11</f>
        <v/>
      </c>
      <c r="AS46" s="30">
        <f>I46*$AQ$11</f>
        <v/>
      </c>
      <c r="AT46" s="30">
        <f>J46*$AQ$11</f>
        <v/>
      </c>
      <c r="AV46" s="15">
        <f>F46*$AW$11</f>
        <v/>
      </c>
      <c r="AW46" s="9">
        <f>G46*$AW$11</f>
        <v/>
      </c>
      <c r="AX46" s="30">
        <f>H46*$AW$11</f>
        <v/>
      </c>
      <c r="AY46" s="30">
        <f>I46*$AW$11</f>
        <v/>
      </c>
      <c r="AZ46" s="30">
        <f>J46*$AW$11</f>
        <v/>
      </c>
    </row>
    <row r="47">
      <c r="A47" s="8" t="n">
        <v>46631</v>
      </c>
      <c r="B47" s="33">
        <f>YEAR(A47)</f>
        <v/>
      </c>
      <c r="C47" s="33">
        <f>MONTH(A47)</f>
        <v/>
      </c>
      <c r="D47">
        <f>IF(A47&lt;=LastActual,"Actual","Forecast")</f>
        <v/>
      </c>
      <c r="E47" s="30">
        <f>'VIC-1'!E47</f>
        <v/>
      </c>
      <c r="F47" s="15">
        <f>IF($D47="Actual",S47,Cases_Forecast!AS40)</f>
        <v/>
      </c>
      <c r="G47" s="9">
        <f>IF($D47="Actual",T47,IFERROR(F47/K47,0))</f>
        <v/>
      </c>
      <c r="H47" s="30">
        <f>IF($D47="Actual",U47,G47*L47)</f>
        <v/>
      </c>
      <c r="I47" s="30">
        <f>IF($D47="Actual",V47,J47-H47)</f>
        <v/>
      </c>
      <c r="J47" s="30">
        <f>IF($D47="Actual",U47+V47,IFERROR(H47/(1-AD47),0))</f>
        <v/>
      </c>
      <c r="K47" s="10">
        <f>IF($D47="Actual",IFERROR(S47/T47,0),CPLH_Forecast!AS40)</f>
        <v/>
      </c>
      <c r="L47" s="34">
        <f>IF($D47="Actual",IFERROR(U47/T47,0),N(AE47))</f>
        <v/>
      </c>
      <c r="M47" s="35">
        <f>IFERROR(J47/F47,0)</f>
        <v/>
      </c>
      <c r="N47" s="36">
        <f>IFERROR(J47/E47,0)</f>
        <v/>
      </c>
      <c r="O47" s="36">
        <f>IFERROR(I47/J47,0)</f>
        <v/>
      </c>
      <c r="R47" s="52">
        <f>IF($D47="Actual",E47,"")</f>
        <v/>
      </c>
      <c r="S47" s="52">
        <f>IF($D47="Actual",SUMIFS(Data_Actuals!$D$2:$D$5000,Data_Actuals!$A$2:$A$5000,$A47,Data_Actuals!$B$2:$B$5000,$B$2),"")</f>
        <v/>
      </c>
      <c r="T47" s="52">
        <f>IF($D47="Actual",SUMIFS(Data_Actuals!$E$2:$E$5000,Data_Actuals!$A$2:$A$5000,$A47,Data_Actuals!$B$2:$B$5000,$B$2),"")</f>
        <v/>
      </c>
      <c r="U47" s="52">
        <f>IF($D47="Actual",SUMIFS(Data_Actuals!$F$2:$F$5000,Data_Actuals!$A$2:$A$5000,$A47,Data_Actuals!$B$2:$B$5000,$B$2),"")</f>
        <v/>
      </c>
      <c r="V47" s="52">
        <f>IF($D47="Actual",SUMIFS(Data_Actuals!$G$2:$G$5000,Data_Actuals!$A$2:$A$5000,$A47,Data_Actuals!$B$2:$B$5000,$B$2),"")</f>
        <v/>
      </c>
      <c r="W47" s="52">
        <f>SUMIFS(Plan_Inputs!$C$2:$C$5000,Plan_Inputs!$A$2:$A$5000,$A47,Plan_Inputs!$B$2:$B$5000,$B$2)</f>
        <v/>
      </c>
      <c r="X47" s="53">
        <f>IF($D47="Actual",IFERROR(S47/T47,""),X35)</f>
        <v/>
      </c>
      <c r="Y47" s="52">
        <f>'VIC-1'!E47+'VIC-2'!E47</f>
        <v/>
      </c>
      <c r="Z47" s="54">
        <f>INDEX(Calendar!$H$5:$L$52,MATCH($A47,Calendar!$A$5:$A$52,0),MATCH($D$2,Calendar!$H$4:$L$4,0))</f>
        <v/>
      </c>
      <c r="AA47" s="54">
        <f>INDEX(Calendar!$M$5:$M$52,MATCH($A47,Calendar!$A$5:$A$52,0))</f>
        <v/>
      </c>
      <c r="AB47" s="55">
        <f>IF($D47="Actual",IFERROR(S47/Y47,""),AB35)</f>
        <v/>
      </c>
      <c r="AC47" s="56">
        <f>IF($D47="Actual",IFERROR(U47/T47/Z47/AA47,""),AC35)</f>
        <v/>
      </c>
      <c r="AD47" s="57">
        <f>IF($D47="Actual",IFERROR(V47/(U47+V47),""),$K$2)</f>
        <v/>
      </c>
      <c r="AE47" s="56">
        <f>IFERROR(AC47*Z47*AA47,"")</f>
        <v/>
      </c>
      <c r="AF47" s="53">
        <f>K35</f>
        <v/>
      </c>
      <c r="AG47" s="57">
        <f>IF($D47="Forecast",IFERROR(K47/AF47-1,""),"")</f>
        <v/>
      </c>
      <c r="AH47" s="53">
        <f>IF(CPLHSource="National breakdown",CPLH_Breakdown!AT52,SUMIFS(Plan_Inputs!$D$2:$D$5000,Plan_Inputs!$A$2:$A$5000,$A47,Plan_Inputs!$B$2:$B$5000,$B$2))</f>
        <v/>
      </c>
      <c r="AJ47" s="15">
        <f>F47*$AK$11</f>
        <v/>
      </c>
      <c r="AK47" s="9">
        <f>G47*$AK$11</f>
        <v/>
      </c>
      <c r="AL47" s="30">
        <f>H47*$AK$11</f>
        <v/>
      </c>
      <c r="AM47" s="30">
        <f>I47*$AK$11</f>
        <v/>
      </c>
      <c r="AN47" s="30">
        <f>J47*$AK$11</f>
        <v/>
      </c>
      <c r="AP47" s="15">
        <f>F47*$AQ$11</f>
        <v/>
      </c>
      <c r="AQ47" s="9">
        <f>G47*$AQ$11</f>
        <v/>
      </c>
      <c r="AR47" s="30">
        <f>H47*$AQ$11</f>
        <v/>
      </c>
      <c r="AS47" s="30">
        <f>I47*$AQ$11</f>
        <v/>
      </c>
      <c r="AT47" s="30">
        <f>J47*$AQ$11</f>
        <v/>
      </c>
      <c r="AV47" s="15">
        <f>F47*$AW$11</f>
        <v/>
      </c>
      <c r="AW47" s="9">
        <f>G47*$AW$11</f>
        <v/>
      </c>
      <c r="AX47" s="30">
        <f>H47*$AW$11</f>
        <v/>
      </c>
      <c r="AY47" s="30">
        <f>I47*$AW$11</f>
        <v/>
      </c>
      <c r="AZ47" s="30">
        <f>J47*$AW$11</f>
        <v/>
      </c>
    </row>
    <row r="48">
      <c r="A48" s="8" t="n">
        <v>46661</v>
      </c>
      <c r="B48" s="33">
        <f>YEAR(A48)</f>
        <v/>
      </c>
      <c r="C48" s="33">
        <f>MONTH(A48)</f>
        <v/>
      </c>
      <c r="D48">
        <f>IF(A48&lt;=LastActual,"Actual","Forecast")</f>
        <v/>
      </c>
      <c r="E48" s="30">
        <f>'VIC-1'!E48</f>
        <v/>
      </c>
      <c r="F48" s="15">
        <f>IF($D48="Actual",S48,Cases_Forecast!AS41)</f>
        <v/>
      </c>
      <c r="G48" s="9">
        <f>IF($D48="Actual",T48,IFERROR(F48/K48,0))</f>
        <v/>
      </c>
      <c r="H48" s="30">
        <f>IF($D48="Actual",U48,G48*L48)</f>
        <v/>
      </c>
      <c r="I48" s="30">
        <f>IF($D48="Actual",V48,J48-H48)</f>
        <v/>
      </c>
      <c r="J48" s="30">
        <f>IF($D48="Actual",U48+V48,IFERROR(H48/(1-AD48),0))</f>
        <v/>
      </c>
      <c r="K48" s="10">
        <f>IF($D48="Actual",IFERROR(S48/T48,0),CPLH_Forecast!AS41)</f>
        <v/>
      </c>
      <c r="L48" s="34">
        <f>IF($D48="Actual",IFERROR(U48/T48,0),N(AE48))</f>
        <v/>
      </c>
      <c r="M48" s="35">
        <f>IFERROR(J48/F48,0)</f>
        <v/>
      </c>
      <c r="N48" s="36">
        <f>IFERROR(J48/E48,0)</f>
        <v/>
      </c>
      <c r="O48" s="36">
        <f>IFERROR(I48/J48,0)</f>
        <v/>
      </c>
      <c r="R48" s="52">
        <f>IF($D48="Actual",E48,"")</f>
        <v/>
      </c>
      <c r="S48" s="52">
        <f>IF($D48="Actual",SUMIFS(Data_Actuals!$D$2:$D$5000,Data_Actuals!$A$2:$A$5000,$A48,Data_Actuals!$B$2:$B$5000,$B$2),"")</f>
        <v/>
      </c>
      <c r="T48" s="52">
        <f>IF($D48="Actual",SUMIFS(Data_Actuals!$E$2:$E$5000,Data_Actuals!$A$2:$A$5000,$A48,Data_Actuals!$B$2:$B$5000,$B$2),"")</f>
        <v/>
      </c>
      <c r="U48" s="52">
        <f>IF($D48="Actual",SUMIFS(Data_Actuals!$F$2:$F$5000,Data_Actuals!$A$2:$A$5000,$A48,Data_Actuals!$B$2:$B$5000,$B$2),"")</f>
        <v/>
      </c>
      <c r="V48" s="52">
        <f>IF($D48="Actual",SUMIFS(Data_Actuals!$G$2:$G$5000,Data_Actuals!$A$2:$A$5000,$A48,Data_Actuals!$B$2:$B$5000,$B$2),"")</f>
        <v/>
      </c>
      <c r="W48" s="52">
        <f>SUMIFS(Plan_Inputs!$C$2:$C$5000,Plan_Inputs!$A$2:$A$5000,$A48,Plan_Inputs!$B$2:$B$5000,$B$2)</f>
        <v/>
      </c>
      <c r="X48" s="53">
        <f>IF($D48="Actual",IFERROR(S48/T48,""),X36)</f>
        <v/>
      </c>
      <c r="Y48" s="52">
        <f>'VIC-1'!E48+'VIC-2'!E48</f>
        <v/>
      </c>
      <c r="Z48" s="54">
        <f>INDEX(Calendar!$H$5:$L$52,MATCH($A48,Calendar!$A$5:$A$52,0),MATCH($D$2,Calendar!$H$4:$L$4,0))</f>
        <v/>
      </c>
      <c r="AA48" s="54">
        <f>INDEX(Calendar!$M$5:$M$52,MATCH($A48,Calendar!$A$5:$A$52,0))</f>
        <v/>
      </c>
      <c r="AB48" s="55">
        <f>IF($D48="Actual",IFERROR(S48/Y48,""),AB36)</f>
        <v/>
      </c>
      <c r="AC48" s="56">
        <f>IF($D48="Actual",IFERROR(U48/T48/Z48/AA48,""),AC36)</f>
        <v/>
      </c>
      <c r="AD48" s="57">
        <f>IF($D48="Actual",IFERROR(V48/(U48+V48),""),$K$2)</f>
        <v/>
      </c>
      <c r="AE48" s="56">
        <f>IFERROR(AC48*Z48*AA48,"")</f>
        <v/>
      </c>
      <c r="AF48" s="53">
        <f>K36</f>
        <v/>
      </c>
      <c r="AG48" s="57">
        <f>IF($D48="Forecast",IFERROR(K48/AF48-1,""),"")</f>
        <v/>
      </c>
      <c r="AH48" s="53">
        <f>IF(CPLHSource="National breakdown",CPLH_Breakdown!AT53,SUMIFS(Plan_Inputs!$D$2:$D$5000,Plan_Inputs!$A$2:$A$5000,$A48,Plan_Inputs!$B$2:$B$5000,$B$2))</f>
        <v/>
      </c>
      <c r="AJ48" s="15">
        <f>F48*$AK$11</f>
        <v/>
      </c>
      <c r="AK48" s="9">
        <f>G48*$AK$11</f>
        <v/>
      </c>
      <c r="AL48" s="30">
        <f>H48*$AK$11</f>
        <v/>
      </c>
      <c r="AM48" s="30">
        <f>I48*$AK$11</f>
        <v/>
      </c>
      <c r="AN48" s="30">
        <f>J48*$AK$11</f>
        <v/>
      </c>
      <c r="AP48" s="15">
        <f>F48*$AQ$11</f>
        <v/>
      </c>
      <c r="AQ48" s="9">
        <f>G48*$AQ$11</f>
        <v/>
      </c>
      <c r="AR48" s="30">
        <f>H48*$AQ$11</f>
        <v/>
      </c>
      <c r="AS48" s="30">
        <f>I48*$AQ$11</f>
        <v/>
      </c>
      <c r="AT48" s="30">
        <f>J48*$AQ$11</f>
        <v/>
      </c>
      <c r="AV48" s="15">
        <f>F48*$AW$11</f>
        <v/>
      </c>
      <c r="AW48" s="9">
        <f>G48*$AW$11</f>
        <v/>
      </c>
      <c r="AX48" s="30">
        <f>H48*$AW$11</f>
        <v/>
      </c>
      <c r="AY48" s="30">
        <f>I48*$AW$11</f>
        <v/>
      </c>
      <c r="AZ48" s="30">
        <f>J48*$AW$11</f>
        <v/>
      </c>
    </row>
    <row r="49">
      <c r="A49" s="8" t="n">
        <v>46692</v>
      </c>
      <c r="B49" s="33">
        <f>YEAR(A49)</f>
        <v/>
      </c>
      <c r="C49" s="33">
        <f>MONTH(A49)</f>
        <v/>
      </c>
      <c r="D49">
        <f>IF(A49&lt;=LastActual,"Actual","Forecast")</f>
        <v/>
      </c>
      <c r="E49" s="30">
        <f>'VIC-1'!E49</f>
        <v/>
      </c>
      <c r="F49" s="15">
        <f>IF($D49="Actual",S49,Cases_Forecast!AS42)</f>
        <v/>
      </c>
      <c r="G49" s="9">
        <f>IF($D49="Actual",T49,IFERROR(F49/K49,0))</f>
        <v/>
      </c>
      <c r="H49" s="30">
        <f>IF($D49="Actual",U49,G49*L49)</f>
        <v/>
      </c>
      <c r="I49" s="30">
        <f>IF($D49="Actual",V49,J49-H49)</f>
        <v/>
      </c>
      <c r="J49" s="30">
        <f>IF($D49="Actual",U49+V49,IFERROR(H49/(1-AD49),0))</f>
        <v/>
      </c>
      <c r="K49" s="10">
        <f>IF($D49="Actual",IFERROR(S49/T49,0),CPLH_Forecast!AS42)</f>
        <v/>
      </c>
      <c r="L49" s="34">
        <f>IF($D49="Actual",IFERROR(U49/T49,0),N(AE49))</f>
        <v/>
      </c>
      <c r="M49" s="35">
        <f>IFERROR(J49/F49,0)</f>
        <v/>
      </c>
      <c r="N49" s="36">
        <f>IFERROR(J49/E49,0)</f>
        <v/>
      </c>
      <c r="O49" s="36">
        <f>IFERROR(I49/J49,0)</f>
        <v/>
      </c>
      <c r="R49" s="52">
        <f>IF($D49="Actual",E49,"")</f>
        <v/>
      </c>
      <c r="S49" s="52">
        <f>IF($D49="Actual",SUMIFS(Data_Actuals!$D$2:$D$5000,Data_Actuals!$A$2:$A$5000,$A49,Data_Actuals!$B$2:$B$5000,$B$2),"")</f>
        <v/>
      </c>
      <c r="T49" s="52">
        <f>IF($D49="Actual",SUMIFS(Data_Actuals!$E$2:$E$5000,Data_Actuals!$A$2:$A$5000,$A49,Data_Actuals!$B$2:$B$5000,$B$2),"")</f>
        <v/>
      </c>
      <c r="U49" s="52">
        <f>IF($D49="Actual",SUMIFS(Data_Actuals!$F$2:$F$5000,Data_Actuals!$A$2:$A$5000,$A49,Data_Actuals!$B$2:$B$5000,$B$2),"")</f>
        <v/>
      </c>
      <c r="V49" s="52">
        <f>IF($D49="Actual",SUMIFS(Data_Actuals!$G$2:$G$5000,Data_Actuals!$A$2:$A$5000,$A49,Data_Actuals!$B$2:$B$5000,$B$2),"")</f>
        <v/>
      </c>
      <c r="W49" s="52">
        <f>SUMIFS(Plan_Inputs!$C$2:$C$5000,Plan_Inputs!$A$2:$A$5000,$A49,Plan_Inputs!$B$2:$B$5000,$B$2)</f>
        <v/>
      </c>
      <c r="X49" s="53">
        <f>IF($D49="Actual",IFERROR(S49/T49,""),X37)</f>
        <v/>
      </c>
      <c r="Y49" s="52">
        <f>'VIC-1'!E49+'VIC-2'!E49</f>
        <v/>
      </c>
      <c r="Z49" s="54">
        <f>INDEX(Calendar!$H$5:$L$52,MATCH($A49,Calendar!$A$5:$A$52,0),MATCH($D$2,Calendar!$H$4:$L$4,0))</f>
        <v/>
      </c>
      <c r="AA49" s="54">
        <f>INDEX(Calendar!$M$5:$M$52,MATCH($A49,Calendar!$A$5:$A$52,0))</f>
        <v/>
      </c>
      <c r="AB49" s="55">
        <f>IF($D49="Actual",IFERROR(S49/Y49,""),AB37)</f>
        <v/>
      </c>
      <c r="AC49" s="56">
        <f>IF($D49="Actual",IFERROR(U49/T49/Z49/AA49,""),AC37)</f>
        <v/>
      </c>
      <c r="AD49" s="57">
        <f>IF($D49="Actual",IFERROR(V49/(U49+V49),""),$K$2)</f>
        <v/>
      </c>
      <c r="AE49" s="56">
        <f>IFERROR(AC49*Z49*AA49,"")</f>
        <v/>
      </c>
      <c r="AF49" s="53">
        <f>K37</f>
        <v/>
      </c>
      <c r="AG49" s="57">
        <f>IF($D49="Forecast",IFERROR(K49/AF49-1,""),"")</f>
        <v/>
      </c>
      <c r="AH49" s="53">
        <f>IF(CPLHSource="National breakdown",CPLH_Breakdown!AT54,SUMIFS(Plan_Inputs!$D$2:$D$5000,Plan_Inputs!$A$2:$A$5000,$A49,Plan_Inputs!$B$2:$B$5000,$B$2))</f>
        <v/>
      </c>
      <c r="AJ49" s="15">
        <f>F49*$AK$11</f>
        <v/>
      </c>
      <c r="AK49" s="9">
        <f>G49*$AK$11</f>
        <v/>
      </c>
      <c r="AL49" s="30">
        <f>H49*$AK$11</f>
        <v/>
      </c>
      <c r="AM49" s="30">
        <f>I49*$AK$11</f>
        <v/>
      </c>
      <c r="AN49" s="30">
        <f>J49*$AK$11</f>
        <v/>
      </c>
      <c r="AP49" s="15">
        <f>F49*$AQ$11</f>
        <v/>
      </c>
      <c r="AQ49" s="9">
        <f>G49*$AQ$11</f>
        <v/>
      </c>
      <c r="AR49" s="30">
        <f>H49*$AQ$11</f>
        <v/>
      </c>
      <c r="AS49" s="30">
        <f>I49*$AQ$11</f>
        <v/>
      </c>
      <c r="AT49" s="30">
        <f>J49*$AQ$11</f>
        <v/>
      </c>
      <c r="AV49" s="15">
        <f>F49*$AW$11</f>
        <v/>
      </c>
      <c r="AW49" s="9">
        <f>G49*$AW$11</f>
        <v/>
      </c>
      <c r="AX49" s="30">
        <f>H49*$AW$11</f>
        <v/>
      </c>
      <c r="AY49" s="30">
        <f>I49*$AW$11</f>
        <v/>
      </c>
      <c r="AZ49" s="30">
        <f>J49*$AW$11</f>
        <v/>
      </c>
    </row>
    <row r="50">
      <c r="A50" s="37" t="n">
        <v>46722</v>
      </c>
      <c r="B50" s="38">
        <f>YEAR(A50)</f>
        <v/>
      </c>
      <c r="C50" s="38">
        <f>MONTH(A50)</f>
        <v/>
      </c>
      <c r="D50" s="39">
        <f>IF(A50&lt;=LastActual,"Actual","Forecast")</f>
        <v/>
      </c>
      <c r="E50" s="40">
        <f>'VIC-1'!E50</f>
        <v/>
      </c>
      <c r="F50" s="41">
        <f>IF($D50="Actual",S50,Cases_Forecast!AS43)</f>
        <v/>
      </c>
      <c r="G50" s="42">
        <f>IF($D50="Actual",T50,IFERROR(F50/K50,0))</f>
        <v/>
      </c>
      <c r="H50" s="40">
        <f>IF($D50="Actual",U50,G50*L50)</f>
        <v/>
      </c>
      <c r="I50" s="40">
        <f>IF($D50="Actual",V50,J50-H50)</f>
        <v/>
      </c>
      <c r="J50" s="40">
        <f>IF($D50="Actual",U50+V50,IFERROR(H50/(1-AD50),0))</f>
        <v/>
      </c>
      <c r="K50" s="43">
        <f>IF($D50="Actual",IFERROR(S50/T50,0),CPLH_Forecast!AS43)</f>
        <v/>
      </c>
      <c r="L50" s="44">
        <f>IF($D50="Actual",IFERROR(U50/T50,0),N(AE50))</f>
        <v/>
      </c>
      <c r="M50" s="45">
        <f>IFERROR(J50/F50,0)</f>
        <v/>
      </c>
      <c r="N50" s="46">
        <f>IFERROR(J50/E50,0)</f>
        <v/>
      </c>
      <c r="O50" s="46">
        <f>IFERROR(I50/J50,0)</f>
        <v/>
      </c>
      <c r="R50" s="52">
        <f>IF($D50="Actual",E50,"")</f>
        <v/>
      </c>
      <c r="S50" s="52">
        <f>IF($D50="Actual",SUMIFS(Data_Actuals!$D$2:$D$5000,Data_Actuals!$A$2:$A$5000,$A50,Data_Actuals!$B$2:$B$5000,$B$2),"")</f>
        <v/>
      </c>
      <c r="T50" s="52">
        <f>IF($D50="Actual",SUMIFS(Data_Actuals!$E$2:$E$5000,Data_Actuals!$A$2:$A$5000,$A50,Data_Actuals!$B$2:$B$5000,$B$2),"")</f>
        <v/>
      </c>
      <c r="U50" s="52">
        <f>IF($D50="Actual",SUMIFS(Data_Actuals!$F$2:$F$5000,Data_Actuals!$A$2:$A$5000,$A50,Data_Actuals!$B$2:$B$5000,$B$2),"")</f>
        <v/>
      </c>
      <c r="V50" s="52">
        <f>IF($D50="Actual",SUMIFS(Data_Actuals!$G$2:$G$5000,Data_Actuals!$A$2:$A$5000,$A50,Data_Actuals!$B$2:$B$5000,$B$2),"")</f>
        <v/>
      </c>
      <c r="W50" s="52">
        <f>SUMIFS(Plan_Inputs!$C$2:$C$5000,Plan_Inputs!$A$2:$A$5000,$A50,Plan_Inputs!$B$2:$B$5000,$B$2)</f>
        <v/>
      </c>
      <c r="X50" s="53">
        <f>IF($D50="Actual",IFERROR(S50/T50,""),X38)</f>
        <v/>
      </c>
      <c r="Y50" s="52">
        <f>'VIC-1'!E50+'VIC-2'!E50</f>
        <v/>
      </c>
      <c r="Z50" s="54">
        <f>INDEX(Calendar!$H$5:$L$52,MATCH($A50,Calendar!$A$5:$A$52,0),MATCH($D$2,Calendar!$H$4:$L$4,0))</f>
        <v/>
      </c>
      <c r="AA50" s="54">
        <f>INDEX(Calendar!$M$5:$M$52,MATCH($A50,Calendar!$A$5:$A$52,0))</f>
        <v/>
      </c>
      <c r="AB50" s="55">
        <f>IF($D50="Actual",IFERROR(S50/Y50,""),AB38)</f>
        <v/>
      </c>
      <c r="AC50" s="56">
        <f>IF($D50="Actual",IFERROR(U50/T50/Z50/AA50,""),AC38)</f>
        <v/>
      </c>
      <c r="AD50" s="57">
        <f>IF($D50="Actual",IFERROR(V50/(U50+V50),""),$K$2)</f>
        <v/>
      </c>
      <c r="AE50" s="56">
        <f>IFERROR(AC50*Z50*AA50,"")</f>
        <v/>
      </c>
      <c r="AF50" s="53">
        <f>K38</f>
        <v/>
      </c>
      <c r="AG50" s="57">
        <f>IF($D50="Forecast",IFERROR(K50/AF50-1,""),"")</f>
        <v/>
      </c>
      <c r="AH50" s="53">
        <f>IF(CPLHSource="National breakdown",CPLH_Breakdown!AT55,SUMIFS(Plan_Inputs!$D$2:$D$5000,Plan_Inputs!$A$2:$A$5000,$A50,Plan_Inputs!$B$2:$B$5000,$B$2))</f>
        <v/>
      </c>
      <c r="AJ50" s="41">
        <f>F50*$AK$11</f>
        <v/>
      </c>
      <c r="AK50" s="42">
        <f>G50*$AK$11</f>
        <v/>
      </c>
      <c r="AL50" s="40">
        <f>H50*$AK$11</f>
        <v/>
      </c>
      <c r="AM50" s="40">
        <f>I50*$AK$11</f>
        <v/>
      </c>
      <c r="AN50" s="40">
        <f>J50*$AK$11</f>
        <v/>
      </c>
      <c r="AP50" s="41">
        <f>F50*$AQ$11</f>
        <v/>
      </c>
      <c r="AQ50" s="42">
        <f>G50*$AQ$11</f>
        <v/>
      </c>
      <c r="AR50" s="40">
        <f>H50*$AQ$11</f>
        <v/>
      </c>
      <c r="AS50" s="40">
        <f>I50*$AQ$11</f>
        <v/>
      </c>
      <c r="AT50" s="40">
        <f>J50*$AQ$11</f>
        <v/>
      </c>
      <c r="AV50" s="41">
        <f>F50*$AW$11</f>
        <v/>
      </c>
      <c r="AW50" s="42">
        <f>G50*$AW$11</f>
        <v/>
      </c>
      <c r="AX50" s="40">
        <f>H50*$AW$11</f>
        <v/>
      </c>
      <c r="AY50" s="40">
        <f>I50*$AW$11</f>
        <v/>
      </c>
      <c r="AZ50" s="40">
        <f>J50*$AW$11</f>
        <v/>
      </c>
    </row>
    <row r="51">
      <c r="A51" s="8" t="n">
        <v>46753</v>
      </c>
      <c r="B51" s="33">
        <f>YEAR(A51)</f>
        <v/>
      </c>
      <c r="C51" s="33">
        <f>MONTH(A51)</f>
        <v/>
      </c>
      <c r="D51">
        <f>IF(A51&lt;=LastActual,"Actual","Forecast")</f>
        <v/>
      </c>
      <c r="E51" s="30">
        <f>'VIC-1'!E51</f>
        <v/>
      </c>
      <c r="F51" s="15">
        <f>IF($D51="Actual",S51,Cases_Forecast!AS44)</f>
        <v/>
      </c>
      <c r="G51" s="9">
        <f>IF($D51="Actual",T51,IFERROR(F51/K51,0))</f>
        <v/>
      </c>
      <c r="H51" s="30">
        <f>IF($D51="Actual",U51,G51*L51)</f>
        <v/>
      </c>
      <c r="I51" s="30">
        <f>IF($D51="Actual",V51,J51-H51)</f>
        <v/>
      </c>
      <c r="J51" s="30">
        <f>IF($D51="Actual",U51+V51,IFERROR(H51/(1-AD51),0))</f>
        <v/>
      </c>
      <c r="K51" s="10">
        <f>IF($D51="Actual",IFERROR(S51/T51,0),CPLH_Forecast!AS44)</f>
        <v/>
      </c>
      <c r="L51" s="34">
        <f>IF($D51="Actual",IFERROR(U51/T51,0),N(AE51))</f>
        <v/>
      </c>
      <c r="M51" s="35">
        <f>IFERROR(J51/F51,0)</f>
        <v/>
      </c>
      <c r="N51" s="36">
        <f>IFERROR(J51/E51,0)</f>
        <v/>
      </c>
      <c r="O51" s="36">
        <f>IFERROR(I51/J51,0)</f>
        <v/>
      </c>
      <c r="R51" s="52">
        <f>IF($D51="Actual",E51,"")</f>
        <v/>
      </c>
      <c r="S51" s="52">
        <f>IF($D51="Actual",SUMIFS(Data_Actuals!$D$2:$D$5000,Data_Actuals!$A$2:$A$5000,$A51,Data_Actuals!$B$2:$B$5000,$B$2),"")</f>
        <v/>
      </c>
      <c r="T51" s="52">
        <f>IF($D51="Actual",SUMIFS(Data_Actuals!$E$2:$E$5000,Data_Actuals!$A$2:$A$5000,$A51,Data_Actuals!$B$2:$B$5000,$B$2),"")</f>
        <v/>
      </c>
      <c r="U51" s="52">
        <f>IF($D51="Actual",SUMIFS(Data_Actuals!$F$2:$F$5000,Data_Actuals!$A$2:$A$5000,$A51,Data_Actuals!$B$2:$B$5000,$B$2),"")</f>
        <v/>
      </c>
      <c r="V51" s="52">
        <f>IF($D51="Actual",SUMIFS(Data_Actuals!$G$2:$G$5000,Data_Actuals!$A$2:$A$5000,$A51,Data_Actuals!$B$2:$B$5000,$B$2),"")</f>
        <v/>
      </c>
      <c r="W51" s="52">
        <f>SUMIFS(Plan_Inputs!$C$2:$C$5000,Plan_Inputs!$A$2:$A$5000,$A51,Plan_Inputs!$B$2:$B$5000,$B$2)</f>
        <v/>
      </c>
      <c r="X51" s="53">
        <f>IF($D51="Actual",IFERROR(S51/T51,""),X39)</f>
        <v/>
      </c>
      <c r="Y51" s="52">
        <f>'VIC-1'!E51+'VIC-2'!E51</f>
        <v/>
      </c>
      <c r="Z51" s="54">
        <f>INDEX(Calendar!$H$5:$L$52,MATCH($A51,Calendar!$A$5:$A$52,0),MATCH($D$2,Calendar!$H$4:$L$4,0))</f>
        <v/>
      </c>
      <c r="AA51" s="54">
        <f>INDEX(Calendar!$M$5:$M$52,MATCH($A51,Calendar!$A$5:$A$52,0))</f>
        <v/>
      </c>
      <c r="AB51" s="55">
        <f>IF($D51="Actual",IFERROR(S51/Y51,""),AB39)</f>
        <v/>
      </c>
      <c r="AC51" s="56">
        <f>IF($D51="Actual",IFERROR(U51/T51/Z51/AA51,""),AC39)</f>
        <v/>
      </c>
      <c r="AD51" s="57">
        <f>IF($D51="Actual",IFERROR(V51/(U51+V51),""),$K$2)</f>
        <v/>
      </c>
      <c r="AE51" s="56">
        <f>IFERROR(AC51*Z51*AA51,"")</f>
        <v/>
      </c>
      <c r="AF51" s="53">
        <f>K39</f>
        <v/>
      </c>
      <c r="AG51" s="57">
        <f>IF($D51="Forecast",IFERROR(K51/AF51-1,""),"")</f>
        <v/>
      </c>
      <c r="AH51" s="53">
        <f>IF(CPLHSource="National breakdown",CPLH_Breakdown!AT56,SUMIFS(Plan_Inputs!$D$2:$D$5000,Plan_Inputs!$A$2:$A$5000,$A51,Plan_Inputs!$B$2:$B$5000,$B$2))</f>
        <v/>
      </c>
      <c r="AJ51" s="15">
        <f>F51*$AK$11</f>
        <v/>
      </c>
      <c r="AK51" s="9">
        <f>G51*$AK$11</f>
        <v/>
      </c>
      <c r="AL51" s="30">
        <f>H51*$AK$11</f>
        <v/>
      </c>
      <c r="AM51" s="30">
        <f>I51*$AK$11</f>
        <v/>
      </c>
      <c r="AN51" s="30">
        <f>J51*$AK$11</f>
        <v/>
      </c>
      <c r="AP51" s="15">
        <f>F51*$AQ$11</f>
        <v/>
      </c>
      <c r="AQ51" s="9">
        <f>G51*$AQ$11</f>
        <v/>
      </c>
      <c r="AR51" s="30">
        <f>H51*$AQ$11</f>
        <v/>
      </c>
      <c r="AS51" s="30">
        <f>I51*$AQ$11</f>
        <v/>
      </c>
      <c r="AT51" s="30">
        <f>J51*$AQ$11</f>
        <v/>
      </c>
      <c r="AV51" s="15">
        <f>F51*$AW$11</f>
        <v/>
      </c>
      <c r="AW51" s="9">
        <f>G51*$AW$11</f>
        <v/>
      </c>
      <c r="AX51" s="30">
        <f>H51*$AW$11</f>
        <v/>
      </c>
      <c r="AY51" s="30">
        <f>I51*$AW$11</f>
        <v/>
      </c>
      <c r="AZ51" s="30">
        <f>J51*$AW$11</f>
        <v/>
      </c>
    </row>
    <row r="52">
      <c r="A52" s="8" t="n">
        <v>46784</v>
      </c>
      <c r="B52" s="33">
        <f>YEAR(A52)</f>
        <v/>
      </c>
      <c r="C52" s="33">
        <f>MONTH(A52)</f>
        <v/>
      </c>
      <c r="D52">
        <f>IF(A52&lt;=LastActual,"Actual","Forecast")</f>
        <v/>
      </c>
      <c r="E52" s="30">
        <f>'VIC-1'!E52</f>
        <v/>
      </c>
      <c r="F52" s="15">
        <f>IF($D52="Actual",S52,Cases_Forecast!AS45)</f>
        <v/>
      </c>
      <c r="G52" s="9">
        <f>IF($D52="Actual",T52,IFERROR(F52/K52,0))</f>
        <v/>
      </c>
      <c r="H52" s="30">
        <f>IF($D52="Actual",U52,G52*L52)</f>
        <v/>
      </c>
      <c r="I52" s="30">
        <f>IF($D52="Actual",V52,J52-H52)</f>
        <v/>
      </c>
      <c r="J52" s="30">
        <f>IF($D52="Actual",U52+V52,IFERROR(H52/(1-AD52),0))</f>
        <v/>
      </c>
      <c r="K52" s="10">
        <f>IF($D52="Actual",IFERROR(S52/T52,0),CPLH_Forecast!AS45)</f>
        <v/>
      </c>
      <c r="L52" s="34">
        <f>IF($D52="Actual",IFERROR(U52/T52,0),N(AE52))</f>
        <v/>
      </c>
      <c r="M52" s="35">
        <f>IFERROR(J52/F52,0)</f>
        <v/>
      </c>
      <c r="N52" s="36">
        <f>IFERROR(J52/E52,0)</f>
        <v/>
      </c>
      <c r="O52" s="36">
        <f>IFERROR(I52/J52,0)</f>
        <v/>
      </c>
      <c r="R52" s="52">
        <f>IF($D52="Actual",E52,"")</f>
        <v/>
      </c>
      <c r="S52" s="52">
        <f>IF($D52="Actual",SUMIFS(Data_Actuals!$D$2:$D$5000,Data_Actuals!$A$2:$A$5000,$A52,Data_Actuals!$B$2:$B$5000,$B$2),"")</f>
        <v/>
      </c>
      <c r="T52" s="52">
        <f>IF($D52="Actual",SUMIFS(Data_Actuals!$E$2:$E$5000,Data_Actuals!$A$2:$A$5000,$A52,Data_Actuals!$B$2:$B$5000,$B$2),"")</f>
        <v/>
      </c>
      <c r="U52" s="52">
        <f>IF($D52="Actual",SUMIFS(Data_Actuals!$F$2:$F$5000,Data_Actuals!$A$2:$A$5000,$A52,Data_Actuals!$B$2:$B$5000,$B$2),"")</f>
        <v/>
      </c>
      <c r="V52" s="52">
        <f>IF($D52="Actual",SUMIFS(Data_Actuals!$G$2:$G$5000,Data_Actuals!$A$2:$A$5000,$A52,Data_Actuals!$B$2:$B$5000,$B$2),"")</f>
        <v/>
      </c>
      <c r="W52" s="52">
        <f>SUMIFS(Plan_Inputs!$C$2:$C$5000,Plan_Inputs!$A$2:$A$5000,$A52,Plan_Inputs!$B$2:$B$5000,$B$2)</f>
        <v/>
      </c>
      <c r="X52" s="53">
        <f>IF($D52="Actual",IFERROR(S52/T52,""),X40)</f>
        <v/>
      </c>
      <c r="Y52" s="52">
        <f>'VIC-1'!E52+'VIC-2'!E52</f>
        <v/>
      </c>
      <c r="Z52" s="54">
        <f>INDEX(Calendar!$H$5:$L$52,MATCH($A52,Calendar!$A$5:$A$52,0),MATCH($D$2,Calendar!$H$4:$L$4,0))</f>
        <v/>
      </c>
      <c r="AA52" s="54">
        <f>INDEX(Calendar!$M$5:$M$52,MATCH($A52,Calendar!$A$5:$A$52,0))</f>
        <v/>
      </c>
      <c r="AB52" s="55">
        <f>IF($D52="Actual",IFERROR(S52/Y52,""),AB40)</f>
        <v/>
      </c>
      <c r="AC52" s="56">
        <f>IF($D52="Actual",IFERROR(U52/T52/Z52/AA52,""),AC40)</f>
        <v/>
      </c>
      <c r="AD52" s="57">
        <f>IF($D52="Actual",IFERROR(V52/(U52+V52),""),$K$2)</f>
        <v/>
      </c>
      <c r="AE52" s="56">
        <f>IFERROR(AC52*Z52*AA52,"")</f>
        <v/>
      </c>
      <c r="AF52" s="53">
        <f>K40</f>
        <v/>
      </c>
      <c r="AG52" s="57">
        <f>IF($D52="Forecast",IFERROR(K52/AF52-1,""),"")</f>
        <v/>
      </c>
      <c r="AH52" s="53">
        <f>IF(CPLHSource="National breakdown",CPLH_Breakdown!AT57,SUMIFS(Plan_Inputs!$D$2:$D$5000,Plan_Inputs!$A$2:$A$5000,$A52,Plan_Inputs!$B$2:$B$5000,$B$2))</f>
        <v/>
      </c>
      <c r="AJ52" s="15">
        <f>F52*$AK$11</f>
        <v/>
      </c>
      <c r="AK52" s="9">
        <f>G52*$AK$11</f>
        <v/>
      </c>
      <c r="AL52" s="30">
        <f>H52*$AK$11</f>
        <v/>
      </c>
      <c r="AM52" s="30">
        <f>I52*$AK$11</f>
        <v/>
      </c>
      <c r="AN52" s="30">
        <f>J52*$AK$11</f>
        <v/>
      </c>
      <c r="AP52" s="15">
        <f>F52*$AQ$11</f>
        <v/>
      </c>
      <c r="AQ52" s="9">
        <f>G52*$AQ$11</f>
        <v/>
      </c>
      <c r="AR52" s="30">
        <f>H52*$AQ$11</f>
        <v/>
      </c>
      <c r="AS52" s="30">
        <f>I52*$AQ$11</f>
        <v/>
      </c>
      <c r="AT52" s="30">
        <f>J52*$AQ$11</f>
        <v/>
      </c>
      <c r="AV52" s="15">
        <f>F52*$AW$11</f>
        <v/>
      </c>
      <c r="AW52" s="9">
        <f>G52*$AW$11</f>
        <v/>
      </c>
      <c r="AX52" s="30">
        <f>H52*$AW$11</f>
        <v/>
      </c>
      <c r="AY52" s="30">
        <f>I52*$AW$11</f>
        <v/>
      </c>
      <c r="AZ52" s="30">
        <f>J52*$AW$11</f>
        <v/>
      </c>
    </row>
    <row r="53">
      <c r="A53" s="8" t="n">
        <v>46813</v>
      </c>
      <c r="B53" s="33">
        <f>YEAR(A53)</f>
        <v/>
      </c>
      <c r="C53" s="33">
        <f>MONTH(A53)</f>
        <v/>
      </c>
      <c r="D53">
        <f>IF(A53&lt;=LastActual,"Actual","Forecast")</f>
        <v/>
      </c>
      <c r="E53" s="30">
        <f>'VIC-1'!E53</f>
        <v/>
      </c>
      <c r="F53" s="15">
        <f>IF($D53="Actual",S53,Cases_Forecast!AS46)</f>
        <v/>
      </c>
      <c r="G53" s="9">
        <f>IF($D53="Actual",T53,IFERROR(F53/K53,0))</f>
        <v/>
      </c>
      <c r="H53" s="30">
        <f>IF($D53="Actual",U53,G53*L53)</f>
        <v/>
      </c>
      <c r="I53" s="30">
        <f>IF($D53="Actual",V53,J53-H53)</f>
        <v/>
      </c>
      <c r="J53" s="30">
        <f>IF($D53="Actual",U53+V53,IFERROR(H53/(1-AD53),0))</f>
        <v/>
      </c>
      <c r="K53" s="10">
        <f>IF($D53="Actual",IFERROR(S53/T53,0),CPLH_Forecast!AS46)</f>
        <v/>
      </c>
      <c r="L53" s="34">
        <f>IF($D53="Actual",IFERROR(U53/T53,0),N(AE53))</f>
        <v/>
      </c>
      <c r="M53" s="35">
        <f>IFERROR(J53/F53,0)</f>
        <v/>
      </c>
      <c r="N53" s="36">
        <f>IFERROR(J53/E53,0)</f>
        <v/>
      </c>
      <c r="O53" s="36">
        <f>IFERROR(I53/J53,0)</f>
        <v/>
      </c>
      <c r="R53" s="52">
        <f>IF($D53="Actual",E53,"")</f>
        <v/>
      </c>
      <c r="S53" s="52">
        <f>IF($D53="Actual",SUMIFS(Data_Actuals!$D$2:$D$5000,Data_Actuals!$A$2:$A$5000,$A53,Data_Actuals!$B$2:$B$5000,$B$2),"")</f>
        <v/>
      </c>
      <c r="T53" s="52">
        <f>IF($D53="Actual",SUMIFS(Data_Actuals!$E$2:$E$5000,Data_Actuals!$A$2:$A$5000,$A53,Data_Actuals!$B$2:$B$5000,$B$2),"")</f>
        <v/>
      </c>
      <c r="U53" s="52">
        <f>IF($D53="Actual",SUMIFS(Data_Actuals!$F$2:$F$5000,Data_Actuals!$A$2:$A$5000,$A53,Data_Actuals!$B$2:$B$5000,$B$2),"")</f>
        <v/>
      </c>
      <c r="V53" s="52">
        <f>IF($D53="Actual",SUMIFS(Data_Actuals!$G$2:$G$5000,Data_Actuals!$A$2:$A$5000,$A53,Data_Actuals!$B$2:$B$5000,$B$2),"")</f>
        <v/>
      </c>
      <c r="W53" s="52">
        <f>SUMIFS(Plan_Inputs!$C$2:$C$5000,Plan_Inputs!$A$2:$A$5000,$A53,Plan_Inputs!$B$2:$B$5000,$B$2)</f>
        <v/>
      </c>
      <c r="X53" s="53">
        <f>IF($D53="Actual",IFERROR(S53/T53,""),X41)</f>
        <v/>
      </c>
      <c r="Y53" s="52">
        <f>'VIC-1'!E53+'VIC-2'!E53</f>
        <v/>
      </c>
      <c r="Z53" s="54">
        <f>INDEX(Calendar!$H$5:$L$52,MATCH($A53,Calendar!$A$5:$A$52,0),MATCH($D$2,Calendar!$H$4:$L$4,0))</f>
        <v/>
      </c>
      <c r="AA53" s="54">
        <f>INDEX(Calendar!$M$5:$M$52,MATCH($A53,Calendar!$A$5:$A$52,0))</f>
        <v/>
      </c>
      <c r="AB53" s="55">
        <f>IF($D53="Actual",IFERROR(S53/Y53,""),AB41)</f>
        <v/>
      </c>
      <c r="AC53" s="56">
        <f>IF($D53="Actual",IFERROR(U53/T53/Z53/AA53,""),AC41)</f>
        <v/>
      </c>
      <c r="AD53" s="57">
        <f>IF($D53="Actual",IFERROR(V53/(U53+V53),""),$K$2)</f>
        <v/>
      </c>
      <c r="AE53" s="56">
        <f>IFERROR(AC53*Z53*AA53,"")</f>
        <v/>
      </c>
      <c r="AF53" s="53">
        <f>K41</f>
        <v/>
      </c>
      <c r="AG53" s="57">
        <f>IF($D53="Forecast",IFERROR(K53/AF53-1,""),"")</f>
        <v/>
      </c>
      <c r="AH53" s="53">
        <f>IF(CPLHSource="National breakdown",CPLH_Breakdown!AT58,SUMIFS(Plan_Inputs!$D$2:$D$5000,Plan_Inputs!$A$2:$A$5000,$A53,Plan_Inputs!$B$2:$B$5000,$B$2))</f>
        <v/>
      </c>
      <c r="AJ53" s="15">
        <f>F53*$AK$11</f>
        <v/>
      </c>
      <c r="AK53" s="9">
        <f>G53*$AK$11</f>
        <v/>
      </c>
      <c r="AL53" s="30">
        <f>H53*$AK$11</f>
        <v/>
      </c>
      <c r="AM53" s="30">
        <f>I53*$AK$11</f>
        <v/>
      </c>
      <c r="AN53" s="30">
        <f>J53*$AK$11</f>
        <v/>
      </c>
      <c r="AP53" s="15">
        <f>F53*$AQ$11</f>
        <v/>
      </c>
      <c r="AQ53" s="9">
        <f>G53*$AQ$11</f>
        <v/>
      </c>
      <c r="AR53" s="30">
        <f>H53*$AQ$11</f>
        <v/>
      </c>
      <c r="AS53" s="30">
        <f>I53*$AQ$11</f>
        <v/>
      </c>
      <c r="AT53" s="30">
        <f>J53*$AQ$11</f>
        <v/>
      </c>
      <c r="AV53" s="15">
        <f>F53*$AW$11</f>
        <v/>
      </c>
      <c r="AW53" s="9">
        <f>G53*$AW$11</f>
        <v/>
      </c>
      <c r="AX53" s="30">
        <f>H53*$AW$11</f>
        <v/>
      </c>
      <c r="AY53" s="30">
        <f>I53*$AW$11</f>
        <v/>
      </c>
      <c r="AZ53" s="30">
        <f>J53*$AW$11</f>
        <v/>
      </c>
    </row>
    <row r="54">
      <c r="A54" s="8" t="n">
        <v>46844</v>
      </c>
      <c r="B54" s="33">
        <f>YEAR(A54)</f>
        <v/>
      </c>
      <c r="C54" s="33">
        <f>MONTH(A54)</f>
        <v/>
      </c>
      <c r="D54">
        <f>IF(A54&lt;=LastActual,"Actual","Forecast")</f>
        <v/>
      </c>
      <c r="E54" s="30">
        <f>'VIC-1'!E54</f>
        <v/>
      </c>
      <c r="F54" s="15">
        <f>IF($D54="Actual",S54,Cases_Forecast!AS47)</f>
        <v/>
      </c>
      <c r="G54" s="9">
        <f>IF($D54="Actual",T54,IFERROR(F54/K54,0))</f>
        <v/>
      </c>
      <c r="H54" s="30">
        <f>IF($D54="Actual",U54,G54*L54)</f>
        <v/>
      </c>
      <c r="I54" s="30">
        <f>IF($D54="Actual",V54,J54-H54)</f>
        <v/>
      </c>
      <c r="J54" s="30">
        <f>IF($D54="Actual",U54+V54,IFERROR(H54/(1-AD54),0))</f>
        <v/>
      </c>
      <c r="K54" s="10">
        <f>IF($D54="Actual",IFERROR(S54/T54,0),CPLH_Forecast!AS47)</f>
        <v/>
      </c>
      <c r="L54" s="34">
        <f>IF($D54="Actual",IFERROR(U54/T54,0),N(AE54))</f>
        <v/>
      </c>
      <c r="M54" s="35">
        <f>IFERROR(J54/F54,0)</f>
        <v/>
      </c>
      <c r="N54" s="36">
        <f>IFERROR(J54/E54,0)</f>
        <v/>
      </c>
      <c r="O54" s="36">
        <f>IFERROR(I54/J54,0)</f>
        <v/>
      </c>
      <c r="R54" s="52">
        <f>IF($D54="Actual",E54,"")</f>
        <v/>
      </c>
      <c r="S54" s="52">
        <f>IF($D54="Actual",SUMIFS(Data_Actuals!$D$2:$D$5000,Data_Actuals!$A$2:$A$5000,$A54,Data_Actuals!$B$2:$B$5000,$B$2),"")</f>
        <v/>
      </c>
      <c r="T54" s="52">
        <f>IF($D54="Actual",SUMIFS(Data_Actuals!$E$2:$E$5000,Data_Actuals!$A$2:$A$5000,$A54,Data_Actuals!$B$2:$B$5000,$B$2),"")</f>
        <v/>
      </c>
      <c r="U54" s="52">
        <f>IF($D54="Actual",SUMIFS(Data_Actuals!$F$2:$F$5000,Data_Actuals!$A$2:$A$5000,$A54,Data_Actuals!$B$2:$B$5000,$B$2),"")</f>
        <v/>
      </c>
      <c r="V54" s="52">
        <f>IF($D54="Actual",SUMIFS(Data_Actuals!$G$2:$G$5000,Data_Actuals!$A$2:$A$5000,$A54,Data_Actuals!$B$2:$B$5000,$B$2),"")</f>
        <v/>
      </c>
      <c r="W54" s="52">
        <f>SUMIFS(Plan_Inputs!$C$2:$C$5000,Plan_Inputs!$A$2:$A$5000,$A54,Plan_Inputs!$B$2:$B$5000,$B$2)</f>
        <v/>
      </c>
      <c r="X54" s="53">
        <f>IF($D54="Actual",IFERROR(S54/T54,""),X42)</f>
        <v/>
      </c>
      <c r="Y54" s="52">
        <f>'VIC-1'!E54+'VIC-2'!E54</f>
        <v/>
      </c>
      <c r="Z54" s="54">
        <f>INDEX(Calendar!$H$5:$L$52,MATCH($A54,Calendar!$A$5:$A$52,0),MATCH($D$2,Calendar!$H$4:$L$4,0))</f>
        <v/>
      </c>
      <c r="AA54" s="54">
        <f>INDEX(Calendar!$M$5:$M$52,MATCH($A54,Calendar!$A$5:$A$52,0))</f>
        <v/>
      </c>
      <c r="AB54" s="55">
        <f>IF($D54="Actual",IFERROR(S54/Y54,""),AB42)</f>
        <v/>
      </c>
      <c r="AC54" s="56">
        <f>IF($D54="Actual",IFERROR(U54/T54/Z54/AA54,""),AC42)</f>
        <v/>
      </c>
      <c r="AD54" s="57">
        <f>IF($D54="Actual",IFERROR(V54/(U54+V54),""),$K$2)</f>
        <v/>
      </c>
      <c r="AE54" s="56">
        <f>IFERROR(AC54*Z54*AA54,"")</f>
        <v/>
      </c>
      <c r="AF54" s="53">
        <f>K42</f>
        <v/>
      </c>
      <c r="AG54" s="57">
        <f>IF($D54="Forecast",IFERROR(K54/AF54-1,""),"")</f>
        <v/>
      </c>
      <c r="AH54" s="53">
        <f>IF(CPLHSource="National breakdown",CPLH_Breakdown!AT59,SUMIFS(Plan_Inputs!$D$2:$D$5000,Plan_Inputs!$A$2:$A$5000,$A54,Plan_Inputs!$B$2:$B$5000,$B$2))</f>
        <v/>
      </c>
      <c r="AJ54" s="15">
        <f>F54*$AK$11</f>
        <v/>
      </c>
      <c r="AK54" s="9">
        <f>G54*$AK$11</f>
        <v/>
      </c>
      <c r="AL54" s="30">
        <f>H54*$AK$11</f>
        <v/>
      </c>
      <c r="AM54" s="30">
        <f>I54*$AK$11</f>
        <v/>
      </c>
      <c r="AN54" s="30">
        <f>J54*$AK$11</f>
        <v/>
      </c>
      <c r="AP54" s="15">
        <f>F54*$AQ$11</f>
        <v/>
      </c>
      <c r="AQ54" s="9">
        <f>G54*$AQ$11</f>
        <v/>
      </c>
      <c r="AR54" s="30">
        <f>H54*$AQ$11</f>
        <v/>
      </c>
      <c r="AS54" s="30">
        <f>I54*$AQ$11</f>
        <v/>
      </c>
      <c r="AT54" s="30">
        <f>J54*$AQ$11</f>
        <v/>
      </c>
      <c r="AV54" s="15">
        <f>F54*$AW$11</f>
        <v/>
      </c>
      <c r="AW54" s="9">
        <f>G54*$AW$11</f>
        <v/>
      </c>
      <c r="AX54" s="30">
        <f>H54*$AW$11</f>
        <v/>
      </c>
      <c r="AY54" s="30">
        <f>I54*$AW$11</f>
        <v/>
      </c>
      <c r="AZ54" s="30">
        <f>J54*$AW$11</f>
        <v/>
      </c>
    </row>
    <row r="55">
      <c r="A55" s="8" t="n">
        <v>46874</v>
      </c>
      <c r="B55" s="33">
        <f>YEAR(A55)</f>
        <v/>
      </c>
      <c r="C55" s="33">
        <f>MONTH(A55)</f>
        <v/>
      </c>
      <c r="D55">
        <f>IF(A55&lt;=LastActual,"Actual","Forecast")</f>
        <v/>
      </c>
      <c r="E55" s="30">
        <f>'VIC-1'!E55</f>
        <v/>
      </c>
      <c r="F55" s="15">
        <f>IF($D55="Actual",S55,Cases_Forecast!AS48)</f>
        <v/>
      </c>
      <c r="G55" s="9">
        <f>IF($D55="Actual",T55,IFERROR(F55/K55,0))</f>
        <v/>
      </c>
      <c r="H55" s="30">
        <f>IF($D55="Actual",U55,G55*L55)</f>
        <v/>
      </c>
      <c r="I55" s="30">
        <f>IF($D55="Actual",V55,J55-H55)</f>
        <v/>
      </c>
      <c r="J55" s="30">
        <f>IF($D55="Actual",U55+V55,IFERROR(H55/(1-AD55),0))</f>
        <v/>
      </c>
      <c r="K55" s="10">
        <f>IF($D55="Actual",IFERROR(S55/T55,0),CPLH_Forecast!AS48)</f>
        <v/>
      </c>
      <c r="L55" s="34">
        <f>IF($D55="Actual",IFERROR(U55/T55,0),N(AE55))</f>
        <v/>
      </c>
      <c r="M55" s="35">
        <f>IFERROR(J55/F55,0)</f>
        <v/>
      </c>
      <c r="N55" s="36">
        <f>IFERROR(J55/E55,0)</f>
        <v/>
      </c>
      <c r="O55" s="36">
        <f>IFERROR(I55/J55,0)</f>
        <v/>
      </c>
      <c r="R55" s="52">
        <f>IF($D55="Actual",E55,"")</f>
        <v/>
      </c>
      <c r="S55" s="52">
        <f>IF($D55="Actual",SUMIFS(Data_Actuals!$D$2:$D$5000,Data_Actuals!$A$2:$A$5000,$A55,Data_Actuals!$B$2:$B$5000,$B$2),"")</f>
        <v/>
      </c>
      <c r="T55" s="52">
        <f>IF($D55="Actual",SUMIFS(Data_Actuals!$E$2:$E$5000,Data_Actuals!$A$2:$A$5000,$A55,Data_Actuals!$B$2:$B$5000,$B$2),"")</f>
        <v/>
      </c>
      <c r="U55" s="52">
        <f>IF($D55="Actual",SUMIFS(Data_Actuals!$F$2:$F$5000,Data_Actuals!$A$2:$A$5000,$A55,Data_Actuals!$B$2:$B$5000,$B$2),"")</f>
        <v/>
      </c>
      <c r="V55" s="52">
        <f>IF($D55="Actual",SUMIFS(Data_Actuals!$G$2:$G$5000,Data_Actuals!$A$2:$A$5000,$A55,Data_Actuals!$B$2:$B$5000,$B$2),"")</f>
        <v/>
      </c>
      <c r="W55" s="52">
        <f>SUMIFS(Plan_Inputs!$C$2:$C$5000,Plan_Inputs!$A$2:$A$5000,$A55,Plan_Inputs!$B$2:$B$5000,$B$2)</f>
        <v/>
      </c>
      <c r="X55" s="53">
        <f>IF($D55="Actual",IFERROR(S55/T55,""),X43)</f>
        <v/>
      </c>
      <c r="Y55" s="52">
        <f>'VIC-1'!E55+'VIC-2'!E55</f>
        <v/>
      </c>
      <c r="Z55" s="54">
        <f>INDEX(Calendar!$H$5:$L$52,MATCH($A55,Calendar!$A$5:$A$52,0),MATCH($D$2,Calendar!$H$4:$L$4,0))</f>
        <v/>
      </c>
      <c r="AA55" s="54">
        <f>INDEX(Calendar!$M$5:$M$52,MATCH($A55,Calendar!$A$5:$A$52,0))</f>
        <v/>
      </c>
      <c r="AB55" s="55">
        <f>IF($D55="Actual",IFERROR(S55/Y55,""),AB43)</f>
        <v/>
      </c>
      <c r="AC55" s="56">
        <f>IF($D55="Actual",IFERROR(U55/T55/Z55/AA55,""),AC43)</f>
        <v/>
      </c>
      <c r="AD55" s="57">
        <f>IF($D55="Actual",IFERROR(V55/(U55+V55),""),$K$2)</f>
        <v/>
      </c>
      <c r="AE55" s="56">
        <f>IFERROR(AC55*Z55*AA55,"")</f>
        <v/>
      </c>
      <c r="AF55" s="53">
        <f>K43</f>
        <v/>
      </c>
      <c r="AG55" s="57">
        <f>IF($D55="Forecast",IFERROR(K55/AF55-1,""),"")</f>
        <v/>
      </c>
      <c r="AH55" s="53">
        <f>IF(CPLHSource="National breakdown",CPLH_Breakdown!AT60,SUMIFS(Plan_Inputs!$D$2:$D$5000,Plan_Inputs!$A$2:$A$5000,$A55,Plan_Inputs!$B$2:$B$5000,$B$2))</f>
        <v/>
      </c>
      <c r="AJ55" s="15">
        <f>F55*$AK$11</f>
        <v/>
      </c>
      <c r="AK55" s="9">
        <f>G55*$AK$11</f>
        <v/>
      </c>
      <c r="AL55" s="30">
        <f>H55*$AK$11</f>
        <v/>
      </c>
      <c r="AM55" s="30">
        <f>I55*$AK$11</f>
        <v/>
      </c>
      <c r="AN55" s="30">
        <f>J55*$AK$11</f>
        <v/>
      </c>
      <c r="AP55" s="15">
        <f>F55*$AQ$11</f>
        <v/>
      </c>
      <c r="AQ55" s="9">
        <f>G55*$AQ$11</f>
        <v/>
      </c>
      <c r="AR55" s="30">
        <f>H55*$AQ$11</f>
        <v/>
      </c>
      <c r="AS55" s="30">
        <f>I55*$AQ$11</f>
        <v/>
      </c>
      <c r="AT55" s="30">
        <f>J55*$AQ$11</f>
        <v/>
      </c>
      <c r="AV55" s="15">
        <f>F55*$AW$11</f>
        <v/>
      </c>
      <c r="AW55" s="9">
        <f>G55*$AW$11</f>
        <v/>
      </c>
      <c r="AX55" s="30">
        <f>H55*$AW$11</f>
        <v/>
      </c>
      <c r="AY55" s="30">
        <f>I55*$AW$11</f>
        <v/>
      </c>
      <c r="AZ55" s="30">
        <f>J55*$AW$11</f>
        <v/>
      </c>
    </row>
    <row r="56">
      <c r="A56" s="8" t="n">
        <v>46905</v>
      </c>
      <c r="B56" s="33">
        <f>YEAR(A56)</f>
        <v/>
      </c>
      <c r="C56" s="33">
        <f>MONTH(A56)</f>
        <v/>
      </c>
      <c r="D56">
        <f>IF(A56&lt;=LastActual,"Actual","Forecast")</f>
        <v/>
      </c>
      <c r="E56" s="30">
        <f>'VIC-1'!E56</f>
        <v/>
      </c>
      <c r="F56" s="15">
        <f>IF($D56="Actual",S56,Cases_Forecast!AS49)</f>
        <v/>
      </c>
      <c r="G56" s="9">
        <f>IF($D56="Actual",T56,IFERROR(F56/K56,0))</f>
        <v/>
      </c>
      <c r="H56" s="30">
        <f>IF($D56="Actual",U56,G56*L56)</f>
        <v/>
      </c>
      <c r="I56" s="30">
        <f>IF($D56="Actual",V56,J56-H56)</f>
        <v/>
      </c>
      <c r="J56" s="30">
        <f>IF($D56="Actual",U56+V56,IFERROR(H56/(1-AD56),0))</f>
        <v/>
      </c>
      <c r="K56" s="10">
        <f>IF($D56="Actual",IFERROR(S56/T56,0),CPLH_Forecast!AS49)</f>
        <v/>
      </c>
      <c r="L56" s="34">
        <f>IF($D56="Actual",IFERROR(U56/T56,0),N(AE56))</f>
        <v/>
      </c>
      <c r="M56" s="35">
        <f>IFERROR(J56/F56,0)</f>
        <v/>
      </c>
      <c r="N56" s="36">
        <f>IFERROR(J56/E56,0)</f>
        <v/>
      </c>
      <c r="O56" s="36">
        <f>IFERROR(I56/J56,0)</f>
        <v/>
      </c>
      <c r="R56" s="52">
        <f>IF($D56="Actual",E56,"")</f>
        <v/>
      </c>
      <c r="S56" s="52">
        <f>IF($D56="Actual",SUMIFS(Data_Actuals!$D$2:$D$5000,Data_Actuals!$A$2:$A$5000,$A56,Data_Actuals!$B$2:$B$5000,$B$2),"")</f>
        <v/>
      </c>
      <c r="T56" s="52">
        <f>IF($D56="Actual",SUMIFS(Data_Actuals!$E$2:$E$5000,Data_Actuals!$A$2:$A$5000,$A56,Data_Actuals!$B$2:$B$5000,$B$2),"")</f>
        <v/>
      </c>
      <c r="U56" s="52">
        <f>IF($D56="Actual",SUMIFS(Data_Actuals!$F$2:$F$5000,Data_Actuals!$A$2:$A$5000,$A56,Data_Actuals!$B$2:$B$5000,$B$2),"")</f>
        <v/>
      </c>
      <c r="V56" s="52">
        <f>IF($D56="Actual",SUMIFS(Data_Actuals!$G$2:$G$5000,Data_Actuals!$A$2:$A$5000,$A56,Data_Actuals!$B$2:$B$5000,$B$2),"")</f>
        <v/>
      </c>
      <c r="W56" s="52">
        <f>SUMIFS(Plan_Inputs!$C$2:$C$5000,Plan_Inputs!$A$2:$A$5000,$A56,Plan_Inputs!$B$2:$B$5000,$B$2)</f>
        <v/>
      </c>
      <c r="X56" s="53">
        <f>IF($D56="Actual",IFERROR(S56/T56,""),X44)</f>
        <v/>
      </c>
      <c r="Y56" s="52">
        <f>'VIC-1'!E56+'VIC-2'!E56</f>
        <v/>
      </c>
      <c r="Z56" s="54">
        <f>INDEX(Calendar!$H$5:$L$52,MATCH($A56,Calendar!$A$5:$A$52,0),MATCH($D$2,Calendar!$H$4:$L$4,0))</f>
        <v/>
      </c>
      <c r="AA56" s="54">
        <f>INDEX(Calendar!$M$5:$M$52,MATCH($A56,Calendar!$A$5:$A$52,0))</f>
        <v/>
      </c>
      <c r="AB56" s="55">
        <f>IF($D56="Actual",IFERROR(S56/Y56,""),AB44)</f>
        <v/>
      </c>
      <c r="AC56" s="56">
        <f>IF($D56="Actual",IFERROR(U56/T56/Z56/AA56,""),AC44)</f>
        <v/>
      </c>
      <c r="AD56" s="57">
        <f>IF($D56="Actual",IFERROR(V56/(U56+V56),""),$K$2)</f>
        <v/>
      </c>
      <c r="AE56" s="56">
        <f>IFERROR(AC56*Z56*AA56,"")</f>
        <v/>
      </c>
      <c r="AF56" s="53">
        <f>K44</f>
        <v/>
      </c>
      <c r="AG56" s="57">
        <f>IF($D56="Forecast",IFERROR(K56/AF56-1,""),"")</f>
        <v/>
      </c>
      <c r="AH56" s="53">
        <f>IF(CPLHSource="National breakdown",CPLH_Breakdown!AT61,SUMIFS(Plan_Inputs!$D$2:$D$5000,Plan_Inputs!$A$2:$A$5000,$A56,Plan_Inputs!$B$2:$B$5000,$B$2))</f>
        <v/>
      </c>
      <c r="AJ56" s="15">
        <f>F56*$AK$11</f>
        <v/>
      </c>
      <c r="AK56" s="9">
        <f>G56*$AK$11</f>
        <v/>
      </c>
      <c r="AL56" s="30">
        <f>H56*$AK$11</f>
        <v/>
      </c>
      <c r="AM56" s="30">
        <f>I56*$AK$11</f>
        <v/>
      </c>
      <c r="AN56" s="30">
        <f>J56*$AK$11</f>
        <v/>
      </c>
      <c r="AP56" s="15">
        <f>F56*$AQ$11</f>
        <v/>
      </c>
      <c r="AQ56" s="9">
        <f>G56*$AQ$11</f>
        <v/>
      </c>
      <c r="AR56" s="30">
        <f>H56*$AQ$11</f>
        <v/>
      </c>
      <c r="AS56" s="30">
        <f>I56*$AQ$11</f>
        <v/>
      </c>
      <c r="AT56" s="30">
        <f>J56*$AQ$11</f>
        <v/>
      </c>
      <c r="AV56" s="15">
        <f>F56*$AW$11</f>
        <v/>
      </c>
      <c r="AW56" s="9">
        <f>G56*$AW$11</f>
        <v/>
      </c>
      <c r="AX56" s="30">
        <f>H56*$AW$11</f>
        <v/>
      </c>
      <c r="AY56" s="30">
        <f>I56*$AW$11</f>
        <v/>
      </c>
      <c r="AZ56" s="30">
        <f>J56*$AW$11</f>
        <v/>
      </c>
    </row>
    <row r="57">
      <c r="A57" s="8" t="n">
        <v>46935</v>
      </c>
      <c r="B57" s="33">
        <f>YEAR(A57)</f>
        <v/>
      </c>
      <c r="C57" s="33">
        <f>MONTH(A57)</f>
        <v/>
      </c>
      <c r="D57">
        <f>IF(A57&lt;=LastActual,"Actual","Forecast")</f>
        <v/>
      </c>
      <c r="E57" s="30">
        <f>'VIC-1'!E57</f>
        <v/>
      </c>
      <c r="F57" s="15">
        <f>IF($D57="Actual",S57,Cases_Forecast!AS50)</f>
        <v/>
      </c>
      <c r="G57" s="9">
        <f>IF($D57="Actual",T57,IFERROR(F57/K57,0))</f>
        <v/>
      </c>
      <c r="H57" s="30">
        <f>IF($D57="Actual",U57,G57*L57)</f>
        <v/>
      </c>
      <c r="I57" s="30">
        <f>IF($D57="Actual",V57,J57-H57)</f>
        <v/>
      </c>
      <c r="J57" s="30">
        <f>IF($D57="Actual",U57+V57,IFERROR(H57/(1-AD57),0))</f>
        <v/>
      </c>
      <c r="K57" s="10">
        <f>IF($D57="Actual",IFERROR(S57/T57,0),CPLH_Forecast!AS50)</f>
        <v/>
      </c>
      <c r="L57" s="34">
        <f>IF($D57="Actual",IFERROR(U57/T57,0),N(AE57))</f>
        <v/>
      </c>
      <c r="M57" s="35">
        <f>IFERROR(J57/F57,0)</f>
        <v/>
      </c>
      <c r="N57" s="36">
        <f>IFERROR(J57/E57,0)</f>
        <v/>
      </c>
      <c r="O57" s="36">
        <f>IFERROR(I57/J57,0)</f>
        <v/>
      </c>
      <c r="R57" s="52">
        <f>IF($D57="Actual",E57,"")</f>
        <v/>
      </c>
      <c r="S57" s="52">
        <f>IF($D57="Actual",SUMIFS(Data_Actuals!$D$2:$D$5000,Data_Actuals!$A$2:$A$5000,$A57,Data_Actuals!$B$2:$B$5000,$B$2),"")</f>
        <v/>
      </c>
      <c r="T57" s="52">
        <f>IF($D57="Actual",SUMIFS(Data_Actuals!$E$2:$E$5000,Data_Actuals!$A$2:$A$5000,$A57,Data_Actuals!$B$2:$B$5000,$B$2),"")</f>
        <v/>
      </c>
      <c r="U57" s="52">
        <f>IF($D57="Actual",SUMIFS(Data_Actuals!$F$2:$F$5000,Data_Actuals!$A$2:$A$5000,$A57,Data_Actuals!$B$2:$B$5000,$B$2),"")</f>
        <v/>
      </c>
      <c r="V57" s="52">
        <f>IF($D57="Actual",SUMIFS(Data_Actuals!$G$2:$G$5000,Data_Actuals!$A$2:$A$5000,$A57,Data_Actuals!$B$2:$B$5000,$B$2),"")</f>
        <v/>
      </c>
      <c r="W57" s="52">
        <f>SUMIFS(Plan_Inputs!$C$2:$C$5000,Plan_Inputs!$A$2:$A$5000,$A57,Plan_Inputs!$B$2:$B$5000,$B$2)</f>
        <v/>
      </c>
      <c r="X57" s="53">
        <f>IF($D57="Actual",IFERROR(S57/T57,""),X45)</f>
        <v/>
      </c>
      <c r="Y57" s="52">
        <f>'VIC-1'!E57+'VIC-2'!E57</f>
        <v/>
      </c>
      <c r="Z57" s="54">
        <f>INDEX(Calendar!$H$5:$L$52,MATCH($A57,Calendar!$A$5:$A$52,0),MATCH($D$2,Calendar!$H$4:$L$4,0))</f>
        <v/>
      </c>
      <c r="AA57" s="54">
        <f>INDEX(Calendar!$M$5:$M$52,MATCH($A57,Calendar!$A$5:$A$52,0))</f>
        <v/>
      </c>
      <c r="AB57" s="55">
        <f>IF($D57="Actual",IFERROR(S57/Y57,""),AB45)</f>
        <v/>
      </c>
      <c r="AC57" s="56">
        <f>IF($D57="Actual",IFERROR(U57/T57/Z57/AA57,""),AC45)</f>
        <v/>
      </c>
      <c r="AD57" s="57">
        <f>IF($D57="Actual",IFERROR(V57/(U57+V57),""),$K$2)</f>
        <v/>
      </c>
      <c r="AE57" s="56">
        <f>IFERROR(AC57*Z57*AA57,"")</f>
        <v/>
      </c>
      <c r="AF57" s="53">
        <f>K45</f>
        <v/>
      </c>
      <c r="AG57" s="57">
        <f>IF($D57="Forecast",IFERROR(K57/AF57-1,""),"")</f>
        <v/>
      </c>
      <c r="AH57" s="53">
        <f>IF(CPLHSource="National breakdown",CPLH_Breakdown!AT62,SUMIFS(Plan_Inputs!$D$2:$D$5000,Plan_Inputs!$A$2:$A$5000,$A57,Plan_Inputs!$B$2:$B$5000,$B$2))</f>
        <v/>
      </c>
      <c r="AJ57" s="15">
        <f>F57*$AK$11</f>
        <v/>
      </c>
      <c r="AK57" s="9">
        <f>G57*$AK$11</f>
        <v/>
      </c>
      <c r="AL57" s="30">
        <f>H57*$AK$11</f>
        <v/>
      </c>
      <c r="AM57" s="30">
        <f>I57*$AK$11</f>
        <v/>
      </c>
      <c r="AN57" s="30">
        <f>J57*$AK$11</f>
        <v/>
      </c>
      <c r="AP57" s="15">
        <f>F57*$AQ$11</f>
        <v/>
      </c>
      <c r="AQ57" s="9">
        <f>G57*$AQ$11</f>
        <v/>
      </c>
      <c r="AR57" s="30">
        <f>H57*$AQ$11</f>
        <v/>
      </c>
      <c r="AS57" s="30">
        <f>I57*$AQ$11</f>
        <v/>
      </c>
      <c r="AT57" s="30">
        <f>J57*$AQ$11</f>
        <v/>
      </c>
      <c r="AV57" s="15">
        <f>F57*$AW$11</f>
        <v/>
      </c>
      <c r="AW57" s="9">
        <f>G57*$AW$11</f>
        <v/>
      </c>
      <c r="AX57" s="30">
        <f>H57*$AW$11</f>
        <v/>
      </c>
      <c r="AY57" s="30">
        <f>I57*$AW$11</f>
        <v/>
      </c>
      <c r="AZ57" s="30">
        <f>J57*$AW$11</f>
        <v/>
      </c>
    </row>
    <row r="58">
      <c r="A58" s="8" t="n">
        <v>46966</v>
      </c>
      <c r="B58" s="33">
        <f>YEAR(A58)</f>
        <v/>
      </c>
      <c r="C58" s="33">
        <f>MONTH(A58)</f>
        <v/>
      </c>
      <c r="D58">
        <f>IF(A58&lt;=LastActual,"Actual","Forecast")</f>
        <v/>
      </c>
      <c r="E58" s="30">
        <f>'VIC-1'!E58</f>
        <v/>
      </c>
      <c r="F58" s="15">
        <f>IF($D58="Actual",S58,Cases_Forecast!AS51)</f>
        <v/>
      </c>
      <c r="G58" s="9">
        <f>IF($D58="Actual",T58,IFERROR(F58/K58,0))</f>
        <v/>
      </c>
      <c r="H58" s="30">
        <f>IF($D58="Actual",U58,G58*L58)</f>
        <v/>
      </c>
      <c r="I58" s="30">
        <f>IF($D58="Actual",V58,J58-H58)</f>
        <v/>
      </c>
      <c r="J58" s="30">
        <f>IF($D58="Actual",U58+V58,IFERROR(H58/(1-AD58),0))</f>
        <v/>
      </c>
      <c r="K58" s="10">
        <f>IF($D58="Actual",IFERROR(S58/T58,0),CPLH_Forecast!AS51)</f>
        <v/>
      </c>
      <c r="L58" s="34">
        <f>IF($D58="Actual",IFERROR(U58/T58,0),N(AE58))</f>
        <v/>
      </c>
      <c r="M58" s="35">
        <f>IFERROR(J58/F58,0)</f>
        <v/>
      </c>
      <c r="N58" s="36">
        <f>IFERROR(J58/E58,0)</f>
        <v/>
      </c>
      <c r="O58" s="36">
        <f>IFERROR(I58/J58,0)</f>
        <v/>
      </c>
      <c r="R58" s="52">
        <f>IF($D58="Actual",E58,"")</f>
        <v/>
      </c>
      <c r="S58" s="52">
        <f>IF($D58="Actual",SUMIFS(Data_Actuals!$D$2:$D$5000,Data_Actuals!$A$2:$A$5000,$A58,Data_Actuals!$B$2:$B$5000,$B$2),"")</f>
        <v/>
      </c>
      <c r="T58" s="52">
        <f>IF($D58="Actual",SUMIFS(Data_Actuals!$E$2:$E$5000,Data_Actuals!$A$2:$A$5000,$A58,Data_Actuals!$B$2:$B$5000,$B$2),"")</f>
        <v/>
      </c>
      <c r="U58" s="52">
        <f>IF($D58="Actual",SUMIFS(Data_Actuals!$F$2:$F$5000,Data_Actuals!$A$2:$A$5000,$A58,Data_Actuals!$B$2:$B$5000,$B$2),"")</f>
        <v/>
      </c>
      <c r="V58" s="52">
        <f>IF($D58="Actual",SUMIFS(Data_Actuals!$G$2:$G$5000,Data_Actuals!$A$2:$A$5000,$A58,Data_Actuals!$B$2:$B$5000,$B$2),"")</f>
        <v/>
      </c>
      <c r="W58" s="52">
        <f>SUMIFS(Plan_Inputs!$C$2:$C$5000,Plan_Inputs!$A$2:$A$5000,$A58,Plan_Inputs!$B$2:$B$5000,$B$2)</f>
        <v/>
      </c>
      <c r="X58" s="53">
        <f>IF($D58="Actual",IFERROR(S58/T58,""),X46)</f>
        <v/>
      </c>
      <c r="Y58" s="52">
        <f>'VIC-1'!E58+'VIC-2'!E58</f>
        <v/>
      </c>
      <c r="Z58" s="54">
        <f>INDEX(Calendar!$H$5:$L$52,MATCH($A58,Calendar!$A$5:$A$52,0),MATCH($D$2,Calendar!$H$4:$L$4,0))</f>
        <v/>
      </c>
      <c r="AA58" s="54">
        <f>INDEX(Calendar!$M$5:$M$52,MATCH($A58,Calendar!$A$5:$A$52,0))</f>
        <v/>
      </c>
      <c r="AB58" s="55">
        <f>IF($D58="Actual",IFERROR(S58/Y58,""),AB46)</f>
        <v/>
      </c>
      <c r="AC58" s="56">
        <f>IF($D58="Actual",IFERROR(U58/T58/Z58/AA58,""),AC46)</f>
        <v/>
      </c>
      <c r="AD58" s="57">
        <f>IF($D58="Actual",IFERROR(V58/(U58+V58),""),$K$2)</f>
        <v/>
      </c>
      <c r="AE58" s="56">
        <f>IFERROR(AC58*Z58*AA58,"")</f>
        <v/>
      </c>
      <c r="AF58" s="53">
        <f>K46</f>
        <v/>
      </c>
      <c r="AG58" s="57">
        <f>IF($D58="Forecast",IFERROR(K58/AF58-1,""),"")</f>
        <v/>
      </c>
      <c r="AH58" s="53">
        <f>IF(CPLHSource="National breakdown",CPLH_Breakdown!AT63,SUMIFS(Plan_Inputs!$D$2:$D$5000,Plan_Inputs!$A$2:$A$5000,$A58,Plan_Inputs!$B$2:$B$5000,$B$2))</f>
        <v/>
      </c>
      <c r="AJ58" s="15">
        <f>F58*$AK$11</f>
        <v/>
      </c>
      <c r="AK58" s="9">
        <f>G58*$AK$11</f>
        <v/>
      </c>
      <c r="AL58" s="30">
        <f>H58*$AK$11</f>
        <v/>
      </c>
      <c r="AM58" s="30">
        <f>I58*$AK$11</f>
        <v/>
      </c>
      <c r="AN58" s="30">
        <f>J58*$AK$11</f>
        <v/>
      </c>
      <c r="AP58" s="15">
        <f>F58*$AQ$11</f>
        <v/>
      </c>
      <c r="AQ58" s="9">
        <f>G58*$AQ$11</f>
        <v/>
      </c>
      <c r="AR58" s="30">
        <f>H58*$AQ$11</f>
        <v/>
      </c>
      <c r="AS58" s="30">
        <f>I58*$AQ$11</f>
        <v/>
      </c>
      <c r="AT58" s="30">
        <f>J58*$AQ$11</f>
        <v/>
      </c>
      <c r="AV58" s="15">
        <f>F58*$AW$11</f>
        <v/>
      </c>
      <c r="AW58" s="9">
        <f>G58*$AW$11</f>
        <v/>
      </c>
      <c r="AX58" s="30">
        <f>H58*$AW$11</f>
        <v/>
      </c>
      <c r="AY58" s="30">
        <f>I58*$AW$11</f>
        <v/>
      </c>
      <c r="AZ58" s="30">
        <f>J58*$AW$11</f>
        <v/>
      </c>
    </row>
    <row r="59">
      <c r="A59" s="8" t="n">
        <v>46997</v>
      </c>
      <c r="B59" s="33">
        <f>YEAR(A59)</f>
        <v/>
      </c>
      <c r="C59" s="33">
        <f>MONTH(A59)</f>
        <v/>
      </c>
      <c r="D59">
        <f>IF(A59&lt;=LastActual,"Actual","Forecast")</f>
        <v/>
      </c>
      <c r="E59" s="30">
        <f>'VIC-1'!E59</f>
        <v/>
      </c>
      <c r="F59" s="15">
        <f>IF($D59="Actual",S59,Cases_Forecast!AS52)</f>
        <v/>
      </c>
      <c r="G59" s="9">
        <f>IF($D59="Actual",T59,IFERROR(F59/K59,0))</f>
        <v/>
      </c>
      <c r="H59" s="30">
        <f>IF($D59="Actual",U59,G59*L59)</f>
        <v/>
      </c>
      <c r="I59" s="30">
        <f>IF($D59="Actual",V59,J59-H59)</f>
        <v/>
      </c>
      <c r="J59" s="30">
        <f>IF($D59="Actual",U59+V59,IFERROR(H59/(1-AD59),0))</f>
        <v/>
      </c>
      <c r="K59" s="10">
        <f>IF($D59="Actual",IFERROR(S59/T59,0),CPLH_Forecast!AS52)</f>
        <v/>
      </c>
      <c r="L59" s="34">
        <f>IF($D59="Actual",IFERROR(U59/T59,0),N(AE59))</f>
        <v/>
      </c>
      <c r="M59" s="35">
        <f>IFERROR(J59/F59,0)</f>
        <v/>
      </c>
      <c r="N59" s="36">
        <f>IFERROR(J59/E59,0)</f>
        <v/>
      </c>
      <c r="O59" s="36">
        <f>IFERROR(I59/J59,0)</f>
        <v/>
      </c>
      <c r="R59" s="52">
        <f>IF($D59="Actual",E59,"")</f>
        <v/>
      </c>
      <c r="S59" s="52">
        <f>IF($D59="Actual",SUMIFS(Data_Actuals!$D$2:$D$5000,Data_Actuals!$A$2:$A$5000,$A59,Data_Actuals!$B$2:$B$5000,$B$2),"")</f>
        <v/>
      </c>
      <c r="T59" s="52">
        <f>IF($D59="Actual",SUMIFS(Data_Actuals!$E$2:$E$5000,Data_Actuals!$A$2:$A$5000,$A59,Data_Actuals!$B$2:$B$5000,$B$2),"")</f>
        <v/>
      </c>
      <c r="U59" s="52">
        <f>IF($D59="Actual",SUMIFS(Data_Actuals!$F$2:$F$5000,Data_Actuals!$A$2:$A$5000,$A59,Data_Actuals!$B$2:$B$5000,$B$2),"")</f>
        <v/>
      </c>
      <c r="V59" s="52">
        <f>IF($D59="Actual",SUMIFS(Data_Actuals!$G$2:$G$5000,Data_Actuals!$A$2:$A$5000,$A59,Data_Actuals!$B$2:$B$5000,$B$2),"")</f>
        <v/>
      </c>
      <c r="W59" s="52">
        <f>SUMIFS(Plan_Inputs!$C$2:$C$5000,Plan_Inputs!$A$2:$A$5000,$A59,Plan_Inputs!$B$2:$B$5000,$B$2)</f>
        <v/>
      </c>
      <c r="X59" s="53">
        <f>IF($D59="Actual",IFERROR(S59/T59,""),X47)</f>
        <v/>
      </c>
      <c r="Y59" s="52">
        <f>'VIC-1'!E59+'VIC-2'!E59</f>
        <v/>
      </c>
      <c r="Z59" s="54">
        <f>INDEX(Calendar!$H$5:$L$52,MATCH($A59,Calendar!$A$5:$A$52,0),MATCH($D$2,Calendar!$H$4:$L$4,0))</f>
        <v/>
      </c>
      <c r="AA59" s="54">
        <f>INDEX(Calendar!$M$5:$M$52,MATCH($A59,Calendar!$A$5:$A$52,0))</f>
        <v/>
      </c>
      <c r="AB59" s="55">
        <f>IF($D59="Actual",IFERROR(S59/Y59,""),AB47)</f>
        <v/>
      </c>
      <c r="AC59" s="56">
        <f>IF($D59="Actual",IFERROR(U59/T59/Z59/AA59,""),AC47)</f>
        <v/>
      </c>
      <c r="AD59" s="57">
        <f>IF($D59="Actual",IFERROR(V59/(U59+V59),""),$K$2)</f>
        <v/>
      </c>
      <c r="AE59" s="56">
        <f>IFERROR(AC59*Z59*AA59,"")</f>
        <v/>
      </c>
      <c r="AF59" s="53">
        <f>K47</f>
        <v/>
      </c>
      <c r="AG59" s="57">
        <f>IF($D59="Forecast",IFERROR(K59/AF59-1,""),"")</f>
        <v/>
      </c>
      <c r="AH59" s="53">
        <f>IF(CPLHSource="National breakdown",CPLH_Breakdown!AT64,SUMIFS(Plan_Inputs!$D$2:$D$5000,Plan_Inputs!$A$2:$A$5000,$A59,Plan_Inputs!$B$2:$B$5000,$B$2))</f>
        <v/>
      </c>
      <c r="AJ59" s="15">
        <f>F59*$AK$11</f>
        <v/>
      </c>
      <c r="AK59" s="9">
        <f>G59*$AK$11</f>
        <v/>
      </c>
      <c r="AL59" s="30">
        <f>H59*$AK$11</f>
        <v/>
      </c>
      <c r="AM59" s="30">
        <f>I59*$AK$11</f>
        <v/>
      </c>
      <c r="AN59" s="30">
        <f>J59*$AK$11</f>
        <v/>
      </c>
      <c r="AP59" s="15">
        <f>F59*$AQ$11</f>
        <v/>
      </c>
      <c r="AQ59" s="9">
        <f>G59*$AQ$11</f>
        <v/>
      </c>
      <c r="AR59" s="30">
        <f>H59*$AQ$11</f>
        <v/>
      </c>
      <c r="AS59" s="30">
        <f>I59*$AQ$11</f>
        <v/>
      </c>
      <c r="AT59" s="30">
        <f>J59*$AQ$11</f>
        <v/>
      </c>
      <c r="AV59" s="15">
        <f>F59*$AW$11</f>
        <v/>
      </c>
      <c r="AW59" s="9">
        <f>G59*$AW$11</f>
        <v/>
      </c>
      <c r="AX59" s="30">
        <f>H59*$AW$11</f>
        <v/>
      </c>
      <c r="AY59" s="30">
        <f>I59*$AW$11</f>
        <v/>
      </c>
      <c r="AZ59" s="30">
        <f>J59*$AW$11</f>
        <v/>
      </c>
    </row>
    <row r="60">
      <c r="A60" s="8" t="n">
        <v>47027</v>
      </c>
      <c r="B60" s="33">
        <f>YEAR(A60)</f>
        <v/>
      </c>
      <c r="C60" s="33">
        <f>MONTH(A60)</f>
        <v/>
      </c>
      <c r="D60">
        <f>IF(A60&lt;=LastActual,"Actual","Forecast")</f>
        <v/>
      </c>
      <c r="E60" s="30">
        <f>'VIC-1'!E60</f>
        <v/>
      </c>
      <c r="F60" s="15">
        <f>IF($D60="Actual",S60,Cases_Forecast!AS53)</f>
        <v/>
      </c>
      <c r="G60" s="9">
        <f>IF($D60="Actual",T60,IFERROR(F60/K60,0))</f>
        <v/>
      </c>
      <c r="H60" s="30">
        <f>IF($D60="Actual",U60,G60*L60)</f>
        <v/>
      </c>
      <c r="I60" s="30">
        <f>IF($D60="Actual",V60,J60-H60)</f>
        <v/>
      </c>
      <c r="J60" s="30">
        <f>IF($D60="Actual",U60+V60,IFERROR(H60/(1-AD60),0))</f>
        <v/>
      </c>
      <c r="K60" s="10">
        <f>IF($D60="Actual",IFERROR(S60/T60,0),CPLH_Forecast!AS53)</f>
        <v/>
      </c>
      <c r="L60" s="34">
        <f>IF($D60="Actual",IFERROR(U60/T60,0),N(AE60))</f>
        <v/>
      </c>
      <c r="M60" s="35">
        <f>IFERROR(J60/F60,0)</f>
        <v/>
      </c>
      <c r="N60" s="36">
        <f>IFERROR(J60/E60,0)</f>
        <v/>
      </c>
      <c r="O60" s="36">
        <f>IFERROR(I60/J60,0)</f>
        <v/>
      </c>
      <c r="R60" s="52">
        <f>IF($D60="Actual",E60,"")</f>
        <v/>
      </c>
      <c r="S60" s="52">
        <f>IF($D60="Actual",SUMIFS(Data_Actuals!$D$2:$D$5000,Data_Actuals!$A$2:$A$5000,$A60,Data_Actuals!$B$2:$B$5000,$B$2),"")</f>
        <v/>
      </c>
      <c r="T60" s="52">
        <f>IF($D60="Actual",SUMIFS(Data_Actuals!$E$2:$E$5000,Data_Actuals!$A$2:$A$5000,$A60,Data_Actuals!$B$2:$B$5000,$B$2),"")</f>
        <v/>
      </c>
      <c r="U60" s="52">
        <f>IF($D60="Actual",SUMIFS(Data_Actuals!$F$2:$F$5000,Data_Actuals!$A$2:$A$5000,$A60,Data_Actuals!$B$2:$B$5000,$B$2),"")</f>
        <v/>
      </c>
      <c r="V60" s="52">
        <f>IF($D60="Actual",SUMIFS(Data_Actuals!$G$2:$G$5000,Data_Actuals!$A$2:$A$5000,$A60,Data_Actuals!$B$2:$B$5000,$B$2),"")</f>
        <v/>
      </c>
      <c r="W60" s="52">
        <f>SUMIFS(Plan_Inputs!$C$2:$C$5000,Plan_Inputs!$A$2:$A$5000,$A60,Plan_Inputs!$B$2:$B$5000,$B$2)</f>
        <v/>
      </c>
      <c r="X60" s="53">
        <f>IF($D60="Actual",IFERROR(S60/T60,""),X48)</f>
        <v/>
      </c>
      <c r="Y60" s="52">
        <f>'VIC-1'!E60+'VIC-2'!E60</f>
        <v/>
      </c>
      <c r="Z60" s="54">
        <f>INDEX(Calendar!$H$5:$L$52,MATCH($A60,Calendar!$A$5:$A$52,0),MATCH($D$2,Calendar!$H$4:$L$4,0))</f>
        <v/>
      </c>
      <c r="AA60" s="54">
        <f>INDEX(Calendar!$M$5:$M$52,MATCH($A60,Calendar!$A$5:$A$52,0))</f>
        <v/>
      </c>
      <c r="AB60" s="55">
        <f>IF($D60="Actual",IFERROR(S60/Y60,""),AB48)</f>
        <v/>
      </c>
      <c r="AC60" s="56">
        <f>IF($D60="Actual",IFERROR(U60/T60/Z60/AA60,""),AC48)</f>
        <v/>
      </c>
      <c r="AD60" s="57">
        <f>IF($D60="Actual",IFERROR(V60/(U60+V60),""),$K$2)</f>
        <v/>
      </c>
      <c r="AE60" s="56">
        <f>IFERROR(AC60*Z60*AA60,"")</f>
        <v/>
      </c>
      <c r="AF60" s="53">
        <f>K48</f>
        <v/>
      </c>
      <c r="AG60" s="57">
        <f>IF($D60="Forecast",IFERROR(K60/AF60-1,""),"")</f>
        <v/>
      </c>
      <c r="AH60" s="53">
        <f>IF(CPLHSource="National breakdown",CPLH_Breakdown!AT65,SUMIFS(Plan_Inputs!$D$2:$D$5000,Plan_Inputs!$A$2:$A$5000,$A60,Plan_Inputs!$B$2:$B$5000,$B$2))</f>
        <v/>
      </c>
      <c r="AJ60" s="15">
        <f>F60*$AK$11</f>
        <v/>
      </c>
      <c r="AK60" s="9">
        <f>G60*$AK$11</f>
        <v/>
      </c>
      <c r="AL60" s="30">
        <f>H60*$AK$11</f>
        <v/>
      </c>
      <c r="AM60" s="30">
        <f>I60*$AK$11</f>
        <v/>
      </c>
      <c r="AN60" s="30">
        <f>J60*$AK$11</f>
        <v/>
      </c>
      <c r="AP60" s="15">
        <f>F60*$AQ$11</f>
        <v/>
      </c>
      <c r="AQ60" s="9">
        <f>G60*$AQ$11</f>
        <v/>
      </c>
      <c r="AR60" s="30">
        <f>H60*$AQ$11</f>
        <v/>
      </c>
      <c r="AS60" s="30">
        <f>I60*$AQ$11</f>
        <v/>
      </c>
      <c r="AT60" s="30">
        <f>J60*$AQ$11</f>
        <v/>
      </c>
      <c r="AV60" s="15">
        <f>F60*$AW$11</f>
        <v/>
      </c>
      <c r="AW60" s="9">
        <f>G60*$AW$11</f>
        <v/>
      </c>
      <c r="AX60" s="30">
        <f>H60*$AW$11</f>
        <v/>
      </c>
      <c r="AY60" s="30">
        <f>I60*$AW$11</f>
        <v/>
      </c>
      <c r="AZ60" s="30">
        <f>J60*$AW$11</f>
        <v/>
      </c>
    </row>
    <row r="61">
      <c r="A61" s="8" t="n">
        <v>47058</v>
      </c>
      <c r="B61" s="33">
        <f>YEAR(A61)</f>
        <v/>
      </c>
      <c r="C61" s="33">
        <f>MONTH(A61)</f>
        <v/>
      </c>
      <c r="D61">
        <f>IF(A61&lt;=LastActual,"Actual","Forecast")</f>
        <v/>
      </c>
      <c r="E61" s="30">
        <f>'VIC-1'!E61</f>
        <v/>
      </c>
      <c r="F61" s="15">
        <f>IF($D61="Actual",S61,Cases_Forecast!AS54)</f>
        <v/>
      </c>
      <c r="G61" s="9">
        <f>IF($D61="Actual",T61,IFERROR(F61/K61,0))</f>
        <v/>
      </c>
      <c r="H61" s="30">
        <f>IF($D61="Actual",U61,G61*L61)</f>
        <v/>
      </c>
      <c r="I61" s="30">
        <f>IF($D61="Actual",V61,J61-H61)</f>
        <v/>
      </c>
      <c r="J61" s="30">
        <f>IF($D61="Actual",U61+V61,IFERROR(H61/(1-AD61),0))</f>
        <v/>
      </c>
      <c r="K61" s="10">
        <f>IF($D61="Actual",IFERROR(S61/T61,0),CPLH_Forecast!AS54)</f>
        <v/>
      </c>
      <c r="L61" s="34">
        <f>IF($D61="Actual",IFERROR(U61/T61,0),N(AE61))</f>
        <v/>
      </c>
      <c r="M61" s="35">
        <f>IFERROR(J61/F61,0)</f>
        <v/>
      </c>
      <c r="N61" s="36">
        <f>IFERROR(J61/E61,0)</f>
        <v/>
      </c>
      <c r="O61" s="36">
        <f>IFERROR(I61/J61,0)</f>
        <v/>
      </c>
      <c r="R61" s="52">
        <f>IF($D61="Actual",E61,"")</f>
        <v/>
      </c>
      <c r="S61" s="52">
        <f>IF($D61="Actual",SUMIFS(Data_Actuals!$D$2:$D$5000,Data_Actuals!$A$2:$A$5000,$A61,Data_Actuals!$B$2:$B$5000,$B$2),"")</f>
        <v/>
      </c>
      <c r="T61" s="52">
        <f>IF($D61="Actual",SUMIFS(Data_Actuals!$E$2:$E$5000,Data_Actuals!$A$2:$A$5000,$A61,Data_Actuals!$B$2:$B$5000,$B$2),"")</f>
        <v/>
      </c>
      <c r="U61" s="52">
        <f>IF($D61="Actual",SUMIFS(Data_Actuals!$F$2:$F$5000,Data_Actuals!$A$2:$A$5000,$A61,Data_Actuals!$B$2:$B$5000,$B$2),"")</f>
        <v/>
      </c>
      <c r="V61" s="52">
        <f>IF($D61="Actual",SUMIFS(Data_Actuals!$G$2:$G$5000,Data_Actuals!$A$2:$A$5000,$A61,Data_Actuals!$B$2:$B$5000,$B$2),"")</f>
        <v/>
      </c>
      <c r="W61" s="52">
        <f>SUMIFS(Plan_Inputs!$C$2:$C$5000,Plan_Inputs!$A$2:$A$5000,$A61,Plan_Inputs!$B$2:$B$5000,$B$2)</f>
        <v/>
      </c>
      <c r="X61" s="53">
        <f>IF($D61="Actual",IFERROR(S61/T61,""),X49)</f>
        <v/>
      </c>
      <c r="Y61" s="52">
        <f>'VIC-1'!E61+'VIC-2'!E61</f>
        <v/>
      </c>
      <c r="Z61" s="54">
        <f>INDEX(Calendar!$H$5:$L$52,MATCH($A61,Calendar!$A$5:$A$52,0),MATCH($D$2,Calendar!$H$4:$L$4,0))</f>
        <v/>
      </c>
      <c r="AA61" s="54">
        <f>INDEX(Calendar!$M$5:$M$52,MATCH($A61,Calendar!$A$5:$A$52,0))</f>
        <v/>
      </c>
      <c r="AB61" s="55">
        <f>IF($D61="Actual",IFERROR(S61/Y61,""),AB49)</f>
        <v/>
      </c>
      <c r="AC61" s="56">
        <f>IF($D61="Actual",IFERROR(U61/T61/Z61/AA61,""),AC49)</f>
        <v/>
      </c>
      <c r="AD61" s="57">
        <f>IF($D61="Actual",IFERROR(V61/(U61+V61),""),$K$2)</f>
        <v/>
      </c>
      <c r="AE61" s="56">
        <f>IFERROR(AC61*Z61*AA61,"")</f>
        <v/>
      </c>
      <c r="AF61" s="53">
        <f>K49</f>
        <v/>
      </c>
      <c r="AG61" s="57">
        <f>IF($D61="Forecast",IFERROR(K61/AF61-1,""),"")</f>
        <v/>
      </c>
      <c r="AH61" s="53">
        <f>IF(CPLHSource="National breakdown",CPLH_Breakdown!AT66,SUMIFS(Plan_Inputs!$D$2:$D$5000,Plan_Inputs!$A$2:$A$5000,$A61,Plan_Inputs!$B$2:$B$5000,$B$2))</f>
        <v/>
      </c>
      <c r="AJ61" s="15">
        <f>F61*$AK$11</f>
        <v/>
      </c>
      <c r="AK61" s="9">
        <f>G61*$AK$11</f>
        <v/>
      </c>
      <c r="AL61" s="30">
        <f>H61*$AK$11</f>
        <v/>
      </c>
      <c r="AM61" s="30">
        <f>I61*$AK$11</f>
        <v/>
      </c>
      <c r="AN61" s="30">
        <f>J61*$AK$11</f>
        <v/>
      </c>
      <c r="AP61" s="15">
        <f>F61*$AQ$11</f>
        <v/>
      </c>
      <c r="AQ61" s="9">
        <f>G61*$AQ$11</f>
        <v/>
      </c>
      <c r="AR61" s="30">
        <f>H61*$AQ$11</f>
        <v/>
      </c>
      <c r="AS61" s="30">
        <f>I61*$AQ$11</f>
        <v/>
      </c>
      <c r="AT61" s="30">
        <f>J61*$AQ$11</f>
        <v/>
      </c>
      <c r="AV61" s="15">
        <f>F61*$AW$11</f>
        <v/>
      </c>
      <c r="AW61" s="9">
        <f>G61*$AW$11</f>
        <v/>
      </c>
      <c r="AX61" s="30">
        <f>H61*$AW$11</f>
        <v/>
      </c>
      <c r="AY61" s="30">
        <f>I61*$AW$11</f>
        <v/>
      </c>
      <c r="AZ61" s="30">
        <f>J61*$AW$11</f>
        <v/>
      </c>
    </row>
    <row r="62">
      <c r="A62" s="37" t="n">
        <v>47088</v>
      </c>
      <c r="B62" s="38">
        <f>YEAR(A62)</f>
        <v/>
      </c>
      <c r="C62" s="38">
        <f>MONTH(A62)</f>
        <v/>
      </c>
      <c r="D62" s="39">
        <f>IF(A62&lt;=LastActual,"Actual","Forecast")</f>
        <v/>
      </c>
      <c r="E62" s="40">
        <f>'VIC-1'!E62</f>
        <v/>
      </c>
      <c r="F62" s="41">
        <f>IF($D62="Actual",S62,Cases_Forecast!AS55)</f>
        <v/>
      </c>
      <c r="G62" s="42">
        <f>IF($D62="Actual",T62,IFERROR(F62/K62,0))</f>
        <v/>
      </c>
      <c r="H62" s="40">
        <f>IF($D62="Actual",U62,G62*L62)</f>
        <v/>
      </c>
      <c r="I62" s="40">
        <f>IF($D62="Actual",V62,J62-H62)</f>
        <v/>
      </c>
      <c r="J62" s="40">
        <f>IF($D62="Actual",U62+V62,IFERROR(H62/(1-AD62),0))</f>
        <v/>
      </c>
      <c r="K62" s="43">
        <f>IF($D62="Actual",IFERROR(S62/T62,0),CPLH_Forecast!AS55)</f>
        <v/>
      </c>
      <c r="L62" s="44">
        <f>IF($D62="Actual",IFERROR(U62/T62,0),N(AE62))</f>
        <v/>
      </c>
      <c r="M62" s="45">
        <f>IFERROR(J62/F62,0)</f>
        <v/>
      </c>
      <c r="N62" s="46">
        <f>IFERROR(J62/E62,0)</f>
        <v/>
      </c>
      <c r="O62" s="46">
        <f>IFERROR(I62/J62,0)</f>
        <v/>
      </c>
      <c r="R62" s="52">
        <f>IF($D62="Actual",E62,"")</f>
        <v/>
      </c>
      <c r="S62" s="52">
        <f>IF($D62="Actual",SUMIFS(Data_Actuals!$D$2:$D$5000,Data_Actuals!$A$2:$A$5000,$A62,Data_Actuals!$B$2:$B$5000,$B$2),"")</f>
        <v/>
      </c>
      <c r="T62" s="52">
        <f>IF($D62="Actual",SUMIFS(Data_Actuals!$E$2:$E$5000,Data_Actuals!$A$2:$A$5000,$A62,Data_Actuals!$B$2:$B$5000,$B$2),"")</f>
        <v/>
      </c>
      <c r="U62" s="52">
        <f>IF($D62="Actual",SUMIFS(Data_Actuals!$F$2:$F$5000,Data_Actuals!$A$2:$A$5000,$A62,Data_Actuals!$B$2:$B$5000,$B$2),"")</f>
        <v/>
      </c>
      <c r="V62" s="52">
        <f>IF($D62="Actual",SUMIFS(Data_Actuals!$G$2:$G$5000,Data_Actuals!$A$2:$A$5000,$A62,Data_Actuals!$B$2:$B$5000,$B$2),"")</f>
        <v/>
      </c>
      <c r="W62" s="52">
        <f>SUMIFS(Plan_Inputs!$C$2:$C$5000,Plan_Inputs!$A$2:$A$5000,$A62,Plan_Inputs!$B$2:$B$5000,$B$2)</f>
        <v/>
      </c>
      <c r="X62" s="53">
        <f>IF($D62="Actual",IFERROR(S62/T62,""),X50)</f>
        <v/>
      </c>
      <c r="Y62" s="52">
        <f>'VIC-1'!E62+'VIC-2'!E62</f>
        <v/>
      </c>
      <c r="Z62" s="54">
        <f>INDEX(Calendar!$H$5:$L$52,MATCH($A62,Calendar!$A$5:$A$52,0),MATCH($D$2,Calendar!$H$4:$L$4,0))</f>
        <v/>
      </c>
      <c r="AA62" s="54">
        <f>INDEX(Calendar!$M$5:$M$52,MATCH($A62,Calendar!$A$5:$A$52,0))</f>
        <v/>
      </c>
      <c r="AB62" s="55">
        <f>IF($D62="Actual",IFERROR(S62/Y62,""),AB50)</f>
        <v/>
      </c>
      <c r="AC62" s="56">
        <f>IF($D62="Actual",IFERROR(U62/T62/Z62/AA62,""),AC50)</f>
        <v/>
      </c>
      <c r="AD62" s="57">
        <f>IF($D62="Actual",IFERROR(V62/(U62+V62),""),$K$2)</f>
        <v/>
      </c>
      <c r="AE62" s="56">
        <f>IFERROR(AC62*Z62*AA62,"")</f>
        <v/>
      </c>
      <c r="AF62" s="53">
        <f>K50</f>
        <v/>
      </c>
      <c r="AG62" s="57">
        <f>IF($D62="Forecast",IFERROR(K62/AF62-1,""),"")</f>
        <v/>
      </c>
      <c r="AH62" s="53">
        <f>IF(CPLHSource="National breakdown",CPLH_Breakdown!AT67,SUMIFS(Plan_Inputs!$D$2:$D$5000,Plan_Inputs!$A$2:$A$5000,$A62,Plan_Inputs!$B$2:$B$5000,$B$2))</f>
        <v/>
      </c>
      <c r="AJ62" s="41">
        <f>F62*$AK$11</f>
        <v/>
      </c>
      <c r="AK62" s="42">
        <f>G62*$AK$11</f>
        <v/>
      </c>
      <c r="AL62" s="40">
        <f>H62*$AK$11</f>
        <v/>
      </c>
      <c r="AM62" s="40">
        <f>I62*$AK$11</f>
        <v/>
      </c>
      <c r="AN62" s="40">
        <f>J62*$AK$11</f>
        <v/>
      </c>
      <c r="AP62" s="41">
        <f>F62*$AQ$11</f>
        <v/>
      </c>
      <c r="AQ62" s="42">
        <f>G62*$AQ$11</f>
        <v/>
      </c>
      <c r="AR62" s="40">
        <f>H62*$AQ$11</f>
        <v/>
      </c>
      <c r="AS62" s="40">
        <f>I62*$AQ$11</f>
        <v/>
      </c>
      <c r="AT62" s="40">
        <f>J62*$AQ$11</f>
        <v/>
      </c>
      <c r="AV62" s="41">
        <f>F62*$AW$11</f>
        <v/>
      </c>
      <c r="AW62" s="42">
        <f>G62*$AW$11</f>
        <v/>
      </c>
      <c r="AX62" s="40">
        <f>H62*$AW$11</f>
        <v/>
      </c>
      <c r="AY62" s="40">
        <f>I62*$AW$11</f>
        <v/>
      </c>
      <c r="AZ62" s="40">
        <f>J62*$AW$11</f>
        <v/>
      </c>
    </row>
  </sheetData>
  <mergeCells count="6">
    <mergeCell ref="K12:O12"/>
    <mergeCell ref="AV12:AZ12"/>
    <mergeCell ref="AJ12:AN12"/>
    <mergeCell ref="AP12:AT12"/>
    <mergeCell ref="R12:AH12"/>
    <mergeCell ref="E12:J12"/>
  </mergeCells>
  <conditionalFormatting sqref="A15:O62">
    <cfRule type="expression" priority="1" dxfId="4">
      <formula>$D15="Forecast"</formula>
    </cfRule>
  </conditionalFormatting>
  <conditionalFormatting sqref="AJ15:AZ62">
    <cfRule type="expression" priority="2" dxfId="4">
      <formula>$D15="Forecast"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2026-10-18T22:11:28Z</dcterms:created>
  <dcterms:modified xsi:type="dcterms:W3CDTF">2026-10-18T22:11:28Z</dcterms:modified>
</cp:coreProperties>
</file>