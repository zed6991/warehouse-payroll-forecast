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Backtest" sheetId="8" state="visible" r:id="rId8"/>
    <sheet name="Dashboard" sheetId="9" state="visible" r:id="rId9"/>
    <sheet name="National" sheetId="10" state="visible" r:id="rId10"/>
    <sheet name="NSW-1" sheetId="11" state="visible" r:id="rId11"/>
    <sheet name="VIC-1" sheetId="12" state="visible" r:id="rId12"/>
    <sheet name="QLD-1" sheetId="13" state="visible" r:id="rId13"/>
    <sheet name="NSW-2" sheetId="14" state="visible" r:id="rId14"/>
    <sheet name="VIC-2" sheetId="15" state="visible" r:id="rId15"/>
    <sheet name="QLD-2" sheetId="16" state="visible" r:id="rId16"/>
    <sheet name="SA-1" sheetId="17" state="visible" r:id="rId17"/>
    <sheet name="WA-1" sheetId="18" state="visible" r:id="rId18"/>
    <sheet name="IDC-NSW" sheetId="19" state="visible" r:id="rId19"/>
    <sheet name="IDC-VIC" sheetId="20" state="visible" r:id="rId20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LeadMethod">Inputs!$E$12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  <numFmt numFmtId="175" formatCode="#,##0.0,,&quot;m&quot;"/>
    <numFmt numFmtId="176" formatCode="$0"/>
    <numFmt numFmtId="177" formatCode="$0.00"/>
  </numFmts>
  <fonts count="9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i val="1"/>
      <color rgb="00808080"/>
    </font>
    <font>
      <b val="1"/>
      <color rgb="00FFFFFF"/>
    </font>
    <font>
      <i val="1"/>
    </font>
    <font>
      <color rgb="00595959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165" fontId="0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1" fillId="0" borderId="0" pivotButton="0" quotePrefix="0" xfId="0"/>
    <xf numFmtId="171" fontId="0" fillId="0" borderId="0" pivotButton="0" quotePrefix="0" xfId="0"/>
    <xf numFmtId="170" fontId="0" fillId="0" borderId="0" pivotButton="0" quotePrefix="0" xfId="0"/>
    <xf numFmtId="172" fontId="0" fillId="0" borderId="0" pivotButton="0" quotePrefix="0" xfId="0"/>
    <xf numFmtId="0" fontId="8" fillId="2" borderId="0" pivotButton="0" quotePrefix="0" xfId="0"/>
    <xf numFmtId="175" fontId="0" fillId="0" borderId="0" pivotButton="0" quotePrefix="0" xfId="0"/>
    <xf numFmtId="1" fontId="0" fillId="0" borderId="0" pivotButton="0" quotePrefix="0" xfId="0"/>
    <xf numFmtId="176" fontId="0" fillId="0" borderId="0" pivotButton="0" quotePrefix="0" xfId="0"/>
    <xf numFmtId="17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0" fontId="6" fillId="4" borderId="0" applyAlignment="1" pivotButton="0" quotePrefix="0" xfId="0">
      <alignment horizontal="center" vertical="center" wrapText="1"/>
    </xf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3" fontId="1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'Dashboard'!$AB$4:$AB$51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'Dashboard'!$AC$4:$AC$51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 hours worked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'Dashboard'!$AD$4:$AD$51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'Dashboard'!$AE$4:$AE$51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CPLH (cases / hr)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'Dashboard'!$AF$4:$AF$51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'Dashboard'!$AG$4:$AG$51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hour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'Dashboard'!$AH$4:$AH$51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'Dashboard'!$AI$4:$AI$51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case (staff)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'Dashboard'!$AJ$4:$AJ$51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'Dashboard'!$AK$4:$AK$51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 % of sales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'Dashboard'!$AL$4:$AL$51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'Dashboard'!$AM$4:$AM$51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payroll minus bottom-up need, by site (negative = plan looks too tight)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'National'!U61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'National'!$U$62:$U$71</f>
            </numRef>
          </val>
        </ser>
        <ser>
          <idx val="1"/>
          <order val="1"/>
          <tx>
            <strRef>
              <f>'National'!V61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'National'!$V$62:$V$71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37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53</row>
      <rowOff>0</rowOff>
    </from>
    <ext cx="1188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rate, or run-rate $ stepped up by wage increases (switch on Inputs).</t>
        </is>
      </c>
    </row>
    <row r="15">
      <c r="A15" t="inlineStr">
        <is>
          <t>Staff payroll = total payroll - leadership.</t>
        </is>
      </c>
    </row>
    <row r="16">
      <c r="A16" t="inlineStr">
        <is>
          <t>Cost per hour = run rate x public-holiday factor x wage index.  Hours = staff payroll / cost per hour.</t>
        </is>
      </c>
    </row>
    <row r="17">
      <c r="A17" t="inlineStr">
        <is>
          <t>Cases = volume driver sales x cases-per-$ run rate x (1 + scenario cases lever).</t>
        </is>
      </c>
    </row>
    <row r="18">
      <c r="A18" t="inlineStr">
        <is>
          <t>Volume driver: a region's own sales; an IDC's served regions (IDC-NSW: NSW-1+NSW-2, IDC-VIC: VIC-1+VIC-2).</t>
        </is>
      </c>
    </row>
    <row r="19">
      <c r="A19" t="inlineStr">
        <is>
          <t>Each run rate can drift by a yearly trend (Inputs), e.g. price inflation lowering cases per $ of sales.</t>
        </is>
      </c>
    </row>
    <row r="20">
      <c r="A20" t="inlineStr">
        <is>
          <t>CPLH = cases / hours.  Cost per case = staff payroll / cases (excludes leadership).</t>
        </is>
      </c>
    </row>
    <row r="21">
      <c r="A21" t="inlineStr"/>
    </row>
    <row r="22">
      <c r="A22" s="1" t="inlineStr">
        <is>
          <t>BOTTOM-UP CROSS-CHECK</t>
        </is>
      </c>
    </row>
    <row r="23">
      <c r="A23" t="inlineStr">
        <is>
          <t>Bottom-up staff payroll = cases / (LY CPLH x (1 + productivity target)) x forecast cost per hour.</t>
        </is>
      </c>
    </row>
    <row r="24">
      <c r="A24" t="inlineStr">
        <is>
          <t>If top-down (plan) payroll is well below bottom-up, the plan needs a productivity jump to hit. See National tab</t>
        </is>
      </c>
    </row>
    <row r="25">
      <c r="A25" t="inlineStr">
        <is>
          <t>and the Checks tab, which warns when forecast CPLH moves more than the tolerance vs the same month last year.</t>
        </is>
      </c>
    </row>
    <row r="26">
      <c r="A26" t="inlineStr"/>
    </row>
    <row r="27">
      <c r="A27" s="1" t="inlineStr">
        <is>
          <t>RUN RATES (cases per $ sales, cost per hour, leadership %)</t>
        </is>
      </c>
    </row>
    <row r="28">
      <c r="A28" t="inlineStr">
        <is>
          <t>Seasonal index = each calendar month vs the average over the last 12 actual months.</t>
        </is>
      </c>
    </row>
    <row r="29">
      <c r="A29" t="inlineStr">
        <is>
          <t>Level = average of the last 6 actual months / average seasonal index of those months.</t>
        </is>
      </c>
    </row>
    <row r="30">
      <c r="A30" t="inlineStr">
        <is>
          <t>Forecast = level x seasonal index, so the last 6 months set the level and last year sets the shape.</t>
        </is>
      </c>
    </row>
    <row r="31">
      <c r="A31" t="inlineStr">
        <is>
          <t>Cost per hour is first stripped of public-holiday and wage effects, then they are added back for each forecast month.</t>
        </is>
      </c>
    </row>
    <row r="32">
      <c r="A32" t="inlineStr">
        <is>
          <t>So Easter moving from April to March, or an extra holiday, changes cost per hour in that month.</t>
        </is>
      </c>
    </row>
    <row r="33">
      <c r="A33" t="inlineStr"/>
    </row>
    <row r="34">
      <c r="A34" s="1" t="inlineStr">
        <is>
          <t>NATIONAL</t>
        </is>
      </c>
    </row>
    <row r="35">
      <c r="A35" t="inlineStr">
        <is>
          <t>Sales = 8 regions only (IDC sales are a copy of NSW-1/VIC-1 and are excluded). Cases, hours and payroll = all 10 sites.</t>
        </is>
      </c>
    </row>
    <row r="36">
      <c r="A36" t="inlineStr"/>
    </row>
    <row r="37">
      <c r="A37" s="1" t="inlineStr">
        <is>
          <t>COLOURS</t>
        </is>
      </c>
    </row>
    <row r="38">
      <c r="A38" t="inlineStr">
        <is>
          <t>Yellow cells with blue text are inputs. Blue-shaded rows are forecast months. Grey columns are helper calculations.</t>
        </is>
      </c>
    </row>
    <row r="39">
      <c r="A39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  <c r="D12" s="1" t="inlineStr">
        <is>
          <t>Leadership forecast method</t>
        </is>
      </c>
      <c r="E12" s="4" t="inlineStr">
        <is>
          <t>% of sales</t>
        </is>
      </c>
    </row>
    <row r="13">
      <c r="A13" t="inlineStr">
        <is>
          <t>Upside</t>
        </is>
      </c>
      <c r="B13" s="5" t="n">
        <v>0.03</v>
      </c>
      <c r="C13" s="5" t="n">
        <v>0.02</v>
      </c>
      <c r="D13" s="7" t="inlineStr">
        <is>
          <t>% of sales: grows with sales. $ + wage increases: run-rate dollars that step up with each wage increase.</t>
        </is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8">
        <f>INDEX($B$12:$B$14,MATCH($B$9,$A$12:$A$14,0))</f>
        <v/>
      </c>
    </row>
    <row r="17">
      <c r="A17" t="inlineStr">
        <is>
          <t>Cases lever (active)</t>
        </is>
      </c>
      <c r="B17" s="8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7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Payroll % basis</t>
        </is>
      </c>
      <c r="E35" s="6" t="inlineStr">
        <is>
          <t>In national sales?</t>
        </is>
      </c>
      <c r="F35" s="6" t="inlineStr">
        <is>
          <t>Volume driver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  <c r="F36" t="inlineStr">
        <is>
          <t>NSW-1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  <c r="F37" t="inlineStr">
        <is>
          <t>VIC-1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  <c r="F38" t="inlineStr">
        <is>
          <t>QLD-1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  <c r="F39" t="inlineStr">
        <is>
          <t>NSW-2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  <c r="F40" t="inlineStr">
        <is>
          <t>VIC-2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  <c r="F41" t="inlineStr">
        <is>
          <t>QLD-2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  <c r="F42" t="inlineStr">
        <is>
          <t>SA-1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  <c r="F43" t="inlineStr">
        <is>
          <t>WA-1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  <c r="F44" t="inlineStr">
        <is>
          <t>NSW-1+NSW-2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  <c r="F45" t="inlineStr">
        <is>
          <t>VIC-1+VIC-2</t>
        </is>
      </c>
    </row>
  </sheetData>
  <dataValidations count="2">
    <dataValidation sqref="E12" showDropDown="0" showInputMessage="0" showErrorMessage="0" allowBlank="0" type="list">
      <formula1>"% of sales,$ + wage increases"</formula1>
    </dataValidation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814235</v>
      </c>
      <c r="E10" s="10" t="n">
        <v>7750</v>
      </c>
      <c r="F10" s="10" t="n">
        <v>564304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745617</v>
      </c>
      <c r="E11" s="10" t="n">
        <v>7313</v>
      </c>
      <c r="F11" s="10" t="n">
        <v>524974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736093</v>
      </c>
      <c r="E20" s="10" t="n">
        <v>6714</v>
      </c>
      <c r="F20" s="10" t="n">
        <v>471815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699658</v>
      </c>
      <c r="E21" s="10" t="n">
        <v>6848</v>
      </c>
      <c r="F21" s="10" t="n">
        <v>467508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809173</v>
      </c>
      <c r="E30" s="10" t="n">
        <v>7223</v>
      </c>
      <c r="F30" s="10" t="n">
        <v>505153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778599</v>
      </c>
      <c r="E31" s="10" t="n">
        <v>7397</v>
      </c>
      <c r="F31" s="10" t="n">
        <v>527308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816972</v>
      </c>
      <c r="E40" s="10" t="n">
        <v>7455</v>
      </c>
      <c r="F40" s="10" t="n">
        <v>606629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767977</v>
      </c>
      <c r="E41" s="10" t="n">
        <v>7081</v>
      </c>
      <c r="F41" s="10" t="n">
        <v>562453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814800</v>
      </c>
      <c r="E50" s="10" t="n">
        <v>7400</v>
      </c>
      <c r="F50" s="10" t="n">
        <v>518632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771305</v>
      </c>
      <c r="E51" s="10" t="n">
        <v>7503</v>
      </c>
      <c r="F51" s="10" t="n">
        <v>518583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797913</v>
      </c>
      <c r="E60" s="10" t="n">
        <v>7125</v>
      </c>
      <c r="F60" s="10" t="n">
        <v>512235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732957</v>
      </c>
      <c r="E61" s="10" t="n">
        <v>6918</v>
      </c>
      <c r="F61" s="10" t="n">
        <v>490484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808405</v>
      </c>
      <c r="E70" s="10" t="n">
        <v>7405</v>
      </c>
      <c r="F70" s="10" t="n">
        <v>522099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764110</v>
      </c>
      <c r="E71" s="10" t="n">
        <v>7321</v>
      </c>
      <c r="F71" s="10" t="n">
        <v>501278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826618</v>
      </c>
      <c r="E80" s="10" t="n">
        <v>7654</v>
      </c>
      <c r="F80" s="10" t="n">
        <v>530861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748941</v>
      </c>
      <c r="E81" s="10" t="n">
        <v>7016</v>
      </c>
      <c r="F81" s="10" t="n">
        <v>486157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796739</v>
      </c>
      <c r="E90" s="10" t="n">
        <v>7311</v>
      </c>
      <c r="F90" s="10" t="n">
        <v>509343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748895</v>
      </c>
      <c r="E91" s="10" t="n">
        <v>7279</v>
      </c>
      <c r="F91" s="10" t="n">
        <v>509659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839942</v>
      </c>
      <c r="E100" s="10" t="n">
        <v>7380</v>
      </c>
      <c r="F100" s="10" t="n">
        <v>522302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786859</v>
      </c>
      <c r="E101" s="10" t="n">
        <v>7414</v>
      </c>
      <c r="F101" s="10" t="n">
        <v>507043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856945</v>
      </c>
      <c r="E110" s="10" t="n">
        <v>7492</v>
      </c>
      <c r="F110" s="10" t="n">
        <v>527621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813137</v>
      </c>
      <c r="E111" s="10" t="n">
        <v>7451</v>
      </c>
      <c r="F111" s="10" t="n">
        <v>528790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1012499</v>
      </c>
      <c r="E120" s="10" t="n">
        <v>8751</v>
      </c>
      <c r="F120" s="10" t="n">
        <v>633420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930504</v>
      </c>
      <c r="E121" s="10" t="n">
        <v>8198</v>
      </c>
      <c r="F121" s="10" t="n">
        <v>584467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828700</v>
      </c>
      <c r="E130" s="10" t="n">
        <v>7585</v>
      </c>
      <c r="F130" s="10" t="n">
        <v>577705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776277</v>
      </c>
      <c r="E131" s="10" t="n">
        <v>7469</v>
      </c>
      <c r="F131" s="10" t="n">
        <v>564937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758344</v>
      </c>
      <c r="E140" s="10" t="n">
        <v>6939</v>
      </c>
      <c r="F140" s="10" t="n">
        <v>506432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729007</v>
      </c>
      <c r="E141" s="10" t="n">
        <v>7102</v>
      </c>
      <c r="F141" s="10" t="n">
        <v>507659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855613</v>
      </c>
      <c r="E150" s="10" t="n">
        <v>7934</v>
      </c>
      <c r="F150" s="10" t="n">
        <v>580401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806929</v>
      </c>
      <c r="E151" s="10" t="n">
        <v>7481</v>
      </c>
      <c r="F151" s="10" t="n">
        <v>553814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842701</v>
      </c>
      <c r="E160" s="10" t="n">
        <v>7625</v>
      </c>
      <c r="F160" s="10" t="n">
        <v>624006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787005</v>
      </c>
      <c r="E161" s="10" t="n">
        <v>7425</v>
      </c>
      <c r="F161" s="10" t="n">
        <v>599721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836578</v>
      </c>
      <c r="E170" s="10" t="n">
        <v>7450</v>
      </c>
      <c r="F170" s="10" t="n">
        <v>539442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773362</v>
      </c>
      <c r="E171" s="10" t="n">
        <v>7364</v>
      </c>
      <c r="F171" s="10" t="n">
        <v>526704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820243</v>
      </c>
      <c r="E180" s="10" t="n">
        <v>7143</v>
      </c>
      <c r="F180" s="10" t="n">
        <v>537658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758515</v>
      </c>
      <c r="E181" s="10" t="n">
        <v>7093</v>
      </c>
      <c r="F181" s="10" t="n">
        <v>521680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831064</v>
      </c>
      <c r="E190" s="10" t="n">
        <v>7249</v>
      </c>
      <c r="F190" s="10" t="n">
        <v>527015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768113</v>
      </c>
      <c r="E191" s="10" t="n">
        <v>7062</v>
      </c>
      <c r="F191" s="10" t="n">
        <v>502714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815772</v>
      </c>
      <c r="E200" s="10" t="n">
        <v>7396</v>
      </c>
      <c r="F200" s="10" t="n">
        <v>536543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775745</v>
      </c>
      <c r="E201" s="10" t="n">
        <v>7030</v>
      </c>
      <c r="F201" s="10" t="n">
        <v>502965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838192</v>
      </c>
      <c r="E210" s="10" t="n">
        <v>7367</v>
      </c>
      <c r="F210" s="10" t="n">
        <v>536696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768891</v>
      </c>
      <c r="E211" s="10" t="n">
        <v>7208</v>
      </c>
      <c r="F211" s="10" t="n">
        <v>522166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7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0.0048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0.0048</v>
      </c>
    </row>
    <row r="21">
      <c r="A21" s="9" t="n">
        <v>46054</v>
      </c>
      <c r="B21" t="inlineStr">
        <is>
          <t>IDC-VIC</t>
        </is>
      </c>
      <c r="C21" s="10" t="n"/>
      <c r="D21" s="11" t="n">
        <v>0.005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0.0047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0.0047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0.0051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0.0054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0.0046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0.0045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0.0046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0.0047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0.0043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0.0045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0.0045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0.0045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0.0043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0.0045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0.0044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0.0049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0.0047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0.0051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0.0054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0.0047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0.0047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0.0048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0.0046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0.0046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0.0046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0.0045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0.0046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0.0044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0.0045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0.0046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0.0051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0.0054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0.0048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0.005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0.0047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0.0052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0.0046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0.0046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0.0047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0.0048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0.0045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0.0046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0.0046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0.0049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0.0043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7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7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 t="inlineStr">
        <is>
          <t>NSW-1: forecast months where CPLH moves more than the tolerance vs LY</t>
        </is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 t="inlineStr">
        <is>
          <t>VIC-1: forecast months where CPLH moves more than the tolerance vs LY</t>
        </is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 t="inlineStr">
        <is>
          <t>QLD-1: forecast months where CPLH moves more than the tolerance vs LY</t>
        </is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 t="inlineStr">
        <is>
          <t>NSW-2: forecast months where CPLH moves more than the tolerance vs LY</t>
        </is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 t="inlineStr">
        <is>
          <t>VIC-2: forecast months where CPLH moves more than the tolerance vs LY</t>
        </is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 t="inlineStr">
        <is>
          <t>QLD-2: forecast months where CPLH moves more than the tolerance vs LY</t>
        </is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 t="inlineStr">
        <is>
          <t>SA-1: forecast months where CPLH moves more than the tolerance vs LY</t>
        </is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 t="inlineStr">
        <is>
          <t>WA-1: forecast months where CPLH moves more than the tolerance vs LY</t>
        </is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 t="inlineStr">
        <is>
          <t>IDC-NSW: forecast months where CPLH moves more than the tolerance vs LY</t>
        </is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 t="inlineStr">
        <is>
          <t>IDC-VIC: forecast months where CPLH moves more than the tolerance vs LY</t>
        </is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Q5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" t="inlineStr">
        <is>
          <t>Backtest: forecast vs actual</t>
        </is>
      </c>
    </row>
    <row r="2">
      <c r="A2" s="7" t="inlineStr">
        <is>
          <t>To backtest, set 'Last actual month' on Inputs earlier (e.g. Mar-26). Months after it that have actuals in Data_Actuals are compared with the model. Set it back afterwards.</t>
        </is>
      </c>
    </row>
    <row r="4">
      <c r="A4" s="1" t="inlineStr">
        <is>
          <t>Mean absolute error</t>
        </is>
      </c>
      <c r="E4" s="14">
        <f>IFERROR((SUMIF(E8:E55,"&gt;0")-SUMIF(E8:E55,"&lt;0"))/COUNT(E8:E55),"n/a")</f>
        <v/>
      </c>
      <c r="H4" s="14">
        <f>IFERROR((SUMIF(H8:H55,"&gt;0")-SUMIF(H8:H55,"&lt;0"))/COUNT(H8:H55),"n/a")</f>
        <v/>
      </c>
      <c r="K4" s="14">
        <f>IFERROR((SUMIF(K8:K55,"&gt;0")-SUMIF(K8:K55,"&lt;0"))/COUNT(K8:K55),"n/a")</f>
        <v/>
      </c>
      <c r="N4" s="14">
        <f>IFERROR((SUMIF(N8:N55,"&gt;0")-SUMIF(N8:N55,"&lt;0"))/COUNT(N8:N55),"n/a")</f>
        <v/>
      </c>
      <c r="Q4" s="14">
        <f>IFERROR((SUMIF(Q8:Q55,"&gt;0")-SUMIF(Q8:Q55,"&lt;0"))/COUNT(Q8:Q55),"n/a")</f>
        <v/>
      </c>
    </row>
    <row r="6">
      <c r="C6" s="6" t="inlineStr">
        <is>
          <t>Cases</t>
        </is>
      </c>
      <c r="F6" s="6" t="inlineStr">
        <is>
          <t>Hours</t>
        </is>
      </c>
      <c r="I6" s="6" t="inlineStr">
        <is>
          <t>Staff payroll</t>
        </is>
      </c>
      <c r="L6" s="6" t="inlineStr">
        <is>
          <t>Leadership</t>
        </is>
      </c>
      <c r="O6" s="6" t="inlineStr">
        <is>
          <t>CPLH</t>
        </is>
      </c>
    </row>
    <row r="7">
      <c r="A7" s="6" t="inlineStr">
        <is>
          <t>Month</t>
        </is>
      </c>
      <c r="B7" s="6" t="inlineStr">
        <is>
          <t>Status</t>
        </is>
      </c>
      <c r="C7" s="6" t="inlineStr">
        <is>
          <t>Actual</t>
        </is>
      </c>
      <c r="D7" s="6" t="inlineStr">
        <is>
          <t>Model</t>
        </is>
      </c>
      <c r="E7" s="6" t="inlineStr">
        <is>
          <t>Error</t>
        </is>
      </c>
      <c r="F7" s="6" t="inlineStr">
        <is>
          <t>Actual</t>
        </is>
      </c>
      <c r="G7" s="6" t="inlineStr">
        <is>
          <t>Model</t>
        </is>
      </c>
      <c r="H7" s="6" t="inlineStr">
        <is>
          <t>Error</t>
        </is>
      </c>
      <c r="I7" s="6" t="inlineStr">
        <is>
          <t>Actual</t>
        </is>
      </c>
      <c r="J7" s="6" t="inlineStr">
        <is>
          <t>Model</t>
        </is>
      </c>
      <c r="K7" s="6" t="inlineStr">
        <is>
          <t>Error</t>
        </is>
      </c>
      <c r="L7" s="6" t="inlineStr">
        <is>
          <t>Actual</t>
        </is>
      </c>
      <c r="M7" s="6" t="inlineStr">
        <is>
          <t>Model</t>
        </is>
      </c>
      <c r="N7" s="6" t="inlineStr">
        <is>
          <t>Error</t>
        </is>
      </c>
      <c r="O7" s="6" t="inlineStr">
        <is>
          <t>Actual</t>
        </is>
      </c>
      <c r="P7" s="6" t="inlineStr">
        <is>
          <t>Model</t>
        </is>
      </c>
      <c r="Q7" s="6" t="inlineStr">
        <is>
          <t>Error</t>
        </is>
      </c>
    </row>
    <row r="8">
      <c r="A8" s="9" t="n">
        <v>45658</v>
      </c>
      <c r="B8">
        <f>National!D15</f>
        <v/>
      </c>
      <c r="C8" s="15">
        <f>SUMIFS(Data_Actuals!$D$2:$D$5000,Data_Actuals!$A$2:$A$5000,$A8)</f>
        <v/>
      </c>
      <c r="D8" s="15">
        <f>National!F15</f>
        <v/>
      </c>
      <c r="E8" s="11">
        <f>IF(AND($B8="Forecast",C8&gt;0),D8/C8-1,"")</f>
        <v/>
      </c>
      <c r="F8" s="10">
        <f>SUMIFS(Data_Actuals!$E$2:$E$5000,Data_Actuals!$A$2:$A$5000,$A8)</f>
        <v/>
      </c>
      <c r="G8" s="10">
        <f>National!G15</f>
        <v/>
      </c>
      <c r="H8" s="11">
        <f>IF(AND($B8="Forecast",F8&gt;0),G8/F8-1,"")</f>
        <v/>
      </c>
      <c r="I8" s="16">
        <f>SUMIFS(Data_Actuals!$F$2:$F$5000,Data_Actuals!$A$2:$A$5000,$A8)</f>
        <v/>
      </c>
      <c r="J8" s="16">
        <f>National!H15</f>
        <v/>
      </c>
      <c r="K8" s="11">
        <f>IF(AND($B8="Forecast",I8&gt;0),J8/I8-1,"")</f>
        <v/>
      </c>
      <c r="L8" s="16">
        <f>SUMIFS(Data_Actuals!$G$2:$G$5000,Data_Actuals!$A$2:$A$5000,$A8)</f>
        <v/>
      </c>
      <c r="M8" s="16">
        <f>National!I15</f>
        <v/>
      </c>
      <c r="N8" s="11">
        <f>IF(AND($B8="Forecast",L8&gt;0),M8/L8-1,"")</f>
        <v/>
      </c>
      <c r="O8" s="17">
        <f>IFERROR(C8/F8,0)</f>
        <v/>
      </c>
      <c r="P8" s="17">
        <f>National!K15</f>
        <v/>
      </c>
      <c r="Q8" s="11">
        <f>IF(AND($B8="Forecast",O8&gt;0),P8/O8-1,"")</f>
        <v/>
      </c>
    </row>
    <row r="9">
      <c r="A9" s="9" t="n">
        <v>45689</v>
      </c>
      <c r="B9">
        <f>National!D16</f>
        <v/>
      </c>
      <c r="C9" s="15">
        <f>SUMIFS(Data_Actuals!$D$2:$D$5000,Data_Actuals!$A$2:$A$5000,$A9)</f>
        <v/>
      </c>
      <c r="D9" s="15">
        <f>National!F16</f>
        <v/>
      </c>
      <c r="E9" s="11">
        <f>IF(AND($B9="Forecast",C9&gt;0),D9/C9-1,"")</f>
        <v/>
      </c>
      <c r="F9" s="10">
        <f>SUMIFS(Data_Actuals!$E$2:$E$5000,Data_Actuals!$A$2:$A$5000,$A9)</f>
        <v/>
      </c>
      <c r="G9" s="10">
        <f>National!G16</f>
        <v/>
      </c>
      <c r="H9" s="11">
        <f>IF(AND($B9="Forecast",F9&gt;0),G9/F9-1,"")</f>
        <v/>
      </c>
      <c r="I9" s="16">
        <f>SUMIFS(Data_Actuals!$F$2:$F$5000,Data_Actuals!$A$2:$A$5000,$A9)</f>
        <v/>
      </c>
      <c r="J9" s="16">
        <f>National!H16</f>
        <v/>
      </c>
      <c r="K9" s="11">
        <f>IF(AND($B9="Forecast",I9&gt;0),J9/I9-1,"")</f>
        <v/>
      </c>
      <c r="L9" s="16">
        <f>SUMIFS(Data_Actuals!$G$2:$G$5000,Data_Actuals!$A$2:$A$5000,$A9)</f>
        <v/>
      </c>
      <c r="M9" s="16">
        <f>National!I16</f>
        <v/>
      </c>
      <c r="N9" s="11">
        <f>IF(AND($B9="Forecast",L9&gt;0),M9/L9-1,"")</f>
        <v/>
      </c>
      <c r="O9" s="17">
        <f>IFERROR(C9/F9,0)</f>
        <v/>
      </c>
      <c r="P9" s="17">
        <f>National!K16</f>
        <v/>
      </c>
      <c r="Q9" s="11">
        <f>IF(AND($B9="Forecast",O9&gt;0),P9/O9-1,"")</f>
        <v/>
      </c>
    </row>
    <row r="10">
      <c r="A10" s="9" t="n">
        <v>45717</v>
      </c>
      <c r="B10">
        <f>National!D17</f>
        <v/>
      </c>
      <c r="C10" s="15">
        <f>SUMIFS(Data_Actuals!$D$2:$D$5000,Data_Actuals!$A$2:$A$5000,$A10)</f>
        <v/>
      </c>
      <c r="D10" s="15">
        <f>National!F17</f>
        <v/>
      </c>
      <c r="E10" s="11">
        <f>IF(AND($B10="Forecast",C10&gt;0),D10/C10-1,"")</f>
        <v/>
      </c>
      <c r="F10" s="10">
        <f>SUMIFS(Data_Actuals!$E$2:$E$5000,Data_Actuals!$A$2:$A$5000,$A10)</f>
        <v/>
      </c>
      <c r="G10" s="10">
        <f>National!G17</f>
        <v/>
      </c>
      <c r="H10" s="11">
        <f>IF(AND($B10="Forecast",F10&gt;0),G10/F10-1,"")</f>
        <v/>
      </c>
      <c r="I10" s="16">
        <f>SUMIFS(Data_Actuals!$F$2:$F$5000,Data_Actuals!$A$2:$A$5000,$A10)</f>
        <v/>
      </c>
      <c r="J10" s="16">
        <f>National!H17</f>
        <v/>
      </c>
      <c r="K10" s="11">
        <f>IF(AND($B10="Forecast",I10&gt;0),J10/I10-1,"")</f>
        <v/>
      </c>
      <c r="L10" s="16">
        <f>SUMIFS(Data_Actuals!$G$2:$G$5000,Data_Actuals!$A$2:$A$5000,$A10)</f>
        <v/>
      </c>
      <c r="M10" s="16">
        <f>National!I17</f>
        <v/>
      </c>
      <c r="N10" s="11">
        <f>IF(AND($B10="Forecast",L10&gt;0),M10/L10-1,"")</f>
        <v/>
      </c>
      <c r="O10" s="17">
        <f>IFERROR(C10/F10,0)</f>
        <v/>
      </c>
      <c r="P10" s="17">
        <f>National!K17</f>
        <v/>
      </c>
      <c r="Q10" s="11">
        <f>IF(AND($B10="Forecast",O10&gt;0),P10/O10-1,"")</f>
        <v/>
      </c>
    </row>
    <row r="11">
      <c r="A11" s="9" t="n">
        <v>45748</v>
      </c>
      <c r="B11">
        <f>National!D18</f>
        <v/>
      </c>
      <c r="C11" s="15">
        <f>SUMIFS(Data_Actuals!$D$2:$D$5000,Data_Actuals!$A$2:$A$5000,$A11)</f>
        <v/>
      </c>
      <c r="D11" s="15">
        <f>National!F18</f>
        <v/>
      </c>
      <c r="E11" s="11">
        <f>IF(AND($B11="Forecast",C11&gt;0),D11/C11-1,"")</f>
        <v/>
      </c>
      <c r="F11" s="10">
        <f>SUMIFS(Data_Actuals!$E$2:$E$5000,Data_Actuals!$A$2:$A$5000,$A11)</f>
        <v/>
      </c>
      <c r="G11" s="10">
        <f>National!G18</f>
        <v/>
      </c>
      <c r="H11" s="11">
        <f>IF(AND($B11="Forecast",F11&gt;0),G11/F11-1,"")</f>
        <v/>
      </c>
      <c r="I11" s="16">
        <f>SUMIFS(Data_Actuals!$F$2:$F$5000,Data_Actuals!$A$2:$A$5000,$A11)</f>
        <v/>
      </c>
      <c r="J11" s="16">
        <f>National!H18</f>
        <v/>
      </c>
      <c r="K11" s="11">
        <f>IF(AND($B11="Forecast",I11&gt;0),J11/I11-1,"")</f>
        <v/>
      </c>
      <c r="L11" s="16">
        <f>SUMIFS(Data_Actuals!$G$2:$G$5000,Data_Actuals!$A$2:$A$5000,$A11)</f>
        <v/>
      </c>
      <c r="M11" s="16">
        <f>National!I18</f>
        <v/>
      </c>
      <c r="N11" s="11">
        <f>IF(AND($B11="Forecast",L11&gt;0),M11/L11-1,"")</f>
        <v/>
      </c>
      <c r="O11" s="17">
        <f>IFERROR(C11/F11,0)</f>
        <v/>
      </c>
      <c r="P11" s="17">
        <f>National!K18</f>
        <v/>
      </c>
      <c r="Q11" s="11">
        <f>IF(AND($B11="Forecast",O11&gt;0),P11/O11-1,"")</f>
        <v/>
      </c>
    </row>
    <row r="12">
      <c r="A12" s="9" t="n">
        <v>45778</v>
      </c>
      <c r="B12">
        <f>National!D19</f>
        <v/>
      </c>
      <c r="C12" s="15">
        <f>SUMIFS(Data_Actuals!$D$2:$D$5000,Data_Actuals!$A$2:$A$5000,$A12)</f>
        <v/>
      </c>
      <c r="D12" s="15">
        <f>National!F19</f>
        <v/>
      </c>
      <c r="E12" s="11">
        <f>IF(AND($B12="Forecast",C12&gt;0),D12/C12-1,"")</f>
        <v/>
      </c>
      <c r="F12" s="10">
        <f>SUMIFS(Data_Actuals!$E$2:$E$5000,Data_Actuals!$A$2:$A$5000,$A12)</f>
        <v/>
      </c>
      <c r="G12" s="10">
        <f>National!G19</f>
        <v/>
      </c>
      <c r="H12" s="11">
        <f>IF(AND($B12="Forecast",F12&gt;0),G12/F12-1,"")</f>
        <v/>
      </c>
      <c r="I12" s="16">
        <f>SUMIFS(Data_Actuals!$F$2:$F$5000,Data_Actuals!$A$2:$A$5000,$A12)</f>
        <v/>
      </c>
      <c r="J12" s="16">
        <f>National!H19</f>
        <v/>
      </c>
      <c r="K12" s="11">
        <f>IF(AND($B12="Forecast",I12&gt;0),J12/I12-1,"")</f>
        <v/>
      </c>
      <c r="L12" s="16">
        <f>SUMIFS(Data_Actuals!$G$2:$G$5000,Data_Actuals!$A$2:$A$5000,$A12)</f>
        <v/>
      </c>
      <c r="M12" s="16">
        <f>National!I19</f>
        <v/>
      </c>
      <c r="N12" s="11">
        <f>IF(AND($B12="Forecast",L12&gt;0),M12/L12-1,"")</f>
        <v/>
      </c>
      <c r="O12" s="17">
        <f>IFERROR(C12/F12,0)</f>
        <v/>
      </c>
      <c r="P12" s="17">
        <f>National!K19</f>
        <v/>
      </c>
      <c r="Q12" s="11">
        <f>IF(AND($B12="Forecast",O12&gt;0),P12/O12-1,"")</f>
        <v/>
      </c>
    </row>
    <row r="13">
      <c r="A13" s="9" t="n">
        <v>45809</v>
      </c>
      <c r="B13">
        <f>National!D20</f>
        <v/>
      </c>
      <c r="C13" s="15">
        <f>SUMIFS(Data_Actuals!$D$2:$D$5000,Data_Actuals!$A$2:$A$5000,$A13)</f>
        <v/>
      </c>
      <c r="D13" s="15">
        <f>National!F20</f>
        <v/>
      </c>
      <c r="E13" s="11">
        <f>IF(AND($B13="Forecast",C13&gt;0),D13/C13-1,"")</f>
        <v/>
      </c>
      <c r="F13" s="10">
        <f>SUMIFS(Data_Actuals!$E$2:$E$5000,Data_Actuals!$A$2:$A$5000,$A13)</f>
        <v/>
      </c>
      <c r="G13" s="10">
        <f>National!G20</f>
        <v/>
      </c>
      <c r="H13" s="11">
        <f>IF(AND($B13="Forecast",F13&gt;0),G13/F13-1,"")</f>
        <v/>
      </c>
      <c r="I13" s="16">
        <f>SUMIFS(Data_Actuals!$F$2:$F$5000,Data_Actuals!$A$2:$A$5000,$A13)</f>
        <v/>
      </c>
      <c r="J13" s="16">
        <f>National!H20</f>
        <v/>
      </c>
      <c r="K13" s="11">
        <f>IF(AND($B13="Forecast",I13&gt;0),J13/I13-1,"")</f>
        <v/>
      </c>
      <c r="L13" s="16">
        <f>SUMIFS(Data_Actuals!$G$2:$G$5000,Data_Actuals!$A$2:$A$5000,$A13)</f>
        <v/>
      </c>
      <c r="M13" s="16">
        <f>National!I20</f>
        <v/>
      </c>
      <c r="N13" s="11">
        <f>IF(AND($B13="Forecast",L13&gt;0),M13/L13-1,"")</f>
        <v/>
      </c>
      <c r="O13" s="17">
        <f>IFERROR(C13/F13,0)</f>
        <v/>
      </c>
      <c r="P13" s="17">
        <f>National!K20</f>
        <v/>
      </c>
      <c r="Q13" s="11">
        <f>IF(AND($B13="Forecast",O13&gt;0),P13/O13-1,"")</f>
        <v/>
      </c>
    </row>
    <row r="14">
      <c r="A14" s="9" t="n">
        <v>45839</v>
      </c>
      <c r="B14">
        <f>National!D21</f>
        <v/>
      </c>
      <c r="C14" s="15">
        <f>SUMIFS(Data_Actuals!$D$2:$D$5000,Data_Actuals!$A$2:$A$5000,$A14)</f>
        <v/>
      </c>
      <c r="D14" s="15">
        <f>National!F21</f>
        <v/>
      </c>
      <c r="E14" s="11">
        <f>IF(AND($B14="Forecast",C14&gt;0),D14/C14-1,"")</f>
        <v/>
      </c>
      <c r="F14" s="10">
        <f>SUMIFS(Data_Actuals!$E$2:$E$5000,Data_Actuals!$A$2:$A$5000,$A14)</f>
        <v/>
      </c>
      <c r="G14" s="10">
        <f>National!G21</f>
        <v/>
      </c>
      <c r="H14" s="11">
        <f>IF(AND($B14="Forecast",F14&gt;0),G14/F14-1,"")</f>
        <v/>
      </c>
      <c r="I14" s="16">
        <f>SUMIFS(Data_Actuals!$F$2:$F$5000,Data_Actuals!$A$2:$A$5000,$A14)</f>
        <v/>
      </c>
      <c r="J14" s="16">
        <f>National!H21</f>
        <v/>
      </c>
      <c r="K14" s="11">
        <f>IF(AND($B14="Forecast",I14&gt;0),J14/I14-1,"")</f>
        <v/>
      </c>
      <c r="L14" s="16">
        <f>SUMIFS(Data_Actuals!$G$2:$G$5000,Data_Actuals!$A$2:$A$5000,$A14)</f>
        <v/>
      </c>
      <c r="M14" s="16">
        <f>National!I21</f>
        <v/>
      </c>
      <c r="N14" s="11">
        <f>IF(AND($B14="Forecast",L14&gt;0),M14/L14-1,"")</f>
        <v/>
      </c>
      <c r="O14" s="17">
        <f>IFERROR(C14/F14,0)</f>
        <v/>
      </c>
      <c r="P14" s="17">
        <f>National!K21</f>
        <v/>
      </c>
      <c r="Q14" s="11">
        <f>IF(AND($B14="Forecast",O14&gt;0),P14/O14-1,"")</f>
        <v/>
      </c>
    </row>
    <row r="15">
      <c r="A15" s="9" t="n">
        <v>45870</v>
      </c>
      <c r="B15">
        <f>National!D22</f>
        <v/>
      </c>
      <c r="C15" s="15">
        <f>SUMIFS(Data_Actuals!$D$2:$D$5000,Data_Actuals!$A$2:$A$5000,$A15)</f>
        <v/>
      </c>
      <c r="D15" s="15">
        <f>National!F22</f>
        <v/>
      </c>
      <c r="E15" s="11">
        <f>IF(AND($B15="Forecast",C15&gt;0),D15/C15-1,"")</f>
        <v/>
      </c>
      <c r="F15" s="10">
        <f>SUMIFS(Data_Actuals!$E$2:$E$5000,Data_Actuals!$A$2:$A$5000,$A15)</f>
        <v/>
      </c>
      <c r="G15" s="10">
        <f>National!G22</f>
        <v/>
      </c>
      <c r="H15" s="11">
        <f>IF(AND($B15="Forecast",F15&gt;0),G15/F15-1,"")</f>
        <v/>
      </c>
      <c r="I15" s="16">
        <f>SUMIFS(Data_Actuals!$F$2:$F$5000,Data_Actuals!$A$2:$A$5000,$A15)</f>
        <v/>
      </c>
      <c r="J15" s="16">
        <f>National!H22</f>
        <v/>
      </c>
      <c r="K15" s="11">
        <f>IF(AND($B15="Forecast",I15&gt;0),J15/I15-1,"")</f>
        <v/>
      </c>
      <c r="L15" s="16">
        <f>SUMIFS(Data_Actuals!$G$2:$G$5000,Data_Actuals!$A$2:$A$5000,$A15)</f>
        <v/>
      </c>
      <c r="M15" s="16">
        <f>National!I22</f>
        <v/>
      </c>
      <c r="N15" s="11">
        <f>IF(AND($B15="Forecast",L15&gt;0),M15/L15-1,"")</f>
        <v/>
      </c>
      <c r="O15" s="17">
        <f>IFERROR(C15/F15,0)</f>
        <v/>
      </c>
      <c r="P15" s="17">
        <f>National!K22</f>
        <v/>
      </c>
      <c r="Q15" s="11">
        <f>IF(AND($B15="Forecast",O15&gt;0),P15/O15-1,"")</f>
        <v/>
      </c>
    </row>
    <row r="16">
      <c r="A16" s="9" t="n">
        <v>45901</v>
      </c>
      <c r="B16">
        <f>National!D23</f>
        <v/>
      </c>
      <c r="C16" s="15">
        <f>SUMIFS(Data_Actuals!$D$2:$D$5000,Data_Actuals!$A$2:$A$5000,$A16)</f>
        <v/>
      </c>
      <c r="D16" s="15">
        <f>National!F23</f>
        <v/>
      </c>
      <c r="E16" s="11">
        <f>IF(AND($B16="Forecast",C16&gt;0),D16/C16-1,"")</f>
        <v/>
      </c>
      <c r="F16" s="10">
        <f>SUMIFS(Data_Actuals!$E$2:$E$5000,Data_Actuals!$A$2:$A$5000,$A16)</f>
        <v/>
      </c>
      <c r="G16" s="10">
        <f>National!G23</f>
        <v/>
      </c>
      <c r="H16" s="11">
        <f>IF(AND($B16="Forecast",F16&gt;0),G16/F16-1,"")</f>
        <v/>
      </c>
      <c r="I16" s="16">
        <f>SUMIFS(Data_Actuals!$F$2:$F$5000,Data_Actuals!$A$2:$A$5000,$A16)</f>
        <v/>
      </c>
      <c r="J16" s="16">
        <f>National!H23</f>
        <v/>
      </c>
      <c r="K16" s="11">
        <f>IF(AND($B16="Forecast",I16&gt;0),J16/I16-1,"")</f>
        <v/>
      </c>
      <c r="L16" s="16">
        <f>SUMIFS(Data_Actuals!$G$2:$G$5000,Data_Actuals!$A$2:$A$5000,$A16)</f>
        <v/>
      </c>
      <c r="M16" s="16">
        <f>National!I23</f>
        <v/>
      </c>
      <c r="N16" s="11">
        <f>IF(AND($B16="Forecast",L16&gt;0),M16/L16-1,"")</f>
        <v/>
      </c>
      <c r="O16" s="17">
        <f>IFERROR(C16/F16,0)</f>
        <v/>
      </c>
      <c r="P16" s="17">
        <f>National!K23</f>
        <v/>
      </c>
      <c r="Q16" s="11">
        <f>IF(AND($B16="Forecast",O16&gt;0),P16/O16-1,"")</f>
        <v/>
      </c>
    </row>
    <row r="17">
      <c r="A17" s="9" t="n">
        <v>45931</v>
      </c>
      <c r="B17">
        <f>National!D24</f>
        <v/>
      </c>
      <c r="C17" s="15">
        <f>SUMIFS(Data_Actuals!$D$2:$D$5000,Data_Actuals!$A$2:$A$5000,$A17)</f>
        <v/>
      </c>
      <c r="D17" s="15">
        <f>National!F24</f>
        <v/>
      </c>
      <c r="E17" s="11">
        <f>IF(AND($B17="Forecast",C17&gt;0),D17/C17-1,"")</f>
        <v/>
      </c>
      <c r="F17" s="10">
        <f>SUMIFS(Data_Actuals!$E$2:$E$5000,Data_Actuals!$A$2:$A$5000,$A17)</f>
        <v/>
      </c>
      <c r="G17" s="10">
        <f>National!G24</f>
        <v/>
      </c>
      <c r="H17" s="11">
        <f>IF(AND($B17="Forecast",F17&gt;0),G17/F17-1,"")</f>
        <v/>
      </c>
      <c r="I17" s="16">
        <f>SUMIFS(Data_Actuals!$F$2:$F$5000,Data_Actuals!$A$2:$A$5000,$A17)</f>
        <v/>
      </c>
      <c r="J17" s="16">
        <f>National!H24</f>
        <v/>
      </c>
      <c r="K17" s="11">
        <f>IF(AND($B17="Forecast",I17&gt;0),J17/I17-1,"")</f>
        <v/>
      </c>
      <c r="L17" s="16">
        <f>SUMIFS(Data_Actuals!$G$2:$G$5000,Data_Actuals!$A$2:$A$5000,$A17)</f>
        <v/>
      </c>
      <c r="M17" s="16">
        <f>National!I24</f>
        <v/>
      </c>
      <c r="N17" s="11">
        <f>IF(AND($B17="Forecast",L17&gt;0),M17/L17-1,"")</f>
        <v/>
      </c>
      <c r="O17" s="17">
        <f>IFERROR(C17/F17,0)</f>
        <v/>
      </c>
      <c r="P17" s="17">
        <f>National!K24</f>
        <v/>
      </c>
      <c r="Q17" s="11">
        <f>IF(AND($B17="Forecast",O17&gt;0),P17/O17-1,"")</f>
        <v/>
      </c>
    </row>
    <row r="18">
      <c r="A18" s="9" t="n">
        <v>45962</v>
      </c>
      <c r="B18">
        <f>National!D25</f>
        <v/>
      </c>
      <c r="C18" s="15">
        <f>SUMIFS(Data_Actuals!$D$2:$D$5000,Data_Actuals!$A$2:$A$5000,$A18)</f>
        <v/>
      </c>
      <c r="D18" s="15">
        <f>National!F25</f>
        <v/>
      </c>
      <c r="E18" s="11">
        <f>IF(AND($B18="Forecast",C18&gt;0),D18/C18-1,"")</f>
        <v/>
      </c>
      <c r="F18" s="10">
        <f>SUMIFS(Data_Actuals!$E$2:$E$5000,Data_Actuals!$A$2:$A$5000,$A18)</f>
        <v/>
      </c>
      <c r="G18" s="10">
        <f>National!G25</f>
        <v/>
      </c>
      <c r="H18" s="11">
        <f>IF(AND($B18="Forecast",F18&gt;0),G18/F18-1,"")</f>
        <v/>
      </c>
      <c r="I18" s="16">
        <f>SUMIFS(Data_Actuals!$F$2:$F$5000,Data_Actuals!$A$2:$A$5000,$A18)</f>
        <v/>
      </c>
      <c r="J18" s="16">
        <f>National!H25</f>
        <v/>
      </c>
      <c r="K18" s="11">
        <f>IF(AND($B18="Forecast",I18&gt;0),J18/I18-1,"")</f>
        <v/>
      </c>
      <c r="L18" s="16">
        <f>SUMIFS(Data_Actuals!$G$2:$G$5000,Data_Actuals!$A$2:$A$5000,$A18)</f>
        <v/>
      </c>
      <c r="M18" s="16">
        <f>National!I25</f>
        <v/>
      </c>
      <c r="N18" s="11">
        <f>IF(AND($B18="Forecast",L18&gt;0),M18/L18-1,"")</f>
        <v/>
      </c>
      <c r="O18" s="17">
        <f>IFERROR(C18/F18,0)</f>
        <v/>
      </c>
      <c r="P18" s="17">
        <f>National!K25</f>
        <v/>
      </c>
      <c r="Q18" s="11">
        <f>IF(AND($B18="Forecast",O18&gt;0),P18/O18-1,"")</f>
        <v/>
      </c>
    </row>
    <row r="19">
      <c r="A19" s="9" t="n">
        <v>45992</v>
      </c>
      <c r="B19">
        <f>National!D26</f>
        <v/>
      </c>
      <c r="C19" s="15">
        <f>SUMIFS(Data_Actuals!$D$2:$D$5000,Data_Actuals!$A$2:$A$5000,$A19)</f>
        <v/>
      </c>
      <c r="D19" s="15">
        <f>National!F26</f>
        <v/>
      </c>
      <c r="E19" s="11">
        <f>IF(AND($B19="Forecast",C19&gt;0),D19/C19-1,"")</f>
        <v/>
      </c>
      <c r="F19" s="10">
        <f>SUMIFS(Data_Actuals!$E$2:$E$5000,Data_Actuals!$A$2:$A$5000,$A19)</f>
        <v/>
      </c>
      <c r="G19" s="10">
        <f>National!G26</f>
        <v/>
      </c>
      <c r="H19" s="11">
        <f>IF(AND($B19="Forecast",F19&gt;0),G19/F19-1,"")</f>
        <v/>
      </c>
      <c r="I19" s="16">
        <f>SUMIFS(Data_Actuals!$F$2:$F$5000,Data_Actuals!$A$2:$A$5000,$A19)</f>
        <v/>
      </c>
      <c r="J19" s="16">
        <f>National!H26</f>
        <v/>
      </c>
      <c r="K19" s="11">
        <f>IF(AND($B19="Forecast",I19&gt;0),J19/I19-1,"")</f>
        <v/>
      </c>
      <c r="L19" s="16">
        <f>SUMIFS(Data_Actuals!$G$2:$G$5000,Data_Actuals!$A$2:$A$5000,$A19)</f>
        <v/>
      </c>
      <c r="M19" s="16">
        <f>National!I26</f>
        <v/>
      </c>
      <c r="N19" s="11">
        <f>IF(AND($B19="Forecast",L19&gt;0),M19/L19-1,"")</f>
        <v/>
      </c>
      <c r="O19" s="17">
        <f>IFERROR(C19/F19,0)</f>
        <v/>
      </c>
      <c r="P19" s="17">
        <f>National!K26</f>
        <v/>
      </c>
      <c r="Q19" s="11">
        <f>IF(AND($B19="Forecast",O19&gt;0),P19/O19-1,"")</f>
        <v/>
      </c>
    </row>
    <row r="20">
      <c r="A20" s="9" t="n">
        <v>46023</v>
      </c>
      <c r="B20">
        <f>National!D27</f>
        <v/>
      </c>
      <c r="C20" s="15">
        <f>SUMIFS(Data_Actuals!$D$2:$D$5000,Data_Actuals!$A$2:$A$5000,$A20)</f>
        <v/>
      </c>
      <c r="D20" s="15">
        <f>National!F27</f>
        <v/>
      </c>
      <c r="E20" s="11">
        <f>IF(AND($B20="Forecast",C20&gt;0),D20/C20-1,"")</f>
        <v/>
      </c>
      <c r="F20" s="10">
        <f>SUMIFS(Data_Actuals!$E$2:$E$5000,Data_Actuals!$A$2:$A$5000,$A20)</f>
        <v/>
      </c>
      <c r="G20" s="10">
        <f>National!G27</f>
        <v/>
      </c>
      <c r="H20" s="11">
        <f>IF(AND($B20="Forecast",F20&gt;0),G20/F20-1,"")</f>
        <v/>
      </c>
      <c r="I20" s="16">
        <f>SUMIFS(Data_Actuals!$F$2:$F$5000,Data_Actuals!$A$2:$A$5000,$A20)</f>
        <v/>
      </c>
      <c r="J20" s="16">
        <f>National!H27</f>
        <v/>
      </c>
      <c r="K20" s="11">
        <f>IF(AND($B20="Forecast",I20&gt;0),J20/I20-1,"")</f>
        <v/>
      </c>
      <c r="L20" s="16">
        <f>SUMIFS(Data_Actuals!$G$2:$G$5000,Data_Actuals!$A$2:$A$5000,$A20)</f>
        <v/>
      </c>
      <c r="M20" s="16">
        <f>National!I27</f>
        <v/>
      </c>
      <c r="N20" s="11">
        <f>IF(AND($B20="Forecast",L20&gt;0),M20/L20-1,"")</f>
        <v/>
      </c>
      <c r="O20" s="17">
        <f>IFERROR(C20/F20,0)</f>
        <v/>
      </c>
      <c r="P20" s="17">
        <f>National!K27</f>
        <v/>
      </c>
      <c r="Q20" s="11">
        <f>IF(AND($B20="Forecast",O20&gt;0),P20/O20-1,"")</f>
        <v/>
      </c>
    </row>
    <row r="21">
      <c r="A21" s="9" t="n">
        <v>46054</v>
      </c>
      <c r="B21">
        <f>National!D28</f>
        <v/>
      </c>
      <c r="C21" s="15">
        <f>SUMIFS(Data_Actuals!$D$2:$D$5000,Data_Actuals!$A$2:$A$5000,$A21)</f>
        <v/>
      </c>
      <c r="D21" s="15">
        <f>National!F28</f>
        <v/>
      </c>
      <c r="E21" s="11">
        <f>IF(AND($B21="Forecast",C21&gt;0),D21/C21-1,"")</f>
        <v/>
      </c>
      <c r="F21" s="10">
        <f>SUMIFS(Data_Actuals!$E$2:$E$5000,Data_Actuals!$A$2:$A$5000,$A21)</f>
        <v/>
      </c>
      <c r="G21" s="10">
        <f>National!G28</f>
        <v/>
      </c>
      <c r="H21" s="11">
        <f>IF(AND($B21="Forecast",F21&gt;0),G21/F21-1,"")</f>
        <v/>
      </c>
      <c r="I21" s="16">
        <f>SUMIFS(Data_Actuals!$F$2:$F$5000,Data_Actuals!$A$2:$A$5000,$A21)</f>
        <v/>
      </c>
      <c r="J21" s="16">
        <f>National!H28</f>
        <v/>
      </c>
      <c r="K21" s="11">
        <f>IF(AND($B21="Forecast",I21&gt;0),J21/I21-1,"")</f>
        <v/>
      </c>
      <c r="L21" s="16">
        <f>SUMIFS(Data_Actuals!$G$2:$G$5000,Data_Actuals!$A$2:$A$5000,$A21)</f>
        <v/>
      </c>
      <c r="M21" s="16">
        <f>National!I28</f>
        <v/>
      </c>
      <c r="N21" s="11">
        <f>IF(AND($B21="Forecast",L21&gt;0),M21/L21-1,"")</f>
        <v/>
      </c>
      <c r="O21" s="17">
        <f>IFERROR(C21/F21,0)</f>
        <v/>
      </c>
      <c r="P21" s="17">
        <f>National!K28</f>
        <v/>
      </c>
      <c r="Q21" s="11">
        <f>IF(AND($B21="Forecast",O21&gt;0),P21/O21-1,"")</f>
        <v/>
      </c>
    </row>
    <row r="22">
      <c r="A22" s="9" t="n">
        <v>46082</v>
      </c>
      <c r="B22">
        <f>National!D29</f>
        <v/>
      </c>
      <c r="C22" s="15">
        <f>SUMIFS(Data_Actuals!$D$2:$D$5000,Data_Actuals!$A$2:$A$5000,$A22)</f>
        <v/>
      </c>
      <c r="D22" s="15">
        <f>National!F29</f>
        <v/>
      </c>
      <c r="E22" s="11">
        <f>IF(AND($B22="Forecast",C22&gt;0),D22/C22-1,"")</f>
        <v/>
      </c>
      <c r="F22" s="10">
        <f>SUMIFS(Data_Actuals!$E$2:$E$5000,Data_Actuals!$A$2:$A$5000,$A22)</f>
        <v/>
      </c>
      <c r="G22" s="10">
        <f>National!G29</f>
        <v/>
      </c>
      <c r="H22" s="11">
        <f>IF(AND($B22="Forecast",F22&gt;0),G22/F22-1,"")</f>
        <v/>
      </c>
      <c r="I22" s="16">
        <f>SUMIFS(Data_Actuals!$F$2:$F$5000,Data_Actuals!$A$2:$A$5000,$A22)</f>
        <v/>
      </c>
      <c r="J22" s="16">
        <f>National!H29</f>
        <v/>
      </c>
      <c r="K22" s="11">
        <f>IF(AND($B22="Forecast",I22&gt;0),J22/I22-1,"")</f>
        <v/>
      </c>
      <c r="L22" s="16">
        <f>SUMIFS(Data_Actuals!$G$2:$G$5000,Data_Actuals!$A$2:$A$5000,$A22)</f>
        <v/>
      </c>
      <c r="M22" s="16">
        <f>National!I29</f>
        <v/>
      </c>
      <c r="N22" s="11">
        <f>IF(AND($B22="Forecast",L22&gt;0),M22/L22-1,"")</f>
        <v/>
      </c>
      <c r="O22" s="17">
        <f>IFERROR(C22/F22,0)</f>
        <v/>
      </c>
      <c r="P22" s="17">
        <f>National!K29</f>
        <v/>
      </c>
      <c r="Q22" s="11">
        <f>IF(AND($B22="Forecast",O22&gt;0),P22/O22-1,"")</f>
        <v/>
      </c>
    </row>
    <row r="23">
      <c r="A23" s="9" t="n">
        <v>46113</v>
      </c>
      <c r="B23">
        <f>National!D30</f>
        <v/>
      </c>
      <c r="C23" s="15">
        <f>SUMIFS(Data_Actuals!$D$2:$D$5000,Data_Actuals!$A$2:$A$5000,$A23)</f>
        <v/>
      </c>
      <c r="D23" s="15">
        <f>National!F30</f>
        <v/>
      </c>
      <c r="E23" s="11">
        <f>IF(AND($B23="Forecast",C23&gt;0),D23/C23-1,"")</f>
        <v/>
      </c>
      <c r="F23" s="10">
        <f>SUMIFS(Data_Actuals!$E$2:$E$5000,Data_Actuals!$A$2:$A$5000,$A23)</f>
        <v/>
      </c>
      <c r="G23" s="10">
        <f>National!G30</f>
        <v/>
      </c>
      <c r="H23" s="11">
        <f>IF(AND($B23="Forecast",F23&gt;0),G23/F23-1,"")</f>
        <v/>
      </c>
      <c r="I23" s="16">
        <f>SUMIFS(Data_Actuals!$F$2:$F$5000,Data_Actuals!$A$2:$A$5000,$A23)</f>
        <v/>
      </c>
      <c r="J23" s="16">
        <f>National!H30</f>
        <v/>
      </c>
      <c r="K23" s="11">
        <f>IF(AND($B23="Forecast",I23&gt;0),J23/I23-1,"")</f>
        <v/>
      </c>
      <c r="L23" s="16">
        <f>SUMIFS(Data_Actuals!$G$2:$G$5000,Data_Actuals!$A$2:$A$5000,$A23)</f>
        <v/>
      </c>
      <c r="M23" s="16">
        <f>National!I30</f>
        <v/>
      </c>
      <c r="N23" s="11">
        <f>IF(AND($B23="Forecast",L23&gt;0),M23/L23-1,"")</f>
        <v/>
      </c>
      <c r="O23" s="17">
        <f>IFERROR(C23/F23,0)</f>
        <v/>
      </c>
      <c r="P23" s="17">
        <f>National!K30</f>
        <v/>
      </c>
      <c r="Q23" s="11">
        <f>IF(AND($B23="Forecast",O23&gt;0),P23/O23-1,"")</f>
        <v/>
      </c>
    </row>
    <row r="24">
      <c r="A24" s="9" t="n">
        <v>46143</v>
      </c>
      <c r="B24">
        <f>National!D31</f>
        <v/>
      </c>
      <c r="C24" s="15">
        <f>SUMIFS(Data_Actuals!$D$2:$D$5000,Data_Actuals!$A$2:$A$5000,$A24)</f>
        <v/>
      </c>
      <c r="D24" s="15">
        <f>National!F31</f>
        <v/>
      </c>
      <c r="E24" s="11">
        <f>IF(AND($B24="Forecast",C24&gt;0),D24/C24-1,"")</f>
        <v/>
      </c>
      <c r="F24" s="10">
        <f>SUMIFS(Data_Actuals!$E$2:$E$5000,Data_Actuals!$A$2:$A$5000,$A24)</f>
        <v/>
      </c>
      <c r="G24" s="10">
        <f>National!G31</f>
        <v/>
      </c>
      <c r="H24" s="11">
        <f>IF(AND($B24="Forecast",F24&gt;0),G24/F24-1,"")</f>
        <v/>
      </c>
      <c r="I24" s="16">
        <f>SUMIFS(Data_Actuals!$F$2:$F$5000,Data_Actuals!$A$2:$A$5000,$A24)</f>
        <v/>
      </c>
      <c r="J24" s="16">
        <f>National!H31</f>
        <v/>
      </c>
      <c r="K24" s="11">
        <f>IF(AND($B24="Forecast",I24&gt;0),J24/I24-1,"")</f>
        <v/>
      </c>
      <c r="L24" s="16">
        <f>SUMIFS(Data_Actuals!$G$2:$G$5000,Data_Actuals!$A$2:$A$5000,$A24)</f>
        <v/>
      </c>
      <c r="M24" s="16">
        <f>National!I31</f>
        <v/>
      </c>
      <c r="N24" s="11">
        <f>IF(AND($B24="Forecast",L24&gt;0),M24/L24-1,"")</f>
        <v/>
      </c>
      <c r="O24" s="17">
        <f>IFERROR(C24/F24,0)</f>
        <v/>
      </c>
      <c r="P24" s="17">
        <f>National!K31</f>
        <v/>
      </c>
      <c r="Q24" s="11">
        <f>IF(AND($B24="Forecast",O24&gt;0),P24/O24-1,"")</f>
        <v/>
      </c>
    </row>
    <row r="25">
      <c r="A25" s="9" t="n">
        <v>46174</v>
      </c>
      <c r="B25">
        <f>National!D32</f>
        <v/>
      </c>
      <c r="C25" s="15">
        <f>SUMIFS(Data_Actuals!$D$2:$D$5000,Data_Actuals!$A$2:$A$5000,$A25)</f>
        <v/>
      </c>
      <c r="D25" s="15">
        <f>National!F32</f>
        <v/>
      </c>
      <c r="E25" s="11">
        <f>IF(AND($B25="Forecast",C25&gt;0),D25/C25-1,"")</f>
        <v/>
      </c>
      <c r="F25" s="10">
        <f>SUMIFS(Data_Actuals!$E$2:$E$5000,Data_Actuals!$A$2:$A$5000,$A25)</f>
        <v/>
      </c>
      <c r="G25" s="10">
        <f>National!G32</f>
        <v/>
      </c>
      <c r="H25" s="11">
        <f>IF(AND($B25="Forecast",F25&gt;0),G25/F25-1,"")</f>
        <v/>
      </c>
      <c r="I25" s="16">
        <f>SUMIFS(Data_Actuals!$F$2:$F$5000,Data_Actuals!$A$2:$A$5000,$A25)</f>
        <v/>
      </c>
      <c r="J25" s="16">
        <f>National!H32</f>
        <v/>
      </c>
      <c r="K25" s="11">
        <f>IF(AND($B25="Forecast",I25&gt;0),J25/I25-1,"")</f>
        <v/>
      </c>
      <c r="L25" s="16">
        <f>SUMIFS(Data_Actuals!$G$2:$G$5000,Data_Actuals!$A$2:$A$5000,$A25)</f>
        <v/>
      </c>
      <c r="M25" s="16">
        <f>National!I32</f>
        <v/>
      </c>
      <c r="N25" s="11">
        <f>IF(AND($B25="Forecast",L25&gt;0),M25/L25-1,"")</f>
        <v/>
      </c>
      <c r="O25" s="17">
        <f>IFERROR(C25/F25,0)</f>
        <v/>
      </c>
      <c r="P25" s="17">
        <f>National!K32</f>
        <v/>
      </c>
      <c r="Q25" s="11">
        <f>IF(AND($B25="Forecast",O25&gt;0),P25/O25-1,"")</f>
        <v/>
      </c>
    </row>
    <row r="26">
      <c r="A26" s="9" t="n">
        <v>46204</v>
      </c>
      <c r="B26">
        <f>National!D33</f>
        <v/>
      </c>
      <c r="C26" s="15">
        <f>SUMIFS(Data_Actuals!$D$2:$D$5000,Data_Actuals!$A$2:$A$5000,$A26)</f>
        <v/>
      </c>
      <c r="D26" s="15">
        <f>National!F33</f>
        <v/>
      </c>
      <c r="E26" s="11">
        <f>IF(AND($B26="Forecast",C26&gt;0),D26/C26-1,"")</f>
        <v/>
      </c>
      <c r="F26" s="10">
        <f>SUMIFS(Data_Actuals!$E$2:$E$5000,Data_Actuals!$A$2:$A$5000,$A26)</f>
        <v/>
      </c>
      <c r="G26" s="10">
        <f>National!G33</f>
        <v/>
      </c>
      <c r="H26" s="11">
        <f>IF(AND($B26="Forecast",F26&gt;0),G26/F26-1,"")</f>
        <v/>
      </c>
      <c r="I26" s="16">
        <f>SUMIFS(Data_Actuals!$F$2:$F$5000,Data_Actuals!$A$2:$A$5000,$A26)</f>
        <v/>
      </c>
      <c r="J26" s="16">
        <f>National!H33</f>
        <v/>
      </c>
      <c r="K26" s="11">
        <f>IF(AND($B26="Forecast",I26&gt;0),J26/I26-1,"")</f>
        <v/>
      </c>
      <c r="L26" s="16">
        <f>SUMIFS(Data_Actuals!$G$2:$G$5000,Data_Actuals!$A$2:$A$5000,$A26)</f>
        <v/>
      </c>
      <c r="M26" s="16">
        <f>National!I33</f>
        <v/>
      </c>
      <c r="N26" s="11">
        <f>IF(AND($B26="Forecast",L26&gt;0),M26/L26-1,"")</f>
        <v/>
      </c>
      <c r="O26" s="17">
        <f>IFERROR(C26/F26,0)</f>
        <v/>
      </c>
      <c r="P26" s="17">
        <f>National!K33</f>
        <v/>
      </c>
      <c r="Q26" s="11">
        <f>IF(AND($B26="Forecast",O26&gt;0),P26/O26-1,"")</f>
        <v/>
      </c>
    </row>
    <row r="27">
      <c r="A27" s="9" t="n">
        <v>46235</v>
      </c>
      <c r="B27">
        <f>National!D34</f>
        <v/>
      </c>
      <c r="C27" s="15">
        <f>SUMIFS(Data_Actuals!$D$2:$D$5000,Data_Actuals!$A$2:$A$5000,$A27)</f>
        <v/>
      </c>
      <c r="D27" s="15">
        <f>National!F34</f>
        <v/>
      </c>
      <c r="E27" s="11">
        <f>IF(AND($B27="Forecast",C27&gt;0),D27/C27-1,"")</f>
        <v/>
      </c>
      <c r="F27" s="10">
        <f>SUMIFS(Data_Actuals!$E$2:$E$5000,Data_Actuals!$A$2:$A$5000,$A27)</f>
        <v/>
      </c>
      <c r="G27" s="10">
        <f>National!G34</f>
        <v/>
      </c>
      <c r="H27" s="11">
        <f>IF(AND($B27="Forecast",F27&gt;0),G27/F27-1,"")</f>
        <v/>
      </c>
      <c r="I27" s="16">
        <f>SUMIFS(Data_Actuals!$F$2:$F$5000,Data_Actuals!$A$2:$A$5000,$A27)</f>
        <v/>
      </c>
      <c r="J27" s="16">
        <f>National!H34</f>
        <v/>
      </c>
      <c r="K27" s="11">
        <f>IF(AND($B27="Forecast",I27&gt;0),J27/I27-1,"")</f>
        <v/>
      </c>
      <c r="L27" s="16">
        <f>SUMIFS(Data_Actuals!$G$2:$G$5000,Data_Actuals!$A$2:$A$5000,$A27)</f>
        <v/>
      </c>
      <c r="M27" s="16">
        <f>National!I34</f>
        <v/>
      </c>
      <c r="N27" s="11">
        <f>IF(AND($B27="Forecast",L27&gt;0),M27/L27-1,"")</f>
        <v/>
      </c>
      <c r="O27" s="17">
        <f>IFERROR(C27/F27,0)</f>
        <v/>
      </c>
      <c r="P27" s="17">
        <f>National!K34</f>
        <v/>
      </c>
      <c r="Q27" s="11">
        <f>IF(AND($B27="Forecast",O27&gt;0),P27/O27-1,"")</f>
        <v/>
      </c>
    </row>
    <row r="28">
      <c r="A28" s="9" t="n">
        <v>46266</v>
      </c>
      <c r="B28">
        <f>National!D35</f>
        <v/>
      </c>
      <c r="C28" s="15">
        <f>SUMIFS(Data_Actuals!$D$2:$D$5000,Data_Actuals!$A$2:$A$5000,$A28)</f>
        <v/>
      </c>
      <c r="D28" s="15">
        <f>National!F35</f>
        <v/>
      </c>
      <c r="E28" s="11">
        <f>IF(AND($B28="Forecast",C28&gt;0),D28/C28-1,"")</f>
        <v/>
      </c>
      <c r="F28" s="10">
        <f>SUMIFS(Data_Actuals!$E$2:$E$5000,Data_Actuals!$A$2:$A$5000,$A28)</f>
        <v/>
      </c>
      <c r="G28" s="10">
        <f>National!G35</f>
        <v/>
      </c>
      <c r="H28" s="11">
        <f>IF(AND($B28="Forecast",F28&gt;0),G28/F28-1,"")</f>
        <v/>
      </c>
      <c r="I28" s="16">
        <f>SUMIFS(Data_Actuals!$F$2:$F$5000,Data_Actuals!$A$2:$A$5000,$A28)</f>
        <v/>
      </c>
      <c r="J28" s="16">
        <f>National!H35</f>
        <v/>
      </c>
      <c r="K28" s="11">
        <f>IF(AND($B28="Forecast",I28&gt;0),J28/I28-1,"")</f>
        <v/>
      </c>
      <c r="L28" s="16">
        <f>SUMIFS(Data_Actuals!$G$2:$G$5000,Data_Actuals!$A$2:$A$5000,$A28)</f>
        <v/>
      </c>
      <c r="M28" s="16">
        <f>National!I35</f>
        <v/>
      </c>
      <c r="N28" s="11">
        <f>IF(AND($B28="Forecast",L28&gt;0),M28/L28-1,"")</f>
        <v/>
      </c>
      <c r="O28" s="17">
        <f>IFERROR(C28/F28,0)</f>
        <v/>
      </c>
      <c r="P28" s="17">
        <f>National!K35</f>
        <v/>
      </c>
      <c r="Q28" s="11">
        <f>IF(AND($B28="Forecast",O28&gt;0),P28/O28-1,"")</f>
        <v/>
      </c>
    </row>
    <row r="29">
      <c r="A29" s="9" t="n">
        <v>46296</v>
      </c>
      <c r="B29">
        <f>National!D36</f>
        <v/>
      </c>
      <c r="C29" s="15">
        <f>SUMIFS(Data_Actuals!$D$2:$D$5000,Data_Actuals!$A$2:$A$5000,$A29)</f>
        <v/>
      </c>
      <c r="D29" s="15">
        <f>National!F36</f>
        <v/>
      </c>
      <c r="E29" s="11">
        <f>IF(AND($B29="Forecast",C29&gt;0),D29/C29-1,"")</f>
        <v/>
      </c>
      <c r="F29" s="10">
        <f>SUMIFS(Data_Actuals!$E$2:$E$5000,Data_Actuals!$A$2:$A$5000,$A29)</f>
        <v/>
      </c>
      <c r="G29" s="10">
        <f>National!G36</f>
        <v/>
      </c>
      <c r="H29" s="11">
        <f>IF(AND($B29="Forecast",F29&gt;0),G29/F29-1,"")</f>
        <v/>
      </c>
      <c r="I29" s="16">
        <f>SUMIFS(Data_Actuals!$F$2:$F$5000,Data_Actuals!$A$2:$A$5000,$A29)</f>
        <v/>
      </c>
      <c r="J29" s="16">
        <f>National!H36</f>
        <v/>
      </c>
      <c r="K29" s="11">
        <f>IF(AND($B29="Forecast",I29&gt;0),J29/I29-1,"")</f>
        <v/>
      </c>
      <c r="L29" s="16">
        <f>SUMIFS(Data_Actuals!$G$2:$G$5000,Data_Actuals!$A$2:$A$5000,$A29)</f>
        <v/>
      </c>
      <c r="M29" s="16">
        <f>National!I36</f>
        <v/>
      </c>
      <c r="N29" s="11">
        <f>IF(AND($B29="Forecast",L29&gt;0),M29/L29-1,"")</f>
        <v/>
      </c>
      <c r="O29" s="17">
        <f>IFERROR(C29/F29,0)</f>
        <v/>
      </c>
      <c r="P29" s="17">
        <f>National!K36</f>
        <v/>
      </c>
      <c r="Q29" s="11">
        <f>IF(AND($B29="Forecast",O29&gt;0),P29/O29-1,"")</f>
        <v/>
      </c>
    </row>
    <row r="30">
      <c r="A30" s="9" t="n">
        <v>46327</v>
      </c>
      <c r="B30">
        <f>National!D37</f>
        <v/>
      </c>
      <c r="C30" s="15">
        <f>SUMIFS(Data_Actuals!$D$2:$D$5000,Data_Actuals!$A$2:$A$5000,$A30)</f>
        <v/>
      </c>
      <c r="D30" s="15">
        <f>National!F37</f>
        <v/>
      </c>
      <c r="E30" s="11">
        <f>IF(AND($B30="Forecast",C30&gt;0),D30/C30-1,"")</f>
        <v/>
      </c>
      <c r="F30" s="10">
        <f>SUMIFS(Data_Actuals!$E$2:$E$5000,Data_Actuals!$A$2:$A$5000,$A30)</f>
        <v/>
      </c>
      <c r="G30" s="10">
        <f>National!G37</f>
        <v/>
      </c>
      <c r="H30" s="11">
        <f>IF(AND($B30="Forecast",F30&gt;0),G30/F30-1,"")</f>
        <v/>
      </c>
      <c r="I30" s="16">
        <f>SUMIFS(Data_Actuals!$F$2:$F$5000,Data_Actuals!$A$2:$A$5000,$A30)</f>
        <v/>
      </c>
      <c r="J30" s="16">
        <f>National!H37</f>
        <v/>
      </c>
      <c r="K30" s="11">
        <f>IF(AND($B30="Forecast",I30&gt;0),J30/I30-1,"")</f>
        <v/>
      </c>
      <c r="L30" s="16">
        <f>SUMIFS(Data_Actuals!$G$2:$G$5000,Data_Actuals!$A$2:$A$5000,$A30)</f>
        <v/>
      </c>
      <c r="M30" s="16">
        <f>National!I37</f>
        <v/>
      </c>
      <c r="N30" s="11">
        <f>IF(AND($B30="Forecast",L30&gt;0),M30/L30-1,"")</f>
        <v/>
      </c>
      <c r="O30" s="17">
        <f>IFERROR(C30/F30,0)</f>
        <v/>
      </c>
      <c r="P30" s="17">
        <f>National!K37</f>
        <v/>
      </c>
      <c r="Q30" s="11">
        <f>IF(AND($B30="Forecast",O30&gt;0),P30/O30-1,"")</f>
        <v/>
      </c>
    </row>
    <row r="31">
      <c r="A31" s="9" t="n">
        <v>46357</v>
      </c>
      <c r="B31">
        <f>National!D38</f>
        <v/>
      </c>
      <c r="C31" s="15">
        <f>SUMIFS(Data_Actuals!$D$2:$D$5000,Data_Actuals!$A$2:$A$5000,$A31)</f>
        <v/>
      </c>
      <c r="D31" s="15">
        <f>National!F38</f>
        <v/>
      </c>
      <c r="E31" s="11">
        <f>IF(AND($B31="Forecast",C31&gt;0),D31/C31-1,"")</f>
        <v/>
      </c>
      <c r="F31" s="10">
        <f>SUMIFS(Data_Actuals!$E$2:$E$5000,Data_Actuals!$A$2:$A$5000,$A31)</f>
        <v/>
      </c>
      <c r="G31" s="10">
        <f>National!G38</f>
        <v/>
      </c>
      <c r="H31" s="11">
        <f>IF(AND($B31="Forecast",F31&gt;0),G31/F31-1,"")</f>
        <v/>
      </c>
      <c r="I31" s="16">
        <f>SUMIFS(Data_Actuals!$F$2:$F$5000,Data_Actuals!$A$2:$A$5000,$A31)</f>
        <v/>
      </c>
      <c r="J31" s="16">
        <f>National!H38</f>
        <v/>
      </c>
      <c r="K31" s="11">
        <f>IF(AND($B31="Forecast",I31&gt;0),J31/I31-1,"")</f>
        <v/>
      </c>
      <c r="L31" s="16">
        <f>SUMIFS(Data_Actuals!$G$2:$G$5000,Data_Actuals!$A$2:$A$5000,$A31)</f>
        <v/>
      </c>
      <c r="M31" s="16">
        <f>National!I38</f>
        <v/>
      </c>
      <c r="N31" s="11">
        <f>IF(AND($B31="Forecast",L31&gt;0),M31/L31-1,"")</f>
        <v/>
      </c>
      <c r="O31" s="17">
        <f>IFERROR(C31/F31,0)</f>
        <v/>
      </c>
      <c r="P31" s="17">
        <f>National!K38</f>
        <v/>
      </c>
      <c r="Q31" s="11">
        <f>IF(AND($B31="Forecast",O31&gt;0),P31/O31-1,"")</f>
        <v/>
      </c>
    </row>
    <row r="32">
      <c r="A32" s="9" t="n">
        <v>46388</v>
      </c>
      <c r="B32">
        <f>National!D39</f>
        <v/>
      </c>
      <c r="C32" s="15">
        <f>SUMIFS(Data_Actuals!$D$2:$D$5000,Data_Actuals!$A$2:$A$5000,$A32)</f>
        <v/>
      </c>
      <c r="D32" s="15">
        <f>National!F39</f>
        <v/>
      </c>
      <c r="E32" s="11">
        <f>IF(AND($B32="Forecast",C32&gt;0),D32/C32-1,"")</f>
        <v/>
      </c>
      <c r="F32" s="10">
        <f>SUMIFS(Data_Actuals!$E$2:$E$5000,Data_Actuals!$A$2:$A$5000,$A32)</f>
        <v/>
      </c>
      <c r="G32" s="10">
        <f>National!G39</f>
        <v/>
      </c>
      <c r="H32" s="11">
        <f>IF(AND($B32="Forecast",F32&gt;0),G32/F32-1,"")</f>
        <v/>
      </c>
      <c r="I32" s="16">
        <f>SUMIFS(Data_Actuals!$F$2:$F$5000,Data_Actuals!$A$2:$A$5000,$A32)</f>
        <v/>
      </c>
      <c r="J32" s="16">
        <f>National!H39</f>
        <v/>
      </c>
      <c r="K32" s="11">
        <f>IF(AND($B32="Forecast",I32&gt;0),J32/I32-1,"")</f>
        <v/>
      </c>
      <c r="L32" s="16">
        <f>SUMIFS(Data_Actuals!$G$2:$G$5000,Data_Actuals!$A$2:$A$5000,$A32)</f>
        <v/>
      </c>
      <c r="M32" s="16">
        <f>National!I39</f>
        <v/>
      </c>
      <c r="N32" s="11">
        <f>IF(AND($B32="Forecast",L32&gt;0),M32/L32-1,"")</f>
        <v/>
      </c>
      <c r="O32" s="17">
        <f>IFERROR(C32/F32,0)</f>
        <v/>
      </c>
      <c r="P32" s="17">
        <f>National!K39</f>
        <v/>
      </c>
      <c r="Q32" s="11">
        <f>IF(AND($B32="Forecast",O32&gt;0),P32/O32-1,"")</f>
        <v/>
      </c>
    </row>
    <row r="33">
      <c r="A33" s="9" t="n">
        <v>46419</v>
      </c>
      <c r="B33">
        <f>National!D40</f>
        <v/>
      </c>
      <c r="C33" s="15">
        <f>SUMIFS(Data_Actuals!$D$2:$D$5000,Data_Actuals!$A$2:$A$5000,$A33)</f>
        <v/>
      </c>
      <c r="D33" s="15">
        <f>National!F40</f>
        <v/>
      </c>
      <c r="E33" s="11">
        <f>IF(AND($B33="Forecast",C33&gt;0),D33/C33-1,"")</f>
        <v/>
      </c>
      <c r="F33" s="10">
        <f>SUMIFS(Data_Actuals!$E$2:$E$5000,Data_Actuals!$A$2:$A$5000,$A33)</f>
        <v/>
      </c>
      <c r="G33" s="10">
        <f>National!G40</f>
        <v/>
      </c>
      <c r="H33" s="11">
        <f>IF(AND($B33="Forecast",F33&gt;0),G33/F33-1,"")</f>
        <v/>
      </c>
      <c r="I33" s="16">
        <f>SUMIFS(Data_Actuals!$F$2:$F$5000,Data_Actuals!$A$2:$A$5000,$A33)</f>
        <v/>
      </c>
      <c r="J33" s="16">
        <f>National!H40</f>
        <v/>
      </c>
      <c r="K33" s="11">
        <f>IF(AND($B33="Forecast",I33&gt;0),J33/I33-1,"")</f>
        <v/>
      </c>
      <c r="L33" s="16">
        <f>SUMIFS(Data_Actuals!$G$2:$G$5000,Data_Actuals!$A$2:$A$5000,$A33)</f>
        <v/>
      </c>
      <c r="M33" s="16">
        <f>National!I40</f>
        <v/>
      </c>
      <c r="N33" s="11">
        <f>IF(AND($B33="Forecast",L33&gt;0),M33/L33-1,"")</f>
        <v/>
      </c>
      <c r="O33" s="17">
        <f>IFERROR(C33/F33,0)</f>
        <v/>
      </c>
      <c r="P33" s="17">
        <f>National!K40</f>
        <v/>
      </c>
      <c r="Q33" s="11">
        <f>IF(AND($B33="Forecast",O33&gt;0),P33/O33-1,"")</f>
        <v/>
      </c>
    </row>
    <row r="34">
      <c r="A34" s="9" t="n">
        <v>46447</v>
      </c>
      <c r="B34">
        <f>National!D41</f>
        <v/>
      </c>
      <c r="C34" s="15">
        <f>SUMIFS(Data_Actuals!$D$2:$D$5000,Data_Actuals!$A$2:$A$5000,$A34)</f>
        <v/>
      </c>
      <c r="D34" s="15">
        <f>National!F41</f>
        <v/>
      </c>
      <c r="E34" s="11">
        <f>IF(AND($B34="Forecast",C34&gt;0),D34/C34-1,"")</f>
        <v/>
      </c>
      <c r="F34" s="10">
        <f>SUMIFS(Data_Actuals!$E$2:$E$5000,Data_Actuals!$A$2:$A$5000,$A34)</f>
        <v/>
      </c>
      <c r="G34" s="10">
        <f>National!G41</f>
        <v/>
      </c>
      <c r="H34" s="11">
        <f>IF(AND($B34="Forecast",F34&gt;0),G34/F34-1,"")</f>
        <v/>
      </c>
      <c r="I34" s="16">
        <f>SUMIFS(Data_Actuals!$F$2:$F$5000,Data_Actuals!$A$2:$A$5000,$A34)</f>
        <v/>
      </c>
      <c r="J34" s="16">
        <f>National!H41</f>
        <v/>
      </c>
      <c r="K34" s="11">
        <f>IF(AND($B34="Forecast",I34&gt;0),J34/I34-1,"")</f>
        <v/>
      </c>
      <c r="L34" s="16">
        <f>SUMIFS(Data_Actuals!$G$2:$G$5000,Data_Actuals!$A$2:$A$5000,$A34)</f>
        <v/>
      </c>
      <c r="M34" s="16">
        <f>National!I41</f>
        <v/>
      </c>
      <c r="N34" s="11">
        <f>IF(AND($B34="Forecast",L34&gt;0),M34/L34-1,"")</f>
        <v/>
      </c>
      <c r="O34" s="17">
        <f>IFERROR(C34/F34,0)</f>
        <v/>
      </c>
      <c r="P34" s="17">
        <f>National!K41</f>
        <v/>
      </c>
      <c r="Q34" s="11">
        <f>IF(AND($B34="Forecast",O34&gt;0),P34/O34-1,"")</f>
        <v/>
      </c>
    </row>
    <row r="35">
      <c r="A35" s="9" t="n">
        <v>46478</v>
      </c>
      <c r="B35">
        <f>National!D42</f>
        <v/>
      </c>
      <c r="C35" s="15">
        <f>SUMIFS(Data_Actuals!$D$2:$D$5000,Data_Actuals!$A$2:$A$5000,$A35)</f>
        <v/>
      </c>
      <c r="D35" s="15">
        <f>National!F42</f>
        <v/>
      </c>
      <c r="E35" s="11">
        <f>IF(AND($B35="Forecast",C35&gt;0),D35/C35-1,"")</f>
        <v/>
      </c>
      <c r="F35" s="10">
        <f>SUMIFS(Data_Actuals!$E$2:$E$5000,Data_Actuals!$A$2:$A$5000,$A35)</f>
        <v/>
      </c>
      <c r="G35" s="10">
        <f>National!G42</f>
        <v/>
      </c>
      <c r="H35" s="11">
        <f>IF(AND($B35="Forecast",F35&gt;0),G35/F35-1,"")</f>
        <v/>
      </c>
      <c r="I35" s="16">
        <f>SUMIFS(Data_Actuals!$F$2:$F$5000,Data_Actuals!$A$2:$A$5000,$A35)</f>
        <v/>
      </c>
      <c r="J35" s="16">
        <f>National!H42</f>
        <v/>
      </c>
      <c r="K35" s="11">
        <f>IF(AND($B35="Forecast",I35&gt;0),J35/I35-1,"")</f>
        <v/>
      </c>
      <c r="L35" s="16">
        <f>SUMIFS(Data_Actuals!$G$2:$G$5000,Data_Actuals!$A$2:$A$5000,$A35)</f>
        <v/>
      </c>
      <c r="M35" s="16">
        <f>National!I42</f>
        <v/>
      </c>
      <c r="N35" s="11">
        <f>IF(AND($B35="Forecast",L35&gt;0),M35/L35-1,"")</f>
        <v/>
      </c>
      <c r="O35" s="17">
        <f>IFERROR(C35/F35,0)</f>
        <v/>
      </c>
      <c r="P35" s="17">
        <f>National!K42</f>
        <v/>
      </c>
      <c r="Q35" s="11">
        <f>IF(AND($B35="Forecast",O35&gt;0),P35/O35-1,"")</f>
        <v/>
      </c>
    </row>
    <row r="36">
      <c r="A36" s="9" t="n">
        <v>46508</v>
      </c>
      <c r="B36">
        <f>National!D43</f>
        <v/>
      </c>
      <c r="C36" s="15">
        <f>SUMIFS(Data_Actuals!$D$2:$D$5000,Data_Actuals!$A$2:$A$5000,$A36)</f>
        <v/>
      </c>
      <c r="D36" s="15">
        <f>National!F43</f>
        <v/>
      </c>
      <c r="E36" s="11">
        <f>IF(AND($B36="Forecast",C36&gt;0),D36/C36-1,"")</f>
        <v/>
      </c>
      <c r="F36" s="10">
        <f>SUMIFS(Data_Actuals!$E$2:$E$5000,Data_Actuals!$A$2:$A$5000,$A36)</f>
        <v/>
      </c>
      <c r="G36" s="10">
        <f>National!G43</f>
        <v/>
      </c>
      <c r="H36" s="11">
        <f>IF(AND($B36="Forecast",F36&gt;0),G36/F36-1,"")</f>
        <v/>
      </c>
      <c r="I36" s="16">
        <f>SUMIFS(Data_Actuals!$F$2:$F$5000,Data_Actuals!$A$2:$A$5000,$A36)</f>
        <v/>
      </c>
      <c r="J36" s="16">
        <f>National!H43</f>
        <v/>
      </c>
      <c r="K36" s="11">
        <f>IF(AND($B36="Forecast",I36&gt;0),J36/I36-1,"")</f>
        <v/>
      </c>
      <c r="L36" s="16">
        <f>SUMIFS(Data_Actuals!$G$2:$G$5000,Data_Actuals!$A$2:$A$5000,$A36)</f>
        <v/>
      </c>
      <c r="M36" s="16">
        <f>National!I43</f>
        <v/>
      </c>
      <c r="N36" s="11">
        <f>IF(AND($B36="Forecast",L36&gt;0),M36/L36-1,"")</f>
        <v/>
      </c>
      <c r="O36" s="17">
        <f>IFERROR(C36/F36,0)</f>
        <v/>
      </c>
      <c r="P36" s="17">
        <f>National!K43</f>
        <v/>
      </c>
      <c r="Q36" s="11">
        <f>IF(AND($B36="Forecast",O36&gt;0),P36/O36-1,"")</f>
        <v/>
      </c>
    </row>
    <row r="37">
      <c r="A37" s="9" t="n">
        <v>46539</v>
      </c>
      <c r="B37">
        <f>National!D44</f>
        <v/>
      </c>
      <c r="C37" s="15">
        <f>SUMIFS(Data_Actuals!$D$2:$D$5000,Data_Actuals!$A$2:$A$5000,$A37)</f>
        <v/>
      </c>
      <c r="D37" s="15">
        <f>National!F44</f>
        <v/>
      </c>
      <c r="E37" s="11">
        <f>IF(AND($B37="Forecast",C37&gt;0),D37/C37-1,"")</f>
        <v/>
      </c>
      <c r="F37" s="10">
        <f>SUMIFS(Data_Actuals!$E$2:$E$5000,Data_Actuals!$A$2:$A$5000,$A37)</f>
        <v/>
      </c>
      <c r="G37" s="10">
        <f>National!G44</f>
        <v/>
      </c>
      <c r="H37" s="11">
        <f>IF(AND($B37="Forecast",F37&gt;0),G37/F37-1,"")</f>
        <v/>
      </c>
      <c r="I37" s="16">
        <f>SUMIFS(Data_Actuals!$F$2:$F$5000,Data_Actuals!$A$2:$A$5000,$A37)</f>
        <v/>
      </c>
      <c r="J37" s="16">
        <f>National!H44</f>
        <v/>
      </c>
      <c r="K37" s="11">
        <f>IF(AND($B37="Forecast",I37&gt;0),J37/I37-1,"")</f>
        <v/>
      </c>
      <c r="L37" s="16">
        <f>SUMIFS(Data_Actuals!$G$2:$G$5000,Data_Actuals!$A$2:$A$5000,$A37)</f>
        <v/>
      </c>
      <c r="M37" s="16">
        <f>National!I44</f>
        <v/>
      </c>
      <c r="N37" s="11">
        <f>IF(AND($B37="Forecast",L37&gt;0),M37/L37-1,"")</f>
        <v/>
      </c>
      <c r="O37" s="17">
        <f>IFERROR(C37/F37,0)</f>
        <v/>
      </c>
      <c r="P37" s="17">
        <f>National!K44</f>
        <v/>
      </c>
      <c r="Q37" s="11">
        <f>IF(AND($B37="Forecast",O37&gt;0),P37/O37-1,"")</f>
        <v/>
      </c>
    </row>
    <row r="38">
      <c r="A38" s="9" t="n">
        <v>46569</v>
      </c>
      <c r="B38">
        <f>National!D45</f>
        <v/>
      </c>
      <c r="C38" s="15">
        <f>SUMIFS(Data_Actuals!$D$2:$D$5000,Data_Actuals!$A$2:$A$5000,$A38)</f>
        <v/>
      </c>
      <c r="D38" s="15">
        <f>National!F45</f>
        <v/>
      </c>
      <c r="E38" s="11">
        <f>IF(AND($B38="Forecast",C38&gt;0),D38/C38-1,"")</f>
        <v/>
      </c>
      <c r="F38" s="10">
        <f>SUMIFS(Data_Actuals!$E$2:$E$5000,Data_Actuals!$A$2:$A$5000,$A38)</f>
        <v/>
      </c>
      <c r="G38" s="10">
        <f>National!G45</f>
        <v/>
      </c>
      <c r="H38" s="11">
        <f>IF(AND($B38="Forecast",F38&gt;0),G38/F38-1,"")</f>
        <v/>
      </c>
      <c r="I38" s="16">
        <f>SUMIFS(Data_Actuals!$F$2:$F$5000,Data_Actuals!$A$2:$A$5000,$A38)</f>
        <v/>
      </c>
      <c r="J38" s="16">
        <f>National!H45</f>
        <v/>
      </c>
      <c r="K38" s="11">
        <f>IF(AND($B38="Forecast",I38&gt;0),J38/I38-1,"")</f>
        <v/>
      </c>
      <c r="L38" s="16">
        <f>SUMIFS(Data_Actuals!$G$2:$G$5000,Data_Actuals!$A$2:$A$5000,$A38)</f>
        <v/>
      </c>
      <c r="M38" s="16">
        <f>National!I45</f>
        <v/>
      </c>
      <c r="N38" s="11">
        <f>IF(AND($B38="Forecast",L38&gt;0),M38/L38-1,"")</f>
        <v/>
      </c>
      <c r="O38" s="17">
        <f>IFERROR(C38/F38,0)</f>
        <v/>
      </c>
      <c r="P38" s="17">
        <f>National!K45</f>
        <v/>
      </c>
      <c r="Q38" s="11">
        <f>IF(AND($B38="Forecast",O38&gt;0),P38/O38-1,"")</f>
        <v/>
      </c>
    </row>
    <row r="39">
      <c r="A39" s="9" t="n">
        <v>46600</v>
      </c>
      <c r="B39">
        <f>National!D46</f>
        <v/>
      </c>
      <c r="C39" s="15">
        <f>SUMIFS(Data_Actuals!$D$2:$D$5000,Data_Actuals!$A$2:$A$5000,$A39)</f>
        <v/>
      </c>
      <c r="D39" s="15">
        <f>National!F46</f>
        <v/>
      </c>
      <c r="E39" s="11">
        <f>IF(AND($B39="Forecast",C39&gt;0),D39/C39-1,"")</f>
        <v/>
      </c>
      <c r="F39" s="10">
        <f>SUMIFS(Data_Actuals!$E$2:$E$5000,Data_Actuals!$A$2:$A$5000,$A39)</f>
        <v/>
      </c>
      <c r="G39" s="10">
        <f>National!G46</f>
        <v/>
      </c>
      <c r="H39" s="11">
        <f>IF(AND($B39="Forecast",F39&gt;0),G39/F39-1,"")</f>
        <v/>
      </c>
      <c r="I39" s="16">
        <f>SUMIFS(Data_Actuals!$F$2:$F$5000,Data_Actuals!$A$2:$A$5000,$A39)</f>
        <v/>
      </c>
      <c r="J39" s="16">
        <f>National!H46</f>
        <v/>
      </c>
      <c r="K39" s="11">
        <f>IF(AND($B39="Forecast",I39&gt;0),J39/I39-1,"")</f>
        <v/>
      </c>
      <c r="L39" s="16">
        <f>SUMIFS(Data_Actuals!$G$2:$G$5000,Data_Actuals!$A$2:$A$5000,$A39)</f>
        <v/>
      </c>
      <c r="M39" s="16">
        <f>National!I46</f>
        <v/>
      </c>
      <c r="N39" s="11">
        <f>IF(AND($B39="Forecast",L39&gt;0),M39/L39-1,"")</f>
        <v/>
      </c>
      <c r="O39" s="17">
        <f>IFERROR(C39/F39,0)</f>
        <v/>
      </c>
      <c r="P39" s="17">
        <f>National!K46</f>
        <v/>
      </c>
      <c r="Q39" s="11">
        <f>IF(AND($B39="Forecast",O39&gt;0),P39/O39-1,"")</f>
        <v/>
      </c>
    </row>
    <row r="40">
      <c r="A40" s="9" t="n">
        <v>46631</v>
      </c>
      <c r="B40">
        <f>National!D47</f>
        <v/>
      </c>
      <c r="C40" s="15">
        <f>SUMIFS(Data_Actuals!$D$2:$D$5000,Data_Actuals!$A$2:$A$5000,$A40)</f>
        <v/>
      </c>
      <c r="D40" s="15">
        <f>National!F47</f>
        <v/>
      </c>
      <c r="E40" s="11">
        <f>IF(AND($B40="Forecast",C40&gt;0),D40/C40-1,"")</f>
        <v/>
      </c>
      <c r="F40" s="10">
        <f>SUMIFS(Data_Actuals!$E$2:$E$5000,Data_Actuals!$A$2:$A$5000,$A40)</f>
        <v/>
      </c>
      <c r="G40" s="10">
        <f>National!G47</f>
        <v/>
      </c>
      <c r="H40" s="11">
        <f>IF(AND($B40="Forecast",F40&gt;0),G40/F40-1,"")</f>
        <v/>
      </c>
      <c r="I40" s="16">
        <f>SUMIFS(Data_Actuals!$F$2:$F$5000,Data_Actuals!$A$2:$A$5000,$A40)</f>
        <v/>
      </c>
      <c r="J40" s="16">
        <f>National!H47</f>
        <v/>
      </c>
      <c r="K40" s="11">
        <f>IF(AND($B40="Forecast",I40&gt;0),J40/I40-1,"")</f>
        <v/>
      </c>
      <c r="L40" s="16">
        <f>SUMIFS(Data_Actuals!$G$2:$G$5000,Data_Actuals!$A$2:$A$5000,$A40)</f>
        <v/>
      </c>
      <c r="M40" s="16">
        <f>National!I47</f>
        <v/>
      </c>
      <c r="N40" s="11">
        <f>IF(AND($B40="Forecast",L40&gt;0),M40/L40-1,"")</f>
        <v/>
      </c>
      <c r="O40" s="17">
        <f>IFERROR(C40/F40,0)</f>
        <v/>
      </c>
      <c r="P40" s="17">
        <f>National!K47</f>
        <v/>
      </c>
      <c r="Q40" s="11">
        <f>IF(AND($B40="Forecast",O40&gt;0),P40/O40-1,"")</f>
        <v/>
      </c>
    </row>
    <row r="41">
      <c r="A41" s="9" t="n">
        <v>46661</v>
      </c>
      <c r="B41">
        <f>National!D48</f>
        <v/>
      </c>
      <c r="C41" s="15">
        <f>SUMIFS(Data_Actuals!$D$2:$D$5000,Data_Actuals!$A$2:$A$5000,$A41)</f>
        <v/>
      </c>
      <c r="D41" s="15">
        <f>National!F48</f>
        <v/>
      </c>
      <c r="E41" s="11">
        <f>IF(AND($B41="Forecast",C41&gt;0),D41/C41-1,"")</f>
        <v/>
      </c>
      <c r="F41" s="10">
        <f>SUMIFS(Data_Actuals!$E$2:$E$5000,Data_Actuals!$A$2:$A$5000,$A41)</f>
        <v/>
      </c>
      <c r="G41" s="10">
        <f>National!G48</f>
        <v/>
      </c>
      <c r="H41" s="11">
        <f>IF(AND($B41="Forecast",F41&gt;0),G41/F41-1,"")</f>
        <v/>
      </c>
      <c r="I41" s="16">
        <f>SUMIFS(Data_Actuals!$F$2:$F$5000,Data_Actuals!$A$2:$A$5000,$A41)</f>
        <v/>
      </c>
      <c r="J41" s="16">
        <f>National!H48</f>
        <v/>
      </c>
      <c r="K41" s="11">
        <f>IF(AND($B41="Forecast",I41&gt;0),J41/I41-1,"")</f>
        <v/>
      </c>
      <c r="L41" s="16">
        <f>SUMIFS(Data_Actuals!$G$2:$G$5000,Data_Actuals!$A$2:$A$5000,$A41)</f>
        <v/>
      </c>
      <c r="M41" s="16">
        <f>National!I48</f>
        <v/>
      </c>
      <c r="N41" s="11">
        <f>IF(AND($B41="Forecast",L41&gt;0),M41/L41-1,"")</f>
        <v/>
      </c>
      <c r="O41" s="17">
        <f>IFERROR(C41/F41,0)</f>
        <v/>
      </c>
      <c r="P41" s="17">
        <f>National!K48</f>
        <v/>
      </c>
      <c r="Q41" s="11">
        <f>IF(AND($B41="Forecast",O41&gt;0),P41/O41-1,"")</f>
        <v/>
      </c>
    </row>
    <row r="42">
      <c r="A42" s="9" t="n">
        <v>46692</v>
      </c>
      <c r="B42">
        <f>National!D49</f>
        <v/>
      </c>
      <c r="C42" s="15">
        <f>SUMIFS(Data_Actuals!$D$2:$D$5000,Data_Actuals!$A$2:$A$5000,$A42)</f>
        <v/>
      </c>
      <c r="D42" s="15">
        <f>National!F49</f>
        <v/>
      </c>
      <c r="E42" s="11">
        <f>IF(AND($B42="Forecast",C42&gt;0),D42/C42-1,"")</f>
        <v/>
      </c>
      <c r="F42" s="10">
        <f>SUMIFS(Data_Actuals!$E$2:$E$5000,Data_Actuals!$A$2:$A$5000,$A42)</f>
        <v/>
      </c>
      <c r="G42" s="10">
        <f>National!G49</f>
        <v/>
      </c>
      <c r="H42" s="11">
        <f>IF(AND($B42="Forecast",F42&gt;0),G42/F42-1,"")</f>
        <v/>
      </c>
      <c r="I42" s="16">
        <f>SUMIFS(Data_Actuals!$F$2:$F$5000,Data_Actuals!$A$2:$A$5000,$A42)</f>
        <v/>
      </c>
      <c r="J42" s="16">
        <f>National!H49</f>
        <v/>
      </c>
      <c r="K42" s="11">
        <f>IF(AND($B42="Forecast",I42&gt;0),J42/I42-1,"")</f>
        <v/>
      </c>
      <c r="L42" s="16">
        <f>SUMIFS(Data_Actuals!$G$2:$G$5000,Data_Actuals!$A$2:$A$5000,$A42)</f>
        <v/>
      </c>
      <c r="M42" s="16">
        <f>National!I49</f>
        <v/>
      </c>
      <c r="N42" s="11">
        <f>IF(AND($B42="Forecast",L42&gt;0),M42/L42-1,"")</f>
        <v/>
      </c>
      <c r="O42" s="17">
        <f>IFERROR(C42/F42,0)</f>
        <v/>
      </c>
      <c r="P42" s="17">
        <f>National!K49</f>
        <v/>
      </c>
      <c r="Q42" s="11">
        <f>IF(AND($B42="Forecast",O42&gt;0),P42/O42-1,"")</f>
        <v/>
      </c>
    </row>
    <row r="43">
      <c r="A43" s="9" t="n">
        <v>46722</v>
      </c>
      <c r="B43">
        <f>National!D50</f>
        <v/>
      </c>
      <c r="C43" s="15">
        <f>SUMIFS(Data_Actuals!$D$2:$D$5000,Data_Actuals!$A$2:$A$5000,$A43)</f>
        <v/>
      </c>
      <c r="D43" s="15">
        <f>National!F50</f>
        <v/>
      </c>
      <c r="E43" s="11">
        <f>IF(AND($B43="Forecast",C43&gt;0),D43/C43-1,"")</f>
        <v/>
      </c>
      <c r="F43" s="10">
        <f>SUMIFS(Data_Actuals!$E$2:$E$5000,Data_Actuals!$A$2:$A$5000,$A43)</f>
        <v/>
      </c>
      <c r="G43" s="10">
        <f>National!G50</f>
        <v/>
      </c>
      <c r="H43" s="11">
        <f>IF(AND($B43="Forecast",F43&gt;0),G43/F43-1,"")</f>
        <v/>
      </c>
      <c r="I43" s="16">
        <f>SUMIFS(Data_Actuals!$F$2:$F$5000,Data_Actuals!$A$2:$A$5000,$A43)</f>
        <v/>
      </c>
      <c r="J43" s="16">
        <f>National!H50</f>
        <v/>
      </c>
      <c r="K43" s="11">
        <f>IF(AND($B43="Forecast",I43&gt;0),J43/I43-1,"")</f>
        <v/>
      </c>
      <c r="L43" s="16">
        <f>SUMIFS(Data_Actuals!$G$2:$G$5000,Data_Actuals!$A$2:$A$5000,$A43)</f>
        <v/>
      </c>
      <c r="M43" s="16">
        <f>National!I50</f>
        <v/>
      </c>
      <c r="N43" s="11">
        <f>IF(AND($B43="Forecast",L43&gt;0),M43/L43-1,"")</f>
        <v/>
      </c>
      <c r="O43" s="17">
        <f>IFERROR(C43/F43,0)</f>
        <v/>
      </c>
      <c r="P43" s="17">
        <f>National!K50</f>
        <v/>
      </c>
      <c r="Q43" s="11">
        <f>IF(AND($B43="Forecast",O43&gt;0),P43/O43-1,"")</f>
        <v/>
      </c>
    </row>
    <row r="44">
      <c r="A44" s="9" t="n">
        <v>46753</v>
      </c>
      <c r="B44">
        <f>National!D51</f>
        <v/>
      </c>
      <c r="C44" s="15">
        <f>SUMIFS(Data_Actuals!$D$2:$D$5000,Data_Actuals!$A$2:$A$5000,$A44)</f>
        <v/>
      </c>
      <c r="D44" s="15">
        <f>National!F51</f>
        <v/>
      </c>
      <c r="E44" s="11">
        <f>IF(AND($B44="Forecast",C44&gt;0),D44/C44-1,"")</f>
        <v/>
      </c>
      <c r="F44" s="10">
        <f>SUMIFS(Data_Actuals!$E$2:$E$5000,Data_Actuals!$A$2:$A$5000,$A44)</f>
        <v/>
      </c>
      <c r="G44" s="10">
        <f>National!G51</f>
        <v/>
      </c>
      <c r="H44" s="11">
        <f>IF(AND($B44="Forecast",F44&gt;0),G44/F44-1,"")</f>
        <v/>
      </c>
      <c r="I44" s="16">
        <f>SUMIFS(Data_Actuals!$F$2:$F$5000,Data_Actuals!$A$2:$A$5000,$A44)</f>
        <v/>
      </c>
      <c r="J44" s="16">
        <f>National!H51</f>
        <v/>
      </c>
      <c r="K44" s="11">
        <f>IF(AND($B44="Forecast",I44&gt;0),J44/I44-1,"")</f>
        <v/>
      </c>
      <c r="L44" s="16">
        <f>SUMIFS(Data_Actuals!$G$2:$G$5000,Data_Actuals!$A$2:$A$5000,$A44)</f>
        <v/>
      </c>
      <c r="M44" s="16">
        <f>National!I51</f>
        <v/>
      </c>
      <c r="N44" s="11">
        <f>IF(AND($B44="Forecast",L44&gt;0),M44/L44-1,"")</f>
        <v/>
      </c>
      <c r="O44" s="17">
        <f>IFERROR(C44/F44,0)</f>
        <v/>
      </c>
      <c r="P44" s="17">
        <f>National!K51</f>
        <v/>
      </c>
      <c r="Q44" s="11">
        <f>IF(AND($B44="Forecast",O44&gt;0),P44/O44-1,"")</f>
        <v/>
      </c>
    </row>
    <row r="45">
      <c r="A45" s="9" t="n">
        <v>46784</v>
      </c>
      <c r="B45">
        <f>National!D52</f>
        <v/>
      </c>
      <c r="C45" s="15">
        <f>SUMIFS(Data_Actuals!$D$2:$D$5000,Data_Actuals!$A$2:$A$5000,$A45)</f>
        <v/>
      </c>
      <c r="D45" s="15">
        <f>National!F52</f>
        <v/>
      </c>
      <c r="E45" s="11">
        <f>IF(AND($B45="Forecast",C45&gt;0),D45/C45-1,"")</f>
        <v/>
      </c>
      <c r="F45" s="10">
        <f>SUMIFS(Data_Actuals!$E$2:$E$5000,Data_Actuals!$A$2:$A$5000,$A45)</f>
        <v/>
      </c>
      <c r="G45" s="10">
        <f>National!G52</f>
        <v/>
      </c>
      <c r="H45" s="11">
        <f>IF(AND($B45="Forecast",F45&gt;0),G45/F45-1,"")</f>
        <v/>
      </c>
      <c r="I45" s="16">
        <f>SUMIFS(Data_Actuals!$F$2:$F$5000,Data_Actuals!$A$2:$A$5000,$A45)</f>
        <v/>
      </c>
      <c r="J45" s="16">
        <f>National!H52</f>
        <v/>
      </c>
      <c r="K45" s="11">
        <f>IF(AND($B45="Forecast",I45&gt;0),J45/I45-1,"")</f>
        <v/>
      </c>
      <c r="L45" s="16">
        <f>SUMIFS(Data_Actuals!$G$2:$G$5000,Data_Actuals!$A$2:$A$5000,$A45)</f>
        <v/>
      </c>
      <c r="M45" s="16">
        <f>National!I52</f>
        <v/>
      </c>
      <c r="N45" s="11">
        <f>IF(AND($B45="Forecast",L45&gt;0),M45/L45-1,"")</f>
        <v/>
      </c>
      <c r="O45" s="17">
        <f>IFERROR(C45/F45,0)</f>
        <v/>
      </c>
      <c r="P45" s="17">
        <f>National!K52</f>
        <v/>
      </c>
      <c r="Q45" s="11">
        <f>IF(AND($B45="Forecast",O45&gt;0),P45/O45-1,"")</f>
        <v/>
      </c>
    </row>
    <row r="46">
      <c r="A46" s="9" t="n">
        <v>46813</v>
      </c>
      <c r="B46">
        <f>National!D53</f>
        <v/>
      </c>
      <c r="C46" s="15">
        <f>SUMIFS(Data_Actuals!$D$2:$D$5000,Data_Actuals!$A$2:$A$5000,$A46)</f>
        <v/>
      </c>
      <c r="D46" s="15">
        <f>National!F53</f>
        <v/>
      </c>
      <c r="E46" s="11">
        <f>IF(AND($B46="Forecast",C46&gt;0),D46/C46-1,"")</f>
        <v/>
      </c>
      <c r="F46" s="10">
        <f>SUMIFS(Data_Actuals!$E$2:$E$5000,Data_Actuals!$A$2:$A$5000,$A46)</f>
        <v/>
      </c>
      <c r="G46" s="10">
        <f>National!G53</f>
        <v/>
      </c>
      <c r="H46" s="11">
        <f>IF(AND($B46="Forecast",F46&gt;0),G46/F46-1,"")</f>
        <v/>
      </c>
      <c r="I46" s="16">
        <f>SUMIFS(Data_Actuals!$F$2:$F$5000,Data_Actuals!$A$2:$A$5000,$A46)</f>
        <v/>
      </c>
      <c r="J46" s="16">
        <f>National!H53</f>
        <v/>
      </c>
      <c r="K46" s="11">
        <f>IF(AND($B46="Forecast",I46&gt;0),J46/I46-1,"")</f>
        <v/>
      </c>
      <c r="L46" s="16">
        <f>SUMIFS(Data_Actuals!$G$2:$G$5000,Data_Actuals!$A$2:$A$5000,$A46)</f>
        <v/>
      </c>
      <c r="M46" s="16">
        <f>National!I53</f>
        <v/>
      </c>
      <c r="N46" s="11">
        <f>IF(AND($B46="Forecast",L46&gt;0),M46/L46-1,"")</f>
        <v/>
      </c>
      <c r="O46" s="17">
        <f>IFERROR(C46/F46,0)</f>
        <v/>
      </c>
      <c r="P46" s="17">
        <f>National!K53</f>
        <v/>
      </c>
      <c r="Q46" s="11">
        <f>IF(AND($B46="Forecast",O46&gt;0),P46/O46-1,"")</f>
        <v/>
      </c>
    </row>
    <row r="47">
      <c r="A47" s="9" t="n">
        <v>46844</v>
      </c>
      <c r="B47">
        <f>National!D54</f>
        <v/>
      </c>
      <c r="C47" s="15">
        <f>SUMIFS(Data_Actuals!$D$2:$D$5000,Data_Actuals!$A$2:$A$5000,$A47)</f>
        <v/>
      </c>
      <c r="D47" s="15">
        <f>National!F54</f>
        <v/>
      </c>
      <c r="E47" s="11">
        <f>IF(AND($B47="Forecast",C47&gt;0),D47/C47-1,"")</f>
        <v/>
      </c>
      <c r="F47" s="10">
        <f>SUMIFS(Data_Actuals!$E$2:$E$5000,Data_Actuals!$A$2:$A$5000,$A47)</f>
        <v/>
      </c>
      <c r="G47" s="10">
        <f>National!G54</f>
        <v/>
      </c>
      <c r="H47" s="11">
        <f>IF(AND($B47="Forecast",F47&gt;0),G47/F47-1,"")</f>
        <v/>
      </c>
      <c r="I47" s="16">
        <f>SUMIFS(Data_Actuals!$F$2:$F$5000,Data_Actuals!$A$2:$A$5000,$A47)</f>
        <v/>
      </c>
      <c r="J47" s="16">
        <f>National!H54</f>
        <v/>
      </c>
      <c r="K47" s="11">
        <f>IF(AND($B47="Forecast",I47&gt;0),J47/I47-1,"")</f>
        <v/>
      </c>
      <c r="L47" s="16">
        <f>SUMIFS(Data_Actuals!$G$2:$G$5000,Data_Actuals!$A$2:$A$5000,$A47)</f>
        <v/>
      </c>
      <c r="M47" s="16">
        <f>National!I54</f>
        <v/>
      </c>
      <c r="N47" s="11">
        <f>IF(AND($B47="Forecast",L47&gt;0),M47/L47-1,"")</f>
        <v/>
      </c>
      <c r="O47" s="17">
        <f>IFERROR(C47/F47,0)</f>
        <v/>
      </c>
      <c r="P47" s="17">
        <f>National!K54</f>
        <v/>
      </c>
      <c r="Q47" s="11">
        <f>IF(AND($B47="Forecast",O47&gt;0),P47/O47-1,"")</f>
        <v/>
      </c>
    </row>
    <row r="48">
      <c r="A48" s="9" t="n">
        <v>46874</v>
      </c>
      <c r="B48">
        <f>National!D55</f>
        <v/>
      </c>
      <c r="C48" s="15">
        <f>SUMIFS(Data_Actuals!$D$2:$D$5000,Data_Actuals!$A$2:$A$5000,$A48)</f>
        <v/>
      </c>
      <c r="D48" s="15">
        <f>National!F55</f>
        <v/>
      </c>
      <c r="E48" s="11">
        <f>IF(AND($B48="Forecast",C48&gt;0),D48/C48-1,"")</f>
        <v/>
      </c>
      <c r="F48" s="10">
        <f>SUMIFS(Data_Actuals!$E$2:$E$5000,Data_Actuals!$A$2:$A$5000,$A48)</f>
        <v/>
      </c>
      <c r="G48" s="10">
        <f>National!G55</f>
        <v/>
      </c>
      <c r="H48" s="11">
        <f>IF(AND($B48="Forecast",F48&gt;0),G48/F48-1,"")</f>
        <v/>
      </c>
      <c r="I48" s="16">
        <f>SUMIFS(Data_Actuals!$F$2:$F$5000,Data_Actuals!$A$2:$A$5000,$A48)</f>
        <v/>
      </c>
      <c r="J48" s="16">
        <f>National!H55</f>
        <v/>
      </c>
      <c r="K48" s="11">
        <f>IF(AND($B48="Forecast",I48&gt;0),J48/I48-1,"")</f>
        <v/>
      </c>
      <c r="L48" s="16">
        <f>SUMIFS(Data_Actuals!$G$2:$G$5000,Data_Actuals!$A$2:$A$5000,$A48)</f>
        <v/>
      </c>
      <c r="M48" s="16">
        <f>National!I55</f>
        <v/>
      </c>
      <c r="N48" s="11">
        <f>IF(AND($B48="Forecast",L48&gt;0),M48/L48-1,"")</f>
        <v/>
      </c>
      <c r="O48" s="17">
        <f>IFERROR(C48/F48,0)</f>
        <v/>
      </c>
      <c r="P48" s="17">
        <f>National!K55</f>
        <v/>
      </c>
      <c r="Q48" s="11">
        <f>IF(AND($B48="Forecast",O48&gt;0),P48/O48-1,"")</f>
        <v/>
      </c>
    </row>
    <row r="49">
      <c r="A49" s="9" t="n">
        <v>46905</v>
      </c>
      <c r="B49">
        <f>National!D56</f>
        <v/>
      </c>
      <c r="C49" s="15">
        <f>SUMIFS(Data_Actuals!$D$2:$D$5000,Data_Actuals!$A$2:$A$5000,$A49)</f>
        <v/>
      </c>
      <c r="D49" s="15">
        <f>National!F56</f>
        <v/>
      </c>
      <c r="E49" s="11">
        <f>IF(AND($B49="Forecast",C49&gt;0),D49/C49-1,"")</f>
        <v/>
      </c>
      <c r="F49" s="10">
        <f>SUMIFS(Data_Actuals!$E$2:$E$5000,Data_Actuals!$A$2:$A$5000,$A49)</f>
        <v/>
      </c>
      <c r="G49" s="10">
        <f>National!G56</f>
        <v/>
      </c>
      <c r="H49" s="11">
        <f>IF(AND($B49="Forecast",F49&gt;0),G49/F49-1,"")</f>
        <v/>
      </c>
      <c r="I49" s="16">
        <f>SUMIFS(Data_Actuals!$F$2:$F$5000,Data_Actuals!$A$2:$A$5000,$A49)</f>
        <v/>
      </c>
      <c r="J49" s="16">
        <f>National!H56</f>
        <v/>
      </c>
      <c r="K49" s="11">
        <f>IF(AND($B49="Forecast",I49&gt;0),J49/I49-1,"")</f>
        <v/>
      </c>
      <c r="L49" s="16">
        <f>SUMIFS(Data_Actuals!$G$2:$G$5000,Data_Actuals!$A$2:$A$5000,$A49)</f>
        <v/>
      </c>
      <c r="M49" s="16">
        <f>National!I56</f>
        <v/>
      </c>
      <c r="N49" s="11">
        <f>IF(AND($B49="Forecast",L49&gt;0),M49/L49-1,"")</f>
        <v/>
      </c>
      <c r="O49" s="17">
        <f>IFERROR(C49/F49,0)</f>
        <v/>
      </c>
      <c r="P49" s="17">
        <f>National!K56</f>
        <v/>
      </c>
      <c r="Q49" s="11">
        <f>IF(AND($B49="Forecast",O49&gt;0),P49/O49-1,"")</f>
        <v/>
      </c>
    </row>
    <row r="50">
      <c r="A50" s="9" t="n">
        <v>46935</v>
      </c>
      <c r="B50">
        <f>National!D57</f>
        <v/>
      </c>
      <c r="C50" s="15">
        <f>SUMIFS(Data_Actuals!$D$2:$D$5000,Data_Actuals!$A$2:$A$5000,$A50)</f>
        <v/>
      </c>
      <c r="D50" s="15">
        <f>National!F57</f>
        <v/>
      </c>
      <c r="E50" s="11">
        <f>IF(AND($B50="Forecast",C50&gt;0),D50/C50-1,"")</f>
        <v/>
      </c>
      <c r="F50" s="10">
        <f>SUMIFS(Data_Actuals!$E$2:$E$5000,Data_Actuals!$A$2:$A$5000,$A50)</f>
        <v/>
      </c>
      <c r="G50" s="10">
        <f>National!G57</f>
        <v/>
      </c>
      <c r="H50" s="11">
        <f>IF(AND($B50="Forecast",F50&gt;0),G50/F50-1,"")</f>
        <v/>
      </c>
      <c r="I50" s="16">
        <f>SUMIFS(Data_Actuals!$F$2:$F$5000,Data_Actuals!$A$2:$A$5000,$A50)</f>
        <v/>
      </c>
      <c r="J50" s="16">
        <f>National!H57</f>
        <v/>
      </c>
      <c r="K50" s="11">
        <f>IF(AND($B50="Forecast",I50&gt;0),J50/I50-1,"")</f>
        <v/>
      </c>
      <c r="L50" s="16">
        <f>SUMIFS(Data_Actuals!$G$2:$G$5000,Data_Actuals!$A$2:$A$5000,$A50)</f>
        <v/>
      </c>
      <c r="M50" s="16">
        <f>National!I57</f>
        <v/>
      </c>
      <c r="N50" s="11">
        <f>IF(AND($B50="Forecast",L50&gt;0),M50/L50-1,"")</f>
        <v/>
      </c>
      <c r="O50" s="17">
        <f>IFERROR(C50/F50,0)</f>
        <v/>
      </c>
      <c r="P50" s="17">
        <f>National!K57</f>
        <v/>
      </c>
      <c r="Q50" s="11">
        <f>IF(AND($B50="Forecast",O50&gt;0),P50/O50-1,"")</f>
        <v/>
      </c>
    </row>
    <row r="51">
      <c r="A51" s="9" t="n">
        <v>46966</v>
      </c>
      <c r="B51">
        <f>National!D58</f>
        <v/>
      </c>
      <c r="C51" s="15">
        <f>SUMIFS(Data_Actuals!$D$2:$D$5000,Data_Actuals!$A$2:$A$5000,$A51)</f>
        <v/>
      </c>
      <c r="D51" s="15">
        <f>National!F58</f>
        <v/>
      </c>
      <c r="E51" s="11">
        <f>IF(AND($B51="Forecast",C51&gt;0),D51/C51-1,"")</f>
        <v/>
      </c>
      <c r="F51" s="10">
        <f>SUMIFS(Data_Actuals!$E$2:$E$5000,Data_Actuals!$A$2:$A$5000,$A51)</f>
        <v/>
      </c>
      <c r="G51" s="10">
        <f>National!G58</f>
        <v/>
      </c>
      <c r="H51" s="11">
        <f>IF(AND($B51="Forecast",F51&gt;0),G51/F51-1,"")</f>
        <v/>
      </c>
      <c r="I51" s="16">
        <f>SUMIFS(Data_Actuals!$F$2:$F$5000,Data_Actuals!$A$2:$A$5000,$A51)</f>
        <v/>
      </c>
      <c r="J51" s="16">
        <f>National!H58</f>
        <v/>
      </c>
      <c r="K51" s="11">
        <f>IF(AND($B51="Forecast",I51&gt;0),J51/I51-1,"")</f>
        <v/>
      </c>
      <c r="L51" s="16">
        <f>SUMIFS(Data_Actuals!$G$2:$G$5000,Data_Actuals!$A$2:$A$5000,$A51)</f>
        <v/>
      </c>
      <c r="M51" s="16">
        <f>National!I58</f>
        <v/>
      </c>
      <c r="N51" s="11">
        <f>IF(AND($B51="Forecast",L51&gt;0),M51/L51-1,"")</f>
        <v/>
      </c>
      <c r="O51" s="17">
        <f>IFERROR(C51/F51,0)</f>
        <v/>
      </c>
      <c r="P51" s="17">
        <f>National!K58</f>
        <v/>
      </c>
      <c r="Q51" s="11">
        <f>IF(AND($B51="Forecast",O51&gt;0),P51/O51-1,"")</f>
        <v/>
      </c>
    </row>
    <row r="52">
      <c r="A52" s="9" t="n">
        <v>46997</v>
      </c>
      <c r="B52">
        <f>National!D59</f>
        <v/>
      </c>
      <c r="C52" s="15">
        <f>SUMIFS(Data_Actuals!$D$2:$D$5000,Data_Actuals!$A$2:$A$5000,$A52)</f>
        <v/>
      </c>
      <c r="D52" s="15">
        <f>National!F59</f>
        <v/>
      </c>
      <c r="E52" s="11">
        <f>IF(AND($B52="Forecast",C52&gt;0),D52/C52-1,"")</f>
        <v/>
      </c>
      <c r="F52" s="10">
        <f>SUMIFS(Data_Actuals!$E$2:$E$5000,Data_Actuals!$A$2:$A$5000,$A52)</f>
        <v/>
      </c>
      <c r="G52" s="10">
        <f>National!G59</f>
        <v/>
      </c>
      <c r="H52" s="11">
        <f>IF(AND($B52="Forecast",F52&gt;0),G52/F52-1,"")</f>
        <v/>
      </c>
      <c r="I52" s="16">
        <f>SUMIFS(Data_Actuals!$F$2:$F$5000,Data_Actuals!$A$2:$A$5000,$A52)</f>
        <v/>
      </c>
      <c r="J52" s="16">
        <f>National!H59</f>
        <v/>
      </c>
      <c r="K52" s="11">
        <f>IF(AND($B52="Forecast",I52&gt;0),J52/I52-1,"")</f>
        <v/>
      </c>
      <c r="L52" s="16">
        <f>SUMIFS(Data_Actuals!$G$2:$G$5000,Data_Actuals!$A$2:$A$5000,$A52)</f>
        <v/>
      </c>
      <c r="M52" s="16">
        <f>National!I59</f>
        <v/>
      </c>
      <c r="N52" s="11">
        <f>IF(AND($B52="Forecast",L52&gt;0),M52/L52-1,"")</f>
        <v/>
      </c>
      <c r="O52" s="17">
        <f>IFERROR(C52/F52,0)</f>
        <v/>
      </c>
      <c r="P52" s="17">
        <f>National!K59</f>
        <v/>
      </c>
      <c r="Q52" s="11">
        <f>IF(AND($B52="Forecast",O52&gt;0),P52/O52-1,"")</f>
        <v/>
      </c>
    </row>
    <row r="53">
      <c r="A53" s="9" t="n">
        <v>47027</v>
      </c>
      <c r="B53">
        <f>National!D60</f>
        <v/>
      </c>
      <c r="C53" s="15">
        <f>SUMIFS(Data_Actuals!$D$2:$D$5000,Data_Actuals!$A$2:$A$5000,$A53)</f>
        <v/>
      </c>
      <c r="D53" s="15">
        <f>National!F60</f>
        <v/>
      </c>
      <c r="E53" s="11">
        <f>IF(AND($B53="Forecast",C53&gt;0),D53/C53-1,"")</f>
        <v/>
      </c>
      <c r="F53" s="10">
        <f>SUMIFS(Data_Actuals!$E$2:$E$5000,Data_Actuals!$A$2:$A$5000,$A53)</f>
        <v/>
      </c>
      <c r="G53" s="10">
        <f>National!G60</f>
        <v/>
      </c>
      <c r="H53" s="11">
        <f>IF(AND($B53="Forecast",F53&gt;0),G53/F53-1,"")</f>
        <v/>
      </c>
      <c r="I53" s="16">
        <f>SUMIFS(Data_Actuals!$F$2:$F$5000,Data_Actuals!$A$2:$A$5000,$A53)</f>
        <v/>
      </c>
      <c r="J53" s="16">
        <f>National!H60</f>
        <v/>
      </c>
      <c r="K53" s="11">
        <f>IF(AND($B53="Forecast",I53&gt;0),J53/I53-1,"")</f>
        <v/>
      </c>
      <c r="L53" s="16">
        <f>SUMIFS(Data_Actuals!$G$2:$G$5000,Data_Actuals!$A$2:$A$5000,$A53)</f>
        <v/>
      </c>
      <c r="M53" s="16">
        <f>National!I60</f>
        <v/>
      </c>
      <c r="N53" s="11">
        <f>IF(AND($B53="Forecast",L53&gt;0),M53/L53-1,"")</f>
        <v/>
      </c>
      <c r="O53" s="17">
        <f>IFERROR(C53/F53,0)</f>
        <v/>
      </c>
      <c r="P53" s="17">
        <f>National!K60</f>
        <v/>
      </c>
      <c r="Q53" s="11">
        <f>IF(AND($B53="Forecast",O53&gt;0),P53/O53-1,"")</f>
        <v/>
      </c>
    </row>
    <row r="54">
      <c r="A54" s="9" t="n">
        <v>47058</v>
      </c>
      <c r="B54">
        <f>National!D61</f>
        <v/>
      </c>
      <c r="C54" s="15">
        <f>SUMIFS(Data_Actuals!$D$2:$D$5000,Data_Actuals!$A$2:$A$5000,$A54)</f>
        <v/>
      </c>
      <c r="D54" s="15">
        <f>National!F61</f>
        <v/>
      </c>
      <c r="E54" s="11">
        <f>IF(AND($B54="Forecast",C54&gt;0),D54/C54-1,"")</f>
        <v/>
      </c>
      <c r="F54" s="10">
        <f>SUMIFS(Data_Actuals!$E$2:$E$5000,Data_Actuals!$A$2:$A$5000,$A54)</f>
        <v/>
      </c>
      <c r="G54" s="10">
        <f>National!G61</f>
        <v/>
      </c>
      <c r="H54" s="11">
        <f>IF(AND($B54="Forecast",F54&gt;0),G54/F54-1,"")</f>
        <v/>
      </c>
      <c r="I54" s="16">
        <f>SUMIFS(Data_Actuals!$F$2:$F$5000,Data_Actuals!$A$2:$A$5000,$A54)</f>
        <v/>
      </c>
      <c r="J54" s="16">
        <f>National!H61</f>
        <v/>
      </c>
      <c r="K54" s="11">
        <f>IF(AND($B54="Forecast",I54&gt;0),J54/I54-1,"")</f>
        <v/>
      </c>
      <c r="L54" s="16">
        <f>SUMIFS(Data_Actuals!$G$2:$G$5000,Data_Actuals!$A$2:$A$5000,$A54)</f>
        <v/>
      </c>
      <c r="M54" s="16">
        <f>National!I61</f>
        <v/>
      </c>
      <c r="N54" s="11">
        <f>IF(AND($B54="Forecast",L54&gt;0),M54/L54-1,"")</f>
        <v/>
      </c>
      <c r="O54" s="17">
        <f>IFERROR(C54/F54,0)</f>
        <v/>
      </c>
      <c r="P54" s="17">
        <f>National!K61</f>
        <v/>
      </c>
      <c r="Q54" s="11">
        <f>IF(AND($B54="Forecast",O54&gt;0),P54/O54-1,"")</f>
        <v/>
      </c>
    </row>
    <row r="55">
      <c r="A55" s="9" t="n">
        <v>47088</v>
      </c>
      <c r="B55">
        <f>National!D62</f>
        <v/>
      </c>
      <c r="C55" s="15">
        <f>SUMIFS(Data_Actuals!$D$2:$D$5000,Data_Actuals!$A$2:$A$5000,$A55)</f>
        <v/>
      </c>
      <c r="D55" s="15">
        <f>National!F62</f>
        <v/>
      </c>
      <c r="E55" s="11">
        <f>IF(AND($B55="Forecast",C55&gt;0),D55/C55-1,"")</f>
        <v/>
      </c>
      <c r="F55" s="10">
        <f>SUMIFS(Data_Actuals!$E$2:$E$5000,Data_Actuals!$A$2:$A$5000,$A55)</f>
        <v/>
      </c>
      <c r="G55" s="10">
        <f>National!G62</f>
        <v/>
      </c>
      <c r="H55" s="11">
        <f>IF(AND($B55="Forecast",F55&gt;0),G55/F55-1,"")</f>
        <v/>
      </c>
      <c r="I55" s="16">
        <f>SUMIFS(Data_Actuals!$F$2:$F$5000,Data_Actuals!$A$2:$A$5000,$A55)</f>
        <v/>
      </c>
      <c r="J55" s="16">
        <f>National!H62</f>
        <v/>
      </c>
      <c r="K55" s="11">
        <f>IF(AND($B55="Forecast",I55&gt;0),J55/I55-1,"")</f>
        <v/>
      </c>
      <c r="L55" s="16">
        <f>SUMIFS(Data_Actuals!$G$2:$G$5000,Data_Actuals!$A$2:$A$5000,$A55)</f>
        <v/>
      </c>
      <c r="M55" s="16">
        <f>National!I62</f>
        <v/>
      </c>
      <c r="N55" s="11">
        <f>IF(AND($B55="Forecast",L55&gt;0),M55/L55-1,"")</f>
        <v/>
      </c>
      <c r="O55" s="17">
        <f>IFERROR(C55/F55,0)</f>
        <v/>
      </c>
      <c r="P55" s="17">
        <f>National!K62</f>
        <v/>
      </c>
      <c r="Q55" s="11">
        <f>IF(AND($B55="Forecast",O55&gt;0),P55/O55-1,"")</f>
        <v/>
      </c>
    </row>
  </sheetData>
  <mergeCells count="5">
    <mergeCell ref="F6:H6"/>
    <mergeCell ref="O6:Q6"/>
    <mergeCell ref="L6:N6"/>
    <mergeCell ref="C6:E6"/>
    <mergeCell ref="I6:K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M5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</cols>
  <sheetData>
    <row r="1">
      <c r="A1" s="2" t="inlineStr">
        <is>
          <t>Dashboard</t>
        </is>
      </c>
    </row>
    <row r="2">
      <c r="AA2" s="7" t="inlineStr">
        <is>
          <t>Chart data for the selected site (do not edit)</t>
        </is>
      </c>
    </row>
    <row r="3">
      <c r="A3" t="inlineStr">
        <is>
          <t>Site</t>
        </is>
      </c>
      <c r="B3" s="18" t="inlineStr">
        <is>
          <t>National</t>
        </is>
      </c>
      <c r="C3" s="7" t="inlineStr">
        <is>
          <t>Pick a site to update every chart. Blue = actual, orange = forecast.</t>
        </is>
      </c>
      <c r="X3" s="7" t="inlineStr">
        <is>
          <t>Site no.</t>
        </is>
      </c>
      <c r="AA3" s="1" t="inlineStr">
        <is>
          <t>Month</t>
        </is>
      </c>
      <c r="AB3" s="1" t="inlineStr">
        <is>
          <t>Total payroll: actual</t>
        </is>
      </c>
      <c r="AC3" s="1" t="inlineStr">
        <is>
          <t>Total payroll: forecast</t>
        </is>
      </c>
      <c r="AD3" s="1" t="inlineStr">
        <is>
          <t>WH hours worked: actual</t>
        </is>
      </c>
      <c r="AE3" s="1" t="inlineStr">
        <is>
          <t>WH hours worked: forecast</t>
        </is>
      </c>
      <c r="AF3" s="1" t="inlineStr">
        <is>
          <t>CPLH (cases / hr): actual</t>
        </is>
      </c>
      <c r="AG3" s="1" t="inlineStr">
        <is>
          <t>CPLH (cases / hr): forecast</t>
        </is>
      </c>
      <c r="AH3" s="1" t="inlineStr">
        <is>
          <t>Cost per hour: actual</t>
        </is>
      </c>
      <c r="AI3" s="1" t="inlineStr">
        <is>
          <t>Cost per hour: forecast</t>
        </is>
      </c>
      <c r="AJ3" s="1" t="inlineStr">
        <is>
          <t>Cost per case (staff): actual</t>
        </is>
      </c>
      <c r="AK3" s="1" t="inlineStr">
        <is>
          <t>Cost per case (staff): forecast</t>
        </is>
      </c>
      <c r="AL3" s="1" t="inlineStr">
        <is>
          <t>Total payroll % of sales: actual</t>
        </is>
      </c>
      <c r="AM3" s="1" t="inlineStr">
        <is>
          <t>Total payroll % of sales: forecast</t>
        </is>
      </c>
    </row>
    <row r="4">
      <c r="A4" t="inlineStr">
        <is>
          <t>Status</t>
        </is>
      </c>
      <c r="B4">
        <f>Checks!B3</f>
        <v/>
      </c>
      <c r="X4" s="7">
        <f>MATCH($B$3,$Y$4:$Y$14,0)</f>
        <v/>
      </c>
      <c r="Y4" s="7" t="inlineStr">
        <is>
          <t>National</t>
        </is>
      </c>
      <c r="AA4" s="9" t="n">
        <v>45658</v>
      </c>
      <c r="AB4" s="19">
        <f>IF(CHOOSE($X$4,'National'!D15,'NSW-1'!D15,'VIC-1'!D15,'QLD-1'!D15,'NSW-2'!D15,'VIC-2'!D15,'QLD-2'!D15,'SA-1'!D15,'WA-1'!D15,'IDC-NSW'!D15,'IDC-VIC'!D15)="Actual",CHOOSE($X$4,'National'!J15,'NSW-1'!J15,'VIC-1'!J15,'QLD-1'!J15,'NSW-2'!J15,'VIC-2'!J15,'QLD-2'!J15,'SA-1'!J15,'WA-1'!J15,'IDC-NSW'!J15,'IDC-VIC'!J15),NA())</f>
        <v/>
      </c>
      <c r="AC4" s="19">
        <f>IF(OR(CHOOSE($X$4,'National'!D15,'NSW-1'!D15,'VIC-1'!D15,'QLD-1'!D15,'NSW-2'!D15,'VIC-2'!D15,'QLD-2'!D15,'SA-1'!D15,'WA-1'!D15,'IDC-NSW'!D15,'IDC-VIC'!D15)="Forecast",$AA4=LastActual),CHOOSE($X$4,'National'!J15,'NSW-1'!J15,'VIC-1'!J15,'QLD-1'!J15,'NSW-2'!J15,'VIC-2'!J15,'QLD-2'!J15,'SA-1'!J15,'WA-1'!J15,'IDC-NSW'!J15,'IDC-VIC'!J15),NA())</f>
        <v/>
      </c>
      <c r="AD4" s="10">
        <f>IF(CHOOSE($X$4,'National'!D15,'NSW-1'!D15,'VIC-1'!D15,'QLD-1'!D15,'NSW-2'!D15,'VIC-2'!D15,'QLD-2'!D15,'SA-1'!D15,'WA-1'!D15,'IDC-NSW'!D15,'IDC-VIC'!D15)="Actual",CHOOSE($X$4,'National'!G15,'NSW-1'!G15,'VIC-1'!G15,'QLD-1'!G15,'NSW-2'!G15,'VIC-2'!G15,'QLD-2'!G15,'SA-1'!G15,'WA-1'!G15,'IDC-NSW'!G15,'IDC-VIC'!G15),NA())</f>
        <v/>
      </c>
      <c r="AE4" s="10">
        <f>IF(OR(CHOOSE($X$4,'National'!D15,'NSW-1'!D15,'VIC-1'!D15,'QLD-1'!D15,'NSW-2'!D15,'VIC-2'!D15,'QLD-2'!D15,'SA-1'!D15,'WA-1'!D15,'IDC-NSW'!D15,'IDC-VIC'!D15)="Forecast",$AA4=LastActual),CHOOSE($X$4,'National'!G15,'NSW-1'!G15,'VIC-1'!G15,'QLD-1'!G15,'NSW-2'!G15,'VIC-2'!G15,'QLD-2'!G15,'SA-1'!G15,'WA-1'!G15,'IDC-NSW'!G15,'IDC-VIC'!G15),NA())</f>
        <v/>
      </c>
      <c r="AF4" s="20">
        <f>IF(CHOOSE($X$4,'National'!D15,'NSW-1'!D15,'VIC-1'!D15,'QLD-1'!D15,'NSW-2'!D15,'VIC-2'!D15,'QLD-2'!D15,'SA-1'!D15,'WA-1'!D15,'IDC-NSW'!D15,'IDC-VIC'!D15)="Actual",CHOOSE($X$4,'National'!K15,'NSW-1'!K15,'VIC-1'!K15,'QLD-1'!K15,'NSW-2'!K15,'VIC-2'!K15,'QLD-2'!K15,'SA-1'!K15,'WA-1'!K15,'IDC-NSW'!K15,'IDC-VIC'!K15),NA())</f>
        <v/>
      </c>
      <c r="AG4" s="20">
        <f>IF(OR(CHOOSE($X$4,'National'!D15,'NSW-1'!D15,'VIC-1'!D15,'QLD-1'!D15,'NSW-2'!D15,'VIC-2'!D15,'QLD-2'!D15,'SA-1'!D15,'WA-1'!D15,'IDC-NSW'!D15,'IDC-VIC'!D15)="Forecast",$AA4=LastActual),CHOOSE($X$4,'National'!K15,'NSW-1'!K15,'VIC-1'!K15,'QLD-1'!K15,'NSW-2'!K15,'VIC-2'!K15,'QLD-2'!K15,'SA-1'!K15,'WA-1'!K15,'IDC-NSW'!K15,'IDC-VIC'!K15),NA())</f>
        <v/>
      </c>
      <c r="AH4" s="21">
        <f>IF(CHOOSE($X$4,'National'!D15,'NSW-1'!D15,'VIC-1'!D15,'QLD-1'!D15,'NSW-2'!D15,'VIC-2'!D15,'QLD-2'!D15,'SA-1'!D15,'WA-1'!D15,'IDC-NSW'!D15,'IDC-VIC'!D15)="Actual",CHOOSE($X$4,'National'!L15,'NSW-1'!L15,'VIC-1'!L15,'QLD-1'!L15,'NSW-2'!L15,'VIC-2'!L15,'QLD-2'!L15,'SA-1'!L15,'WA-1'!L15,'IDC-NSW'!L15,'IDC-VIC'!L15),NA())</f>
        <v/>
      </c>
      <c r="AI4" s="21">
        <f>IF(OR(CHOOSE($X$4,'National'!D15,'NSW-1'!D15,'VIC-1'!D15,'QLD-1'!D15,'NSW-2'!D15,'VIC-2'!D15,'QLD-2'!D15,'SA-1'!D15,'WA-1'!D15,'IDC-NSW'!D15,'IDC-VIC'!D15)="Forecast",$AA4=LastActual),CHOOSE($X$4,'National'!L15,'NSW-1'!L15,'VIC-1'!L15,'QLD-1'!L15,'NSW-2'!L15,'VIC-2'!L15,'QLD-2'!L15,'SA-1'!L15,'WA-1'!L15,'IDC-NSW'!L15,'IDC-VIC'!L15),NA())</f>
        <v/>
      </c>
      <c r="AJ4" s="22">
        <f>IF(CHOOSE($X$4,'National'!D15,'NSW-1'!D15,'VIC-1'!D15,'QLD-1'!D15,'NSW-2'!D15,'VIC-2'!D15,'QLD-2'!D15,'SA-1'!D15,'WA-1'!D15,'IDC-NSW'!D15,'IDC-VIC'!D15)="Actual",CHOOSE($X$4,'National'!M15,'NSW-1'!M15,'VIC-1'!M15,'QLD-1'!M15,'NSW-2'!M15,'VIC-2'!M15,'QLD-2'!M15,'SA-1'!M15,'WA-1'!M15,'IDC-NSW'!M15,'IDC-VIC'!M15),NA())</f>
        <v/>
      </c>
      <c r="AK4" s="22">
        <f>IF(OR(CHOOSE($X$4,'National'!D15,'NSW-1'!D15,'VIC-1'!D15,'QLD-1'!D15,'NSW-2'!D15,'VIC-2'!D15,'QLD-2'!D15,'SA-1'!D15,'WA-1'!D15,'IDC-NSW'!D15,'IDC-VIC'!D15)="Forecast",$AA4=LastActual),CHOOSE($X$4,'National'!M15,'NSW-1'!M15,'VIC-1'!M15,'QLD-1'!M15,'NSW-2'!M15,'VIC-2'!M15,'QLD-2'!M15,'SA-1'!M15,'WA-1'!M15,'IDC-NSW'!M15,'IDC-VIC'!M15),NA())</f>
        <v/>
      </c>
      <c r="AL4" s="8">
        <f>IF(CHOOSE($X$4,'National'!D15,'NSW-1'!D15,'VIC-1'!D15,'QLD-1'!D15,'NSW-2'!D15,'VIC-2'!D15,'QLD-2'!D15,'SA-1'!D15,'WA-1'!D15,'IDC-NSW'!D15,'IDC-VIC'!D15)="Actual",CHOOSE($X$4,'National'!P15,'NSW-1'!P15,'VIC-1'!P15,'QLD-1'!P15,'NSW-2'!P15,'VIC-2'!P15,'QLD-2'!P15,'SA-1'!P15,'WA-1'!P15,'IDC-NSW'!P15,'IDC-VIC'!P15),NA())</f>
        <v/>
      </c>
      <c r="AM4" s="8">
        <f>IF(OR(CHOOSE($X$4,'National'!D15,'NSW-1'!D15,'VIC-1'!D15,'QLD-1'!D15,'NSW-2'!D15,'VIC-2'!D15,'QLD-2'!D15,'SA-1'!D15,'WA-1'!D15,'IDC-NSW'!D15,'IDC-VIC'!D15)="Forecast",$AA4=LastActual),CHOOSE($X$4,'National'!P15,'NSW-1'!P15,'VIC-1'!P15,'QLD-1'!P15,'NSW-2'!P15,'VIC-2'!P15,'QLD-2'!P15,'SA-1'!P15,'WA-1'!P15,'IDC-NSW'!P15,'IDC-VIC'!P15),NA())</f>
        <v/>
      </c>
    </row>
    <row r="5">
      <c r="Y5" s="7" t="inlineStr">
        <is>
          <t>NSW-1</t>
        </is>
      </c>
      <c r="AA5" s="9" t="n">
        <v>45689</v>
      </c>
      <c r="AB5" s="19">
        <f>IF(CHOOSE($X$4,'National'!D16,'NSW-1'!D16,'VIC-1'!D16,'QLD-1'!D16,'NSW-2'!D16,'VIC-2'!D16,'QLD-2'!D16,'SA-1'!D16,'WA-1'!D16,'IDC-NSW'!D16,'IDC-VIC'!D16)="Actual",CHOOSE($X$4,'National'!J16,'NSW-1'!J16,'VIC-1'!J16,'QLD-1'!J16,'NSW-2'!J16,'VIC-2'!J16,'QLD-2'!J16,'SA-1'!J16,'WA-1'!J16,'IDC-NSW'!J16,'IDC-VIC'!J16),NA())</f>
        <v/>
      </c>
      <c r="AC5" s="19">
        <f>IF(OR(CHOOSE($X$4,'National'!D16,'NSW-1'!D16,'VIC-1'!D16,'QLD-1'!D16,'NSW-2'!D16,'VIC-2'!D16,'QLD-2'!D16,'SA-1'!D16,'WA-1'!D16,'IDC-NSW'!D16,'IDC-VIC'!D16)="Forecast",$AA5=LastActual),CHOOSE($X$4,'National'!J16,'NSW-1'!J16,'VIC-1'!J16,'QLD-1'!J16,'NSW-2'!J16,'VIC-2'!J16,'QLD-2'!J16,'SA-1'!J16,'WA-1'!J16,'IDC-NSW'!J16,'IDC-VIC'!J16),NA())</f>
        <v/>
      </c>
      <c r="AD5" s="10">
        <f>IF(CHOOSE($X$4,'National'!D16,'NSW-1'!D16,'VIC-1'!D16,'QLD-1'!D16,'NSW-2'!D16,'VIC-2'!D16,'QLD-2'!D16,'SA-1'!D16,'WA-1'!D16,'IDC-NSW'!D16,'IDC-VIC'!D16)="Actual",CHOOSE($X$4,'National'!G16,'NSW-1'!G16,'VIC-1'!G16,'QLD-1'!G16,'NSW-2'!G16,'VIC-2'!G16,'QLD-2'!G16,'SA-1'!G16,'WA-1'!G16,'IDC-NSW'!G16,'IDC-VIC'!G16),NA())</f>
        <v/>
      </c>
      <c r="AE5" s="10">
        <f>IF(OR(CHOOSE($X$4,'National'!D16,'NSW-1'!D16,'VIC-1'!D16,'QLD-1'!D16,'NSW-2'!D16,'VIC-2'!D16,'QLD-2'!D16,'SA-1'!D16,'WA-1'!D16,'IDC-NSW'!D16,'IDC-VIC'!D16)="Forecast",$AA5=LastActual),CHOOSE($X$4,'National'!G16,'NSW-1'!G16,'VIC-1'!G16,'QLD-1'!G16,'NSW-2'!G16,'VIC-2'!G16,'QLD-2'!G16,'SA-1'!G16,'WA-1'!G16,'IDC-NSW'!G16,'IDC-VIC'!G16),NA())</f>
        <v/>
      </c>
      <c r="AF5" s="20">
        <f>IF(CHOOSE($X$4,'National'!D16,'NSW-1'!D16,'VIC-1'!D16,'QLD-1'!D16,'NSW-2'!D16,'VIC-2'!D16,'QLD-2'!D16,'SA-1'!D16,'WA-1'!D16,'IDC-NSW'!D16,'IDC-VIC'!D16)="Actual",CHOOSE($X$4,'National'!K16,'NSW-1'!K16,'VIC-1'!K16,'QLD-1'!K16,'NSW-2'!K16,'VIC-2'!K16,'QLD-2'!K16,'SA-1'!K16,'WA-1'!K16,'IDC-NSW'!K16,'IDC-VIC'!K16),NA())</f>
        <v/>
      </c>
      <c r="AG5" s="20">
        <f>IF(OR(CHOOSE($X$4,'National'!D16,'NSW-1'!D16,'VIC-1'!D16,'QLD-1'!D16,'NSW-2'!D16,'VIC-2'!D16,'QLD-2'!D16,'SA-1'!D16,'WA-1'!D16,'IDC-NSW'!D16,'IDC-VIC'!D16)="Forecast",$AA5=LastActual),CHOOSE($X$4,'National'!K16,'NSW-1'!K16,'VIC-1'!K16,'QLD-1'!K16,'NSW-2'!K16,'VIC-2'!K16,'QLD-2'!K16,'SA-1'!K16,'WA-1'!K16,'IDC-NSW'!K16,'IDC-VIC'!K16),NA())</f>
        <v/>
      </c>
      <c r="AH5" s="21">
        <f>IF(CHOOSE($X$4,'National'!D16,'NSW-1'!D16,'VIC-1'!D16,'QLD-1'!D16,'NSW-2'!D16,'VIC-2'!D16,'QLD-2'!D16,'SA-1'!D16,'WA-1'!D16,'IDC-NSW'!D16,'IDC-VIC'!D16)="Actual",CHOOSE($X$4,'National'!L16,'NSW-1'!L16,'VIC-1'!L16,'QLD-1'!L16,'NSW-2'!L16,'VIC-2'!L16,'QLD-2'!L16,'SA-1'!L16,'WA-1'!L16,'IDC-NSW'!L16,'IDC-VIC'!L16),NA())</f>
        <v/>
      </c>
      <c r="AI5" s="21">
        <f>IF(OR(CHOOSE($X$4,'National'!D16,'NSW-1'!D16,'VIC-1'!D16,'QLD-1'!D16,'NSW-2'!D16,'VIC-2'!D16,'QLD-2'!D16,'SA-1'!D16,'WA-1'!D16,'IDC-NSW'!D16,'IDC-VIC'!D16)="Forecast",$AA5=LastActual),CHOOSE($X$4,'National'!L16,'NSW-1'!L16,'VIC-1'!L16,'QLD-1'!L16,'NSW-2'!L16,'VIC-2'!L16,'QLD-2'!L16,'SA-1'!L16,'WA-1'!L16,'IDC-NSW'!L16,'IDC-VIC'!L16),NA())</f>
        <v/>
      </c>
      <c r="AJ5" s="22">
        <f>IF(CHOOSE($X$4,'National'!D16,'NSW-1'!D16,'VIC-1'!D16,'QLD-1'!D16,'NSW-2'!D16,'VIC-2'!D16,'QLD-2'!D16,'SA-1'!D16,'WA-1'!D16,'IDC-NSW'!D16,'IDC-VIC'!D16)="Actual",CHOOSE($X$4,'National'!M16,'NSW-1'!M16,'VIC-1'!M16,'QLD-1'!M16,'NSW-2'!M16,'VIC-2'!M16,'QLD-2'!M16,'SA-1'!M16,'WA-1'!M16,'IDC-NSW'!M16,'IDC-VIC'!M16),NA())</f>
        <v/>
      </c>
      <c r="AK5" s="22">
        <f>IF(OR(CHOOSE($X$4,'National'!D16,'NSW-1'!D16,'VIC-1'!D16,'QLD-1'!D16,'NSW-2'!D16,'VIC-2'!D16,'QLD-2'!D16,'SA-1'!D16,'WA-1'!D16,'IDC-NSW'!D16,'IDC-VIC'!D16)="Forecast",$AA5=LastActual),CHOOSE($X$4,'National'!M16,'NSW-1'!M16,'VIC-1'!M16,'QLD-1'!M16,'NSW-2'!M16,'VIC-2'!M16,'QLD-2'!M16,'SA-1'!M16,'WA-1'!M16,'IDC-NSW'!M16,'IDC-VIC'!M16),NA())</f>
        <v/>
      </c>
      <c r="AL5" s="8">
        <f>IF(CHOOSE($X$4,'National'!D16,'NSW-1'!D16,'VIC-1'!D16,'QLD-1'!D16,'NSW-2'!D16,'VIC-2'!D16,'QLD-2'!D16,'SA-1'!D16,'WA-1'!D16,'IDC-NSW'!D16,'IDC-VIC'!D16)="Actual",CHOOSE($X$4,'National'!P16,'NSW-1'!P16,'VIC-1'!P16,'QLD-1'!P16,'NSW-2'!P16,'VIC-2'!P16,'QLD-2'!P16,'SA-1'!P16,'WA-1'!P16,'IDC-NSW'!P16,'IDC-VIC'!P16),NA())</f>
        <v/>
      </c>
      <c r="AM5" s="8">
        <f>IF(OR(CHOOSE($X$4,'National'!D16,'NSW-1'!D16,'VIC-1'!D16,'QLD-1'!D16,'NSW-2'!D16,'VIC-2'!D16,'QLD-2'!D16,'SA-1'!D16,'WA-1'!D16,'IDC-NSW'!D16,'IDC-VIC'!D16)="Forecast",$AA5=LastActual),CHOOSE($X$4,'National'!P16,'NSW-1'!P16,'VIC-1'!P16,'QLD-1'!P16,'NSW-2'!P16,'VIC-2'!P16,'QLD-2'!P16,'SA-1'!P16,'WA-1'!P16,'IDC-NSW'!P16,'IDC-VIC'!P16),NA())</f>
        <v/>
      </c>
    </row>
    <row r="6">
      <c r="Y6" s="7" t="inlineStr">
        <is>
          <t>VIC-1</t>
        </is>
      </c>
      <c r="AA6" s="9" t="n">
        <v>45717</v>
      </c>
      <c r="AB6" s="19">
        <f>IF(CHOOSE($X$4,'National'!D17,'NSW-1'!D17,'VIC-1'!D17,'QLD-1'!D17,'NSW-2'!D17,'VIC-2'!D17,'QLD-2'!D17,'SA-1'!D17,'WA-1'!D17,'IDC-NSW'!D17,'IDC-VIC'!D17)="Actual",CHOOSE($X$4,'National'!J17,'NSW-1'!J17,'VIC-1'!J17,'QLD-1'!J17,'NSW-2'!J17,'VIC-2'!J17,'QLD-2'!J17,'SA-1'!J17,'WA-1'!J17,'IDC-NSW'!J17,'IDC-VIC'!J17),NA())</f>
        <v/>
      </c>
      <c r="AC6" s="19">
        <f>IF(OR(CHOOSE($X$4,'National'!D17,'NSW-1'!D17,'VIC-1'!D17,'QLD-1'!D17,'NSW-2'!D17,'VIC-2'!D17,'QLD-2'!D17,'SA-1'!D17,'WA-1'!D17,'IDC-NSW'!D17,'IDC-VIC'!D17)="Forecast",$AA6=LastActual),CHOOSE($X$4,'National'!J17,'NSW-1'!J17,'VIC-1'!J17,'QLD-1'!J17,'NSW-2'!J17,'VIC-2'!J17,'QLD-2'!J17,'SA-1'!J17,'WA-1'!J17,'IDC-NSW'!J17,'IDC-VIC'!J17),NA())</f>
        <v/>
      </c>
      <c r="AD6" s="10">
        <f>IF(CHOOSE($X$4,'National'!D17,'NSW-1'!D17,'VIC-1'!D17,'QLD-1'!D17,'NSW-2'!D17,'VIC-2'!D17,'QLD-2'!D17,'SA-1'!D17,'WA-1'!D17,'IDC-NSW'!D17,'IDC-VIC'!D17)="Actual",CHOOSE($X$4,'National'!G17,'NSW-1'!G17,'VIC-1'!G17,'QLD-1'!G17,'NSW-2'!G17,'VIC-2'!G17,'QLD-2'!G17,'SA-1'!G17,'WA-1'!G17,'IDC-NSW'!G17,'IDC-VIC'!G17),NA())</f>
        <v/>
      </c>
      <c r="AE6" s="10">
        <f>IF(OR(CHOOSE($X$4,'National'!D17,'NSW-1'!D17,'VIC-1'!D17,'QLD-1'!D17,'NSW-2'!D17,'VIC-2'!D17,'QLD-2'!D17,'SA-1'!D17,'WA-1'!D17,'IDC-NSW'!D17,'IDC-VIC'!D17)="Forecast",$AA6=LastActual),CHOOSE($X$4,'National'!G17,'NSW-1'!G17,'VIC-1'!G17,'QLD-1'!G17,'NSW-2'!G17,'VIC-2'!G17,'QLD-2'!G17,'SA-1'!G17,'WA-1'!G17,'IDC-NSW'!G17,'IDC-VIC'!G17),NA())</f>
        <v/>
      </c>
      <c r="AF6" s="20">
        <f>IF(CHOOSE($X$4,'National'!D17,'NSW-1'!D17,'VIC-1'!D17,'QLD-1'!D17,'NSW-2'!D17,'VIC-2'!D17,'QLD-2'!D17,'SA-1'!D17,'WA-1'!D17,'IDC-NSW'!D17,'IDC-VIC'!D17)="Actual",CHOOSE($X$4,'National'!K17,'NSW-1'!K17,'VIC-1'!K17,'QLD-1'!K17,'NSW-2'!K17,'VIC-2'!K17,'QLD-2'!K17,'SA-1'!K17,'WA-1'!K17,'IDC-NSW'!K17,'IDC-VIC'!K17),NA())</f>
        <v/>
      </c>
      <c r="AG6" s="20">
        <f>IF(OR(CHOOSE($X$4,'National'!D17,'NSW-1'!D17,'VIC-1'!D17,'QLD-1'!D17,'NSW-2'!D17,'VIC-2'!D17,'QLD-2'!D17,'SA-1'!D17,'WA-1'!D17,'IDC-NSW'!D17,'IDC-VIC'!D17)="Forecast",$AA6=LastActual),CHOOSE($X$4,'National'!K17,'NSW-1'!K17,'VIC-1'!K17,'QLD-1'!K17,'NSW-2'!K17,'VIC-2'!K17,'QLD-2'!K17,'SA-1'!K17,'WA-1'!K17,'IDC-NSW'!K17,'IDC-VIC'!K17),NA())</f>
        <v/>
      </c>
      <c r="AH6" s="21">
        <f>IF(CHOOSE($X$4,'National'!D17,'NSW-1'!D17,'VIC-1'!D17,'QLD-1'!D17,'NSW-2'!D17,'VIC-2'!D17,'QLD-2'!D17,'SA-1'!D17,'WA-1'!D17,'IDC-NSW'!D17,'IDC-VIC'!D17)="Actual",CHOOSE($X$4,'National'!L17,'NSW-1'!L17,'VIC-1'!L17,'QLD-1'!L17,'NSW-2'!L17,'VIC-2'!L17,'QLD-2'!L17,'SA-1'!L17,'WA-1'!L17,'IDC-NSW'!L17,'IDC-VIC'!L17),NA())</f>
        <v/>
      </c>
      <c r="AI6" s="21">
        <f>IF(OR(CHOOSE($X$4,'National'!D17,'NSW-1'!D17,'VIC-1'!D17,'QLD-1'!D17,'NSW-2'!D17,'VIC-2'!D17,'QLD-2'!D17,'SA-1'!D17,'WA-1'!D17,'IDC-NSW'!D17,'IDC-VIC'!D17)="Forecast",$AA6=LastActual),CHOOSE($X$4,'National'!L17,'NSW-1'!L17,'VIC-1'!L17,'QLD-1'!L17,'NSW-2'!L17,'VIC-2'!L17,'QLD-2'!L17,'SA-1'!L17,'WA-1'!L17,'IDC-NSW'!L17,'IDC-VIC'!L17),NA())</f>
        <v/>
      </c>
      <c r="AJ6" s="22">
        <f>IF(CHOOSE($X$4,'National'!D17,'NSW-1'!D17,'VIC-1'!D17,'QLD-1'!D17,'NSW-2'!D17,'VIC-2'!D17,'QLD-2'!D17,'SA-1'!D17,'WA-1'!D17,'IDC-NSW'!D17,'IDC-VIC'!D17)="Actual",CHOOSE($X$4,'National'!M17,'NSW-1'!M17,'VIC-1'!M17,'QLD-1'!M17,'NSW-2'!M17,'VIC-2'!M17,'QLD-2'!M17,'SA-1'!M17,'WA-1'!M17,'IDC-NSW'!M17,'IDC-VIC'!M17),NA())</f>
        <v/>
      </c>
      <c r="AK6" s="22">
        <f>IF(OR(CHOOSE($X$4,'National'!D17,'NSW-1'!D17,'VIC-1'!D17,'QLD-1'!D17,'NSW-2'!D17,'VIC-2'!D17,'QLD-2'!D17,'SA-1'!D17,'WA-1'!D17,'IDC-NSW'!D17,'IDC-VIC'!D17)="Forecast",$AA6=LastActual),CHOOSE($X$4,'National'!M17,'NSW-1'!M17,'VIC-1'!M17,'QLD-1'!M17,'NSW-2'!M17,'VIC-2'!M17,'QLD-2'!M17,'SA-1'!M17,'WA-1'!M17,'IDC-NSW'!M17,'IDC-VIC'!M17),NA())</f>
        <v/>
      </c>
      <c r="AL6" s="8">
        <f>IF(CHOOSE($X$4,'National'!D17,'NSW-1'!D17,'VIC-1'!D17,'QLD-1'!D17,'NSW-2'!D17,'VIC-2'!D17,'QLD-2'!D17,'SA-1'!D17,'WA-1'!D17,'IDC-NSW'!D17,'IDC-VIC'!D17)="Actual",CHOOSE($X$4,'National'!P17,'NSW-1'!P17,'VIC-1'!P17,'QLD-1'!P17,'NSW-2'!P17,'VIC-2'!P17,'QLD-2'!P17,'SA-1'!P17,'WA-1'!P17,'IDC-NSW'!P17,'IDC-VIC'!P17),NA())</f>
        <v/>
      </c>
      <c r="AM6" s="8">
        <f>IF(OR(CHOOSE($X$4,'National'!D17,'NSW-1'!D17,'VIC-1'!D17,'QLD-1'!D17,'NSW-2'!D17,'VIC-2'!D17,'QLD-2'!D17,'SA-1'!D17,'WA-1'!D17,'IDC-NSW'!D17,'IDC-VIC'!D17)="Forecast",$AA6=LastActual),CHOOSE($X$4,'National'!P17,'NSW-1'!P17,'VIC-1'!P17,'QLD-1'!P17,'NSW-2'!P17,'VIC-2'!P17,'QLD-2'!P17,'SA-1'!P17,'WA-1'!P17,'IDC-NSW'!P17,'IDC-VIC'!P17),NA())</f>
        <v/>
      </c>
    </row>
    <row r="7">
      <c r="Y7" s="7" t="inlineStr">
        <is>
          <t>QLD-1</t>
        </is>
      </c>
      <c r="AA7" s="9" t="n">
        <v>45748</v>
      </c>
      <c r="AB7" s="19">
        <f>IF(CHOOSE($X$4,'National'!D18,'NSW-1'!D18,'VIC-1'!D18,'QLD-1'!D18,'NSW-2'!D18,'VIC-2'!D18,'QLD-2'!D18,'SA-1'!D18,'WA-1'!D18,'IDC-NSW'!D18,'IDC-VIC'!D18)="Actual",CHOOSE($X$4,'National'!J18,'NSW-1'!J18,'VIC-1'!J18,'QLD-1'!J18,'NSW-2'!J18,'VIC-2'!J18,'QLD-2'!J18,'SA-1'!J18,'WA-1'!J18,'IDC-NSW'!J18,'IDC-VIC'!J18),NA())</f>
        <v/>
      </c>
      <c r="AC7" s="19">
        <f>IF(OR(CHOOSE($X$4,'National'!D18,'NSW-1'!D18,'VIC-1'!D18,'QLD-1'!D18,'NSW-2'!D18,'VIC-2'!D18,'QLD-2'!D18,'SA-1'!D18,'WA-1'!D18,'IDC-NSW'!D18,'IDC-VIC'!D18)="Forecast",$AA7=LastActual),CHOOSE($X$4,'National'!J18,'NSW-1'!J18,'VIC-1'!J18,'QLD-1'!J18,'NSW-2'!J18,'VIC-2'!J18,'QLD-2'!J18,'SA-1'!J18,'WA-1'!J18,'IDC-NSW'!J18,'IDC-VIC'!J18),NA())</f>
        <v/>
      </c>
      <c r="AD7" s="10">
        <f>IF(CHOOSE($X$4,'National'!D18,'NSW-1'!D18,'VIC-1'!D18,'QLD-1'!D18,'NSW-2'!D18,'VIC-2'!D18,'QLD-2'!D18,'SA-1'!D18,'WA-1'!D18,'IDC-NSW'!D18,'IDC-VIC'!D18)="Actual",CHOOSE($X$4,'National'!G18,'NSW-1'!G18,'VIC-1'!G18,'QLD-1'!G18,'NSW-2'!G18,'VIC-2'!G18,'QLD-2'!G18,'SA-1'!G18,'WA-1'!G18,'IDC-NSW'!G18,'IDC-VIC'!G18),NA())</f>
        <v/>
      </c>
      <c r="AE7" s="10">
        <f>IF(OR(CHOOSE($X$4,'National'!D18,'NSW-1'!D18,'VIC-1'!D18,'QLD-1'!D18,'NSW-2'!D18,'VIC-2'!D18,'QLD-2'!D18,'SA-1'!D18,'WA-1'!D18,'IDC-NSW'!D18,'IDC-VIC'!D18)="Forecast",$AA7=LastActual),CHOOSE($X$4,'National'!G18,'NSW-1'!G18,'VIC-1'!G18,'QLD-1'!G18,'NSW-2'!G18,'VIC-2'!G18,'QLD-2'!G18,'SA-1'!G18,'WA-1'!G18,'IDC-NSW'!G18,'IDC-VIC'!G18),NA())</f>
        <v/>
      </c>
      <c r="AF7" s="20">
        <f>IF(CHOOSE($X$4,'National'!D18,'NSW-1'!D18,'VIC-1'!D18,'QLD-1'!D18,'NSW-2'!D18,'VIC-2'!D18,'QLD-2'!D18,'SA-1'!D18,'WA-1'!D18,'IDC-NSW'!D18,'IDC-VIC'!D18)="Actual",CHOOSE($X$4,'National'!K18,'NSW-1'!K18,'VIC-1'!K18,'QLD-1'!K18,'NSW-2'!K18,'VIC-2'!K18,'QLD-2'!K18,'SA-1'!K18,'WA-1'!K18,'IDC-NSW'!K18,'IDC-VIC'!K18),NA())</f>
        <v/>
      </c>
      <c r="AG7" s="20">
        <f>IF(OR(CHOOSE($X$4,'National'!D18,'NSW-1'!D18,'VIC-1'!D18,'QLD-1'!D18,'NSW-2'!D18,'VIC-2'!D18,'QLD-2'!D18,'SA-1'!D18,'WA-1'!D18,'IDC-NSW'!D18,'IDC-VIC'!D18)="Forecast",$AA7=LastActual),CHOOSE($X$4,'National'!K18,'NSW-1'!K18,'VIC-1'!K18,'QLD-1'!K18,'NSW-2'!K18,'VIC-2'!K18,'QLD-2'!K18,'SA-1'!K18,'WA-1'!K18,'IDC-NSW'!K18,'IDC-VIC'!K18),NA())</f>
        <v/>
      </c>
      <c r="AH7" s="21">
        <f>IF(CHOOSE($X$4,'National'!D18,'NSW-1'!D18,'VIC-1'!D18,'QLD-1'!D18,'NSW-2'!D18,'VIC-2'!D18,'QLD-2'!D18,'SA-1'!D18,'WA-1'!D18,'IDC-NSW'!D18,'IDC-VIC'!D18)="Actual",CHOOSE($X$4,'National'!L18,'NSW-1'!L18,'VIC-1'!L18,'QLD-1'!L18,'NSW-2'!L18,'VIC-2'!L18,'QLD-2'!L18,'SA-1'!L18,'WA-1'!L18,'IDC-NSW'!L18,'IDC-VIC'!L18),NA())</f>
        <v/>
      </c>
      <c r="AI7" s="21">
        <f>IF(OR(CHOOSE($X$4,'National'!D18,'NSW-1'!D18,'VIC-1'!D18,'QLD-1'!D18,'NSW-2'!D18,'VIC-2'!D18,'QLD-2'!D18,'SA-1'!D18,'WA-1'!D18,'IDC-NSW'!D18,'IDC-VIC'!D18)="Forecast",$AA7=LastActual),CHOOSE($X$4,'National'!L18,'NSW-1'!L18,'VIC-1'!L18,'QLD-1'!L18,'NSW-2'!L18,'VIC-2'!L18,'QLD-2'!L18,'SA-1'!L18,'WA-1'!L18,'IDC-NSW'!L18,'IDC-VIC'!L18),NA())</f>
        <v/>
      </c>
      <c r="AJ7" s="22">
        <f>IF(CHOOSE($X$4,'National'!D18,'NSW-1'!D18,'VIC-1'!D18,'QLD-1'!D18,'NSW-2'!D18,'VIC-2'!D18,'QLD-2'!D18,'SA-1'!D18,'WA-1'!D18,'IDC-NSW'!D18,'IDC-VIC'!D18)="Actual",CHOOSE($X$4,'National'!M18,'NSW-1'!M18,'VIC-1'!M18,'QLD-1'!M18,'NSW-2'!M18,'VIC-2'!M18,'QLD-2'!M18,'SA-1'!M18,'WA-1'!M18,'IDC-NSW'!M18,'IDC-VIC'!M18),NA())</f>
        <v/>
      </c>
      <c r="AK7" s="22">
        <f>IF(OR(CHOOSE($X$4,'National'!D18,'NSW-1'!D18,'VIC-1'!D18,'QLD-1'!D18,'NSW-2'!D18,'VIC-2'!D18,'QLD-2'!D18,'SA-1'!D18,'WA-1'!D18,'IDC-NSW'!D18,'IDC-VIC'!D18)="Forecast",$AA7=LastActual),CHOOSE($X$4,'National'!M18,'NSW-1'!M18,'VIC-1'!M18,'QLD-1'!M18,'NSW-2'!M18,'VIC-2'!M18,'QLD-2'!M18,'SA-1'!M18,'WA-1'!M18,'IDC-NSW'!M18,'IDC-VIC'!M18),NA())</f>
        <v/>
      </c>
      <c r="AL7" s="8">
        <f>IF(CHOOSE($X$4,'National'!D18,'NSW-1'!D18,'VIC-1'!D18,'QLD-1'!D18,'NSW-2'!D18,'VIC-2'!D18,'QLD-2'!D18,'SA-1'!D18,'WA-1'!D18,'IDC-NSW'!D18,'IDC-VIC'!D18)="Actual",CHOOSE($X$4,'National'!P18,'NSW-1'!P18,'VIC-1'!P18,'QLD-1'!P18,'NSW-2'!P18,'VIC-2'!P18,'QLD-2'!P18,'SA-1'!P18,'WA-1'!P18,'IDC-NSW'!P18,'IDC-VIC'!P18),NA())</f>
        <v/>
      </c>
      <c r="AM7" s="8">
        <f>IF(OR(CHOOSE($X$4,'National'!D18,'NSW-1'!D18,'VIC-1'!D18,'QLD-1'!D18,'NSW-2'!D18,'VIC-2'!D18,'QLD-2'!D18,'SA-1'!D18,'WA-1'!D18,'IDC-NSW'!D18,'IDC-VIC'!D18)="Forecast",$AA7=LastActual),CHOOSE($X$4,'National'!P18,'NSW-1'!P18,'VIC-1'!P18,'QLD-1'!P18,'NSW-2'!P18,'VIC-2'!P18,'QLD-2'!P18,'SA-1'!P18,'WA-1'!P18,'IDC-NSW'!P18,'IDC-VIC'!P18),NA())</f>
        <v/>
      </c>
    </row>
    <row r="8">
      <c r="Y8" s="7" t="inlineStr">
        <is>
          <t>NSW-2</t>
        </is>
      </c>
      <c r="AA8" s="9" t="n">
        <v>45778</v>
      </c>
      <c r="AB8" s="19">
        <f>IF(CHOOSE($X$4,'National'!D19,'NSW-1'!D19,'VIC-1'!D19,'QLD-1'!D19,'NSW-2'!D19,'VIC-2'!D19,'QLD-2'!D19,'SA-1'!D19,'WA-1'!D19,'IDC-NSW'!D19,'IDC-VIC'!D19)="Actual",CHOOSE($X$4,'National'!J19,'NSW-1'!J19,'VIC-1'!J19,'QLD-1'!J19,'NSW-2'!J19,'VIC-2'!J19,'QLD-2'!J19,'SA-1'!J19,'WA-1'!J19,'IDC-NSW'!J19,'IDC-VIC'!J19),NA())</f>
        <v/>
      </c>
      <c r="AC8" s="19">
        <f>IF(OR(CHOOSE($X$4,'National'!D19,'NSW-1'!D19,'VIC-1'!D19,'QLD-1'!D19,'NSW-2'!D19,'VIC-2'!D19,'QLD-2'!D19,'SA-1'!D19,'WA-1'!D19,'IDC-NSW'!D19,'IDC-VIC'!D19)="Forecast",$AA8=LastActual),CHOOSE($X$4,'National'!J19,'NSW-1'!J19,'VIC-1'!J19,'QLD-1'!J19,'NSW-2'!J19,'VIC-2'!J19,'QLD-2'!J19,'SA-1'!J19,'WA-1'!J19,'IDC-NSW'!J19,'IDC-VIC'!J19),NA())</f>
        <v/>
      </c>
      <c r="AD8" s="10">
        <f>IF(CHOOSE($X$4,'National'!D19,'NSW-1'!D19,'VIC-1'!D19,'QLD-1'!D19,'NSW-2'!D19,'VIC-2'!D19,'QLD-2'!D19,'SA-1'!D19,'WA-1'!D19,'IDC-NSW'!D19,'IDC-VIC'!D19)="Actual",CHOOSE($X$4,'National'!G19,'NSW-1'!G19,'VIC-1'!G19,'QLD-1'!G19,'NSW-2'!G19,'VIC-2'!G19,'QLD-2'!G19,'SA-1'!G19,'WA-1'!G19,'IDC-NSW'!G19,'IDC-VIC'!G19),NA())</f>
        <v/>
      </c>
      <c r="AE8" s="10">
        <f>IF(OR(CHOOSE($X$4,'National'!D19,'NSW-1'!D19,'VIC-1'!D19,'QLD-1'!D19,'NSW-2'!D19,'VIC-2'!D19,'QLD-2'!D19,'SA-1'!D19,'WA-1'!D19,'IDC-NSW'!D19,'IDC-VIC'!D19)="Forecast",$AA8=LastActual),CHOOSE($X$4,'National'!G19,'NSW-1'!G19,'VIC-1'!G19,'QLD-1'!G19,'NSW-2'!G19,'VIC-2'!G19,'QLD-2'!G19,'SA-1'!G19,'WA-1'!G19,'IDC-NSW'!G19,'IDC-VIC'!G19),NA())</f>
        <v/>
      </c>
      <c r="AF8" s="20">
        <f>IF(CHOOSE($X$4,'National'!D19,'NSW-1'!D19,'VIC-1'!D19,'QLD-1'!D19,'NSW-2'!D19,'VIC-2'!D19,'QLD-2'!D19,'SA-1'!D19,'WA-1'!D19,'IDC-NSW'!D19,'IDC-VIC'!D19)="Actual",CHOOSE($X$4,'National'!K19,'NSW-1'!K19,'VIC-1'!K19,'QLD-1'!K19,'NSW-2'!K19,'VIC-2'!K19,'QLD-2'!K19,'SA-1'!K19,'WA-1'!K19,'IDC-NSW'!K19,'IDC-VIC'!K19),NA())</f>
        <v/>
      </c>
      <c r="AG8" s="20">
        <f>IF(OR(CHOOSE($X$4,'National'!D19,'NSW-1'!D19,'VIC-1'!D19,'QLD-1'!D19,'NSW-2'!D19,'VIC-2'!D19,'QLD-2'!D19,'SA-1'!D19,'WA-1'!D19,'IDC-NSW'!D19,'IDC-VIC'!D19)="Forecast",$AA8=LastActual),CHOOSE($X$4,'National'!K19,'NSW-1'!K19,'VIC-1'!K19,'QLD-1'!K19,'NSW-2'!K19,'VIC-2'!K19,'QLD-2'!K19,'SA-1'!K19,'WA-1'!K19,'IDC-NSW'!K19,'IDC-VIC'!K19),NA())</f>
        <v/>
      </c>
      <c r="AH8" s="21">
        <f>IF(CHOOSE($X$4,'National'!D19,'NSW-1'!D19,'VIC-1'!D19,'QLD-1'!D19,'NSW-2'!D19,'VIC-2'!D19,'QLD-2'!D19,'SA-1'!D19,'WA-1'!D19,'IDC-NSW'!D19,'IDC-VIC'!D19)="Actual",CHOOSE($X$4,'National'!L19,'NSW-1'!L19,'VIC-1'!L19,'QLD-1'!L19,'NSW-2'!L19,'VIC-2'!L19,'QLD-2'!L19,'SA-1'!L19,'WA-1'!L19,'IDC-NSW'!L19,'IDC-VIC'!L19),NA())</f>
        <v/>
      </c>
      <c r="AI8" s="21">
        <f>IF(OR(CHOOSE($X$4,'National'!D19,'NSW-1'!D19,'VIC-1'!D19,'QLD-1'!D19,'NSW-2'!D19,'VIC-2'!D19,'QLD-2'!D19,'SA-1'!D19,'WA-1'!D19,'IDC-NSW'!D19,'IDC-VIC'!D19)="Forecast",$AA8=LastActual),CHOOSE($X$4,'National'!L19,'NSW-1'!L19,'VIC-1'!L19,'QLD-1'!L19,'NSW-2'!L19,'VIC-2'!L19,'QLD-2'!L19,'SA-1'!L19,'WA-1'!L19,'IDC-NSW'!L19,'IDC-VIC'!L19),NA())</f>
        <v/>
      </c>
      <c r="AJ8" s="22">
        <f>IF(CHOOSE($X$4,'National'!D19,'NSW-1'!D19,'VIC-1'!D19,'QLD-1'!D19,'NSW-2'!D19,'VIC-2'!D19,'QLD-2'!D19,'SA-1'!D19,'WA-1'!D19,'IDC-NSW'!D19,'IDC-VIC'!D19)="Actual",CHOOSE($X$4,'National'!M19,'NSW-1'!M19,'VIC-1'!M19,'QLD-1'!M19,'NSW-2'!M19,'VIC-2'!M19,'QLD-2'!M19,'SA-1'!M19,'WA-1'!M19,'IDC-NSW'!M19,'IDC-VIC'!M19),NA())</f>
        <v/>
      </c>
      <c r="AK8" s="22">
        <f>IF(OR(CHOOSE($X$4,'National'!D19,'NSW-1'!D19,'VIC-1'!D19,'QLD-1'!D19,'NSW-2'!D19,'VIC-2'!D19,'QLD-2'!D19,'SA-1'!D19,'WA-1'!D19,'IDC-NSW'!D19,'IDC-VIC'!D19)="Forecast",$AA8=LastActual),CHOOSE($X$4,'National'!M19,'NSW-1'!M19,'VIC-1'!M19,'QLD-1'!M19,'NSW-2'!M19,'VIC-2'!M19,'QLD-2'!M19,'SA-1'!M19,'WA-1'!M19,'IDC-NSW'!M19,'IDC-VIC'!M19),NA())</f>
        <v/>
      </c>
      <c r="AL8" s="8">
        <f>IF(CHOOSE($X$4,'National'!D19,'NSW-1'!D19,'VIC-1'!D19,'QLD-1'!D19,'NSW-2'!D19,'VIC-2'!D19,'QLD-2'!D19,'SA-1'!D19,'WA-1'!D19,'IDC-NSW'!D19,'IDC-VIC'!D19)="Actual",CHOOSE($X$4,'National'!P19,'NSW-1'!P19,'VIC-1'!P19,'QLD-1'!P19,'NSW-2'!P19,'VIC-2'!P19,'QLD-2'!P19,'SA-1'!P19,'WA-1'!P19,'IDC-NSW'!P19,'IDC-VIC'!P19),NA())</f>
        <v/>
      </c>
      <c r="AM8" s="8">
        <f>IF(OR(CHOOSE($X$4,'National'!D19,'NSW-1'!D19,'VIC-1'!D19,'QLD-1'!D19,'NSW-2'!D19,'VIC-2'!D19,'QLD-2'!D19,'SA-1'!D19,'WA-1'!D19,'IDC-NSW'!D19,'IDC-VIC'!D19)="Forecast",$AA8=LastActual),CHOOSE($X$4,'National'!P19,'NSW-1'!P19,'VIC-1'!P19,'QLD-1'!P19,'NSW-2'!P19,'VIC-2'!P19,'QLD-2'!P19,'SA-1'!P19,'WA-1'!P19,'IDC-NSW'!P19,'IDC-VIC'!P19),NA())</f>
        <v/>
      </c>
    </row>
    <row r="9">
      <c r="Y9" s="7" t="inlineStr">
        <is>
          <t>VIC-2</t>
        </is>
      </c>
      <c r="AA9" s="9" t="n">
        <v>45809</v>
      </c>
      <c r="AB9" s="19">
        <f>IF(CHOOSE($X$4,'National'!D20,'NSW-1'!D20,'VIC-1'!D20,'QLD-1'!D20,'NSW-2'!D20,'VIC-2'!D20,'QLD-2'!D20,'SA-1'!D20,'WA-1'!D20,'IDC-NSW'!D20,'IDC-VIC'!D20)="Actual",CHOOSE($X$4,'National'!J20,'NSW-1'!J20,'VIC-1'!J20,'QLD-1'!J20,'NSW-2'!J20,'VIC-2'!J20,'QLD-2'!J20,'SA-1'!J20,'WA-1'!J20,'IDC-NSW'!J20,'IDC-VIC'!J20),NA())</f>
        <v/>
      </c>
      <c r="AC9" s="19">
        <f>IF(OR(CHOOSE($X$4,'National'!D20,'NSW-1'!D20,'VIC-1'!D20,'QLD-1'!D20,'NSW-2'!D20,'VIC-2'!D20,'QLD-2'!D20,'SA-1'!D20,'WA-1'!D20,'IDC-NSW'!D20,'IDC-VIC'!D20)="Forecast",$AA9=LastActual),CHOOSE($X$4,'National'!J20,'NSW-1'!J20,'VIC-1'!J20,'QLD-1'!J20,'NSW-2'!J20,'VIC-2'!J20,'QLD-2'!J20,'SA-1'!J20,'WA-1'!J20,'IDC-NSW'!J20,'IDC-VIC'!J20),NA())</f>
        <v/>
      </c>
      <c r="AD9" s="10">
        <f>IF(CHOOSE($X$4,'National'!D20,'NSW-1'!D20,'VIC-1'!D20,'QLD-1'!D20,'NSW-2'!D20,'VIC-2'!D20,'QLD-2'!D20,'SA-1'!D20,'WA-1'!D20,'IDC-NSW'!D20,'IDC-VIC'!D20)="Actual",CHOOSE($X$4,'National'!G20,'NSW-1'!G20,'VIC-1'!G20,'QLD-1'!G20,'NSW-2'!G20,'VIC-2'!G20,'QLD-2'!G20,'SA-1'!G20,'WA-1'!G20,'IDC-NSW'!G20,'IDC-VIC'!G20),NA())</f>
        <v/>
      </c>
      <c r="AE9" s="10">
        <f>IF(OR(CHOOSE($X$4,'National'!D20,'NSW-1'!D20,'VIC-1'!D20,'QLD-1'!D20,'NSW-2'!D20,'VIC-2'!D20,'QLD-2'!D20,'SA-1'!D20,'WA-1'!D20,'IDC-NSW'!D20,'IDC-VIC'!D20)="Forecast",$AA9=LastActual),CHOOSE($X$4,'National'!G20,'NSW-1'!G20,'VIC-1'!G20,'QLD-1'!G20,'NSW-2'!G20,'VIC-2'!G20,'QLD-2'!G20,'SA-1'!G20,'WA-1'!G20,'IDC-NSW'!G20,'IDC-VIC'!G20),NA())</f>
        <v/>
      </c>
      <c r="AF9" s="20">
        <f>IF(CHOOSE($X$4,'National'!D20,'NSW-1'!D20,'VIC-1'!D20,'QLD-1'!D20,'NSW-2'!D20,'VIC-2'!D20,'QLD-2'!D20,'SA-1'!D20,'WA-1'!D20,'IDC-NSW'!D20,'IDC-VIC'!D20)="Actual",CHOOSE($X$4,'National'!K20,'NSW-1'!K20,'VIC-1'!K20,'QLD-1'!K20,'NSW-2'!K20,'VIC-2'!K20,'QLD-2'!K20,'SA-1'!K20,'WA-1'!K20,'IDC-NSW'!K20,'IDC-VIC'!K20),NA())</f>
        <v/>
      </c>
      <c r="AG9" s="20">
        <f>IF(OR(CHOOSE($X$4,'National'!D20,'NSW-1'!D20,'VIC-1'!D20,'QLD-1'!D20,'NSW-2'!D20,'VIC-2'!D20,'QLD-2'!D20,'SA-1'!D20,'WA-1'!D20,'IDC-NSW'!D20,'IDC-VIC'!D20)="Forecast",$AA9=LastActual),CHOOSE($X$4,'National'!K20,'NSW-1'!K20,'VIC-1'!K20,'QLD-1'!K20,'NSW-2'!K20,'VIC-2'!K20,'QLD-2'!K20,'SA-1'!K20,'WA-1'!K20,'IDC-NSW'!K20,'IDC-VIC'!K20),NA())</f>
        <v/>
      </c>
      <c r="AH9" s="21">
        <f>IF(CHOOSE($X$4,'National'!D20,'NSW-1'!D20,'VIC-1'!D20,'QLD-1'!D20,'NSW-2'!D20,'VIC-2'!D20,'QLD-2'!D20,'SA-1'!D20,'WA-1'!D20,'IDC-NSW'!D20,'IDC-VIC'!D20)="Actual",CHOOSE($X$4,'National'!L20,'NSW-1'!L20,'VIC-1'!L20,'QLD-1'!L20,'NSW-2'!L20,'VIC-2'!L20,'QLD-2'!L20,'SA-1'!L20,'WA-1'!L20,'IDC-NSW'!L20,'IDC-VIC'!L20),NA())</f>
        <v/>
      </c>
      <c r="AI9" s="21">
        <f>IF(OR(CHOOSE($X$4,'National'!D20,'NSW-1'!D20,'VIC-1'!D20,'QLD-1'!D20,'NSW-2'!D20,'VIC-2'!D20,'QLD-2'!D20,'SA-1'!D20,'WA-1'!D20,'IDC-NSW'!D20,'IDC-VIC'!D20)="Forecast",$AA9=LastActual),CHOOSE($X$4,'National'!L20,'NSW-1'!L20,'VIC-1'!L20,'QLD-1'!L20,'NSW-2'!L20,'VIC-2'!L20,'QLD-2'!L20,'SA-1'!L20,'WA-1'!L20,'IDC-NSW'!L20,'IDC-VIC'!L20),NA())</f>
        <v/>
      </c>
      <c r="AJ9" s="22">
        <f>IF(CHOOSE($X$4,'National'!D20,'NSW-1'!D20,'VIC-1'!D20,'QLD-1'!D20,'NSW-2'!D20,'VIC-2'!D20,'QLD-2'!D20,'SA-1'!D20,'WA-1'!D20,'IDC-NSW'!D20,'IDC-VIC'!D20)="Actual",CHOOSE($X$4,'National'!M20,'NSW-1'!M20,'VIC-1'!M20,'QLD-1'!M20,'NSW-2'!M20,'VIC-2'!M20,'QLD-2'!M20,'SA-1'!M20,'WA-1'!M20,'IDC-NSW'!M20,'IDC-VIC'!M20),NA())</f>
        <v/>
      </c>
      <c r="AK9" s="22">
        <f>IF(OR(CHOOSE($X$4,'National'!D20,'NSW-1'!D20,'VIC-1'!D20,'QLD-1'!D20,'NSW-2'!D20,'VIC-2'!D20,'QLD-2'!D20,'SA-1'!D20,'WA-1'!D20,'IDC-NSW'!D20,'IDC-VIC'!D20)="Forecast",$AA9=LastActual),CHOOSE($X$4,'National'!M20,'NSW-1'!M20,'VIC-1'!M20,'QLD-1'!M20,'NSW-2'!M20,'VIC-2'!M20,'QLD-2'!M20,'SA-1'!M20,'WA-1'!M20,'IDC-NSW'!M20,'IDC-VIC'!M20),NA())</f>
        <v/>
      </c>
      <c r="AL9" s="8">
        <f>IF(CHOOSE($X$4,'National'!D20,'NSW-1'!D20,'VIC-1'!D20,'QLD-1'!D20,'NSW-2'!D20,'VIC-2'!D20,'QLD-2'!D20,'SA-1'!D20,'WA-1'!D20,'IDC-NSW'!D20,'IDC-VIC'!D20)="Actual",CHOOSE($X$4,'National'!P20,'NSW-1'!P20,'VIC-1'!P20,'QLD-1'!P20,'NSW-2'!P20,'VIC-2'!P20,'QLD-2'!P20,'SA-1'!P20,'WA-1'!P20,'IDC-NSW'!P20,'IDC-VIC'!P20),NA())</f>
        <v/>
      </c>
      <c r="AM9" s="8">
        <f>IF(OR(CHOOSE($X$4,'National'!D20,'NSW-1'!D20,'VIC-1'!D20,'QLD-1'!D20,'NSW-2'!D20,'VIC-2'!D20,'QLD-2'!D20,'SA-1'!D20,'WA-1'!D20,'IDC-NSW'!D20,'IDC-VIC'!D20)="Forecast",$AA9=LastActual),CHOOSE($X$4,'National'!P20,'NSW-1'!P20,'VIC-1'!P20,'QLD-1'!P20,'NSW-2'!P20,'VIC-2'!P20,'QLD-2'!P20,'SA-1'!P20,'WA-1'!P20,'IDC-NSW'!P20,'IDC-VIC'!P20),NA())</f>
        <v/>
      </c>
    </row>
    <row r="10">
      <c r="Y10" s="7" t="inlineStr">
        <is>
          <t>QLD-2</t>
        </is>
      </c>
      <c r="AA10" s="9" t="n">
        <v>45839</v>
      </c>
      <c r="AB10" s="19">
        <f>IF(CHOOSE($X$4,'National'!D21,'NSW-1'!D21,'VIC-1'!D21,'QLD-1'!D21,'NSW-2'!D21,'VIC-2'!D21,'QLD-2'!D21,'SA-1'!D21,'WA-1'!D21,'IDC-NSW'!D21,'IDC-VIC'!D21)="Actual",CHOOSE($X$4,'National'!J21,'NSW-1'!J21,'VIC-1'!J21,'QLD-1'!J21,'NSW-2'!J21,'VIC-2'!J21,'QLD-2'!J21,'SA-1'!J21,'WA-1'!J21,'IDC-NSW'!J21,'IDC-VIC'!J21),NA())</f>
        <v/>
      </c>
      <c r="AC10" s="19">
        <f>IF(OR(CHOOSE($X$4,'National'!D21,'NSW-1'!D21,'VIC-1'!D21,'QLD-1'!D21,'NSW-2'!D21,'VIC-2'!D21,'QLD-2'!D21,'SA-1'!D21,'WA-1'!D21,'IDC-NSW'!D21,'IDC-VIC'!D21)="Forecast",$AA10=LastActual),CHOOSE($X$4,'National'!J21,'NSW-1'!J21,'VIC-1'!J21,'QLD-1'!J21,'NSW-2'!J21,'VIC-2'!J21,'QLD-2'!J21,'SA-1'!J21,'WA-1'!J21,'IDC-NSW'!J21,'IDC-VIC'!J21),NA())</f>
        <v/>
      </c>
      <c r="AD10" s="10">
        <f>IF(CHOOSE($X$4,'National'!D21,'NSW-1'!D21,'VIC-1'!D21,'QLD-1'!D21,'NSW-2'!D21,'VIC-2'!D21,'QLD-2'!D21,'SA-1'!D21,'WA-1'!D21,'IDC-NSW'!D21,'IDC-VIC'!D21)="Actual",CHOOSE($X$4,'National'!G21,'NSW-1'!G21,'VIC-1'!G21,'QLD-1'!G21,'NSW-2'!G21,'VIC-2'!G21,'QLD-2'!G21,'SA-1'!G21,'WA-1'!G21,'IDC-NSW'!G21,'IDC-VIC'!G21),NA())</f>
        <v/>
      </c>
      <c r="AE10" s="10">
        <f>IF(OR(CHOOSE($X$4,'National'!D21,'NSW-1'!D21,'VIC-1'!D21,'QLD-1'!D21,'NSW-2'!D21,'VIC-2'!D21,'QLD-2'!D21,'SA-1'!D21,'WA-1'!D21,'IDC-NSW'!D21,'IDC-VIC'!D21)="Forecast",$AA10=LastActual),CHOOSE($X$4,'National'!G21,'NSW-1'!G21,'VIC-1'!G21,'QLD-1'!G21,'NSW-2'!G21,'VIC-2'!G21,'QLD-2'!G21,'SA-1'!G21,'WA-1'!G21,'IDC-NSW'!G21,'IDC-VIC'!G21),NA())</f>
        <v/>
      </c>
      <c r="AF10" s="20">
        <f>IF(CHOOSE($X$4,'National'!D21,'NSW-1'!D21,'VIC-1'!D21,'QLD-1'!D21,'NSW-2'!D21,'VIC-2'!D21,'QLD-2'!D21,'SA-1'!D21,'WA-1'!D21,'IDC-NSW'!D21,'IDC-VIC'!D21)="Actual",CHOOSE($X$4,'National'!K21,'NSW-1'!K21,'VIC-1'!K21,'QLD-1'!K21,'NSW-2'!K21,'VIC-2'!K21,'QLD-2'!K21,'SA-1'!K21,'WA-1'!K21,'IDC-NSW'!K21,'IDC-VIC'!K21),NA())</f>
        <v/>
      </c>
      <c r="AG10" s="20">
        <f>IF(OR(CHOOSE($X$4,'National'!D21,'NSW-1'!D21,'VIC-1'!D21,'QLD-1'!D21,'NSW-2'!D21,'VIC-2'!D21,'QLD-2'!D21,'SA-1'!D21,'WA-1'!D21,'IDC-NSW'!D21,'IDC-VIC'!D21)="Forecast",$AA10=LastActual),CHOOSE($X$4,'National'!K21,'NSW-1'!K21,'VIC-1'!K21,'QLD-1'!K21,'NSW-2'!K21,'VIC-2'!K21,'QLD-2'!K21,'SA-1'!K21,'WA-1'!K21,'IDC-NSW'!K21,'IDC-VIC'!K21),NA())</f>
        <v/>
      </c>
      <c r="AH10" s="21">
        <f>IF(CHOOSE($X$4,'National'!D21,'NSW-1'!D21,'VIC-1'!D21,'QLD-1'!D21,'NSW-2'!D21,'VIC-2'!D21,'QLD-2'!D21,'SA-1'!D21,'WA-1'!D21,'IDC-NSW'!D21,'IDC-VIC'!D21)="Actual",CHOOSE($X$4,'National'!L21,'NSW-1'!L21,'VIC-1'!L21,'QLD-1'!L21,'NSW-2'!L21,'VIC-2'!L21,'QLD-2'!L21,'SA-1'!L21,'WA-1'!L21,'IDC-NSW'!L21,'IDC-VIC'!L21),NA())</f>
        <v/>
      </c>
      <c r="AI10" s="21">
        <f>IF(OR(CHOOSE($X$4,'National'!D21,'NSW-1'!D21,'VIC-1'!D21,'QLD-1'!D21,'NSW-2'!D21,'VIC-2'!D21,'QLD-2'!D21,'SA-1'!D21,'WA-1'!D21,'IDC-NSW'!D21,'IDC-VIC'!D21)="Forecast",$AA10=LastActual),CHOOSE($X$4,'National'!L21,'NSW-1'!L21,'VIC-1'!L21,'QLD-1'!L21,'NSW-2'!L21,'VIC-2'!L21,'QLD-2'!L21,'SA-1'!L21,'WA-1'!L21,'IDC-NSW'!L21,'IDC-VIC'!L21),NA())</f>
        <v/>
      </c>
      <c r="AJ10" s="22">
        <f>IF(CHOOSE($X$4,'National'!D21,'NSW-1'!D21,'VIC-1'!D21,'QLD-1'!D21,'NSW-2'!D21,'VIC-2'!D21,'QLD-2'!D21,'SA-1'!D21,'WA-1'!D21,'IDC-NSW'!D21,'IDC-VIC'!D21)="Actual",CHOOSE($X$4,'National'!M21,'NSW-1'!M21,'VIC-1'!M21,'QLD-1'!M21,'NSW-2'!M21,'VIC-2'!M21,'QLD-2'!M21,'SA-1'!M21,'WA-1'!M21,'IDC-NSW'!M21,'IDC-VIC'!M21),NA())</f>
        <v/>
      </c>
      <c r="AK10" s="22">
        <f>IF(OR(CHOOSE($X$4,'National'!D21,'NSW-1'!D21,'VIC-1'!D21,'QLD-1'!D21,'NSW-2'!D21,'VIC-2'!D21,'QLD-2'!D21,'SA-1'!D21,'WA-1'!D21,'IDC-NSW'!D21,'IDC-VIC'!D21)="Forecast",$AA10=LastActual),CHOOSE($X$4,'National'!M21,'NSW-1'!M21,'VIC-1'!M21,'QLD-1'!M21,'NSW-2'!M21,'VIC-2'!M21,'QLD-2'!M21,'SA-1'!M21,'WA-1'!M21,'IDC-NSW'!M21,'IDC-VIC'!M21),NA())</f>
        <v/>
      </c>
      <c r="AL10" s="8">
        <f>IF(CHOOSE($X$4,'National'!D21,'NSW-1'!D21,'VIC-1'!D21,'QLD-1'!D21,'NSW-2'!D21,'VIC-2'!D21,'QLD-2'!D21,'SA-1'!D21,'WA-1'!D21,'IDC-NSW'!D21,'IDC-VIC'!D21)="Actual",CHOOSE($X$4,'National'!P21,'NSW-1'!P21,'VIC-1'!P21,'QLD-1'!P21,'NSW-2'!P21,'VIC-2'!P21,'QLD-2'!P21,'SA-1'!P21,'WA-1'!P21,'IDC-NSW'!P21,'IDC-VIC'!P21),NA())</f>
        <v/>
      </c>
      <c r="AM10" s="8">
        <f>IF(OR(CHOOSE($X$4,'National'!D21,'NSW-1'!D21,'VIC-1'!D21,'QLD-1'!D21,'NSW-2'!D21,'VIC-2'!D21,'QLD-2'!D21,'SA-1'!D21,'WA-1'!D21,'IDC-NSW'!D21,'IDC-VIC'!D21)="Forecast",$AA10=LastActual),CHOOSE($X$4,'National'!P21,'NSW-1'!P21,'VIC-1'!P21,'QLD-1'!P21,'NSW-2'!P21,'VIC-2'!P21,'QLD-2'!P21,'SA-1'!P21,'WA-1'!P21,'IDC-NSW'!P21,'IDC-VIC'!P21),NA())</f>
        <v/>
      </c>
    </row>
    <row r="11">
      <c r="Y11" s="7" t="inlineStr">
        <is>
          <t>SA-1</t>
        </is>
      </c>
      <c r="AA11" s="9" t="n">
        <v>45870</v>
      </c>
      <c r="AB11" s="19">
        <f>IF(CHOOSE($X$4,'National'!D22,'NSW-1'!D22,'VIC-1'!D22,'QLD-1'!D22,'NSW-2'!D22,'VIC-2'!D22,'QLD-2'!D22,'SA-1'!D22,'WA-1'!D22,'IDC-NSW'!D22,'IDC-VIC'!D22)="Actual",CHOOSE($X$4,'National'!J22,'NSW-1'!J22,'VIC-1'!J22,'QLD-1'!J22,'NSW-2'!J22,'VIC-2'!J22,'QLD-2'!J22,'SA-1'!J22,'WA-1'!J22,'IDC-NSW'!J22,'IDC-VIC'!J22),NA())</f>
        <v/>
      </c>
      <c r="AC11" s="19">
        <f>IF(OR(CHOOSE($X$4,'National'!D22,'NSW-1'!D22,'VIC-1'!D22,'QLD-1'!D22,'NSW-2'!D22,'VIC-2'!D22,'QLD-2'!D22,'SA-1'!D22,'WA-1'!D22,'IDC-NSW'!D22,'IDC-VIC'!D22)="Forecast",$AA11=LastActual),CHOOSE($X$4,'National'!J22,'NSW-1'!J22,'VIC-1'!J22,'QLD-1'!J22,'NSW-2'!J22,'VIC-2'!J22,'QLD-2'!J22,'SA-1'!J22,'WA-1'!J22,'IDC-NSW'!J22,'IDC-VIC'!J22),NA())</f>
        <v/>
      </c>
      <c r="AD11" s="10">
        <f>IF(CHOOSE($X$4,'National'!D22,'NSW-1'!D22,'VIC-1'!D22,'QLD-1'!D22,'NSW-2'!D22,'VIC-2'!D22,'QLD-2'!D22,'SA-1'!D22,'WA-1'!D22,'IDC-NSW'!D22,'IDC-VIC'!D22)="Actual",CHOOSE($X$4,'National'!G22,'NSW-1'!G22,'VIC-1'!G22,'QLD-1'!G22,'NSW-2'!G22,'VIC-2'!G22,'QLD-2'!G22,'SA-1'!G22,'WA-1'!G22,'IDC-NSW'!G22,'IDC-VIC'!G22),NA())</f>
        <v/>
      </c>
      <c r="AE11" s="10">
        <f>IF(OR(CHOOSE($X$4,'National'!D22,'NSW-1'!D22,'VIC-1'!D22,'QLD-1'!D22,'NSW-2'!D22,'VIC-2'!D22,'QLD-2'!D22,'SA-1'!D22,'WA-1'!D22,'IDC-NSW'!D22,'IDC-VIC'!D22)="Forecast",$AA11=LastActual),CHOOSE($X$4,'National'!G22,'NSW-1'!G22,'VIC-1'!G22,'QLD-1'!G22,'NSW-2'!G22,'VIC-2'!G22,'QLD-2'!G22,'SA-1'!G22,'WA-1'!G22,'IDC-NSW'!G22,'IDC-VIC'!G22),NA())</f>
        <v/>
      </c>
      <c r="AF11" s="20">
        <f>IF(CHOOSE($X$4,'National'!D22,'NSW-1'!D22,'VIC-1'!D22,'QLD-1'!D22,'NSW-2'!D22,'VIC-2'!D22,'QLD-2'!D22,'SA-1'!D22,'WA-1'!D22,'IDC-NSW'!D22,'IDC-VIC'!D22)="Actual",CHOOSE($X$4,'National'!K22,'NSW-1'!K22,'VIC-1'!K22,'QLD-1'!K22,'NSW-2'!K22,'VIC-2'!K22,'QLD-2'!K22,'SA-1'!K22,'WA-1'!K22,'IDC-NSW'!K22,'IDC-VIC'!K22),NA())</f>
        <v/>
      </c>
      <c r="AG11" s="20">
        <f>IF(OR(CHOOSE($X$4,'National'!D22,'NSW-1'!D22,'VIC-1'!D22,'QLD-1'!D22,'NSW-2'!D22,'VIC-2'!D22,'QLD-2'!D22,'SA-1'!D22,'WA-1'!D22,'IDC-NSW'!D22,'IDC-VIC'!D22)="Forecast",$AA11=LastActual),CHOOSE($X$4,'National'!K22,'NSW-1'!K22,'VIC-1'!K22,'QLD-1'!K22,'NSW-2'!K22,'VIC-2'!K22,'QLD-2'!K22,'SA-1'!K22,'WA-1'!K22,'IDC-NSW'!K22,'IDC-VIC'!K22),NA())</f>
        <v/>
      </c>
      <c r="AH11" s="21">
        <f>IF(CHOOSE($X$4,'National'!D22,'NSW-1'!D22,'VIC-1'!D22,'QLD-1'!D22,'NSW-2'!D22,'VIC-2'!D22,'QLD-2'!D22,'SA-1'!D22,'WA-1'!D22,'IDC-NSW'!D22,'IDC-VIC'!D22)="Actual",CHOOSE($X$4,'National'!L22,'NSW-1'!L22,'VIC-1'!L22,'QLD-1'!L22,'NSW-2'!L22,'VIC-2'!L22,'QLD-2'!L22,'SA-1'!L22,'WA-1'!L22,'IDC-NSW'!L22,'IDC-VIC'!L22),NA())</f>
        <v/>
      </c>
      <c r="AI11" s="21">
        <f>IF(OR(CHOOSE($X$4,'National'!D22,'NSW-1'!D22,'VIC-1'!D22,'QLD-1'!D22,'NSW-2'!D22,'VIC-2'!D22,'QLD-2'!D22,'SA-1'!D22,'WA-1'!D22,'IDC-NSW'!D22,'IDC-VIC'!D22)="Forecast",$AA11=LastActual),CHOOSE($X$4,'National'!L22,'NSW-1'!L22,'VIC-1'!L22,'QLD-1'!L22,'NSW-2'!L22,'VIC-2'!L22,'QLD-2'!L22,'SA-1'!L22,'WA-1'!L22,'IDC-NSW'!L22,'IDC-VIC'!L22),NA())</f>
        <v/>
      </c>
      <c r="AJ11" s="22">
        <f>IF(CHOOSE($X$4,'National'!D22,'NSW-1'!D22,'VIC-1'!D22,'QLD-1'!D22,'NSW-2'!D22,'VIC-2'!D22,'QLD-2'!D22,'SA-1'!D22,'WA-1'!D22,'IDC-NSW'!D22,'IDC-VIC'!D22)="Actual",CHOOSE($X$4,'National'!M22,'NSW-1'!M22,'VIC-1'!M22,'QLD-1'!M22,'NSW-2'!M22,'VIC-2'!M22,'QLD-2'!M22,'SA-1'!M22,'WA-1'!M22,'IDC-NSW'!M22,'IDC-VIC'!M22),NA())</f>
        <v/>
      </c>
      <c r="AK11" s="22">
        <f>IF(OR(CHOOSE($X$4,'National'!D22,'NSW-1'!D22,'VIC-1'!D22,'QLD-1'!D22,'NSW-2'!D22,'VIC-2'!D22,'QLD-2'!D22,'SA-1'!D22,'WA-1'!D22,'IDC-NSW'!D22,'IDC-VIC'!D22)="Forecast",$AA11=LastActual),CHOOSE($X$4,'National'!M22,'NSW-1'!M22,'VIC-1'!M22,'QLD-1'!M22,'NSW-2'!M22,'VIC-2'!M22,'QLD-2'!M22,'SA-1'!M22,'WA-1'!M22,'IDC-NSW'!M22,'IDC-VIC'!M22),NA())</f>
        <v/>
      </c>
      <c r="AL11" s="8">
        <f>IF(CHOOSE($X$4,'National'!D22,'NSW-1'!D22,'VIC-1'!D22,'QLD-1'!D22,'NSW-2'!D22,'VIC-2'!D22,'QLD-2'!D22,'SA-1'!D22,'WA-1'!D22,'IDC-NSW'!D22,'IDC-VIC'!D22)="Actual",CHOOSE($X$4,'National'!P22,'NSW-1'!P22,'VIC-1'!P22,'QLD-1'!P22,'NSW-2'!P22,'VIC-2'!P22,'QLD-2'!P22,'SA-1'!P22,'WA-1'!P22,'IDC-NSW'!P22,'IDC-VIC'!P22),NA())</f>
        <v/>
      </c>
      <c r="AM11" s="8">
        <f>IF(OR(CHOOSE($X$4,'National'!D22,'NSW-1'!D22,'VIC-1'!D22,'QLD-1'!D22,'NSW-2'!D22,'VIC-2'!D22,'QLD-2'!D22,'SA-1'!D22,'WA-1'!D22,'IDC-NSW'!D22,'IDC-VIC'!D22)="Forecast",$AA11=LastActual),CHOOSE($X$4,'National'!P22,'NSW-1'!P22,'VIC-1'!P22,'QLD-1'!P22,'NSW-2'!P22,'VIC-2'!P22,'QLD-2'!P22,'SA-1'!P22,'WA-1'!P22,'IDC-NSW'!P22,'IDC-VIC'!P22),NA())</f>
        <v/>
      </c>
    </row>
    <row r="12">
      <c r="Y12" s="7" t="inlineStr">
        <is>
          <t>WA-1</t>
        </is>
      </c>
      <c r="AA12" s="9" t="n">
        <v>45901</v>
      </c>
      <c r="AB12" s="19">
        <f>IF(CHOOSE($X$4,'National'!D23,'NSW-1'!D23,'VIC-1'!D23,'QLD-1'!D23,'NSW-2'!D23,'VIC-2'!D23,'QLD-2'!D23,'SA-1'!D23,'WA-1'!D23,'IDC-NSW'!D23,'IDC-VIC'!D23)="Actual",CHOOSE($X$4,'National'!J23,'NSW-1'!J23,'VIC-1'!J23,'QLD-1'!J23,'NSW-2'!J23,'VIC-2'!J23,'QLD-2'!J23,'SA-1'!J23,'WA-1'!J23,'IDC-NSW'!J23,'IDC-VIC'!J23),NA())</f>
        <v/>
      </c>
      <c r="AC12" s="19">
        <f>IF(OR(CHOOSE($X$4,'National'!D23,'NSW-1'!D23,'VIC-1'!D23,'QLD-1'!D23,'NSW-2'!D23,'VIC-2'!D23,'QLD-2'!D23,'SA-1'!D23,'WA-1'!D23,'IDC-NSW'!D23,'IDC-VIC'!D23)="Forecast",$AA12=LastActual),CHOOSE($X$4,'National'!J23,'NSW-1'!J23,'VIC-1'!J23,'QLD-1'!J23,'NSW-2'!J23,'VIC-2'!J23,'QLD-2'!J23,'SA-1'!J23,'WA-1'!J23,'IDC-NSW'!J23,'IDC-VIC'!J23),NA())</f>
        <v/>
      </c>
      <c r="AD12" s="10">
        <f>IF(CHOOSE($X$4,'National'!D23,'NSW-1'!D23,'VIC-1'!D23,'QLD-1'!D23,'NSW-2'!D23,'VIC-2'!D23,'QLD-2'!D23,'SA-1'!D23,'WA-1'!D23,'IDC-NSW'!D23,'IDC-VIC'!D23)="Actual",CHOOSE($X$4,'National'!G23,'NSW-1'!G23,'VIC-1'!G23,'QLD-1'!G23,'NSW-2'!G23,'VIC-2'!G23,'QLD-2'!G23,'SA-1'!G23,'WA-1'!G23,'IDC-NSW'!G23,'IDC-VIC'!G23),NA())</f>
        <v/>
      </c>
      <c r="AE12" s="10">
        <f>IF(OR(CHOOSE($X$4,'National'!D23,'NSW-1'!D23,'VIC-1'!D23,'QLD-1'!D23,'NSW-2'!D23,'VIC-2'!D23,'QLD-2'!D23,'SA-1'!D23,'WA-1'!D23,'IDC-NSW'!D23,'IDC-VIC'!D23)="Forecast",$AA12=LastActual),CHOOSE($X$4,'National'!G23,'NSW-1'!G23,'VIC-1'!G23,'QLD-1'!G23,'NSW-2'!G23,'VIC-2'!G23,'QLD-2'!G23,'SA-1'!G23,'WA-1'!G23,'IDC-NSW'!G23,'IDC-VIC'!G23),NA())</f>
        <v/>
      </c>
      <c r="AF12" s="20">
        <f>IF(CHOOSE($X$4,'National'!D23,'NSW-1'!D23,'VIC-1'!D23,'QLD-1'!D23,'NSW-2'!D23,'VIC-2'!D23,'QLD-2'!D23,'SA-1'!D23,'WA-1'!D23,'IDC-NSW'!D23,'IDC-VIC'!D23)="Actual",CHOOSE($X$4,'National'!K23,'NSW-1'!K23,'VIC-1'!K23,'QLD-1'!K23,'NSW-2'!K23,'VIC-2'!K23,'QLD-2'!K23,'SA-1'!K23,'WA-1'!K23,'IDC-NSW'!K23,'IDC-VIC'!K23),NA())</f>
        <v/>
      </c>
      <c r="AG12" s="20">
        <f>IF(OR(CHOOSE($X$4,'National'!D23,'NSW-1'!D23,'VIC-1'!D23,'QLD-1'!D23,'NSW-2'!D23,'VIC-2'!D23,'QLD-2'!D23,'SA-1'!D23,'WA-1'!D23,'IDC-NSW'!D23,'IDC-VIC'!D23)="Forecast",$AA12=LastActual),CHOOSE($X$4,'National'!K23,'NSW-1'!K23,'VIC-1'!K23,'QLD-1'!K23,'NSW-2'!K23,'VIC-2'!K23,'QLD-2'!K23,'SA-1'!K23,'WA-1'!K23,'IDC-NSW'!K23,'IDC-VIC'!K23),NA())</f>
        <v/>
      </c>
      <c r="AH12" s="21">
        <f>IF(CHOOSE($X$4,'National'!D23,'NSW-1'!D23,'VIC-1'!D23,'QLD-1'!D23,'NSW-2'!D23,'VIC-2'!D23,'QLD-2'!D23,'SA-1'!D23,'WA-1'!D23,'IDC-NSW'!D23,'IDC-VIC'!D23)="Actual",CHOOSE($X$4,'National'!L23,'NSW-1'!L23,'VIC-1'!L23,'QLD-1'!L23,'NSW-2'!L23,'VIC-2'!L23,'QLD-2'!L23,'SA-1'!L23,'WA-1'!L23,'IDC-NSW'!L23,'IDC-VIC'!L23),NA())</f>
        <v/>
      </c>
      <c r="AI12" s="21">
        <f>IF(OR(CHOOSE($X$4,'National'!D23,'NSW-1'!D23,'VIC-1'!D23,'QLD-1'!D23,'NSW-2'!D23,'VIC-2'!D23,'QLD-2'!D23,'SA-1'!D23,'WA-1'!D23,'IDC-NSW'!D23,'IDC-VIC'!D23)="Forecast",$AA12=LastActual),CHOOSE($X$4,'National'!L23,'NSW-1'!L23,'VIC-1'!L23,'QLD-1'!L23,'NSW-2'!L23,'VIC-2'!L23,'QLD-2'!L23,'SA-1'!L23,'WA-1'!L23,'IDC-NSW'!L23,'IDC-VIC'!L23),NA())</f>
        <v/>
      </c>
      <c r="AJ12" s="22">
        <f>IF(CHOOSE($X$4,'National'!D23,'NSW-1'!D23,'VIC-1'!D23,'QLD-1'!D23,'NSW-2'!D23,'VIC-2'!D23,'QLD-2'!D23,'SA-1'!D23,'WA-1'!D23,'IDC-NSW'!D23,'IDC-VIC'!D23)="Actual",CHOOSE($X$4,'National'!M23,'NSW-1'!M23,'VIC-1'!M23,'QLD-1'!M23,'NSW-2'!M23,'VIC-2'!M23,'QLD-2'!M23,'SA-1'!M23,'WA-1'!M23,'IDC-NSW'!M23,'IDC-VIC'!M23),NA())</f>
        <v/>
      </c>
      <c r="AK12" s="22">
        <f>IF(OR(CHOOSE($X$4,'National'!D23,'NSW-1'!D23,'VIC-1'!D23,'QLD-1'!D23,'NSW-2'!D23,'VIC-2'!D23,'QLD-2'!D23,'SA-1'!D23,'WA-1'!D23,'IDC-NSW'!D23,'IDC-VIC'!D23)="Forecast",$AA12=LastActual),CHOOSE($X$4,'National'!M23,'NSW-1'!M23,'VIC-1'!M23,'QLD-1'!M23,'NSW-2'!M23,'VIC-2'!M23,'QLD-2'!M23,'SA-1'!M23,'WA-1'!M23,'IDC-NSW'!M23,'IDC-VIC'!M23),NA())</f>
        <v/>
      </c>
      <c r="AL12" s="8">
        <f>IF(CHOOSE($X$4,'National'!D23,'NSW-1'!D23,'VIC-1'!D23,'QLD-1'!D23,'NSW-2'!D23,'VIC-2'!D23,'QLD-2'!D23,'SA-1'!D23,'WA-1'!D23,'IDC-NSW'!D23,'IDC-VIC'!D23)="Actual",CHOOSE($X$4,'National'!P23,'NSW-1'!P23,'VIC-1'!P23,'QLD-1'!P23,'NSW-2'!P23,'VIC-2'!P23,'QLD-2'!P23,'SA-1'!P23,'WA-1'!P23,'IDC-NSW'!P23,'IDC-VIC'!P23),NA())</f>
        <v/>
      </c>
      <c r="AM12" s="8">
        <f>IF(OR(CHOOSE($X$4,'National'!D23,'NSW-1'!D23,'VIC-1'!D23,'QLD-1'!D23,'NSW-2'!D23,'VIC-2'!D23,'QLD-2'!D23,'SA-1'!D23,'WA-1'!D23,'IDC-NSW'!D23,'IDC-VIC'!D23)="Forecast",$AA12=LastActual),CHOOSE($X$4,'National'!P23,'NSW-1'!P23,'VIC-1'!P23,'QLD-1'!P23,'NSW-2'!P23,'VIC-2'!P23,'QLD-2'!P23,'SA-1'!P23,'WA-1'!P23,'IDC-NSW'!P23,'IDC-VIC'!P23),NA())</f>
        <v/>
      </c>
    </row>
    <row r="13">
      <c r="Y13" s="7" t="inlineStr">
        <is>
          <t>IDC-NSW</t>
        </is>
      </c>
      <c r="AA13" s="9" t="n">
        <v>45931</v>
      </c>
      <c r="AB13" s="19">
        <f>IF(CHOOSE($X$4,'National'!D24,'NSW-1'!D24,'VIC-1'!D24,'QLD-1'!D24,'NSW-2'!D24,'VIC-2'!D24,'QLD-2'!D24,'SA-1'!D24,'WA-1'!D24,'IDC-NSW'!D24,'IDC-VIC'!D24)="Actual",CHOOSE($X$4,'National'!J24,'NSW-1'!J24,'VIC-1'!J24,'QLD-1'!J24,'NSW-2'!J24,'VIC-2'!J24,'QLD-2'!J24,'SA-1'!J24,'WA-1'!J24,'IDC-NSW'!J24,'IDC-VIC'!J24),NA())</f>
        <v/>
      </c>
      <c r="AC13" s="19">
        <f>IF(OR(CHOOSE($X$4,'National'!D24,'NSW-1'!D24,'VIC-1'!D24,'QLD-1'!D24,'NSW-2'!D24,'VIC-2'!D24,'QLD-2'!D24,'SA-1'!D24,'WA-1'!D24,'IDC-NSW'!D24,'IDC-VIC'!D24)="Forecast",$AA13=LastActual),CHOOSE($X$4,'National'!J24,'NSW-1'!J24,'VIC-1'!J24,'QLD-1'!J24,'NSW-2'!J24,'VIC-2'!J24,'QLD-2'!J24,'SA-1'!J24,'WA-1'!J24,'IDC-NSW'!J24,'IDC-VIC'!J24),NA())</f>
        <v/>
      </c>
      <c r="AD13" s="10">
        <f>IF(CHOOSE($X$4,'National'!D24,'NSW-1'!D24,'VIC-1'!D24,'QLD-1'!D24,'NSW-2'!D24,'VIC-2'!D24,'QLD-2'!D24,'SA-1'!D24,'WA-1'!D24,'IDC-NSW'!D24,'IDC-VIC'!D24)="Actual",CHOOSE($X$4,'National'!G24,'NSW-1'!G24,'VIC-1'!G24,'QLD-1'!G24,'NSW-2'!G24,'VIC-2'!G24,'QLD-2'!G24,'SA-1'!G24,'WA-1'!G24,'IDC-NSW'!G24,'IDC-VIC'!G24),NA())</f>
        <v/>
      </c>
      <c r="AE13" s="10">
        <f>IF(OR(CHOOSE($X$4,'National'!D24,'NSW-1'!D24,'VIC-1'!D24,'QLD-1'!D24,'NSW-2'!D24,'VIC-2'!D24,'QLD-2'!D24,'SA-1'!D24,'WA-1'!D24,'IDC-NSW'!D24,'IDC-VIC'!D24)="Forecast",$AA13=LastActual),CHOOSE($X$4,'National'!G24,'NSW-1'!G24,'VIC-1'!G24,'QLD-1'!G24,'NSW-2'!G24,'VIC-2'!G24,'QLD-2'!G24,'SA-1'!G24,'WA-1'!G24,'IDC-NSW'!G24,'IDC-VIC'!G24),NA())</f>
        <v/>
      </c>
      <c r="AF13" s="20">
        <f>IF(CHOOSE($X$4,'National'!D24,'NSW-1'!D24,'VIC-1'!D24,'QLD-1'!D24,'NSW-2'!D24,'VIC-2'!D24,'QLD-2'!D24,'SA-1'!D24,'WA-1'!D24,'IDC-NSW'!D24,'IDC-VIC'!D24)="Actual",CHOOSE($X$4,'National'!K24,'NSW-1'!K24,'VIC-1'!K24,'QLD-1'!K24,'NSW-2'!K24,'VIC-2'!K24,'QLD-2'!K24,'SA-1'!K24,'WA-1'!K24,'IDC-NSW'!K24,'IDC-VIC'!K24),NA())</f>
        <v/>
      </c>
      <c r="AG13" s="20">
        <f>IF(OR(CHOOSE($X$4,'National'!D24,'NSW-1'!D24,'VIC-1'!D24,'QLD-1'!D24,'NSW-2'!D24,'VIC-2'!D24,'QLD-2'!D24,'SA-1'!D24,'WA-1'!D24,'IDC-NSW'!D24,'IDC-VIC'!D24)="Forecast",$AA13=LastActual),CHOOSE($X$4,'National'!K24,'NSW-1'!K24,'VIC-1'!K24,'QLD-1'!K24,'NSW-2'!K24,'VIC-2'!K24,'QLD-2'!K24,'SA-1'!K24,'WA-1'!K24,'IDC-NSW'!K24,'IDC-VIC'!K24),NA())</f>
        <v/>
      </c>
      <c r="AH13" s="21">
        <f>IF(CHOOSE($X$4,'National'!D24,'NSW-1'!D24,'VIC-1'!D24,'QLD-1'!D24,'NSW-2'!D24,'VIC-2'!D24,'QLD-2'!D24,'SA-1'!D24,'WA-1'!D24,'IDC-NSW'!D24,'IDC-VIC'!D24)="Actual",CHOOSE($X$4,'National'!L24,'NSW-1'!L24,'VIC-1'!L24,'QLD-1'!L24,'NSW-2'!L24,'VIC-2'!L24,'QLD-2'!L24,'SA-1'!L24,'WA-1'!L24,'IDC-NSW'!L24,'IDC-VIC'!L24),NA())</f>
        <v/>
      </c>
      <c r="AI13" s="21">
        <f>IF(OR(CHOOSE($X$4,'National'!D24,'NSW-1'!D24,'VIC-1'!D24,'QLD-1'!D24,'NSW-2'!D24,'VIC-2'!D24,'QLD-2'!D24,'SA-1'!D24,'WA-1'!D24,'IDC-NSW'!D24,'IDC-VIC'!D24)="Forecast",$AA13=LastActual),CHOOSE($X$4,'National'!L24,'NSW-1'!L24,'VIC-1'!L24,'QLD-1'!L24,'NSW-2'!L24,'VIC-2'!L24,'QLD-2'!L24,'SA-1'!L24,'WA-1'!L24,'IDC-NSW'!L24,'IDC-VIC'!L24),NA())</f>
        <v/>
      </c>
      <c r="AJ13" s="22">
        <f>IF(CHOOSE($X$4,'National'!D24,'NSW-1'!D24,'VIC-1'!D24,'QLD-1'!D24,'NSW-2'!D24,'VIC-2'!D24,'QLD-2'!D24,'SA-1'!D24,'WA-1'!D24,'IDC-NSW'!D24,'IDC-VIC'!D24)="Actual",CHOOSE($X$4,'National'!M24,'NSW-1'!M24,'VIC-1'!M24,'QLD-1'!M24,'NSW-2'!M24,'VIC-2'!M24,'QLD-2'!M24,'SA-1'!M24,'WA-1'!M24,'IDC-NSW'!M24,'IDC-VIC'!M24),NA())</f>
        <v/>
      </c>
      <c r="AK13" s="22">
        <f>IF(OR(CHOOSE($X$4,'National'!D24,'NSW-1'!D24,'VIC-1'!D24,'QLD-1'!D24,'NSW-2'!D24,'VIC-2'!D24,'QLD-2'!D24,'SA-1'!D24,'WA-1'!D24,'IDC-NSW'!D24,'IDC-VIC'!D24)="Forecast",$AA13=LastActual),CHOOSE($X$4,'National'!M24,'NSW-1'!M24,'VIC-1'!M24,'QLD-1'!M24,'NSW-2'!M24,'VIC-2'!M24,'QLD-2'!M24,'SA-1'!M24,'WA-1'!M24,'IDC-NSW'!M24,'IDC-VIC'!M24),NA())</f>
        <v/>
      </c>
      <c r="AL13" s="8">
        <f>IF(CHOOSE($X$4,'National'!D24,'NSW-1'!D24,'VIC-1'!D24,'QLD-1'!D24,'NSW-2'!D24,'VIC-2'!D24,'QLD-2'!D24,'SA-1'!D24,'WA-1'!D24,'IDC-NSW'!D24,'IDC-VIC'!D24)="Actual",CHOOSE($X$4,'National'!P24,'NSW-1'!P24,'VIC-1'!P24,'QLD-1'!P24,'NSW-2'!P24,'VIC-2'!P24,'QLD-2'!P24,'SA-1'!P24,'WA-1'!P24,'IDC-NSW'!P24,'IDC-VIC'!P24),NA())</f>
        <v/>
      </c>
      <c r="AM13" s="8">
        <f>IF(OR(CHOOSE($X$4,'National'!D24,'NSW-1'!D24,'VIC-1'!D24,'QLD-1'!D24,'NSW-2'!D24,'VIC-2'!D24,'QLD-2'!D24,'SA-1'!D24,'WA-1'!D24,'IDC-NSW'!D24,'IDC-VIC'!D24)="Forecast",$AA13=LastActual),CHOOSE($X$4,'National'!P24,'NSW-1'!P24,'VIC-1'!P24,'QLD-1'!P24,'NSW-2'!P24,'VIC-2'!P24,'QLD-2'!P24,'SA-1'!P24,'WA-1'!P24,'IDC-NSW'!P24,'IDC-VIC'!P24),NA())</f>
        <v/>
      </c>
    </row>
    <row r="14">
      <c r="Y14" s="7" t="inlineStr">
        <is>
          <t>IDC-VIC</t>
        </is>
      </c>
      <c r="AA14" s="9" t="n">
        <v>45962</v>
      </c>
      <c r="AB14" s="19">
        <f>IF(CHOOSE($X$4,'National'!D25,'NSW-1'!D25,'VIC-1'!D25,'QLD-1'!D25,'NSW-2'!D25,'VIC-2'!D25,'QLD-2'!D25,'SA-1'!D25,'WA-1'!D25,'IDC-NSW'!D25,'IDC-VIC'!D25)="Actual",CHOOSE($X$4,'National'!J25,'NSW-1'!J25,'VIC-1'!J25,'QLD-1'!J25,'NSW-2'!J25,'VIC-2'!J25,'QLD-2'!J25,'SA-1'!J25,'WA-1'!J25,'IDC-NSW'!J25,'IDC-VIC'!J25),NA())</f>
        <v/>
      </c>
      <c r="AC14" s="19">
        <f>IF(OR(CHOOSE($X$4,'National'!D25,'NSW-1'!D25,'VIC-1'!D25,'QLD-1'!D25,'NSW-2'!D25,'VIC-2'!D25,'QLD-2'!D25,'SA-1'!D25,'WA-1'!D25,'IDC-NSW'!D25,'IDC-VIC'!D25)="Forecast",$AA14=LastActual),CHOOSE($X$4,'National'!J25,'NSW-1'!J25,'VIC-1'!J25,'QLD-1'!J25,'NSW-2'!J25,'VIC-2'!J25,'QLD-2'!J25,'SA-1'!J25,'WA-1'!J25,'IDC-NSW'!J25,'IDC-VIC'!J25),NA())</f>
        <v/>
      </c>
      <c r="AD14" s="10">
        <f>IF(CHOOSE($X$4,'National'!D25,'NSW-1'!D25,'VIC-1'!D25,'QLD-1'!D25,'NSW-2'!D25,'VIC-2'!D25,'QLD-2'!D25,'SA-1'!D25,'WA-1'!D25,'IDC-NSW'!D25,'IDC-VIC'!D25)="Actual",CHOOSE($X$4,'National'!G25,'NSW-1'!G25,'VIC-1'!G25,'QLD-1'!G25,'NSW-2'!G25,'VIC-2'!G25,'QLD-2'!G25,'SA-1'!G25,'WA-1'!G25,'IDC-NSW'!G25,'IDC-VIC'!G25),NA())</f>
        <v/>
      </c>
      <c r="AE14" s="10">
        <f>IF(OR(CHOOSE($X$4,'National'!D25,'NSW-1'!D25,'VIC-1'!D25,'QLD-1'!D25,'NSW-2'!D25,'VIC-2'!D25,'QLD-2'!D25,'SA-1'!D25,'WA-1'!D25,'IDC-NSW'!D25,'IDC-VIC'!D25)="Forecast",$AA14=LastActual),CHOOSE($X$4,'National'!G25,'NSW-1'!G25,'VIC-1'!G25,'QLD-1'!G25,'NSW-2'!G25,'VIC-2'!G25,'QLD-2'!G25,'SA-1'!G25,'WA-1'!G25,'IDC-NSW'!G25,'IDC-VIC'!G25),NA())</f>
        <v/>
      </c>
      <c r="AF14" s="20">
        <f>IF(CHOOSE($X$4,'National'!D25,'NSW-1'!D25,'VIC-1'!D25,'QLD-1'!D25,'NSW-2'!D25,'VIC-2'!D25,'QLD-2'!D25,'SA-1'!D25,'WA-1'!D25,'IDC-NSW'!D25,'IDC-VIC'!D25)="Actual",CHOOSE($X$4,'National'!K25,'NSW-1'!K25,'VIC-1'!K25,'QLD-1'!K25,'NSW-2'!K25,'VIC-2'!K25,'QLD-2'!K25,'SA-1'!K25,'WA-1'!K25,'IDC-NSW'!K25,'IDC-VIC'!K25),NA())</f>
        <v/>
      </c>
      <c r="AG14" s="20">
        <f>IF(OR(CHOOSE($X$4,'National'!D25,'NSW-1'!D25,'VIC-1'!D25,'QLD-1'!D25,'NSW-2'!D25,'VIC-2'!D25,'QLD-2'!D25,'SA-1'!D25,'WA-1'!D25,'IDC-NSW'!D25,'IDC-VIC'!D25)="Forecast",$AA14=LastActual),CHOOSE($X$4,'National'!K25,'NSW-1'!K25,'VIC-1'!K25,'QLD-1'!K25,'NSW-2'!K25,'VIC-2'!K25,'QLD-2'!K25,'SA-1'!K25,'WA-1'!K25,'IDC-NSW'!K25,'IDC-VIC'!K25),NA())</f>
        <v/>
      </c>
      <c r="AH14" s="21">
        <f>IF(CHOOSE($X$4,'National'!D25,'NSW-1'!D25,'VIC-1'!D25,'QLD-1'!D25,'NSW-2'!D25,'VIC-2'!D25,'QLD-2'!D25,'SA-1'!D25,'WA-1'!D25,'IDC-NSW'!D25,'IDC-VIC'!D25)="Actual",CHOOSE($X$4,'National'!L25,'NSW-1'!L25,'VIC-1'!L25,'QLD-1'!L25,'NSW-2'!L25,'VIC-2'!L25,'QLD-2'!L25,'SA-1'!L25,'WA-1'!L25,'IDC-NSW'!L25,'IDC-VIC'!L25),NA())</f>
        <v/>
      </c>
      <c r="AI14" s="21">
        <f>IF(OR(CHOOSE($X$4,'National'!D25,'NSW-1'!D25,'VIC-1'!D25,'QLD-1'!D25,'NSW-2'!D25,'VIC-2'!D25,'QLD-2'!D25,'SA-1'!D25,'WA-1'!D25,'IDC-NSW'!D25,'IDC-VIC'!D25)="Forecast",$AA14=LastActual),CHOOSE($X$4,'National'!L25,'NSW-1'!L25,'VIC-1'!L25,'QLD-1'!L25,'NSW-2'!L25,'VIC-2'!L25,'QLD-2'!L25,'SA-1'!L25,'WA-1'!L25,'IDC-NSW'!L25,'IDC-VIC'!L25),NA())</f>
        <v/>
      </c>
      <c r="AJ14" s="22">
        <f>IF(CHOOSE($X$4,'National'!D25,'NSW-1'!D25,'VIC-1'!D25,'QLD-1'!D25,'NSW-2'!D25,'VIC-2'!D25,'QLD-2'!D25,'SA-1'!D25,'WA-1'!D25,'IDC-NSW'!D25,'IDC-VIC'!D25)="Actual",CHOOSE($X$4,'National'!M25,'NSW-1'!M25,'VIC-1'!M25,'QLD-1'!M25,'NSW-2'!M25,'VIC-2'!M25,'QLD-2'!M25,'SA-1'!M25,'WA-1'!M25,'IDC-NSW'!M25,'IDC-VIC'!M25),NA())</f>
        <v/>
      </c>
      <c r="AK14" s="22">
        <f>IF(OR(CHOOSE($X$4,'National'!D25,'NSW-1'!D25,'VIC-1'!D25,'QLD-1'!D25,'NSW-2'!D25,'VIC-2'!D25,'QLD-2'!D25,'SA-1'!D25,'WA-1'!D25,'IDC-NSW'!D25,'IDC-VIC'!D25)="Forecast",$AA14=LastActual),CHOOSE($X$4,'National'!M25,'NSW-1'!M25,'VIC-1'!M25,'QLD-1'!M25,'NSW-2'!M25,'VIC-2'!M25,'QLD-2'!M25,'SA-1'!M25,'WA-1'!M25,'IDC-NSW'!M25,'IDC-VIC'!M25),NA())</f>
        <v/>
      </c>
      <c r="AL14" s="8">
        <f>IF(CHOOSE($X$4,'National'!D25,'NSW-1'!D25,'VIC-1'!D25,'QLD-1'!D25,'NSW-2'!D25,'VIC-2'!D25,'QLD-2'!D25,'SA-1'!D25,'WA-1'!D25,'IDC-NSW'!D25,'IDC-VIC'!D25)="Actual",CHOOSE($X$4,'National'!P25,'NSW-1'!P25,'VIC-1'!P25,'QLD-1'!P25,'NSW-2'!P25,'VIC-2'!P25,'QLD-2'!P25,'SA-1'!P25,'WA-1'!P25,'IDC-NSW'!P25,'IDC-VIC'!P25),NA())</f>
        <v/>
      </c>
      <c r="AM14" s="8">
        <f>IF(OR(CHOOSE($X$4,'National'!D25,'NSW-1'!D25,'VIC-1'!D25,'QLD-1'!D25,'NSW-2'!D25,'VIC-2'!D25,'QLD-2'!D25,'SA-1'!D25,'WA-1'!D25,'IDC-NSW'!D25,'IDC-VIC'!D25)="Forecast",$AA14=LastActual),CHOOSE($X$4,'National'!P25,'NSW-1'!P25,'VIC-1'!P25,'QLD-1'!P25,'NSW-2'!P25,'VIC-2'!P25,'QLD-2'!P25,'SA-1'!P25,'WA-1'!P25,'IDC-NSW'!P25,'IDC-VIC'!P25),NA())</f>
        <v/>
      </c>
    </row>
    <row r="15">
      <c r="AA15" s="9" t="n">
        <v>45992</v>
      </c>
      <c r="AB15" s="19">
        <f>IF(CHOOSE($X$4,'National'!D26,'NSW-1'!D26,'VIC-1'!D26,'QLD-1'!D26,'NSW-2'!D26,'VIC-2'!D26,'QLD-2'!D26,'SA-1'!D26,'WA-1'!D26,'IDC-NSW'!D26,'IDC-VIC'!D26)="Actual",CHOOSE($X$4,'National'!J26,'NSW-1'!J26,'VIC-1'!J26,'QLD-1'!J26,'NSW-2'!J26,'VIC-2'!J26,'QLD-2'!J26,'SA-1'!J26,'WA-1'!J26,'IDC-NSW'!J26,'IDC-VIC'!J26),NA())</f>
        <v/>
      </c>
      <c r="AC15" s="19">
        <f>IF(OR(CHOOSE($X$4,'National'!D26,'NSW-1'!D26,'VIC-1'!D26,'QLD-1'!D26,'NSW-2'!D26,'VIC-2'!D26,'QLD-2'!D26,'SA-1'!D26,'WA-1'!D26,'IDC-NSW'!D26,'IDC-VIC'!D26)="Forecast",$AA15=LastActual),CHOOSE($X$4,'National'!J26,'NSW-1'!J26,'VIC-1'!J26,'QLD-1'!J26,'NSW-2'!J26,'VIC-2'!J26,'QLD-2'!J26,'SA-1'!J26,'WA-1'!J26,'IDC-NSW'!J26,'IDC-VIC'!J26),NA())</f>
        <v/>
      </c>
      <c r="AD15" s="10">
        <f>IF(CHOOSE($X$4,'National'!D26,'NSW-1'!D26,'VIC-1'!D26,'QLD-1'!D26,'NSW-2'!D26,'VIC-2'!D26,'QLD-2'!D26,'SA-1'!D26,'WA-1'!D26,'IDC-NSW'!D26,'IDC-VIC'!D26)="Actual",CHOOSE($X$4,'National'!G26,'NSW-1'!G26,'VIC-1'!G26,'QLD-1'!G26,'NSW-2'!G26,'VIC-2'!G26,'QLD-2'!G26,'SA-1'!G26,'WA-1'!G26,'IDC-NSW'!G26,'IDC-VIC'!G26),NA())</f>
        <v/>
      </c>
      <c r="AE15" s="10">
        <f>IF(OR(CHOOSE($X$4,'National'!D26,'NSW-1'!D26,'VIC-1'!D26,'QLD-1'!D26,'NSW-2'!D26,'VIC-2'!D26,'QLD-2'!D26,'SA-1'!D26,'WA-1'!D26,'IDC-NSW'!D26,'IDC-VIC'!D26)="Forecast",$AA15=LastActual),CHOOSE($X$4,'National'!G26,'NSW-1'!G26,'VIC-1'!G26,'QLD-1'!G26,'NSW-2'!G26,'VIC-2'!G26,'QLD-2'!G26,'SA-1'!G26,'WA-1'!G26,'IDC-NSW'!G26,'IDC-VIC'!G26),NA())</f>
        <v/>
      </c>
      <c r="AF15" s="20">
        <f>IF(CHOOSE($X$4,'National'!D26,'NSW-1'!D26,'VIC-1'!D26,'QLD-1'!D26,'NSW-2'!D26,'VIC-2'!D26,'QLD-2'!D26,'SA-1'!D26,'WA-1'!D26,'IDC-NSW'!D26,'IDC-VIC'!D26)="Actual",CHOOSE($X$4,'National'!K26,'NSW-1'!K26,'VIC-1'!K26,'QLD-1'!K26,'NSW-2'!K26,'VIC-2'!K26,'QLD-2'!K26,'SA-1'!K26,'WA-1'!K26,'IDC-NSW'!K26,'IDC-VIC'!K26),NA())</f>
        <v/>
      </c>
      <c r="AG15" s="20">
        <f>IF(OR(CHOOSE($X$4,'National'!D26,'NSW-1'!D26,'VIC-1'!D26,'QLD-1'!D26,'NSW-2'!D26,'VIC-2'!D26,'QLD-2'!D26,'SA-1'!D26,'WA-1'!D26,'IDC-NSW'!D26,'IDC-VIC'!D26)="Forecast",$AA15=LastActual),CHOOSE($X$4,'National'!K26,'NSW-1'!K26,'VIC-1'!K26,'QLD-1'!K26,'NSW-2'!K26,'VIC-2'!K26,'QLD-2'!K26,'SA-1'!K26,'WA-1'!K26,'IDC-NSW'!K26,'IDC-VIC'!K26),NA())</f>
        <v/>
      </c>
      <c r="AH15" s="21">
        <f>IF(CHOOSE($X$4,'National'!D26,'NSW-1'!D26,'VIC-1'!D26,'QLD-1'!D26,'NSW-2'!D26,'VIC-2'!D26,'QLD-2'!D26,'SA-1'!D26,'WA-1'!D26,'IDC-NSW'!D26,'IDC-VIC'!D26)="Actual",CHOOSE($X$4,'National'!L26,'NSW-1'!L26,'VIC-1'!L26,'QLD-1'!L26,'NSW-2'!L26,'VIC-2'!L26,'QLD-2'!L26,'SA-1'!L26,'WA-1'!L26,'IDC-NSW'!L26,'IDC-VIC'!L26),NA())</f>
        <v/>
      </c>
      <c r="AI15" s="21">
        <f>IF(OR(CHOOSE($X$4,'National'!D26,'NSW-1'!D26,'VIC-1'!D26,'QLD-1'!D26,'NSW-2'!D26,'VIC-2'!D26,'QLD-2'!D26,'SA-1'!D26,'WA-1'!D26,'IDC-NSW'!D26,'IDC-VIC'!D26)="Forecast",$AA15=LastActual),CHOOSE($X$4,'National'!L26,'NSW-1'!L26,'VIC-1'!L26,'QLD-1'!L26,'NSW-2'!L26,'VIC-2'!L26,'QLD-2'!L26,'SA-1'!L26,'WA-1'!L26,'IDC-NSW'!L26,'IDC-VIC'!L26),NA())</f>
        <v/>
      </c>
      <c r="AJ15" s="22">
        <f>IF(CHOOSE($X$4,'National'!D26,'NSW-1'!D26,'VIC-1'!D26,'QLD-1'!D26,'NSW-2'!D26,'VIC-2'!D26,'QLD-2'!D26,'SA-1'!D26,'WA-1'!D26,'IDC-NSW'!D26,'IDC-VIC'!D26)="Actual",CHOOSE($X$4,'National'!M26,'NSW-1'!M26,'VIC-1'!M26,'QLD-1'!M26,'NSW-2'!M26,'VIC-2'!M26,'QLD-2'!M26,'SA-1'!M26,'WA-1'!M26,'IDC-NSW'!M26,'IDC-VIC'!M26),NA())</f>
        <v/>
      </c>
      <c r="AK15" s="22">
        <f>IF(OR(CHOOSE($X$4,'National'!D26,'NSW-1'!D26,'VIC-1'!D26,'QLD-1'!D26,'NSW-2'!D26,'VIC-2'!D26,'QLD-2'!D26,'SA-1'!D26,'WA-1'!D26,'IDC-NSW'!D26,'IDC-VIC'!D26)="Forecast",$AA15=LastActual),CHOOSE($X$4,'National'!M26,'NSW-1'!M26,'VIC-1'!M26,'QLD-1'!M26,'NSW-2'!M26,'VIC-2'!M26,'QLD-2'!M26,'SA-1'!M26,'WA-1'!M26,'IDC-NSW'!M26,'IDC-VIC'!M26),NA())</f>
        <v/>
      </c>
      <c r="AL15" s="8">
        <f>IF(CHOOSE($X$4,'National'!D26,'NSW-1'!D26,'VIC-1'!D26,'QLD-1'!D26,'NSW-2'!D26,'VIC-2'!D26,'QLD-2'!D26,'SA-1'!D26,'WA-1'!D26,'IDC-NSW'!D26,'IDC-VIC'!D26)="Actual",CHOOSE($X$4,'National'!P26,'NSW-1'!P26,'VIC-1'!P26,'QLD-1'!P26,'NSW-2'!P26,'VIC-2'!P26,'QLD-2'!P26,'SA-1'!P26,'WA-1'!P26,'IDC-NSW'!P26,'IDC-VIC'!P26),NA())</f>
        <v/>
      </c>
      <c r="AM15" s="8">
        <f>IF(OR(CHOOSE($X$4,'National'!D26,'NSW-1'!D26,'VIC-1'!D26,'QLD-1'!D26,'NSW-2'!D26,'VIC-2'!D26,'QLD-2'!D26,'SA-1'!D26,'WA-1'!D26,'IDC-NSW'!D26,'IDC-VIC'!D26)="Forecast",$AA15=LastActual),CHOOSE($X$4,'National'!P26,'NSW-1'!P26,'VIC-1'!P26,'QLD-1'!P26,'NSW-2'!P26,'VIC-2'!P26,'QLD-2'!P26,'SA-1'!P26,'WA-1'!P26,'IDC-NSW'!P26,'IDC-VIC'!P26),NA())</f>
        <v/>
      </c>
    </row>
    <row r="16">
      <c r="AA16" s="9" t="n">
        <v>46023</v>
      </c>
      <c r="AB16" s="19">
        <f>IF(CHOOSE($X$4,'National'!D27,'NSW-1'!D27,'VIC-1'!D27,'QLD-1'!D27,'NSW-2'!D27,'VIC-2'!D27,'QLD-2'!D27,'SA-1'!D27,'WA-1'!D27,'IDC-NSW'!D27,'IDC-VIC'!D27)="Actual",CHOOSE($X$4,'National'!J27,'NSW-1'!J27,'VIC-1'!J27,'QLD-1'!J27,'NSW-2'!J27,'VIC-2'!J27,'QLD-2'!J27,'SA-1'!J27,'WA-1'!J27,'IDC-NSW'!J27,'IDC-VIC'!J27),NA())</f>
        <v/>
      </c>
      <c r="AC16" s="19">
        <f>IF(OR(CHOOSE($X$4,'National'!D27,'NSW-1'!D27,'VIC-1'!D27,'QLD-1'!D27,'NSW-2'!D27,'VIC-2'!D27,'QLD-2'!D27,'SA-1'!D27,'WA-1'!D27,'IDC-NSW'!D27,'IDC-VIC'!D27)="Forecast",$AA16=LastActual),CHOOSE($X$4,'National'!J27,'NSW-1'!J27,'VIC-1'!J27,'QLD-1'!J27,'NSW-2'!J27,'VIC-2'!J27,'QLD-2'!J27,'SA-1'!J27,'WA-1'!J27,'IDC-NSW'!J27,'IDC-VIC'!J27),NA())</f>
        <v/>
      </c>
      <c r="AD16" s="10">
        <f>IF(CHOOSE($X$4,'National'!D27,'NSW-1'!D27,'VIC-1'!D27,'QLD-1'!D27,'NSW-2'!D27,'VIC-2'!D27,'QLD-2'!D27,'SA-1'!D27,'WA-1'!D27,'IDC-NSW'!D27,'IDC-VIC'!D27)="Actual",CHOOSE($X$4,'National'!G27,'NSW-1'!G27,'VIC-1'!G27,'QLD-1'!G27,'NSW-2'!G27,'VIC-2'!G27,'QLD-2'!G27,'SA-1'!G27,'WA-1'!G27,'IDC-NSW'!G27,'IDC-VIC'!G27),NA())</f>
        <v/>
      </c>
      <c r="AE16" s="10">
        <f>IF(OR(CHOOSE($X$4,'National'!D27,'NSW-1'!D27,'VIC-1'!D27,'QLD-1'!D27,'NSW-2'!D27,'VIC-2'!D27,'QLD-2'!D27,'SA-1'!D27,'WA-1'!D27,'IDC-NSW'!D27,'IDC-VIC'!D27)="Forecast",$AA16=LastActual),CHOOSE($X$4,'National'!G27,'NSW-1'!G27,'VIC-1'!G27,'QLD-1'!G27,'NSW-2'!G27,'VIC-2'!G27,'QLD-2'!G27,'SA-1'!G27,'WA-1'!G27,'IDC-NSW'!G27,'IDC-VIC'!G27),NA())</f>
        <v/>
      </c>
      <c r="AF16" s="20">
        <f>IF(CHOOSE($X$4,'National'!D27,'NSW-1'!D27,'VIC-1'!D27,'QLD-1'!D27,'NSW-2'!D27,'VIC-2'!D27,'QLD-2'!D27,'SA-1'!D27,'WA-1'!D27,'IDC-NSW'!D27,'IDC-VIC'!D27)="Actual",CHOOSE($X$4,'National'!K27,'NSW-1'!K27,'VIC-1'!K27,'QLD-1'!K27,'NSW-2'!K27,'VIC-2'!K27,'QLD-2'!K27,'SA-1'!K27,'WA-1'!K27,'IDC-NSW'!K27,'IDC-VIC'!K27),NA())</f>
        <v/>
      </c>
      <c r="AG16" s="20">
        <f>IF(OR(CHOOSE($X$4,'National'!D27,'NSW-1'!D27,'VIC-1'!D27,'QLD-1'!D27,'NSW-2'!D27,'VIC-2'!D27,'QLD-2'!D27,'SA-1'!D27,'WA-1'!D27,'IDC-NSW'!D27,'IDC-VIC'!D27)="Forecast",$AA16=LastActual),CHOOSE($X$4,'National'!K27,'NSW-1'!K27,'VIC-1'!K27,'QLD-1'!K27,'NSW-2'!K27,'VIC-2'!K27,'QLD-2'!K27,'SA-1'!K27,'WA-1'!K27,'IDC-NSW'!K27,'IDC-VIC'!K27),NA())</f>
        <v/>
      </c>
      <c r="AH16" s="21">
        <f>IF(CHOOSE($X$4,'National'!D27,'NSW-1'!D27,'VIC-1'!D27,'QLD-1'!D27,'NSW-2'!D27,'VIC-2'!D27,'QLD-2'!D27,'SA-1'!D27,'WA-1'!D27,'IDC-NSW'!D27,'IDC-VIC'!D27)="Actual",CHOOSE($X$4,'National'!L27,'NSW-1'!L27,'VIC-1'!L27,'QLD-1'!L27,'NSW-2'!L27,'VIC-2'!L27,'QLD-2'!L27,'SA-1'!L27,'WA-1'!L27,'IDC-NSW'!L27,'IDC-VIC'!L27),NA())</f>
        <v/>
      </c>
      <c r="AI16" s="21">
        <f>IF(OR(CHOOSE($X$4,'National'!D27,'NSW-1'!D27,'VIC-1'!D27,'QLD-1'!D27,'NSW-2'!D27,'VIC-2'!D27,'QLD-2'!D27,'SA-1'!D27,'WA-1'!D27,'IDC-NSW'!D27,'IDC-VIC'!D27)="Forecast",$AA16=LastActual),CHOOSE($X$4,'National'!L27,'NSW-1'!L27,'VIC-1'!L27,'QLD-1'!L27,'NSW-2'!L27,'VIC-2'!L27,'QLD-2'!L27,'SA-1'!L27,'WA-1'!L27,'IDC-NSW'!L27,'IDC-VIC'!L27),NA())</f>
        <v/>
      </c>
      <c r="AJ16" s="22">
        <f>IF(CHOOSE($X$4,'National'!D27,'NSW-1'!D27,'VIC-1'!D27,'QLD-1'!D27,'NSW-2'!D27,'VIC-2'!D27,'QLD-2'!D27,'SA-1'!D27,'WA-1'!D27,'IDC-NSW'!D27,'IDC-VIC'!D27)="Actual",CHOOSE($X$4,'National'!M27,'NSW-1'!M27,'VIC-1'!M27,'QLD-1'!M27,'NSW-2'!M27,'VIC-2'!M27,'QLD-2'!M27,'SA-1'!M27,'WA-1'!M27,'IDC-NSW'!M27,'IDC-VIC'!M27),NA())</f>
        <v/>
      </c>
      <c r="AK16" s="22">
        <f>IF(OR(CHOOSE($X$4,'National'!D27,'NSW-1'!D27,'VIC-1'!D27,'QLD-1'!D27,'NSW-2'!D27,'VIC-2'!D27,'QLD-2'!D27,'SA-1'!D27,'WA-1'!D27,'IDC-NSW'!D27,'IDC-VIC'!D27)="Forecast",$AA16=LastActual),CHOOSE($X$4,'National'!M27,'NSW-1'!M27,'VIC-1'!M27,'QLD-1'!M27,'NSW-2'!M27,'VIC-2'!M27,'QLD-2'!M27,'SA-1'!M27,'WA-1'!M27,'IDC-NSW'!M27,'IDC-VIC'!M27),NA())</f>
        <v/>
      </c>
      <c r="AL16" s="8">
        <f>IF(CHOOSE($X$4,'National'!D27,'NSW-1'!D27,'VIC-1'!D27,'QLD-1'!D27,'NSW-2'!D27,'VIC-2'!D27,'QLD-2'!D27,'SA-1'!D27,'WA-1'!D27,'IDC-NSW'!D27,'IDC-VIC'!D27)="Actual",CHOOSE($X$4,'National'!P27,'NSW-1'!P27,'VIC-1'!P27,'QLD-1'!P27,'NSW-2'!P27,'VIC-2'!P27,'QLD-2'!P27,'SA-1'!P27,'WA-1'!P27,'IDC-NSW'!P27,'IDC-VIC'!P27),NA())</f>
        <v/>
      </c>
      <c r="AM16" s="8">
        <f>IF(OR(CHOOSE($X$4,'National'!D27,'NSW-1'!D27,'VIC-1'!D27,'QLD-1'!D27,'NSW-2'!D27,'VIC-2'!D27,'QLD-2'!D27,'SA-1'!D27,'WA-1'!D27,'IDC-NSW'!D27,'IDC-VIC'!D27)="Forecast",$AA16=LastActual),CHOOSE($X$4,'National'!P27,'NSW-1'!P27,'VIC-1'!P27,'QLD-1'!P27,'NSW-2'!P27,'VIC-2'!P27,'QLD-2'!P27,'SA-1'!P27,'WA-1'!P27,'IDC-NSW'!P27,'IDC-VIC'!P27),NA())</f>
        <v/>
      </c>
    </row>
    <row r="17">
      <c r="AA17" s="9" t="n">
        <v>46054</v>
      </c>
      <c r="AB17" s="19">
        <f>IF(CHOOSE($X$4,'National'!D28,'NSW-1'!D28,'VIC-1'!D28,'QLD-1'!D28,'NSW-2'!D28,'VIC-2'!D28,'QLD-2'!D28,'SA-1'!D28,'WA-1'!D28,'IDC-NSW'!D28,'IDC-VIC'!D28)="Actual",CHOOSE($X$4,'National'!J28,'NSW-1'!J28,'VIC-1'!J28,'QLD-1'!J28,'NSW-2'!J28,'VIC-2'!J28,'QLD-2'!J28,'SA-1'!J28,'WA-1'!J28,'IDC-NSW'!J28,'IDC-VIC'!J28),NA())</f>
        <v/>
      </c>
      <c r="AC17" s="19">
        <f>IF(OR(CHOOSE($X$4,'National'!D28,'NSW-1'!D28,'VIC-1'!D28,'QLD-1'!D28,'NSW-2'!D28,'VIC-2'!D28,'QLD-2'!D28,'SA-1'!D28,'WA-1'!D28,'IDC-NSW'!D28,'IDC-VIC'!D28)="Forecast",$AA17=LastActual),CHOOSE($X$4,'National'!J28,'NSW-1'!J28,'VIC-1'!J28,'QLD-1'!J28,'NSW-2'!J28,'VIC-2'!J28,'QLD-2'!J28,'SA-1'!J28,'WA-1'!J28,'IDC-NSW'!J28,'IDC-VIC'!J28),NA())</f>
        <v/>
      </c>
      <c r="AD17" s="10">
        <f>IF(CHOOSE($X$4,'National'!D28,'NSW-1'!D28,'VIC-1'!D28,'QLD-1'!D28,'NSW-2'!D28,'VIC-2'!D28,'QLD-2'!D28,'SA-1'!D28,'WA-1'!D28,'IDC-NSW'!D28,'IDC-VIC'!D28)="Actual",CHOOSE($X$4,'National'!G28,'NSW-1'!G28,'VIC-1'!G28,'QLD-1'!G28,'NSW-2'!G28,'VIC-2'!G28,'QLD-2'!G28,'SA-1'!G28,'WA-1'!G28,'IDC-NSW'!G28,'IDC-VIC'!G28),NA())</f>
        <v/>
      </c>
      <c r="AE17" s="10">
        <f>IF(OR(CHOOSE($X$4,'National'!D28,'NSW-1'!D28,'VIC-1'!D28,'QLD-1'!D28,'NSW-2'!D28,'VIC-2'!D28,'QLD-2'!D28,'SA-1'!D28,'WA-1'!D28,'IDC-NSW'!D28,'IDC-VIC'!D28)="Forecast",$AA17=LastActual),CHOOSE($X$4,'National'!G28,'NSW-1'!G28,'VIC-1'!G28,'QLD-1'!G28,'NSW-2'!G28,'VIC-2'!G28,'QLD-2'!G28,'SA-1'!G28,'WA-1'!G28,'IDC-NSW'!G28,'IDC-VIC'!G28),NA())</f>
        <v/>
      </c>
      <c r="AF17" s="20">
        <f>IF(CHOOSE($X$4,'National'!D28,'NSW-1'!D28,'VIC-1'!D28,'QLD-1'!D28,'NSW-2'!D28,'VIC-2'!D28,'QLD-2'!D28,'SA-1'!D28,'WA-1'!D28,'IDC-NSW'!D28,'IDC-VIC'!D28)="Actual",CHOOSE($X$4,'National'!K28,'NSW-1'!K28,'VIC-1'!K28,'QLD-1'!K28,'NSW-2'!K28,'VIC-2'!K28,'QLD-2'!K28,'SA-1'!K28,'WA-1'!K28,'IDC-NSW'!K28,'IDC-VIC'!K28),NA())</f>
        <v/>
      </c>
      <c r="AG17" s="20">
        <f>IF(OR(CHOOSE($X$4,'National'!D28,'NSW-1'!D28,'VIC-1'!D28,'QLD-1'!D28,'NSW-2'!D28,'VIC-2'!D28,'QLD-2'!D28,'SA-1'!D28,'WA-1'!D28,'IDC-NSW'!D28,'IDC-VIC'!D28)="Forecast",$AA17=LastActual),CHOOSE($X$4,'National'!K28,'NSW-1'!K28,'VIC-1'!K28,'QLD-1'!K28,'NSW-2'!K28,'VIC-2'!K28,'QLD-2'!K28,'SA-1'!K28,'WA-1'!K28,'IDC-NSW'!K28,'IDC-VIC'!K28),NA())</f>
        <v/>
      </c>
      <c r="AH17" s="21">
        <f>IF(CHOOSE($X$4,'National'!D28,'NSW-1'!D28,'VIC-1'!D28,'QLD-1'!D28,'NSW-2'!D28,'VIC-2'!D28,'QLD-2'!D28,'SA-1'!D28,'WA-1'!D28,'IDC-NSW'!D28,'IDC-VIC'!D28)="Actual",CHOOSE($X$4,'National'!L28,'NSW-1'!L28,'VIC-1'!L28,'QLD-1'!L28,'NSW-2'!L28,'VIC-2'!L28,'QLD-2'!L28,'SA-1'!L28,'WA-1'!L28,'IDC-NSW'!L28,'IDC-VIC'!L28),NA())</f>
        <v/>
      </c>
      <c r="AI17" s="21">
        <f>IF(OR(CHOOSE($X$4,'National'!D28,'NSW-1'!D28,'VIC-1'!D28,'QLD-1'!D28,'NSW-2'!D28,'VIC-2'!D28,'QLD-2'!D28,'SA-1'!D28,'WA-1'!D28,'IDC-NSW'!D28,'IDC-VIC'!D28)="Forecast",$AA17=LastActual),CHOOSE($X$4,'National'!L28,'NSW-1'!L28,'VIC-1'!L28,'QLD-1'!L28,'NSW-2'!L28,'VIC-2'!L28,'QLD-2'!L28,'SA-1'!L28,'WA-1'!L28,'IDC-NSW'!L28,'IDC-VIC'!L28),NA())</f>
        <v/>
      </c>
      <c r="AJ17" s="22">
        <f>IF(CHOOSE($X$4,'National'!D28,'NSW-1'!D28,'VIC-1'!D28,'QLD-1'!D28,'NSW-2'!D28,'VIC-2'!D28,'QLD-2'!D28,'SA-1'!D28,'WA-1'!D28,'IDC-NSW'!D28,'IDC-VIC'!D28)="Actual",CHOOSE($X$4,'National'!M28,'NSW-1'!M28,'VIC-1'!M28,'QLD-1'!M28,'NSW-2'!M28,'VIC-2'!M28,'QLD-2'!M28,'SA-1'!M28,'WA-1'!M28,'IDC-NSW'!M28,'IDC-VIC'!M28),NA())</f>
        <v/>
      </c>
      <c r="AK17" s="22">
        <f>IF(OR(CHOOSE($X$4,'National'!D28,'NSW-1'!D28,'VIC-1'!D28,'QLD-1'!D28,'NSW-2'!D28,'VIC-2'!D28,'QLD-2'!D28,'SA-1'!D28,'WA-1'!D28,'IDC-NSW'!D28,'IDC-VIC'!D28)="Forecast",$AA17=LastActual),CHOOSE($X$4,'National'!M28,'NSW-1'!M28,'VIC-1'!M28,'QLD-1'!M28,'NSW-2'!M28,'VIC-2'!M28,'QLD-2'!M28,'SA-1'!M28,'WA-1'!M28,'IDC-NSW'!M28,'IDC-VIC'!M28),NA())</f>
        <v/>
      </c>
      <c r="AL17" s="8">
        <f>IF(CHOOSE($X$4,'National'!D28,'NSW-1'!D28,'VIC-1'!D28,'QLD-1'!D28,'NSW-2'!D28,'VIC-2'!D28,'QLD-2'!D28,'SA-1'!D28,'WA-1'!D28,'IDC-NSW'!D28,'IDC-VIC'!D28)="Actual",CHOOSE($X$4,'National'!P28,'NSW-1'!P28,'VIC-1'!P28,'QLD-1'!P28,'NSW-2'!P28,'VIC-2'!P28,'QLD-2'!P28,'SA-1'!P28,'WA-1'!P28,'IDC-NSW'!P28,'IDC-VIC'!P28),NA())</f>
        <v/>
      </c>
      <c r="AM17" s="8">
        <f>IF(OR(CHOOSE($X$4,'National'!D28,'NSW-1'!D28,'VIC-1'!D28,'QLD-1'!D28,'NSW-2'!D28,'VIC-2'!D28,'QLD-2'!D28,'SA-1'!D28,'WA-1'!D28,'IDC-NSW'!D28,'IDC-VIC'!D28)="Forecast",$AA17=LastActual),CHOOSE($X$4,'National'!P28,'NSW-1'!P28,'VIC-1'!P28,'QLD-1'!P28,'NSW-2'!P28,'VIC-2'!P28,'QLD-2'!P28,'SA-1'!P28,'WA-1'!P28,'IDC-NSW'!P28,'IDC-VIC'!P28),NA())</f>
        <v/>
      </c>
    </row>
    <row r="18">
      <c r="AA18" s="9" t="n">
        <v>46082</v>
      </c>
      <c r="AB18" s="19">
        <f>IF(CHOOSE($X$4,'National'!D29,'NSW-1'!D29,'VIC-1'!D29,'QLD-1'!D29,'NSW-2'!D29,'VIC-2'!D29,'QLD-2'!D29,'SA-1'!D29,'WA-1'!D29,'IDC-NSW'!D29,'IDC-VIC'!D29)="Actual",CHOOSE($X$4,'National'!J29,'NSW-1'!J29,'VIC-1'!J29,'QLD-1'!J29,'NSW-2'!J29,'VIC-2'!J29,'QLD-2'!J29,'SA-1'!J29,'WA-1'!J29,'IDC-NSW'!J29,'IDC-VIC'!J29),NA())</f>
        <v/>
      </c>
      <c r="AC18" s="19">
        <f>IF(OR(CHOOSE($X$4,'National'!D29,'NSW-1'!D29,'VIC-1'!D29,'QLD-1'!D29,'NSW-2'!D29,'VIC-2'!D29,'QLD-2'!D29,'SA-1'!D29,'WA-1'!D29,'IDC-NSW'!D29,'IDC-VIC'!D29)="Forecast",$AA18=LastActual),CHOOSE($X$4,'National'!J29,'NSW-1'!J29,'VIC-1'!J29,'QLD-1'!J29,'NSW-2'!J29,'VIC-2'!J29,'QLD-2'!J29,'SA-1'!J29,'WA-1'!J29,'IDC-NSW'!J29,'IDC-VIC'!J29),NA())</f>
        <v/>
      </c>
      <c r="AD18" s="10">
        <f>IF(CHOOSE($X$4,'National'!D29,'NSW-1'!D29,'VIC-1'!D29,'QLD-1'!D29,'NSW-2'!D29,'VIC-2'!D29,'QLD-2'!D29,'SA-1'!D29,'WA-1'!D29,'IDC-NSW'!D29,'IDC-VIC'!D29)="Actual",CHOOSE($X$4,'National'!G29,'NSW-1'!G29,'VIC-1'!G29,'QLD-1'!G29,'NSW-2'!G29,'VIC-2'!G29,'QLD-2'!G29,'SA-1'!G29,'WA-1'!G29,'IDC-NSW'!G29,'IDC-VIC'!G29),NA())</f>
        <v/>
      </c>
      <c r="AE18" s="10">
        <f>IF(OR(CHOOSE($X$4,'National'!D29,'NSW-1'!D29,'VIC-1'!D29,'QLD-1'!D29,'NSW-2'!D29,'VIC-2'!D29,'QLD-2'!D29,'SA-1'!D29,'WA-1'!D29,'IDC-NSW'!D29,'IDC-VIC'!D29)="Forecast",$AA18=LastActual),CHOOSE($X$4,'National'!G29,'NSW-1'!G29,'VIC-1'!G29,'QLD-1'!G29,'NSW-2'!G29,'VIC-2'!G29,'QLD-2'!G29,'SA-1'!G29,'WA-1'!G29,'IDC-NSW'!G29,'IDC-VIC'!G29),NA())</f>
        <v/>
      </c>
      <c r="AF18" s="20">
        <f>IF(CHOOSE($X$4,'National'!D29,'NSW-1'!D29,'VIC-1'!D29,'QLD-1'!D29,'NSW-2'!D29,'VIC-2'!D29,'QLD-2'!D29,'SA-1'!D29,'WA-1'!D29,'IDC-NSW'!D29,'IDC-VIC'!D29)="Actual",CHOOSE($X$4,'National'!K29,'NSW-1'!K29,'VIC-1'!K29,'QLD-1'!K29,'NSW-2'!K29,'VIC-2'!K29,'QLD-2'!K29,'SA-1'!K29,'WA-1'!K29,'IDC-NSW'!K29,'IDC-VIC'!K29),NA())</f>
        <v/>
      </c>
      <c r="AG18" s="20">
        <f>IF(OR(CHOOSE($X$4,'National'!D29,'NSW-1'!D29,'VIC-1'!D29,'QLD-1'!D29,'NSW-2'!D29,'VIC-2'!D29,'QLD-2'!D29,'SA-1'!D29,'WA-1'!D29,'IDC-NSW'!D29,'IDC-VIC'!D29)="Forecast",$AA18=LastActual),CHOOSE($X$4,'National'!K29,'NSW-1'!K29,'VIC-1'!K29,'QLD-1'!K29,'NSW-2'!K29,'VIC-2'!K29,'QLD-2'!K29,'SA-1'!K29,'WA-1'!K29,'IDC-NSW'!K29,'IDC-VIC'!K29),NA())</f>
        <v/>
      </c>
      <c r="AH18" s="21">
        <f>IF(CHOOSE($X$4,'National'!D29,'NSW-1'!D29,'VIC-1'!D29,'QLD-1'!D29,'NSW-2'!D29,'VIC-2'!D29,'QLD-2'!D29,'SA-1'!D29,'WA-1'!D29,'IDC-NSW'!D29,'IDC-VIC'!D29)="Actual",CHOOSE($X$4,'National'!L29,'NSW-1'!L29,'VIC-1'!L29,'QLD-1'!L29,'NSW-2'!L29,'VIC-2'!L29,'QLD-2'!L29,'SA-1'!L29,'WA-1'!L29,'IDC-NSW'!L29,'IDC-VIC'!L29),NA())</f>
        <v/>
      </c>
      <c r="AI18" s="21">
        <f>IF(OR(CHOOSE($X$4,'National'!D29,'NSW-1'!D29,'VIC-1'!D29,'QLD-1'!D29,'NSW-2'!D29,'VIC-2'!D29,'QLD-2'!D29,'SA-1'!D29,'WA-1'!D29,'IDC-NSW'!D29,'IDC-VIC'!D29)="Forecast",$AA18=LastActual),CHOOSE($X$4,'National'!L29,'NSW-1'!L29,'VIC-1'!L29,'QLD-1'!L29,'NSW-2'!L29,'VIC-2'!L29,'QLD-2'!L29,'SA-1'!L29,'WA-1'!L29,'IDC-NSW'!L29,'IDC-VIC'!L29),NA())</f>
        <v/>
      </c>
      <c r="AJ18" s="22">
        <f>IF(CHOOSE($X$4,'National'!D29,'NSW-1'!D29,'VIC-1'!D29,'QLD-1'!D29,'NSW-2'!D29,'VIC-2'!D29,'QLD-2'!D29,'SA-1'!D29,'WA-1'!D29,'IDC-NSW'!D29,'IDC-VIC'!D29)="Actual",CHOOSE($X$4,'National'!M29,'NSW-1'!M29,'VIC-1'!M29,'QLD-1'!M29,'NSW-2'!M29,'VIC-2'!M29,'QLD-2'!M29,'SA-1'!M29,'WA-1'!M29,'IDC-NSW'!M29,'IDC-VIC'!M29),NA())</f>
        <v/>
      </c>
      <c r="AK18" s="22">
        <f>IF(OR(CHOOSE($X$4,'National'!D29,'NSW-1'!D29,'VIC-1'!D29,'QLD-1'!D29,'NSW-2'!D29,'VIC-2'!D29,'QLD-2'!D29,'SA-1'!D29,'WA-1'!D29,'IDC-NSW'!D29,'IDC-VIC'!D29)="Forecast",$AA18=LastActual),CHOOSE($X$4,'National'!M29,'NSW-1'!M29,'VIC-1'!M29,'QLD-1'!M29,'NSW-2'!M29,'VIC-2'!M29,'QLD-2'!M29,'SA-1'!M29,'WA-1'!M29,'IDC-NSW'!M29,'IDC-VIC'!M29),NA())</f>
        <v/>
      </c>
      <c r="AL18" s="8">
        <f>IF(CHOOSE($X$4,'National'!D29,'NSW-1'!D29,'VIC-1'!D29,'QLD-1'!D29,'NSW-2'!D29,'VIC-2'!D29,'QLD-2'!D29,'SA-1'!D29,'WA-1'!D29,'IDC-NSW'!D29,'IDC-VIC'!D29)="Actual",CHOOSE($X$4,'National'!P29,'NSW-1'!P29,'VIC-1'!P29,'QLD-1'!P29,'NSW-2'!P29,'VIC-2'!P29,'QLD-2'!P29,'SA-1'!P29,'WA-1'!P29,'IDC-NSW'!P29,'IDC-VIC'!P29),NA())</f>
        <v/>
      </c>
      <c r="AM18" s="8">
        <f>IF(OR(CHOOSE($X$4,'National'!D29,'NSW-1'!D29,'VIC-1'!D29,'QLD-1'!D29,'NSW-2'!D29,'VIC-2'!D29,'QLD-2'!D29,'SA-1'!D29,'WA-1'!D29,'IDC-NSW'!D29,'IDC-VIC'!D29)="Forecast",$AA18=LastActual),CHOOSE($X$4,'National'!P29,'NSW-1'!P29,'VIC-1'!P29,'QLD-1'!P29,'NSW-2'!P29,'VIC-2'!P29,'QLD-2'!P29,'SA-1'!P29,'WA-1'!P29,'IDC-NSW'!P29,'IDC-VIC'!P29),NA())</f>
        <v/>
      </c>
    </row>
    <row r="19">
      <c r="AA19" s="9" t="n">
        <v>46113</v>
      </c>
      <c r="AB19" s="19">
        <f>IF(CHOOSE($X$4,'National'!D30,'NSW-1'!D30,'VIC-1'!D30,'QLD-1'!D30,'NSW-2'!D30,'VIC-2'!D30,'QLD-2'!D30,'SA-1'!D30,'WA-1'!D30,'IDC-NSW'!D30,'IDC-VIC'!D30)="Actual",CHOOSE($X$4,'National'!J30,'NSW-1'!J30,'VIC-1'!J30,'QLD-1'!J30,'NSW-2'!J30,'VIC-2'!J30,'QLD-2'!J30,'SA-1'!J30,'WA-1'!J30,'IDC-NSW'!J30,'IDC-VIC'!J30),NA())</f>
        <v/>
      </c>
      <c r="AC19" s="19">
        <f>IF(OR(CHOOSE($X$4,'National'!D30,'NSW-1'!D30,'VIC-1'!D30,'QLD-1'!D30,'NSW-2'!D30,'VIC-2'!D30,'QLD-2'!D30,'SA-1'!D30,'WA-1'!D30,'IDC-NSW'!D30,'IDC-VIC'!D30)="Forecast",$AA19=LastActual),CHOOSE($X$4,'National'!J30,'NSW-1'!J30,'VIC-1'!J30,'QLD-1'!J30,'NSW-2'!J30,'VIC-2'!J30,'QLD-2'!J30,'SA-1'!J30,'WA-1'!J30,'IDC-NSW'!J30,'IDC-VIC'!J30),NA())</f>
        <v/>
      </c>
      <c r="AD19" s="10">
        <f>IF(CHOOSE($X$4,'National'!D30,'NSW-1'!D30,'VIC-1'!D30,'QLD-1'!D30,'NSW-2'!D30,'VIC-2'!D30,'QLD-2'!D30,'SA-1'!D30,'WA-1'!D30,'IDC-NSW'!D30,'IDC-VIC'!D30)="Actual",CHOOSE($X$4,'National'!G30,'NSW-1'!G30,'VIC-1'!G30,'QLD-1'!G30,'NSW-2'!G30,'VIC-2'!G30,'QLD-2'!G30,'SA-1'!G30,'WA-1'!G30,'IDC-NSW'!G30,'IDC-VIC'!G30),NA())</f>
        <v/>
      </c>
      <c r="AE19" s="10">
        <f>IF(OR(CHOOSE($X$4,'National'!D30,'NSW-1'!D30,'VIC-1'!D30,'QLD-1'!D30,'NSW-2'!D30,'VIC-2'!D30,'QLD-2'!D30,'SA-1'!D30,'WA-1'!D30,'IDC-NSW'!D30,'IDC-VIC'!D30)="Forecast",$AA19=LastActual),CHOOSE($X$4,'National'!G30,'NSW-1'!G30,'VIC-1'!G30,'QLD-1'!G30,'NSW-2'!G30,'VIC-2'!G30,'QLD-2'!G30,'SA-1'!G30,'WA-1'!G30,'IDC-NSW'!G30,'IDC-VIC'!G30),NA())</f>
        <v/>
      </c>
      <c r="AF19" s="20">
        <f>IF(CHOOSE($X$4,'National'!D30,'NSW-1'!D30,'VIC-1'!D30,'QLD-1'!D30,'NSW-2'!D30,'VIC-2'!D30,'QLD-2'!D30,'SA-1'!D30,'WA-1'!D30,'IDC-NSW'!D30,'IDC-VIC'!D30)="Actual",CHOOSE($X$4,'National'!K30,'NSW-1'!K30,'VIC-1'!K30,'QLD-1'!K30,'NSW-2'!K30,'VIC-2'!K30,'QLD-2'!K30,'SA-1'!K30,'WA-1'!K30,'IDC-NSW'!K30,'IDC-VIC'!K30),NA())</f>
        <v/>
      </c>
      <c r="AG19" s="20">
        <f>IF(OR(CHOOSE($X$4,'National'!D30,'NSW-1'!D30,'VIC-1'!D30,'QLD-1'!D30,'NSW-2'!D30,'VIC-2'!D30,'QLD-2'!D30,'SA-1'!D30,'WA-1'!D30,'IDC-NSW'!D30,'IDC-VIC'!D30)="Forecast",$AA19=LastActual),CHOOSE($X$4,'National'!K30,'NSW-1'!K30,'VIC-1'!K30,'QLD-1'!K30,'NSW-2'!K30,'VIC-2'!K30,'QLD-2'!K30,'SA-1'!K30,'WA-1'!K30,'IDC-NSW'!K30,'IDC-VIC'!K30),NA())</f>
        <v/>
      </c>
      <c r="AH19" s="21">
        <f>IF(CHOOSE($X$4,'National'!D30,'NSW-1'!D30,'VIC-1'!D30,'QLD-1'!D30,'NSW-2'!D30,'VIC-2'!D30,'QLD-2'!D30,'SA-1'!D30,'WA-1'!D30,'IDC-NSW'!D30,'IDC-VIC'!D30)="Actual",CHOOSE($X$4,'National'!L30,'NSW-1'!L30,'VIC-1'!L30,'QLD-1'!L30,'NSW-2'!L30,'VIC-2'!L30,'QLD-2'!L30,'SA-1'!L30,'WA-1'!L30,'IDC-NSW'!L30,'IDC-VIC'!L30),NA())</f>
        <v/>
      </c>
      <c r="AI19" s="21">
        <f>IF(OR(CHOOSE($X$4,'National'!D30,'NSW-1'!D30,'VIC-1'!D30,'QLD-1'!D30,'NSW-2'!D30,'VIC-2'!D30,'QLD-2'!D30,'SA-1'!D30,'WA-1'!D30,'IDC-NSW'!D30,'IDC-VIC'!D30)="Forecast",$AA19=LastActual),CHOOSE($X$4,'National'!L30,'NSW-1'!L30,'VIC-1'!L30,'QLD-1'!L30,'NSW-2'!L30,'VIC-2'!L30,'QLD-2'!L30,'SA-1'!L30,'WA-1'!L30,'IDC-NSW'!L30,'IDC-VIC'!L30),NA())</f>
        <v/>
      </c>
      <c r="AJ19" s="22">
        <f>IF(CHOOSE($X$4,'National'!D30,'NSW-1'!D30,'VIC-1'!D30,'QLD-1'!D30,'NSW-2'!D30,'VIC-2'!D30,'QLD-2'!D30,'SA-1'!D30,'WA-1'!D30,'IDC-NSW'!D30,'IDC-VIC'!D30)="Actual",CHOOSE($X$4,'National'!M30,'NSW-1'!M30,'VIC-1'!M30,'QLD-1'!M30,'NSW-2'!M30,'VIC-2'!M30,'QLD-2'!M30,'SA-1'!M30,'WA-1'!M30,'IDC-NSW'!M30,'IDC-VIC'!M30),NA())</f>
        <v/>
      </c>
      <c r="AK19" s="22">
        <f>IF(OR(CHOOSE($X$4,'National'!D30,'NSW-1'!D30,'VIC-1'!D30,'QLD-1'!D30,'NSW-2'!D30,'VIC-2'!D30,'QLD-2'!D30,'SA-1'!D30,'WA-1'!D30,'IDC-NSW'!D30,'IDC-VIC'!D30)="Forecast",$AA19=LastActual),CHOOSE($X$4,'National'!M30,'NSW-1'!M30,'VIC-1'!M30,'QLD-1'!M30,'NSW-2'!M30,'VIC-2'!M30,'QLD-2'!M30,'SA-1'!M30,'WA-1'!M30,'IDC-NSW'!M30,'IDC-VIC'!M30),NA())</f>
        <v/>
      </c>
      <c r="AL19" s="8">
        <f>IF(CHOOSE($X$4,'National'!D30,'NSW-1'!D30,'VIC-1'!D30,'QLD-1'!D30,'NSW-2'!D30,'VIC-2'!D30,'QLD-2'!D30,'SA-1'!D30,'WA-1'!D30,'IDC-NSW'!D30,'IDC-VIC'!D30)="Actual",CHOOSE($X$4,'National'!P30,'NSW-1'!P30,'VIC-1'!P30,'QLD-1'!P30,'NSW-2'!P30,'VIC-2'!P30,'QLD-2'!P30,'SA-1'!P30,'WA-1'!P30,'IDC-NSW'!P30,'IDC-VIC'!P30),NA())</f>
        <v/>
      </c>
      <c r="AM19" s="8">
        <f>IF(OR(CHOOSE($X$4,'National'!D30,'NSW-1'!D30,'VIC-1'!D30,'QLD-1'!D30,'NSW-2'!D30,'VIC-2'!D30,'QLD-2'!D30,'SA-1'!D30,'WA-1'!D30,'IDC-NSW'!D30,'IDC-VIC'!D30)="Forecast",$AA19=LastActual),CHOOSE($X$4,'National'!P30,'NSW-1'!P30,'VIC-1'!P30,'QLD-1'!P30,'NSW-2'!P30,'VIC-2'!P30,'QLD-2'!P30,'SA-1'!P30,'WA-1'!P30,'IDC-NSW'!P30,'IDC-VIC'!P30),NA())</f>
        <v/>
      </c>
    </row>
    <row r="20">
      <c r="AA20" s="9" t="n">
        <v>46143</v>
      </c>
      <c r="AB20" s="19">
        <f>IF(CHOOSE($X$4,'National'!D31,'NSW-1'!D31,'VIC-1'!D31,'QLD-1'!D31,'NSW-2'!D31,'VIC-2'!D31,'QLD-2'!D31,'SA-1'!D31,'WA-1'!D31,'IDC-NSW'!D31,'IDC-VIC'!D31)="Actual",CHOOSE($X$4,'National'!J31,'NSW-1'!J31,'VIC-1'!J31,'QLD-1'!J31,'NSW-2'!J31,'VIC-2'!J31,'QLD-2'!J31,'SA-1'!J31,'WA-1'!J31,'IDC-NSW'!J31,'IDC-VIC'!J31),NA())</f>
        <v/>
      </c>
      <c r="AC20" s="19">
        <f>IF(OR(CHOOSE($X$4,'National'!D31,'NSW-1'!D31,'VIC-1'!D31,'QLD-1'!D31,'NSW-2'!D31,'VIC-2'!D31,'QLD-2'!D31,'SA-1'!D31,'WA-1'!D31,'IDC-NSW'!D31,'IDC-VIC'!D31)="Forecast",$AA20=LastActual),CHOOSE($X$4,'National'!J31,'NSW-1'!J31,'VIC-1'!J31,'QLD-1'!J31,'NSW-2'!J31,'VIC-2'!J31,'QLD-2'!J31,'SA-1'!J31,'WA-1'!J31,'IDC-NSW'!J31,'IDC-VIC'!J31),NA())</f>
        <v/>
      </c>
      <c r="AD20" s="10">
        <f>IF(CHOOSE($X$4,'National'!D31,'NSW-1'!D31,'VIC-1'!D31,'QLD-1'!D31,'NSW-2'!D31,'VIC-2'!D31,'QLD-2'!D31,'SA-1'!D31,'WA-1'!D31,'IDC-NSW'!D31,'IDC-VIC'!D31)="Actual",CHOOSE($X$4,'National'!G31,'NSW-1'!G31,'VIC-1'!G31,'QLD-1'!G31,'NSW-2'!G31,'VIC-2'!G31,'QLD-2'!G31,'SA-1'!G31,'WA-1'!G31,'IDC-NSW'!G31,'IDC-VIC'!G31),NA())</f>
        <v/>
      </c>
      <c r="AE20" s="10">
        <f>IF(OR(CHOOSE($X$4,'National'!D31,'NSW-1'!D31,'VIC-1'!D31,'QLD-1'!D31,'NSW-2'!D31,'VIC-2'!D31,'QLD-2'!D31,'SA-1'!D31,'WA-1'!D31,'IDC-NSW'!D31,'IDC-VIC'!D31)="Forecast",$AA20=LastActual),CHOOSE($X$4,'National'!G31,'NSW-1'!G31,'VIC-1'!G31,'QLD-1'!G31,'NSW-2'!G31,'VIC-2'!G31,'QLD-2'!G31,'SA-1'!G31,'WA-1'!G31,'IDC-NSW'!G31,'IDC-VIC'!G31),NA())</f>
        <v/>
      </c>
      <c r="AF20" s="20">
        <f>IF(CHOOSE($X$4,'National'!D31,'NSW-1'!D31,'VIC-1'!D31,'QLD-1'!D31,'NSW-2'!D31,'VIC-2'!D31,'QLD-2'!D31,'SA-1'!D31,'WA-1'!D31,'IDC-NSW'!D31,'IDC-VIC'!D31)="Actual",CHOOSE($X$4,'National'!K31,'NSW-1'!K31,'VIC-1'!K31,'QLD-1'!K31,'NSW-2'!K31,'VIC-2'!K31,'QLD-2'!K31,'SA-1'!K31,'WA-1'!K31,'IDC-NSW'!K31,'IDC-VIC'!K31),NA())</f>
        <v/>
      </c>
      <c r="AG20" s="20">
        <f>IF(OR(CHOOSE($X$4,'National'!D31,'NSW-1'!D31,'VIC-1'!D31,'QLD-1'!D31,'NSW-2'!D31,'VIC-2'!D31,'QLD-2'!D31,'SA-1'!D31,'WA-1'!D31,'IDC-NSW'!D31,'IDC-VIC'!D31)="Forecast",$AA20=LastActual),CHOOSE($X$4,'National'!K31,'NSW-1'!K31,'VIC-1'!K31,'QLD-1'!K31,'NSW-2'!K31,'VIC-2'!K31,'QLD-2'!K31,'SA-1'!K31,'WA-1'!K31,'IDC-NSW'!K31,'IDC-VIC'!K31),NA())</f>
        <v/>
      </c>
      <c r="AH20" s="21">
        <f>IF(CHOOSE($X$4,'National'!D31,'NSW-1'!D31,'VIC-1'!D31,'QLD-1'!D31,'NSW-2'!D31,'VIC-2'!D31,'QLD-2'!D31,'SA-1'!D31,'WA-1'!D31,'IDC-NSW'!D31,'IDC-VIC'!D31)="Actual",CHOOSE($X$4,'National'!L31,'NSW-1'!L31,'VIC-1'!L31,'QLD-1'!L31,'NSW-2'!L31,'VIC-2'!L31,'QLD-2'!L31,'SA-1'!L31,'WA-1'!L31,'IDC-NSW'!L31,'IDC-VIC'!L31),NA())</f>
        <v/>
      </c>
      <c r="AI20" s="21">
        <f>IF(OR(CHOOSE($X$4,'National'!D31,'NSW-1'!D31,'VIC-1'!D31,'QLD-1'!D31,'NSW-2'!D31,'VIC-2'!D31,'QLD-2'!D31,'SA-1'!D31,'WA-1'!D31,'IDC-NSW'!D31,'IDC-VIC'!D31)="Forecast",$AA20=LastActual),CHOOSE($X$4,'National'!L31,'NSW-1'!L31,'VIC-1'!L31,'QLD-1'!L31,'NSW-2'!L31,'VIC-2'!L31,'QLD-2'!L31,'SA-1'!L31,'WA-1'!L31,'IDC-NSW'!L31,'IDC-VIC'!L31),NA())</f>
        <v/>
      </c>
      <c r="AJ20" s="22">
        <f>IF(CHOOSE($X$4,'National'!D31,'NSW-1'!D31,'VIC-1'!D31,'QLD-1'!D31,'NSW-2'!D31,'VIC-2'!D31,'QLD-2'!D31,'SA-1'!D31,'WA-1'!D31,'IDC-NSW'!D31,'IDC-VIC'!D31)="Actual",CHOOSE($X$4,'National'!M31,'NSW-1'!M31,'VIC-1'!M31,'QLD-1'!M31,'NSW-2'!M31,'VIC-2'!M31,'QLD-2'!M31,'SA-1'!M31,'WA-1'!M31,'IDC-NSW'!M31,'IDC-VIC'!M31),NA())</f>
        <v/>
      </c>
      <c r="AK20" s="22">
        <f>IF(OR(CHOOSE($X$4,'National'!D31,'NSW-1'!D31,'VIC-1'!D31,'QLD-1'!D31,'NSW-2'!D31,'VIC-2'!D31,'QLD-2'!D31,'SA-1'!D31,'WA-1'!D31,'IDC-NSW'!D31,'IDC-VIC'!D31)="Forecast",$AA20=LastActual),CHOOSE($X$4,'National'!M31,'NSW-1'!M31,'VIC-1'!M31,'QLD-1'!M31,'NSW-2'!M31,'VIC-2'!M31,'QLD-2'!M31,'SA-1'!M31,'WA-1'!M31,'IDC-NSW'!M31,'IDC-VIC'!M31),NA())</f>
        <v/>
      </c>
      <c r="AL20" s="8">
        <f>IF(CHOOSE($X$4,'National'!D31,'NSW-1'!D31,'VIC-1'!D31,'QLD-1'!D31,'NSW-2'!D31,'VIC-2'!D31,'QLD-2'!D31,'SA-1'!D31,'WA-1'!D31,'IDC-NSW'!D31,'IDC-VIC'!D31)="Actual",CHOOSE($X$4,'National'!P31,'NSW-1'!P31,'VIC-1'!P31,'QLD-1'!P31,'NSW-2'!P31,'VIC-2'!P31,'QLD-2'!P31,'SA-1'!P31,'WA-1'!P31,'IDC-NSW'!P31,'IDC-VIC'!P31),NA())</f>
        <v/>
      </c>
      <c r="AM20" s="8">
        <f>IF(OR(CHOOSE($X$4,'National'!D31,'NSW-1'!D31,'VIC-1'!D31,'QLD-1'!D31,'NSW-2'!D31,'VIC-2'!D31,'QLD-2'!D31,'SA-1'!D31,'WA-1'!D31,'IDC-NSW'!D31,'IDC-VIC'!D31)="Forecast",$AA20=LastActual),CHOOSE($X$4,'National'!P31,'NSW-1'!P31,'VIC-1'!P31,'QLD-1'!P31,'NSW-2'!P31,'VIC-2'!P31,'QLD-2'!P31,'SA-1'!P31,'WA-1'!P31,'IDC-NSW'!P31,'IDC-VIC'!P31),NA())</f>
        <v/>
      </c>
    </row>
    <row r="21">
      <c r="AA21" s="9" t="n">
        <v>46174</v>
      </c>
      <c r="AB21" s="19">
        <f>IF(CHOOSE($X$4,'National'!D32,'NSW-1'!D32,'VIC-1'!D32,'QLD-1'!D32,'NSW-2'!D32,'VIC-2'!D32,'QLD-2'!D32,'SA-1'!D32,'WA-1'!D32,'IDC-NSW'!D32,'IDC-VIC'!D32)="Actual",CHOOSE($X$4,'National'!J32,'NSW-1'!J32,'VIC-1'!J32,'QLD-1'!J32,'NSW-2'!J32,'VIC-2'!J32,'QLD-2'!J32,'SA-1'!J32,'WA-1'!J32,'IDC-NSW'!J32,'IDC-VIC'!J32),NA())</f>
        <v/>
      </c>
      <c r="AC21" s="19">
        <f>IF(OR(CHOOSE($X$4,'National'!D32,'NSW-1'!D32,'VIC-1'!D32,'QLD-1'!D32,'NSW-2'!D32,'VIC-2'!D32,'QLD-2'!D32,'SA-1'!D32,'WA-1'!D32,'IDC-NSW'!D32,'IDC-VIC'!D32)="Forecast",$AA21=LastActual),CHOOSE($X$4,'National'!J32,'NSW-1'!J32,'VIC-1'!J32,'QLD-1'!J32,'NSW-2'!J32,'VIC-2'!J32,'QLD-2'!J32,'SA-1'!J32,'WA-1'!J32,'IDC-NSW'!J32,'IDC-VIC'!J32),NA())</f>
        <v/>
      </c>
      <c r="AD21" s="10">
        <f>IF(CHOOSE($X$4,'National'!D32,'NSW-1'!D32,'VIC-1'!D32,'QLD-1'!D32,'NSW-2'!D32,'VIC-2'!D32,'QLD-2'!D32,'SA-1'!D32,'WA-1'!D32,'IDC-NSW'!D32,'IDC-VIC'!D32)="Actual",CHOOSE($X$4,'National'!G32,'NSW-1'!G32,'VIC-1'!G32,'QLD-1'!G32,'NSW-2'!G32,'VIC-2'!G32,'QLD-2'!G32,'SA-1'!G32,'WA-1'!G32,'IDC-NSW'!G32,'IDC-VIC'!G32),NA())</f>
        <v/>
      </c>
      <c r="AE21" s="10">
        <f>IF(OR(CHOOSE($X$4,'National'!D32,'NSW-1'!D32,'VIC-1'!D32,'QLD-1'!D32,'NSW-2'!D32,'VIC-2'!D32,'QLD-2'!D32,'SA-1'!D32,'WA-1'!D32,'IDC-NSW'!D32,'IDC-VIC'!D32)="Forecast",$AA21=LastActual),CHOOSE($X$4,'National'!G32,'NSW-1'!G32,'VIC-1'!G32,'QLD-1'!G32,'NSW-2'!G32,'VIC-2'!G32,'QLD-2'!G32,'SA-1'!G32,'WA-1'!G32,'IDC-NSW'!G32,'IDC-VIC'!G32),NA())</f>
        <v/>
      </c>
      <c r="AF21" s="20">
        <f>IF(CHOOSE($X$4,'National'!D32,'NSW-1'!D32,'VIC-1'!D32,'QLD-1'!D32,'NSW-2'!D32,'VIC-2'!D32,'QLD-2'!D32,'SA-1'!D32,'WA-1'!D32,'IDC-NSW'!D32,'IDC-VIC'!D32)="Actual",CHOOSE($X$4,'National'!K32,'NSW-1'!K32,'VIC-1'!K32,'QLD-1'!K32,'NSW-2'!K32,'VIC-2'!K32,'QLD-2'!K32,'SA-1'!K32,'WA-1'!K32,'IDC-NSW'!K32,'IDC-VIC'!K32),NA())</f>
        <v/>
      </c>
      <c r="AG21" s="20">
        <f>IF(OR(CHOOSE($X$4,'National'!D32,'NSW-1'!D32,'VIC-1'!D32,'QLD-1'!D32,'NSW-2'!D32,'VIC-2'!D32,'QLD-2'!D32,'SA-1'!D32,'WA-1'!D32,'IDC-NSW'!D32,'IDC-VIC'!D32)="Forecast",$AA21=LastActual),CHOOSE($X$4,'National'!K32,'NSW-1'!K32,'VIC-1'!K32,'QLD-1'!K32,'NSW-2'!K32,'VIC-2'!K32,'QLD-2'!K32,'SA-1'!K32,'WA-1'!K32,'IDC-NSW'!K32,'IDC-VIC'!K32),NA())</f>
        <v/>
      </c>
      <c r="AH21" s="21">
        <f>IF(CHOOSE($X$4,'National'!D32,'NSW-1'!D32,'VIC-1'!D32,'QLD-1'!D32,'NSW-2'!D32,'VIC-2'!D32,'QLD-2'!D32,'SA-1'!D32,'WA-1'!D32,'IDC-NSW'!D32,'IDC-VIC'!D32)="Actual",CHOOSE($X$4,'National'!L32,'NSW-1'!L32,'VIC-1'!L32,'QLD-1'!L32,'NSW-2'!L32,'VIC-2'!L32,'QLD-2'!L32,'SA-1'!L32,'WA-1'!L32,'IDC-NSW'!L32,'IDC-VIC'!L32),NA())</f>
        <v/>
      </c>
      <c r="AI21" s="21">
        <f>IF(OR(CHOOSE($X$4,'National'!D32,'NSW-1'!D32,'VIC-1'!D32,'QLD-1'!D32,'NSW-2'!D32,'VIC-2'!D32,'QLD-2'!D32,'SA-1'!D32,'WA-1'!D32,'IDC-NSW'!D32,'IDC-VIC'!D32)="Forecast",$AA21=LastActual),CHOOSE($X$4,'National'!L32,'NSW-1'!L32,'VIC-1'!L32,'QLD-1'!L32,'NSW-2'!L32,'VIC-2'!L32,'QLD-2'!L32,'SA-1'!L32,'WA-1'!L32,'IDC-NSW'!L32,'IDC-VIC'!L32),NA())</f>
        <v/>
      </c>
      <c r="AJ21" s="22">
        <f>IF(CHOOSE($X$4,'National'!D32,'NSW-1'!D32,'VIC-1'!D32,'QLD-1'!D32,'NSW-2'!D32,'VIC-2'!D32,'QLD-2'!D32,'SA-1'!D32,'WA-1'!D32,'IDC-NSW'!D32,'IDC-VIC'!D32)="Actual",CHOOSE($X$4,'National'!M32,'NSW-1'!M32,'VIC-1'!M32,'QLD-1'!M32,'NSW-2'!M32,'VIC-2'!M32,'QLD-2'!M32,'SA-1'!M32,'WA-1'!M32,'IDC-NSW'!M32,'IDC-VIC'!M32),NA())</f>
        <v/>
      </c>
      <c r="AK21" s="22">
        <f>IF(OR(CHOOSE($X$4,'National'!D32,'NSW-1'!D32,'VIC-1'!D32,'QLD-1'!D32,'NSW-2'!D32,'VIC-2'!D32,'QLD-2'!D32,'SA-1'!D32,'WA-1'!D32,'IDC-NSW'!D32,'IDC-VIC'!D32)="Forecast",$AA21=LastActual),CHOOSE($X$4,'National'!M32,'NSW-1'!M32,'VIC-1'!M32,'QLD-1'!M32,'NSW-2'!M32,'VIC-2'!M32,'QLD-2'!M32,'SA-1'!M32,'WA-1'!M32,'IDC-NSW'!M32,'IDC-VIC'!M32),NA())</f>
        <v/>
      </c>
      <c r="AL21" s="8">
        <f>IF(CHOOSE($X$4,'National'!D32,'NSW-1'!D32,'VIC-1'!D32,'QLD-1'!D32,'NSW-2'!D32,'VIC-2'!D32,'QLD-2'!D32,'SA-1'!D32,'WA-1'!D32,'IDC-NSW'!D32,'IDC-VIC'!D32)="Actual",CHOOSE($X$4,'National'!P32,'NSW-1'!P32,'VIC-1'!P32,'QLD-1'!P32,'NSW-2'!P32,'VIC-2'!P32,'QLD-2'!P32,'SA-1'!P32,'WA-1'!P32,'IDC-NSW'!P32,'IDC-VIC'!P32),NA())</f>
        <v/>
      </c>
      <c r="AM21" s="8">
        <f>IF(OR(CHOOSE($X$4,'National'!D32,'NSW-1'!D32,'VIC-1'!D32,'QLD-1'!D32,'NSW-2'!D32,'VIC-2'!D32,'QLD-2'!D32,'SA-1'!D32,'WA-1'!D32,'IDC-NSW'!D32,'IDC-VIC'!D32)="Forecast",$AA21=LastActual),CHOOSE($X$4,'National'!P32,'NSW-1'!P32,'VIC-1'!P32,'QLD-1'!P32,'NSW-2'!P32,'VIC-2'!P32,'QLD-2'!P32,'SA-1'!P32,'WA-1'!P32,'IDC-NSW'!P32,'IDC-VIC'!P32),NA())</f>
        <v/>
      </c>
    </row>
    <row r="22">
      <c r="AA22" s="9" t="n">
        <v>46204</v>
      </c>
      <c r="AB22" s="19">
        <f>IF(CHOOSE($X$4,'National'!D33,'NSW-1'!D33,'VIC-1'!D33,'QLD-1'!D33,'NSW-2'!D33,'VIC-2'!D33,'QLD-2'!D33,'SA-1'!D33,'WA-1'!D33,'IDC-NSW'!D33,'IDC-VIC'!D33)="Actual",CHOOSE($X$4,'National'!J33,'NSW-1'!J33,'VIC-1'!J33,'QLD-1'!J33,'NSW-2'!J33,'VIC-2'!J33,'QLD-2'!J33,'SA-1'!J33,'WA-1'!J33,'IDC-NSW'!J33,'IDC-VIC'!J33),NA())</f>
        <v/>
      </c>
      <c r="AC22" s="19">
        <f>IF(OR(CHOOSE($X$4,'National'!D33,'NSW-1'!D33,'VIC-1'!D33,'QLD-1'!D33,'NSW-2'!D33,'VIC-2'!D33,'QLD-2'!D33,'SA-1'!D33,'WA-1'!D33,'IDC-NSW'!D33,'IDC-VIC'!D33)="Forecast",$AA22=LastActual),CHOOSE($X$4,'National'!J33,'NSW-1'!J33,'VIC-1'!J33,'QLD-1'!J33,'NSW-2'!J33,'VIC-2'!J33,'QLD-2'!J33,'SA-1'!J33,'WA-1'!J33,'IDC-NSW'!J33,'IDC-VIC'!J33),NA())</f>
        <v/>
      </c>
      <c r="AD22" s="10">
        <f>IF(CHOOSE($X$4,'National'!D33,'NSW-1'!D33,'VIC-1'!D33,'QLD-1'!D33,'NSW-2'!D33,'VIC-2'!D33,'QLD-2'!D33,'SA-1'!D33,'WA-1'!D33,'IDC-NSW'!D33,'IDC-VIC'!D33)="Actual",CHOOSE($X$4,'National'!G33,'NSW-1'!G33,'VIC-1'!G33,'QLD-1'!G33,'NSW-2'!G33,'VIC-2'!G33,'QLD-2'!G33,'SA-1'!G33,'WA-1'!G33,'IDC-NSW'!G33,'IDC-VIC'!G33),NA())</f>
        <v/>
      </c>
      <c r="AE22" s="10">
        <f>IF(OR(CHOOSE($X$4,'National'!D33,'NSW-1'!D33,'VIC-1'!D33,'QLD-1'!D33,'NSW-2'!D33,'VIC-2'!D33,'QLD-2'!D33,'SA-1'!D33,'WA-1'!D33,'IDC-NSW'!D33,'IDC-VIC'!D33)="Forecast",$AA22=LastActual),CHOOSE($X$4,'National'!G33,'NSW-1'!G33,'VIC-1'!G33,'QLD-1'!G33,'NSW-2'!G33,'VIC-2'!G33,'QLD-2'!G33,'SA-1'!G33,'WA-1'!G33,'IDC-NSW'!G33,'IDC-VIC'!G33),NA())</f>
        <v/>
      </c>
      <c r="AF22" s="20">
        <f>IF(CHOOSE($X$4,'National'!D33,'NSW-1'!D33,'VIC-1'!D33,'QLD-1'!D33,'NSW-2'!D33,'VIC-2'!D33,'QLD-2'!D33,'SA-1'!D33,'WA-1'!D33,'IDC-NSW'!D33,'IDC-VIC'!D33)="Actual",CHOOSE($X$4,'National'!K33,'NSW-1'!K33,'VIC-1'!K33,'QLD-1'!K33,'NSW-2'!K33,'VIC-2'!K33,'QLD-2'!K33,'SA-1'!K33,'WA-1'!K33,'IDC-NSW'!K33,'IDC-VIC'!K33),NA())</f>
        <v/>
      </c>
      <c r="AG22" s="20">
        <f>IF(OR(CHOOSE($X$4,'National'!D33,'NSW-1'!D33,'VIC-1'!D33,'QLD-1'!D33,'NSW-2'!D33,'VIC-2'!D33,'QLD-2'!D33,'SA-1'!D33,'WA-1'!D33,'IDC-NSW'!D33,'IDC-VIC'!D33)="Forecast",$AA22=LastActual),CHOOSE($X$4,'National'!K33,'NSW-1'!K33,'VIC-1'!K33,'QLD-1'!K33,'NSW-2'!K33,'VIC-2'!K33,'QLD-2'!K33,'SA-1'!K33,'WA-1'!K33,'IDC-NSW'!K33,'IDC-VIC'!K33),NA())</f>
        <v/>
      </c>
      <c r="AH22" s="21">
        <f>IF(CHOOSE($X$4,'National'!D33,'NSW-1'!D33,'VIC-1'!D33,'QLD-1'!D33,'NSW-2'!D33,'VIC-2'!D33,'QLD-2'!D33,'SA-1'!D33,'WA-1'!D33,'IDC-NSW'!D33,'IDC-VIC'!D33)="Actual",CHOOSE($X$4,'National'!L33,'NSW-1'!L33,'VIC-1'!L33,'QLD-1'!L33,'NSW-2'!L33,'VIC-2'!L33,'QLD-2'!L33,'SA-1'!L33,'WA-1'!L33,'IDC-NSW'!L33,'IDC-VIC'!L33),NA())</f>
        <v/>
      </c>
      <c r="AI22" s="21">
        <f>IF(OR(CHOOSE($X$4,'National'!D33,'NSW-1'!D33,'VIC-1'!D33,'QLD-1'!D33,'NSW-2'!D33,'VIC-2'!D33,'QLD-2'!D33,'SA-1'!D33,'WA-1'!D33,'IDC-NSW'!D33,'IDC-VIC'!D33)="Forecast",$AA22=LastActual),CHOOSE($X$4,'National'!L33,'NSW-1'!L33,'VIC-1'!L33,'QLD-1'!L33,'NSW-2'!L33,'VIC-2'!L33,'QLD-2'!L33,'SA-1'!L33,'WA-1'!L33,'IDC-NSW'!L33,'IDC-VIC'!L33),NA())</f>
        <v/>
      </c>
      <c r="AJ22" s="22">
        <f>IF(CHOOSE($X$4,'National'!D33,'NSW-1'!D33,'VIC-1'!D33,'QLD-1'!D33,'NSW-2'!D33,'VIC-2'!D33,'QLD-2'!D33,'SA-1'!D33,'WA-1'!D33,'IDC-NSW'!D33,'IDC-VIC'!D33)="Actual",CHOOSE($X$4,'National'!M33,'NSW-1'!M33,'VIC-1'!M33,'QLD-1'!M33,'NSW-2'!M33,'VIC-2'!M33,'QLD-2'!M33,'SA-1'!M33,'WA-1'!M33,'IDC-NSW'!M33,'IDC-VIC'!M33),NA())</f>
        <v/>
      </c>
      <c r="AK22" s="22">
        <f>IF(OR(CHOOSE($X$4,'National'!D33,'NSW-1'!D33,'VIC-1'!D33,'QLD-1'!D33,'NSW-2'!D33,'VIC-2'!D33,'QLD-2'!D33,'SA-1'!D33,'WA-1'!D33,'IDC-NSW'!D33,'IDC-VIC'!D33)="Forecast",$AA22=LastActual),CHOOSE($X$4,'National'!M33,'NSW-1'!M33,'VIC-1'!M33,'QLD-1'!M33,'NSW-2'!M33,'VIC-2'!M33,'QLD-2'!M33,'SA-1'!M33,'WA-1'!M33,'IDC-NSW'!M33,'IDC-VIC'!M33),NA())</f>
        <v/>
      </c>
      <c r="AL22" s="8">
        <f>IF(CHOOSE($X$4,'National'!D33,'NSW-1'!D33,'VIC-1'!D33,'QLD-1'!D33,'NSW-2'!D33,'VIC-2'!D33,'QLD-2'!D33,'SA-1'!D33,'WA-1'!D33,'IDC-NSW'!D33,'IDC-VIC'!D33)="Actual",CHOOSE($X$4,'National'!P33,'NSW-1'!P33,'VIC-1'!P33,'QLD-1'!P33,'NSW-2'!P33,'VIC-2'!P33,'QLD-2'!P33,'SA-1'!P33,'WA-1'!P33,'IDC-NSW'!P33,'IDC-VIC'!P33),NA())</f>
        <v/>
      </c>
      <c r="AM22" s="8">
        <f>IF(OR(CHOOSE($X$4,'National'!D33,'NSW-1'!D33,'VIC-1'!D33,'QLD-1'!D33,'NSW-2'!D33,'VIC-2'!D33,'QLD-2'!D33,'SA-1'!D33,'WA-1'!D33,'IDC-NSW'!D33,'IDC-VIC'!D33)="Forecast",$AA22=LastActual),CHOOSE($X$4,'National'!P33,'NSW-1'!P33,'VIC-1'!P33,'QLD-1'!P33,'NSW-2'!P33,'VIC-2'!P33,'QLD-2'!P33,'SA-1'!P33,'WA-1'!P33,'IDC-NSW'!P33,'IDC-VIC'!P33),NA())</f>
        <v/>
      </c>
    </row>
    <row r="23">
      <c r="AA23" s="9" t="n">
        <v>46235</v>
      </c>
      <c r="AB23" s="19">
        <f>IF(CHOOSE($X$4,'National'!D34,'NSW-1'!D34,'VIC-1'!D34,'QLD-1'!D34,'NSW-2'!D34,'VIC-2'!D34,'QLD-2'!D34,'SA-1'!D34,'WA-1'!D34,'IDC-NSW'!D34,'IDC-VIC'!D34)="Actual",CHOOSE($X$4,'National'!J34,'NSW-1'!J34,'VIC-1'!J34,'QLD-1'!J34,'NSW-2'!J34,'VIC-2'!J34,'QLD-2'!J34,'SA-1'!J34,'WA-1'!J34,'IDC-NSW'!J34,'IDC-VIC'!J34),NA())</f>
        <v/>
      </c>
      <c r="AC23" s="19">
        <f>IF(OR(CHOOSE($X$4,'National'!D34,'NSW-1'!D34,'VIC-1'!D34,'QLD-1'!D34,'NSW-2'!D34,'VIC-2'!D34,'QLD-2'!D34,'SA-1'!D34,'WA-1'!D34,'IDC-NSW'!D34,'IDC-VIC'!D34)="Forecast",$AA23=LastActual),CHOOSE($X$4,'National'!J34,'NSW-1'!J34,'VIC-1'!J34,'QLD-1'!J34,'NSW-2'!J34,'VIC-2'!J34,'QLD-2'!J34,'SA-1'!J34,'WA-1'!J34,'IDC-NSW'!J34,'IDC-VIC'!J34),NA())</f>
        <v/>
      </c>
      <c r="AD23" s="10">
        <f>IF(CHOOSE($X$4,'National'!D34,'NSW-1'!D34,'VIC-1'!D34,'QLD-1'!D34,'NSW-2'!D34,'VIC-2'!D34,'QLD-2'!D34,'SA-1'!D34,'WA-1'!D34,'IDC-NSW'!D34,'IDC-VIC'!D34)="Actual",CHOOSE($X$4,'National'!G34,'NSW-1'!G34,'VIC-1'!G34,'QLD-1'!G34,'NSW-2'!G34,'VIC-2'!G34,'QLD-2'!G34,'SA-1'!G34,'WA-1'!G34,'IDC-NSW'!G34,'IDC-VIC'!G34),NA())</f>
        <v/>
      </c>
      <c r="AE23" s="10">
        <f>IF(OR(CHOOSE($X$4,'National'!D34,'NSW-1'!D34,'VIC-1'!D34,'QLD-1'!D34,'NSW-2'!D34,'VIC-2'!D34,'QLD-2'!D34,'SA-1'!D34,'WA-1'!D34,'IDC-NSW'!D34,'IDC-VIC'!D34)="Forecast",$AA23=LastActual),CHOOSE($X$4,'National'!G34,'NSW-1'!G34,'VIC-1'!G34,'QLD-1'!G34,'NSW-2'!G34,'VIC-2'!G34,'QLD-2'!G34,'SA-1'!G34,'WA-1'!G34,'IDC-NSW'!G34,'IDC-VIC'!G34),NA())</f>
        <v/>
      </c>
      <c r="AF23" s="20">
        <f>IF(CHOOSE($X$4,'National'!D34,'NSW-1'!D34,'VIC-1'!D34,'QLD-1'!D34,'NSW-2'!D34,'VIC-2'!D34,'QLD-2'!D34,'SA-1'!D34,'WA-1'!D34,'IDC-NSW'!D34,'IDC-VIC'!D34)="Actual",CHOOSE($X$4,'National'!K34,'NSW-1'!K34,'VIC-1'!K34,'QLD-1'!K34,'NSW-2'!K34,'VIC-2'!K34,'QLD-2'!K34,'SA-1'!K34,'WA-1'!K34,'IDC-NSW'!K34,'IDC-VIC'!K34),NA())</f>
        <v/>
      </c>
      <c r="AG23" s="20">
        <f>IF(OR(CHOOSE($X$4,'National'!D34,'NSW-1'!D34,'VIC-1'!D34,'QLD-1'!D34,'NSW-2'!D34,'VIC-2'!D34,'QLD-2'!D34,'SA-1'!D34,'WA-1'!D34,'IDC-NSW'!D34,'IDC-VIC'!D34)="Forecast",$AA23=LastActual),CHOOSE($X$4,'National'!K34,'NSW-1'!K34,'VIC-1'!K34,'QLD-1'!K34,'NSW-2'!K34,'VIC-2'!K34,'QLD-2'!K34,'SA-1'!K34,'WA-1'!K34,'IDC-NSW'!K34,'IDC-VIC'!K34),NA())</f>
        <v/>
      </c>
      <c r="AH23" s="21">
        <f>IF(CHOOSE($X$4,'National'!D34,'NSW-1'!D34,'VIC-1'!D34,'QLD-1'!D34,'NSW-2'!D34,'VIC-2'!D34,'QLD-2'!D34,'SA-1'!D34,'WA-1'!D34,'IDC-NSW'!D34,'IDC-VIC'!D34)="Actual",CHOOSE($X$4,'National'!L34,'NSW-1'!L34,'VIC-1'!L34,'QLD-1'!L34,'NSW-2'!L34,'VIC-2'!L34,'QLD-2'!L34,'SA-1'!L34,'WA-1'!L34,'IDC-NSW'!L34,'IDC-VIC'!L34),NA())</f>
        <v/>
      </c>
      <c r="AI23" s="21">
        <f>IF(OR(CHOOSE($X$4,'National'!D34,'NSW-1'!D34,'VIC-1'!D34,'QLD-1'!D34,'NSW-2'!D34,'VIC-2'!D34,'QLD-2'!D34,'SA-1'!D34,'WA-1'!D34,'IDC-NSW'!D34,'IDC-VIC'!D34)="Forecast",$AA23=LastActual),CHOOSE($X$4,'National'!L34,'NSW-1'!L34,'VIC-1'!L34,'QLD-1'!L34,'NSW-2'!L34,'VIC-2'!L34,'QLD-2'!L34,'SA-1'!L34,'WA-1'!L34,'IDC-NSW'!L34,'IDC-VIC'!L34),NA())</f>
        <v/>
      </c>
      <c r="AJ23" s="22">
        <f>IF(CHOOSE($X$4,'National'!D34,'NSW-1'!D34,'VIC-1'!D34,'QLD-1'!D34,'NSW-2'!D34,'VIC-2'!D34,'QLD-2'!D34,'SA-1'!D34,'WA-1'!D34,'IDC-NSW'!D34,'IDC-VIC'!D34)="Actual",CHOOSE($X$4,'National'!M34,'NSW-1'!M34,'VIC-1'!M34,'QLD-1'!M34,'NSW-2'!M34,'VIC-2'!M34,'QLD-2'!M34,'SA-1'!M34,'WA-1'!M34,'IDC-NSW'!M34,'IDC-VIC'!M34),NA())</f>
        <v/>
      </c>
      <c r="AK23" s="22">
        <f>IF(OR(CHOOSE($X$4,'National'!D34,'NSW-1'!D34,'VIC-1'!D34,'QLD-1'!D34,'NSW-2'!D34,'VIC-2'!D34,'QLD-2'!D34,'SA-1'!D34,'WA-1'!D34,'IDC-NSW'!D34,'IDC-VIC'!D34)="Forecast",$AA23=LastActual),CHOOSE($X$4,'National'!M34,'NSW-1'!M34,'VIC-1'!M34,'QLD-1'!M34,'NSW-2'!M34,'VIC-2'!M34,'QLD-2'!M34,'SA-1'!M34,'WA-1'!M34,'IDC-NSW'!M34,'IDC-VIC'!M34),NA())</f>
        <v/>
      </c>
      <c r="AL23" s="8">
        <f>IF(CHOOSE($X$4,'National'!D34,'NSW-1'!D34,'VIC-1'!D34,'QLD-1'!D34,'NSW-2'!D34,'VIC-2'!D34,'QLD-2'!D34,'SA-1'!D34,'WA-1'!D34,'IDC-NSW'!D34,'IDC-VIC'!D34)="Actual",CHOOSE($X$4,'National'!P34,'NSW-1'!P34,'VIC-1'!P34,'QLD-1'!P34,'NSW-2'!P34,'VIC-2'!P34,'QLD-2'!P34,'SA-1'!P34,'WA-1'!P34,'IDC-NSW'!P34,'IDC-VIC'!P34),NA())</f>
        <v/>
      </c>
      <c r="AM23" s="8">
        <f>IF(OR(CHOOSE($X$4,'National'!D34,'NSW-1'!D34,'VIC-1'!D34,'QLD-1'!D34,'NSW-2'!D34,'VIC-2'!D34,'QLD-2'!D34,'SA-1'!D34,'WA-1'!D34,'IDC-NSW'!D34,'IDC-VIC'!D34)="Forecast",$AA23=LastActual),CHOOSE($X$4,'National'!P34,'NSW-1'!P34,'VIC-1'!P34,'QLD-1'!P34,'NSW-2'!P34,'VIC-2'!P34,'QLD-2'!P34,'SA-1'!P34,'WA-1'!P34,'IDC-NSW'!P34,'IDC-VIC'!P34),NA())</f>
        <v/>
      </c>
    </row>
    <row r="24">
      <c r="AA24" s="9" t="n">
        <v>46266</v>
      </c>
      <c r="AB24" s="19">
        <f>IF(CHOOSE($X$4,'National'!D35,'NSW-1'!D35,'VIC-1'!D35,'QLD-1'!D35,'NSW-2'!D35,'VIC-2'!D35,'QLD-2'!D35,'SA-1'!D35,'WA-1'!D35,'IDC-NSW'!D35,'IDC-VIC'!D35)="Actual",CHOOSE($X$4,'National'!J35,'NSW-1'!J35,'VIC-1'!J35,'QLD-1'!J35,'NSW-2'!J35,'VIC-2'!J35,'QLD-2'!J35,'SA-1'!J35,'WA-1'!J35,'IDC-NSW'!J35,'IDC-VIC'!J35),NA())</f>
        <v/>
      </c>
      <c r="AC24" s="19">
        <f>IF(OR(CHOOSE($X$4,'National'!D35,'NSW-1'!D35,'VIC-1'!D35,'QLD-1'!D35,'NSW-2'!D35,'VIC-2'!D35,'QLD-2'!D35,'SA-1'!D35,'WA-1'!D35,'IDC-NSW'!D35,'IDC-VIC'!D35)="Forecast",$AA24=LastActual),CHOOSE($X$4,'National'!J35,'NSW-1'!J35,'VIC-1'!J35,'QLD-1'!J35,'NSW-2'!J35,'VIC-2'!J35,'QLD-2'!J35,'SA-1'!J35,'WA-1'!J35,'IDC-NSW'!J35,'IDC-VIC'!J35),NA())</f>
        <v/>
      </c>
      <c r="AD24" s="10">
        <f>IF(CHOOSE($X$4,'National'!D35,'NSW-1'!D35,'VIC-1'!D35,'QLD-1'!D35,'NSW-2'!D35,'VIC-2'!D35,'QLD-2'!D35,'SA-1'!D35,'WA-1'!D35,'IDC-NSW'!D35,'IDC-VIC'!D35)="Actual",CHOOSE($X$4,'National'!G35,'NSW-1'!G35,'VIC-1'!G35,'QLD-1'!G35,'NSW-2'!G35,'VIC-2'!G35,'QLD-2'!G35,'SA-1'!G35,'WA-1'!G35,'IDC-NSW'!G35,'IDC-VIC'!G35),NA())</f>
        <v/>
      </c>
      <c r="AE24" s="10">
        <f>IF(OR(CHOOSE($X$4,'National'!D35,'NSW-1'!D35,'VIC-1'!D35,'QLD-1'!D35,'NSW-2'!D35,'VIC-2'!D35,'QLD-2'!D35,'SA-1'!D35,'WA-1'!D35,'IDC-NSW'!D35,'IDC-VIC'!D35)="Forecast",$AA24=LastActual),CHOOSE($X$4,'National'!G35,'NSW-1'!G35,'VIC-1'!G35,'QLD-1'!G35,'NSW-2'!G35,'VIC-2'!G35,'QLD-2'!G35,'SA-1'!G35,'WA-1'!G35,'IDC-NSW'!G35,'IDC-VIC'!G35),NA())</f>
        <v/>
      </c>
      <c r="AF24" s="20">
        <f>IF(CHOOSE($X$4,'National'!D35,'NSW-1'!D35,'VIC-1'!D35,'QLD-1'!D35,'NSW-2'!D35,'VIC-2'!D35,'QLD-2'!D35,'SA-1'!D35,'WA-1'!D35,'IDC-NSW'!D35,'IDC-VIC'!D35)="Actual",CHOOSE($X$4,'National'!K35,'NSW-1'!K35,'VIC-1'!K35,'QLD-1'!K35,'NSW-2'!K35,'VIC-2'!K35,'QLD-2'!K35,'SA-1'!K35,'WA-1'!K35,'IDC-NSW'!K35,'IDC-VIC'!K35),NA())</f>
        <v/>
      </c>
      <c r="AG24" s="20">
        <f>IF(OR(CHOOSE($X$4,'National'!D35,'NSW-1'!D35,'VIC-1'!D35,'QLD-1'!D35,'NSW-2'!D35,'VIC-2'!D35,'QLD-2'!D35,'SA-1'!D35,'WA-1'!D35,'IDC-NSW'!D35,'IDC-VIC'!D35)="Forecast",$AA24=LastActual),CHOOSE($X$4,'National'!K35,'NSW-1'!K35,'VIC-1'!K35,'QLD-1'!K35,'NSW-2'!K35,'VIC-2'!K35,'QLD-2'!K35,'SA-1'!K35,'WA-1'!K35,'IDC-NSW'!K35,'IDC-VIC'!K35),NA())</f>
        <v/>
      </c>
      <c r="AH24" s="21">
        <f>IF(CHOOSE($X$4,'National'!D35,'NSW-1'!D35,'VIC-1'!D35,'QLD-1'!D35,'NSW-2'!D35,'VIC-2'!D35,'QLD-2'!D35,'SA-1'!D35,'WA-1'!D35,'IDC-NSW'!D35,'IDC-VIC'!D35)="Actual",CHOOSE($X$4,'National'!L35,'NSW-1'!L35,'VIC-1'!L35,'QLD-1'!L35,'NSW-2'!L35,'VIC-2'!L35,'QLD-2'!L35,'SA-1'!L35,'WA-1'!L35,'IDC-NSW'!L35,'IDC-VIC'!L35),NA())</f>
        <v/>
      </c>
      <c r="AI24" s="21">
        <f>IF(OR(CHOOSE($X$4,'National'!D35,'NSW-1'!D35,'VIC-1'!D35,'QLD-1'!D35,'NSW-2'!D35,'VIC-2'!D35,'QLD-2'!D35,'SA-1'!D35,'WA-1'!D35,'IDC-NSW'!D35,'IDC-VIC'!D35)="Forecast",$AA24=LastActual),CHOOSE($X$4,'National'!L35,'NSW-1'!L35,'VIC-1'!L35,'QLD-1'!L35,'NSW-2'!L35,'VIC-2'!L35,'QLD-2'!L35,'SA-1'!L35,'WA-1'!L35,'IDC-NSW'!L35,'IDC-VIC'!L35),NA())</f>
        <v/>
      </c>
      <c r="AJ24" s="22">
        <f>IF(CHOOSE($X$4,'National'!D35,'NSW-1'!D35,'VIC-1'!D35,'QLD-1'!D35,'NSW-2'!D35,'VIC-2'!D35,'QLD-2'!D35,'SA-1'!D35,'WA-1'!D35,'IDC-NSW'!D35,'IDC-VIC'!D35)="Actual",CHOOSE($X$4,'National'!M35,'NSW-1'!M35,'VIC-1'!M35,'QLD-1'!M35,'NSW-2'!M35,'VIC-2'!M35,'QLD-2'!M35,'SA-1'!M35,'WA-1'!M35,'IDC-NSW'!M35,'IDC-VIC'!M35),NA())</f>
        <v/>
      </c>
      <c r="AK24" s="22">
        <f>IF(OR(CHOOSE($X$4,'National'!D35,'NSW-1'!D35,'VIC-1'!D35,'QLD-1'!D35,'NSW-2'!D35,'VIC-2'!D35,'QLD-2'!D35,'SA-1'!D35,'WA-1'!D35,'IDC-NSW'!D35,'IDC-VIC'!D35)="Forecast",$AA24=LastActual),CHOOSE($X$4,'National'!M35,'NSW-1'!M35,'VIC-1'!M35,'QLD-1'!M35,'NSW-2'!M35,'VIC-2'!M35,'QLD-2'!M35,'SA-1'!M35,'WA-1'!M35,'IDC-NSW'!M35,'IDC-VIC'!M35),NA())</f>
        <v/>
      </c>
      <c r="AL24" s="8">
        <f>IF(CHOOSE($X$4,'National'!D35,'NSW-1'!D35,'VIC-1'!D35,'QLD-1'!D35,'NSW-2'!D35,'VIC-2'!D35,'QLD-2'!D35,'SA-1'!D35,'WA-1'!D35,'IDC-NSW'!D35,'IDC-VIC'!D35)="Actual",CHOOSE($X$4,'National'!P35,'NSW-1'!P35,'VIC-1'!P35,'QLD-1'!P35,'NSW-2'!P35,'VIC-2'!P35,'QLD-2'!P35,'SA-1'!P35,'WA-1'!P35,'IDC-NSW'!P35,'IDC-VIC'!P35),NA())</f>
        <v/>
      </c>
      <c r="AM24" s="8">
        <f>IF(OR(CHOOSE($X$4,'National'!D35,'NSW-1'!D35,'VIC-1'!D35,'QLD-1'!D35,'NSW-2'!D35,'VIC-2'!D35,'QLD-2'!D35,'SA-1'!D35,'WA-1'!D35,'IDC-NSW'!D35,'IDC-VIC'!D35)="Forecast",$AA24=LastActual),CHOOSE($X$4,'National'!P35,'NSW-1'!P35,'VIC-1'!P35,'QLD-1'!P35,'NSW-2'!P35,'VIC-2'!P35,'QLD-2'!P35,'SA-1'!P35,'WA-1'!P35,'IDC-NSW'!P35,'IDC-VIC'!P35),NA())</f>
        <v/>
      </c>
    </row>
    <row r="25">
      <c r="AA25" s="9" t="n">
        <v>46296</v>
      </c>
      <c r="AB25" s="19">
        <f>IF(CHOOSE($X$4,'National'!D36,'NSW-1'!D36,'VIC-1'!D36,'QLD-1'!D36,'NSW-2'!D36,'VIC-2'!D36,'QLD-2'!D36,'SA-1'!D36,'WA-1'!D36,'IDC-NSW'!D36,'IDC-VIC'!D36)="Actual",CHOOSE($X$4,'National'!J36,'NSW-1'!J36,'VIC-1'!J36,'QLD-1'!J36,'NSW-2'!J36,'VIC-2'!J36,'QLD-2'!J36,'SA-1'!J36,'WA-1'!J36,'IDC-NSW'!J36,'IDC-VIC'!J36),NA())</f>
        <v/>
      </c>
      <c r="AC25" s="19">
        <f>IF(OR(CHOOSE($X$4,'National'!D36,'NSW-1'!D36,'VIC-1'!D36,'QLD-1'!D36,'NSW-2'!D36,'VIC-2'!D36,'QLD-2'!D36,'SA-1'!D36,'WA-1'!D36,'IDC-NSW'!D36,'IDC-VIC'!D36)="Forecast",$AA25=LastActual),CHOOSE($X$4,'National'!J36,'NSW-1'!J36,'VIC-1'!J36,'QLD-1'!J36,'NSW-2'!J36,'VIC-2'!J36,'QLD-2'!J36,'SA-1'!J36,'WA-1'!J36,'IDC-NSW'!J36,'IDC-VIC'!J36),NA())</f>
        <v/>
      </c>
      <c r="AD25" s="10">
        <f>IF(CHOOSE($X$4,'National'!D36,'NSW-1'!D36,'VIC-1'!D36,'QLD-1'!D36,'NSW-2'!D36,'VIC-2'!D36,'QLD-2'!D36,'SA-1'!D36,'WA-1'!D36,'IDC-NSW'!D36,'IDC-VIC'!D36)="Actual",CHOOSE($X$4,'National'!G36,'NSW-1'!G36,'VIC-1'!G36,'QLD-1'!G36,'NSW-2'!G36,'VIC-2'!G36,'QLD-2'!G36,'SA-1'!G36,'WA-1'!G36,'IDC-NSW'!G36,'IDC-VIC'!G36),NA())</f>
        <v/>
      </c>
      <c r="AE25" s="10">
        <f>IF(OR(CHOOSE($X$4,'National'!D36,'NSW-1'!D36,'VIC-1'!D36,'QLD-1'!D36,'NSW-2'!D36,'VIC-2'!D36,'QLD-2'!D36,'SA-1'!D36,'WA-1'!D36,'IDC-NSW'!D36,'IDC-VIC'!D36)="Forecast",$AA25=LastActual),CHOOSE($X$4,'National'!G36,'NSW-1'!G36,'VIC-1'!G36,'QLD-1'!G36,'NSW-2'!G36,'VIC-2'!G36,'QLD-2'!G36,'SA-1'!G36,'WA-1'!G36,'IDC-NSW'!G36,'IDC-VIC'!G36),NA())</f>
        <v/>
      </c>
      <c r="AF25" s="20">
        <f>IF(CHOOSE($X$4,'National'!D36,'NSW-1'!D36,'VIC-1'!D36,'QLD-1'!D36,'NSW-2'!D36,'VIC-2'!D36,'QLD-2'!D36,'SA-1'!D36,'WA-1'!D36,'IDC-NSW'!D36,'IDC-VIC'!D36)="Actual",CHOOSE($X$4,'National'!K36,'NSW-1'!K36,'VIC-1'!K36,'QLD-1'!K36,'NSW-2'!K36,'VIC-2'!K36,'QLD-2'!K36,'SA-1'!K36,'WA-1'!K36,'IDC-NSW'!K36,'IDC-VIC'!K36),NA())</f>
        <v/>
      </c>
      <c r="AG25" s="20">
        <f>IF(OR(CHOOSE($X$4,'National'!D36,'NSW-1'!D36,'VIC-1'!D36,'QLD-1'!D36,'NSW-2'!D36,'VIC-2'!D36,'QLD-2'!D36,'SA-1'!D36,'WA-1'!D36,'IDC-NSW'!D36,'IDC-VIC'!D36)="Forecast",$AA25=LastActual),CHOOSE($X$4,'National'!K36,'NSW-1'!K36,'VIC-1'!K36,'QLD-1'!K36,'NSW-2'!K36,'VIC-2'!K36,'QLD-2'!K36,'SA-1'!K36,'WA-1'!K36,'IDC-NSW'!K36,'IDC-VIC'!K36),NA())</f>
        <v/>
      </c>
      <c r="AH25" s="21">
        <f>IF(CHOOSE($X$4,'National'!D36,'NSW-1'!D36,'VIC-1'!D36,'QLD-1'!D36,'NSW-2'!D36,'VIC-2'!D36,'QLD-2'!D36,'SA-1'!D36,'WA-1'!D36,'IDC-NSW'!D36,'IDC-VIC'!D36)="Actual",CHOOSE($X$4,'National'!L36,'NSW-1'!L36,'VIC-1'!L36,'QLD-1'!L36,'NSW-2'!L36,'VIC-2'!L36,'QLD-2'!L36,'SA-1'!L36,'WA-1'!L36,'IDC-NSW'!L36,'IDC-VIC'!L36),NA())</f>
        <v/>
      </c>
      <c r="AI25" s="21">
        <f>IF(OR(CHOOSE($X$4,'National'!D36,'NSW-1'!D36,'VIC-1'!D36,'QLD-1'!D36,'NSW-2'!D36,'VIC-2'!D36,'QLD-2'!D36,'SA-1'!D36,'WA-1'!D36,'IDC-NSW'!D36,'IDC-VIC'!D36)="Forecast",$AA25=LastActual),CHOOSE($X$4,'National'!L36,'NSW-1'!L36,'VIC-1'!L36,'QLD-1'!L36,'NSW-2'!L36,'VIC-2'!L36,'QLD-2'!L36,'SA-1'!L36,'WA-1'!L36,'IDC-NSW'!L36,'IDC-VIC'!L36),NA())</f>
        <v/>
      </c>
      <c r="AJ25" s="22">
        <f>IF(CHOOSE($X$4,'National'!D36,'NSW-1'!D36,'VIC-1'!D36,'QLD-1'!D36,'NSW-2'!D36,'VIC-2'!D36,'QLD-2'!D36,'SA-1'!D36,'WA-1'!D36,'IDC-NSW'!D36,'IDC-VIC'!D36)="Actual",CHOOSE($X$4,'National'!M36,'NSW-1'!M36,'VIC-1'!M36,'QLD-1'!M36,'NSW-2'!M36,'VIC-2'!M36,'QLD-2'!M36,'SA-1'!M36,'WA-1'!M36,'IDC-NSW'!M36,'IDC-VIC'!M36),NA())</f>
        <v/>
      </c>
      <c r="AK25" s="22">
        <f>IF(OR(CHOOSE($X$4,'National'!D36,'NSW-1'!D36,'VIC-1'!D36,'QLD-1'!D36,'NSW-2'!D36,'VIC-2'!D36,'QLD-2'!D36,'SA-1'!D36,'WA-1'!D36,'IDC-NSW'!D36,'IDC-VIC'!D36)="Forecast",$AA25=LastActual),CHOOSE($X$4,'National'!M36,'NSW-1'!M36,'VIC-1'!M36,'QLD-1'!M36,'NSW-2'!M36,'VIC-2'!M36,'QLD-2'!M36,'SA-1'!M36,'WA-1'!M36,'IDC-NSW'!M36,'IDC-VIC'!M36),NA())</f>
        <v/>
      </c>
      <c r="AL25" s="8">
        <f>IF(CHOOSE($X$4,'National'!D36,'NSW-1'!D36,'VIC-1'!D36,'QLD-1'!D36,'NSW-2'!D36,'VIC-2'!D36,'QLD-2'!D36,'SA-1'!D36,'WA-1'!D36,'IDC-NSW'!D36,'IDC-VIC'!D36)="Actual",CHOOSE($X$4,'National'!P36,'NSW-1'!P36,'VIC-1'!P36,'QLD-1'!P36,'NSW-2'!P36,'VIC-2'!P36,'QLD-2'!P36,'SA-1'!P36,'WA-1'!P36,'IDC-NSW'!P36,'IDC-VIC'!P36),NA())</f>
        <v/>
      </c>
      <c r="AM25" s="8">
        <f>IF(OR(CHOOSE($X$4,'National'!D36,'NSW-1'!D36,'VIC-1'!D36,'QLD-1'!D36,'NSW-2'!D36,'VIC-2'!D36,'QLD-2'!D36,'SA-1'!D36,'WA-1'!D36,'IDC-NSW'!D36,'IDC-VIC'!D36)="Forecast",$AA25=LastActual),CHOOSE($X$4,'National'!P36,'NSW-1'!P36,'VIC-1'!P36,'QLD-1'!P36,'NSW-2'!P36,'VIC-2'!P36,'QLD-2'!P36,'SA-1'!P36,'WA-1'!P36,'IDC-NSW'!P36,'IDC-VIC'!P36),NA())</f>
        <v/>
      </c>
    </row>
    <row r="26">
      <c r="AA26" s="9" t="n">
        <v>46327</v>
      </c>
      <c r="AB26" s="19">
        <f>IF(CHOOSE($X$4,'National'!D37,'NSW-1'!D37,'VIC-1'!D37,'QLD-1'!D37,'NSW-2'!D37,'VIC-2'!D37,'QLD-2'!D37,'SA-1'!D37,'WA-1'!D37,'IDC-NSW'!D37,'IDC-VIC'!D37)="Actual",CHOOSE($X$4,'National'!J37,'NSW-1'!J37,'VIC-1'!J37,'QLD-1'!J37,'NSW-2'!J37,'VIC-2'!J37,'QLD-2'!J37,'SA-1'!J37,'WA-1'!J37,'IDC-NSW'!J37,'IDC-VIC'!J37),NA())</f>
        <v/>
      </c>
      <c r="AC26" s="19">
        <f>IF(OR(CHOOSE($X$4,'National'!D37,'NSW-1'!D37,'VIC-1'!D37,'QLD-1'!D37,'NSW-2'!D37,'VIC-2'!D37,'QLD-2'!D37,'SA-1'!D37,'WA-1'!D37,'IDC-NSW'!D37,'IDC-VIC'!D37)="Forecast",$AA26=LastActual),CHOOSE($X$4,'National'!J37,'NSW-1'!J37,'VIC-1'!J37,'QLD-1'!J37,'NSW-2'!J37,'VIC-2'!J37,'QLD-2'!J37,'SA-1'!J37,'WA-1'!J37,'IDC-NSW'!J37,'IDC-VIC'!J37),NA())</f>
        <v/>
      </c>
      <c r="AD26" s="10">
        <f>IF(CHOOSE($X$4,'National'!D37,'NSW-1'!D37,'VIC-1'!D37,'QLD-1'!D37,'NSW-2'!D37,'VIC-2'!D37,'QLD-2'!D37,'SA-1'!D37,'WA-1'!D37,'IDC-NSW'!D37,'IDC-VIC'!D37)="Actual",CHOOSE($X$4,'National'!G37,'NSW-1'!G37,'VIC-1'!G37,'QLD-1'!G37,'NSW-2'!G37,'VIC-2'!G37,'QLD-2'!G37,'SA-1'!G37,'WA-1'!G37,'IDC-NSW'!G37,'IDC-VIC'!G37),NA())</f>
        <v/>
      </c>
      <c r="AE26" s="10">
        <f>IF(OR(CHOOSE($X$4,'National'!D37,'NSW-1'!D37,'VIC-1'!D37,'QLD-1'!D37,'NSW-2'!D37,'VIC-2'!D37,'QLD-2'!D37,'SA-1'!D37,'WA-1'!D37,'IDC-NSW'!D37,'IDC-VIC'!D37)="Forecast",$AA26=LastActual),CHOOSE($X$4,'National'!G37,'NSW-1'!G37,'VIC-1'!G37,'QLD-1'!G37,'NSW-2'!G37,'VIC-2'!G37,'QLD-2'!G37,'SA-1'!G37,'WA-1'!G37,'IDC-NSW'!G37,'IDC-VIC'!G37),NA())</f>
        <v/>
      </c>
      <c r="AF26" s="20">
        <f>IF(CHOOSE($X$4,'National'!D37,'NSW-1'!D37,'VIC-1'!D37,'QLD-1'!D37,'NSW-2'!D37,'VIC-2'!D37,'QLD-2'!D37,'SA-1'!D37,'WA-1'!D37,'IDC-NSW'!D37,'IDC-VIC'!D37)="Actual",CHOOSE($X$4,'National'!K37,'NSW-1'!K37,'VIC-1'!K37,'QLD-1'!K37,'NSW-2'!K37,'VIC-2'!K37,'QLD-2'!K37,'SA-1'!K37,'WA-1'!K37,'IDC-NSW'!K37,'IDC-VIC'!K37),NA())</f>
        <v/>
      </c>
      <c r="AG26" s="20">
        <f>IF(OR(CHOOSE($X$4,'National'!D37,'NSW-1'!D37,'VIC-1'!D37,'QLD-1'!D37,'NSW-2'!D37,'VIC-2'!D37,'QLD-2'!D37,'SA-1'!D37,'WA-1'!D37,'IDC-NSW'!D37,'IDC-VIC'!D37)="Forecast",$AA26=LastActual),CHOOSE($X$4,'National'!K37,'NSW-1'!K37,'VIC-1'!K37,'QLD-1'!K37,'NSW-2'!K37,'VIC-2'!K37,'QLD-2'!K37,'SA-1'!K37,'WA-1'!K37,'IDC-NSW'!K37,'IDC-VIC'!K37),NA())</f>
        <v/>
      </c>
      <c r="AH26" s="21">
        <f>IF(CHOOSE($X$4,'National'!D37,'NSW-1'!D37,'VIC-1'!D37,'QLD-1'!D37,'NSW-2'!D37,'VIC-2'!D37,'QLD-2'!D37,'SA-1'!D37,'WA-1'!D37,'IDC-NSW'!D37,'IDC-VIC'!D37)="Actual",CHOOSE($X$4,'National'!L37,'NSW-1'!L37,'VIC-1'!L37,'QLD-1'!L37,'NSW-2'!L37,'VIC-2'!L37,'QLD-2'!L37,'SA-1'!L37,'WA-1'!L37,'IDC-NSW'!L37,'IDC-VIC'!L37),NA())</f>
        <v/>
      </c>
      <c r="AI26" s="21">
        <f>IF(OR(CHOOSE($X$4,'National'!D37,'NSW-1'!D37,'VIC-1'!D37,'QLD-1'!D37,'NSW-2'!D37,'VIC-2'!D37,'QLD-2'!D37,'SA-1'!D37,'WA-1'!D37,'IDC-NSW'!D37,'IDC-VIC'!D37)="Forecast",$AA26=LastActual),CHOOSE($X$4,'National'!L37,'NSW-1'!L37,'VIC-1'!L37,'QLD-1'!L37,'NSW-2'!L37,'VIC-2'!L37,'QLD-2'!L37,'SA-1'!L37,'WA-1'!L37,'IDC-NSW'!L37,'IDC-VIC'!L37),NA())</f>
        <v/>
      </c>
      <c r="AJ26" s="22">
        <f>IF(CHOOSE($X$4,'National'!D37,'NSW-1'!D37,'VIC-1'!D37,'QLD-1'!D37,'NSW-2'!D37,'VIC-2'!D37,'QLD-2'!D37,'SA-1'!D37,'WA-1'!D37,'IDC-NSW'!D37,'IDC-VIC'!D37)="Actual",CHOOSE($X$4,'National'!M37,'NSW-1'!M37,'VIC-1'!M37,'QLD-1'!M37,'NSW-2'!M37,'VIC-2'!M37,'QLD-2'!M37,'SA-1'!M37,'WA-1'!M37,'IDC-NSW'!M37,'IDC-VIC'!M37),NA())</f>
        <v/>
      </c>
      <c r="AK26" s="22">
        <f>IF(OR(CHOOSE($X$4,'National'!D37,'NSW-1'!D37,'VIC-1'!D37,'QLD-1'!D37,'NSW-2'!D37,'VIC-2'!D37,'QLD-2'!D37,'SA-1'!D37,'WA-1'!D37,'IDC-NSW'!D37,'IDC-VIC'!D37)="Forecast",$AA26=LastActual),CHOOSE($X$4,'National'!M37,'NSW-1'!M37,'VIC-1'!M37,'QLD-1'!M37,'NSW-2'!M37,'VIC-2'!M37,'QLD-2'!M37,'SA-1'!M37,'WA-1'!M37,'IDC-NSW'!M37,'IDC-VIC'!M37),NA())</f>
        <v/>
      </c>
      <c r="AL26" s="8">
        <f>IF(CHOOSE($X$4,'National'!D37,'NSW-1'!D37,'VIC-1'!D37,'QLD-1'!D37,'NSW-2'!D37,'VIC-2'!D37,'QLD-2'!D37,'SA-1'!D37,'WA-1'!D37,'IDC-NSW'!D37,'IDC-VIC'!D37)="Actual",CHOOSE($X$4,'National'!P37,'NSW-1'!P37,'VIC-1'!P37,'QLD-1'!P37,'NSW-2'!P37,'VIC-2'!P37,'QLD-2'!P37,'SA-1'!P37,'WA-1'!P37,'IDC-NSW'!P37,'IDC-VIC'!P37),NA())</f>
        <v/>
      </c>
      <c r="AM26" s="8">
        <f>IF(OR(CHOOSE($X$4,'National'!D37,'NSW-1'!D37,'VIC-1'!D37,'QLD-1'!D37,'NSW-2'!D37,'VIC-2'!D37,'QLD-2'!D37,'SA-1'!D37,'WA-1'!D37,'IDC-NSW'!D37,'IDC-VIC'!D37)="Forecast",$AA26=LastActual),CHOOSE($X$4,'National'!P37,'NSW-1'!P37,'VIC-1'!P37,'QLD-1'!P37,'NSW-2'!P37,'VIC-2'!P37,'QLD-2'!P37,'SA-1'!P37,'WA-1'!P37,'IDC-NSW'!P37,'IDC-VIC'!P37),NA())</f>
        <v/>
      </c>
    </row>
    <row r="27">
      <c r="AA27" s="9" t="n">
        <v>46357</v>
      </c>
      <c r="AB27" s="19">
        <f>IF(CHOOSE($X$4,'National'!D38,'NSW-1'!D38,'VIC-1'!D38,'QLD-1'!D38,'NSW-2'!D38,'VIC-2'!D38,'QLD-2'!D38,'SA-1'!D38,'WA-1'!D38,'IDC-NSW'!D38,'IDC-VIC'!D38)="Actual",CHOOSE($X$4,'National'!J38,'NSW-1'!J38,'VIC-1'!J38,'QLD-1'!J38,'NSW-2'!J38,'VIC-2'!J38,'QLD-2'!J38,'SA-1'!J38,'WA-1'!J38,'IDC-NSW'!J38,'IDC-VIC'!J38),NA())</f>
        <v/>
      </c>
      <c r="AC27" s="19">
        <f>IF(OR(CHOOSE($X$4,'National'!D38,'NSW-1'!D38,'VIC-1'!D38,'QLD-1'!D38,'NSW-2'!D38,'VIC-2'!D38,'QLD-2'!D38,'SA-1'!D38,'WA-1'!D38,'IDC-NSW'!D38,'IDC-VIC'!D38)="Forecast",$AA27=LastActual),CHOOSE($X$4,'National'!J38,'NSW-1'!J38,'VIC-1'!J38,'QLD-1'!J38,'NSW-2'!J38,'VIC-2'!J38,'QLD-2'!J38,'SA-1'!J38,'WA-1'!J38,'IDC-NSW'!J38,'IDC-VIC'!J38),NA())</f>
        <v/>
      </c>
      <c r="AD27" s="10">
        <f>IF(CHOOSE($X$4,'National'!D38,'NSW-1'!D38,'VIC-1'!D38,'QLD-1'!D38,'NSW-2'!D38,'VIC-2'!D38,'QLD-2'!D38,'SA-1'!D38,'WA-1'!D38,'IDC-NSW'!D38,'IDC-VIC'!D38)="Actual",CHOOSE($X$4,'National'!G38,'NSW-1'!G38,'VIC-1'!G38,'QLD-1'!G38,'NSW-2'!G38,'VIC-2'!G38,'QLD-2'!G38,'SA-1'!G38,'WA-1'!G38,'IDC-NSW'!G38,'IDC-VIC'!G38),NA())</f>
        <v/>
      </c>
      <c r="AE27" s="10">
        <f>IF(OR(CHOOSE($X$4,'National'!D38,'NSW-1'!D38,'VIC-1'!D38,'QLD-1'!D38,'NSW-2'!D38,'VIC-2'!D38,'QLD-2'!D38,'SA-1'!D38,'WA-1'!D38,'IDC-NSW'!D38,'IDC-VIC'!D38)="Forecast",$AA27=LastActual),CHOOSE($X$4,'National'!G38,'NSW-1'!G38,'VIC-1'!G38,'QLD-1'!G38,'NSW-2'!G38,'VIC-2'!G38,'QLD-2'!G38,'SA-1'!G38,'WA-1'!G38,'IDC-NSW'!G38,'IDC-VIC'!G38),NA())</f>
        <v/>
      </c>
      <c r="AF27" s="20">
        <f>IF(CHOOSE($X$4,'National'!D38,'NSW-1'!D38,'VIC-1'!D38,'QLD-1'!D38,'NSW-2'!D38,'VIC-2'!D38,'QLD-2'!D38,'SA-1'!D38,'WA-1'!D38,'IDC-NSW'!D38,'IDC-VIC'!D38)="Actual",CHOOSE($X$4,'National'!K38,'NSW-1'!K38,'VIC-1'!K38,'QLD-1'!K38,'NSW-2'!K38,'VIC-2'!K38,'QLD-2'!K38,'SA-1'!K38,'WA-1'!K38,'IDC-NSW'!K38,'IDC-VIC'!K38),NA())</f>
        <v/>
      </c>
      <c r="AG27" s="20">
        <f>IF(OR(CHOOSE($X$4,'National'!D38,'NSW-1'!D38,'VIC-1'!D38,'QLD-1'!D38,'NSW-2'!D38,'VIC-2'!D38,'QLD-2'!D38,'SA-1'!D38,'WA-1'!D38,'IDC-NSW'!D38,'IDC-VIC'!D38)="Forecast",$AA27=LastActual),CHOOSE($X$4,'National'!K38,'NSW-1'!K38,'VIC-1'!K38,'QLD-1'!K38,'NSW-2'!K38,'VIC-2'!K38,'QLD-2'!K38,'SA-1'!K38,'WA-1'!K38,'IDC-NSW'!K38,'IDC-VIC'!K38),NA())</f>
        <v/>
      </c>
      <c r="AH27" s="21">
        <f>IF(CHOOSE($X$4,'National'!D38,'NSW-1'!D38,'VIC-1'!D38,'QLD-1'!D38,'NSW-2'!D38,'VIC-2'!D38,'QLD-2'!D38,'SA-1'!D38,'WA-1'!D38,'IDC-NSW'!D38,'IDC-VIC'!D38)="Actual",CHOOSE($X$4,'National'!L38,'NSW-1'!L38,'VIC-1'!L38,'QLD-1'!L38,'NSW-2'!L38,'VIC-2'!L38,'QLD-2'!L38,'SA-1'!L38,'WA-1'!L38,'IDC-NSW'!L38,'IDC-VIC'!L38),NA())</f>
        <v/>
      </c>
      <c r="AI27" s="21">
        <f>IF(OR(CHOOSE($X$4,'National'!D38,'NSW-1'!D38,'VIC-1'!D38,'QLD-1'!D38,'NSW-2'!D38,'VIC-2'!D38,'QLD-2'!D38,'SA-1'!D38,'WA-1'!D38,'IDC-NSW'!D38,'IDC-VIC'!D38)="Forecast",$AA27=LastActual),CHOOSE($X$4,'National'!L38,'NSW-1'!L38,'VIC-1'!L38,'QLD-1'!L38,'NSW-2'!L38,'VIC-2'!L38,'QLD-2'!L38,'SA-1'!L38,'WA-1'!L38,'IDC-NSW'!L38,'IDC-VIC'!L38),NA())</f>
        <v/>
      </c>
      <c r="AJ27" s="22">
        <f>IF(CHOOSE($X$4,'National'!D38,'NSW-1'!D38,'VIC-1'!D38,'QLD-1'!D38,'NSW-2'!D38,'VIC-2'!D38,'QLD-2'!D38,'SA-1'!D38,'WA-1'!D38,'IDC-NSW'!D38,'IDC-VIC'!D38)="Actual",CHOOSE($X$4,'National'!M38,'NSW-1'!M38,'VIC-1'!M38,'QLD-1'!M38,'NSW-2'!M38,'VIC-2'!M38,'QLD-2'!M38,'SA-1'!M38,'WA-1'!M38,'IDC-NSW'!M38,'IDC-VIC'!M38),NA())</f>
        <v/>
      </c>
      <c r="AK27" s="22">
        <f>IF(OR(CHOOSE($X$4,'National'!D38,'NSW-1'!D38,'VIC-1'!D38,'QLD-1'!D38,'NSW-2'!D38,'VIC-2'!D38,'QLD-2'!D38,'SA-1'!D38,'WA-1'!D38,'IDC-NSW'!D38,'IDC-VIC'!D38)="Forecast",$AA27=LastActual),CHOOSE($X$4,'National'!M38,'NSW-1'!M38,'VIC-1'!M38,'QLD-1'!M38,'NSW-2'!M38,'VIC-2'!M38,'QLD-2'!M38,'SA-1'!M38,'WA-1'!M38,'IDC-NSW'!M38,'IDC-VIC'!M38),NA())</f>
        <v/>
      </c>
      <c r="AL27" s="8">
        <f>IF(CHOOSE($X$4,'National'!D38,'NSW-1'!D38,'VIC-1'!D38,'QLD-1'!D38,'NSW-2'!D38,'VIC-2'!D38,'QLD-2'!D38,'SA-1'!D38,'WA-1'!D38,'IDC-NSW'!D38,'IDC-VIC'!D38)="Actual",CHOOSE($X$4,'National'!P38,'NSW-1'!P38,'VIC-1'!P38,'QLD-1'!P38,'NSW-2'!P38,'VIC-2'!P38,'QLD-2'!P38,'SA-1'!P38,'WA-1'!P38,'IDC-NSW'!P38,'IDC-VIC'!P38),NA())</f>
        <v/>
      </c>
      <c r="AM27" s="8">
        <f>IF(OR(CHOOSE($X$4,'National'!D38,'NSW-1'!D38,'VIC-1'!D38,'QLD-1'!D38,'NSW-2'!D38,'VIC-2'!D38,'QLD-2'!D38,'SA-1'!D38,'WA-1'!D38,'IDC-NSW'!D38,'IDC-VIC'!D38)="Forecast",$AA27=LastActual),CHOOSE($X$4,'National'!P38,'NSW-1'!P38,'VIC-1'!P38,'QLD-1'!P38,'NSW-2'!P38,'VIC-2'!P38,'QLD-2'!P38,'SA-1'!P38,'WA-1'!P38,'IDC-NSW'!P38,'IDC-VIC'!P38),NA())</f>
        <v/>
      </c>
    </row>
    <row r="28">
      <c r="AA28" s="9" t="n">
        <v>46388</v>
      </c>
      <c r="AB28" s="19">
        <f>IF(CHOOSE($X$4,'National'!D39,'NSW-1'!D39,'VIC-1'!D39,'QLD-1'!D39,'NSW-2'!D39,'VIC-2'!D39,'QLD-2'!D39,'SA-1'!D39,'WA-1'!D39,'IDC-NSW'!D39,'IDC-VIC'!D39)="Actual",CHOOSE($X$4,'National'!J39,'NSW-1'!J39,'VIC-1'!J39,'QLD-1'!J39,'NSW-2'!J39,'VIC-2'!J39,'QLD-2'!J39,'SA-1'!J39,'WA-1'!J39,'IDC-NSW'!J39,'IDC-VIC'!J39),NA())</f>
        <v/>
      </c>
      <c r="AC28" s="19">
        <f>IF(OR(CHOOSE($X$4,'National'!D39,'NSW-1'!D39,'VIC-1'!D39,'QLD-1'!D39,'NSW-2'!D39,'VIC-2'!D39,'QLD-2'!D39,'SA-1'!D39,'WA-1'!D39,'IDC-NSW'!D39,'IDC-VIC'!D39)="Forecast",$AA28=LastActual),CHOOSE($X$4,'National'!J39,'NSW-1'!J39,'VIC-1'!J39,'QLD-1'!J39,'NSW-2'!J39,'VIC-2'!J39,'QLD-2'!J39,'SA-1'!J39,'WA-1'!J39,'IDC-NSW'!J39,'IDC-VIC'!J39),NA())</f>
        <v/>
      </c>
      <c r="AD28" s="10">
        <f>IF(CHOOSE($X$4,'National'!D39,'NSW-1'!D39,'VIC-1'!D39,'QLD-1'!D39,'NSW-2'!D39,'VIC-2'!D39,'QLD-2'!D39,'SA-1'!D39,'WA-1'!D39,'IDC-NSW'!D39,'IDC-VIC'!D39)="Actual",CHOOSE($X$4,'National'!G39,'NSW-1'!G39,'VIC-1'!G39,'QLD-1'!G39,'NSW-2'!G39,'VIC-2'!G39,'QLD-2'!G39,'SA-1'!G39,'WA-1'!G39,'IDC-NSW'!G39,'IDC-VIC'!G39),NA())</f>
        <v/>
      </c>
      <c r="AE28" s="10">
        <f>IF(OR(CHOOSE($X$4,'National'!D39,'NSW-1'!D39,'VIC-1'!D39,'QLD-1'!D39,'NSW-2'!D39,'VIC-2'!D39,'QLD-2'!D39,'SA-1'!D39,'WA-1'!D39,'IDC-NSW'!D39,'IDC-VIC'!D39)="Forecast",$AA28=LastActual),CHOOSE($X$4,'National'!G39,'NSW-1'!G39,'VIC-1'!G39,'QLD-1'!G39,'NSW-2'!G39,'VIC-2'!G39,'QLD-2'!G39,'SA-1'!G39,'WA-1'!G39,'IDC-NSW'!G39,'IDC-VIC'!G39),NA())</f>
        <v/>
      </c>
      <c r="AF28" s="20">
        <f>IF(CHOOSE($X$4,'National'!D39,'NSW-1'!D39,'VIC-1'!D39,'QLD-1'!D39,'NSW-2'!D39,'VIC-2'!D39,'QLD-2'!D39,'SA-1'!D39,'WA-1'!D39,'IDC-NSW'!D39,'IDC-VIC'!D39)="Actual",CHOOSE($X$4,'National'!K39,'NSW-1'!K39,'VIC-1'!K39,'QLD-1'!K39,'NSW-2'!K39,'VIC-2'!K39,'QLD-2'!K39,'SA-1'!K39,'WA-1'!K39,'IDC-NSW'!K39,'IDC-VIC'!K39),NA())</f>
        <v/>
      </c>
      <c r="AG28" s="20">
        <f>IF(OR(CHOOSE($X$4,'National'!D39,'NSW-1'!D39,'VIC-1'!D39,'QLD-1'!D39,'NSW-2'!D39,'VIC-2'!D39,'QLD-2'!D39,'SA-1'!D39,'WA-1'!D39,'IDC-NSW'!D39,'IDC-VIC'!D39)="Forecast",$AA28=LastActual),CHOOSE($X$4,'National'!K39,'NSW-1'!K39,'VIC-1'!K39,'QLD-1'!K39,'NSW-2'!K39,'VIC-2'!K39,'QLD-2'!K39,'SA-1'!K39,'WA-1'!K39,'IDC-NSW'!K39,'IDC-VIC'!K39),NA())</f>
        <v/>
      </c>
      <c r="AH28" s="21">
        <f>IF(CHOOSE($X$4,'National'!D39,'NSW-1'!D39,'VIC-1'!D39,'QLD-1'!D39,'NSW-2'!D39,'VIC-2'!D39,'QLD-2'!D39,'SA-1'!D39,'WA-1'!D39,'IDC-NSW'!D39,'IDC-VIC'!D39)="Actual",CHOOSE($X$4,'National'!L39,'NSW-1'!L39,'VIC-1'!L39,'QLD-1'!L39,'NSW-2'!L39,'VIC-2'!L39,'QLD-2'!L39,'SA-1'!L39,'WA-1'!L39,'IDC-NSW'!L39,'IDC-VIC'!L39),NA())</f>
        <v/>
      </c>
      <c r="AI28" s="21">
        <f>IF(OR(CHOOSE($X$4,'National'!D39,'NSW-1'!D39,'VIC-1'!D39,'QLD-1'!D39,'NSW-2'!D39,'VIC-2'!D39,'QLD-2'!D39,'SA-1'!D39,'WA-1'!D39,'IDC-NSW'!D39,'IDC-VIC'!D39)="Forecast",$AA28=LastActual),CHOOSE($X$4,'National'!L39,'NSW-1'!L39,'VIC-1'!L39,'QLD-1'!L39,'NSW-2'!L39,'VIC-2'!L39,'QLD-2'!L39,'SA-1'!L39,'WA-1'!L39,'IDC-NSW'!L39,'IDC-VIC'!L39),NA())</f>
        <v/>
      </c>
      <c r="AJ28" s="22">
        <f>IF(CHOOSE($X$4,'National'!D39,'NSW-1'!D39,'VIC-1'!D39,'QLD-1'!D39,'NSW-2'!D39,'VIC-2'!D39,'QLD-2'!D39,'SA-1'!D39,'WA-1'!D39,'IDC-NSW'!D39,'IDC-VIC'!D39)="Actual",CHOOSE($X$4,'National'!M39,'NSW-1'!M39,'VIC-1'!M39,'QLD-1'!M39,'NSW-2'!M39,'VIC-2'!M39,'QLD-2'!M39,'SA-1'!M39,'WA-1'!M39,'IDC-NSW'!M39,'IDC-VIC'!M39),NA())</f>
        <v/>
      </c>
      <c r="AK28" s="22">
        <f>IF(OR(CHOOSE($X$4,'National'!D39,'NSW-1'!D39,'VIC-1'!D39,'QLD-1'!D39,'NSW-2'!D39,'VIC-2'!D39,'QLD-2'!D39,'SA-1'!D39,'WA-1'!D39,'IDC-NSW'!D39,'IDC-VIC'!D39)="Forecast",$AA28=LastActual),CHOOSE($X$4,'National'!M39,'NSW-1'!M39,'VIC-1'!M39,'QLD-1'!M39,'NSW-2'!M39,'VIC-2'!M39,'QLD-2'!M39,'SA-1'!M39,'WA-1'!M39,'IDC-NSW'!M39,'IDC-VIC'!M39),NA())</f>
        <v/>
      </c>
      <c r="AL28" s="8">
        <f>IF(CHOOSE($X$4,'National'!D39,'NSW-1'!D39,'VIC-1'!D39,'QLD-1'!D39,'NSW-2'!D39,'VIC-2'!D39,'QLD-2'!D39,'SA-1'!D39,'WA-1'!D39,'IDC-NSW'!D39,'IDC-VIC'!D39)="Actual",CHOOSE($X$4,'National'!P39,'NSW-1'!P39,'VIC-1'!P39,'QLD-1'!P39,'NSW-2'!P39,'VIC-2'!P39,'QLD-2'!P39,'SA-1'!P39,'WA-1'!P39,'IDC-NSW'!P39,'IDC-VIC'!P39),NA())</f>
        <v/>
      </c>
      <c r="AM28" s="8">
        <f>IF(OR(CHOOSE($X$4,'National'!D39,'NSW-1'!D39,'VIC-1'!D39,'QLD-1'!D39,'NSW-2'!D39,'VIC-2'!D39,'QLD-2'!D39,'SA-1'!D39,'WA-1'!D39,'IDC-NSW'!D39,'IDC-VIC'!D39)="Forecast",$AA28=LastActual),CHOOSE($X$4,'National'!P39,'NSW-1'!P39,'VIC-1'!P39,'QLD-1'!P39,'NSW-2'!P39,'VIC-2'!P39,'QLD-2'!P39,'SA-1'!P39,'WA-1'!P39,'IDC-NSW'!P39,'IDC-VIC'!P39),NA())</f>
        <v/>
      </c>
    </row>
    <row r="29">
      <c r="AA29" s="9" t="n">
        <v>46419</v>
      </c>
      <c r="AB29" s="19">
        <f>IF(CHOOSE($X$4,'National'!D40,'NSW-1'!D40,'VIC-1'!D40,'QLD-1'!D40,'NSW-2'!D40,'VIC-2'!D40,'QLD-2'!D40,'SA-1'!D40,'WA-1'!D40,'IDC-NSW'!D40,'IDC-VIC'!D40)="Actual",CHOOSE($X$4,'National'!J40,'NSW-1'!J40,'VIC-1'!J40,'QLD-1'!J40,'NSW-2'!J40,'VIC-2'!J40,'QLD-2'!J40,'SA-1'!J40,'WA-1'!J40,'IDC-NSW'!J40,'IDC-VIC'!J40),NA())</f>
        <v/>
      </c>
      <c r="AC29" s="19">
        <f>IF(OR(CHOOSE($X$4,'National'!D40,'NSW-1'!D40,'VIC-1'!D40,'QLD-1'!D40,'NSW-2'!D40,'VIC-2'!D40,'QLD-2'!D40,'SA-1'!D40,'WA-1'!D40,'IDC-NSW'!D40,'IDC-VIC'!D40)="Forecast",$AA29=LastActual),CHOOSE($X$4,'National'!J40,'NSW-1'!J40,'VIC-1'!J40,'QLD-1'!J40,'NSW-2'!J40,'VIC-2'!J40,'QLD-2'!J40,'SA-1'!J40,'WA-1'!J40,'IDC-NSW'!J40,'IDC-VIC'!J40),NA())</f>
        <v/>
      </c>
      <c r="AD29" s="10">
        <f>IF(CHOOSE($X$4,'National'!D40,'NSW-1'!D40,'VIC-1'!D40,'QLD-1'!D40,'NSW-2'!D40,'VIC-2'!D40,'QLD-2'!D40,'SA-1'!D40,'WA-1'!D40,'IDC-NSW'!D40,'IDC-VIC'!D40)="Actual",CHOOSE($X$4,'National'!G40,'NSW-1'!G40,'VIC-1'!G40,'QLD-1'!G40,'NSW-2'!G40,'VIC-2'!G40,'QLD-2'!G40,'SA-1'!G40,'WA-1'!G40,'IDC-NSW'!G40,'IDC-VIC'!G40),NA())</f>
        <v/>
      </c>
      <c r="AE29" s="10">
        <f>IF(OR(CHOOSE($X$4,'National'!D40,'NSW-1'!D40,'VIC-1'!D40,'QLD-1'!D40,'NSW-2'!D40,'VIC-2'!D40,'QLD-2'!D40,'SA-1'!D40,'WA-1'!D40,'IDC-NSW'!D40,'IDC-VIC'!D40)="Forecast",$AA29=LastActual),CHOOSE($X$4,'National'!G40,'NSW-1'!G40,'VIC-1'!G40,'QLD-1'!G40,'NSW-2'!G40,'VIC-2'!G40,'QLD-2'!G40,'SA-1'!G40,'WA-1'!G40,'IDC-NSW'!G40,'IDC-VIC'!G40),NA())</f>
        <v/>
      </c>
      <c r="AF29" s="20">
        <f>IF(CHOOSE($X$4,'National'!D40,'NSW-1'!D40,'VIC-1'!D40,'QLD-1'!D40,'NSW-2'!D40,'VIC-2'!D40,'QLD-2'!D40,'SA-1'!D40,'WA-1'!D40,'IDC-NSW'!D40,'IDC-VIC'!D40)="Actual",CHOOSE($X$4,'National'!K40,'NSW-1'!K40,'VIC-1'!K40,'QLD-1'!K40,'NSW-2'!K40,'VIC-2'!K40,'QLD-2'!K40,'SA-1'!K40,'WA-1'!K40,'IDC-NSW'!K40,'IDC-VIC'!K40),NA())</f>
        <v/>
      </c>
      <c r="AG29" s="20">
        <f>IF(OR(CHOOSE($X$4,'National'!D40,'NSW-1'!D40,'VIC-1'!D40,'QLD-1'!D40,'NSW-2'!D40,'VIC-2'!D40,'QLD-2'!D40,'SA-1'!D40,'WA-1'!D40,'IDC-NSW'!D40,'IDC-VIC'!D40)="Forecast",$AA29=LastActual),CHOOSE($X$4,'National'!K40,'NSW-1'!K40,'VIC-1'!K40,'QLD-1'!K40,'NSW-2'!K40,'VIC-2'!K40,'QLD-2'!K40,'SA-1'!K40,'WA-1'!K40,'IDC-NSW'!K40,'IDC-VIC'!K40),NA())</f>
        <v/>
      </c>
      <c r="AH29" s="21">
        <f>IF(CHOOSE($X$4,'National'!D40,'NSW-1'!D40,'VIC-1'!D40,'QLD-1'!D40,'NSW-2'!D40,'VIC-2'!D40,'QLD-2'!D40,'SA-1'!D40,'WA-1'!D40,'IDC-NSW'!D40,'IDC-VIC'!D40)="Actual",CHOOSE($X$4,'National'!L40,'NSW-1'!L40,'VIC-1'!L40,'QLD-1'!L40,'NSW-2'!L40,'VIC-2'!L40,'QLD-2'!L40,'SA-1'!L40,'WA-1'!L40,'IDC-NSW'!L40,'IDC-VIC'!L40),NA())</f>
        <v/>
      </c>
      <c r="AI29" s="21">
        <f>IF(OR(CHOOSE($X$4,'National'!D40,'NSW-1'!D40,'VIC-1'!D40,'QLD-1'!D40,'NSW-2'!D40,'VIC-2'!D40,'QLD-2'!D40,'SA-1'!D40,'WA-1'!D40,'IDC-NSW'!D40,'IDC-VIC'!D40)="Forecast",$AA29=LastActual),CHOOSE($X$4,'National'!L40,'NSW-1'!L40,'VIC-1'!L40,'QLD-1'!L40,'NSW-2'!L40,'VIC-2'!L40,'QLD-2'!L40,'SA-1'!L40,'WA-1'!L40,'IDC-NSW'!L40,'IDC-VIC'!L40),NA())</f>
        <v/>
      </c>
      <c r="AJ29" s="22">
        <f>IF(CHOOSE($X$4,'National'!D40,'NSW-1'!D40,'VIC-1'!D40,'QLD-1'!D40,'NSW-2'!D40,'VIC-2'!D40,'QLD-2'!D40,'SA-1'!D40,'WA-1'!D40,'IDC-NSW'!D40,'IDC-VIC'!D40)="Actual",CHOOSE($X$4,'National'!M40,'NSW-1'!M40,'VIC-1'!M40,'QLD-1'!M40,'NSW-2'!M40,'VIC-2'!M40,'QLD-2'!M40,'SA-1'!M40,'WA-1'!M40,'IDC-NSW'!M40,'IDC-VIC'!M40),NA())</f>
        <v/>
      </c>
      <c r="AK29" s="22">
        <f>IF(OR(CHOOSE($X$4,'National'!D40,'NSW-1'!D40,'VIC-1'!D40,'QLD-1'!D40,'NSW-2'!D40,'VIC-2'!D40,'QLD-2'!D40,'SA-1'!D40,'WA-1'!D40,'IDC-NSW'!D40,'IDC-VIC'!D40)="Forecast",$AA29=LastActual),CHOOSE($X$4,'National'!M40,'NSW-1'!M40,'VIC-1'!M40,'QLD-1'!M40,'NSW-2'!M40,'VIC-2'!M40,'QLD-2'!M40,'SA-1'!M40,'WA-1'!M40,'IDC-NSW'!M40,'IDC-VIC'!M40),NA())</f>
        <v/>
      </c>
      <c r="AL29" s="8">
        <f>IF(CHOOSE($X$4,'National'!D40,'NSW-1'!D40,'VIC-1'!D40,'QLD-1'!D40,'NSW-2'!D40,'VIC-2'!D40,'QLD-2'!D40,'SA-1'!D40,'WA-1'!D40,'IDC-NSW'!D40,'IDC-VIC'!D40)="Actual",CHOOSE($X$4,'National'!P40,'NSW-1'!P40,'VIC-1'!P40,'QLD-1'!P40,'NSW-2'!P40,'VIC-2'!P40,'QLD-2'!P40,'SA-1'!P40,'WA-1'!P40,'IDC-NSW'!P40,'IDC-VIC'!P40),NA())</f>
        <v/>
      </c>
      <c r="AM29" s="8">
        <f>IF(OR(CHOOSE($X$4,'National'!D40,'NSW-1'!D40,'VIC-1'!D40,'QLD-1'!D40,'NSW-2'!D40,'VIC-2'!D40,'QLD-2'!D40,'SA-1'!D40,'WA-1'!D40,'IDC-NSW'!D40,'IDC-VIC'!D40)="Forecast",$AA29=LastActual),CHOOSE($X$4,'National'!P40,'NSW-1'!P40,'VIC-1'!P40,'QLD-1'!P40,'NSW-2'!P40,'VIC-2'!P40,'QLD-2'!P40,'SA-1'!P40,'WA-1'!P40,'IDC-NSW'!P40,'IDC-VIC'!P40),NA())</f>
        <v/>
      </c>
    </row>
    <row r="30">
      <c r="AA30" s="9" t="n">
        <v>46447</v>
      </c>
      <c r="AB30" s="19">
        <f>IF(CHOOSE($X$4,'National'!D41,'NSW-1'!D41,'VIC-1'!D41,'QLD-1'!D41,'NSW-2'!D41,'VIC-2'!D41,'QLD-2'!D41,'SA-1'!D41,'WA-1'!D41,'IDC-NSW'!D41,'IDC-VIC'!D41)="Actual",CHOOSE($X$4,'National'!J41,'NSW-1'!J41,'VIC-1'!J41,'QLD-1'!J41,'NSW-2'!J41,'VIC-2'!J41,'QLD-2'!J41,'SA-1'!J41,'WA-1'!J41,'IDC-NSW'!J41,'IDC-VIC'!J41),NA())</f>
        <v/>
      </c>
      <c r="AC30" s="19">
        <f>IF(OR(CHOOSE($X$4,'National'!D41,'NSW-1'!D41,'VIC-1'!D41,'QLD-1'!D41,'NSW-2'!D41,'VIC-2'!D41,'QLD-2'!D41,'SA-1'!D41,'WA-1'!D41,'IDC-NSW'!D41,'IDC-VIC'!D41)="Forecast",$AA30=LastActual),CHOOSE($X$4,'National'!J41,'NSW-1'!J41,'VIC-1'!J41,'QLD-1'!J41,'NSW-2'!J41,'VIC-2'!J41,'QLD-2'!J41,'SA-1'!J41,'WA-1'!J41,'IDC-NSW'!J41,'IDC-VIC'!J41),NA())</f>
        <v/>
      </c>
      <c r="AD30" s="10">
        <f>IF(CHOOSE($X$4,'National'!D41,'NSW-1'!D41,'VIC-1'!D41,'QLD-1'!D41,'NSW-2'!D41,'VIC-2'!D41,'QLD-2'!D41,'SA-1'!D41,'WA-1'!D41,'IDC-NSW'!D41,'IDC-VIC'!D41)="Actual",CHOOSE($X$4,'National'!G41,'NSW-1'!G41,'VIC-1'!G41,'QLD-1'!G41,'NSW-2'!G41,'VIC-2'!G41,'QLD-2'!G41,'SA-1'!G41,'WA-1'!G41,'IDC-NSW'!G41,'IDC-VIC'!G41),NA())</f>
        <v/>
      </c>
      <c r="AE30" s="10">
        <f>IF(OR(CHOOSE($X$4,'National'!D41,'NSW-1'!D41,'VIC-1'!D41,'QLD-1'!D41,'NSW-2'!D41,'VIC-2'!D41,'QLD-2'!D41,'SA-1'!D41,'WA-1'!D41,'IDC-NSW'!D41,'IDC-VIC'!D41)="Forecast",$AA30=LastActual),CHOOSE($X$4,'National'!G41,'NSW-1'!G41,'VIC-1'!G41,'QLD-1'!G41,'NSW-2'!G41,'VIC-2'!G41,'QLD-2'!G41,'SA-1'!G41,'WA-1'!G41,'IDC-NSW'!G41,'IDC-VIC'!G41),NA())</f>
        <v/>
      </c>
      <c r="AF30" s="20">
        <f>IF(CHOOSE($X$4,'National'!D41,'NSW-1'!D41,'VIC-1'!D41,'QLD-1'!D41,'NSW-2'!D41,'VIC-2'!D41,'QLD-2'!D41,'SA-1'!D41,'WA-1'!D41,'IDC-NSW'!D41,'IDC-VIC'!D41)="Actual",CHOOSE($X$4,'National'!K41,'NSW-1'!K41,'VIC-1'!K41,'QLD-1'!K41,'NSW-2'!K41,'VIC-2'!K41,'QLD-2'!K41,'SA-1'!K41,'WA-1'!K41,'IDC-NSW'!K41,'IDC-VIC'!K41),NA())</f>
        <v/>
      </c>
      <c r="AG30" s="20">
        <f>IF(OR(CHOOSE($X$4,'National'!D41,'NSW-1'!D41,'VIC-1'!D41,'QLD-1'!D41,'NSW-2'!D41,'VIC-2'!D41,'QLD-2'!D41,'SA-1'!D41,'WA-1'!D41,'IDC-NSW'!D41,'IDC-VIC'!D41)="Forecast",$AA30=LastActual),CHOOSE($X$4,'National'!K41,'NSW-1'!K41,'VIC-1'!K41,'QLD-1'!K41,'NSW-2'!K41,'VIC-2'!K41,'QLD-2'!K41,'SA-1'!K41,'WA-1'!K41,'IDC-NSW'!K41,'IDC-VIC'!K41),NA())</f>
        <v/>
      </c>
      <c r="AH30" s="21">
        <f>IF(CHOOSE($X$4,'National'!D41,'NSW-1'!D41,'VIC-1'!D41,'QLD-1'!D41,'NSW-2'!D41,'VIC-2'!D41,'QLD-2'!D41,'SA-1'!D41,'WA-1'!D41,'IDC-NSW'!D41,'IDC-VIC'!D41)="Actual",CHOOSE($X$4,'National'!L41,'NSW-1'!L41,'VIC-1'!L41,'QLD-1'!L41,'NSW-2'!L41,'VIC-2'!L41,'QLD-2'!L41,'SA-1'!L41,'WA-1'!L41,'IDC-NSW'!L41,'IDC-VIC'!L41),NA())</f>
        <v/>
      </c>
      <c r="AI30" s="21">
        <f>IF(OR(CHOOSE($X$4,'National'!D41,'NSW-1'!D41,'VIC-1'!D41,'QLD-1'!D41,'NSW-2'!D41,'VIC-2'!D41,'QLD-2'!D41,'SA-1'!D41,'WA-1'!D41,'IDC-NSW'!D41,'IDC-VIC'!D41)="Forecast",$AA30=LastActual),CHOOSE($X$4,'National'!L41,'NSW-1'!L41,'VIC-1'!L41,'QLD-1'!L41,'NSW-2'!L41,'VIC-2'!L41,'QLD-2'!L41,'SA-1'!L41,'WA-1'!L41,'IDC-NSW'!L41,'IDC-VIC'!L41),NA())</f>
        <v/>
      </c>
      <c r="AJ30" s="22">
        <f>IF(CHOOSE($X$4,'National'!D41,'NSW-1'!D41,'VIC-1'!D41,'QLD-1'!D41,'NSW-2'!D41,'VIC-2'!D41,'QLD-2'!D41,'SA-1'!D41,'WA-1'!D41,'IDC-NSW'!D41,'IDC-VIC'!D41)="Actual",CHOOSE($X$4,'National'!M41,'NSW-1'!M41,'VIC-1'!M41,'QLD-1'!M41,'NSW-2'!M41,'VIC-2'!M41,'QLD-2'!M41,'SA-1'!M41,'WA-1'!M41,'IDC-NSW'!M41,'IDC-VIC'!M41),NA())</f>
        <v/>
      </c>
      <c r="AK30" s="22">
        <f>IF(OR(CHOOSE($X$4,'National'!D41,'NSW-1'!D41,'VIC-1'!D41,'QLD-1'!D41,'NSW-2'!D41,'VIC-2'!D41,'QLD-2'!D41,'SA-1'!D41,'WA-1'!D41,'IDC-NSW'!D41,'IDC-VIC'!D41)="Forecast",$AA30=LastActual),CHOOSE($X$4,'National'!M41,'NSW-1'!M41,'VIC-1'!M41,'QLD-1'!M41,'NSW-2'!M41,'VIC-2'!M41,'QLD-2'!M41,'SA-1'!M41,'WA-1'!M41,'IDC-NSW'!M41,'IDC-VIC'!M41),NA())</f>
        <v/>
      </c>
      <c r="AL30" s="8">
        <f>IF(CHOOSE($X$4,'National'!D41,'NSW-1'!D41,'VIC-1'!D41,'QLD-1'!D41,'NSW-2'!D41,'VIC-2'!D41,'QLD-2'!D41,'SA-1'!D41,'WA-1'!D41,'IDC-NSW'!D41,'IDC-VIC'!D41)="Actual",CHOOSE($X$4,'National'!P41,'NSW-1'!P41,'VIC-1'!P41,'QLD-1'!P41,'NSW-2'!P41,'VIC-2'!P41,'QLD-2'!P41,'SA-1'!P41,'WA-1'!P41,'IDC-NSW'!P41,'IDC-VIC'!P41),NA())</f>
        <v/>
      </c>
      <c r="AM30" s="8">
        <f>IF(OR(CHOOSE($X$4,'National'!D41,'NSW-1'!D41,'VIC-1'!D41,'QLD-1'!D41,'NSW-2'!D41,'VIC-2'!D41,'QLD-2'!D41,'SA-1'!D41,'WA-1'!D41,'IDC-NSW'!D41,'IDC-VIC'!D41)="Forecast",$AA30=LastActual),CHOOSE($X$4,'National'!P41,'NSW-1'!P41,'VIC-1'!P41,'QLD-1'!P41,'NSW-2'!P41,'VIC-2'!P41,'QLD-2'!P41,'SA-1'!P41,'WA-1'!P41,'IDC-NSW'!P41,'IDC-VIC'!P41),NA())</f>
        <v/>
      </c>
    </row>
    <row r="31">
      <c r="AA31" s="9" t="n">
        <v>46478</v>
      </c>
      <c r="AB31" s="19">
        <f>IF(CHOOSE($X$4,'National'!D42,'NSW-1'!D42,'VIC-1'!D42,'QLD-1'!D42,'NSW-2'!D42,'VIC-2'!D42,'QLD-2'!D42,'SA-1'!D42,'WA-1'!D42,'IDC-NSW'!D42,'IDC-VIC'!D42)="Actual",CHOOSE($X$4,'National'!J42,'NSW-1'!J42,'VIC-1'!J42,'QLD-1'!J42,'NSW-2'!J42,'VIC-2'!J42,'QLD-2'!J42,'SA-1'!J42,'WA-1'!J42,'IDC-NSW'!J42,'IDC-VIC'!J42),NA())</f>
        <v/>
      </c>
      <c r="AC31" s="19">
        <f>IF(OR(CHOOSE($X$4,'National'!D42,'NSW-1'!D42,'VIC-1'!D42,'QLD-1'!D42,'NSW-2'!D42,'VIC-2'!D42,'QLD-2'!D42,'SA-1'!D42,'WA-1'!D42,'IDC-NSW'!D42,'IDC-VIC'!D42)="Forecast",$AA31=LastActual),CHOOSE($X$4,'National'!J42,'NSW-1'!J42,'VIC-1'!J42,'QLD-1'!J42,'NSW-2'!J42,'VIC-2'!J42,'QLD-2'!J42,'SA-1'!J42,'WA-1'!J42,'IDC-NSW'!J42,'IDC-VIC'!J42),NA())</f>
        <v/>
      </c>
      <c r="AD31" s="10">
        <f>IF(CHOOSE($X$4,'National'!D42,'NSW-1'!D42,'VIC-1'!D42,'QLD-1'!D42,'NSW-2'!D42,'VIC-2'!D42,'QLD-2'!D42,'SA-1'!D42,'WA-1'!D42,'IDC-NSW'!D42,'IDC-VIC'!D42)="Actual",CHOOSE($X$4,'National'!G42,'NSW-1'!G42,'VIC-1'!G42,'QLD-1'!G42,'NSW-2'!G42,'VIC-2'!G42,'QLD-2'!G42,'SA-1'!G42,'WA-1'!G42,'IDC-NSW'!G42,'IDC-VIC'!G42),NA())</f>
        <v/>
      </c>
      <c r="AE31" s="10">
        <f>IF(OR(CHOOSE($X$4,'National'!D42,'NSW-1'!D42,'VIC-1'!D42,'QLD-1'!D42,'NSW-2'!D42,'VIC-2'!D42,'QLD-2'!D42,'SA-1'!D42,'WA-1'!D42,'IDC-NSW'!D42,'IDC-VIC'!D42)="Forecast",$AA31=LastActual),CHOOSE($X$4,'National'!G42,'NSW-1'!G42,'VIC-1'!G42,'QLD-1'!G42,'NSW-2'!G42,'VIC-2'!G42,'QLD-2'!G42,'SA-1'!G42,'WA-1'!G42,'IDC-NSW'!G42,'IDC-VIC'!G42),NA())</f>
        <v/>
      </c>
      <c r="AF31" s="20">
        <f>IF(CHOOSE($X$4,'National'!D42,'NSW-1'!D42,'VIC-1'!D42,'QLD-1'!D42,'NSW-2'!D42,'VIC-2'!D42,'QLD-2'!D42,'SA-1'!D42,'WA-1'!D42,'IDC-NSW'!D42,'IDC-VIC'!D42)="Actual",CHOOSE($X$4,'National'!K42,'NSW-1'!K42,'VIC-1'!K42,'QLD-1'!K42,'NSW-2'!K42,'VIC-2'!K42,'QLD-2'!K42,'SA-1'!K42,'WA-1'!K42,'IDC-NSW'!K42,'IDC-VIC'!K42),NA())</f>
        <v/>
      </c>
      <c r="AG31" s="20">
        <f>IF(OR(CHOOSE($X$4,'National'!D42,'NSW-1'!D42,'VIC-1'!D42,'QLD-1'!D42,'NSW-2'!D42,'VIC-2'!D42,'QLD-2'!D42,'SA-1'!D42,'WA-1'!D42,'IDC-NSW'!D42,'IDC-VIC'!D42)="Forecast",$AA31=LastActual),CHOOSE($X$4,'National'!K42,'NSW-1'!K42,'VIC-1'!K42,'QLD-1'!K42,'NSW-2'!K42,'VIC-2'!K42,'QLD-2'!K42,'SA-1'!K42,'WA-1'!K42,'IDC-NSW'!K42,'IDC-VIC'!K42),NA())</f>
        <v/>
      </c>
      <c r="AH31" s="21">
        <f>IF(CHOOSE($X$4,'National'!D42,'NSW-1'!D42,'VIC-1'!D42,'QLD-1'!D42,'NSW-2'!D42,'VIC-2'!D42,'QLD-2'!D42,'SA-1'!D42,'WA-1'!D42,'IDC-NSW'!D42,'IDC-VIC'!D42)="Actual",CHOOSE($X$4,'National'!L42,'NSW-1'!L42,'VIC-1'!L42,'QLD-1'!L42,'NSW-2'!L42,'VIC-2'!L42,'QLD-2'!L42,'SA-1'!L42,'WA-1'!L42,'IDC-NSW'!L42,'IDC-VIC'!L42),NA())</f>
        <v/>
      </c>
      <c r="AI31" s="21">
        <f>IF(OR(CHOOSE($X$4,'National'!D42,'NSW-1'!D42,'VIC-1'!D42,'QLD-1'!D42,'NSW-2'!D42,'VIC-2'!D42,'QLD-2'!D42,'SA-1'!D42,'WA-1'!D42,'IDC-NSW'!D42,'IDC-VIC'!D42)="Forecast",$AA31=LastActual),CHOOSE($X$4,'National'!L42,'NSW-1'!L42,'VIC-1'!L42,'QLD-1'!L42,'NSW-2'!L42,'VIC-2'!L42,'QLD-2'!L42,'SA-1'!L42,'WA-1'!L42,'IDC-NSW'!L42,'IDC-VIC'!L42),NA())</f>
        <v/>
      </c>
      <c r="AJ31" s="22">
        <f>IF(CHOOSE($X$4,'National'!D42,'NSW-1'!D42,'VIC-1'!D42,'QLD-1'!D42,'NSW-2'!D42,'VIC-2'!D42,'QLD-2'!D42,'SA-1'!D42,'WA-1'!D42,'IDC-NSW'!D42,'IDC-VIC'!D42)="Actual",CHOOSE($X$4,'National'!M42,'NSW-1'!M42,'VIC-1'!M42,'QLD-1'!M42,'NSW-2'!M42,'VIC-2'!M42,'QLD-2'!M42,'SA-1'!M42,'WA-1'!M42,'IDC-NSW'!M42,'IDC-VIC'!M42),NA())</f>
        <v/>
      </c>
      <c r="AK31" s="22">
        <f>IF(OR(CHOOSE($X$4,'National'!D42,'NSW-1'!D42,'VIC-1'!D42,'QLD-1'!D42,'NSW-2'!D42,'VIC-2'!D42,'QLD-2'!D42,'SA-1'!D42,'WA-1'!D42,'IDC-NSW'!D42,'IDC-VIC'!D42)="Forecast",$AA31=LastActual),CHOOSE($X$4,'National'!M42,'NSW-1'!M42,'VIC-1'!M42,'QLD-1'!M42,'NSW-2'!M42,'VIC-2'!M42,'QLD-2'!M42,'SA-1'!M42,'WA-1'!M42,'IDC-NSW'!M42,'IDC-VIC'!M42),NA())</f>
        <v/>
      </c>
      <c r="AL31" s="8">
        <f>IF(CHOOSE($X$4,'National'!D42,'NSW-1'!D42,'VIC-1'!D42,'QLD-1'!D42,'NSW-2'!D42,'VIC-2'!D42,'QLD-2'!D42,'SA-1'!D42,'WA-1'!D42,'IDC-NSW'!D42,'IDC-VIC'!D42)="Actual",CHOOSE($X$4,'National'!P42,'NSW-1'!P42,'VIC-1'!P42,'QLD-1'!P42,'NSW-2'!P42,'VIC-2'!P42,'QLD-2'!P42,'SA-1'!P42,'WA-1'!P42,'IDC-NSW'!P42,'IDC-VIC'!P42),NA())</f>
        <v/>
      </c>
      <c r="AM31" s="8">
        <f>IF(OR(CHOOSE($X$4,'National'!D42,'NSW-1'!D42,'VIC-1'!D42,'QLD-1'!D42,'NSW-2'!D42,'VIC-2'!D42,'QLD-2'!D42,'SA-1'!D42,'WA-1'!D42,'IDC-NSW'!D42,'IDC-VIC'!D42)="Forecast",$AA31=LastActual),CHOOSE($X$4,'National'!P42,'NSW-1'!P42,'VIC-1'!P42,'QLD-1'!P42,'NSW-2'!P42,'VIC-2'!P42,'QLD-2'!P42,'SA-1'!P42,'WA-1'!P42,'IDC-NSW'!P42,'IDC-VIC'!P42),NA())</f>
        <v/>
      </c>
    </row>
    <row r="32">
      <c r="AA32" s="9" t="n">
        <v>46508</v>
      </c>
      <c r="AB32" s="19">
        <f>IF(CHOOSE($X$4,'National'!D43,'NSW-1'!D43,'VIC-1'!D43,'QLD-1'!D43,'NSW-2'!D43,'VIC-2'!D43,'QLD-2'!D43,'SA-1'!D43,'WA-1'!D43,'IDC-NSW'!D43,'IDC-VIC'!D43)="Actual",CHOOSE($X$4,'National'!J43,'NSW-1'!J43,'VIC-1'!J43,'QLD-1'!J43,'NSW-2'!J43,'VIC-2'!J43,'QLD-2'!J43,'SA-1'!J43,'WA-1'!J43,'IDC-NSW'!J43,'IDC-VIC'!J43),NA())</f>
        <v/>
      </c>
      <c r="AC32" s="19">
        <f>IF(OR(CHOOSE($X$4,'National'!D43,'NSW-1'!D43,'VIC-1'!D43,'QLD-1'!D43,'NSW-2'!D43,'VIC-2'!D43,'QLD-2'!D43,'SA-1'!D43,'WA-1'!D43,'IDC-NSW'!D43,'IDC-VIC'!D43)="Forecast",$AA32=LastActual),CHOOSE($X$4,'National'!J43,'NSW-1'!J43,'VIC-1'!J43,'QLD-1'!J43,'NSW-2'!J43,'VIC-2'!J43,'QLD-2'!J43,'SA-1'!J43,'WA-1'!J43,'IDC-NSW'!J43,'IDC-VIC'!J43),NA())</f>
        <v/>
      </c>
      <c r="AD32" s="10">
        <f>IF(CHOOSE($X$4,'National'!D43,'NSW-1'!D43,'VIC-1'!D43,'QLD-1'!D43,'NSW-2'!D43,'VIC-2'!D43,'QLD-2'!D43,'SA-1'!D43,'WA-1'!D43,'IDC-NSW'!D43,'IDC-VIC'!D43)="Actual",CHOOSE($X$4,'National'!G43,'NSW-1'!G43,'VIC-1'!G43,'QLD-1'!G43,'NSW-2'!G43,'VIC-2'!G43,'QLD-2'!G43,'SA-1'!G43,'WA-1'!G43,'IDC-NSW'!G43,'IDC-VIC'!G43),NA())</f>
        <v/>
      </c>
      <c r="AE32" s="10">
        <f>IF(OR(CHOOSE($X$4,'National'!D43,'NSW-1'!D43,'VIC-1'!D43,'QLD-1'!D43,'NSW-2'!D43,'VIC-2'!D43,'QLD-2'!D43,'SA-1'!D43,'WA-1'!D43,'IDC-NSW'!D43,'IDC-VIC'!D43)="Forecast",$AA32=LastActual),CHOOSE($X$4,'National'!G43,'NSW-1'!G43,'VIC-1'!G43,'QLD-1'!G43,'NSW-2'!G43,'VIC-2'!G43,'QLD-2'!G43,'SA-1'!G43,'WA-1'!G43,'IDC-NSW'!G43,'IDC-VIC'!G43),NA())</f>
        <v/>
      </c>
      <c r="AF32" s="20">
        <f>IF(CHOOSE($X$4,'National'!D43,'NSW-1'!D43,'VIC-1'!D43,'QLD-1'!D43,'NSW-2'!D43,'VIC-2'!D43,'QLD-2'!D43,'SA-1'!D43,'WA-1'!D43,'IDC-NSW'!D43,'IDC-VIC'!D43)="Actual",CHOOSE($X$4,'National'!K43,'NSW-1'!K43,'VIC-1'!K43,'QLD-1'!K43,'NSW-2'!K43,'VIC-2'!K43,'QLD-2'!K43,'SA-1'!K43,'WA-1'!K43,'IDC-NSW'!K43,'IDC-VIC'!K43),NA())</f>
        <v/>
      </c>
      <c r="AG32" s="20">
        <f>IF(OR(CHOOSE($X$4,'National'!D43,'NSW-1'!D43,'VIC-1'!D43,'QLD-1'!D43,'NSW-2'!D43,'VIC-2'!D43,'QLD-2'!D43,'SA-1'!D43,'WA-1'!D43,'IDC-NSW'!D43,'IDC-VIC'!D43)="Forecast",$AA32=LastActual),CHOOSE($X$4,'National'!K43,'NSW-1'!K43,'VIC-1'!K43,'QLD-1'!K43,'NSW-2'!K43,'VIC-2'!K43,'QLD-2'!K43,'SA-1'!K43,'WA-1'!K43,'IDC-NSW'!K43,'IDC-VIC'!K43),NA())</f>
        <v/>
      </c>
      <c r="AH32" s="21">
        <f>IF(CHOOSE($X$4,'National'!D43,'NSW-1'!D43,'VIC-1'!D43,'QLD-1'!D43,'NSW-2'!D43,'VIC-2'!D43,'QLD-2'!D43,'SA-1'!D43,'WA-1'!D43,'IDC-NSW'!D43,'IDC-VIC'!D43)="Actual",CHOOSE($X$4,'National'!L43,'NSW-1'!L43,'VIC-1'!L43,'QLD-1'!L43,'NSW-2'!L43,'VIC-2'!L43,'QLD-2'!L43,'SA-1'!L43,'WA-1'!L43,'IDC-NSW'!L43,'IDC-VIC'!L43),NA())</f>
        <v/>
      </c>
      <c r="AI32" s="21">
        <f>IF(OR(CHOOSE($X$4,'National'!D43,'NSW-1'!D43,'VIC-1'!D43,'QLD-1'!D43,'NSW-2'!D43,'VIC-2'!D43,'QLD-2'!D43,'SA-1'!D43,'WA-1'!D43,'IDC-NSW'!D43,'IDC-VIC'!D43)="Forecast",$AA32=LastActual),CHOOSE($X$4,'National'!L43,'NSW-1'!L43,'VIC-1'!L43,'QLD-1'!L43,'NSW-2'!L43,'VIC-2'!L43,'QLD-2'!L43,'SA-1'!L43,'WA-1'!L43,'IDC-NSW'!L43,'IDC-VIC'!L43),NA())</f>
        <v/>
      </c>
      <c r="AJ32" s="22">
        <f>IF(CHOOSE($X$4,'National'!D43,'NSW-1'!D43,'VIC-1'!D43,'QLD-1'!D43,'NSW-2'!D43,'VIC-2'!D43,'QLD-2'!D43,'SA-1'!D43,'WA-1'!D43,'IDC-NSW'!D43,'IDC-VIC'!D43)="Actual",CHOOSE($X$4,'National'!M43,'NSW-1'!M43,'VIC-1'!M43,'QLD-1'!M43,'NSW-2'!M43,'VIC-2'!M43,'QLD-2'!M43,'SA-1'!M43,'WA-1'!M43,'IDC-NSW'!M43,'IDC-VIC'!M43),NA())</f>
        <v/>
      </c>
      <c r="AK32" s="22">
        <f>IF(OR(CHOOSE($X$4,'National'!D43,'NSW-1'!D43,'VIC-1'!D43,'QLD-1'!D43,'NSW-2'!D43,'VIC-2'!D43,'QLD-2'!D43,'SA-1'!D43,'WA-1'!D43,'IDC-NSW'!D43,'IDC-VIC'!D43)="Forecast",$AA32=LastActual),CHOOSE($X$4,'National'!M43,'NSW-1'!M43,'VIC-1'!M43,'QLD-1'!M43,'NSW-2'!M43,'VIC-2'!M43,'QLD-2'!M43,'SA-1'!M43,'WA-1'!M43,'IDC-NSW'!M43,'IDC-VIC'!M43),NA())</f>
        <v/>
      </c>
      <c r="AL32" s="8">
        <f>IF(CHOOSE($X$4,'National'!D43,'NSW-1'!D43,'VIC-1'!D43,'QLD-1'!D43,'NSW-2'!D43,'VIC-2'!D43,'QLD-2'!D43,'SA-1'!D43,'WA-1'!D43,'IDC-NSW'!D43,'IDC-VIC'!D43)="Actual",CHOOSE($X$4,'National'!P43,'NSW-1'!P43,'VIC-1'!P43,'QLD-1'!P43,'NSW-2'!P43,'VIC-2'!P43,'QLD-2'!P43,'SA-1'!P43,'WA-1'!P43,'IDC-NSW'!P43,'IDC-VIC'!P43),NA())</f>
        <v/>
      </c>
      <c r="AM32" s="8">
        <f>IF(OR(CHOOSE($X$4,'National'!D43,'NSW-1'!D43,'VIC-1'!D43,'QLD-1'!D43,'NSW-2'!D43,'VIC-2'!D43,'QLD-2'!D43,'SA-1'!D43,'WA-1'!D43,'IDC-NSW'!D43,'IDC-VIC'!D43)="Forecast",$AA32=LastActual),CHOOSE($X$4,'National'!P43,'NSW-1'!P43,'VIC-1'!P43,'QLD-1'!P43,'NSW-2'!P43,'VIC-2'!P43,'QLD-2'!P43,'SA-1'!P43,'WA-1'!P43,'IDC-NSW'!P43,'IDC-VIC'!P43),NA())</f>
        <v/>
      </c>
    </row>
    <row r="33">
      <c r="AA33" s="9" t="n">
        <v>46539</v>
      </c>
      <c r="AB33" s="19">
        <f>IF(CHOOSE($X$4,'National'!D44,'NSW-1'!D44,'VIC-1'!D44,'QLD-1'!D44,'NSW-2'!D44,'VIC-2'!D44,'QLD-2'!D44,'SA-1'!D44,'WA-1'!D44,'IDC-NSW'!D44,'IDC-VIC'!D44)="Actual",CHOOSE($X$4,'National'!J44,'NSW-1'!J44,'VIC-1'!J44,'QLD-1'!J44,'NSW-2'!J44,'VIC-2'!J44,'QLD-2'!J44,'SA-1'!J44,'WA-1'!J44,'IDC-NSW'!J44,'IDC-VIC'!J44),NA())</f>
        <v/>
      </c>
      <c r="AC33" s="19">
        <f>IF(OR(CHOOSE($X$4,'National'!D44,'NSW-1'!D44,'VIC-1'!D44,'QLD-1'!D44,'NSW-2'!D44,'VIC-2'!D44,'QLD-2'!D44,'SA-1'!D44,'WA-1'!D44,'IDC-NSW'!D44,'IDC-VIC'!D44)="Forecast",$AA33=LastActual),CHOOSE($X$4,'National'!J44,'NSW-1'!J44,'VIC-1'!J44,'QLD-1'!J44,'NSW-2'!J44,'VIC-2'!J44,'QLD-2'!J44,'SA-1'!J44,'WA-1'!J44,'IDC-NSW'!J44,'IDC-VIC'!J44),NA())</f>
        <v/>
      </c>
      <c r="AD33" s="10">
        <f>IF(CHOOSE($X$4,'National'!D44,'NSW-1'!D44,'VIC-1'!D44,'QLD-1'!D44,'NSW-2'!D44,'VIC-2'!D44,'QLD-2'!D44,'SA-1'!D44,'WA-1'!D44,'IDC-NSW'!D44,'IDC-VIC'!D44)="Actual",CHOOSE($X$4,'National'!G44,'NSW-1'!G44,'VIC-1'!G44,'QLD-1'!G44,'NSW-2'!G44,'VIC-2'!G44,'QLD-2'!G44,'SA-1'!G44,'WA-1'!G44,'IDC-NSW'!G44,'IDC-VIC'!G44),NA())</f>
        <v/>
      </c>
      <c r="AE33" s="10">
        <f>IF(OR(CHOOSE($X$4,'National'!D44,'NSW-1'!D44,'VIC-1'!D44,'QLD-1'!D44,'NSW-2'!D44,'VIC-2'!D44,'QLD-2'!D44,'SA-1'!D44,'WA-1'!D44,'IDC-NSW'!D44,'IDC-VIC'!D44)="Forecast",$AA33=LastActual),CHOOSE($X$4,'National'!G44,'NSW-1'!G44,'VIC-1'!G44,'QLD-1'!G44,'NSW-2'!G44,'VIC-2'!G44,'QLD-2'!G44,'SA-1'!G44,'WA-1'!G44,'IDC-NSW'!G44,'IDC-VIC'!G44),NA())</f>
        <v/>
      </c>
      <c r="AF33" s="20">
        <f>IF(CHOOSE($X$4,'National'!D44,'NSW-1'!D44,'VIC-1'!D44,'QLD-1'!D44,'NSW-2'!D44,'VIC-2'!D44,'QLD-2'!D44,'SA-1'!D44,'WA-1'!D44,'IDC-NSW'!D44,'IDC-VIC'!D44)="Actual",CHOOSE($X$4,'National'!K44,'NSW-1'!K44,'VIC-1'!K44,'QLD-1'!K44,'NSW-2'!K44,'VIC-2'!K44,'QLD-2'!K44,'SA-1'!K44,'WA-1'!K44,'IDC-NSW'!K44,'IDC-VIC'!K44),NA())</f>
        <v/>
      </c>
      <c r="AG33" s="20">
        <f>IF(OR(CHOOSE($X$4,'National'!D44,'NSW-1'!D44,'VIC-1'!D44,'QLD-1'!D44,'NSW-2'!D44,'VIC-2'!D44,'QLD-2'!D44,'SA-1'!D44,'WA-1'!D44,'IDC-NSW'!D44,'IDC-VIC'!D44)="Forecast",$AA33=LastActual),CHOOSE($X$4,'National'!K44,'NSW-1'!K44,'VIC-1'!K44,'QLD-1'!K44,'NSW-2'!K44,'VIC-2'!K44,'QLD-2'!K44,'SA-1'!K44,'WA-1'!K44,'IDC-NSW'!K44,'IDC-VIC'!K44),NA())</f>
        <v/>
      </c>
      <c r="AH33" s="21">
        <f>IF(CHOOSE($X$4,'National'!D44,'NSW-1'!D44,'VIC-1'!D44,'QLD-1'!D44,'NSW-2'!D44,'VIC-2'!D44,'QLD-2'!D44,'SA-1'!D44,'WA-1'!D44,'IDC-NSW'!D44,'IDC-VIC'!D44)="Actual",CHOOSE($X$4,'National'!L44,'NSW-1'!L44,'VIC-1'!L44,'QLD-1'!L44,'NSW-2'!L44,'VIC-2'!L44,'QLD-2'!L44,'SA-1'!L44,'WA-1'!L44,'IDC-NSW'!L44,'IDC-VIC'!L44),NA())</f>
        <v/>
      </c>
      <c r="AI33" s="21">
        <f>IF(OR(CHOOSE($X$4,'National'!D44,'NSW-1'!D44,'VIC-1'!D44,'QLD-1'!D44,'NSW-2'!D44,'VIC-2'!D44,'QLD-2'!D44,'SA-1'!D44,'WA-1'!D44,'IDC-NSW'!D44,'IDC-VIC'!D44)="Forecast",$AA33=LastActual),CHOOSE($X$4,'National'!L44,'NSW-1'!L44,'VIC-1'!L44,'QLD-1'!L44,'NSW-2'!L44,'VIC-2'!L44,'QLD-2'!L44,'SA-1'!L44,'WA-1'!L44,'IDC-NSW'!L44,'IDC-VIC'!L44),NA())</f>
        <v/>
      </c>
      <c r="AJ33" s="22">
        <f>IF(CHOOSE($X$4,'National'!D44,'NSW-1'!D44,'VIC-1'!D44,'QLD-1'!D44,'NSW-2'!D44,'VIC-2'!D44,'QLD-2'!D44,'SA-1'!D44,'WA-1'!D44,'IDC-NSW'!D44,'IDC-VIC'!D44)="Actual",CHOOSE($X$4,'National'!M44,'NSW-1'!M44,'VIC-1'!M44,'QLD-1'!M44,'NSW-2'!M44,'VIC-2'!M44,'QLD-2'!M44,'SA-1'!M44,'WA-1'!M44,'IDC-NSW'!M44,'IDC-VIC'!M44),NA())</f>
        <v/>
      </c>
      <c r="AK33" s="22">
        <f>IF(OR(CHOOSE($X$4,'National'!D44,'NSW-1'!D44,'VIC-1'!D44,'QLD-1'!D44,'NSW-2'!D44,'VIC-2'!D44,'QLD-2'!D44,'SA-1'!D44,'WA-1'!D44,'IDC-NSW'!D44,'IDC-VIC'!D44)="Forecast",$AA33=LastActual),CHOOSE($X$4,'National'!M44,'NSW-1'!M44,'VIC-1'!M44,'QLD-1'!M44,'NSW-2'!M44,'VIC-2'!M44,'QLD-2'!M44,'SA-1'!M44,'WA-1'!M44,'IDC-NSW'!M44,'IDC-VIC'!M44),NA())</f>
        <v/>
      </c>
      <c r="AL33" s="8">
        <f>IF(CHOOSE($X$4,'National'!D44,'NSW-1'!D44,'VIC-1'!D44,'QLD-1'!D44,'NSW-2'!D44,'VIC-2'!D44,'QLD-2'!D44,'SA-1'!D44,'WA-1'!D44,'IDC-NSW'!D44,'IDC-VIC'!D44)="Actual",CHOOSE($X$4,'National'!P44,'NSW-1'!P44,'VIC-1'!P44,'QLD-1'!P44,'NSW-2'!P44,'VIC-2'!P44,'QLD-2'!P44,'SA-1'!P44,'WA-1'!P44,'IDC-NSW'!P44,'IDC-VIC'!P44),NA())</f>
        <v/>
      </c>
      <c r="AM33" s="8">
        <f>IF(OR(CHOOSE($X$4,'National'!D44,'NSW-1'!D44,'VIC-1'!D44,'QLD-1'!D44,'NSW-2'!D44,'VIC-2'!D44,'QLD-2'!D44,'SA-1'!D44,'WA-1'!D44,'IDC-NSW'!D44,'IDC-VIC'!D44)="Forecast",$AA33=LastActual),CHOOSE($X$4,'National'!P44,'NSW-1'!P44,'VIC-1'!P44,'QLD-1'!P44,'NSW-2'!P44,'VIC-2'!P44,'QLD-2'!P44,'SA-1'!P44,'WA-1'!P44,'IDC-NSW'!P44,'IDC-VIC'!P44),NA())</f>
        <v/>
      </c>
    </row>
    <row r="34">
      <c r="AA34" s="9" t="n">
        <v>46569</v>
      </c>
      <c r="AB34" s="19">
        <f>IF(CHOOSE($X$4,'National'!D45,'NSW-1'!D45,'VIC-1'!D45,'QLD-1'!D45,'NSW-2'!D45,'VIC-2'!D45,'QLD-2'!D45,'SA-1'!D45,'WA-1'!D45,'IDC-NSW'!D45,'IDC-VIC'!D45)="Actual",CHOOSE($X$4,'National'!J45,'NSW-1'!J45,'VIC-1'!J45,'QLD-1'!J45,'NSW-2'!J45,'VIC-2'!J45,'QLD-2'!J45,'SA-1'!J45,'WA-1'!J45,'IDC-NSW'!J45,'IDC-VIC'!J45),NA())</f>
        <v/>
      </c>
      <c r="AC34" s="19">
        <f>IF(OR(CHOOSE($X$4,'National'!D45,'NSW-1'!D45,'VIC-1'!D45,'QLD-1'!D45,'NSW-2'!D45,'VIC-2'!D45,'QLD-2'!D45,'SA-1'!D45,'WA-1'!D45,'IDC-NSW'!D45,'IDC-VIC'!D45)="Forecast",$AA34=LastActual),CHOOSE($X$4,'National'!J45,'NSW-1'!J45,'VIC-1'!J45,'QLD-1'!J45,'NSW-2'!J45,'VIC-2'!J45,'QLD-2'!J45,'SA-1'!J45,'WA-1'!J45,'IDC-NSW'!J45,'IDC-VIC'!J45),NA())</f>
        <v/>
      </c>
      <c r="AD34" s="10">
        <f>IF(CHOOSE($X$4,'National'!D45,'NSW-1'!D45,'VIC-1'!D45,'QLD-1'!D45,'NSW-2'!D45,'VIC-2'!D45,'QLD-2'!D45,'SA-1'!D45,'WA-1'!D45,'IDC-NSW'!D45,'IDC-VIC'!D45)="Actual",CHOOSE($X$4,'National'!G45,'NSW-1'!G45,'VIC-1'!G45,'QLD-1'!G45,'NSW-2'!G45,'VIC-2'!G45,'QLD-2'!G45,'SA-1'!G45,'WA-1'!G45,'IDC-NSW'!G45,'IDC-VIC'!G45),NA())</f>
        <v/>
      </c>
      <c r="AE34" s="10">
        <f>IF(OR(CHOOSE($X$4,'National'!D45,'NSW-1'!D45,'VIC-1'!D45,'QLD-1'!D45,'NSW-2'!D45,'VIC-2'!D45,'QLD-2'!D45,'SA-1'!D45,'WA-1'!D45,'IDC-NSW'!D45,'IDC-VIC'!D45)="Forecast",$AA34=LastActual),CHOOSE($X$4,'National'!G45,'NSW-1'!G45,'VIC-1'!G45,'QLD-1'!G45,'NSW-2'!G45,'VIC-2'!G45,'QLD-2'!G45,'SA-1'!G45,'WA-1'!G45,'IDC-NSW'!G45,'IDC-VIC'!G45),NA())</f>
        <v/>
      </c>
      <c r="AF34" s="20">
        <f>IF(CHOOSE($X$4,'National'!D45,'NSW-1'!D45,'VIC-1'!D45,'QLD-1'!D45,'NSW-2'!D45,'VIC-2'!D45,'QLD-2'!D45,'SA-1'!D45,'WA-1'!D45,'IDC-NSW'!D45,'IDC-VIC'!D45)="Actual",CHOOSE($X$4,'National'!K45,'NSW-1'!K45,'VIC-1'!K45,'QLD-1'!K45,'NSW-2'!K45,'VIC-2'!K45,'QLD-2'!K45,'SA-1'!K45,'WA-1'!K45,'IDC-NSW'!K45,'IDC-VIC'!K45),NA())</f>
        <v/>
      </c>
      <c r="AG34" s="20">
        <f>IF(OR(CHOOSE($X$4,'National'!D45,'NSW-1'!D45,'VIC-1'!D45,'QLD-1'!D45,'NSW-2'!D45,'VIC-2'!D45,'QLD-2'!D45,'SA-1'!D45,'WA-1'!D45,'IDC-NSW'!D45,'IDC-VIC'!D45)="Forecast",$AA34=LastActual),CHOOSE($X$4,'National'!K45,'NSW-1'!K45,'VIC-1'!K45,'QLD-1'!K45,'NSW-2'!K45,'VIC-2'!K45,'QLD-2'!K45,'SA-1'!K45,'WA-1'!K45,'IDC-NSW'!K45,'IDC-VIC'!K45),NA())</f>
        <v/>
      </c>
      <c r="AH34" s="21">
        <f>IF(CHOOSE($X$4,'National'!D45,'NSW-1'!D45,'VIC-1'!D45,'QLD-1'!D45,'NSW-2'!D45,'VIC-2'!D45,'QLD-2'!D45,'SA-1'!D45,'WA-1'!D45,'IDC-NSW'!D45,'IDC-VIC'!D45)="Actual",CHOOSE($X$4,'National'!L45,'NSW-1'!L45,'VIC-1'!L45,'QLD-1'!L45,'NSW-2'!L45,'VIC-2'!L45,'QLD-2'!L45,'SA-1'!L45,'WA-1'!L45,'IDC-NSW'!L45,'IDC-VIC'!L45),NA())</f>
        <v/>
      </c>
      <c r="AI34" s="21">
        <f>IF(OR(CHOOSE($X$4,'National'!D45,'NSW-1'!D45,'VIC-1'!D45,'QLD-1'!D45,'NSW-2'!D45,'VIC-2'!D45,'QLD-2'!D45,'SA-1'!D45,'WA-1'!D45,'IDC-NSW'!D45,'IDC-VIC'!D45)="Forecast",$AA34=LastActual),CHOOSE($X$4,'National'!L45,'NSW-1'!L45,'VIC-1'!L45,'QLD-1'!L45,'NSW-2'!L45,'VIC-2'!L45,'QLD-2'!L45,'SA-1'!L45,'WA-1'!L45,'IDC-NSW'!L45,'IDC-VIC'!L45),NA())</f>
        <v/>
      </c>
      <c r="AJ34" s="22">
        <f>IF(CHOOSE($X$4,'National'!D45,'NSW-1'!D45,'VIC-1'!D45,'QLD-1'!D45,'NSW-2'!D45,'VIC-2'!D45,'QLD-2'!D45,'SA-1'!D45,'WA-1'!D45,'IDC-NSW'!D45,'IDC-VIC'!D45)="Actual",CHOOSE($X$4,'National'!M45,'NSW-1'!M45,'VIC-1'!M45,'QLD-1'!M45,'NSW-2'!M45,'VIC-2'!M45,'QLD-2'!M45,'SA-1'!M45,'WA-1'!M45,'IDC-NSW'!M45,'IDC-VIC'!M45),NA())</f>
        <v/>
      </c>
      <c r="AK34" s="22">
        <f>IF(OR(CHOOSE($X$4,'National'!D45,'NSW-1'!D45,'VIC-1'!D45,'QLD-1'!D45,'NSW-2'!D45,'VIC-2'!D45,'QLD-2'!D45,'SA-1'!D45,'WA-1'!D45,'IDC-NSW'!D45,'IDC-VIC'!D45)="Forecast",$AA34=LastActual),CHOOSE($X$4,'National'!M45,'NSW-1'!M45,'VIC-1'!M45,'QLD-1'!M45,'NSW-2'!M45,'VIC-2'!M45,'QLD-2'!M45,'SA-1'!M45,'WA-1'!M45,'IDC-NSW'!M45,'IDC-VIC'!M45),NA())</f>
        <v/>
      </c>
      <c r="AL34" s="8">
        <f>IF(CHOOSE($X$4,'National'!D45,'NSW-1'!D45,'VIC-1'!D45,'QLD-1'!D45,'NSW-2'!D45,'VIC-2'!D45,'QLD-2'!D45,'SA-1'!D45,'WA-1'!D45,'IDC-NSW'!D45,'IDC-VIC'!D45)="Actual",CHOOSE($X$4,'National'!P45,'NSW-1'!P45,'VIC-1'!P45,'QLD-1'!P45,'NSW-2'!P45,'VIC-2'!P45,'QLD-2'!P45,'SA-1'!P45,'WA-1'!P45,'IDC-NSW'!P45,'IDC-VIC'!P45),NA())</f>
        <v/>
      </c>
      <c r="AM34" s="8">
        <f>IF(OR(CHOOSE($X$4,'National'!D45,'NSW-1'!D45,'VIC-1'!D45,'QLD-1'!D45,'NSW-2'!D45,'VIC-2'!D45,'QLD-2'!D45,'SA-1'!D45,'WA-1'!D45,'IDC-NSW'!D45,'IDC-VIC'!D45)="Forecast",$AA34=LastActual),CHOOSE($X$4,'National'!P45,'NSW-1'!P45,'VIC-1'!P45,'QLD-1'!P45,'NSW-2'!P45,'VIC-2'!P45,'QLD-2'!P45,'SA-1'!P45,'WA-1'!P45,'IDC-NSW'!P45,'IDC-VIC'!P45),NA())</f>
        <v/>
      </c>
    </row>
    <row r="35">
      <c r="AA35" s="9" t="n">
        <v>46600</v>
      </c>
      <c r="AB35" s="19">
        <f>IF(CHOOSE($X$4,'National'!D46,'NSW-1'!D46,'VIC-1'!D46,'QLD-1'!D46,'NSW-2'!D46,'VIC-2'!D46,'QLD-2'!D46,'SA-1'!D46,'WA-1'!D46,'IDC-NSW'!D46,'IDC-VIC'!D46)="Actual",CHOOSE($X$4,'National'!J46,'NSW-1'!J46,'VIC-1'!J46,'QLD-1'!J46,'NSW-2'!J46,'VIC-2'!J46,'QLD-2'!J46,'SA-1'!J46,'WA-1'!J46,'IDC-NSW'!J46,'IDC-VIC'!J46),NA())</f>
        <v/>
      </c>
      <c r="AC35" s="19">
        <f>IF(OR(CHOOSE($X$4,'National'!D46,'NSW-1'!D46,'VIC-1'!D46,'QLD-1'!D46,'NSW-2'!D46,'VIC-2'!D46,'QLD-2'!D46,'SA-1'!D46,'WA-1'!D46,'IDC-NSW'!D46,'IDC-VIC'!D46)="Forecast",$AA35=LastActual),CHOOSE($X$4,'National'!J46,'NSW-1'!J46,'VIC-1'!J46,'QLD-1'!J46,'NSW-2'!J46,'VIC-2'!J46,'QLD-2'!J46,'SA-1'!J46,'WA-1'!J46,'IDC-NSW'!J46,'IDC-VIC'!J46),NA())</f>
        <v/>
      </c>
      <c r="AD35" s="10">
        <f>IF(CHOOSE($X$4,'National'!D46,'NSW-1'!D46,'VIC-1'!D46,'QLD-1'!D46,'NSW-2'!D46,'VIC-2'!D46,'QLD-2'!D46,'SA-1'!D46,'WA-1'!D46,'IDC-NSW'!D46,'IDC-VIC'!D46)="Actual",CHOOSE($X$4,'National'!G46,'NSW-1'!G46,'VIC-1'!G46,'QLD-1'!G46,'NSW-2'!G46,'VIC-2'!G46,'QLD-2'!G46,'SA-1'!G46,'WA-1'!G46,'IDC-NSW'!G46,'IDC-VIC'!G46),NA())</f>
        <v/>
      </c>
      <c r="AE35" s="10">
        <f>IF(OR(CHOOSE($X$4,'National'!D46,'NSW-1'!D46,'VIC-1'!D46,'QLD-1'!D46,'NSW-2'!D46,'VIC-2'!D46,'QLD-2'!D46,'SA-1'!D46,'WA-1'!D46,'IDC-NSW'!D46,'IDC-VIC'!D46)="Forecast",$AA35=LastActual),CHOOSE($X$4,'National'!G46,'NSW-1'!G46,'VIC-1'!G46,'QLD-1'!G46,'NSW-2'!G46,'VIC-2'!G46,'QLD-2'!G46,'SA-1'!G46,'WA-1'!G46,'IDC-NSW'!G46,'IDC-VIC'!G46),NA())</f>
        <v/>
      </c>
      <c r="AF35" s="20">
        <f>IF(CHOOSE($X$4,'National'!D46,'NSW-1'!D46,'VIC-1'!D46,'QLD-1'!D46,'NSW-2'!D46,'VIC-2'!D46,'QLD-2'!D46,'SA-1'!D46,'WA-1'!D46,'IDC-NSW'!D46,'IDC-VIC'!D46)="Actual",CHOOSE($X$4,'National'!K46,'NSW-1'!K46,'VIC-1'!K46,'QLD-1'!K46,'NSW-2'!K46,'VIC-2'!K46,'QLD-2'!K46,'SA-1'!K46,'WA-1'!K46,'IDC-NSW'!K46,'IDC-VIC'!K46),NA())</f>
        <v/>
      </c>
      <c r="AG35" s="20">
        <f>IF(OR(CHOOSE($X$4,'National'!D46,'NSW-1'!D46,'VIC-1'!D46,'QLD-1'!D46,'NSW-2'!D46,'VIC-2'!D46,'QLD-2'!D46,'SA-1'!D46,'WA-1'!D46,'IDC-NSW'!D46,'IDC-VIC'!D46)="Forecast",$AA35=LastActual),CHOOSE($X$4,'National'!K46,'NSW-1'!K46,'VIC-1'!K46,'QLD-1'!K46,'NSW-2'!K46,'VIC-2'!K46,'QLD-2'!K46,'SA-1'!K46,'WA-1'!K46,'IDC-NSW'!K46,'IDC-VIC'!K46),NA())</f>
        <v/>
      </c>
      <c r="AH35" s="21">
        <f>IF(CHOOSE($X$4,'National'!D46,'NSW-1'!D46,'VIC-1'!D46,'QLD-1'!D46,'NSW-2'!D46,'VIC-2'!D46,'QLD-2'!D46,'SA-1'!D46,'WA-1'!D46,'IDC-NSW'!D46,'IDC-VIC'!D46)="Actual",CHOOSE($X$4,'National'!L46,'NSW-1'!L46,'VIC-1'!L46,'QLD-1'!L46,'NSW-2'!L46,'VIC-2'!L46,'QLD-2'!L46,'SA-1'!L46,'WA-1'!L46,'IDC-NSW'!L46,'IDC-VIC'!L46),NA())</f>
        <v/>
      </c>
      <c r="AI35" s="21">
        <f>IF(OR(CHOOSE($X$4,'National'!D46,'NSW-1'!D46,'VIC-1'!D46,'QLD-1'!D46,'NSW-2'!D46,'VIC-2'!D46,'QLD-2'!D46,'SA-1'!D46,'WA-1'!D46,'IDC-NSW'!D46,'IDC-VIC'!D46)="Forecast",$AA35=LastActual),CHOOSE($X$4,'National'!L46,'NSW-1'!L46,'VIC-1'!L46,'QLD-1'!L46,'NSW-2'!L46,'VIC-2'!L46,'QLD-2'!L46,'SA-1'!L46,'WA-1'!L46,'IDC-NSW'!L46,'IDC-VIC'!L46),NA())</f>
        <v/>
      </c>
      <c r="AJ35" s="22">
        <f>IF(CHOOSE($X$4,'National'!D46,'NSW-1'!D46,'VIC-1'!D46,'QLD-1'!D46,'NSW-2'!D46,'VIC-2'!D46,'QLD-2'!D46,'SA-1'!D46,'WA-1'!D46,'IDC-NSW'!D46,'IDC-VIC'!D46)="Actual",CHOOSE($X$4,'National'!M46,'NSW-1'!M46,'VIC-1'!M46,'QLD-1'!M46,'NSW-2'!M46,'VIC-2'!M46,'QLD-2'!M46,'SA-1'!M46,'WA-1'!M46,'IDC-NSW'!M46,'IDC-VIC'!M46),NA())</f>
        <v/>
      </c>
      <c r="AK35" s="22">
        <f>IF(OR(CHOOSE($X$4,'National'!D46,'NSW-1'!D46,'VIC-1'!D46,'QLD-1'!D46,'NSW-2'!D46,'VIC-2'!D46,'QLD-2'!D46,'SA-1'!D46,'WA-1'!D46,'IDC-NSW'!D46,'IDC-VIC'!D46)="Forecast",$AA35=LastActual),CHOOSE($X$4,'National'!M46,'NSW-1'!M46,'VIC-1'!M46,'QLD-1'!M46,'NSW-2'!M46,'VIC-2'!M46,'QLD-2'!M46,'SA-1'!M46,'WA-1'!M46,'IDC-NSW'!M46,'IDC-VIC'!M46),NA())</f>
        <v/>
      </c>
      <c r="AL35" s="8">
        <f>IF(CHOOSE($X$4,'National'!D46,'NSW-1'!D46,'VIC-1'!D46,'QLD-1'!D46,'NSW-2'!D46,'VIC-2'!D46,'QLD-2'!D46,'SA-1'!D46,'WA-1'!D46,'IDC-NSW'!D46,'IDC-VIC'!D46)="Actual",CHOOSE($X$4,'National'!P46,'NSW-1'!P46,'VIC-1'!P46,'QLD-1'!P46,'NSW-2'!P46,'VIC-2'!P46,'QLD-2'!P46,'SA-1'!P46,'WA-1'!P46,'IDC-NSW'!P46,'IDC-VIC'!P46),NA())</f>
        <v/>
      </c>
      <c r="AM35" s="8">
        <f>IF(OR(CHOOSE($X$4,'National'!D46,'NSW-1'!D46,'VIC-1'!D46,'QLD-1'!D46,'NSW-2'!D46,'VIC-2'!D46,'QLD-2'!D46,'SA-1'!D46,'WA-1'!D46,'IDC-NSW'!D46,'IDC-VIC'!D46)="Forecast",$AA35=LastActual),CHOOSE($X$4,'National'!P46,'NSW-1'!P46,'VIC-1'!P46,'QLD-1'!P46,'NSW-2'!P46,'VIC-2'!P46,'QLD-2'!P46,'SA-1'!P46,'WA-1'!P46,'IDC-NSW'!P46,'IDC-VIC'!P46),NA())</f>
        <v/>
      </c>
    </row>
    <row r="36">
      <c r="AA36" s="9" t="n">
        <v>46631</v>
      </c>
      <c r="AB36" s="19">
        <f>IF(CHOOSE($X$4,'National'!D47,'NSW-1'!D47,'VIC-1'!D47,'QLD-1'!D47,'NSW-2'!D47,'VIC-2'!D47,'QLD-2'!D47,'SA-1'!D47,'WA-1'!D47,'IDC-NSW'!D47,'IDC-VIC'!D47)="Actual",CHOOSE($X$4,'National'!J47,'NSW-1'!J47,'VIC-1'!J47,'QLD-1'!J47,'NSW-2'!J47,'VIC-2'!J47,'QLD-2'!J47,'SA-1'!J47,'WA-1'!J47,'IDC-NSW'!J47,'IDC-VIC'!J47),NA())</f>
        <v/>
      </c>
      <c r="AC36" s="19">
        <f>IF(OR(CHOOSE($X$4,'National'!D47,'NSW-1'!D47,'VIC-1'!D47,'QLD-1'!D47,'NSW-2'!D47,'VIC-2'!D47,'QLD-2'!D47,'SA-1'!D47,'WA-1'!D47,'IDC-NSW'!D47,'IDC-VIC'!D47)="Forecast",$AA36=LastActual),CHOOSE($X$4,'National'!J47,'NSW-1'!J47,'VIC-1'!J47,'QLD-1'!J47,'NSW-2'!J47,'VIC-2'!J47,'QLD-2'!J47,'SA-1'!J47,'WA-1'!J47,'IDC-NSW'!J47,'IDC-VIC'!J47),NA())</f>
        <v/>
      </c>
      <c r="AD36" s="10">
        <f>IF(CHOOSE($X$4,'National'!D47,'NSW-1'!D47,'VIC-1'!D47,'QLD-1'!D47,'NSW-2'!D47,'VIC-2'!D47,'QLD-2'!D47,'SA-1'!D47,'WA-1'!D47,'IDC-NSW'!D47,'IDC-VIC'!D47)="Actual",CHOOSE($X$4,'National'!G47,'NSW-1'!G47,'VIC-1'!G47,'QLD-1'!G47,'NSW-2'!G47,'VIC-2'!G47,'QLD-2'!G47,'SA-1'!G47,'WA-1'!G47,'IDC-NSW'!G47,'IDC-VIC'!G47),NA())</f>
        <v/>
      </c>
      <c r="AE36" s="10">
        <f>IF(OR(CHOOSE($X$4,'National'!D47,'NSW-1'!D47,'VIC-1'!D47,'QLD-1'!D47,'NSW-2'!D47,'VIC-2'!D47,'QLD-2'!D47,'SA-1'!D47,'WA-1'!D47,'IDC-NSW'!D47,'IDC-VIC'!D47)="Forecast",$AA36=LastActual),CHOOSE($X$4,'National'!G47,'NSW-1'!G47,'VIC-1'!G47,'QLD-1'!G47,'NSW-2'!G47,'VIC-2'!G47,'QLD-2'!G47,'SA-1'!G47,'WA-1'!G47,'IDC-NSW'!G47,'IDC-VIC'!G47),NA())</f>
        <v/>
      </c>
      <c r="AF36" s="20">
        <f>IF(CHOOSE($X$4,'National'!D47,'NSW-1'!D47,'VIC-1'!D47,'QLD-1'!D47,'NSW-2'!D47,'VIC-2'!D47,'QLD-2'!D47,'SA-1'!D47,'WA-1'!D47,'IDC-NSW'!D47,'IDC-VIC'!D47)="Actual",CHOOSE($X$4,'National'!K47,'NSW-1'!K47,'VIC-1'!K47,'QLD-1'!K47,'NSW-2'!K47,'VIC-2'!K47,'QLD-2'!K47,'SA-1'!K47,'WA-1'!K47,'IDC-NSW'!K47,'IDC-VIC'!K47),NA())</f>
        <v/>
      </c>
      <c r="AG36" s="20">
        <f>IF(OR(CHOOSE($X$4,'National'!D47,'NSW-1'!D47,'VIC-1'!D47,'QLD-1'!D47,'NSW-2'!D47,'VIC-2'!D47,'QLD-2'!D47,'SA-1'!D47,'WA-1'!D47,'IDC-NSW'!D47,'IDC-VIC'!D47)="Forecast",$AA36=LastActual),CHOOSE($X$4,'National'!K47,'NSW-1'!K47,'VIC-1'!K47,'QLD-1'!K47,'NSW-2'!K47,'VIC-2'!K47,'QLD-2'!K47,'SA-1'!K47,'WA-1'!K47,'IDC-NSW'!K47,'IDC-VIC'!K47),NA())</f>
        <v/>
      </c>
      <c r="AH36" s="21">
        <f>IF(CHOOSE($X$4,'National'!D47,'NSW-1'!D47,'VIC-1'!D47,'QLD-1'!D47,'NSW-2'!D47,'VIC-2'!D47,'QLD-2'!D47,'SA-1'!D47,'WA-1'!D47,'IDC-NSW'!D47,'IDC-VIC'!D47)="Actual",CHOOSE($X$4,'National'!L47,'NSW-1'!L47,'VIC-1'!L47,'QLD-1'!L47,'NSW-2'!L47,'VIC-2'!L47,'QLD-2'!L47,'SA-1'!L47,'WA-1'!L47,'IDC-NSW'!L47,'IDC-VIC'!L47),NA())</f>
        <v/>
      </c>
      <c r="AI36" s="21">
        <f>IF(OR(CHOOSE($X$4,'National'!D47,'NSW-1'!D47,'VIC-1'!D47,'QLD-1'!D47,'NSW-2'!D47,'VIC-2'!D47,'QLD-2'!D47,'SA-1'!D47,'WA-1'!D47,'IDC-NSW'!D47,'IDC-VIC'!D47)="Forecast",$AA36=LastActual),CHOOSE($X$4,'National'!L47,'NSW-1'!L47,'VIC-1'!L47,'QLD-1'!L47,'NSW-2'!L47,'VIC-2'!L47,'QLD-2'!L47,'SA-1'!L47,'WA-1'!L47,'IDC-NSW'!L47,'IDC-VIC'!L47),NA())</f>
        <v/>
      </c>
      <c r="AJ36" s="22">
        <f>IF(CHOOSE($X$4,'National'!D47,'NSW-1'!D47,'VIC-1'!D47,'QLD-1'!D47,'NSW-2'!D47,'VIC-2'!D47,'QLD-2'!D47,'SA-1'!D47,'WA-1'!D47,'IDC-NSW'!D47,'IDC-VIC'!D47)="Actual",CHOOSE($X$4,'National'!M47,'NSW-1'!M47,'VIC-1'!M47,'QLD-1'!M47,'NSW-2'!M47,'VIC-2'!M47,'QLD-2'!M47,'SA-1'!M47,'WA-1'!M47,'IDC-NSW'!M47,'IDC-VIC'!M47),NA())</f>
        <v/>
      </c>
      <c r="AK36" s="22">
        <f>IF(OR(CHOOSE($X$4,'National'!D47,'NSW-1'!D47,'VIC-1'!D47,'QLD-1'!D47,'NSW-2'!D47,'VIC-2'!D47,'QLD-2'!D47,'SA-1'!D47,'WA-1'!D47,'IDC-NSW'!D47,'IDC-VIC'!D47)="Forecast",$AA36=LastActual),CHOOSE($X$4,'National'!M47,'NSW-1'!M47,'VIC-1'!M47,'QLD-1'!M47,'NSW-2'!M47,'VIC-2'!M47,'QLD-2'!M47,'SA-1'!M47,'WA-1'!M47,'IDC-NSW'!M47,'IDC-VIC'!M47),NA())</f>
        <v/>
      </c>
      <c r="AL36" s="8">
        <f>IF(CHOOSE($X$4,'National'!D47,'NSW-1'!D47,'VIC-1'!D47,'QLD-1'!D47,'NSW-2'!D47,'VIC-2'!D47,'QLD-2'!D47,'SA-1'!D47,'WA-1'!D47,'IDC-NSW'!D47,'IDC-VIC'!D47)="Actual",CHOOSE($X$4,'National'!P47,'NSW-1'!P47,'VIC-1'!P47,'QLD-1'!P47,'NSW-2'!P47,'VIC-2'!P47,'QLD-2'!P47,'SA-1'!P47,'WA-1'!P47,'IDC-NSW'!P47,'IDC-VIC'!P47),NA())</f>
        <v/>
      </c>
      <c r="AM36" s="8">
        <f>IF(OR(CHOOSE($X$4,'National'!D47,'NSW-1'!D47,'VIC-1'!D47,'QLD-1'!D47,'NSW-2'!D47,'VIC-2'!D47,'QLD-2'!D47,'SA-1'!D47,'WA-1'!D47,'IDC-NSW'!D47,'IDC-VIC'!D47)="Forecast",$AA36=LastActual),CHOOSE($X$4,'National'!P47,'NSW-1'!P47,'VIC-1'!P47,'QLD-1'!P47,'NSW-2'!P47,'VIC-2'!P47,'QLD-2'!P47,'SA-1'!P47,'WA-1'!P47,'IDC-NSW'!P47,'IDC-VIC'!P47),NA())</f>
        <v/>
      </c>
    </row>
    <row r="37">
      <c r="AA37" s="9" t="n">
        <v>46661</v>
      </c>
      <c r="AB37" s="19">
        <f>IF(CHOOSE($X$4,'National'!D48,'NSW-1'!D48,'VIC-1'!D48,'QLD-1'!D48,'NSW-2'!D48,'VIC-2'!D48,'QLD-2'!D48,'SA-1'!D48,'WA-1'!D48,'IDC-NSW'!D48,'IDC-VIC'!D48)="Actual",CHOOSE($X$4,'National'!J48,'NSW-1'!J48,'VIC-1'!J48,'QLD-1'!J48,'NSW-2'!J48,'VIC-2'!J48,'QLD-2'!J48,'SA-1'!J48,'WA-1'!J48,'IDC-NSW'!J48,'IDC-VIC'!J48),NA())</f>
        <v/>
      </c>
      <c r="AC37" s="19">
        <f>IF(OR(CHOOSE($X$4,'National'!D48,'NSW-1'!D48,'VIC-1'!D48,'QLD-1'!D48,'NSW-2'!D48,'VIC-2'!D48,'QLD-2'!D48,'SA-1'!D48,'WA-1'!D48,'IDC-NSW'!D48,'IDC-VIC'!D48)="Forecast",$AA37=LastActual),CHOOSE($X$4,'National'!J48,'NSW-1'!J48,'VIC-1'!J48,'QLD-1'!J48,'NSW-2'!J48,'VIC-2'!J48,'QLD-2'!J48,'SA-1'!J48,'WA-1'!J48,'IDC-NSW'!J48,'IDC-VIC'!J48),NA())</f>
        <v/>
      </c>
      <c r="AD37" s="10">
        <f>IF(CHOOSE($X$4,'National'!D48,'NSW-1'!D48,'VIC-1'!D48,'QLD-1'!D48,'NSW-2'!D48,'VIC-2'!D48,'QLD-2'!D48,'SA-1'!D48,'WA-1'!D48,'IDC-NSW'!D48,'IDC-VIC'!D48)="Actual",CHOOSE($X$4,'National'!G48,'NSW-1'!G48,'VIC-1'!G48,'QLD-1'!G48,'NSW-2'!G48,'VIC-2'!G48,'QLD-2'!G48,'SA-1'!G48,'WA-1'!G48,'IDC-NSW'!G48,'IDC-VIC'!G48),NA())</f>
        <v/>
      </c>
      <c r="AE37" s="10">
        <f>IF(OR(CHOOSE($X$4,'National'!D48,'NSW-1'!D48,'VIC-1'!D48,'QLD-1'!D48,'NSW-2'!D48,'VIC-2'!D48,'QLD-2'!D48,'SA-1'!D48,'WA-1'!D48,'IDC-NSW'!D48,'IDC-VIC'!D48)="Forecast",$AA37=LastActual),CHOOSE($X$4,'National'!G48,'NSW-1'!G48,'VIC-1'!G48,'QLD-1'!G48,'NSW-2'!G48,'VIC-2'!G48,'QLD-2'!G48,'SA-1'!G48,'WA-1'!G48,'IDC-NSW'!G48,'IDC-VIC'!G48),NA())</f>
        <v/>
      </c>
      <c r="AF37" s="20">
        <f>IF(CHOOSE($X$4,'National'!D48,'NSW-1'!D48,'VIC-1'!D48,'QLD-1'!D48,'NSW-2'!D48,'VIC-2'!D48,'QLD-2'!D48,'SA-1'!D48,'WA-1'!D48,'IDC-NSW'!D48,'IDC-VIC'!D48)="Actual",CHOOSE($X$4,'National'!K48,'NSW-1'!K48,'VIC-1'!K48,'QLD-1'!K48,'NSW-2'!K48,'VIC-2'!K48,'QLD-2'!K48,'SA-1'!K48,'WA-1'!K48,'IDC-NSW'!K48,'IDC-VIC'!K48),NA())</f>
        <v/>
      </c>
      <c r="AG37" s="20">
        <f>IF(OR(CHOOSE($X$4,'National'!D48,'NSW-1'!D48,'VIC-1'!D48,'QLD-1'!D48,'NSW-2'!D48,'VIC-2'!D48,'QLD-2'!D48,'SA-1'!D48,'WA-1'!D48,'IDC-NSW'!D48,'IDC-VIC'!D48)="Forecast",$AA37=LastActual),CHOOSE($X$4,'National'!K48,'NSW-1'!K48,'VIC-1'!K48,'QLD-1'!K48,'NSW-2'!K48,'VIC-2'!K48,'QLD-2'!K48,'SA-1'!K48,'WA-1'!K48,'IDC-NSW'!K48,'IDC-VIC'!K48),NA())</f>
        <v/>
      </c>
      <c r="AH37" s="21">
        <f>IF(CHOOSE($X$4,'National'!D48,'NSW-1'!D48,'VIC-1'!D48,'QLD-1'!D48,'NSW-2'!D48,'VIC-2'!D48,'QLD-2'!D48,'SA-1'!D48,'WA-1'!D48,'IDC-NSW'!D48,'IDC-VIC'!D48)="Actual",CHOOSE($X$4,'National'!L48,'NSW-1'!L48,'VIC-1'!L48,'QLD-1'!L48,'NSW-2'!L48,'VIC-2'!L48,'QLD-2'!L48,'SA-1'!L48,'WA-1'!L48,'IDC-NSW'!L48,'IDC-VIC'!L48),NA())</f>
        <v/>
      </c>
      <c r="AI37" s="21">
        <f>IF(OR(CHOOSE($X$4,'National'!D48,'NSW-1'!D48,'VIC-1'!D48,'QLD-1'!D48,'NSW-2'!D48,'VIC-2'!D48,'QLD-2'!D48,'SA-1'!D48,'WA-1'!D48,'IDC-NSW'!D48,'IDC-VIC'!D48)="Forecast",$AA37=LastActual),CHOOSE($X$4,'National'!L48,'NSW-1'!L48,'VIC-1'!L48,'QLD-1'!L48,'NSW-2'!L48,'VIC-2'!L48,'QLD-2'!L48,'SA-1'!L48,'WA-1'!L48,'IDC-NSW'!L48,'IDC-VIC'!L48),NA())</f>
        <v/>
      </c>
      <c r="AJ37" s="22">
        <f>IF(CHOOSE($X$4,'National'!D48,'NSW-1'!D48,'VIC-1'!D48,'QLD-1'!D48,'NSW-2'!D48,'VIC-2'!D48,'QLD-2'!D48,'SA-1'!D48,'WA-1'!D48,'IDC-NSW'!D48,'IDC-VIC'!D48)="Actual",CHOOSE($X$4,'National'!M48,'NSW-1'!M48,'VIC-1'!M48,'QLD-1'!M48,'NSW-2'!M48,'VIC-2'!M48,'QLD-2'!M48,'SA-1'!M48,'WA-1'!M48,'IDC-NSW'!M48,'IDC-VIC'!M48),NA())</f>
        <v/>
      </c>
      <c r="AK37" s="22">
        <f>IF(OR(CHOOSE($X$4,'National'!D48,'NSW-1'!D48,'VIC-1'!D48,'QLD-1'!D48,'NSW-2'!D48,'VIC-2'!D48,'QLD-2'!D48,'SA-1'!D48,'WA-1'!D48,'IDC-NSW'!D48,'IDC-VIC'!D48)="Forecast",$AA37=LastActual),CHOOSE($X$4,'National'!M48,'NSW-1'!M48,'VIC-1'!M48,'QLD-1'!M48,'NSW-2'!M48,'VIC-2'!M48,'QLD-2'!M48,'SA-1'!M48,'WA-1'!M48,'IDC-NSW'!M48,'IDC-VIC'!M48),NA())</f>
        <v/>
      </c>
      <c r="AL37" s="8">
        <f>IF(CHOOSE($X$4,'National'!D48,'NSW-1'!D48,'VIC-1'!D48,'QLD-1'!D48,'NSW-2'!D48,'VIC-2'!D48,'QLD-2'!D48,'SA-1'!D48,'WA-1'!D48,'IDC-NSW'!D48,'IDC-VIC'!D48)="Actual",CHOOSE($X$4,'National'!P48,'NSW-1'!P48,'VIC-1'!P48,'QLD-1'!P48,'NSW-2'!P48,'VIC-2'!P48,'QLD-2'!P48,'SA-1'!P48,'WA-1'!P48,'IDC-NSW'!P48,'IDC-VIC'!P48),NA())</f>
        <v/>
      </c>
      <c r="AM37" s="8">
        <f>IF(OR(CHOOSE($X$4,'National'!D48,'NSW-1'!D48,'VIC-1'!D48,'QLD-1'!D48,'NSW-2'!D48,'VIC-2'!D48,'QLD-2'!D48,'SA-1'!D48,'WA-1'!D48,'IDC-NSW'!D48,'IDC-VIC'!D48)="Forecast",$AA37=LastActual),CHOOSE($X$4,'National'!P48,'NSW-1'!P48,'VIC-1'!P48,'QLD-1'!P48,'NSW-2'!P48,'VIC-2'!P48,'QLD-2'!P48,'SA-1'!P48,'WA-1'!P48,'IDC-NSW'!P48,'IDC-VIC'!P48),NA())</f>
        <v/>
      </c>
    </row>
    <row r="38">
      <c r="AA38" s="9" t="n">
        <v>46692</v>
      </c>
      <c r="AB38" s="19">
        <f>IF(CHOOSE($X$4,'National'!D49,'NSW-1'!D49,'VIC-1'!D49,'QLD-1'!D49,'NSW-2'!D49,'VIC-2'!D49,'QLD-2'!D49,'SA-1'!D49,'WA-1'!D49,'IDC-NSW'!D49,'IDC-VIC'!D49)="Actual",CHOOSE($X$4,'National'!J49,'NSW-1'!J49,'VIC-1'!J49,'QLD-1'!J49,'NSW-2'!J49,'VIC-2'!J49,'QLD-2'!J49,'SA-1'!J49,'WA-1'!J49,'IDC-NSW'!J49,'IDC-VIC'!J49),NA())</f>
        <v/>
      </c>
      <c r="AC38" s="19">
        <f>IF(OR(CHOOSE($X$4,'National'!D49,'NSW-1'!D49,'VIC-1'!D49,'QLD-1'!D49,'NSW-2'!D49,'VIC-2'!D49,'QLD-2'!D49,'SA-1'!D49,'WA-1'!D49,'IDC-NSW'!D49,'IDC-VIC'!D49)="Forecast",$AA38=LastActual),CHOOSE($X$4,'National'!J49,'NSW-1'!J49,'VIC-1'!J49,'QLD-1'!J49,'NSW-2'!J49,'VIC-2'!J49,'QLD-2'!J49,'SA-1'!J49,'WA-1'!J49,'IDC-NSW'!J49,'IDC-VIC'!J49),NA())</f>
        <v/>
      </c>
      <c r="AD38" s="10">
        <f>IF(CHOOSE($X$4,'National'!D49,'NSW-1'!D49,'VIC-1'!D49,'QLD-1'!D49,'NSW-2'!D49,'VIC-2'!D49,'QLD-2'!D49,'SA-1'!D49,'WA-1'!D49,'IDC-NSW'!D49,'IDC-VIC'!D49)="Actual",CHOOSE($X$4,'National'!G49,'NSW-1'!G49,'VIC-1'!G49,'QLD-1'!G49,'NSW-2'!G49,'VIC-2'!G49,'QLD-2'!G49,'SA-1'!G49,'WA-1'!G49,'IDC-NSW'!G49,'IDC-VIC'!G49),NA())</f>
        <v/>
      </c>
      <c r="AE38" s="10">
        <f>IF(OR(CHOOSE($X$4,'National'!D49,'NSW-1'!D49,'VIC-1'!D49,'QLD-1'!D49,'NSW-2'!D49,'VIC-2'!D49,'QLD-2'!D49,'SA-1'!D49,'WA-1'!D49,'IDC-NSW'!D49,'IDC-VIC'!D49)="Forecast",$AA38=LastActual),CHOOSE($X$4,'National'!G49,'NSW-1'!G49,'VIC-1'!G49,'QLD-1'!G49,'NSW-2'!G49,'VIC-2'!G49,'QLD-2'!G49,'SA-1'!G49,'WA-1'!G49,'IDC-NSW'!G49,'IDC-VIC'!G49),NA())</f>
        <v/>
      </c>
      <c r="AF38" s="20">
        <f>IF(CHOOSE($X$4,'National'!D49,'NSW-1'!D49,'VIC-1'!D49,'QLD-1'!D49,'NSW-2'!D49,'VIC-2'!D49,'QLD-2'!D49,'SA-1'!D49,'WA-1'!D49,'IDC-NSW'!D49,'IDC-VIC'!D49)="Actual",CHOOSE($X$4,'National'!K49,'NSW-1'!K49,'VIC-1'!K49,'QLD-1'!K49,'NSW-2'!K49,'VIC-2'!K49,'QLD-2'!K49,'SA-1'!K49,'WA-1'!K49,'IDC-NSW'!K49,'IDC-VIC'!K49),NA())</f>
        <v/>
      </c>
      <c r="AG38" s="20">
        <f>IF(OR(CHOOSE($X$4,'National'!D49,'NSW-1'!D49,'VIC-1'!D49,'QLD-1'!D49,'NSW-2'!D49,'VIC-2'!D49,'QLD-2'!D49,'SA-1'!D49,'WA-1'!D49,'IDC-NSW'!D49,'IDC-VIC'!D49)="Forecast",$AA38=LastActual),CHOOSE($X$4,'National'!K49,'NSW-1'!K49,'VIC-1'!K49,'QLD-1'!K49,'NSW-2'!K49,'VIC-2'!K49,'QLD-2'!K49,'SA-1'!K49,'WA-1'!K49,'IDC-NSW'!K49,'IDC-VIC'!K49),NA())</f>
        <v/>
      </c>
      <c r="AH38" s="21">
        <f>IF(CHOOSE($X$4,'National'!D49,'NSW-1'!D49,'VIC-1'!D49,'QLD-1'!D49,'NSW-2'!D49,'VIC-2'!D49,'QLD-2'!D49,'SA-1'!D49,'WA-1'!D49,'IDC-NSW'!D49,'IDC-VIC'!D49)="Actual",CHOOSE($X$4,'National'!L49,'NSW-1'!L49,'VIC-1'!L49,'QLD-1'!L49,'NSW-2'!L49,'VIC-2'!L49,'QLD-2'!L49,'SA-1'!L49,'WA-1'!L49,'IDC-NSW'!L49,'IDC-VIC'!L49),NA())</f>
        <v/>
      </c>
      <c r="AI38" s="21">
        <f>IF(OR(CHOOSE($X$4,'National'!D49,'NSW-1'!D49,'VIC-1'!D49,'QLD-1'!D49,'NSW-2'!D49,'VIC-2'!D49,'QLD-2'!D49,'SA-1'!D49,'WA-1'!D49,'IDC-NSW'!D49,'IDC-VIC'!D49)="Forecast",$AA38=LastActual),CHOOSE($X$4,'National'!L49,'NSW-1'!L49,'VIC-1'!L49,'QLD-1'!L49,'NSW-2'!L49,'VIC-2'!L49,'QLD-2'!L49,'SA-1'!L49,'WA-1'!L49,'IDC-NSW'!L49,'IDC-VIC'!L49),NA())</f>
        <v/>
      </c>
      <c r="AJ38" s="22">
        <f>IF(CHOOSE($X$4,'National'!D49,'NSW-1'!D49,'VIC-1'!D49,'QLD-1'!D49,'NSW-2'!D49,'VIC-2'!D49,'QLD-2'!D49,'SA-1'!D49,'WA-1'!D49,'IDC-NSW'!D49,'IDC-VIC'!D49)="Actual",CHOOSE($X$4,'National'!M49,'NSW-1'!M49,'VIC-1'!M49,'QLD-1'!M49,'NSW-2'!M49,'VIC-2'!M49,'QLD-2'!M49,'SA-1'!M49,'WA-1'!M49,'IDC-NSW'!M49,'IDC-VIC'!M49),NA())</f>
        <v/>
      </c>
      <c r="AK38" s="22">
        <f>IF(OR(CHOOSE($X$4,'National'!D49,'NSW-1'!D49,'VIC-1'!D49,'QLD-1'!D49,'NSW-2'!D49,'VIC-2'!D49,'QLD-2'!D49,'SA-1'!D49,'WA-1'!D49,'IDC-NSW'!D49,'IDC-VIC'!D49)="Forecast",$AA38=LastActual),CHOOSE($X$4,'National'!M49,'NSW-1'!M49,'VIC-1'!M49,'QLD-1'!M49,'NSW-2'!M49,'VIC-2'!M49,'QLD-2'!M49,'SA-1'!M49,'WA-1'!M49,'IDC-NSW'!M49,'IDC-VIC'!M49),NA())</f>
        <v/>
      </c>
      <c r="AL38" s="8">
        <f>IF(CHOOSE($X$4,'National'!D49,'NSW-1'!D49,'VIC-1'!D49,'QLD-1'!D49,'NSW-2'!D49,'VIC-2'!D49,'QLD-2'!D49,'SA-1'!D49,'WA-1'!D49,'IDC-NSW'!D49,'IDC-VIC'!D49)="Actual",CHOOSE($X$4,'National'!P49,'NSW-1'!P49,'VIC-1'!P49,'QLD-1'!P49,'NSW-2'!P49,'VIC-2'!P49,'QLD-2'!P49,'SA-1'!P49,'WA-1'!P49,'IDC-NSW'!P49,'IDC-VIC'!P49),NA())</f>
        <v/>
      </c>
      <c r="AM38" s="8">
        <f>IF(OR(CHOOSE($X$4,'National'!D49,'NSW-1'!D49,'VIC-1'!D49,'QLD-1'!D49,'NSW-2'!D49,'VIC-2'!D49,'QLD-2'!D49,'SA-1'!D49,'WA-1'!D49,'IDC-NSW'!D49,'IDC-VIC'!D49)="Forecast",$AA38=LastActual),CHOOSE($X$4,'National'!P49,'NSW-1'!P49,'VIC-1'!P49,'QLD-1'!P49,'NSW-2'!P49,'VIC-2'!P49,'QLD-2'!P49,'SA-1'!P49,'WA-1'!P49,'IDC-NSW'!P49,'IDC-VIC'!P49),NA())</f>
        <v/>
      </c>
    </row>
    <row r="39">
      <c r="AA39" s="9" t="n">
        <v>46722</v>
      </c>
      <c r="AB39" s="19">
        <f>IF(CHOOSE($X$4,'National'!D50,'NSW-1'!D50,'VIC-1'!D50,'QLD-1'!D50,'NSW-2'!D50,'VIC-2'!D50,'QLD-2'!D50,'SA-1'!D50,'WA-1'!D50,'IDC-NSW'!D50,'IDC-VIC'!D50)="Actual",CHOOSE($X$4,'National'!J50,'NSW-1'!J50,'VIC-1'!J50,'QLD-1'!J50,'NSW-2'!J50,'VIC-2'!J50,'QLD-2'!J50,'SA-1'!J50,'WA-1'!J50,'IDC-NSW'!J50,'IDC-VIC'!J50),NA())</f>
        <v/>
      </c>
      <c r="AC39" s="19">
        <f>IF(OR(CHOOSE($X$4,'National'!D50,'NSW-1'!D50,'VIC-1'!D50,'QLD-1'!D50,'NSW-2'!D50,'VIC-2'!D50,'QLD-2'!D50,'SA-1'!D50,'WA-1'!D50,'IDC-NSW'!D50,'IDC-VIC'!D50)="Forecast",$AA39=LastActual),CHOOSE($X$4,'National'!J50,'NSW-1'!J50,'VIC-1'!J50,'QLD-1'!J50,'NSW-2'!J50,'VIC-2'!J50,'QLD-2'!J50,'SA-1'!J50,'WA-1'!J50,'IDC-NSW'!J50,'IDC-VIC'!J50),NA())</f>
        <v/>
      </c>
      <c r="AD39" s="10">
        <f>IF(CHOOSE($X$4,'National'!D50,'NSW-1'!D50,'VIC-1'!D50,'QLD-1'!D50,'NSW-2'!D50,'VIC-2'!D50,'QLD-2'!D50,'SA-1'!D50,'WA-1'!D50,'IDC-NSW'!D50,'IDC-VIC'!D50)="Actual",CHOOSE($X$4,'National'!G50,'NSW-1'!G50,'VIC-1'!G50,'QLD-1'!G50,'NSW-2'!G50,'VIC-2'!G50,'QLD-2'!G50,'SA-1'!G50,'WA-1'!G50,'IDC-NSW'!G50,'IDC-VIC'!G50),NA())</f>
        <v/>
      </c>
      <c r="AE39" s="10">
        <f>IF(OR(CHOOSE($X$4,'National'!D50,'NSW-1'!D50,'VIC-1'!D50,'QLD-1'!D50,'NSW-2'!D50,'VIC-2'!D50,'QLD-2'!D50,'SA-1'!D50,'WA-1'!D50,'IDC-NSW'!D50,'IDC-VIC'!D50)="Forecast",$AA39=LastActual),CHOOSE($X$4,'National'!G50,'NSW-1'!G50,'VIC-1'!G50,'QLD-1'!G50,'NSW-2'!G50,'VIC-2'!G50,'QLD-2'!G50,'SA-1'!G50,'WA-1'!G50,'IDC-NSW'!G50,'IDC-VIC'!G50),NA())</f>
        <v/>
      </c>
      <c r="AF39" s="20">
        <f>IF(CHOOSE($X$4,'National'!D50,'NSW-1'!D50,'VIC-1'!D50,'QLD-1'!D50,'NSW-2'!D50,'VIC-2'!D50,'QLD-2'!D50,'SA-1'!D50,'WA-1'!D50,'IDC-NSW'!D50,'IDC-VIC'!D50)="Actual",CHOOSE($X$4,'National'!K50,'NSW-1'!K50,'VIC-1'!K50,'QLD-1'!K50,'NSW-2'!K50,'VIC-2'!K50,'QLD-2'!K50,'SA-1'!K50,'WA-1'!K50,'IDC-NSW'!K50,'IDC-VIC'!K50),NA())</f>
        <v/>
      </c>
      <c r="AG39" s="20">
        <f>IF(OR(CHOOSE($X$4,'National'!D50,'NSW-1'!D50,'VIC-1'!D50,'QLD-1'!D50,'NSW-2'!D50,'VIC-2'!D50,'QLD-2'!D50,'SA-1'!D50,'WA-1'!D50,'IDC-NSW'!D50,'IDC-VIC'!D50)="Forecast",$AA39=LastActual),CHOOSE($X$4,'National'!K50,'NSW-1'!K50,'VIC-1'!K50,'QLD-1'!K50,'NSW-2'!K50,'VIC-2'!K50,'QLD-2'!K50,'SA-1'!K50,'WA-1'!K50,'IDC-NSW'!K50,'IDC-VIC'!K50),NA())</f>
        <v/>
      </c>
      <c r="AH39" s="21">
        <f>IF(CHOOSE($X$4,'National'!D50,'NSW-1'!D50,'VIC-1'!D50,'QLD-1'!D50,'NSW-2'!D50,'VIC-2'!D50,'QLD-2'!D50,'SA-1'!D50,'WA-1'!D50,'IDC-NSW'!D50,'IDC-VIC'!D50)="Actual",CHOOSE($X$4,'National'!L50,'NSW-1'!L50,'VIC-1'!L50,'QLD-1'!L50,'NSW-2'!L50,'VIC-2'!L50,'QLD-2'!L50,'SA-1'!L50,'WA-1'!L50,'IDC-NSW'!L50,'IDC-VIC'!L50),NA())</f>
        <v/>
      </c>
      <c r="AI39" s="21">
        <f>IF(OR(CHOOSE($X$4,'National'!D50,'NSW-1'!D50,'VIC-1'!D50,'QLD-1'!D50,'NSW-2'!D50,'VIC-2'!D50,'QLD-2'!D50,'SA-1'!D50,'WA-1'!D50,'IDC-NSW'!D50,'IDC-VIC'!D50)="Forecast",$AA39=LastActual),CHOOSE($X$4,'National'!L50,'NSW-1'!L50,'VIC-1'!L50,'QLD-1'!L50,'NSW-2'!L50,'VIC-2'!L50,'QLD-2'!L50,'SA-1'!L50,'WA-1'!L50,'IDC-NSW'!L50,'IDC-VIC'!L50),NA())</f>
        <v/>
      </c>
      <c r="AJ39" s="22">
        <f>IF(CHOOSE($X$4,'National'!D50,'NSW-1'!D50,'VIC-1'!D50,'QLD-1'!D50,'NSW-2'!D50,'VIC-2'!D50,'QLD-2'!D50,'SA-1'!D50,'WA-1'!D50,'IDC-NSW'!D50,'IDC-VIC'!D50)="Actual",CHOOSE($X$4,'National'!M50,'NSW-1'!M50,'VIC-1'!M50,'QLD-1'!M50,'NSW-2'!M50,'VIC-2'!M50,'QLD-2'!M50,'SA-1'!M50,'WA-1'!M50,'IDC-NSW'!M50,'IDC-VIC'!M50),NA())</f>
        <v/>
      </c>
      <c r="AK39" s="22">
        <f>IF(OR(CHOOSE($X$4,'National'!D50,'NSW-1'!D50,'VIC-1'!D50,'QLD-1'!D50,'NSW-2'!D50,'VIC-2'!D50,'QLD-2'!D50,'SA-1'!D50,'WA-1'!D50,'IDC-NSW'!D50,'IDC-VIC'!D50)="Forecast",$AA39=LastActual),CHOOSE($X$4,'National'!M50,'NSW-1'!M50,'VIC-1'!M50,'QLD-1'!M50,'NSW-2'!M50,'VIC-2'!M50,'QLD-2'!M50,'SA-1'!M50,'WA-1'!M50,'IDC-NSW'!M50,'IDC-VIC'!M50),NA())</f>
        <v/>
      </c>
      <c r="AL39" s="8">
        <f>IF(CHOOSE($X$4,'National'!D50,'NSW-1'!D50,'VIC-1'!D50,'QLD-1'!D50,'NSW-2'!D50,'VIC-2'!D50,'QLD-2'!D50,'SA-1'!D50,'WA-1'!D50,'IDC-NSW'!D50,'IDC-VIC'!D50)="Actual",CHOOSE($X$4,'National'!P50,'NSW-1'!P50,'VIC-1'!P50,'QLD-1'!P50,'NSW-2'!P50,'VIC-2'!P50,'QLD-2'!P50,'SA-1'!P50,'WA-1'!P50,'IDC-NSW'!P50,'IDC-VIC'!P50),NA())</f>
        <v/>
      </c>
      <c r="AM39" s="8">
        <f>IF(OR(CHOOSE($X$4,'National'!D50,'NSW-1'!D50,'VIC-1'!D50,'QLD-1'!D50,'NSW-2'!D50,'VIC-2'!D50,'QLD-2'!D50,'SA-1'!D50,'WA-1'!D50,'IDC-NSW'!D50,'IDC-VIC'!D50)="Forecast",$AA39=LastActual),CHOOSE($X$4,'National'!P50,'NSW-1'!P50,'VIC-1'!P50,'QLD-1'!P50,'NSW-2'!P50,'VIC-2'!P50,'QLD-2'!P50,'SA-1'!P50,'WA-1'!P50,'IDC-NSW'!P50,'IDC-VIC'!P50),NA())</f>
        <v/>
      </c>
    </row>
    <row r="40">
      <c r="AA40" s="9" t="n">
        <v>46753</v>
      </c>
      <c r="AB40" s="19">
        <f>IF(CHOOSE($X$4,'National'!D51,'NSW-1'!D51,'VIC-1'!D51,'QLD-1'!D51,'NSW-2'!D51,'VIC-2'!D51,'QLD-2'!D51,'SA-1'!D51,'WA-1'!D51,'IDC-NSW'!D51,'IDC-VIC'!D51)="Actual",CHOOSE($X$4,'National'!J51,'NSW-1'!J51,'VIC-1'!J51,'QLD-1'!J51,'NSW-2'!J51,'VIC-2'!J51,'QLD-2'!J51,'SA-1'!J51,'WA-1'!J51,'IDC-NSW'!J51,'IDC-VIC'!J51),NA())</f>
        <v/>
      </c>
      <c r="AC40" s="19">
        <f>IF(OR(CHOOSE($X$4,'National'!D51,'NSW-1'!D51,'VIC-1'!D51,'QLD-1'!D51,'NSW-2'!D51,'VIC-2'!D51,'QLD-2'!D51,'SA-1'!D51,'WA-1'!D51,'IDC-NSW'!D51,'IDC-VIC'!D51)="Forecast",$AA40=LastActual),CHOOSE($X$4,'National'!J51,'NSW-1'!J51,'VIC-1'!J51,'QLD-1'!J51,'NSW-2'!J51,'VIC-2'!J51,'QLD-2'!J51,'SA-1'!J51,'WA-1'!J51,'IDC-NSW'!J51,'IDC-VIC'!J51),NA())</f>
        <v/>
      </c>
      <c r="AD40" s="10">
        <f>IF(CHOOSE($X$4,'National'!D51,'NSW-1'!D51,'VIC-1'!D51,'QLD-1'!D51,'NSW-2'!D51,'VIC-2'!D51,'QLD-2'!D51,'SA-1'!D51,'WA-1'!D51,'IDC-NSW'!D51,'IDC-VIC'!D51)="Actual",CHOOSE($X$4,'National'!G51,'NSW-1'!G51,'VIC-1'!G51,'QLD-1'!G51,'NSW-2'!G51,'VIC-2'!G51,'QLD-2'!G51,'SA-1'!G51,'WA-1'!G51,'IDC-NSW'!G51,'IDC-VIC'!G51),NA())</f>
        <v/>
      </c>
      <c r="AE40" s="10">
        <f>IF(OR(CHOOSE($X$4,'National'!D51,'NSW-1'!D51,'VIC-1'!D51,'QLD-1'!D51,'NSW-2'!D51,'VIC-2'!D51,'QLD-2'!D51,'SA-1'!D51,'WA-1'!D51,'IDC-NSW'!D51,'IDC-VIC'!D51)="Forecast",$AA40=LastActual),CHOOSE($X$4,'National'!G51,'NSW-1'!G51,'VIC-1'!G51,'QLD-1'!G51,'NSW-2'!G51,'VIC-2'!G51,'QLD-2'!G51,'SA-1'!G51,'WA-1'!G51,'IDC-NSW'!G51,'IDC-VIC'!G51),NA())</f>
        <v/>
      </c>
      <c r="AF40" s="20">
        <f>IF(CHOOSE($X$4,'National'!D51,'NSW-1'!D51,'VIC-1'!D51,'QLD-1'!D51,'NSW-2'!D51,'VIC-2'!D51,'QLD-2'!D51,'SA-1'!D51,'WA-1'!D51,'IDC-NSW'!D51,'IDC-VIC'!D51)="Actual",CHOOSE($X$4,'National'!K51,'NSW-1'!K51,'VIC-1'!K51,'QLD-1'!K51,'NSW-2'!K51,'VIC-2'!K51,'QLD-2'!K51,'SA-1'!K51,'WA-1'!K51,'IDC-NSW'!K51,'IDC-VIC'!K51),NA())</f>
        <v/>
      </c>
      <c r="AG40" s="20">
        <f>IF(OR(CHOOSE($X$4,'National'!D51,'NSW-1'!D51,'VIC-1'!D51,'QLD-1'!D51,'NSW-2'!D51,'VIC-2'!D51,'QLD-2'!D51,'SA-1'!D51,'WA-1'!D51,'IDC-NSW'!D51,'IDC-VIC'!D51)="Forecast",$AA40=LastActual),CHOOSE($X$4,'National'!K51,'NSW-1'!K51,'VIC-1'!K51,'QLD-1'!K51,'NSW-2'!K51,'VIC-2'!K51,'QLD-2'!K51,'SA-1'!K51,'WA-1'!K51,'IDC-NSW'!K51,'IDC-VIC'!K51),NA())</f>
        <v/>
      </c>
      <c r="AH40" s="21">
        <f>IF(CHOOSE($X$4,'National'!D51,'NSW-1'!D51,'VIC-1'!D51,'QLD-1'!D51,'NSW-2'!D51,'VIC-2'!D51,'QLD-2'!D51,'SA-1'!D51,'WA-1'!D51,'IDC-NSW'!D51,'IDC-VIC'!D51)="Actual",CHOOSE($X$4,'National'!L51,'NSW-1'!L51,'VIC-1'!L51,'QLD-1'!L51,'NSW-2'!L51,'VIC-2'!L51,'QLD-2'!L51,'SA-1'!L51,'WA-1'!L51,'IDC-NSW'!L51,'IDC-VIC'!L51),NA())</f>
        <v/>
      </c>
      <c r="AI40" s="21">
        <f>IF(OR(CHOOSE($X$4,'National'!D51,'NSW-1'!D51,'VIC-1'!D51,'QLD-1'!D51,'NSW-2'!D51,'VIC-2'!D51,'QLD-2'!D51,'SA-1'!D51,'WA-1'!D51,'IDC-NSW'!D51,'IDC-VIC'!D51)="Forecast",$AA40=LastActual),CHOOSE($X$4,'National'!L51,'NSW-1'!L51,'VIC-1'!L51,'QLD-1'!L51,'NSW-2'!L51,'VIC-2'!L51,'QLD-2'!L51,'SA-1'!L51,'WA-1'!L51,'IDC-NSW'!L51,'IDC-VIC'!L51),NA())</f>
        <v/>
      </c>
      <c r="AJ40" s="22">
        <f>IF(CHOOSE($X$4,'National'!D51,'NSW-1'!D51,'VIC-1'!D51,'QLD-1'!D51,'NSW-2'!D51,'VIC-2'!D51,'QLD-2'!D51,'SA-1'!D51,'WA-1'!D51,'IDC-NSW'!D51,'IDC-VIC'!D51)="Actual",CHOOSE($X$4,'National'!M51,'NSW-1'!M51,'VIC-1'!M51,'QLD-1'!M51,'NSW-2'!M51,'VIC-2'!M51,'QLD-2'!M51,'SA-1'!M51,'WA-1'!M51,'IDC-NSW'!M51,'IDC-VIC'!M51),NA())</f>
        <v/>
      </c>
      <c r="AK40" s="22">
        <f>IF(OR(CHOOSE($X$4,'National'!D51,'NSW-1'!D51,'VIC-1'!D51,'QLD-1'!D51,'NSW-2'!D51,'VIC-2'!D51,'QLD-2'!D51,'SA-1'!D51,'WA-1'!D51,'IDC-NSW'!D51,'IDC-VIC'!D51)="Forecast",$AA40=LastActual),CHOOSE($X$4,'National'!M51,'NSW-1'!M51,'VIC-1'!M51,'QLD-1'!M51,'NSW-2'!M51,'VIC-2'!M51,'QLD-2'!M51,'SA-1'!M51,'WA-1'!M51,'IDC-NSW'!M51,'IDC-VIC'!M51),NA())</f>
        <v/>
      </c>
      <c r="AL40" s="8">
        <f>IF(CHOOSE($X$4,'National'!D51,'NSW-1'!D51,'VIC-1'!D51,'QLD-1'!D51,'NSW-2'!D51,'VIC-2'!D51,'QLD-2'!D51,'SA-1'!D51,'WA-1'!D51,'IDC-NSW'!D51,'IDC-VIC'!D51)="Actual",CHOOSE($X$4,'National'!P51,'NSW-1'!P51,'VIC-1'!P51,'QLD-1'!P51,'NSW-2'!P51,'VIC-2'!P51,'QLD-2'!P51,'SA-1'!P51,'WA-1'!P51,'IDC-NSW'!P51,'IDC-VIC'!P51),NA())</f>
        <v/>
      </c>
      <c r="AM40" s="8">
        <f>IF(OR(CHOOSE($X$4,'National'!D51,'NSW-1'!D51,'VIC-1'!D51,'QLD-1'!D51,'NSW-2'!D51,'VIC-2'!D51,'QLD-2'!D51,'SA-1'!D51,'WA-1'!D51,'IDC-NSW'!D51,'IDC-VIC'!D51)="Forecast",$AA40=LastActual),CHOOSE($X$4,'National'!P51,'NSW-1'!P51,'VIC-1'!P51,'QLD-1'!P51,'NSW-2'!P51,'VIC-2'!P51,'QLD-2'!P51,'SA-1'!P51,'WA-1'!P51,'IDC-NSW'!P51,'IDC-VIC'!P51),NA())</f>
        <v/>
      </c>
    </row>
    <row r="41">
      <c r="AA41" s="9" t="n">
        <v>46784</v>
      </c>
      <c r="AB41" s="19">
        <f>IF(CHOOSE($X$4,'National'!D52,'NSW-1'!D52,'VIC-1'!D52,'QLD-1'!D52,'NSW-2'!D52,'VIC-2'!D52,'QLD-2'!D52,'SA-1'!D52,'WA-1'!D52,'IDC-NSW'!D52,'IDC-VIC'!D52)="Actual",CHOOSE($X$4,'National'!J52,'NSW-1'!J52,'VIC-1'!J52,'QLD-1'!J52,'NSW-2'!J52,'VIC-2'!J52,'QLD-2'!J52,'SA-1'!J52,'WA-1'!J52,'IDC-NSW'!J52,'IDC-VIC'!J52),NA())</f>
        <v/>
      </c>
      <c r="AC41" s="19">
        <f>IF(OR(CHOOSE($X$4,'National'!D52,'NSW-1'!D52,'VIC-1'!D52,'QLD-1'!D52,'NSW-2'!D52,'VIC-2'!D52,'QLD-2'!D52,'SA-1'!D52,'WA-1'!D52,'IDC-NSW'!D52,'IDC-VIC'!D52)="Forecast",$AA41=LastActual),CHOOSE($X$4,'National'!J52,'NSW-1'!J52,'VIC-1'!J52,'QLD-1'!J52,'NSW-2'!J52,'VIC-2'!J52,'QLD-2'!J52,'SA-1'!J52,'WA-1'!J52,'IDC-NSW'!J52,'IDC-VIC'!J52),NA())</f>
        <v/>
      </c>
      <c r="AD41" s="10">
        <f>IF(CHOOSE($X$4,'National'!D52,'NSW-1'!D52,'VIC-1'!D52,'QLD-1'!D52,'NSW-2'!D52,'VIC-2'!D52,'QLD-2'!D52,'SA-1'!D52,'WA-1'!D52,'IDC-NSW'!D52,'IDC-VIC'!D52)="Actual",CHOOSE($X$4,'National'!G52,'NSW-1'!G52,'VIC-1'!G52,'QLD-1'!G52,'NSW-2'!G52,'VIC-2'!G52,'QLD-2'!G52,'SA-1'!G52,'WA-1'!G52,'IDC-NSW'!G52,'IDC-VIC'!G52),NA())</f>
        <v/>
      </c>
      <c r="AE41" s="10">
        <f>IF(OR(CHOOSE($X$4,'National'!D52,'NSW-1'!D52,'VIC-1'!D52,'QLD-1'!D52,'NSW-2'!D52,'VIC-2'!D52,'QLD-2'!D52,'SA-1'!D52,'WA-1'!D52,'IDC-NSW'!D52,'IDC-VIC'!D52)="Forecast",$AA41=LastActual),CHOOSE($X$4,'National'!G52,'NSW-1'!G52,'VIC-1'!G52,'QLD-1'!G52,'NSW-2'!G52,'VIC-2'!G52,'QLD-2'!G52,'SA-1'!G52,'WA-1'!G52,'IDC-NSW'!G52,'IDC-VIC'!G52),NA())</f>
        <v/>
      </c>
      <c r="AF41" s="20">
        <f>IF(CHOOSE($X$4,'National'!D52,'NSW-1'!D52,'VIC-1'!D52,'QLD-1'!D52,'NSW-2'!D52,'VIC-2'!D52,'QLD-2'!D52,'SA-1'!D52,'WA-1'!D52,'IDC-NSW'!D52,'IDC-VIC'!D52)="Actual",CHOOSE($X$4,'National'!K52,'NSW-1'!K52,'VIC-1'!K52,'QLD-1'!K52,'NSW-2'!K52,'VIC-2'!K52,'QLD-2'!K52,'SA-1'!K52,'WA-1'!K52,'IDC-NSW'!K52,'IDC-VIC'!K52),NA())</f>
        <v/>
      </c>
      <c r="AG41" s="20">
        <f>IF(OR(CHOOSE($X$4,'National'!D52,'NSW-1'!D52,'VIC-1'!D52,'QLD-1'!D52,'NSW-2'!D52,'VIC-2'!D52,'QLD-2'!D52,'SA-1'!D52,'WA-1'!D52,'IDC-NSW'!D52,'IDC-VIC'!D52)="Forecast",$AA41=LastActual),CHOOSE($X$4,'National'!K52,'NSW-1'!K52,'VIC-1'!K52,'QLD-1'!K52,'NSW-2'!K52,'VIC-2'!K52,'QLD-2'!K52,'SA-1'!K52,'WA-1'!K52,'IDC-NSW'!K52,'IDC-VIC'!K52),NA())</f>
        <v/>
      </c>
      <c r="AH41" s="21">
        <f>IF(CHOOSE($X$4,'National'!D52,'NSW-1'!D52,'VIC-1'!D52,'QLD-1'!D52,'NSW-2'!D52,'VIC-2'!D52,'QLD-2'!D52,'SA-1'!D52,'WA-1'!D52,'IDC-NSW'!D52,'IDC-VIC'!D52)="Actual",CHOOSE($X$4,'National'!L52,'NSW-1'!L52,'VIC-1'!L52,'QLD-1'!L52,'NSW-2'!L52,'VIC-2'!L52,'QLD-2'!L52,'SA-1'!L52,'WA-1'!L52,'IDC-NSW'!L52,'IDC-VIC'!L52),NA())</f>
        <v/>
      </c>
      <c r="AI41" s="21">
        <f>IF(OR(CHOOSE($X$4,'National'!D52,'NSW-1'!D52,'VIC-1'!D52,'QLD-1'!D52,'NSW-2'!D52,'VIC-2'!D52,'QLD-2'!D52,'SA-1'!D52,'WA-1'!D52,'IDC-NSW'!D52,'IDC-VIC'!D52)="Forecast",$AA41=LastActual),CHOOSE($X$4,'National'!L52,'NSW-1'!L52,'VIC-1'!L52,'QLD-1'!L52,'NSW-2'!L52,'VIC-2'!L52,'QLD-2'!L52,'SA-1'!L52,'WA-1'!L52,'IDC-NSW'!L52,'IDC-VIC'!L52),NA())</f>
        <v/>
      </c>
      <c r="AJ41" s="22">
        <f>IF(CHOOSE($X$4,'National'!D52,'NSW-1'!D52,'VIC-1'!D52,'QLD-1'!D52,'NSW-2'!D52,'VIC-2'!D52,'QLD-2'!D52,'SA-1'!D52,'WA-1'!D52,'IDC-NSW'!D52,'IDC-VIC'!D52)="Actual",CHOOSE($X$4,'National'!M52,'NSW-1'!M52,'VIC-1'!M52,'QLD-1'!M52,'NSW-2'!M52,'VIC-2'!M52,'QLD-2'!M52,'SA-1'!M52,'WA-1'!M52,'IDC-NSW'!M52,'IDC-VIC'!M52),NA())</f>
        <v/>
      </c>
      <c r="AK41" s="22">
        <f>IF(OR(CHOOSE($X$4,'National'!D52,'NSW-1'!D52,'VIC-1'!D52,'QLD-1'!D52,'NSW-2'!D52,'VIC-2'!D52,'QLD-2'!D52,'SA-1'!D52,'WA-1'!D52,'IDC-NSW'!D52,'IDC-VIC'!D52)="Forecast",$AA41=LastActual),CHOOSE($X$4,'National'!M52,'NSW-1'!M52,'VIC-1'!M52,'QLD-1'!M52,'NSW-2'!M52,'VIC-2'!M52,'QLD-2'!M52,'SA-1'!M52,'WA-1'!M52,'IDC-NSW'!M52,'IDC-VIC'!M52),NA())</f>
        <v/>
      </c>
      <c r="AL41" s="8">
        <f>IF(CHOOSE($X$4,'National'!D52,'NSW-1'!D52,'VIC-1'!D52,'QLD-1'!D52,'NSW-2'!D52,'VIC-2'!D52,'QLD-2'!D52,'SA-1'!D52,'WA-1'!D52,'IDC-NSW'!D52,'IDC-VIC'!D52)="Actual",CHOOSE($X$4,'National'!P52,'NSW-1'!P52,'VIC-1'!P52,'QLD-1'!P52,'NSW-2'!P52,'VIC-2'!P52,'QLD-2'!P52,'SA-1'!P52,'WA-1'!P52,'IDC-NSW'!P52,'IDC-VIC'!P52),NA())</f>
        <v/>
      </c>
      <c r="AM41" s="8">
        <f>IF(OR(CHOOSE($X$4,'National'!D52,'NSW-1'!D52,'VIC-1'!D52,'QLD-1'!D52,'NSW-2'!D52,'VIC-2'!D52,'QLD-2'!D52,'SA-1'!D52,'WA-1'!D52,'IDC-NSW'!D52,'IDC-VIC'!D52)="Forecast",$AA41=LastActual),CHOOSE($X$4,'National'!P52,'NSW-1'!P52,'VIC-1'!P52,'QLD-1'!P52,'NSW-2'!P52,'VIC-2'!P52,'QLD-2'!P52,'SA-1'!P52,'WA-1'!P52,'IDC-NSW'!P52,'IDC-VIC'!P52),NA())</f>
        <v/>
      </c>
    </row>
    <row r="42">
      <c r="AA42" s="9" t="n">
        <v>46813</v>
      </c>
      <c r="AB42" s="19">
        <f>IF(CHOOSE($X$4,'National'!D53,'NSW-1'!D53,'VIC-1'!D53,'QLD-1'!D53,'NSW-2'!D53,'VIC-2'!D53,'QLD-2'!D53,'SA-1'!D53,'WA-1'!D53,'IDC-NSW'!D53,'IDC-VIC'!D53)="Actual",CHOOSE($X$4,'National'!J53,'NSW-1'!J53,'VIC-1'!J53,'QLD-1'!J53,'NSW-2'!J53,'VIC-2'!J53,'QLD-2'!J53,'SA-1'!J53,'WA-1'!J53,'IDC-NSW'!J53,'IDC-VIC'!J53),NA())</f>
        <v/>
      </c>
      <c r="AC42" s="19">
        <f>IF(OR(CHOOSE($X$4,'National'!D53,'NSW-1'!D53,'VIC-1'!D53,'QLD-1'!D53,'NSW-2'!D53,'VIC-2'!D53,'QLD-2'!D53,'SA-1'!D53,'WA-1'!D53,'IDC-NSW'!D53,'IDC-VIC'!D53)="Forecast",$AA42=LastActual),CHOOSE($X$4,'National'!J53,'NSW-1'!J53,'VIC-1'!J53,'QLD-1'!J53,'NSW-2'!J53,'VIC-2'!J53,'QLD-2'!J53,'SA-1'!J53,'WA-1'!J53,'IDC-NSW'!J53,'IDC-VIC'!J53),NA())</f>
        <v/>
      </c>
      <c r="AD42" s="10">
        <f>IF(CHOOSE($X$4,'National'!D53,'NSW-1'!D53,'VIC-1'!D53,'QLD-1'!D53,'NSW-2'!D53,'VIC-2'!D53,'QLD-2'!D53,'SA-1'!D53,'WA-1'!D53,'IDC-NSW'!D53,'IDC-VIC'!D53)="Actual",CHOOSE($X$4,'National'!G53,'NSW-1'!G53,'VIC-1'!G53,'QLD-1'!G53,'NSW-2'!G53,'VIC-2'!G53,'QLD-2'!G53,'SA-1'!G53,'WA-1'!G53,'IDC-NSW'!G53,'IDC-VIC'!G53),NA())</f>
        <v/>
      </c>
      <c r="AE42" s="10">
        <f>IF(OR(CHOOSE($X$4,'National'!D53,'NSW-1'!D53,'VIC-1'!D53,'QLD-1'!D53,'NSW-2'!D53,'VIC-2'!D53,'QLD-2'!D53,'SA-1'!D53,'WA-1'!D53,'IDC-NSW'!D53,'IDC-VIC'!D53)="Forecast",$AA42=LastActual),CHOOSE($X$4,'National'!G53,'NSW-1'!G53,'VIC-1'!G53,'QLD-1'!G53,'NSW-2'!G53,'VIC-2'!G53,'QLD-2'!G53,'SA-1'!G53,'WA-1'!G53,'IDC-NSW'!G53,'IDC-VIC'!G53),NA())</f>
        <v/>
      </c>
      <c r="AF42" s="20">
        <f>IF(CHOOSE($X$4,'National'!D53,'NSW-1'!D53,'VIC-1'!D53,'QLD-1'!D53,'NSW-2'!D53,'VIC-2'!D53,'QLD-2'!D53,'SA-1'!D53,'WA-1'!D53,'IDC-NSW'!D53,'IDC-VIC'!D53)="Actual",CHOOSE($X$4,'National'!K53,'NSW-1'!K53,'VIC-1'!K53,'QLD-1'!K53,'NSW-2'!K53,'VIC-2'!K53,'QLD-2'!K53,'SA-1'!K53,'WA-1'!K53,'IDC-NSW'!K53,'IDC-VIC'!K53),NA())</f>
        <v/>
      </c>
      <c r="AG42" s="20">
        <f>IF(OR(CHOOSE($X$4,'National'!D53,'NSW-1'!D53,'VIC-1'!D53,'QLD-1'!D53,'NSW-2'!D53,'VIC-2'!D53,'QLD-2'!D53,'SA-1'!D53,'WA-1'!D53,'IDC-NSW'!D53,'IDC-VIC'!D53)="Forecast",$AA42=LastActual),CHOOSE($X$4,'National'!K53,'NSW-1'!K53,'VIC-1'!K53,'QLD-1'!K53,'NSW-2'!K53,'VIC-2'!K53,'QLD-2'!K53,'SA-1'!K53,'WA-1'!K53,'IDC-NSW'!K53,'IDC-VIC'!K53),NA())</f>
        <v/>
      </c>
      <c r="AH42" s="21">
        <f>IF(CHOOSE($X$4,'National'!D53,'NSW-1'!D53,'VIC-1'!D53,'QLD-1'!D53,'NSW-2'!D53,'VIC-2'!D53,'QLD-2'!D53,'SA-1'!D53,'WA-1'!D53,'IDC-NSW'!D53,'IDC-VIC'!D53)="Actual",CHOOSE($X$4,'National'!L53,'NSW-1'!L53,'VIC-1'!L53,'QLD-1'!L53,'NSW-2'!L53,'VIC-2'!L53,'QLD-2'!L53,'SA-1'!L53,'WA-1'!L53,'IDC-NSW'!L53,'IDC-VIC'!L53),NA())</f>
        <v/>
      </c>
      <c r="AI42" s="21">
        <f>IF(OR(CHOOSE($X$4,'National'!D53,'NSW-1'!D53,'VIC-1'!D53,'QLD-1'!D53,'NSW-2'!D53,'VIC-2'!D53,'QLD-2'!D53,'SA-1'!D53,'WA-1'!D53,'IDC-NSW'!D53,'IDC-VIC'!D53)="Forecast",$AA42=LastActual),CHOOSE($X$4,'National'!L53,'NSW-1'!L53,'VIC-1'!L53,'QLD-1'!L53,'NSW-2'!L53,'VIC-2'!L53,'QLD-2'!L53,'SA-1'!L53,'WA-1'!L53,'IDC-NSW'!L53,'IDC-VIC'!L53),NA())</f>
        <v/>
      </c>
      <c r="AJ42" s="22">
        <f>IF(CHOOSE($X$4,'National'!D53,'NSW-1'!D53,'VIC-1'!D53,'QLD-1'!D53,'NSW-2'!D53,'VIC-2'!D53,'QLD-2'!D53,'SA-1'!D53,'WA-1'!D53,'IDC-NSW'!D53,'IDC-VIC'!D53)="Actual",CHOOSE($X$4,'National'!M53,'NSW-1'!M53,'VIC-1'!M53,'QLD-1'!M53,'NSW-2'!M53,'VIC-2'!M53,'QLD-2'!M53,'SA-1'!M53,'WA-1'!M53,'IDC-NSW'!M53,'IDC-VIC'!M53),NA())</f>
        <v/>
      </c>
      <c r="AK42" s="22">
        <f>IF(OR(CHOOSE($X$4,'National'!D53,'NSW-1'!D53,'VIC-1'!D53,'QLD-1'!D53,'NSW-2'!D53,'VIC-2'!D53,'QLD-2'!D53,'SA-1'!D53,'WA-1'!D53,'IDC-NSW'!D53,'IDC-VIC'!D53)="Forecast",$AA42=LastActual),CHOOSE($X$4,'National'!M53,'NSW-1'!M53,'VIC-1'!M53,'QLD-1'!M53,'NSW-2'!M53,'VIC-2'!M53,'QLD-2'!M53,'SA-1'!M53,'WA-1'!M53,'IDC-NSW'!M53,'IDC-VIC'!M53),NA())</f>
        <v/>
      </c>
      <c r="AL42" s="8">
        <f>IF(CHOOSE($X$4,'National'!D53,'NSW-1'!D53,'VIC-1'!D53,'QLD-1'!D53,'NSW-2'!D53,'VIC-2'!D53,'QLD-2'!D53,'SA-1'!D53,'WA-1'!D53,'IDC-NSW'!D53,'IDC-VIC'!D53)="Actual",CHOOSE($X$4,'National'!P53,'NSW-1'!P53,'VIC-1'!P53,'QLD-1'!P53,'NSW-2'!P53,'VIC-2'!P53,'QLD-2'!P53,'SA-1'!P53,'WA-1'!P53,'IDC-NSW'!P53,'IDC-VIC'!P53),NA())</f>
        <v/>
      </c>
      <c r="AM42" s="8">
        <f>IF(OR(CHOOSE($X$4,'National'!D53,'NSW-1'!D53,'VIC-1'!D53,'QLD-1'!D53,'NSW-2'!D53,'VIC-2'!D53,'QLD-2'!D53,'SA-1'!D53,'WA-1'!D53,'IDC-NSW'!D53,'IDC-VIC'!D53)="Forecast",$AA42=LastActual),CHOOSE($X$4,'National'!P53,'NSW-1'!P53,'VIC-1'!P53,'QLD-1'!P53,'NSW-2'!P53,'VIC-2'!P53,'QLD-2'!P53,'SA-1'!P53,'WA-1'!P53,'IDC-NSW'!P53,'IDC-VIC'!P53),NA())</f>
        <v/>
      </c>
    </row>
    <row r="43">
      <c r="AA43" s="9" t="n">
        <v>46844</v>
      </c>
      <c r="AB43" s="19">
        <f>IF(CHOOSE($X$4,'National'!D54,'NSW-1'!D54,'VIC-1'!D54,'QLD-1'!D54,'NSW-2'!D54,'VIC-2'!D54,'QLD-2'!D54,'SA-1'!D54,'WA-1'!D54,'IDC-NSW'!D54,'IDC-VIC'!D54)="Actual",CHOOSE($X$4,'National'!J54,'NSW-1'!J54,'VIC-1'!J54,'QLD-1'!J54,'NSW-2'!J54,'VIC-2'!J54,'QLD-2'!J54,'SA-1'!J54,'WA-1'!J54,'IDC-NSW'!J54,'IDC-VIC'!J54),NA())</f>
        <v/>
      </c>
      <c r="AC43" s="19">
        <f>IF(OR(CHOOSE($X$4,'National'!D54,'NSW-1'!D54,'VIC-1'!D54,'QLD-1'!D54,'NSW-2'!D54,'VIC-2'!D54,'QLD-2'!D54,'SA-1'!D54,'WA-1'!D54,'IDC-NSW'!D54,'IDC-VIC'!D54)="Forecast",$AA43=LastActual),CHOOSE($X$4,'National'!J54,'NSW-1'!J54,'VIC-1'!J54,'QLD-1'!J54,'NSW-2'!J54,'VIC-2'!J54,'QLD-2'!J54,'SA-1'!J54,'WA-1'!J54,'IDC-NSW'!J54,'IDC-VIC'!J54),NA())</f>
        <v/>
      </c>
      <c r="AD43" s="10">
        <f>IF(CHOOSE($X$4,'National'!D54,'NSW-1'!D54,'VIC-1'!D54,'QLD-1'!D54,'NSW-2'!D54,'VIC-2'!D54,'QLD-2'!D54,'SA-1'!D54,'WA-1'!D54,'IDC-NSW'!D54,'IDC-VIC'!D54)="Actual",CHOOSE($X$4,'National'!G54,'NSW-1'!G54,'VIC-1'!G54,'QLD-1'!G54,'NSW-2'!G54,'VIC-2'!G54,'QLD-2'!G54,'SA-1'!G54,'WA-1'!G54,'IDC-NSW'!G54,'IDC-VIC'!G54),NA())</f>
        <v/>
      </c>
      <c r="AE43" s="10">
        <f>IF(OR(CHOOSE($X$4,'National'!D54,'NSW-1'!D54,'VIC-1'!D54,'QLD-1'!D54,'NSW-2'!D54,'VIC-2'!D54,'QLD-2'!D54,'SA-1'!D54,'WA-1'!D54,'IDC-NSW'!D54,'IDC-VIC'!D54)="Forecast",$AA43=LastActual),CHOOSE($X$4,'National'!G54,'NSW-1'!G54,'VIC-1'!G54,'QLD-1'!G54,'NSW-2'!G54,'VIC-2'!G54,'QLD-2'!G54,'SA-1'!G54,'WA-1'!G54,'IDC-NSW'!G54,'IDC-VIC'!G54),NA())</f>
        <v/>
      </c>
      <c r="AF43" s="20">
        <f>IF(CHOOSE($X$4,'National'!D54,'NSW-1'!D54,'VIC-1'!D54,'QLD-1'!D54,'NSW-2'!D54,'VIC-2'!D54,'QLD-2'!D54,'SA-1'!D54,'WA-1'!D54,'IDC-NSW'!D54,'IDC-VIC'!D54)="Actual",CHOOSE($X$4,'National'!K54,'NSW-1'!K54,'VIC-1'!K54,'QLD-1'!K54,'NSW-2'!K54,'VIC-2'!K54,'QLD-2'!K54,'SA-1'!K54,'WA-1'!K54,'IDC-NSW'!K54,'IDC-VIC'!K54),NA())</f>
        <v/>
      </c>
      <c r="AG43" s="20">
        <f>IF(OR(CHOOSE($X$4,'National'!D54,'NSW-1'!D54,'VIC-1'!D54,'QLD-1'!D54,'NSW-2'!D54,'VIC-2'!D54,'QLD-2'!D54,'SA-1'!D54,'WA-1'!D54,'IDC-NSW'!D54,'IDC-VIC'!D54)="Forecast",$AA43=LastActual),CHOOSE($X$4,'National'!K54,'NSW-1'!K54,'VIC-1'!K54,'QLD-1'!K54,'NSW-2'!K54,'VIC-2'!K54,'QLD-2'!K54,'SA-1'!K54,'WA-1'!K54,'IDC-NSW'!K54,'IDC-VIC'!K54),NA())</f>
        <v/>
      </c>
      <c r="AH43" s="21">
        <f>IF(CHOOSE($X$4,'National'!D54,'NSW-1'!D54,'VIC-1'!D54,'QLD-1'!D54,'NSW-2'!D54,'VIC-2'!D54,'QLD-2'!D54,'SA-1'!D54,'WA-1'!D54,'IDC-NSW'!D54,'IDC-VIC'!D54)="Actual",CHOOSE($X$4,'National'!L54,'NSW-1'!L54,'VIC-1'!L54,'QLD-1'!L54,'NSW-2'!L54,'VIC-2'!L54,'QLD-2'!L54,'SA-1'!L54,'WA-1'!L54,'IDC-NSW'!L54,'IDC-VIC'!L54),NA())</f>
        <v/>
      </c>
      <c r="AI43" s="21">
        <f>IF(OR(CHOOSE($X$4,'National'!D54,'NSW-1'!D54,'VIC-1'!D54,'QLD-1'!D54,'NSW-2'!D54,'VIC-2'!D54,'QLD-2'!D54,'SA-1'!D54,'WA-1'!D54,'IDC-NSW'!D54,'IDC-VIC'!D54)="Forecast",$AA43=LastActual),CHOOSE($X$4,'National'!L54,'NSW-1'!L54,'VIC-1'!L54,'QLD-1'!L54,'NSW-2'!L54,'VIC-2'!L54,'QLD-2'!L54,'SA-1'!L54,'WA-1'!L54,'IDC-NSW'!L54,'IDC-VIC'!L54),NA())</f>
        <v/>
      </c>
      <c r="AJ43" s="22">
        <f>IF(CHOOSE($X$4,'National'!D54,'NSW-1'!D54,'VIC-1'!D54,'QLD-1'!D54,'NSW-2'!D54,'VIC-2'!D54,'QLD-2'!D54,'SA-1'!D54,'WA-1'!D54,'IDC-NSW'!D54,'IDC-VIC'!D54)="Actual",CHOOSE($X$4,'National'!M54,'NSW-1'!M54,'VIC-1'!M54,'QLD-1'!M54,'NSW-2'!M54,'VIC-2'!M54,'QLD-2'!M54,'SA-1'!M54,'WA-1'!M54,'IDC-NSW'!M54,'IDC-VIC'!M54),NA())</f>
        <v/>
      </c>
      <c r="AK43" s="22">
        <f>IF(OR(CHOOSE($X$4,'National'!D54,'NSW-1'!D54,'VIC-1'!D54,'QLD-1'!D54,'NSW-2'!D54,'VIC-2'!D54,'QLD-2'!D54,'SA-1'!D54,'WA-1'!D54,'IDC-NSW'!D54,'IDC-VIC'!D54)="Forecast",$AA43=LastActual),CHOOSE($X$4,'National'!M54,'NSW-1'!M54,'VIC-1'!M54,'QLD-1'!M54,'NSW-2'!M54,'VIC-2'!M54,'QLD-2'!M54,'SA-1'!M54,'WA-1'!M54,'IDC-NSW'!M54,'IDC-VIC'!M54),NA())</f>
        <v/>
      </c>
      <c r="AL43" s="8">
        <f>IF(CHOOSE($X$4,'National'!D54,'NSW-1'!D54,'VIC-1'!D54,'QLD-1'!D54,'NSW-2'!D54,'VIC-2'!D54,'QLD-2'!D54,'SA-1'!D54,'WA-1'!D54,'IDC-NSW'!D54,'IDC-VIC'!D54)="Actual",CHOOSE($X$4,'National'!P54,'NSW-1'!P54,'VIC-1'!P54,'QLD-1'!P54,'NSW-2'!P54,'VIC-2'!P54,'QLD-2'!P54,'SA-1'!P54,'WA-1'!P54,'IDC-NSW'!P54,'IDC-VIC'!P54),NA())</f>
        <v/>
      </c>
      <c r="AM43" s="8">
        <f>IF(OR(CHOOSE($X$4,'National'!D54,'NSW-1'!D54,'VIC-1'!D54,'QLD-1'!D54,'NSW-2'!D54,'VIC-2'!D54,'QLD-2'!D54,'SA-1'!D54,'WA-1'!D54,'IDC-NSW'!D54,'IDC-VIC'!D54)="Forecast",$AA43=LastActual),CHOOSE($X$4,'National'!P54,'NSW-1'!P54,'VIC-1'!P54,'QLD-1'!P54,'NSW-2'!P54,'VIC-2'!P54,'QLD-2'!P54,'SA-1'!P54,'WA-1'!P54,'IDC-NSW'!P54,'IDC-VIC'!P54),NA())</f>
        <v/>
      </c>
    </row>
    <row r="44">
      <c r="AA44" s="9" t="n">
        <v>46874</v>
      </c>
      <c r="AB44" s="19">
        <f>IF(CHOOSE($X$4,'National'!D55,'NSW-1'!D55,'VIC-1'!D55,'QLD-1'!D55,'NSW-2'!D55,'VIC-2'!D55,'QLD-2'!D55,'SA-1'!D55,'WA-1'!D55,'IDC-NSW'!D55,'IDC-VIC'!D55)="Actual",CHOOSE($X$4,'National'!J55,'NSW-1'!J55,'VIC-1'!J55,'QLD-1'!J55,'NSW-2'!J55,'VIC-2'!J55,'QLD-2'!J55,'SA-1'!J55,'WA-1'!J55,'IDC-NSW'!J55,'IDC-VIC'!J55),NA())</f>
        <v/>
      </c>
      <c r="AC44" s="19">
        <f>IF(OR(CHOOSE($X$4,'National'!D55,'NSW-1'!D55,'VIC-1'!D55,'QLD-1'!D55,'NSW-2'!D55,'VIC-2'!D55,'QLD-2'!D55,'SA-1'!D55,'WA-1'!D55,'IDC-NSW'!D55,'IDC-VIC'!D55)="Forecast",$AA44=LastActual),CHOOSE($X$4,'National'!J55,'NSW-1'!J55,'VIC-1'!J55,'QLD-1'!J55,'NSW-2'!J55,'VIC-2'!J55,'QLD-2'!J55,'SA-1'!J55,'WA-1'!J55,'IDC-NSW'!J55,'IDC-VIC'!J55),NA())</f>
        <v/>
      </c>
      <c r="AD44" s="10">
        <f>IF(CHOOSE($X$4,'National'!D55,'NSW-1'!D55,'VIC-1'!D55,'QLD-1'!D55,'NSW-2'!D55,'VIC-2'!D55,'QLD-2'!D55,'SA-1'!D55,'WA-1'!D55,'IDC-NSW'!D55,'IDC-VIC'!D55)="Actual",CHOOSE($X$4,'National'!G55,'NSW-1'!G55,'VIC-1'!G55,'QLD-1'!G55,'NSW-2'!G55,'VIC-2'!G55,'QLD-2'!G55,'SA-1'!G55,'WA-1'!G55,'IDC-NSW'!G55,'IDC-VIC'!G55),NA())</f>
        <v/>
      </c>
      <c r="AE44" s="10">
        <f>IF(OR(CHOOSE($X$4,'National'!D55,'NSW-1'!D55,'VIC-1'!D55,'QLD-1'!D55,'NSW-2'!D55,'VIC-2'!D55,'QLD-2'!D55,'SA-1'!D55,'WA-1'!D55,'IDC-NSW'!D55,'IDC-VIC'!D55)="Forecast",$AA44=LastActual),CHOOSE($X$4,'National'!G55,'NSW-1'!G55,'VIC-1'!G55,'QLD-1'!G55,'NSW-2'!G55,'VIC-2'!G55,'QLD-2'!G55,'SA-1'!G55,'WA-1'!G55,'IDC-NSW'!G55,'IDC-VIC'!G55),NA())</f>
        <v/>
      </c>
      <c r="AF44" s="20">
        <f>IF(CHOOSE($X$4,'National'!D55,'NSW-1'!D55,'VIC-1'!D55,'QLD-1'!D55,'NSW-2'!D55,'VIC-2'!D55,'QLD-2'!D55,'SA-1'!D55,'WA-1'!D55,'IDC-NSW'!D55,'IDC-VIC'!D55)="Actual",CHOOSE($X$4,'National'!K55,'NSW-1'!K55,'VIC-1'!K55,'QLD-1'!K55,'NSW-2'!K55,'VIC-2'!K55,'QLD-2'!K55,'SA-1'!K55,'WA-1'!K55,'IDC-NSW'!K55,'IDC-VIC'!K55),NA())</f>
        <v/>
      </c>
      <c r="AG44" s="20">
        <f>IF(OR(CHOOSE($X$4,'National'!D55,'NSW-1'!D55,'VIC-1'!D55,'QLD-1'!D55,'NSW-2'!D55,'VIC-2'!D55,'QLD-2'!D55,'SA-1'!D55,'WA-1'!D55,'IDC-NSW'!D55,'IDC-VIC'!D55)="Forecast",$AA44=LastActual),CHOOSE($X$4,'National'!K55,'NSW-1'!K55,'VIC-1'!K55,'QLD-1'!K55,'NSW-2'!K55,'VIC-2'!K55,'QLD-2'!K55,'SA-1'!K55,'WA-1'!K55,'IDC-NSW'!K55,'IDC-VIC'!K55),NA())</f>
        <v/>
      </c>
      <c r="AH44" s="21">
        <f>IF(CHOOSE($X$4,'National'!D55,'NSW-1'!D55,'VIC-1'!D55,'QLD-1'!D55,'NSW-2'!D55,'VIC-2'!D55,'QLD-2'!D55,'SA-1'!D55,'WA-1'!D55,'IDC-NSW'!D55,'IDC-VIC'!D55)="Actual",CHOOSE($X$4,'National'!L55,'NSW-1'!L55,'VIC-1'!L55,'QLD-1'!L55,'NSW-2'!L55,'VIC-2'!L55,'QLD-2'!L55,'SA-1'!L55,'WA-1'!L55,'IDC-NSW'!L55,'IDC-VIC'!L55),NA())</f>
        <v/>
      </c>
      <c r="AI44" s="21">
        <f>IF(OR(CHOOSE($X$4,'National'!D55,'NSW-1'!D55,'VIC-1'!D55,'QLD-1'!D55,'NSW-2'!D55,'VIC-2'!D55,'QLD-2'!D55,'SA-1'!D55,'WA-1'!D55,'IDC-NSW'!D55,'IDC-VIC'!D55)="Forecast",$AA44=LastActual),CHOOSE($X$4,'National'!L55,'NSW-1'!L55,'VIC-1'!L55,'QLD-1'!L55,'NSW-2'!L55,'VIC-2'!L55,'QLD-2'!L55,'SA-1'!L55,'WA-1'!L55,'IDC-NSW'!L55,'IDC-VIC'!L55),NA())</f>
        <v/>
      </c>
      <c r="AJ44" s="22">
        <f>IF(CHOOSE($X$4,'National'!D55,'NSW-1'!D55,'VIC-1'!D55,'QLD-1'!D55,'NSW-2'!D55,'VIC-2'!D55,'QLD-2'!D55,'SA-1'!D55,'WA-1'!D55,'IDC-NSW'!D55,'IDC-VIC'!D55)="Actual",CHOOSE($X$4,'National'!M55,'NSW-1'!M55,'VIC-1'!M55,'QLD-1'!M55,'NSW-2'!M55,'VIC-2'!M55,'QLD-2'!M55,'SA-1'!M55,'WA-1'!M55,'IDC-NSW'!M55,'IDC-VIC'!M55),NA())</f>
        <v/>
      </c>
      <c r="AK44" s="22">
        <f>IF(OR(CHOOSE($X$4,'National'!D55,'NSW-1'!D55,'VIC-1'!D55,'QLD-1'!D55,'NSW-2'!D55,'VIC-2'!D55,'QLD-2'!D55,'SA-1'!D55,'WA-1'!D55,'IDC-NSW'!D55,'IDC-VIC'!D55)="Forecast",$AA44=LastActual),CHOOSE($X$4,'National'!M55,'NSW-1'!M55,'VIC-1'!M55,'QLD-1'!M55,'NSW-2'!M55,'VIC-2'!M55,'QLD-2'!M55,'SA-1'!M55,'WA-1'!M55,'IDC-NSW'!M55,'IDC-VIC'!M55),NA())</f>
        <v/>
      </c>
      <c r="AL44" s="8">
        <f>IF(CHOOSE($X$4,'National'!D55,'NSW-1'!D55,'VIC-1'!D55,'QLD-1'!D55,'NSW-2'!D55,'VIC-2'!D55,'QLD-2'!D55,'SA-1'!D55,'WA-1'!D55,'IDC-NSW'!D55,'IDC-VIC'!D55)="Actual",CHOOSE($X$4,'National'!P55,'NSW-1'!P55,'VIC-1'!P55,'QLD-1'!P55,'NSW-2'!P55,'VIC-2'!P55,'QLD-2'!P55,'SA-1'!P55,'WA-1'!P55,'IDC-NSW'!P55,'IDC-VIC'!P55),NA())</f>
        <v/>
      </c>
      <c r="AM44" s="8">
        <f>IF(OR(CHOOSE($X$4,'National'!D55,'NSW-1'!D55,'VIC-1'!D55,'QLD-1'!D55,'NSW-2'!D55,'VIC-2'!D55,'QLD-2'!D55,'SA-1'!D55,'WA-1'!D55,'IDC-NSW'!D55,'IDC-VIC'!D55)="Forecast",$AA44=LastActual),CHOOSE($X$4,'National'!P55,'NSW-1'!P55,'VIC-1'!P55,'QLD-1'!P55,'NSW-2'!P55,'VIC-2'!P55,'QLD-2'!P55,'SA-1'!P55,'WA-1'!P55,'IDC-NSW'!P55,'IDC-VIC'!P55),NA())</f>
        <v/>
      </c>
    </row>
    <row r="45">
      <c r="AA45" s="9" t="n">
        <v>46905</v>
      </c>
      <c r="AB45" s="19">
        <f>IF(CHOOSE($X$4,'National'!D56,'NSW-1'!D56,'VIC-1'!D56,'QLD-1'!D56,'NSW-2'!D56,'VIC-2'!D56,'QLD-2'!D56,'SA-1'!D56,'WA-1'!D56,'IDC-NSW'!D56,'IDC-VIC'!D56)="Actual",CHOOSE($X$4,'National'!J56,'NSW-1'!J56,'VIC-1'!J56,'QLD-1'!J56,'NSW-2'!J56,'VIC-2'!J56,'QLD-2'!J56,'SA-1'!J56,'WA-1'!J56,'IDC-NSW'!J56,'IDC-VIC'!J56),NA())</f>
        <v/>
      </c>
      <c r="AC45" s="19">
        <f>IF(OR(CHOOSE($X$4,'National'!D56,'NSW-1'!D56,'VIC-1'!D56,'QLD-1'!D56,'NSW-2'!D56,'VIC-2'!D56,'QLD-2'!D56,'SA-1'!D56,'WA-1'!D56,'IDC-NSW'!D56,'IDC-VIC'!D56)="Forecast",$AA45=LastActual),CHOOSE($X$4,'National'!J56,'NSW-1'!J56,'VIC-1'!J56,'QLD-1'!J56,'NSW-2'!J56,'VIC-2'!J56,'QLD-2'!J56,'SA-1'!J56,'WA-1'!J56,'IDC-NSW'!J56,'IDC-VIC'!J56),NA())</f>
        <v/>
      </c>
      <c r="AD45" s="10">
        <f>IF(CHOOSE($X$4,'National'!D56,'NSW-1'!D56,'VIC-1'!D56,'QLD-1'!D56,'NSW-2'!D56,'VIC-2'!D56,'QLD-2'!D56,'SA-1'!D56,'WA-1'!D56,'IDC-NSW'!D56,'IDC-VIC'!D56)="Actual",CHOOSE($X$4,'National'!G56,'NSW-1'!G56,'VIC-1'!G56,'QLD-1'!G56,'NSW-2'!G56,'VIC-2'!G56,'QLD-2'!G56,'SA-1'!G56,'WA-1'!G56,'IDC-NSW'!G56,'IDC-VIC'!G56),NA())</f>
        <v/>
      </c>
      <c r="AE45" s="10">
        <f>IF(OR(CHOOSE($X$4,'National'!D56,'NSW-1'!D56,'VIC-1'!D56,'QLD-1'!D56,'NSW-2'!D56,'VIC-2'!D56,'QLD-2'!D56,'SA-1'!D56,'WA-1'!D56,'IDC-NSW'!D56,'IDC-VIC'!D56)="Forecast",$AA45=LastActual),CHOOSE($X$4,'National'!G56,'NSW-1'!G56,'VIC-1'!G56,'QLD-1'!G56,'NSW-2'!G56,'VIC-2'!G56,'QLD-2'!G56,'SA-1'!G56,'WA-1'!G56,'IDC-NSW'!G56,'IDC-VIC'!G56),NA())</f>
        <v/>
      </c>
      <c r="AF45" s="20">
        <f>IF(CHOOSE($X$4,'National'!D56,'NSW-1'!D56,'VIC-1'!D56,'QLD-1'!D56,'NSW-2'!D56,'VIC-2'!D56,'QLD-2'!D56,'SA-1'!D56,'WA-1'!D56,'IDC-NSW'!D56,'IDC-VIC'!D56)="Actual",CHOOSE($X$4,'National'!K56,'NSW-1'!K56,'VIC-1'!K56,'QLD-1'!K56,'NSW-2'!K56,'VIC-2'!K56,'QLD-2'!K56,'SA-1'!K56,'WA-1'!K56,'IDC-NSW'!K56,'IDC-VIC'!K56),NA())</f>
        <v/>
      </c>
      <c r="AG45" s="20">
        <f>IF(OR(CHOOSE($X$4,'National'!D56,'NSW-1'!D56,'VIC-1'!D56,'QLD-1'!D56,'NSW-2'!D56,'VIC-2'!D56,'QLD-2'!D56,'SA-1'!D56,'WA-1'!D56,'IDC-NSW'!D56,'IDC-VIC'!D56)="Forecast",$AA45=LastActual),CHOOSE($X$4,'National'!K56,'NSW-1'!K56,'VIC-1'!K56,'QLD-1'!K56,'NSW-2'!K56,'VIC-2'!K56,'QLD-2'!K56,'SA-1'!K56,'WA-1'!K56,'IDC-NSW'!K56,'IDC-VIC'!K56),NA())</f>
        <v/>
      </c>
      <c r="AH45" s="21">
        <f>IF(CHOOSE($X$4,'National'!D56,'NSW-1'!D56,'VIC-1'!D56,'QLD-1'!D56,'NSW-2'!D56,'VIC-2'!D56,'QLD-2'!D56,'SA-1'!D56,'WA-1'!D56,'IDC-NSW'!D56,'IDC-VIC'!D56)="Actual",CHOOSE($X$4,'National'!L56,'NSW-1'!L56,'VIC-1'!L56,'QLD-1'!L56,'NSW-2'!L56,'VIC-2'!L56,'QLD-2'!L56,'SA-1'!L56,'WA-1'!L56,'IDC-NSW'!L56,'IDC-VIC'!L56),NA())</f>
        <v/>
      </c>
      <c r="AI45" s="21">
        <f>IF(OR(CHOOSE($X$4,'National'!D56,'NSW-1'!D56,'VIC-1'!D56,'QLD-1'!D56,'NSW-2'!D56,'VIC-2'!D56,'QLD-2'!D56,'SA-1'!D56,'WA-1'!D56,'IDC-NSW'!D56,'IDC-VIC'!D56)="Forecast",$AA45=LastActual),CHOOSE($X$4,'National'!L56,'NSW-1'!L56,'VIC-1'!L56,'QLD-1'!L56,'NSW-2'!L56,'VIC-2'!L56,'QLD-2'!L56,'SA-1'!L56,'WA-1'!L56,'IDC-NSW'!L56,'IDC-VIC'!L56),NA())</f>
        <v/>
      </c>
      <c r="AJ45" s="22">
        <f>IF(CHOOSE($X$4,'National'!D56,'NSW-1'!D56,'VIC-1'!D56,'QLD-1'!D56,'NSW-2'!D56,'VIC-2'!D56,'QLD-2'!D56,'SA-1'!D56,'WA-1'!D56,'IDC-NSW'!D56,'IDC-VIC'!D56)="Actual",CHOOSE($X$4,'National'!M56,'NSW-1'!M56,'VIC-1'!M56,'QLD-1'!M56,'NSW-2'!M56,'VIC-2'!M56,'QLD-2'!M56,'SA-1'!M56,'WA-1'!M56,'IDC-NSW'!M56,'IDC-VIC'!M56),NA())</f>
        <v/>
      </c>
      <c r="AK45" s="22">
        <f>IF(OR(CHOOSE($X$4,'National'!D56,'NSW-1'!D56,'VIC-1'!D56,'QLD-1'!D56,'NSW-2'!D56,'VIC-2'!D56,'QLD-2'!D56,'SA-1'!D56,'WA-1'!D56,'IDC-NSW'!D56,'IDC-VIC'!D56)="Forecast",$AA45=LastActual),CHOOSE($X$4,'National'!M56,'NSW-1'!M56,'VIC-1'!M56,'QLD-1'!M56,'NSW-2'!M56,'VIC-2'!M56,'QLD-2'!M56,'SA-1'!M56,'WA-1'!M56,'IDC-NSW'!M56,'IDC-VIC'!M56),NA())</f>
        <v/>
      </c>
      <c r="AL45" s="8">
        <f>IF(CHOOSE($X$4,'National'!D56,'NSW-1'!D56,'VIC-1'!D56,'QLD-1'!D56,'NSW-2'!D56,'VIC-2'!D56,'QLD-2'!D56,'SA-1'!D56,'WA-1'!D56,'IDC-NSW'!D56,'IDC-VIC'!D56)="Actual",CHOOSE($X$4,'National'!P56,'NSW-1'!P56,'VIC-1'!P56,'QLD-1'!P56,'NSW-2'!P56,'VIC-2'!P56,'QLD-2'!P56,'SA-1'!P56,'WA-1'!P56,'IDC-NSW'!P56,'IDC-VIC'!P56),NA())</f>
        <v/>
      </c>
      <c r="AM45" s="8">
        <f>IF(OR(CHOOSE($X$4,'National'!D56,'NSW-1'!D56,'VIC-1'!D56,'QLD-1'!D56,'NSW-2'!D56,'VIC-2'!D56,'QLD-2'!D56,'SA-1'!D56,'WA-1'!D56,'IDC-NSW'!D56,'IDC-VIC'!D56)="Forecast",$AA45=LastActual),CHOOSE($X$4,'National'!P56,'NSW-1'!P56,'VIC-1'!P56,'QLD-1'!P56,'NSW-2'!P56,'VIC-2'!P56,'QLD-2'!P56,'SA-1'!P56,'WA-1'!P56,'IDC-NSW'!P56,'IDC-VIC'!P56),NA())</f>
        <v/>
      </c>
    </row>
    <row r="46">
      <c r="AA46" s="9" t="n">
        <v>46935</v>
      </c>
      <c r="AB46" s="19">
        <f>IF(CHOOSE($X$4,'National'!D57,'NSW-1'!D57,'VIC-1'!D57,'QLD-1'!D57,'NSW-2'!D57,'VIC-2'!D57,'QLD-2'!D57,'SA-1'!D57,'WA-1'!D57,'IDC-NSW'!D57,'IDC-VIC'!D57)="Actual",CHOOSE($X$4,'National'!J57,'NSW-1'!J57,'VIC-1'!J57,'QLD-1'!J57,'NSW-2'!J57,'VIC-2'!J57,'QLD-2'!J57,'SA-1'!J57,'WA-1'!J57,'IDC-NSW'!J57,'IDC-VIC'!J57),NA())</f>
        <v/>
      </c>
      <c r="AC46" s="19">
        <f>IF(OR(CHOOSE($X$4,'National'!D57,'NSW-1'!D57,'VIC-1'!D57,'QLD-1'!D57,'NSW-2'!D57,'VIC-2'!D57,'QLD-2'!D57,'SA-1'!D57,'WA-1'!D57,'IDC-NSW'!D57,'IDC-VIC'!D57)="Forecast",$AA46=LastActual),CHOOSE($X$4,'National'!J57,'NSW-1'!J57,'VIC-1'!J57,'QLD-1'!J57,'NSW-2'!J57,'VIC-2'!J57,'QLD-2'!J57,'SA-1'!J57,'WA-1'!J57,'IDC-NSW'!J57,'IDC-VIC'!J57),NA())</f>
        <v/>
      </c>
      <c r="AD46" s="10">
        <f>IF(CHOOSE($X$4,'National'!D57,'NSW-1'!D57,'VIC-1'!D57,'QLD-1'!D57,'NSW-2'!D57,'VIC-2'!D57,'QLD-2'!D57,'SA-1'!D57,'WA-1'!D57,'IDC-NSW'!D57,'IDC-VIC'!D57)="Actual",CHOOSE($X$4,'National'!G57,'NSW-1'!G57,'VIC-1'!G57,'QLD-1'!G57,'NSW-2'!G57,'VIC-2'!G57,'QLD-2'!G57,'SA-1'!G57,'WA-1'!G57,'IDC-NSW'!G57,'IDC-VIC'!G57),NA())</f>
        <v/>
      </c>
      <c r="AE46" s="10">
        <f>IF(OR(CHOOSE($X$4,'National'!D57,'NSW-1'!D57,'VIC-1'!D57,'QLD-1'!D57,'NSW-2'!D57,'VIC-2'!D57,'QLD-2'!D57,'SA-1'!D57,'WA-1'!D57,'IDC-NSW'!D57,'IDC-VIC'!D57)="Forecast",$AA46=LastActual),CHOOSE($X$4,'National'!G57,'NSW-1'!G57,'VIC-1'!G57,'QLD-1'!G57,'NSW-2'!G57,'VIC-2'!G57,'QLD-2'!G57,'SA-1'!G57,'WA-1'!G57,'IDC-NSW'!G57,'IDC-VIC'!G57),NA())</f>
        <v/>
      </c>
      <c r="AF46" s="20">
        <f>IF(CHOOSE($X$4,'National'!D57,'NSW-1'!D57,'VIC-1'!D57,'QLD-1'!D57,'NSW-2'!D57,'VIC-2'!D57,'QLD-2'!D57,'SA-1'!D57,'WA-1'!D57,'IDC-NSW'!D57,'IDC-VIC'!D57)="Actual",CHOOSE($X$4,'National'!K57,'NSW-1'!K57,'VIC-1'!K57,'QLD-1'!K57,'NSW-2'!K57,'VIC-2'!K57,'QLD-2'!K57,'SA-1'!K57,'WA-1'!K57,'IDC-NSW'!K57,'IDC-VIC'!K57),NA())</f>
        <v/>
      </c>
      <c r="AG46" s="20">
        <f>IF(OR(CHOOSE($X$4,'National'!D57,'NSW-1'!D57,'VIC-1'!D57,'QLD-1'!D57,'NSW-2'!D57,'VIC-2'!D57,'QLD-2'!D57,'SA-1'!D57,'WA-1'!D57,'IDC-NSW'!D57,'IDC-VIC'!D57)="Forecast",$AA46=LastActual),CHOOSE($X$4,'National'!K57,'NSW-1'!K57,'VIC-1'!K57,'QLD-1'!K57,'NSW-2'!K57,'VIC-2'!K57,'QLD-2'!K57,'SA-1'!K57,'WA-1'!K57,'IDC-NSW'!K57,'IDC-VIC'!K57),NA())</f>
        <v/>
      </c>
      <c r="AH46" s="21">
        <f>IF(CHOOSE($X$4,'National'!D57,'NSW-1'!D57,'VIC-1'!D57,'QLD-1'!D57,'NSW-2'!D57,'VIC-2'!D57,'QLD-2'!D57,'SA-1'!D57,'WA-1'!D57,'IDC-NSW'!D57,'IDC-VIC'!D57)="Actual",CHOOSE($X$4,'National'!L57,'NSW-1'!L57,'VIC-1'!L57,'QLD-1'!L57,'NSW-2'!L57,'VIC-2'!L57,'QLD-2'!L57,'SA-1'!L57,'WA-1'!L57,'IDC-NSW'!L57,'IDC-VIC'!L57),NA())</f>
        <v/>
      </c>
      <c r="AI46" s="21">
        <f>IF(OR(CHOOSE($X$4,'National'!D57,'NSW-1'!D57,'VIC-1'!D57,'QLD-1'!D57,'NSW-2'!D57,'VIC-2'!D57,'QLD-2'!D57,'SA-1'!D57,'WA-1'!D57,'IDC-NSW'!D57,'IDC-VIC'!D57)="Forecast",$AA46=LastActual),CHOOSE($X$4,'National'!L57,'NSW-1'!L57,'VIC-1'!L57,'QLD-1'!L57,'NSW-2'!L57,'VIC-2'!L57,'QLD-2'!L57,'SA-1'!L57,'WA-1'!L57,'IDC-NSW'!L57,'IDC-VIC'!L57),NA())</f>
        <v/>
      </c>
      <c r="AJ46" s="22">
        <f>IF(CHOOSE($X$4,'National'!D57,'NSW-1'!D57,'VIC-1'!D57,'QLD-1'!D57,'NSW-2'!D57,'VIC-2'!D57,'QLD-2'!D57,'SA-1'!D57,'WA-1'!D57,'IDC-NSW'!D57,'IDC-VIC'!D57)="Actual",CHOOSE($X$4,'National'!M57,'NSW-1'!M57,'VIC-1'!M57,'QLD-1'!M57,'NSW-2'!M57,'VIC-2'!M57,'QLD-2'!M57,'SA-1'!M57,'WA-1'!M57,'IDC-NSW'!M57,'IDC-VIC'!M57),NA())</f>
        <v/>
      </c>
      <c r="AK46" s="22">
        <f>IF(OR(CHOOSE($X$4,'National'!D57,'NSW-1'!D57,'VIC-1'!D57,'QLD-1'!D57,'NSW-2'!D57,'VIC-2'!D57,'QLD-2'!D57,'SA-1'!D57,'WA-1'!D57,'IDC-NSW'!D57,'IDC-VIC'!D57)="Forecast",$AA46=LastActual),CHOOSE($X$4,'National'!M57,'NSW-1'!M57,'VIC-1'!M57,'QLD-1'!M57,'NSW-2'!M57,'VIC-2'!M57,'QLD-2'!M57,'SA-1'!M57,'WA-1'!M57,'IDC-NSW'!M57,'IDC-VIC'!M57),NA())</f>
        <v/>
      </c>
      <c r="AL46" s="8">
        <f>IF(CHOOSE($X$4,'National'!D57,'NSW-1'!D57,'VIC-1'!D57,'QLD-1'!D57,'NSW-2'!D57,'VIC-2'!D57,'QLD-2'!D57,'SA-1'!D57,'WA-1'!D57,'IDC-NSW'!D57,'IDC-VIC'!D57)="Actual",CHOOSE($X$4,'National'!P57,'NSW-1'!P57,'VIC-1'!P57,'QLD-1'!P57,'NSW-2'!P57,'VIC-2'!P57,'QLD-2'!P57,'SA-1'!P57,'WA-1'!P57,'IDC-NSW'!P57,'IDC-VIC'!P57),NA())</f>
        <v/>
      </c>
      <c r="AM46" s="8">
        <f>IF(OR(CHOOSE($X$4,'National'!D57,'NSW-1'!D57,'VIC-1'!D57,'QLD-1'!D57,'NSW-2'!D57,'VIC-2'!D57,'QLD-2'!D57,'SA-1'!D57,'WA-1'!D57,'IDC-NSW'!D57,'IDC-VIC'!D57)="Forecast",$AA46=LastActual),CHOOSE($X$4,'National'!P57,'NSW-1'!P57,'VIC-1'!P57,'QLD-1'!P57,'NSW-2'!P57,'VIC-2'!P57,'QLD-2'!P57,'SA-1'!P57,'WA-1'!P57,'IDC-NSW'!P57,'IDC-VIC'!P57),NA())</f>
        <v/>
      </c>
    </row>
    <row r="47">
      <c r="AA47" s="9" t="n">
        <v>46966</v>
      </c>
      <c r="AB47" s="19">
        <f>IF(CHOOSE($X$4,'National'!D58,'NSW-1'!D58,'VIC-1'!D58,'QLD-1'!D58,'NSW-2'!D58,'VIC-2'!D58,'QLD-2'!D58,'SA-1'!D58,'WA-1'!D58,'IDC-NSW'!D58,'IDC-VIC'!D58)="Actual",CHOOSE($X$4,'National'!J58,'NSW-1'!J58,'VIC-1'!J58,'QLD-1'!J58,'NSW-2'!J58,'VIC-2'!J58,'QLD-2'!J58,'SA-1'!J58,'WA-1'!J58,'IDC-NSW'!J58,'IDC-VIC'!J58),NA())</f>
        <v/>
      </c>
      <c r="AC47" s="19">
        <f>IF(OR(CHOOSE($X$4,'National'!D58,'NSW-1'!D58,'VIC-1'!D58,'QLD-1'!D58,'NSW-2'!D58,'VIC-2'!D58,'QLD-2'!D58,'SA-1'!D58,'WA-1'!D58,'IDC-NSW'!D58,'IDC-VIC'!D58)="Forecast",$AA47=LastActual),CHOOSE($X$4,'National'!J58,'NSW-1'!J58,'VIC-1'!J58,'QLD-1'!J58,'NSW-2'!J58,'VIC-2'!J58,'QLD-2'!J58,'SA-1'!J58,'WA-1'!J58,'IDC-NSW'!J58,'IDC-VIC'!J58),NA())</f>
        <v/>
      </c>
      <c r="AD47" s="10">
        <f>IF(CHOOSE($X$4,'National'!D58,'NSW-1'!D58,'VIC-1'!D58,'QLD-1'!D58,'NSW-2'!D58,'VIC-2'!D58,'QLD-2'!D58,'SA-1'!D58,'WA-1'!D58,'IDC-NSW'!D58,'IDC-VIC'!D58)="Actual",CHOOSE($X$4,'National'!G58,'NSW-1'!G58,'VIC-1'!G58,'QLD-1'!G58,'NSW-2'!G58,'VIC-2'!G58,'QLD-2'!G58,'SA-1'!G58,'WA-1'!G58,'IDC-NSW'!G58,'IDC-VIC'!G58),NA())</f>
        <v/>
      </c>
      <c r="AE47" s="10">
        <f>IF(OR(CHOOSE($X$4,'National'!D58,'NSW-1'!D58,'VIC-1'!D58,'QLD-1'!D58,'NSW-2'!D58,'VIC-2'!D58,'QLD-2'!D58,'SA-1'!D58,'WA-1'!D58,'IDC-NSW'!D58,'IDC-VIC'!D58)="Forecast",$AA47=LastActual),CHOOSE($X$4,'National'!G58,'NSW-1'!G58,'VIC-1'!G58,'QLD-1'!G58,'NSW-2'!G58,'VIC-2'!G58,'QLD-2'!G58,'SA-1'!G58,'WA-1'!G58,'IDC-NSW'!G58,'IDC-VIC'!G58),NA())</f>
        <v/>
      </c>
      <c r="AF47" s="20">
        <f>IF(CHOOSE($X$4,'National'!D58,'NSW-1'!D58,'VIC-1'!D58,'QLD-1'!D58,'NSW-2'!D58,'VIC-2'!D58,'QLD-2'!D58,'SA-1'!D58,'WA-1'!D58,'IDC-NSW'!D58,'IDC-VIC'!D58)="Actual",CHOOSE($X$4,'National'!K58,'NSW-1'!K58,'VIC-1'!K58,'QLD-1'!K58,'NSW-2'!K58,'VIC-2'!K58,'QLD-2'!K58,'SA-1'!K58,'WA-1'!K58,'IDC-NSW'!K58,'IDC-VIC'!K58),NA())</f>
        <v/>
      </c>
      <c r="AG47" s="20">
        <f>IF(OR(CHOOSE($X$4,'National'!D58,'NSW-1'!D58,'VIC-1'!D58,'QLD-1'!D58,'NSW-2'!D58,'VIC-2'!D58,'QLD-2'!D58,'SA-1'!D58,'WA-1'!D58,'IDC-NSW'!D58,'IDC-VIC'!D58)="Forecast",$AA47=LastActual),CHOOSE($X$4,'National'!K58,'NSW-1'!K58,'VIC-1'!K58,'QLD-1'!K58,'NSW-2'!K58,'VIC-2'!K58,'QLD-2'!K58,'SA-1'!K58,'WA-1'!K58,'IDC-NSW'!K58,'IDC-VIC'!K58),NA())</f>
        <v/>
      </c>
      <c r="AH47" s="21">
        <f>IF(CHOOSE($X$4,'National'!D58,'NSW-1'!D58,'VIC-1'!D58,'QLD-1'!D58,'NSW-2'!D58,'VIC-2'!D58,'QLD-2'!D58,'SA-1'!D58,'WA-1'!D58,'IDC-NSW'!D58,'IDC-VIC'!D58)="Actual",CHOOSE($X$4,'National'!L58,'NSW-1'!L58,'VIC-1'!L58,'QLD-1'!L58,'NSW-2'!L58,'VIC-2'!L58,'QLD-2'!L58,'SA-1'!L58,'WA-1'!L58,'IDC-NSW'!L58,'IDC-VIC'!L58),NA())</f>
        <v/>
      </c>
      <c r="AI47" s="21">
        <f>IF(OR(CHOOSE($X$4,'National'!D58,'NSW-1'!D58,'VIC-1'!D58,'QLD-1'!D58,'NSW-2'!D58,'VIC-2'!D58,'QLD-2'!D58,'SA-1'!D58,'WA-1'!D58,'IDC-NSW'!D58,'IDC-VIC'!D58)="Forecast",$AA47=LastActual),CHOOSE($X$4,'National'!L58,'NSW-1'!L58,'VIC-1'!L58,'QLD-1'!L58,'NSW-2'!L58,'VIC-2'!L58,'QLD-2'!L58,'SA-1'!L58,'WA-1'!L58,'IDC-NSW'!L58,'IDC-VIC'!L58),NA())</f>
        <v/>
      </c>
      <c r="AJ47" s="22">
        <f>IF(CHOOSE($X$4,'National'!D58,'NSW-1'!D58,'VIC-1'!D58,'QLD-1'!D58,'NSW-2'!D58,'VIC-2'!D58,'QLD-2'!D58,'SA-1'!D58,'WA-1'!D58,'IDC-NSW'!D58,'IDC-VIC'!D58)="Actual",CHOOSE($X$4,'National'!M58,'NSW-1'!M58,'VIC-1'!M58,'QLD-1'!M58,'NSW-2'!M58,'VIC-2'!M58,'QLD-2'!M58,'SA-1'!M58,'WA-1'!M58,'IDC-NSW'!M58,'IDC-VIC'!M58),NA())</f>
        <v/>
      </c>
      <c r="AK47" s="22">
        <f>IF(OR(CHOOSE($X$4,'National'!D58,'NSW-1'!D58,'VIC-1'!D58,'QLD-1'!D58,'NSW-2'!D58,'VIC-2'!D58,'QLD-2'!D58,'SA-1'!D58,'WA-1'!D58,'IDC-NSW'!D58,'IDC-VIC'!D58)="Forecast",$AA47=LastActual),CHOOSE($X$4,'National'!M58,'NSW-1'!M58,'VIC-1'!M58,'QLD-1'!M58,'NSW-2'!M58,'VIC-2'!M58,'QLD-2'!M58,'SA-1'!M58,'WA-1'!M58,'IDC-NSW'!M58,'IDC-VIC'!M58),NA())</f>
        <v/>
      </c>
      <c r="AL47" s="8">
        <f>IF(CHOOSE($X$4,'National'!D58,'NSW-1'!D58,'VIC-1'!D58,'QLD-1'!D58,'NSW-2'!D58,'VIC-2'!D58,'QLD-2'!D58,'SA-1'!D58,'WA-1'!D58,'IDC-NSW'!D58,'IDC-VIC'!D58)="Actual",CHOOSE($X$4,'National'!P58,'NSW-1'!P58,'VIC-1'!P58,'QLD-1'!P58,'NSW-2'!P58,'VIC-2'!P58,'QLD-2'!P58,'SA-1'!P58,'WA-1'!P58,'IDC-NSW'!P58,'IDC-VIC'!P58),NA())</f>
        <v/>
      </c>
      <c r="AM47" s="8">
        <f>IF(OR(CHOOSE($X$4,'National'!D58,'NSW-1'!D58,'VIC-1'!D58,'QLD-1'!D58,'NSW-2'!D58,'VIC-2'!D58,'QLD-2'!D58,'SA-1'!D58,'WA-1'!D58,'IDC-NSW'!D58,'IDC-VIC'!D58)="Forecast",$AA47=LastActual),CHOOSE($X$4,'National'!P58,'NSW-1'!P58,'VIC-1'!P58,'QLD-1'!P58,'NSW-2'!P58,'VIC-2'!P58,'QLD-2'!P58,'SA-1'!P58,'WA-1'!P58,'IDC-NSW'!P58,'IDC-VIC'!P58),NA())</f>
        <v/>
      </c>
    </row>
    <row r="48">
      <c r="AA48" s="9" t="n">
        <v>46997</v>
      </c>
      <c r="AB48" s="19">
        <f>IF(CHOOSE($X$4,'National'!D59,'NSW-1'!D59,'VIC-1'!D59,'QLD-1'!D59,'NSW-2'!D59,'VIC-2'!D59,'QLD-2'!D59,'SA-1'!D59,'WA-1'!D59,'IDC-NSW'!D59,'IDC-VIC'!D59)="Actual",CHOOSE($X$4,'National'!J59,'NSW-1'!J59,'VIC-1'!J59,'QLD-1'!J59,'NSW-2'!J59,'VIC-2'!J59,'QLD-2'!J59,'SA-1'!J59,'WA-1'!J59,'IDC-NSW'!J59,'IDC-VIC'!J59),NA())</f>
        <v/>
      </c>
      <c r="AC48" s="19">
        <f>IF(OR(CHOOSE($X$4,'National'!D59,'NSW-1'!D59,'VIC-1'!D59,'QLD-1'!D59,'NSW-2'!D59,'VIC-2'!D59,'QLD-2'!D59,'SA-1'!D59,'WA-1'!D59,'IDC-NSW'!D59,'IDC-VIC'!D59)="Forecast",$AA48=LastActual),CHOOSE($X$4,'National'!J59,'NSW-1'!J59,'VIC-1'!J59,'QLD-1'!J59,'NSW-2'!J59,'VIC-2'!J59,'QLD-2'!J59,'SA-1'!J59,'WA-1'!J59,'IDC-NSW'!J59,'IDC-VIC'!J59),NA())</f>
        <v/>
      </c>
      <c r="AD48" s="10">
        <f>IF(CHOOSE($X$4,'National'!D59,'NSW-1'!D59,'VIC-1'!D59,'QLD-1'!D59,'NSW-2'!D59,'VIC-2'!D59,'QLD-2'!D59,'SA-1'!D59,'WA-1'!D59,'IDC-NSW'!D59,'IDC-VIC'!D59)="Actual",CHOOSE($X$4,'National'!G59,'NSW-1'!G59,'VIC-1'!G59,'QLD-1'!G59,'NSW-2'!G59,'VIC-2'!G59,'QLD-2'!G59,'SA-1'!G59,'WA-1'!G59,'IDC-NSW'!G59,'IDC-VIC'!G59),NA())</f>
        <v/>
      </c>
      <c r="AE48" s="10">
        <f>IF(OR(CHOOSE($X$4,'National'!D59,'NSW-1'!D59,'VIC-1'!D59,'QLD-1'!D59,'NSW-2'!D59,'VIC-2'!D59,'QLD-2'!D59,'SA-1'!D59,'WA-1'!D59,'IDC-NSW'!D59,'IDC-VIC'!D59)="Forecast",$AA48=LastActual),CHOOSE($X$4,'National'!G59,'NSW-1'!G59,'VIC-1'!G59,'QLD-1'!G59,'NSW-2'!G59,'VIC-2'!G59,'QLD-2'!G59,'SA-1'!G59,'WA-1'!G59,'IDC-NSW'!G59,'IDC-VIC'!G59),NA())</f>
        <v/>
      </c>
      <c r="AF48" s="20">
        <f>IF(CHOOSE($X$4,'National'!D59,'NSW-1'!D59,'VIC-1'!D59,'QLD-1'!D59,'NSW-2'!D59,'VIC-2'!D59,'QLD-2'!D59,'SA-1'!D59,'WA-1'!D59,'IDC-NSW'!D59,'IDC-VIC'!D59)="Actual",CHOOSE($X$4,'National'!K59,'NSW-1'!K59,'VIC-1'!K59,'QLD-1'!K59,'NSW-2'!K59,'VIC-2'!K59,'QLD-2'!K59,'SA-1'!K59,'WA-1'!K59,'IDC-NSW'!K59,'IDC-VIC'!K59),NA())</f>
        <v/>
      </c>
      <c r="AG48" s="20">
        <f>IF(OR(CHOOSE($X$4,'National'!D59,'NSW-1'!D59,'VIC-1'!D59,'QLD-1'!D59,'NSW-2'!D59,'VIC-2'!D59,'QLD-2'!D59,'SA-1'!D59,'WA-1'!D59,'IDC-NSW'!D59,'IDC-VIC'!D59)="Forecast",$AA48=LastActual),CHOOSE($X$4,'National'!K59,'NSW-1'!K59,'VIC-1'!K59,'QLD-1'!K59,'NSW-2'!K59,'VIC-2'!K59,'QLD-2'!K59,'SA-1'!K59,'WA-1'!K59,'IDC-NSW'!K59,'IDC-VIC'!K59),NA())</f>
        <v/>
      </c>
      <c r="AH48" s="21">
        <f>IF(CHOOSE($X$4,'National'!D59,'NSW-1'!D59,'VIC-1'!D59,'QLD-1'!D59,'NSW-2'!D59,'VIC-2'!D59,'QLD-2'!D59,'SA-1'!D59,'WA-1'!D59,'IDC-NSW'!D59,'IDC-VIC'!D59)="Actual",CHOOSE($X$4,'National'!L59,'NSW-1'!L59,'VIC-1'!L59,'QLD-1'!L59,'NSW-2'!L59,'VIC-2'!L59,'QLD-2'!L59,'SA-1'!L59,'WA-1'!L59,'IDC-NSW'!L59,'IDC-VIC'!L59),NA())</f>
        <v/>
      </c>
      <c r="AI48" s="21">
        <f>IF(OR(CHOOSE($X$4,'National'!D59,'NSW-1'!D59,'VIC-1'!D59,'QLD-1'!D59,'NSW-2'!D59,'VIC-2'!D59,'QLD-2'!D59,'SA-1'!D59,'WA-1'!D59,'IDC-NSW'!D59,'IDC-VIC'!D59)="Forecast",$AA48=LastActual),CHOOSE($X$4,'National'!L59,'NSW-1'!L59,'VIC-1'!L59,'QLD-1'!L59,'NSW-2'!L59,'VIC-2'!L59,'QLD-2'!L59,'SA-1'!L59,'WA-1'!L59,'IDC-NSW'!L59,'IDC-VIC'!L59),NA())</f>
        <v/>
      </c>
      <c r="AJ48" s="22">
        <f>IF(CHOOSE($X$4,'National'!D59,'NSW-1'!D59,'VIC-1'!D59,'QLD-1'!D59,'NSW-2'!D59,'VIC-2'!D59,'QLD-2'!D59,'SA-1'!D59,'WA-1'!D59,'IDC-NSW'!D59,'IDC-VIC'!D59)="Actual",CHOOSE($X$4,'National'!M59,'NSW-1'!M59,'VIC-1'!M59,'QLD-1'!M59,'NSW-2'!M59,'VIC-2'!M59,'QLD-2'!M59,'SA-1'!M59,'WA-1'!M59,'IDC-NSW'!M59,'IDC-VIC'!M59),NA())</f>
        <v/>
      </c>
      <c r="AK48" s="22">
        <f>IF(OR(CHOOSE($X$4,'National'!D59,'NSW-1'!D59,'VIC-1'!D59,'QLD-1'!D59,'NSW-2'!D59,'VIC-2'!D59,'QLD-2'!D59,'SA-1'!D59,'WA-1'!D59,'IDC-NSW'!D59,'IDC-VIC'!D59)="Forecast",$AA48=LastActual),CHOOSE($X$4,'National'!M59,'NSW-1'!M59,'VIC-1'!M59,'QLD-1'!M59,'NSW-2'!M59,'VIC-2'!M59,'QLD-2'!M59,'SA-1'!M59,'WA-1'!M59,'IDC-NSW'!M59,'IDC-VIC'!M59),NA())</f>
        <v/>
      </c>
      <c r="AL48" s="8">
        <f>IF(CHOOSE($X$4,'National'!D59,'NSW-1'!D59,'VIC-1'!D59,'QLD-1'!D59,'NSW-2'!D59,'VIC-2'!D59,'QLD-2'!D59,'SA-1'!D59,'WA-1'!D59,'IDC-NSW'!D59,'IDC-VIC'!D59)="Actual",CHOOSE($X$4,'National'!P59,'NSW-1'!P59,'VIC-1'!P59,'QLD-1'!P59,'NSW-2'!P59,'VIC-2'!P59,'QLD-2'!P59,'SA-1'!P59,'WA-1'!P59,'IDC-NSW'!P59,'IDC-VIC'!P59),NA())</f>
        <v/>
      </c>
      <c r="AM48" s="8">
        <f>IF(OR(CHOOSE($X$4,'National'!D59,'NSW-1'!D59,'VIC-1'!D59,'QLD-1'!D59,'NSW-2'!D59,'VIC-2'!D59,'QLD-2'!D59,'SA-1'!D59,'WA-1'!D59,'IDC-NSW'!D59,'IDC-VIC'!D59)="Forecast",$AA48=LastActual),CHOOSE($X$4,'National'!P59,'NSW-1'!P59,'VIC-1'!P59,'QLD-1'!P59,'NSW-2'!P59,'VIC-2'!P59,'QLD-2'!P59,'SA-1'!P59,'WA-1'!P59,'IDC-NSW'!P59,'IDC-VIC'!P59),NA())</f>
        <v/>
      </c>
    </row>
    <row r="49">
      <c r="AA49" s="9" t="n">
        <v>47027</v>
      </c>
      <c r="AB49" s="19">
        <f>IF(CHOOSE($X$4,'National'!D60,'NSW-1'!D60,'VIC-1'!D60,'QLD-1'!D60,'NSW-2'!D60,'VIC-2'!D60,'QLD-2'!D60,'SA-1'!D60,'WA-1'!D60,'IDC-NSW'!D60,'IDC-VIC'!D60)="Actual",CHOOSE($X$4,'National'!J60,'NSW-1'!J60,'VIC-1'!J60,'QLD-1'!J60,'NSW-2'!J60,'VIC-2'!J60,'QLD-2'!J60,'SA-1'!J60,'WA-1'!J60,'IDC-NSW'!J60,'IDC-VIC'!J60),NA())</f>
        <v/>
      </c>
      <c r="AC49" s="19">
        <f>IF(OR(CHOOSE($X$4,'National'!D60,'NSW-1'!D60,'VIC-1'!D60,'QLD-1'!D60,'NSW-2'!D60,'VIC-2'!D60,'QLD-2'!D60,'SA-1'!D60,'WA-1'!D60,'IDC-NSW'!D60,'IDC-VIC'!D60)="Forecast",$AA49=LastActual),CHOOSE($X$4,'National'!J60,'NSW-1'!J60,'VIC-1'!J60,'QLD-1'!J60,'NSW-2'!J60,'VIC-2'!J60,'QLD-2'!J60,'SA-1'!J60,'WA-1'!J60,'IDC-NSW'!J60,'IDC-VIC'!J60),NA())</f>
        <v/>
      </c>
      <c r="AD49" s="10">
        <f>IF(CHOOSE($X$4,'National'!D60,'NSW-1'!D60,'VIC-1'!D60,'QLD-1'!D60,'NSW-2'!D60,'VIC-2'!D60,'QLD-2'!D60,'SA-1'!D60,'WA-1'!D60,'IDC-NSW'!D60,'IDC-VIC'!D60)="Actual",CHOOSE($X$4,'National'!G60,'NSW-1'!G60,'VIC-1'!G60,'QLD-1'!G60,'NSW-2'!G60,'VIC-2'!G60,'QLD-2'!G60,'SA-1'!G60,'WA-1'!G60,'IDC-NSW'!G60,'IDC-VIC'!G60),NA())</f>
        <v/>
      </c>
      <c r="AE49" s="10">
        <f>IF(OR(CHOOSE($X$4,'National'!D60,'NSW-1'!D60,'VIC-1'!D60,'QLD-1'!D60,'NSW-2'!D60,'VIC-2'!D60,'QLD-2'!D60,'SA-1'!D60,'WA-1'!D60,'IDC-NSW'!D60,'IDC-VIC'!D60)="Forecast",$AA49=LastActual),CHOOSE($X$4,'National'!G60,'NSW-1'!G60,'VIC-1'!G60,'QLD-1'!G60,'NSW-2'!G60,'VIC-2'!G60,'QLD-2'!G60,'SA-1'!G60,'WA-1'!G60,'IDC-NSW'!G60,'IDC-VIC'!G60),NA())</f>
        <v/>
      </c>
      <c r="AF49" s="20">
        <f>IF(CHOOSE($X$4,'National'!D60,'NSW-1'!D60,'VIC-1'!D60,'QLD-1'!D60,'NSW-2'!D60,'VIC-2'!D60,'QLD-2'!D60,'SA-1'!D60,'WA-1'!D60,'IDC-NSW'!D60,'IDC-VIC'!D60)="Actual",CHOOSE($X$4,'National'!K60,'NSW-1'!K60,'VIC-1'!K60,'QLD-1'!K60,'NSW-2'!K60,'VIC-2'!K60,'QLD-2'!K60,'SA-1'!K60,'WA-1'!K60,'IDC-NSW'!K60,'IDC-VIC'!K60),NA())</f>
        <v/>
      </c>
      <c r="AG49" s="20">
        <f>IF(OR(CHOOSE($X$4,'National'!D60,'NSW-1'!D60,'VIC-1'!D60,'QLD-1'!D60,'NSW-2'!D60,'VIC-2'!D60,'QLD-2'!D60,'SA-1'!D60,'WA-1'!D60,'IDC-NSW'!D60,'IDC-VIC'!D60)="Forecast",$AA49=LastActual),CHOOSE($X$4,'National'!K60,'NSW-1'!K60,'VIC-1'!K60,'QLD-1'!K60,'NSW-2'!K60,'VIC-2'!K60,'QLD-2'!K60,'SA-1'!K60,'WA-1'!K60,'IDC-NSW'!K60,'IDC-VIC'!K60),NA())</f>
        <v/>
      </c>
      <c r="AH49" s="21">
        <f>IF(CHOOSE($X$4,'National'!D60,'NSW-1'!D60,'VIC-1'!D60,'QLD-1'!D60,'NSW-2'!D60,'VIC-2'!D60,'QLD-2'!D60,'SA-1'!D60,'WA-1'!D60,'IDC-NSW'!D60,'IDC-VIC'!D60)="Actual",CHOOSE($X$4,'National'!L60,'NSW-1'!L60,'VIC-1'!L60,'QLD-1'!L60,'NSW-2'!L60,'VIC-2'!L60,'QLD-2'!L60,'SA-1'!L60,'WA-1'!L60,'IDC-NSW'!L60,'IDC-VIC'!L60),NA())</f>
        <v/>
      </c>
      <c r="AI49" s="21">
        <f>IF(OR(CHOOSE($X$4,'National'!D60,'NSW-1'!D60,'VIC-1'!D60,'QLD-1'!D60,'NSW-2'!D60,'VIC-2'!D60,'QLD-2'!D60,'SA-1'!D60,'WA-1'!D60,'IDC-NSW'!D60,'IDC-VIC'!D60)="Forecast",$AA49=LastActual),CHOOSE($X$4,'National'!L60,'NSW-1'!L60,'VIC-1'!L60,'QLD-1'!L60,'NSW-2'!L60,'VIC-2'!L60,'QLD-2'!L60,'SA-1'!L60,'WA-1'!L60,'IDC-NSW'!L60,'IDC-VIC'!L60),NA())</f>
        <v/>
      </c>
      <c r="AJ49" s="22">
        <f>IF(CHOOSE($X$4,'National'!D60,'NSW-1'!D60,'VIC-1'!D60,'QLD-1'!D60,'NSW-2'!D60,'VIC-2'!D60,'QLD-2'!D60,'SA-1'!D60,'WA-1'!D60,'IDC-NSW'!D60,'IDC-VIC'!D60)="Actual",CHOOSE($X$4,'National'!M60,'NSW-1'!M60,'VIC-1'!M60,'QLD-1'!M60,'NSW-2'!M60,'VIC-2'!M60,'QLD-2'!M60,'SA-1'!M60,'WA-1'!M60,'IDC-NSW'!M60,'IDC-VIC'!M60),NA())</f>
        <v/>
      </c>
      <c r="AK49" s="22">
        <f>IF(OR(CHOOSE($X$4,'National'!D60,'NSW-1'!D60,'VIC-1'!D60,'QLD-1'!D60,'NSW-2'!D60,'VIC-2'!D60,'QLD-2'!D60,'SA-1'!D60,'WA-1'!D60,'IDC-NSW'!D60,'IDC-VIC'!D60)="Forecast",$AA49=LastActual),CHOOSE($X$4,'National'!M60,'NSW-1'!M60,'VIC-1'!M60,'QLD-1'!M60,'NSW-2'!M60,'VIC-2'!M60,'QLD-2'!M60,'SA-1'!M60,'WA-1'!M60,'IDC-NSW'!M60,'IDC-VIC'!M60),NA())</f>
        <v/>
      </c>
      <c r="AL49" s="8">
        <f>IF(CHOOSE($X$4,'National'!D60,'NSW-1'!D60,'VIC-1'!D60,'QLD-1'!D60,'NSW-2'!D60,'VIC-2'!D60,'QLD-2'!D60,'SA-1'!D60,'WA-1'!D60,'IDC-NSW'!D60,'IDC-VIC'!D60)="Actual",CHOOSE($X$4,'National'!P60,'NSW-1'!P60,'VIC-1'!P60,'QLD-1'!P60,'NSW-2'!P60,'VIC-2'!P60,'QLD-2'!P60,'SA-1'!P60,'WA-1'!P60,'IDC-NSW'!P60,'IDC-VIC'!P60),NA())</f>
        <v/>
      </c>
      <c r="AM49" s="8">
        <f>IF(OR(CHOOSE($X$4,'National'!D60,'NSW-1'!D60,'VIC-1'!D60,'QLD-1'!D60,'NSW-2'!D60,'VIC-2'!D60,'QLD-2'!D60,'SA-1'!D60,'WA-1'!D60,'IDC-NSW'!D60,'IDC-VIC'!D60)="Forecast",$AA49=LastActual),CHOOSE($X$4,'National'!P60,'NSW-1'!P60,'VIC-1'!P60,'QLD-1'!P60,'NSW-2'!P60,'VIC-2'!P60,'QLD-2'!P60,'SA-1'!P60,'WA-1'!P60,'IDC-NSW'!P60,'IDC-VIC'!P60),NA())</f>
        <v/>
      </c>
    </row>
    <row r="50">
      <c r="AA50" s="9" t="n">
        <v>47058</v>
      </c>
      <c r="AB50" s="19">
        <f>IF(CHOOSE($X$4,'National'!D61,'NSW-1'!D61,'VIC-1'!D61,'QLD-1'!D61,'NSW-2'!D61,'VIC-2'!D61,'QLD-2'!D61,'SA-1'!D61,'WA-1'!D61,'IDC-NSW'!D61,'IDC-VIC'!D61)="Actual",CHOOSE($X$4,'National'!J61,'NSW-1'!J61,'VIC-1'!J61,'QLD-1'!J61,'NSW-2'!J61,'VIC-2'!J61,'QLD-2'!J61,'SA-1'!J61,'WA-1'!J61,'IDC-NSW'!J61,'IDC-VIC'!J61),NA())</f>
        <v/>
      </c>
      <c r="AC50" s="19">
        <f>IF(OR(CHOOSE($X$4,'National'!D61,'NSW-1'!D61,'VIC-1'!D61,'QLD-1'!D61,'NSW-2'!D61,'VIC-2'!D61,'QLD-2'!D61,'SA-1'!D61,'WA-1'!D61,'IDC-NSW'!D61,'IDC-VIC'!D61)="Forecast",$AA50=LastActual),CHOOSE($X$4,'National'!J61,'NSW-1'!J61,'VIC-1'!J61,'QLD-1'!J61,'NSW-2'!J61,'VIC-2'!J61,'QLD-2'!J61,'SA-1'!J61,'WA-1'!J61,'IDC-NSW'!J61,'IDC-VIC'!J61),NA())</f>
        <v/>
      </c>
      <c r="AD50" s="10">
        <f>IF(CHOOSE($X$4,'National'!D61,'NSW-1'!D61,'VIC-1'!D61,'QLD-1'!D61,'NSW-2'!D61,'VIC-2'!D61,'QLD-2'!D61,'SA-1'!D61,'WA-1'!D61,'IDC-NSW'!D61,'IDC-VIC'!D61)="Actual",CHOOSE($X$4,'National'!G61,'NSW-1'!G61,'VIC-1'!G61,'QLD-1'!G61,'NSW-2'!G61,'VIC-2'!G61,'QLD-2'!G61,'SA-1'!G61,'WA-1'!G61,'IDC-NSW'!G61,'IDC-VIC'!G61),NA())</f>
        <v/>
      </c>
      <c r="AE50" s="10">
        <f>IF(OR(CHOOSE($X$4,'National'!D61,'NSW-1'!D61,'VIC-1'!D61,'QLD-1'!D61,'NSW-2'!D61,'VIC-2'!D61,'QLD-2'!D61,'SA-1'!D61,'WA-1'!D61,'IDC-NSW'!D61,'IDC-VIC'!D61)="Forecast",$AA50=LastActual),CHOOSE($X$4,'National'!G61,'NSW-1'!G61,'VIC-1'!G61,'QLD-1'!G61,'NSW-2'!G61,'VIC-2'!G61,'QLD-2'!G61,'SA-1'!G61,'WA-1'!G61,'IDC-NSW'!G61,'IDC-VIC'!G61),NA())</f>
        <v/>
      </c>
      <c r="AF50" s="20">
        <f>IF(CHOOSE($X$4,'National'!D61,'NSW-1'!D61,'VIC-1'!D61,'QLD-1'!D61,'NSW-2'!D61,'VIC-2'!D61,'QLD-2'!D61,'SA-1'!D61,'WA-1'!D61,'IDC-NSW'!D61,'IDC-VIC'!D61)="Actual",CHOOSE($X$4,'National'!K61,'NSW-1'!K61,'VIC-1'!K61,'QLD-1'!K61,'NSW-2'!K61,'VIC-2'!K61,'QLD-2'!K61,'SA-1'!K61,'WA-1'!K61,'IDC-NSW'!K61,'IDC-VIC'!K61),NA())</f>
        <v/>
      </c>
      <c r="AG50" s="20">
        <f>IF(OR(CHOOSE($X$4,'National'!D61,'NSW-1'!D61,'VIC-1'!D61,'QLD-1'!D61,'NSW-2'!D61,'VIC-2'!D61,'QLD-2'!D61,'SA-1'!D61,'WA-1'!D61,'IDC-NSW'!D61,'IDC-VIC'!D61)="Forecast",$AA50=LastActual),CHOOSE($X$4,'National'!K61,'NSW-1'!K61,'VIC-1'!K61,'QLD-1'!K61,'NSW-2'!K61,'VIC-2'!K61,'QLD-2'!K61,'SA-1'!K61,'WA-1'!K61,'IDC-NSW'!K61,'IDC-VIC'!K61),NA())</f>
        <v/>
      </c>
      <c r="AH50" s="21">
        <f>IF(CHOOSE($X$4,'National'!D61,'NSW-1'!D61,'VIC-1'!D61,'QLD-1'!D61,'NSW-2'!D61,'VIC-2'!D61,'QLD-2'!D61,'SA-1'!D61,'WA-1'!D61,'IDC-NSW'!D61,'IDC-VIC'!D61)="Actual",CHOOSE($X$4,'National'!L61,'NSW-1'!L61,'VIC-1'!L61,'QLD-1'!L61,'NSW-2'!L61,'VIC-2'!L61,'QLD-2'!L61,'SA-1'!L61,'WA-1'!L61,'IDC-NSW'!L61,'IDC-VIC'!L61),NA())</f>
        <v/>
      </c>
      <c r="AI50" s="21">
        <f>IF(OR(CHOOSE($X$4,'National'!D61,'NSW-1'!D61,'VIC-1'!D61,'QLD-1'!D61,'NSW-2'!D61,'VIC-2'!D61,'QLD-2'!D61,'SA-1'!D61,'WA-1'!D61,'IDC-NSW'!D61,'IDC-VIC'!D61)="Forecast",$AA50=LastActual),CHOOSE($X$4,'National'!L61,'NSW-1'!L61,'VIC-1'!L61,'QLD-1'!L61,'NSW-2'!L61,'VIC-2'!L61,'QLD-2'!L61,'SA-1'!L61,'WA-1'!L61,'IDC-NSW'!L61,'IDC-VIC'!L61),NA())</f>
        <v/>
      </c>
      <c r="AJ50" s="22">
        <f>IF(CHOOSE($X$4,'National'!D61,'NSW-1'!D61,'VIC-1'!D61,'QLD-1'!D61,'NSW-2'!D61,'VIC-2'!D61,'QLD-2'!D61,'SA-1'!D61,'WA-1'!D61,'IDC-NSW'!D61,'IDC-VIC'!D61)="Actual",CHOOSE($X$4,'National'!M61,'NSW-1'!M61,'VIC-1'!M61,'QLD-1'!M61,'NSW-2'!M61,'VIC-2'!M61,'QLD-2'!M61,'SA-1'!M61,'WA-1'!M61,'IDC-NSW'!M61,'IDC-VIC'!M61),NA())</f>
        <v/>
      </c>
      <c r="AK50" s="22">
        <f>IF(OR(CHOOSE($X$4,'National'!D61,'NSW-1'!D61,'VIC-1'!D61,'QLD-1'!D61,'NSW-2'!D61,'VIC-2'!D61,'QLD-2'!D61,'SA-1'!D61,'WA-1'!D61,'IDC-NSW'!D61,'IDC-VIC'!D61)="Forecast",$AA50=LastActual),CHOOSE($X$4,'National'!M61,'NSW-1'!M61,'VIC-1'!M61,'QLD-1'!M61,'NSW-2'!M61,'VIC-2'!M61,'QLD-2'!M61,'SA-1'!M61,'WA-1'!M61,'IDC-NSW'!M61,'IDC-VIC'!M61),NA())</f>
        <v/>
      </c>
      <c r="AL50" s="8">
        <f>IF(CHOOSE($X$4,'National'!D61,'NSW-1'!D61,'VIC-1'!D61,'QLD-1'!D61,'NSW-2'!D61,'VIC-2'!D61,'QLD-2'!D61,'SA-1'!D61,'WA-1'!D61,'IDC-NSW'!D61,'IDC-VIC'!D61)="Actual",CHOOSE($X$4,'National'!P61,'NSW-1'!P61,'VIC-1'!P61,'QLD-1'!P61,'NSW-2'!P61,'VIC-2'!P61,'QLD-2'!P61,'SA-1'!P61,'WA-1'!P61,'IDC-NSW'!P61,'IDC-VIC'!P61),NA())</f>
        <v/>
      </c>
      <c r="AM50" s="8">
        <f>IF(OR(CHOOSE($X$4,'National'!D61,'NSW-1'!D61,'VIC-1'!D61,'QLD-1'!D61,'NSW-2'!D61,'VIC-2'!D61,'QLD-2'!D61,'SA-1'!D61,'WA-1'!D61,'IDC-NSW'!D61,'IDC-VIC'!D61)="Forecast",$AA50=LastActual),CHOOSE($X$4,'National'!P61,'NSW-1'!P61,'VIC-1'!P61,'QLD-1'!P61,'NSW-2'!P61,'VIC-2'!P61,'QLD-2'!P61,'SA-1'!P61,'WA-1'!P61,'IDC-NSW'!P61,'IDC-VIC'!P61),NA())</f>
        <v/>
      </c>
    </row>
    <row r="51">
      <c r="AA51" s="9" t="n">
        <v>47088</v>
      </c>
      <c r="AB51" s="19">
        <f>IF(CHOOSE($X$4,'National'!D62,'NSW-1'!D62,'VIC-1'!D62,'QLD-1'!D62,'NSW-2'!D62,'VIC-2'!D62,'QLD-2'!D62,'SA-1'!D62,'WA-1'!D62,'IDC-NSW'!D62,'IDC-VIC'!D62)="Actual",CHOOSE($X$4,'National'!J62,'NSW-1'!J62,'VIC-1'!J62,'QLD-1'!J62,'NSW-2'!J62,'VIC-2'!J62,'QLD-2'!J62,'SA-1'!J62,'WA-1'!J62,'IDC-NSW'!J62,'IDC-VIC'!J62),NA())</f>
        <v/>
      </c>
      <c r="AC51" s="19">
        <f>IF(OR(CHOOSE($X$4,'National'!D62,'NSW-1'!D62,'VIC-1'!D62,'QLD-1'!D62,'NSW-2'!D62,'VIC-2'!D62,'QLD-2'!D62,'SA-1'!D62,'WA-1'!D62,'IDC-NSW'!D62,'IDC-VIC'!D62)="Forecast",$AA51=LastActual),CHOOSE($X$4,'National'!J62,'NSW-1'!J62,'VIC-1'!J62,'QLD-1'!J62,'NSW-2'!J62,'VIC-2'!J62,'QLD-2'!J62,'SA-1'!J62,'WA-1'!J62,'IDC-NSW'!J62,'IDC-VIC'!J62),NA())</f>
        <v/>
      </c>
      <c r="AD51" s="10">
        <f>IF(CHOOSE($X$4,'National'!D62,'NSW-1'!D62,'VIC-1'!D62,'QLD-1'!D62,'NSW-2'!D62,'VIC-2'!D62,'QLD-2'!D62,'SA-1'!D62,'WA-1'!D62,'IDC-NSW'!D62,'IDC-VIC'!D62)="Actual",CHOOSE($X$4,'National'!G62,'NSW-1'!G62,'VIC-1'!G62,'QLD-1'!G62,'NSW-2'!G62,'VIC-2'!G62,'QLD-2'!G62,'SA-1'!G62,'WA-1'!G62,'IDC-NSW'!G62,'IDC-VIC'!G62),NA())</f>
        <v/>
      </c>
      <c r="AE51" s="10">
        <f>IF(OR(CHOOSE($X$4,'National'!D62,'NSW-1'!D62,'VIC-1'!D62,'QLD-1'!D62,'NSW-2'!D62,'VIC-2'!D62,'QLD-2'!D62,'SA-1'!D62,'WA-1'!D62,'IDC-NSW'!D62,'IDC-VIC'!D62)="Forecast",$AA51=LastActual),CHOOSE($X$4,'National'!G62,'NSW-1'!G62,'VIC-1'!G62,'QLD-1'!G62,'NSW-2'!G62,'VIC-2'!G62,'QLD-2'!G62,'SA-1'!G62,'WA-1'!G62,'IDC-NSW'!G62,'IDC-VIC'!G62),NA())</f>
        <v/>
      </c>
      <c r="AF51" s="20">
        <f>IF(CHOOSE($X$4,'National'!D62,'NSW-1'!D62,'VIC-1'!D62,'QLD-1'!D62,'NSW-2'!D62,'VIC-2'!D62,'QLD-2'!D62,'SA-1'!D62,'WA-1'!D62,'IDC-NSW'!D62,'IDC-VIC'!D62)="Actual",CHOOSE($X$4,'National'!K62,'NSW-1'!K62,'VIC-1'!K62,'QLD-1'!K62,'NSW-2'!K62,'VIC-2'!K62,'QLD-2'!K62,'SA-1'!K62,'WA-1'!K62,'IDC-NSW'!K62,'IDC-VIC'!K62),NA())</f>
        <v/>
      </c>
      <c r="AG51" s="20">
        <f>IF(OR(CHOOSE($X$4,'National'!D62,'NSW-1'!D62,'VIC-1'!D62,'QLD-1'!D62,'NSW-2'!D62,'VIC-2'!D62,'QLD-2'!D62,'SA-1'!D62,'WA-1'!D62,'IDC-NSW'!D62,'IDC-VIC'!D62)="Forecast",$AA51=LastActual),CHOOSE($X$4,'National'!K62,'NSW-1'!K62,'VIC-1'!K62,'QLD-1'!K62,'NSW-2'!K62,'VIC-2'!K62,'QLD-2'!K62,'SA-1'!K62,'WA-1'!K62,'IDC-NSW'!K62,'IDC-VIC'!K62),NA())</f>
        <v/>
      </c>
      <c r="AH51" s="21">
        <f>IF(CHOOSE($X$4,'National'!D62,'NSW-1'!D62,'VIC-1'!D62,'QLD-1'!D62,'NSW-2'!D62,'VIC-2'!D62,'QLD-2'!D62,'SA-1'!D62,'WA-1'!D62,'IDC-NSW'!D62,'IDC-VIC'!D62)="Actual",CHOOSE($X$4,'National'!L62,'NSW-1'!L62,'VIC-1'!L62,'QLD-1'!L62,'NSW-2'!L62,'VIC-2'!L62,'QLD-2'!L62,'SA-1'!L62,'WA-1'!L62,'IDC-NSW'!L62,'IDC-VIC'!L62),NA())</f>
        <v/>
      </c>
      <c r="AI51" s="21">
        <f>IF(OR(CHOOSE($X$4,'National'!D62,'NSW-1'!D62,'VIC-1'!D62,'QLD-1'!D62,'NSW-2'!D62,'VIC-2'!D62,'QLD-2'!D62,'SA-1'!D62,'WA-1'!D62,'IDC-NSW'!D62,'IDC-VIC'!D62)="Forecast",$AA51=LastActual),CHOOSE($X$4,'National'!L62,'NSW-1'!L62,'VIC-1'!L62,'QLD-1'!L62,'NSW-2'!L62,'VIC-2'!L62,'QLD-2'!L62,'SA-1'!L62,'WA-1'!L62,'IDC-NSW'!L62,'IDC-VIC'!L62),NA())</f>
        <v/>
      </c>
      <c r="AJ51" s="22">
        <f>IF(CHOOSE($X$4,'National'!D62,'NSW-1'!D62,'VIC-1'!D62,'QLD-1'!D62,'NSW-2'!D62,'VIC-2'!D62,'QLD-2'!D62,'SA-1'!D62,'WA-1'!D62,'IDC-NSW'!D62,'IDC-VIC'!D62)="Actual",CHOOSE($X$4,'National'!M62,'NSW-1'!M62,'VIC-1'!M62,'QLD-1'!M62,'NSW-2'!M62,'VIC-2'!M62,'QLD-2'!M62,'SA-1'!M62,'WA-1'!M62,'IDC-NSW'!M62,'IDC-VIC'!M62),NA())</f>
        <v/>
      </c>
      <c r="AK51" s="22">
        <f>IF(OR(CHOOSE($X$4,'National'!D62,'NSW-1'!D62,'VIC-1'!D62,'QLD-1'!D62,'NSW-2'!D62,'VIC-2'!D62,'QLD-2'!D62,'SA-1'!D62,'WA-1'!D62,'IDC-NSW'!D62,'IDC-VIC'!D62)="Forecast",$AA51=LastActual),CHOOSE($X$4,'National'!M62,'NSW-1'!M62,'VIC-1'!M62,'QLD-1'!M62,'NSW-2'!M62,'VIC-2'!M62,'QLD-2'!M62,'SA-1'!M62,'WA-1'!M62,'IDC-NSW'!M62,'IDC-VIC'!M62),NA())</f>
        <v/>
      </c>
      <c r="AL51" s="8">
        <f>IF(CHOOSE($X$4,'National'!D62,'NSW-1'!D62,'VIC-1'!D62,'QLD-1'!D62,'NSW-2'!D62,'VIC-2'!D62,'QLD-2'!D62,'SA-1'!D62,'WA-1'!D62,'IDC-NSW'!D62,'IDC-VIC'!D62)="Actual",CHOOSE($X$4,'National'!P62,'NSW-1'!P62,'VIC-1'!P62,'QLD-1'!P62,'NSW-2'!P62,'VIC-2'!P62,'QLD-2'!P62,'SA-1'!P62,'WA-1'!P62,'IDC-NSW'!P62,'IDC-VIC'!P62),NA())</f>
        <v/>
      </c>
      <c r="AM51" s="8">
        <f>IF(OR(CHOOSE($X$4,'National'!D62,'NSW-1'!D62,'VIC-1'!D62,'QLD-1'!D62,'NSW-2'!D62,'VIC-2'!D62,'QLD-2'!D62,'SA-1'!D62,'WA-1'!D62,'IDC-NSW'!D62,'IDC-VIC'!D62)="Forecast",$AA51=LastActual),CHOOSE($X$4,'National'!P62,'NSW-1'!P62,'VIC-1'!P62,'QLD-1'!P62,'NSW-2'!P62,'VIC-2'!P62,'QLD-2'!P62,'SA-1'!P62,'WA-1'!P62,'IDC-NSW'!P62,'IDC-VIC'!P62),NA())</f>
        <v/>
      </c>
    </row>
  </sheetData>
  <dataValidations count="1">
    <dataValidation sqref="B3" showDropDown="0" showInputMessage="0" showErrorMessage="0" allowBlank="0" type="list">
      <formula1>"National,NSW-1,VIC-1,QLD-1,NSW-2,VIC-2,QLD-2,SA-1,WA-1,IDC-NSW,IDC-VIC"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  <c r="R6" t="inlineStr">
        <is>
          <t>NSW-1</t>
        </is>
      </c>
      <c r="S6" s="16">
        <f>SUMIFS('NSW-1'!$J$15:$J$62,'NSW-1'!$B$15:$B$62,2025)</f>
        <v/>
      </c>
      <c r="T6" s="16">
        <f>SUMIFS('NSW-1'!$J$15:$J$62,'NSW-1'!$B$15:$B$62,2026)</f>
        <v/>
      </c>
      <c r="U6" s="16">
        <f>SUMIFS('NSW-1'!$J$15:$J$62,'NSW-1'!$B$15:$B$62,2027)</f>
        <v/>
      </c>
      <c r="V6" s="16">
        <f>SUMIFS('NSW-1'!$J$15:$J$62,'NSW-1'!$B$15:$B$62,2028)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  <c r="R7" t="inlineStr">
        <is>
          <t>VIC-1</t>
        </is>
      </c>
      <c r="S7" s="16">
        <f>SUMIFS('VIC-1'!$J$15:$J$62,'VIC-1'!$B$15:$B$62,2025)</f>
        <v/>
      </c>
      <c r="T7" s="16">
        <f>SUMIFS('VIC-1'!$J$15:$J$62,'VIC-1'!$B$15:$B$62,2026)</f>
        <v/>
      </c>
      <c r="U7" s="16">
        <f>SUMIFS('VIC-1'!$J$15:$J$62,'VIC-1'!$B$15:$B$62,2027)</f>
        <v/>
      </c>
      <c r="V7" s="16">
        <f>SUMIFS('VIC-1'!$J$15:$J$62,'VIC-1'!$B$15:$B$62,2028)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  <c r="R8" t="inlineStr">
        <is>
          <t>QLD-1</t>
        </is>
      </c>
      <c r="S8" s="16">
        <f>SUMIFS('QLD-1'!$J$15:$J$62,'QLD-1'!$B$15:$B$62,2025)</f>
        <v/>
      </c>
      <c r="T8" s="16">
        <f>SUMIFS('QLD-1'!$J$15:$J$62,'QLD-1'!$B$15:$B$62,2026)</f>
        <v/>
      </c>
      <c r="U8" s="16">
        <f>SUMIFS('QLD-1'!$J$15:$J$62,'QLD-1'!$B$15:$B$62,2027)</f>
        <v/>
      </c>
      <c r="V8" s="16">
        <f>SUMIFS('QLD-1'!$J$15:$J$62,'QLD-1'!$B$15:$B$62,2028)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  <c r="R9" t="inlineStr">
        <is>
          <t>NSW-2</t>
        </is>
      </c>
      <c r="S9" s="16">
        <f>SUMIFS('NSW-2'!$J$15:$J$62,'NSW-2'!$B$15:$B$62,2025)</f>
        <v/>
      </c>
      <c r="T9" s="16">
        <f>SUMIFS('NSW-2'!$J$15:$J$62,'NSW-2'!$B$15:$B$62,2026)</f>
        <v/>
      </c>
      <c r="U9" s="16">
        <f>SUMIFS('NSW-2'!$J$15:$J$62,'NSW-2'!$B$15:$B$62,2027)</f>
        <v/>
      </c>
      <c r="V9" s="16">
        <f>SUMIFS('NSW-2'!$J$15:$J$62,'NSW-2'!$B$15:$B$62,2028)</f>
        <v/>
      </c>
    </row>
    <row r="10">
      <c r="R10" t="inlineStr">
        <is>
          <t>VIC-2</t>
        </is>
      </c>
      <c r="S10" s="16">
        <f>SUMIFS('VIC-2'!$J$15:$J$62,'VIC-2'!$B$15:$B$62,2025)</f>
        <v/>
      </c>
      <c r="T10" s="16">
        <f>SUMIFS('VIC-2'!$J$15:$J$62,'VIC-2'!$B$15:$B$62,2026)</f>
        <v/>
      </c>
      <c r="U10" s="16">
        <f>SUMIFS('VIC-2'!$J$15:$J$62,'VIC-2'!$B$15:$B$62,2027)</f>
        <v/>
      </c>
      <c r="V10" s="16">
        <f>SUMIFS('VIC-2'!$J$15:$J$62,'VIC-2'!$B$15:$B$62,2028)</f>
        <v/>
      </c>
    </row>
    <row r="11">
      <c r="R11" t="inlineStr">
        <is>
          <t>QLD-2</t>
        </is>
      </c>
      <c r="S11" s="16">
        <f>SUMIFS('QLD-2'!$J$15:$J$62,'QLD-2'!$B$15:$B$62,2025)</f>
        <v/>
      </c>
      <c r="T11" s="16">
        <f>SUMIFS('QLD-2'!$J$15:$J$62,'QLD-2'!$B$15:$B$62,2026)</f>
        <v/>
      </c>
      <c r="U11" s="16">
        <f>SUMIFS('QLD-2'!$J$15:$J$62,'QLD-2'!$B$15:$B$62,2027)</f>
        <v/>
      </c>
      <c r="V11" s="16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 t="inlineStr">
        <is>
          <t>SA-1</t>
        </is>
      </c>
      <c r="S12" s="16">
        <f>SUMIFS('SA-1'!$J$15:$J$62,'SA-1'!$B$15:$B$62,2025)</f>
        <v/>
      </c>
      <c r="T12" s="16">
        <f>SUMIFS('SA-1'!$J$15:$J$62,'SA-1'!$B$15:$B$62,2026)</f>
        <v/>
      </c>
      <c r="U12" s="16">
        <f>SUMIFS('SA-1'!$J$15:$J$62,'SA-1'!$B$15:$B$62,2027)</f>
        <v/>
      </c>
      <c r="V12" s="16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t="inlineStr">
        <is>
          <t>WA-1</t>
        </is>
      </c>
      <c r="S13" s="16">
        <f>SUMIFS('WA-1'!$J$15:$J$62,'WA-1'!$B$15:$B$62,2025)</f>
        <v/>
      </c>
      <c r="T13" s="16">
        <f>SUMIFS('WA-1'!$J$15:$J$62,'WA-1'!$B$15:$B$62,2026)</f>
        <v/>
      </c>
      <c r="U13" s="16">
        <f>SUMIFS('WA-1'!$J$15:$J$62,'WA-1'!$B$15:$B$62,2027)</f>
        <v/>
      </c>
      <c r="V13" s="16">
        <f>SUMIFS('WA-1'!$J$15:$J$62,'WA-1'!$B$15:$B$62,2028)</f>
        <v/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  <c r="R14" t="inlineStr">
        <is>
          <t>IDC-NSW</t>
        </is>
      </c>
      <c r="S14" s="16">
        <f>SUMIFS('IDC-NSW'!$J$15:$J$62,'IDC-NSW'!$B$15:$B$62,2025)</f>
        <v/>
      </c>
      <c r="T14" s="16">
        <f>SUMIFS('IDC-NSW'!$J$15:$J$62,'IDC-NSW'!$B$15:$B$62,2026)</f>
        <v/>
      </c>
      <c r="U14" s="16">
        <f>SUMIFS('IDC-NSW'!$J$15:$J$62,'IDC-NSW'!$B$15:$B$62,2027)</f>
        <v/>
      </c>
      <c r="V14" s="16">
        <f>SUMIFS('IDC-NSW'!$J$15:$J$62,'IDC-NSW'!$B$15:$B$62,2028)</f>
        <v/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'NSW-1'!E15+'VIC-1'!E15+'QLD-1'!E15+'NSW-2'!E15+'VIC-2'!E15+'QLD-2'!E15+'SA-1'!E15+'WA-1'!E15</f>
        <v/>
      </c>
      <c r="F15" s="15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16">
        <f>'NSW-1'!H15+'VIC-1'!H15+'QLD-1'!H15+'NSW-2'!H15+'VIC-2'!H15+'QLD-2'!H15+'SA-1'!H15+'WA-1'!H15+'IDC-NSW'!H15+'IDC-VIC'!H15</f>
        <v/>
      </c>
      <c r="I15" s="16">
        <f>'NSW-1'!I15+'VIC-1'!I15+'QLD-1'!I15+'NSW-2'!I15+'VIC-2'!I15+'QLD-2'!I15+'SA-1'!I15+'WA-1'!I15+'IDC-NSW'!I15+'IDC-VIC'!I15</f>
        <v/>
      </c>
      <c r="J15" s="16">
        <f>'NSW-1'!J15+'VIC-1'!J15+'QLD-1'!J15+'NSW-2'!J15+'VIC-2'!J15+'QLD-2'!J15+'SA-1'!J15+'WA-1'!J15+'IDC-NSW'!J15+'IDC-VIC'!J15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16">
        <f>SUMIFS('IDC-VIC'!$J$15:$J$62,'IDC-VIC'!$B$15:$B$62,2025)</f>
        <v/>
      </c>
      <c r="T15" s="16">
        <f>SUMIFS('IDC-VIC'!$J$15:$J$62,'IDC-VIC'!$B$15:$B$62,2026)</f>
        <v/>
      </c>
      <c r="U15" s="16">
        <f>SUMIFS('IDC-VIC'!$J$15:$J$62,'IDC-VIC'!$B$15:$B$62,2027)</f>
        <v/>
      </c>
      <c r="V15" s="16">
        <f>SUMIFS('IDC-VIC'!$J$15:$J$62,'IDC-VIC'!$B$15:$B$62,2028)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'NSW-1'!E16+'VIC-1'!E16+'QLD-1'!E16+'NSW-2'!E16+'VIC-2'!E16+'QLD-2'!E16+'SA-1'!E16+'WA-1'!E16</f>
        <v/>
      </c>
      <c r="F16" s="15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16">
        <f>'NSW-1'!H16+'VIC-1'!H16+'QLD-1'!H16+'NSW-2'!H16+'VIC-2'!H16+'QLD-2'!H16+'SA-1'!H16+'WA-1'!H16+'IDC-NSW'!H16+'IDC-VIC'!H16</f>
        <v/>
      </c>
      <c r="I16" s="16">
        <f>'NSW-1'!I16+'VIC-1'!I16+'QLD-1'!I16+'NSW-2'!I16+'VIC-2'!I16+'QLD-2'!I16+'SA-1'!I16+'WA-1'!I16+'IDC-NSW'!I16+'IDC-VIC'!I16</f>
        <v/>
      </c>
      <c r="J16" s="16">
        <f>'NSW-1'!J16+'VIC-1'!J16+'QLD-1'!J16+'NSW-2'!J16+'VIC-2'!J16+'QLD-2'!J16+'SA-1'!J16+'WA-1'!J16+'IDC-NSW'!J16+'IDC-VIC'!J16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'NSW-1'!E17+'VIC-1'!E17+'QLD-1'!E17+'NSW-2'!E17+'VIC-2'!E17+'QLD-2'!E17+'SA-1'!E17+'WA-1'!E17</f>
        <v/>
      </c>
      <c r="F17" s="15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16">
        <f>'NSW-1'!H17+'VIC-1'!H17+'QLD-1'!H17+'NSW-2'!H17+'VIC-2'!H17+'QLD-2'!H17+'SA-1'!H17+'WA-1'!H17+'IDC-NSW'!H17+'IDC-VIC'!H17</f>
        <v/>
      </c>
      <c r="I17" s="16">
        <f>'NSW-1'!I17+'VIC-1'!I17+'QLD-1'!I17+'NSW-2'!I17+'VIC-2'!I17+'QLD-2'!I17+'SA-1'!I17+'WA-1'!I17+'IDC-NSW'!I17+'IDC-VIC'!I17</f>
        <v/>
      </c>
      <c r="J17" s="16">
        <f>'NSW-1'!J17+'VIC-1'!J17+'QLD-1'!J17+'NSW-2'!J17+'VIC-2'!J17+'QLD-2'!J17+'SA-1'!J17+'WA-1'!J17+'IDC-NSW'!J17+'IDC-VIC'!J17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'NSW-1'!E18+'VIC-1'!E18+'QLD-1'!E18+'NSW-2'!E18+'VIC-2'!E18+'QLD-2'!E18+'SA-1'!E18+'WA-1'!E18</f>
        <v/>
      </c>
      <c r="F18" s="15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16">
        <f>'NSW-1'!H18+'VIC-1'!H18+'QLD-1'!H18+'NSW-2'!H18+'VIC-2'!H18+'QLD-2'!H18+'SA-1'!H18+'WA-1'!H18+'IDC-NSW'!H18+'IDC-VIC'!H18</f>
        <v/>
      </c>
      <c r="I18" s="16">
        <f>'NSW-1'!I18+'VIC-1'!I18+'QLD-1'!I18+'NSW-2'!I18+'VIC-2'!I18+'QLD-2'!I18+'SA-1'!I18+'WA-1'!I18+'IDC-NSW'!I18+'IDC-VIC'!I18</f>
        <v/>
      </c>
      <c r="J18" s="16">
        <f>'NSW-1'!J18+'VIC-1'!J18+'QLD-1'!J18+'NSW-2'!J18+'VIC-2'!J18+'QLD-2'!J18+'SA-1'!J18+'WA-1'!J18+'IDC-NSW'!J18+'IDC-VIC'!J18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'NSW-1'!E19+'VIC-1'!E19+'QLD-1'!E19+'NSW-2'!E19+'VIC-2'!E19+'QLD-2'!E19+'SA-1'!E19+'WA-1'!E19</f>
        <v/>
      </c>
      <c r="F19" s="15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16">
        <f>'NSW-1'!H19+'VIC-1'!H19+'QLD-1'!H19+'NSW-2'!H19+'VIC-2'!H19+'QLD-2'!H19+'SA-1'!H19+'WA-1'!H19+'IDC-NSW'!H19+'IDC-VIC'!H19</f>
        <v/>
      </c>
      <c r="I19" s="16">
        <f>'NSW-1'!I19+'VIC-1'!I19+'QLD-1'!I19+'NSW-2'!I19+'VIC-2'!I19+'QLD-2'!I19+'SA-1'!I19+'WA-1'!I19+'IDC-NSW'!I19+'IDC-VIC'!I19</f>
        <v/>
      </c>
      <c r="J19" s="16">
        <f>'NSW-1'!J19+'VIC-1'!J19+'QLD-1'!J19+'NSW-2'!J19+'VIC-2'!J19+'QLD-2'!J19+'SA-1'!J19+'WA-1'!J19+'IDC-NSW'!J19+'IDC-VIC'!J19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'NSW-1'!E20+'VIC-1'!E20+'QLD-1'!E20+'NSW-2'!E20+'VIC-2'!E20+'QLD-2'!E20+'SA-1'!E20+'WA-1'!E20</f>
        <v/>
      </c>
      <c r="F20" s="15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16">
        <f>'NSW-1'!H20+'VIC-1'!H20+'QLD-1'!H20+'NSW-2'!H20+'VIC-2'!H20+'QLD-2'!H20+'SA-1'!H20+'WA-1'!H20+'IDC-NSW'!H20+'IDC-VIC'!H20</f>
        <v/>
      </c>
      <c r="I20" s="16">
        <f>'NSW-1'!I20+'VIC-1'!I20+'QLD-1'!I20+'NSW-2'!I20+'VIC-2'!I20+'QLD-2'!I20+'SA-1'!I20+'WA-1'!I20+'IDC-NSW'!I20+'IDC-VIC'!I20</f>
        <v/>
      </c>
      <c r="J20" s="16">
        <f>'NSW-1'!J20+'VIC-1'!J20+'QLD-1'!J20+'NSW-2'!J20+'VIC-2'!J20+'QLD-2'!J20+'SA-1'!J20+'WA-1'!J20+'IDC-NSW'!J20+'IDC-VIC'!J20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'NSW-1'!E21+'VIC-1'!E21+'QLD-1'!E21+'NSW-2'!E21+'VIC-2'!E21+'QLD-2'!E21+'SA-1'!E21+'WA-1'!E21</f>
        <v/>
      </c>
      <c r="F21" s="15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16">
        <f>'NSW-1'!H21+'VIC-1'!H21+'QLD-1'!H21+'NSW-2'!H21+'VIC-2'!H21+'QLD-2'!H21+'SA-1'!H21+'WA-1'!H21+'IDC-NSW'!H21+'IDC-VIC'!H21</f>
        <v/>
      </c>
      <c r="I21" s="16">
        <f>'NSW-1'!I21+'VIC-1'!I21+'QLD-1'!I21+'NSW-2'!I21+'VIC-2'!I21+'QLD-2'!I21+'SA-1'!I21+'WA-1'!I21+'IDC-NSW'!I21+'IDC-VIC'!I21</f>
        <v/>
      </c>
      <c r="J21" s="16">
        <f>'NSW-1'!J21+'VIC-1'!J21+'QLD-1'!J21+'NSW-2'!J21+'VIC-2'!J21+'QLD-2'!J21+'SA-1'!J21+'WA-1'!J21+'IDC-NSW'!J21+'IDC-VIC'!J21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'NSW-1'!E22+'VIC-1'!E22+'QLD-1'!E22+'NSW-2'!E22+'VIC-2'!E22+'QLD-2'!E22+'SA-1'!E22+'WA-1'!E22</f>
        <v/>
      </c>
      <c r="F22" s="15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16">
        <f>'NSW-1'!H22+'VIC-1'!H22+'QLD-1'!H22+'NSW-2'!H22+'VIC-2'!H22+'QLD-2'!H22+'SA-1'!H22+'WA-1'!H22+'IDC-NSW'!H22+'IDC-VIC'!H22</f>
        <v/>
      </c>
      <c r="I22" s="16">
        <f>'NSW-1'!I22+'VIC-1'!I22+'QLD-1'!I22+'NSW-2'!I22+'VIC-2'!I22+'QLD-2'!I22+'SA-1'!I22+'WA-1'!I22+'IDC-NSW'!I22+'IDC-VIC'!I22</f>
        <v/>
      </c>
      <c r="J22" s="16">
        <f>'NSW-1'!J22+'VIC-1'!J22+'QLD-1'!J22+'NSW-2'!J22+'VIC-2'!J22+'QLD-2'!J22+'SA-1'!J22+'WA-1'!J22+'IDC-NSW'!J22+'IDC-VIC'!J22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'NSW-1'!E23+'VIC-1'!E23+'QLD-1'!E23+'NSW-2'!E23+'VIC-2'!E23+'QLD-2'!E23+'SA-1'!E23+'WA-1'!E23</f>
        <v/>
      </c>
      <c r="F23" s="15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16">
        <f>'NSW-1'!H23+'VIC-1'!H23+'QLD-1'!H23+'NSW-2'!H23+'VIC-2'!H23+'QLD-2'!H23+'SA-1'!H23+'WA-1'!H23+'IDC-NSW'!H23+'IDC-VIC'!H23</f>
        <v/>
      </c>
      <c r="I23" s="16">
        <f>'NSW-1'!I23+'VIC-1'!I23+'QLD-1'!I23+'NSW-2'!I23+'VIC-2'!I23+'QLD-2'!I23+'SA-1'!I23+'WA-1'!I23+'IDC-NSW'!I23+'IDC-VIC'!I23</f>
        <v/>
      </c>
      <c r="J23" s="16">
        <f>'NSW-1'!J23+'VIC-1'!J23+'QLD-1'!J23+'NSW-2'!J23+'VIC-2'!J23+'QLD-2'!J23+'SA-1'!J23+'WA-1'!J23+'IDC-NSW'!J23+'IDC-VIC'!J23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'NSW-1'!E24+'VIC-1'!E24+'QLD-1'!E24+'NSW-2'!E24+'VIC-2'!E24+'QLD-2'!E24+'SA-1'!E24+'WA-1'!E24</f>
        <v/>
      </c>
      <c r="F24" s="15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16">
        <f>'NSW-1'!H24+'VIC-1'!H24+'QLD-1'!H24+'NSW-2'!H24+'VIC-2'!H24+'QLD-2'!H24+'SA-1'!H24+'WA-1'!H24+'IDC-NSW'!H24+'IDC-VIC'!H24</f>
        <v/>
      </c>
      <c r="I24" s="16">
        <f>'NSW-1'!I24+'VIC-1'!I24+'QLD-1'!I24+'NSW-2'!I24+'VIC-2'!I24+'QLD-2'!I24+'SA-1'!I24+'WA-1'!I24+'IDC-NSW'!I24+'IDC-VIC'!I24</f>
        <v/>
      </c>
      <c r="J24" s="16">
        <f>'NSW-1'!J24+'VIC-1'!J24+'QLD-1'!J24+'NSW-2'!J24+'VIC-2'!J24+'QLD-2'!J24+'SA-1'!J24+'WA-1'!J24+'IDC-NSW'!J24+'IDC-VIC'!J24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'NSW-1'!E25+'VIC-1'!E25+'QLD-1'!E25+'NSW-2'!E25+'VIC-2'!E25+'QLD-2'!E25+'SA-1'!E25+'WA-1'!E25</f>
        <v/>
      </c>
      <c r="F25" s="15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16">
        <f>'NSW-1'!H25+'VIC-1'!H25+'QLD-1'!H25+'NSW-2'!H25+'VIC-2'!H25+'QLD-2'!H25+'SA-1'!H25+'WA-1'!H25+'IDC-NSW'!H25+'IDC-VIC'!H25</f>
        <v/>
      </c>
      <c r="I25" s="16">
        <f>'NSW-1'!I25+'VIC-1'!I25+'QLD-1'!I25+'NSW-2'!I25+'VIC-2'!I25+'QLD-2'!I25+'SA-1'!I25+'WA-1'!I25+'IDC-NSW'!I25+'IDC-VIC'!I25</f>
        <v/>
      </c>
      <c r="J25" s="16">
        <f>'NSW-1'!J25+'VIC-1'!J25+'QLD-1'!J25+'NSW-2'!J25+'VIC-2'!J25+'QLD-2'!J25+'SA-1'!J25+'WA-1'!J25+'IDC-NSW'!J25+'IDC-VIC'!J25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'NSW-1'!E26+'VIC-1'!E26+'QLD-1'!E26+'NSW-2'!E26+'VIC-2'!E26+'QLD-2'!E26+'SA-1'!E26+'WA-1'!E26</f>
        <v/>
      </c>
      <c r="F26" s="39">
        <f>'NSW-1'!F26+'VIC-1'!F26+'QLD-1'!F26+'NSW-2'!F26+'VIC-2'!F26+'QLD-2'!F26+'SA-1'!F26+'WA-1'!F26+'IDC-NSW'!F26+'IDC-VIC'!F26</f>
        <v/>
      </c>
      <c r="G26" s="40">
        <f>'NSW-1'!G26+'VIC-1'!G26+'QLD-1'!G26+'NSW-2'!G26+'VIC-2'!G26+'QLD-2'!G26+'SA-1'!G26+'WA-1'!G26+'IDC-NSW'!G26+'IDC-VIC'!G26</f>
        <v/>
      </c>
      <c r="H26" s="38">
        <f>'NSW-1'!H26+'VIC-1'!H26+'QLD-1'!H26+'NSW-2'!H26+'VIC-2'!H26+'QLD-2'!H26+'SA-1'!H26+'WA-1'!H26+'IDC-NSW'!H26+'IDC-VIC'!H26</f>
        <v/>
      </c>
      <c r="I26" s="38">
        <f>'NSW-1'!I26+'VIC-1'!I26+'QLD-1'!I26+'NSW-2'!I26+'VIC-2'!I26+'QLD-2'!I26+'SA-1'!I26+'WA-1'!I26+'IDC-NSW'!I26+'IDC-VIC'!I26</f>
        <v/>
      </c>
      <c r="J26" s="38">
        <f>'NSW-1'!J26+'VIC-1'!J26+'QLD-1'!J26+'NSW-2'!J26+'VIC-2'!J26+'QLD-2'!J26+'SA-1'!J26+'WA-1'!J26+'IDC-NSW'!J26+'IDC-VIC'!J26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'NSW-1'!E27+'VIC-1'!E27+'QLD-1'!E27+'NSW-2'!E27+'VIC-2'!E27+'QLD-2'!E27+'SA-1'!E27+'WA-1'!E27</f>
        <v/>
      </c>
      <c r="F27" s="15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16">
        <f>'NSW-1'!H27+'VIC-1'!H27+'QLD-1'!H27+'NSW-2'!H27+'VIC-2'!H27+'QLD-2'!H27+'SA-1'!H27+'WA-1'!H27+'IDC-NSW'!H27+'IDC-VIC'!H27</f>
        <v/>
      </c>
      <c r="I27" s="16">
        <f>'NSW-1'!I27+'VIC-1'!I27+'QLD-1'!I27+'NSW-2'!I27+'VIC-2'!I27+'QLD-2'!I27+'SA-1'!I27+'WA-1'!I27+'IDC-NSW'!I27+'IDC-VIC'!I27</f>
        <v/>
      </c>
      <c r="J27" s="16">
        <f>'NSW-1'!J27+'VIC-1'!J27+'QLD-1'!J27+'NSW-2'!J27+'VIC-2'!J27+'QLD-2'!J27+'SA-1'!J27+'WA-1'!J27+'IDC-NSW'!J27+'IDC-VIC'!J27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'NSW-1'!E28+'VIC-1'!E28+'QLD-1'!E28+'NSW-2'!E28+'VIC-2'!E28+'QLD-2'!E28+'SA-1'!E28+'WA-1'!E28</f>
        <v/>
      </c>
      <c r="F28" s="15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16">
        <f>'NSW-1'!H28+'VIC-1'!H28+'QLD-1'!H28+'NSW-2'!H28+'VIC-2'!H28+'QLD-2'!H28+'SA-1'!H28+'WA-1'!H28+'IDC-NSW'!H28+'IDC-VIC'!H28</f>
        <v/>
      </c>
      <c r="I28" s="16">
        <f>'NSW-1'!I28+'VIC-1'!I28+'QLD-1'!I28+'NSW-2'!I28+'VIC-2'!I28+'QLD-2'!I28+'SA-1'!I28+'WA-1'!I28+'IDC-NSW'!I28+'IDC-VIC'!I28</f>
        <v/>
      </c>
      <c r="J28" s="16">
        <f>'NSW-1'!J28+'VIC-1'!J28+'QLD-1'!J28+'NSW-2'!J28+'VIC-2'!J28+'QLD-2'!J28+'SA-1'!J28+'WA-1'!J28+'IDC-NSW'!J28+'IDC-VIC'!J28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'NSW-1'!E29+'VIC-1'!E29+'QLD-1'!E29+'NSW-2'!E29+'VIC-2'!E29+'QLD-2'!E29+'SA-1'!E29+'WA-1'!E29</f>
        <v/>
      </c>
      <c r="F29" s="15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16">
        <f>'NSW-1'!H29+'VIC-1'!H29+'QLD-1'!H29+'NSW-2'!H29+'VIC-2'!H29+'QLD-2'!H29+'SA-1'!H29+'WA-1'!H29+'IDC-NSW'!H29+'IDC-VIC'!H29</f>
        <v/>
      </c>
      <c r="I29" s="16">
        <f>'NSW-1'!I29+'VIC-1'!I29+'QLD-1'!I29+'NSW-2'!I29+'VIC-2'!I29+'QLD-2'!I29+'SA-1'!I29+'WA-1'!I29+'IDC-NSW'!I29+'IDC-VIC'!I29</f>
        <v/>
      </c>
      <c r="J29" s="16">
        <f>'NSW-1'!J29+'VIC-1'!J29+'QLD-1'!J29+'NSW-2'!J29+'VIC-2'!J29+'QLD-2'!J29+'SA-1'!J29+'WA-1'!J29+'IDC-NSW'!J29+'IDC-VIC'!J29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'NSW-1'!E30+'VIC-1'!E30+'QLD-1'!E30+'NSW-2'!E30+'VIC-2'!E30+'QLD-2'!E30+'SA-1'!E30+'WA-1'!E30</f>
        <v/>
      </c>
      <c r="F30" s="15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16">
        <f>'NSW-1'!H30+'VIC-1'!H30+'QLD-1'!H30+'NSW-2'!H30+'VIC-2'!H30+'QLD-2'!H30+'SA-1'!H30+'WA-1'!H30+'IDC-NSW'!H30+'IDC-VIC'!H30</f>
        <v/>
      </c>
      <c r="I30" s="16">
        <f>'NSW-1'!I30+'VIC-1'!I30+'QLD-1'!I30+'NSW-2'!I30+'VIC-2'!I30+'QLD-2'!I30+'SA-1'!I30+'WA-1'!I30+'IDC-NSW'!I30+'IDC-VIC'!I30</f>
        <v/>
      </c>
      <c r="J30" s="16">
        <f>'NSW-1'!J30+'VIC-1'!J30+'QLD-1'!J30+'NSW-2'!J30+'VIC-2'!J30+'QLD-2'!J30+'SA-1'!J30+'WA-1'!J30+'IDC-NSW'!J30+'IDC-VIC'!J30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'NSW-1'!E31+'VIC-1'!E31+'QLD-1'!E31+'NSW-2'!E31+'VIC-2'!E31+'QLD-2'!E31+'SA-1'!E31+'WA-1'!E31</f>
        <v/>
      </c>
      <c r="F31" s="15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16">
        <f>'NSW-1'!H31+'VIC-1'!H31+'QLD-1'!H31+'NSW-2'!H31+'VIC-2'!H31+'QLD-2'!H31+'SA-1'!H31+'WA-1'!H31+'IDC-NSW'!H31+'IDC-VIC'!H31</f>
        <v/>
      </c>
      <c r="I31" s="16">
        <f>'NSW-1'!I31+'VIC-1'!I31+'QLD-1'!I31+'NSW-2'!I31+'VIC-2'!I31+'QLD-2'!I31+'SA-1'!I31+'WA-1'!I31+'IDC-NSW'!I31+'IDC-VIC'!I31</f>
        <v/>
      </c>
      <c r="J31" s="16">
        <f>'NSW-1'!J31+'VIC-1'!J31+'QLD-1'!J31+'NSW-2'!J31+'VIC-2'!J31+'QLD-2'!J31+'SA-1'!J31+'WA-1'!J31+'IDC-NSW'!J31+'IDC-VIC'!J31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'NSW-1'!E32+'VIC-1'!E32+'QLD-1'!E32+'NSW-2'!E32+'VIC-2'!E32+'QLD-2'!E32+'SA-1'!E32+'WA-1'!E32</f>
        <v/>
      </c>
      <c r="F32" s="15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16">
        <f>'NSW-1'!H32+'VIC-1'!H32+'QLD-1'!H32+'NSW-2'!H32+'VIC-2'!H32+'QLD-2'!H32+'SA-1'!H32+'WA-1'!H32+'IDC-NSW'!H32+'IDC-VIC'!H32</f>
        <v/>
      </c>
      <c r="I32" s="16">
        <f>'NSW-1'!I32+'VIC-1'!I32+'QLD-1'!I32+'NSW-2'!I32+'VIC-2'!I32+'QLD-2'!I32+'SA-1'!I32+'WA-1'!I32+'IDC-NSW'!I32+'IDC-VIC'!I32</f>
        <v/>
      </c>
      <c r="J32" s="16">
        <f>'NSW-1'!J32+'VIC-1'!J32+'QLD-1'!J32+'NSW-2'!J32+'VIC-2'!J32+'QLD-2'!J32+'SA-1'!J32+'WA-1'!J32+'IDC-NSW'!J32+'IDC-VIC'!J32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'NSW-1'!E33+'VIC-1'!E33+'QLD-1'!E33+'NSW-2'!E33+'VIC-2'!E33+'QLD-2'!E33+'SA-1'!E33+'WA-1'!E33</f>
        <v/>
      </c>
      <c r="F33" s="15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16">
        <f>'NSW-1'!H33+'VIC-1'!H33+'QLD-1'!H33+'NSW-2'!H33+'VIC-2'!H33+'QLD-2'!H33+'SA-1'!H33+'WA-1'!H33+'IDC-NSW'!H33+'IDC-VIC'!H33</f>
        <v/>
      </c>
      <c r="I33" s="16">
        <f>'NSW-1'!I33+'VIC-1'!I33+'QLD-1'!I33+'NSW-2'!I33+'VIC-2'!I33+'QLD-2'!I33+'SA-1'!I33+'WA-1'!I33+'IDC-NSW'!I33+'IDC-VIC'!I33</f>
        <v/>
      </c>
      <c r="J33" s="16">
        <f>'NSW-1'!J33+'VIC-1'!J33+'QLD-1'!J33+'NSW-2'!J33+'VIC-2'!J33+'QLD-2'!J33+'SA-1'!J33+'WA-1'!J33+'IDC-NSW'!J33+'IDC-VIC'!J33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'NSW-1'!E34+'VIC-1'!E34+'QLD-1'!E34+'NSW-2'!E34+'VIC-2'!E34+'QLD-2'!E34+'SA-1'!E34+'WA-1'!E34</f>
        <v/>
      </c>
      <c r="F34" s="15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16">
        <f>'NSW-1'!H34+'VIC-1'!H34+'QLD-1'!H34+'NSW-2'!H34+'VIC-2'!H34+'QLD-2'!H34+'SA-1'!H34+'WA-1'!H34+'IDC-NSW'!H34+'IDC-VIC'!H34</f>
        <v/>
      </c>
      <c r="I34" s="16">
        <f>'NSW-1'!I34+'VIC-1'!I34+'QLD-1'!I34+'NSW-2'!I34+'VIC-2'!I34+'QLD-2'!I34+'SA-1'!I34+'WA-1'!I34+'IDC-NSW'!I34+'IDC-VIC'!I34</f>
        <v/>
      </c>
      <c r="J34" s="16">
        <f>'NSW-1'!J34+'VIC-1'!J34+'QLD-1'!J34+'NSW-2'!J34+'VIC-2'!J34+'QLD-2'!J34+'SA-1'!J34+'WA-1'!J34+'IDC-NSW'!J34+'IDC-VIC'!J34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17">
        <f>IFERROR(SUMIFS('NSW-1'!$F$15:$F$62,'NSW-1'!$B$15:$B$62,2025)/SUMIFS('NSW-1'!$G$15:$G$62,'NSW-1'!$B$15:$B$62,2025),0)</f>
        <v/>
      </c>
      <c r="T34" s="17">
        <f>IFERROR(SUMIFS('NSW-1'!$F$15:$F$62,'NSW-1'!$B$15:$B$62,2026)/SUMIFS('NSW-1'!$G$15:$G$62,'NSW-1'!$B$15:$B$62,2026),0)</f>
        <v/>
      </c>
      <c r="U34" s="17">
        <f>IFERROR(SUMIFS('NSW-1'!$F$15:$F$62,'NSW-1'!$B$15:$B$62,2027)/SUMIFS('NSW-1'!$G$15:$G$62,'NSW-1'!$B$15:$B$62,2027),0)</f>
        <v/>
      </c>
      <c r="V34" s="17">
        <f>IFERROR(SUMIFS('NSW-1'!$F$15:$F$62,'NSW-1'!$B$15:$B$62,2028)/SUMIFS('NSW-1'!$G$15:$G$62,'NSW-1'!$B$15:$B$62,2028),0)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'NSW-1'!E35+'VIC-1'!E35+'QLD-1'!E35+'NSW-2'!E35+'VIC-2'!E35+'QLD-2'!E35+'SA-1'!E35+'WA-1'!E35</f>
        <v/>
      </c>
      <c r="F35" s="15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16">
        <f>'NSW-1'!H35+'VIC-1'!H35+'QLD-1'!H35+'NSW-2'!H35+'VIC-2'!H35+'QLD-2'!H35+'SA-1'!H35+'WA-1'!H35+'IDC-NSW'!H35+'IDC-VIC'!H35</f>
        <v/>
      </c>
      <c r="I35" s="16">
        <f>'NSW-1'!I35+'VIC-1'!I35+'QLD-1'!I35+'NSW-2'!I35+'VIC-2'!I35+'QLD-2'!I35+'SA-1'!I35+'WA-1'!I35+'IDC-NSW'!I35+'IDC-VIC'!I35</f>
        <v/>
      </c>
      <c r="J35" s="16">
        <f>'NSW-1'!J35+'VIC-1'!J35+'QLD-1'!J35+'NSW-2'!J35+'VIC-2'!J35+'QLD-2'!J35+'SA-1'!J35+'WA-1'!J35+'IDC-NSW'!J35+'IDC-VIC'!J35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17">
        <f>IFERROR(SUMIFS('VIC-1'!$F$15:$F$62,'VIC-1'!$B$15:$B$62,2025)/SUMIFS('VIC-1'!$G$15:$G$62,'VIC-1'!$B$15:$B$62,2025),0)</f>
        <v/>
      </c>
      <c r="T35" s="17">
        <f>IFERROR(SUMIFS('VIC-1'!$F$15:$F$62,'VIC-1'!$B$15:$B$62,2026)/SUMIFS('VIC-1'!$G$15:$G$62,'VIC-1'!$B$15:$B$62,2026),0)</f>
        <v/>
      </c>
      <c r="U35" s="17">
        <f>IFERROR(SUMIFS('VIC-1'!$F$15:$F$62,'VIC-1'!$B$15:$B$62,2027)/SUMIFS('VIC-1'!$G$15:$G$62,'VIC-1'!$B$15:$B$62,2027),0)</f>
        <v/>
      </c>
      <c r="V35" s="17">
        <f>IFERROR(SUMIFS('VIC-1'!$F$15:$F$62,'VIC-1'!$B$15:$B$62,2028)/SUMIFS('VIC-1'!$G$15:$G$62,'VIC-1'!$B$15:$B$62,2028),0)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'NSW-1'!E36+'VIC-1'!E36+'QLD-1'!E36+'NSW-2'!E36+'VIC-2'!E36+'QLD-2'!E36+'SA-1'!E36+'WA-1'!E36</f>
        <v/>
      </c>
      <c r="F36" s="15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16">
        <f>'NSW-1'!H36+'VIC-1'!H36+'QLD-1'!H36+'NSW-2'!H36+'VIC-2'!H36+'QLD-2'!H36+'SA-1'!H36+'WA-1'!H36+'IDC-NSW'!H36+'IDC-VIC'!H36</f>
        <v/>
      </c>
      <c r="I36" s="16">
        <f>'NSW-1'!I36+'VIC-1'!I36+'QLD-1'!I36+'NSW-2'!I36+'VIC-2'!I36+'QLD-2'!I36+'SA-1'!I36+'WA-1'!I36+'IDC-NSW'!I36+'IDC-VIC'!I36</f>
        <v/>
      </c>
      <c r="J36" s="16">
        <f>'NSW-1'!J36+'VIC-1'!J36+'QLD-1'!J36+'NSW-2'!J36+'VIC-2'!J36+'QLD-2'!J36+'SA-1'!J36+'WA-1'!J36+'IDC-NSW'!J36+'IDC-VIC'!J36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17">
        <f>IFERROR(SUMIFS('QLD-1'!$F$15:$F$62,'QLD-1'!$B$15:$B$62,2025)/SUMIFS('QLD-1'!$G$15:$G$62,'QLD-1'!$B$15:$B$62,2025),0)</f>
        <v/>
      </c>
      <c r="T36" s="17">
        <f>IFERROR(SUMIFS('QLD-1'!$F$15:$F$62,'QLD-1'!$B$15:$B$62,2026)/SUMIFS('QLD-1'!$G$15:$G$62,'QLD-1'!$B$15:$B$62,2026),0)</f>
        <v/>
      </c>
      <c r="U36" s="17">
        <f>IFERROR(SUMIFS('QLD-1'!$F$15:$F$62,'QLD-1'!$B$15:$B$62,2027)/SUMIFS('QLD-1'!$G$15:$G$62,'QLD-1'!$B$15:$B$62,2027),0)</f>
        <v/>
      </c>
      <c r="V36" s="17">
        <f>IFERROR(SUMIFS('QLD-1'!$F$15:$F$62,'QLD-1'!$B$15:$B$62,2028)/SUMIFS('QLD-1'!$G$15:$G$62,'QLD-1'!$B$15:$B$62,2028),0)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'NSW-1'!E37+'VIC-1'!E37+'QLD-1'!E37+'NSW-2'!E37+'VIC-2'!E37+'QLD-2'!E37+'SA-1'!E37+'WA-1'!E37</f>
        <v/>
      </c>
      <c r="F37" s="15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16">
        <f>'NSW-1'!H37+'VIC-1'!H37+'QLD-1'!H37+'NSW-2'!H37+'VIC-2'!H37+'QLD-2'!H37+'SA-1'!H37+'WA-1'!H37+'IDC-NSW'!H37+'IDC-VIC'!H37</f>
        <v/>
      </c>
      <c r="I37" s="16">
        <f>'NSW-1'!I37+'VIC-1'!I37+'QLD-1'!I37+'NSW-2'!I37+'VIC-2'!I37+'QLD-2'!I37+'SA-1'!I37+'WA-1'!I37+'IDC-NSW'!I37+'IDC-VIC'!I37</f>
        <v/>
      </c>
      <c r="J37" s="16">
        <f>'NSW-1'!J37+'VIC-1'!J37+'QLD-1'!J37+'NSW-2'!J37+'VIC-2'!J37+'QLD-2'!J37+'SA-1'!J37+'WA-1'!J37+'IDC-NSW'!J37+'IDC-VIC'!J37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17">
        <f>IFERROR(SUMIFS('NSW-2'!$F$15:$F$62,'NSW-2'!$B$15:$B$62,2025)/SUMIFS('NSW-2'!$G$15:$G$62,'NSW-2'!$B$15:$B$62,2025),0)</f>
        <v/>
      </c>
      <c r="T37" s="17">
        <f>IFERROR(SUMIFS('NSW-2'!$F$15:$F$62,'NSW-2'!$B$15:$B$62,2026)/SUMIFS('NSW-2'!$G$15:$G$62,'NSW-2'!$B$15:$B$62,2026),0)</f>
        <v/>
      </c>
      <c r="U37" s="17">
        <f>IFERROR(SUMIFS('NSW-2'!$F$15:$F$62,'NSW-2'!$B$15:$B$62,2027)/SUMIFS('NSW-2'!$G$15:$G$62,'NSW-2'!$B$15:$B$62,2027),0)</f>
        <v/>
      </c>
      <c r="V37" s="17">
        <f>IFERROR(SUMIFS('NSW-2'!$F$15:$F$62,'NSW-2'!$B$15:$B$62,2028)/SUMIFS('NSW-2'!$G$15:$G$62,'NSW-2'!$B$15:$B$62,2028),0)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'NSW-1'!E38+'VIC-1'!E38+'QLD-1'!E38+'NSW-2'!E38+'VIC-2'!E38+'QLD-2'!E38+'SA-1'!E38+'WA-1'!E38</f>
        <v/>
      </c>
      <c r="F38" s="39">
        <f>'NSW-1'!F38+'VIC-1'!F38+'QLD-1'!F38+'NSW-2'!F38+'VIC-2'!F38+'QLD-2'!F38+'SA-1'!F38+'WA-1'!F38+'IDC-NSW'!F38+'IDC-VIC'!F38</f>
        <v/>
      </c>
      <c r="G38" s="40">
        <f>'NSW-1'!G38+'VIC-1'!G38+'QLD-1'!G38+'NSW-2'!G38+'VIC-2'!G38+'QLD-2'!G38+'SA-1'!G38+'WA-1'!G38+'IDC-NSW'!G38+'IDC-VIC'!G38</f>
        <v/>
      </c>
      <c r="H38" s="38">
        <f>'NSW-1'!H38+'VIC-1'!H38+'QLD-1'!H38+'NSW-2'!H38+'VIC-2'!H38+'QLD-2'!H38+'SA-1'!H38+'WA-1'!H38+'IDC-NSW'!H38+'IDC-VIC'!H38</f>
        <v/>
      </c>
      <c r="I38" s="38">
        <f>'NSW-1'!I38+'VIC-1'!I38+'QLD-1'!I38+'NSW-2'!I38+'VIC-2'!I38+'QLD-2'!I38+'SA-1'!I38+'WA-1'!I38+'IDC-NSW'!I38+'IDC-VIC'!I38</f>
        <v/>
      </c>
      <c r="J38" s="38">
        <f>'NSW-1'!J38+'VIC-1'!J38+'QLD-1'!J38+'NSW-2'!J38+'VIC-2'!J38+'QLD-2'!J38+'SA-1'!J38+'WA-1'!J38+'IDC-NSW'!J38+'IDC-VIC'!J38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t="inlineStr">
        <is>
          <t>VIC-2</t>
        </is>
      </c>
      <c r="S38" s="17">
        <f>IFERROR(SUMIFS('VIC-2'!$F$15:$F$62,'VIC-2'!$B$15:$B$62,2025)/SUMIFS('VIC-2'!$G$15:$G$62,'VIC-2'!$B$15:$B$62,2025),0)</f>
        <v/>
      </c>
      <c r="T38" s="17">
        <f>IFERROR(SUMIFS('VIC-2'!$F$15:$F$62,'VIC-2'!$B$15:$B$62,2026)/SUMIFS('VIC-2'!$G$15:$G$62,'VIC-2'!$B$15:$B$62,2026),0)</f>
        <v/>
      </c>
      <c r="U38" s="17">
        <f>IFERROR(SUMIFS('VIC-2'!$F$15:$F$62,'VIC-2'!$B$15:$B$62,2027)/SUMIFS('VIC-2'!$G$15:$G$62,'VIC-2'!$B$15:$B$62,2027),0)</f>
        <v/>
      </c>
      <c r="V38" s="17">
        <f>IFERROR(SUMIFS('VIC-2'!$F$15:$F$62,'VIC-2'!$B$15:$B$62,2028)/SUMIFS('VIC-2'!$G$15:$G$62,'VIC-2'!$B$15:$B$62,2028),0)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'NSW-1'!E39+'VIC-1'!E39+'QLD-1'!E39+'NSW-2'!E39+'VIC-2'!E39+'QLD-2'!E39+'SA-1'!E39+'WA-1'!E39</f>
        <v/>
      </c>
      <c r="F39" s="15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16">
        <f>'NSW-1'!H39+'VIC-1'!H39+'QLD-1'!H39+'NSW-2'!H39+'VIC-2'!H39+'QLD-2'!H39+'SA-1'!H39+'WA-1'!H39+'IDC-NSW'!H39+'IDC-VIC'!H39</f>
        <v/>
      </c>
      <c r="I39" s="16">
        <f>'NSW-1'!I39+'VIC-1'!I39+'QLD-1'!I39+'NSW-2'!I39+'VIC-2'!I39+'QLD-2'!I39+'SA-1'!I39+'WA-1'!I39+'IDC-NSW'!I39+'IDC-VIC'!I39</f>
        <v/>
      </c>
      <c r="J39" s="16">
        <f>'NSW-1'!J39+'VIC-1'!J39+'QLD-1'!J39+'NSW-2'!J39+'VIC-2'!J39+'QLD-2'!J39+'SA-1'!J39+'WA-1'!J39+'IDC-NSW'!J39+'IDC-VIC'!J39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17">
        <f>IFERROR(SUMIFS('QLD-2'!$F$15:$F$62,'QLD-2'!$B$15:$B$62,2025)/SUMIFS('QLD-2'!$G$15:$G$62,'QLD-2'!$B$15:$B$62,2025),0)</f>
        <v/>
      </c>
      <c r="T39" s="17">
        <f>IFERROR(SUMIFS('QLD-2'!$F$15:$F$62,'QLD-2'!$B$15:$B$62,2026)/SUMIFS('QLD-2'!$G$15:$G$62,'QLD-2'!$B$15:$B$62,2026),0)</f>
        <v/>
      </c>
      <c r="U39" s="17">
        <f>IFERROR(SUMIFS('QLD-2'!$F$15:$F$62,'QLD-2'!$B$15:$B$62,2027)/SUMIFS('QLD-2'!$G$15:$G$62,'QLD-2'!$B$15:$B$62,2027),0)</f>
        <v/>
      </c>
      <c r="V39" s="17">
        <f>IFERROR(SUMIFS('QLD-2'!$F$15:$F$62,'QLD-2'!$B$15:$B$62,2028)/SUMIFS('QLD-2'!$G$15:$G$62,'QLD-2'!$B$15:$B$62,2028),0)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'NSW-1'!E40+'VIC-1'!E40+'QLD-1'!E40+'NSW-2'!E40+'VIC-2'!E40+'QLD-2'!E40+'SA-1'!E40+'WA-1'!E40</f>
        <v/>
      </c>
      <c r="F40" s="15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16">
        <f>'NSW-1'!H40+'VIC-1'!H40+'QLD-1'!H40+'NSW-2'!H40+'VIC-2'!H40+'QLD-2'!H40+'SA-1'!H40+'WA-1'!H40+'IDC-NSW'!H40+'IDC-VIC'!H40</f>
        <v/>
      </c>
      <c r="I40" s="16">
        <f>'NSW-1'!I40+'VIC-1'!I40+'QLD-1'!I40+'NSW-2'!I40+'VIC-2'!I40+'QLD-2'!I40+'SA-1'!I40+'WA-1'!I40+'IDC-NSW'!I40+'IDC-VIC'!I40</f>
        <v/>
      </c>
      <c r="J40" s="16">
        <f>'NSW-1'!J40+'VIC-1'!J40+'QLD-1'!J40+'NSW-2'!J40+'VIC-2'!J40+'QLD-2'!J40+'SA-1'!J40+'WA-1'!J40+'IDC-NSW'!J40+'IDC-VIC'!J40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17">
        <f>IFERROR(SUMIFS('SA-1'!$F$15:$F$62,'SA-1'!$B$15:$B$62,2025)/SUMIFS('SA-1'!$G$15:$G$62,'SA-1'!$B$15:$B$62,2025),0)</f>
        <v/>
      </c>
      <c r="T40" s="17">
        <f>IFERROR(SUMIFS('SA-1'!$F$15:$F$62,'SA-1'!$B$15:$B$62,2026)/SUMIFS('SA-1'!$G$15:$G$62,'SA-1'!$B$15:$B$62,2026),0)</f>
        <v/>
      </c>
      <c r="U40" s="17">
        <f>IFERROR(SUMIFS('SA-1'!$F$15:$F$62,'SA-1'!$B$15:$B$62,2027)/SUMIFS('SA-1'!$G$15:$G$62,'SA-1'!$B$15:$B$62,2027),0)</f>
        <v/>
      </c>
      <c r="V40" s="17">
        <f>IFERROR(SUMIFS('SA-1'!$F$15:$F$62,'SA-1'!$B$15:$B$62,2028)/SUMIFS('SA-1'!$G$15:$G$62,'SA-1'!$B$15:$B$62,2028),0)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'NSW-1'!E41+'VIC-1'!E41+'QLD-1'!E41+'NSW-2'!E41+'VIC-2'!E41+'QLD-2'!E41+'SA-1'!E41+'WA-1'!E41</f>
        <v/>
      </c>
      <c r="F41" s="15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16">
        <f>'NSW-1'!H41+'VIC-1'!H41+'QLD-1'!H41+'NSW-2'!H41+'VIC-2'!H41+'QLD-2'!H41+'SA-1'!H41+'WA-1'!H41+'IDC-NSW'!H41+'IDC-VIC'!H41</f>
        <v/>
      </c>
      <c r="I41" s="16">
        <f>'NSW-1'!I41+'VIC-1'!I41+'QLD-1'!I41+'NSW-2'!I41+'VIC-2'!I41+'QLD-2'!I41+'SA-1'!I41+'WA-1'!I41+'IDC-NSW'!I41+'IDC-VIC'!I41</f>
        <v/>
      </c>
      <c r="J41" s="16">
        <f>'NSW-1'!J41+'VIC-1'!J41+'QLD-1'!J41+'NSW-2'!J41+'VIC-2'!J41+'QLD-2'!J41+'SA-1'!J41+'WA-1'!J41+'IDC-NSW'!J41+'IDC-VIC'!J41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17">
        <f>IFERROR(SUMIFS('WA-1'!$F$15:$F$62,'WA-1'!$B$15:$B$62,2025)/SUMIFS('WA-1'!$G$15:$G$62,'WA-1'!$B$15:$B$62,2025),0)</f>
        <v/>
      </c>
      <c r="T41" s="17">
        <f>IFERROR(SUMIFS('WA-1'!$F$15:$F$62,'WA-1'!$B$15:$B$62,2026)/SUMIFS('WA-1'!$G$15:$G$62,'WA-1'!$B$15:$B$62,2026),0)</f>
        <v/>
      </c>
      <c r="U41" s="17">
        <f>IFERROR(SUMIFS('WA-1'!$F$15:$F$62,'WA-1'!$B$15:$B$62,2027)/SUMIFS('WA-1'!$G$15:$G$62,'WA-1'!$B$15:$B$62,2027),0)</f>
        <v/>
      </c>
      <c r="V41" s="17">
        <f>IFERROR(SUMIFS('WA-1'!$F$15:$F$62,'WA-1'!$B$15:$B$62,2028)/SUMIFS('WA-1'!$G$15:$G$62,'WA-1'!$B$15:$B$62,2028),0)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'NSW-1'!E42+'VIC-1'!E42+'QLD-1'!E42+'NSW-2'!E42+'VIC-2'!E42+'QLD-2'!E42+'SA-1'!E42+'WA-1'!E42</f>
        <v/>
      </c>
      <c r="F42" s="15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16">
        <f>'NSW-1'!H42+'VIC-1'!H42+'QLD-1'!H42+'NSW-2'!H42+'VIC-2'!H42+'QLD-2'!H42+'SA-1'!H42+'WA-1'!H42+'IDC-NSW'!H42+'IDC-VIC'!H42</f>
        <v/>
      </c>
      <c r="I42" s="16">
        <f>'NSW-1'!I42+'VIC-1'!I42+'QLD-1'!I42+'NSW-2'!I42+'VIC-2'!I42+'QLD-2'!I42+'SA-1'!I42+'WA-1'!I42+'IDC-NSW'!I42+'IDC-VIC'!I42</f>
        <v/>
      </c>
      <c r="J42" s="16">
        <f>'NSW-1'!J42+'VIC-1'!J42+'QLD-1'!J42+'NSW-2'!J42+'VIC-2'!J42+'QLD-2'!J42+'SA-1'!J42+'WA-1'!J42+'IDC-NSW'!J42+'IDC-VIC'!J42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17">
        <f>IFERROR(SUMIFS('IDC-NSW'!$F$15:$F$62,'IDC-NSW'!$B$15:$B$62,2025)/SUMIFS('IDC-NSW'!$G$15:$G$62,'IDC-NSW'!$B$15:$B$62,2025),0)</f>
        <v/>
      </c>
      <c r="T42" s="17">
        <f>IFERROR(SUMIFS('IDC-NSW'!$F$15:$F$62,'IDC-NSW'!$B$15:$B$62,2026)/SUMIFS('IDC-NSW'!$G$15:$G$62,'IDC-NSW'!$B$15:$B$62,2026),0)</f>
        <v/>
      </c>
      <c r="U42" s="17">
        <f>IFERROR(SUMIFS('IDC-NSW'!$F$15:$F$62,'IDC-NSW'!$B$15:$B$62,2027)/SUMIFS('IDC-NSW'!$G$15:$G$62,'IDC-NSW'!$B$15:$B$62,2027),0)</f>
        <v/>
      </c>
      <c r="V42" s="17">
        <f>IFERROR(SUMIFS('IDC-NSW'!$F$15:$F$62,'IDC-NSW'!$B$15:$B$62,2028)/SUMIFS('IDC-NSW'!$G$15:$G$62,'IDC-NSW'!$B$15:$B$62,2028),0)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'NSW-1'!E43+'VIC-1'!E43+'QLD-1'!E43+'NSW-2'!E43+'VIC-2'!E43+'QLD-2'!E43+'SA-1'!E43+'WA-1'!E43</f>
        <v/>
      </c>
      <c r="F43" s="15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16">
        <f>'NSW-1'!H43+'VIC-1'!H43+'QLD-1'!H43+'NSW-2'!H43+'VIC-2'!H43+'QLD-2'!H43+'SA-1'!H43+'WA-1'!H43+'IDC-NSW'!H43+'IDC-VIC'!H43</f>
        <v/>
      </c>
      <c r="I43" s="16">
        <f>'NSW-1'!I43+'VIC-1'!I43+'QLD-1'!I43+'NSW-2'!I43+'VIC-2'!I43+'QLD-2'!I43+'SA-1'!I43+'WA-1'!I43+'IDC-NSW'!I43+'IDC-VIC'!I43</f>
        <v/>
      </c>
      <c r="J43" s="16">
        <f>'NSW-1'!J43+'VIC-1'!J43+'QLD-1'!J43+'NSW-2'!J43+'VIC-2'!J43+'QLD-2'!J43+'SA-1'!J43+'WA-1'!J43+'IDC-NSW'!J43+'IDC-VIC'!J43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17">
        <f>IFERROR(SUMIFS('IDC-VIC'!$F$15:$F$62,'IDC-VIC'!$B$15:$B$62,2025)/SUMIFS('IDC-VIC'!$G$15:$G$62,'IDC-VIC'!$B$15:$B$62,2025),0)</f>
        <v/>
      </c>
      <c r="T43" s="17">
        <f>IFERROR(SUMIFS('IDC-VIC'!$F$15:$F$62,'IDC-VIC'!$B$15:$B$62,2026)/SUMIFS('IDC-VIC'!$G$15:$G$62,'IDC-VIC'!$B$15:$B$62,2026),0)</f>
        <v/>
      </c>
      <c r="U43" s="17">
        <f>IFERROR(SUMIFS('IDC-VIC'!$F$15:$F$62,'IDC-VIC'!$B$15:$B$62,2027)/SUMIFS('IDC-VIC'!$G$15:$G$62,'IDC-VIC'!$B$15:$B$62,2027),0)</f>
        <v/>
      </c>
      <c r="V43" s="17">
        <f>IFERROR(SUMIFS('IDC-VIC'!$F$15:$F$62,'IDC-VIC'!$B$15:$B$62,2028)/SUMIFS('IDC-VIC'!$G$15:$G$62,'IDC-VIC'!$B$15:$B$62,2028),0)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'NSW-1'!E44+'VIC-1'!E44+'QLD-1'!E44+'NSW-2'!E44+'VIC-2'!E44+'QLD-2'!E44+'SA-1'!E44+'WA-1'!E44</f>
        <v/>
      </c>
      <c r="F44" s="15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16">
        <f>'NSW-1'!H44+'VIC-1'!H44+'QLD-1'!H44+'NSW-2'!H44+'VIC-2'!H44+'QLD-2'!H44+'SA-1'!H44+'WA-1'!H44+'IDC-NSW'!H44+'IDC-VIC'!H44</f>
        <v/>
      </c>
      <c r="I44" s="16">
        <f>'NSW-1'!I44+'VIC-1'!I44+'QLD-1'!I44+'NSW-2'!I44+'VIC-2'!I44+'QLD-2'!I44+'SA-1'!I44+'WA-1'!I44+'IDC-NSW'!I44+'IDC-VIC'!I44</f>
        <v/>
      </c>
      <c r="J44" s="16">
        <f>'NSW-1'!J44+'VIC-1'!J44+'QLD-1'!J44+'NSW-2'!J44+'VIC-2'!J44+'QLD-2'!J44+'SA-1'!J44+'WA-1'!J44+'IDC-NSW'!J44+'IDC-VIC'!J44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'NSW-1'!E45+'VIC-1'!E45+'QLD-1'!E45+'NSW-2'!E45+'VIC-2'!E45+'QLD-2'!E45+'SA-1'!E45+'WA-1'!E45</f>
        <v/>
      </c>
      <c r="F45" s="15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16">
        <f>'NSW-1'!H45+'VIC-1'!H45+'QLD-1'!H45+'NSW-2'!H45+'VIC-2'!H45+'QLD-2'!H45+'SA-1'!H45+'WA-1'!H45+'IDC-NSW'!H45+'IDC-VIC'!H45</f>
        <v/>
      </c>
      <c r="I45" s="16">
        <f>'NSW-1'!I45+'VIC-1'!I45+'QLD-1'!I45+'NSW-2'!I45+'VIC-2'!I45+'QLD-2'!I45+'SA-1'!I45+'WA-1'!I45+'IDC-NSW'!I45+'IDC-VIC'!I45</f>
        <v/>
      </c>
      <c r="J45" s="16">
        <f>'NSW-1'!J45+'VIC-1'!J45+'QLD-1'!J45+'NSW-2'!J45+'VIC-2'!J45+'QLD-2'!J45+'SA-1'!J45+'WA-1'!J45+'IDC-NSW'!J45+'IDC-VIC'!J45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'NSW-1'!E46+'VIC-1'!E46+'QLD-1'!E46+'NSW-2'!E46+'VIC-2'!E46+'QLD-2'!E46+'SA-1'!E46+'WA-1'!E46</f>
        <v/>
      </c>
      <c r="F46" s="15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16">
        <f>'NSW-1'!H46+'VIC-1'!H46+'QLD-1'!H46+'NSW-2'!H46+'VIC-2'!H46+'QLD-2'!H46+'SA-1'!H46+'WA-1'!H46+'IDC-NSW'!H46+'IDC-VIC'!H46</f>
        <v/>
      </c>
      <c r="I46" s="16">
        <f>'NSW-1'!I46+'VIC-1'!I46+'QLD-1'!I46+'NSW-2'!I46+'VIC-2'!I46+'QLD-2'!I46+'SA-1'!I46+'WA-1'!I46+'IDC-NSW'!I46+'IDC-VIC'!I46</f>
        <v/>
      </c>
      <c r="J46" s="16">
        <f>'NSW-1'!J46+'VIC-1'!J46+'QLD-1'!J46+'NSW-2'!J46+'VIC-2'!J46+'QLD-2'!J46+'SA-1'!J46+'WA-1'!J46+'IDC-NSW'!J46+'IDC-VIC'!J46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'NSW-1'!E47+'VIC-1'!E47+'QLD-1'!E47+'NSW-2'!E47+'VIC-2'!E47+'QLD-2'!E47+'SA-1'!E47+'WA-1'!E47</f>
        <v/>
      </c>
      <c r="F47" s="15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16">
        <f>'NSW-1'!H47+'VIC-1'!H47+'QLD-1'!H47+'NSW-2'!H47+'VIC-2'!H47+'QLD-2'!H47+'SA-1'!H47+'WA-1'!H47+'IDC-NSW'!H47+'IDC-VIC'!H47</f>
        <v/>
      </c>
      <c r="I47" s="16">
        <f>'NSW-1'!I47+'VIC-1'!I47+'QLD-1'!I47+'NSW-2'!I47+'VIC-2'!I47+'QLD-2'!I47+'SA-1'!I47+'WA-1'!I47+'IDC-NSW'!I47+'IDC-VIC'!I47</f>
        <v/>
      </c>
      <c r="J47" s="16">
        <f>'NSW-1'!J47+'VIC-1'!J47+'QLD-1'!J47+'NSW-2'!J47+'VIC-2'!J47+'QLD-2'!J47+'SA-1'!J47+'WA-1'!J47+'IDC-NSW'!J47+'IDC-VIC'!J47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'NSW-1'!E48+'VIC-1'!E48+'QLD-1'!E48+'NSW-2'!E48+'VIC-2'!E48+'QLD-2'!E48+'SA-1'!E48+'WA-1'!E48</f>
        <v/>
      </c>
      <c r="F48" s="15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16">
        <f>'NSW-1'!H48+'VIC-1'!H48+'QLD-1'!H48+'NSW-2'!H48+'VIC-2'!H48+'QLD-2'!H48+'SA-1'!H48+'WA-1'!H48+'IDC-NSW'!H48+'IDC-VIC'!H48</f>
        <v/>
      </c>
      <c r="I48" s="16">
        <f>'NSW-1'!I48+'VIC-1'!I48+'QLD-1'!I48+'NSW-2'!I48+'VIC-2'!I48+'QLD-2'!I48+'SA-1'!I48+'WA-1'!I48+'IDC-NSW'!I48+'IDC-VIC'!I48</f>
        <v/>
      </c>
      <c r="J48" s="16">
        <f>'NSW-1'!J48+'VIC-1'!J48+'QLD-1'!J48+'NSW-2'!J48+'VIC-2'!J48+'QLD-2'!J48+'SA-1'!J48+'WA-1'!J48+'IDC-NSW'!J48+'IDC-VIC'!J48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34">
        <f>IFERROR(SUMIFS('NSW-1'!$H$15:$H$62,'NSW-1'!$B$15:$B$62,2025)/SUMIFS('NSW-1'!$F$15:$F$62,'NSW-1'!$B$15:$B$62,2025),0)</f>
        <v/>
      </c>
      <c r="T48" s="34">
        <f>IFERROR(SUMIFS('NSW-1'!$H$15:$H$62,'NSW-1'!$B$15:$B$62,2026)/SUMIFS('NSW-1'!$F$15:$F$62,'NSW-1'!$B$15:$B$62,2026),0)</f>
        <v/>
      </c>
      <c r="U48" s="34">
        <f>IFERROR(SUMIFS('NSW-1'!$H$15:$H$62,'NSW-1'!$B$15:$B$62,2027)/SUMIFS('NSW-1'!$F$15:$F$62,'NSW-1'!$B$15:$B$62,2027),0)</f>
        <v/>
      </c>
      <c r="V48" s="34">
        <f>IFERROR(SUMIFS('NSW-1'!$H$15:$H$62,'NSW-1'!$B$15:$B$62,2028)/SUMIFS('NSW-1'!$F$15:$F$62,'NSW-1'!$B$15:$B$62,2028),0)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'NSW-1'!E49+'VIC-1'!E49+'QLD-1'!E49+'NSW-2'!E49+'VIC-2'!E49+'QLD-2'!E49+'SA-1'!E49+'WA-1'!E49</f>
        <v/>
      </c>
      <c r="F49" s="15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16">
        <f>'NSW-1'!H49+'VIC-1'!H49+'QLD-1'!H49+'NSW-2'!H49+'VIC-2'!H49+'QLD-2'!H49+'SA-1'!H49+'WA-1'!H49+'IDC-NSW'!H49+'IDC-VIC'!H49</f>
        <v/>
      </c>
      <c r="I49" s="16">
        <f>'NSW-1'!I49+'VIC-1'!I49+'QLD-1'!I49+'NSW-2'!I49+'VIC-2'!I49+'QLD-2'!I49+'SA-1'!I49+'WA-1'!I49+'IDC-NSW'!I49+'IDC-VIC'!I49</f>
        <v/>
      </c>
      <c r="J49" s="16">
        <f>'NSW-1'!J49+'VIC-1'!J49+'QLD-1'!J49+'NSW-2'!J49+'VIC-2'!J49+'QLD-2'!J49+'SA-1'!J49+'WA-1'!J49+'IDC-NSW'!J49+'IDC-VIC'!J49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34">
        <f>IFERROR(SUMIFS('VIC-1'!$H$15:$H$62,'VIC-1'!$B$15:$B$62,2025)/SUMIFS('VIC-1'!$F$15:$F$62,'VIC-1'!$B$15:$B$62,2025),0)</f>
        <v/>
      </c>
      <c r="T49" s="34">
        <f>IFERROR(SUMIFS('VIC-1'!$H$15:$H$62,'VIC-1'!$B$15:$B$62,2026)/SUMIFS('VIC-1'!$F$15:$F$62,'VIC-1'!$B$15:$B$62,2026),0)</f>
        <v/>
      </c>
      <c r="U49" s="34">
        <f>IFERROR(SUMIFS('VIC-1'!$H$15:$H$62,'VIC-1'!$B$15:$B$62,2027)/SUMIFS('VIC-1'!$F$15:$F$62,'VIC-1'!$B$15:$B$62,2027),0)</f>
        <v/>
      </c>
      <c r="V49" s="34">
        <f>IFERROR(SUMIFS('VIC-1'!$H$15:$H$62,'VIC-1'!$B$15:$B$62,2028)/SUMIFS('VIC-1'!$F$15:$F$62,'VIC-1'!$B$15:$B$62,2028),0)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'NSW-1'!E50+'VIC-1'!E50+'QLD-1'!E50+'NSW-2'!E50+'VIC-2'!E50+'QLD-2'!E50+'SA-1'!E50+'WA-1'!E50</f>
        <v/>
      </c>
      <c r="F50" s="39">
        <f>'NSW-1'!F50+'VIC-1'!F50+'QLD-1'!F50+'NSW-2'!F50+'VIC-2'!F50+'QLD-2'!F50+'SA-1'!F50+'WA-1'!F50+'IDC-NSW'!F50+'IDC-VIC'!F50</f>
        <v/>
      </c>
      <c r="G50" s="40">
        <f>'NSW-1'!G50+'VIC-1'!G50+'QLD-1'!G50+'NSW-2'!G50+'VIC-2'!G50+'QLD-2'!G50+'SA-1'!G50+'WA-1'!G50+'IDC-NSW'!G50+'IDC-VIC'!G50</f>
        <v/>
      </c>
      <c r="H50" s="38">
        <f>'NSW-1'!H50+'VIC-1'!H50+'QLD-1'!H50+'NSW-2'!H50+'VIC-2'!H50+'QLD-2'!H50+'SA-1'!H50+'WA-1'!H50+'IDC-NSW'!H50+'IDC-VIC'!H50</f>
        <v/>
      </c>
      <c r="I50" s="38">
        <f>'NSW-1'!I50+'VIC-1'!I50+'QLD-1'!I50+'NSW-2'!I50+'VIC-2'!I50+'QLD-2'!I50+'SA-1'!I50+'WA-1'!I50+'IDC-NSW'!I50+'IDC-VIC'!I50</f>
        <v/>
      </c>
      <c r="J50" s="38">
        <f>'NSW-1'!J50+'VIC-1'!J50+'QLD-1'!J50+'NSW-2'!J50+'VIC-2'!J50+'QLD-2'!J50+'SA-1'!J50+'WA-1'!J50+'IDC-NSW'!J50+'IDC-VIC'!J50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t="inlineStr">
        <is>
          <t>QLD-1</t>
        </is>
      </c>
      <c r="S50" s="34">
        <f>IFERROR(SUMIFS('QLD-1'!$H$15:$H$62,'QLD-1'!$B$15:$B$62,2025)/SUMIFS('QLD-1'!$F$15:$F$62,'QLD-1'!$B$15:$B$62,2025),0)</f>
        <v/>
      </c>
      <c r="T50" s="34">
        <f>IFERROR(SUMIFS('QLD-1'!$H$15:$H$62,'QLD-1'!$B$15:$B$62,2026)/SUMIFS('QLD-1'!$F$15:$F$62,'QLD-1'!$B$15:$B$62,2026),0)</f>
        <v/>
      </c>
      <c r="U50" s="34">
        <f>IFERROR(SUMIFS('QLD-1'!$H$15:$H$62,'QLD-1'!$B$15:$B$62,2027)/SUMIFS('QLD-1'!$F$15:$F$62,'QLD-1'!$B$15:$B$62,2027),0)</f>
        <v/>
      </c>
      <c r="V50" s="34">
        <f>IFERROR(SUMIFS('QLD-1'!$H$15:$H$62,'QLD-1'!$B$15:$B$62,2028)/SUMIFS('QLD-1'!$F$15:$F$62,'QLD-1'!$B$15:$B$62,2028),0)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'NSW-1'!E51+'VIC-1'!E51+'QLD-1'!E51+'NSW-2'!E51+'VIC-2'!E51+'QLD-2'!E51+'SA-1'!E51+'WA-1'!E51</f>
        <v/>
      </c>
      <c r="F51" s="15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16">
        <f>'NSW-1'!H51+'VIC-1'!H51+'QLD-1'!H51+'NSW-2'!H51+'VIC-2'!H51+'QLD-2'!H51+'SA-1'!H51+'WA-1'!H51+'IDC-NSW'!H51+'IDC-VIC'!H51</f>
        <v/>
      </c>
      <c r="I51" s="16">
        <f>'NSW-1'!I51+'VIC-1'!I51+'QLD-1'!I51+'NSW-2'!I51+'VIC-2'!I51+'QLD-2'!I51+'SA-1'!I51+'WA-1'!I51+'IDC-NSW'!I51+'IDC-VIC'!I51</f>
        <v/>
      </c>
      <c r="J51" s="16">
        <f>'NSW-1'!J51+'VIC-1'!J51+'QLD-1'!J51+'NSW-2'!J51+'VIC-2'!J51+'QLD-2'!J51+'SA-1'!J51+'WA-1'!J51+'IDC-NSW'!J51+'IDC-VIC'!J51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34">
        <f>IFERROR(SUMIFS('NSW-2'!$H$15:$H$62,'NSW-2'!$B$15:$B$62,2025)/SUMIFS('NSW-2'!$F$15:$F$62,'NSW-2'!$B$15:$B$62,2025),0)</f>
        <v/>
      </c>
      <c r="T51" s="34">
        <f>IFERROR(SUMIFS('NSW-2'!$H$15:$H$62,'NSW-2'!$B$15:$B$62,2026)/SUMIFS('NSW-2'!$F$15:$F$62,'NSW-2'!$B$15:$B$62,2026),0)</f>
        <v/>
      </c>
      <c r="U51" s="34">
        <f>IFERROR(SUMIFS('NSW-2'!$H$15:$H$62,'NSW-2'!$B$15:$B$62,2027)/SUMIFS('NSW-2'!$F$15:$F$62,'NSW-2'!$B$15:$B$62,2027),0)</f>
        <v/>
      </c>
      <c r="V51" s="34">
        <f>IFERROR(SUMIFS('NSW-2'!$H$15:$H$62,'NSW-2'!$B$15:$B$62,2028)/SUMIFS('NSW-2'!$F$15:$F$62,'NSW-2'!$B$15:$B$62,2028),0)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'NSW-1'!E52+'VIC-1'!E52+'QLD-1'!E52+'NSW-2'!E52+'VIC-2'!E52+'QLD-2'!E52+'SA-1'!E52+'WA-1'!E52</f>
        <v/>
      </c>
      <c r="F52" s="15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16">
        <f>'NSW-1'!H52+'VIC-1'!H52+'QLD-1'!H52+'NSW-2'!H52+'VIC-2'!H52+'QLD-2'!H52+'SA-1'!H52+'WA-1'!H52+'IDC-NSW'!H52+'IDC-VIC'!H52</f>
        <v/>
      </c>
      <c r="I52" s="16">
        <f>'NSW-1'!I52+'VIC-1'!I52+'QLD-1'!I52+'NSW-2'!I52+'VIC-2'!I52+'QLD-2'!I52+'SA-1'!I52+'WA-1'!I52+'IDC-NSW'!I52+'IDC-VIC'!I52</f>
        <v/>
      </c>
      <c r="J52" s="16">
        <f>'NSW-1'!J52+'VIC-1'!J52+'QLD-1'!J52+'NSW-2'!J52+'VIC-2'!J52+'QLD-2'!J52+'SA-1'!J52+'WA-1'!J52+'IDC-NSW'!J52+'IDC-VIC'!J52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34">
        <f>IFERROR(SUMIFS('VIC-2'!$H$15:$H$62,'VIC-2'!$B$15:$B$62,2025)/SUMIFS('VIC-2'!$F$15:$F$62,'VIC-2'!$B$15:$B$62,2025),0)</f>
        <v/>
      </c>
      <c r="T52" s="34">
        <f>IFERROR(SUMIFS('VIC-2'!$H$15:$H$62,'VIC-2'!$B$15:$B$62,2026)/SUMIFS('VIC-2'!$F$15:$F$62,'VIC-2'!$B$15:$B$62,2026),0)</f>
        <v/>
      </c>
      <c r="U52" s="34">
        <f>IFERROR(SUMIFS('VIC-2'!$H$15:$H$62,'VIC-2'!$B$15:$B$62,2027)/SUMIFS('VIC-2'!$F$15:$F$62,'VIC-2'!$B$15:$B$62,2027),0)</f>
        <v/>
      </c>
      <c r="V52" s="34">
        <f>IFERROR(SUMIFS('VIC-2'!$H$15:$H$62,'VIC-2'!$B$15:$B$62,2028)/SUMIFS('VIC-2'!$F$15:$F$62,'VIC-2'!$B$15:$B$62,2028),0)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'NSW-1'!E53+'VIC-1'!E53+'QLD-1'!E53+'NSW-2'!E53+'VIC-2'!E53+'QLD-2'!E53+'SA-1'!E53+'WA-1'!E53</f>
        <v/>
      </c>
      <c r="F53" s="15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16">
        <f>'NSW-1'!H53+'VIC-1'!H53+'QLD-1'!H53+'NSW-2'!H53+'VIC-2'!H53+'QLD-2'!H53+'SA-1'!H53+'WA-1'!H53+'IDC-NSW'!H53+'IDC-VIC'!H53</f>
        <v/>
      </c>
      <c r="I53" s="16">
        <f>'NSW-1'!I53+'VIC-1'!I53+'QLD-1'!I53+'NSW-2'!I53+'VIC-2'!I53+'QLD-2'!I53+'SA-1'!I53+'WA-1'!I53+'IDC-NSW'!I53+'IDC-VIC'!I53</f>
        <v/>
      </c>
      <c r="J53" s="16">
        <f>'NSW-1'!J53+'VIC-1'!J53+'QLD-1'!J53+'NSW-2'!J53+'VIC-2'!J53+'QLD-2'!J53+'SA-1'!J53+'WA-1'!J53+'IDC-NSW'!J53+'IDC-VIC'!J53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34">
        <f>IFERROR(SUMIFS('QLD-2'!$H$15:$H$62,'QLD-2'!$B$15:$B$62,2025)/SUMIFS('QLD-2'!$F$15:$F$62,'QLD-2'!$B$15:$B$62,2025),0)</f>
        <v/>
      </c>
      <c r="T53" s="34">
        <f>IFERROR(SUMIFS('QLD-2'!$H$15:$H$62,'QLD-2'!$B$15:$B$62,2026)/SUMIFS('QLD-2'!$F$15:$F$62,'QLD-2'!$B$15:$B$62,2026),0)</f>
        <v/>
      </c>
      <c r="U53" s="34">
        <f>IFERROR(SUMIFS('QLD-2'!$H$15:$H$62,'QLD-2'!$B$15:$B$62,2027)/SUMIFS('QLD-2'!$F$15:$F$62,'QLD-2'!$B$15:$B$62,2027),0)</f>
        <v/>
      </c>
      <c r="V53" s="34">
        <f>IFERROR(SUMIFS('QLD-2'!$H$15:$H$62,'QLD-2'!$B$15:$B$62,2028)/SUMIFS('QLD-2'!$F$15:$F$62,'QLD-2'!$B$15:$B$62,2028),0)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'NSW-1'!E54+'VIC-1'!E54+'QLD-1'!E54+'NSW-2'!E54+'VIC-2'!E54+'QLD-2'!E54+'SA-1'!E54+'WA-1'!E54</f>
        <v/>
      </c>
      <c r="F54" s="15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16">
        <f>'NSW-1'!H54+'VIC-1'!H54+'QLD-1'!H54+'NSW-2'!H54+'VIC-2'!H54+'QLD-2'!H54+'SA-1'!H54+'WA-1'!H54+'IDC-NSW'!H54+'IDC-VIC'!H54</f>
        <v/>
      </c>
      <c r="I54" s="16">
        <f>'NSW-1'!I54+'VIC-1'!I54+'QLD-1'!I54+'NSW-2'!I54+'VIC-2'!I54+'QLD-2'!I54+'SA-1'!I54+'WA-1'!I54+'IDC-NSW'!I54+'IDC-VIC'!I54</f>
        <v/>
      </c>
      <c r="J54" s="16">
        <f>'NSW-1'!J54+'VIC-1'!J54+'QLD-1'!J54+'NSW-2'!J54+'VIC-2'!J54+'QLD-2'!J54+'SA-1'!J54+'WA-1'!J54+'IDC-NSW'!J54+'IDC-VIC'!J54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34">
        <f>IFERROR(SUMIFS('SA-1'!$H$15:$H$62,'SA-1'!$B$15:$B$62,2025)/SUMIFS('SA-1'!$F$15:$F$62,'SA-1'!$B$15:$B$62,2025),0)</f>
        <v/>
      </c>
      <c r="T54" s="34">
        <f>IFERROR(SUMIFS('SA-1'!$H$15:$H$62,'SA-1'!$B$15:$B$62,2026)/SUMIFS('SA-1'!$F$15:$F$62,'SA-1'!$B$15:$B$62,2026),0)</f>
        <v/>
      </c>
      <c r="U54" s="34">
        <f>IFERROR(SUMIFS('SA-1'!$H$15:$H$62,'SA-1'!$B$15:$B$62,2027)/SUMIFS('SA-1'!$F$15:$F$62,'SA-1'!$B$15:$B$62,2027),0)</f>
        <v/>
      </c>
      <c r="V54" s="34">
        <f>IFERROR(SUMIFS('SA-1'!$H$15:$H$62,'SA-1'!$B$15:$B$62,2028)/SUMIFS('SA-1'!$F$15:$F$62,'SA-1'!$B$15:$B$62,2028),0)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'NSW-1'!E55+'VIC-1'!E55+'QLD-1'!E55+'NSW-2'!E55+'VIC-2'!E55+'QLD-2'!E55+'SA-1'!E55+'WA-1'!E55</f>
        <v/>
      </c>
      <c r="F55" s="15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16">
        <f>'NSW-1'!H55+'VIC-1'!H55+'QLD-1'!H55+'NSW-2'!H55+'VIC-2'!H55+'QLD-2'!H55+'SA-1'!H55+'WA-1'!H55+'IDC-NSW'!H55+'IDC-VIC'!H55</f>
        <v/>
      </c>
      <c r="I55" s="16">
        <f>'NSW-1'!I55+'VIC-1'!I55+'QLD-1'!I55+'NSW-2'!I55+'VIC-2'!I55+'QLD-2'!I55+'SA-1'!I55+'WA-1'!I55+'IDC-NSW'!I55+'IDC-VIC'!I55</f>
        <v/>
      </c>
      <c r="J55" s="16">
        <f>'NSW-1'!J55+'VIC-1'!J55+'QLD-1'!J55+'NSW-2'!J55+'VIC-2'!J55+'QLD-2'!J55+'SA-1'!J55+'WA-1'!J55+'IDC-NSW'!J55+'IDC-VIC'!J55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34">
        <f>IFERROR(SUMIFS('WA-1'!$H$15:$H$62,'WA-1'!$B$15:$B$62,2025)/SUMIFS('WA-1'!$F$15:$F$62,'WA-1'!$B$15:$B$62,2025),0)</f>
        <v/>
      </c>
      <c r="T55" s="34">
        <f>IFERROR(SUMIFS('WA-1'!$H$15:$H$62,'WA-1'!$B$15:$B$62,2026)/SUMIFS('WA-1'!$F$15:$F$62,'WA-1'!$B$15:$B$62,2026),0)</f>
        <v/>
      </c>
      <c r="U55" s="34">
        <f>IFERROR(SUMIFS('WA-1'!$H$15:$H$62,'WA-1'!$B$15:$B$62,2027)/SUMIFS('WA-1'!$F$15:$F$62,'WA-1'!$B$15:$B$62,2027),0)</f>
        <v/>
      </c>
      <c r="V55" s="34">
        <f>IFERROR(SUMIFS('WA-1'!$H$15:$H$62,'WA-1'!$B$15:$B$62,2028)/SUMIFS('WA-1'!$F$15:$F$62,'WA-1'!$B$15:$B$62,2028),0)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'NSW-1'!E56+'VIC-1'!E56+'QLD-1'!E56+'NSW-2'!E56+'VIC-2'!E56+'QLD-2'!E56+'SA-1'!E56+'WA-1'!E56</f>
        <v/>
      </c>
      <c r="F56" s="15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16">
        <f>'NSW-1'!H56+'VIC-1'!H56+'QLD-1'!H56+'NSW-2'!H56+'VIC-2'!H56+'QLD-2'!H56+'SA-1'!H56+'WA-1'!H56+'IDC-NSW'!H56+'IDC-VIC'!H56</f>
        <v/>
      </c>
      <c r="I56" s="16">
        <f>'NSW-1'!I56+'VIC-1'!I56+'QLD-1'!I56+'NSW-2'!I56+'VIC-2'!I56+'QLD-2'!I56+'SA-1'!I56+'WA-1'!I56+'IDC-NSW'!I56+'IDC-VIC'!I56</f>
        <v/>
      </c>
      <c r="J56" s="16">
        <f>'NSW-1'!J56+'VIC-1'!J56+'QLD-1'!J56+'NSW-2'!J56+'VIC-2'!J56+'QLD-2'!J56+'SA-1'!J56+'WA-1'!J56+'IDC-NSW'!J56+'IDC-VIC'!J56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34">
        <f>IFERROR(SUMIFS('IDC-NSW'!$H$15:$H$62,'IDC-NSW'!$B$15:$B$62,2025)/SUMIFS('IDC-NSW'!$F$15:$F$62,'IDC-NSW'!$B$15:$B$62,2025),0)</f>
        <v/>
      </c>
      <c r="T56" s="34">
        <f>IFERROR(SUMIFS('IDC-NSW'!$H$15:$H$62,'IDC-NSW'!$B$15:$B$62,2026)/SUMIFS('IDC-NSW'!$F$15:$F$62,'IDC-NSW'!$B$15:$B$62,2026),0)</f>
        <v/>
      </c>
      <c r="U56" s="34">
        <f>IFERROR(SUMIFS('IDC-NSW'!$H$15:$H$62,'IDC-NSW'!$B$15:$B$62,2027)/SUMIFS('IDC-NSW'!$F$15:$F$62,'IDC-NSW'!$B$15:$B$62,2027),0)</f>
        <v/>
      </c>
      <c r="V56" s="34">
        <f>IFERROR(SUMIFS('IDC-NSW'!$H$15:$H$62,'IDC-NSW'!$B$15:$B$62,2028)/SUMIFS('IDC-NSW'!$F$15:$F$62,'IDC-NSW'!$B$15:$B$62,2028),0)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'NSW-1'!E57+'VIC-1'!E57+'QLD-1'!E57+'NSW-2'!E57+'VIC-2'!E57+'QLD-2'!E57+'SA-1'!E57+'WA-1'!E57</f>
        <v/>
      </c>
      <c r="F57" s="15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16">
        <f>'NSW-1'!H57+'VIC-1'!H57+'QLD-1'!H57+'NSW-2'!H57+'VIC-2'!H57+'QLD-2'!H57+'SA-1'!H57+'WA-1'!H57+'IDC-NSW'!H57+'IDC-VIC'!H57</f>
        <v/>
      </c>
      <c r="I57" s="16">
        <f>'NSW-1'!I57+'VIC-1'!I57+'QLD-1'!I57+'NSW-2'!I57+'VIC-2'!I57+'QLD-2'!I57+'SA-1'!I57+'WA-1'!I57+'IDC-NSW'!I57+'IDC-VIC'!I57</f>
        <v/>
      </c>
      <c r="J57" s="16">
        <f>'NSW-1'!J57+'VIC-1'!J57+'QLD-1'!J57+'NSW-2'!J57+'VIC-2'!J57+'QLD-2'!J57+'SA-1'!J57+'WA-1'!J57+'IDC-NSW'!J57+'IDC-VIC'!J57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34">
        <f>IFERROR(SUMIFS('IDC-VIC'!$H$15:$H$62,'IDC-VIC'!$B$15:$B$62,2025)/SUMIFS('IDC-VIC'!$F$15:$F$62,'IDC-VIC'!$B$15:$B$62,2025),0)</f>
        <v/>
      </c>
      <c r="T57" s="34">
        <f>IFERROR(SUMIFS('IDC-VIC'!$H$15:$H$62,'IDC-VIC'!$B$15:$B$62,2026)/SUMIFS('IDC-VIC'!$F$15:$F$62,'IDC-VIC'!$B$15:$B$62,2026),0)</f>
        <v/>
      </c>
      <c r="U57" s="34">
        <f>IFERROR(SUMIFS('IDC-VIC'!$H$15:$H$62,'IDC-VIC'!$B$15:$B$62,2027)/SUMIFS('IDC-VIC'!$F$15:$F$62,'IDC-VIC'!$B$15:$B$62,2027),0)</f>
        <v/>
      </c>
      <c r="V57" s="34">
        <f>IFERROR(SUMIFS('IDC-VIC'!$H$15:$H$62,'IDC-VIC'!$B$15:$B$62,2028)/SUMIFS('IDC-VIC'!$F$15:$F$62,'IDC-VIC'!$B$15:$B$62,2028),0)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'NSW-1'!E58+'VIC-1'!E58+'QLD-1'!E58+'NSW-2'!E58+'VIC-2'!E58+'QLD-2'!E58+'SA-1'!E58+'WA-1'!E58</f>
        <v/>
      </c>
      <c r="F58" s="15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16">
        <f>'NSW-1'!H58+'VIC-1'!H58+'QLD-1'!H58+'NSW-2'!H58+'VIC-2'!H58+'QLD-2'!H58+'SA-1'!H58+'WA-1'!H58+'IDC-NSW'!H58+'IDC-VIC'!H58</f>
        <v/>
      </c>
      <c r="I58" s="16">
        <f>'NSW-1'!I58+'VIC-1'!I58+'QLD-1'!I58+'NSW-2'!I58+'VIC-2'!I58+'QLD-2'!I58+'SA-1'!I58+'WA-1'!I58+'IDC-NSW'!I58+'IDC-VIC'!I58</f>
        <v/>
      </c>
      <c r="J58" s="16">
        <f>'NSW-1'!J58+'VIC-1'!J58+'QLD-1'!J58+'NSW-2'!J58+'VIC-2'!J58+'QLD-2'!J58+'SA-1'!J58+'WA-1'!J58+'IDC-NSW'!J58+'IDC-VIC'!J58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'NSW-1'!E59+'VIC-1'!E59+'QLD-1'!E59+'NSW-2'!E59+'VIC-2'!E59+'QLD-2'!E59+'SA-1'!E59+'WA-1'!E59</f>
        <v/>
      </c>
      <c r="F59" s="15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16">
        <f>'NSW-1'!H59+'VIC-1'!H59+'QLD-1'!H59+'NSW-2'!H59+'VIC-2'!H59+'QLD-2'!H59+'SA-1'!H59+'WA-1'!H59+'IDC-NSW'!H59+'IDC-VIC'!H59</f>
        <v/>
      </c>
      <c r="I59" s="16">
        <f>'NSW-1'!I59+'VIC-1'!I59+'QLD-1'!I59+'NSW-2'!I59+'VIC-2'!I59+'QLD-2'!I59+'SA-1'!I59+'WA-1'!I59+'IDC-NSW'!I59+'IDC-VIC'!I59</f>
        <v/>
      </c>
      <c r="J59" s="16">
        <f>'NSW-1'!J59+'VIC-1'!J59+'QLD-1'!J59+'NSW-2'!J59+'VIC-2'!J59+'QLD-2'!J59+'SA-1'!J59+'WA-1'!J59+'IDC-NSW'!J59+'IDC-VIC'!J59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'NSW-1'!E60+'VIC-1'!E60+'QLD-1'!E60+'NSW-2'!E60+'VIC-2'!E60+'QLD-2'!E60+'SA-1'!E60+'WA-1'!E60</f>
        <v/>
      </c>
      <c r="F60" s="15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16">
        <f>'NSW-1'!H60+'VIC-1'!H60+'QLD-1'!H60+'NSW-2'!H60+'VIC-2'!H60+'QLD-2'!H60+'SA-1'!H60+'WA-1'!H60+'IDC-NSW'!H60+'IDC-VIC'!H60</f>
        <v/>
      </c>
      <c r="I60" s="16">
        <f>'NSW-1'!I60+'VIC-1'!I60+'QLD-1'!I60+'NSW-2'!I60+'VIC-2'!I60+'QLD-2'!I60+'SA-1'!I60+'WA-1'!I60+'IDC-NSW'!I60+'IDC-VIC'!I60</f>
        <v/>
      </c>
      <c r="J60" s="16">
        <f>'NSW-1'!J60+'VIC-1'!J60+'QLD-1'!J60+'NSW-2'!J60+'VIC-2'!J60+'QLD-2'!J60+'SA-1'!J60+'WA-1'!J60+'IDC-NSW'!J60+'IDC-VIC'!J60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'NSW-1'!E61+'VIC-1'!E61+'QLD-1'!E61+'NSW-2'!E61+'VIC-2'!E61+'QLD-2'!E61+'SA-1'!E61+'WA-1'!E61</f>
        <v/>
      </c>
      <c r="F61" s="15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16">
        <f>'NSW-1'!H61+'VIC-1'!H61+'QLD-1'!H61+'NSW-2'!H61+'VIC-2'!H61+'QLD-2'!H61+'SA-1'!H61+'WA-1'!H61+'IDC-NSW'!H61+'IDC-VIC'!H61</f>
        <v/>
      </c>
      <c r="I61" s="16">
        <f>'NSW-1'!I61+'VIC-1'!I61+'QLD-1'!I61+'NSW-2'!I61+'VIC-2'!I61+'QLD-2'!I61+'SA-1'!I61+'WA-1'!I61+'IDC-NSW'!I61+'IDC-VIC'!I61</f>
        <v/>
      </c>
      <c r="J61" s="16">
        <f>'NSW-1'!J61+'VIC-1'!J61+'QLD-1'!J61+'NSW-2'!J61+'VIC-2'!J61+'QLD-2'!J61+'SA-1'!J61+'WA-1'!J61+'IDC-NSW'!J61+'IDC-VIC'!J61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'NSW-1'!E62+'VIC-1'!E62+'QLD-1'!E62+'NSW-2'!E62+'VIC-2'!E62+'QLD-2'!E62+'SA-1'!E62+'WA-1'!E62</f>
        <v/>
      </c>
      <c r="F62" s="39">
        <f>'NSW-1'!F62+'VIC-1'!F62+'QLD-1'!F62+'NSW-2'!F62+'VIC-2'!F62+'QLD-2'!F62+'SA-1'!F62+'WA-1'!F62+'IDC-NSW'!F62+'IDC-VIC'!F62</f>
        <v/>
      </c>
      <c r="G62" s="40">
        <f>'NSW-1'!G62+'VIC-1'!G62+'QLD-1'!G62+'NSW-2'!G62+'VIC-2'!G62+'QLD-2'!G62+'SA-1'!G62+'WA-1'!G62+'IDC-NSW'!G62+'IDC-VIC'!G62</f>
        <v/>
      </c>
      <c r="H62" s="38">
        <f>'NSW-1'!H62+'VIC-1'!H62+'QLD-1'!H62+'NSW-2'!H62+'VIC-2'!H62+'QLD-2'!H62+'SA-1'!H62+'WA-1'!H62+'IDC-NSW'!H62+'IDC-VIC'!H62</f>
        <v/>
      </c>
      <c r="I62" s="38">
        <f>'NSW-1'!I62+'VIC-1'!I62+'QLD-1'!I62+'NSW-2'!I62+'VIC-2'!I62+'QLD-2'!I62+'SA-1'!I62+'WA-1'!I62+'IDC-NSW'!I62+'IDC-VIC'!I62</f>
        <v/>
      </c>
      <c r="J62" s="38">
        <f>'NSW-1'!J62+'VIC-1'!J62+'QLD-1'!J62+'NSW-2'!J62+'VIC-2'!J62+'QLD-2'!J62+'SA-1'!J62+'WA-1'!J62+'IDC-NSW'!J62+'IDC-VIC'!J62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t="inlineStr">
        <is>
          <t>NSW-1</t>
        </is>
      </c>
      <c r="S62" s="16">
        <f>SUMIFS('NSW-1'!$AN$15:$AN$62,'NSW-1'!$B$15:$B$62,2025)</f>
        <v/>
      </c>
      <c r="T62" s="16">
        <f>SUMIFS('NSW-1'!$AN$15:$AN$62,'NSW-1'!$B$15:$B$62,2026)</f>
        <v/>
      </c>
      <c r="U62" s="16">
        <f>SUMIFS('NSW-1'!$AN$15:$AN$62,'NSW-1'!$B$15:$B$62,2027)</f>
        <v/>
      </c>
      <c r="V62" s="16">
        <f>SUMIFS('NSW-1'!$AN$15:$AN$62,'NSW-1'!$B$15:$B$62,2028)</f>
        <v/>
      </c>
    </row>
    <row r="63">
      <c r="R63" t="inlineStr">
        <is>
          <t>VIC-1</t>
        </is>
      </c>
      <c r="S63" s="16">
        <f>SUMIFS('VIC-1'!$AN$15:$AN$62,'VIC-1'!$B$15:$B$62,2025)</f>
        <v/>
      </c>
      <c r="T63" s="16">
        <f>SUMIFS('VIC-1'!$AN$15:$AN$62,'VIC-1'!$B$15:$B$62,2026)</f>
        <v/>
      </c>
      <c r="U63" s="16">
        <f>SUMIFS('VIC-1'!$AN$15:$AN$62,'VIC-1'!$B$15:$B$62,2027)</f>
        <v/>
      </c>
      <c r="V63" s="16">
        <f>SUMIFS('VIC-1'!$AN$15:$AN$62,'VIC-1'!$B$15:$B$62,2028)</f>
        <v/>
      </c>
    </row>
    <row r="64">
      <c r="R64" t="inlineStr">
        <is>
          <t>QLD-1</t>
        </is>
      </c>
      <c r="S64" s="16">
        <f>SUMIFS('QLD-1'!$AN$15:$AN$62,'QLD-1'!$B$15:$B$62,2025)</f>
        <v/>
      </c>
      <c r="T64" s="16">
        <f>SUMIFS('QLD-1'!$AN$15:$AN$62,'QLD-1'!$B$15:$B$62,2026)</f>
        <v/>
      </c>
      <c r="U64" s="16">
        <f>SUMIFS('QLD-1'!$AN$15:$AN$62,'QLD-1'!$B$15:$B$62,2027)</f>
        <v/>
      </c>
      <c r="V64" s="16">
        <f>SUMIFS('QLD-1'!$AN$15:$AN$62,'QLD-1'!$B$15:$B$62,2028)</f>
        <v/>
      </c>
    </row>
    <row r="65">
      <c r="R65" t="inlineStr">
        <is>
          <t>NSW-2</t>
        </is>
      </c>
      <c r="S65" s="16">
        <f>SUMIFS('NSW-2'!$AN$15:$AN$62,'NSW-2'!$B$15:$B$62,2025)</f>
        <v/>
      </c>
      <c r="T65" s="16">
        <f>SUMIFS('NSW-2'!$AN$15:$AN$62,'NSW-2'!$B$15:$B$62,2026)</f>
        <v/>
      </c>
      <c r="U65" s="16">
        <f>SUMIFS('NSW-2'!$AN$15:$AN$62,'NSW-2'!$B$15:$B$62,2027)</f>
        <v/>
      </c>
      <c r="V65" s="16">
        <f>SUMIFS('NSW-2'!$AN$15:$AN$62,'NSW-2'!$B$15:$B$62,2028)</f>
        <v/>
      </c>
    </row>
    <row r="66">
      <c r="R66" t="inlineStr">
        <is>
          <t>VIC-2</t>
        </is>
      </c>
      <c r="S66" s="16">
        <f>SUMIFS('VIC-2'!$AN$15:$AN$62,'VIC-2'!$B$15:$B$62,2025)</f>
        <v/>
      </c>
      <c r="T66" s="16">
        <f>SUMIFS('VIC-2'!$AN$15:$AN$62,'VIC-2'!$B$15:$B$62,2026)</f>
        <v/>
      </c>
      <c r="U66" s="16">
        <f>SUMIFS('VIC-2'!$AN$15:$AN$62,'VIC-2'!$B$15:$B$62,2027)</f>
        <v/>
      </c>
      <c r="V66" s="16">
        <f>SUMIFS('VIC-2'!$AN$15:$AN$62,'VIC-2'!$B$15:$B$62,2028)</f>
        <v/>
      </c>
    </row>
    <row r="67">
      <c r="R67" t="inlineStr">
        <is>
          <t>QLD-2</t>
        </is>
      </c>
      <c r="S67" s="16">
        <f>SUMIFS('QLD-2'!$AN$15:$AN$62,'QLD-2'!$B$15:$B$62,2025)</f>
        <v/>
      </c>
      <c r="T67" s="16">
        <f>SUMIFS('QLD-2'!$AN$15:$AN$62,'QLD-2'!$B$15:$B$62,2026)</f>
        <v/>
      </c>
      <c r="U67" s="16">
        <f>SUMIFS('QLD-2'!$AN$15:$AN$62,'QLD-2'!$B$15:$B$62,2027)</f>
        <v/>
      </c>
      <c r="V67" s="16">
        <f>SUMIFS('QLD-2'!$AN$15:$AN$62,'QLD-2'!$B$15:$B$62,2028)</f>
        <v/>
      </c>
    </row>
    <row r="68">
      <c r="R68" t="inlineStr">
        <is>
          <t>SA-1</t>
        </is>
      </c>
      <c r="S68" s="16">
        <f>SUMIFS('SA-1'!$AN$15:$AN$62,'SA-1'!$B$15:$B$62,2025)</f>
        <v/>
      </c>
      <c r="T68" s="16">
        <f>SUMIFS('SA-1'!$AN$15:$AN$62,'SA-1'!$B$15:$B$62,2026)</f>
        <v/>
      </c>
      <c r="U68" s="16">
        <f>SUMIFS('SA-1'!$AN$15:$AN$62,'SA-1'!$B$15:$B$62,2027)</f>
        <v/>
      </c>
      <c r="V68" s="16">
        <f>SUMIFS('SA-1'!$AN$15:$AN$62,'SA-1'!$B$15:$B$62,2028)</f>
        <v/>
      </c>
    </row>
    <row r="69">
      <c r="R69" t="inlineStr">
        <is>
          <t>WA-1</t>
        </is>
      </c>
      <c r="S69" s="16">
        <f>SUMIFS('WA-1'!$AN$15:$AN$62,'WA-1'!$B$15:$B$62,2025)</f>
        <v/>
      </c>
      <c r="T69" s="16">
        <f>SUMIFS('WA-1'!$AN$15:$AN$62,'WA-1'!$B$15:$B$62,2026)</f>
        <v/>
      </c>
      <c r="U69" s="16">
        <f>SUMIFS('WA-1'!$AN$15:$AN$62,'WA-1'!$B$15:$B$62,2027)</f>
        <v/>
      </c>
      <c r="V69" s="16">
        <f>SUMIFS('WA-1'!$AN$15:$AN$62,'WA-1'!$B$15:$B$62,2028)</f>
        <v/>
      </c>
    </row>
    <row r="70">
      <c r="R70" t="inlineStr">
        <is>
          <t>IDC-NSW</t>
        </is>
      </c>
      <c r="S70" s="16">
        <f>SUMIFS('IDC-NSW'!$AN$15:$AN$62,'IDC-NSW'!$B$15:$B$62,2025)</f>
        <v/>
      </c>
      <c r="T70" s="16">
        <f>SUMIFS('IDC-NSW'!$AN$15:$AN$62,'IDC-NSW'!$B$15:$B$62,2026)</f>
        <v/>
      </c>
      <c r="U70" s="16">
        <f>SUMIFS('IDC-NSW'!$AN$15:$AN$62,'IDC-NSW'!$B$15:$B$62,2027)</f>
        <v/>
      </c>
      <c r="V70" s="16">
        <f>SUMIFS('IDC-NSW'!$AN$15:$AN$62,'IDC-NSW'!$B$15:$B$62,2028)</f>
        <v/>
      </c>
    </row>
    <row r="71">
      <c r="R71" t="inlineStr">
        <is>
          <t>IDC-VIC</t>
        </is>
      </c>
      <c r="S71" s="16">
        <f>SUMIFS('IDC-VIC'!$AN$15:$AN$62,'IDC-VIC'!$B$15:$B$62,2025)</f>
        <v/>
      </c>
      <c r="T71" s="16">
        <f>SUMIFS('IDC-VIC'!$AN$15:$AN$62,'IDC-VIC'!$B$15:$B$62,2026)</f>
        <v/>
      </c>
      <c r="U71" s="16">
        <f>SUMIFS('IDC-VIC'!$AN$15:$AN$62,'IDC-VIC'!$B$15:$B$62,2027)</f>
        <v/>
      </c>
      <c r="V71" s="16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IDC-NSW  |  IDC  |  NSW  |  payroll % of NSW-1 sales  |  volume from NSW-1+NSW-2 sales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'NSW-1'!E15+'NSW-2'!E15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'NSW-1'!E16+'NSW-2'!E16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'NSW-1'!E17+'NSW-2'!E17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'NSW-1'!E18+'NSW-2'!E18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'NSW-1'!E19+'NSW-2'!E19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'NSW-1'!E20+'NSW-2'!E20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'NSW-1'!E21+'NSW-2'!E21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'NSW-1'!E22+'NSW-2'!E22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'NSW-1'!E23+'NSW-2'!E23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'NSW-1'!E24+'NSW-2'!E24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'NSW-1'!E25+'NSW-2'!E25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'NSW-1'!E26+'NSW-2'!E26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'NSW-1'!E27+'NSW-2'!E27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'NSW-1'!E28+'NSW-2'!E28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'NSW-1'!E29+'NSW-2'!E29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'NSW-1'!E30+'NSW-2'!E30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'NSW-1'!E31+'NSW-2'!E31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'NSW-1'!E32+'NSW-2'!E32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'NSW-1'!E33+'NSW-2'!E33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'NSW-1'!E34+'NSW-2'!E34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'NSW-1'!E35+'NSW-2'!E35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'NSW-1'!E36+'NSW-2'!E36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'NSW-1'!E37+'NSW-2'!E37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'NSW-1'!E38+'NSW-2'!E38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'NSW-1'!E39+'NSW-2'!E39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'NSW-1'!E40+'NSW-2'!E40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'NSW-1'!E41+'NSW-2'!E41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'NSW-1'!E42+'NSW-2'!E42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'NSW-1'!E43+'NSW-2'!E43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'NSW-1'!E44+'NSW-2'!E44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'NSW-1'!E45+'NSW-2'!E45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'NSW-1'!E46+'NSW-2'!E46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'NSW-1'!E47+'NSW-2'!E47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'NSW-1'!E48+'NSW-2'!E48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'NSW-1'!E49+'NSW-2'!E49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'NSW-1'!E50+'NSW-2'!E50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'NSW-1'!E51+'NSW-2'!E51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'NSW-1'!E52+'NSW-2'!E52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'NSW-1'!E53+'NSW-2'!E53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'NSW-1'!E54+'NSW-2'!E54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'NSW-1'!E55+'NSW-2'!E55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'NSW-1'!E56+'NSW-2'!E56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'NSW-1'!E57+'NSW-2'!E57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'NSW-1'!E58+'NSW-2'!E58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'NSW-1'!E59+'NSW-2'!E59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'NSW-1'!E60+'NSW-2'!E60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'NSW-1'!E61+'NSW-2'!E61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'NSW-1'!E62+'NSW-2'!E62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 t="inlineStr">
        <is>
          <t>IDC-VIC  |  IDC  |  VIC  |  payroll % of VIC-1 sales  |  volume from VIC-1+VIC-2 sales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IFERROR(H6/F6,0)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IFERROR(H7/F7,0)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IFERROR(H8/F8,0)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IFERROR(H9/F9,0)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'VIC-1'!E15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'VIC-1'!E15+'VIC-2'!E15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'VIC-1'!E16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'VIC-1'!E16+'VIC-2'!E16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'VIC-1'!E17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'VIC-1'!E17+'VIC-2'!E17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'VIC-1'!E18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'VIC-1'!E18+'VIC-2'!E18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'VIC-1'!E19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'VIC-1'!E19+'VIC-2'!E19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'VIC-1'!E20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'VIC-1'!E20+'VIC-2'!E20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'VIC-1'!E21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'VIC-1'!E21+'VIC-2'!E21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'VIC-1'!E22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'VIC-1'!E22+'VIC-2'!E22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'VIC-1'!E23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'VIC-1'!E23+'VIC-2'!E23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'VIC-1'!E24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'VIC-1'!E24+'VIC-2'!E24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'VIC-1'!E25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'VIC-1'!E25+'VIC-2'!E25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'VIC-1'!E26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IFERROR(H26/F26,0)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'VIC-1'!E26+'VIC-2'!E26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'VIC-1'!E27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'VIC-1'!E27+'VIC-2'!E27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'VIC-1'!E28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'VIC-1'!E28+'VIC-2'!E28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'VIC-1'!E29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'VIC-1'!E29+'VIC-2'!E29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'VIC-1'!E30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'VIC-1'!E30+'VIC-2'!E30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'VIC-1'!E31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'VIC-1'!E31+'VIC-2'!E31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'VIC-1'!E32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'VIC-1'!E32+'VIC-2'!E32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'VIC-1'!E33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'VIC-1'!E33+'VIC-2'!E33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'VIC-1'!E34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'VIC-1'!E34+'VIC-2'!E34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'VIC-1'!E35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'VIC-1'!E35+'VIC-2'!E35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'VIC-1'!E36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'VIC-1'!E36+'VIC-2'!E36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'VIC-1'!E37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'VIC-1'!E37+'VIC-2'!E37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'VIC-1'!E38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IFERROR(H38/F38,0)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'VIC-1'!E38+'VIC-2'!E38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'VIC-1'!E39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'VIC-1'!E39+'VIC-2'!E39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'VIC-1'!E40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'VIC-1'!E40+'VIC-2'!E40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'VIC-1'!E41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'VIC-1'!E41+'VIC-2'!E41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'VIC-1'!E42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'VIC-1'!E42+'VIC-2'!E42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'VIC-1'!E43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'VIC-1'!E43+'VIC-2'!E43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'VIC-1'!E44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'VIC-1'!E44+'VIC-2'!E44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'VIC-1'!E45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'VIC-1'!E45+'VIC-2'!E45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'VIC-1'!E46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'VIC-1'!E46+'VIC-2'!E46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'VIC-1'!E47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'VIC-1'!E47+'VIC-2'!E47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'VIC-1'!E48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'VIC-1'!E48+'VIC-2'!E48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'VIC-1'!E49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'VIC-1'!E49+'VIC-2'!E49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'VIC-1'!E50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IFERROR(H50/F50,0)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'VIC-1'!E50+'VIC-2'!E50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'VIC-1'!E51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'VIC-1'!E51+'VIC-2'!E51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'VIC-1'!E52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'VIC-1'!E52+'VIC-2'!E52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'VIC-1'!E53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'VIC-1'!E53+'VIC-2'!E53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'VIC-1'!E54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'VIC-1'!E54+'VIC-2'!E54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'VIC-1'!E55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'VIC-1'!E55+'VIC-2'!E55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'VIC-1'!E56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'VIC-1'!E56+'VIC-2'!E56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'VIC-1'!E57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'VIC-1'!E57+'VIC-2'!E57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'VIC-1'!E58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'VIC-1'!E58+'VIC-2'!E58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'VIC-1'!E59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'VIC-1'!E59+'VIC-2'!E59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'VIC-1'!E60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'VIC-1'!E60+'VIC-2'!E60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'VIC-1'!E61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'VIC-1'!E61+'VIC-2'!E61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'VIC-1'!E62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IFERROR(H62/F62,0)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'VIC-1'!E62+'VIC-2'!E62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2026-10-14T04:18:13Z</dcterms:created>
  <dcterms:modified xsi:type="dcterms:W3CDTF">2026-10-14T04:18:13Z</dcterms:modified>
</cp:coreProperties>
</file>