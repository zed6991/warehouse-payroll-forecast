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National" sheetId="8" state="visible" r:id="rId8"/>
    <sheet name="NSW-1" sheetId="9" state="visible" r:id="rId9"/>
    <sheet name="VIC-1" sheetId="10" state="visible" r:id="rId10"/>
    <sheet name="QLD-1" sheetId="11" state="visible" r:id="rId11"/>
    <sheet name="NSW-2" sheetId="12" state="visible" r:id="rId12"/>
    <sheet name="VIC-2" sheetId="13" state="visible" r:id="rId13"/>
    <sheet name="QLD-2" sheetId="14" state="visible" r:id="rId14"/>
    <sheet name="SA-1" sheetId="15" state="visible" r:id="rId15"/>
    <sheet name="WA-1" sheetId="16" state="visible" r:id="rId16"/>
    <sheet name="IDC-NSW" sheetId="17" state="visible" r:id="rId17"/>
    <sheet name="IDC-VIC" sheetId="18" state="visible" r:id="rId18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sales x cases-per-$ run rate x (1 + scenario cases lever).</t>
        </is>
      </c>
    </row>
    <row r="17">
      <c r="A17" t="inlineStr">
        <is>
          <t>Each run rate can drift by a yearly trend (Inputs), e.g. price inflation lowering cases per $ of sales.</t>
        </is>
      </c>
    </row>
    <row r="18">
      <c r="A18" t="inlineStr">
        <is>
          <t>CPLH = cases / hours.  Cost per case = staff payroll / cases (excludes leadership).</t>
        </is>
      </c>
    </row>
    <row r="19">
      <c r="A19" t="inlineStr"/>
    </row>
    <row r="20">
      <c r="A20" s="1" t="inlineStr">
        <is>
          <t>RUN RATES (cases per $ sales, cost per hour, leadership %)</t>
        </is>
      </c>
    </row>
    <row r="21">
      <c r="A21" t="inlineStr">
        <is>
          <t>Seasonal index = each calendar month vs the average over the last 12 actual months.</t>
        </is>
      </c>
    </row>
    <row r="22">
      <c r="A22" t="inlineStr">
        <is>
          <t>Level = average of the last 6 actual months / average seasonal index of those months.</t>
        </is>
      </c>
    </row>
    <row r="23">
      <c r="A23" t="inlineStr">
        <is>
          <t>Forecast = level x seasonal index, so the last 6 months set the level and last year sets the shape.</t>
        </is>
      </c>
    </row>
    <row r="24">
      <c r="A24" t="inlineStr">
        <is>
          <t>Cost per hour is first stripped of public-holiday and wage effects, then they are added back for each forecast month.</t>
        </is>
      </c>
    </row>
    <row r="25">
      <c r="A25" t="inlineStr">
        <is>
          <t>So Easter moving from April to March, or an extra holiday, changes cost per hour in that month.</t>
        </is>
      </c>
    </row>
    <row r="26">
      <c r="A26" t="inlineStr"/>
    </row>
    <row r="27">
      <c r="A27" s="1" t="inlineStr">
        <is>
          <t>NATIONAL</t>
        </is>
      </c>
    </row>
    <row r="28">
      <c r="A28" t="inlineStr">
        <is>
          <t>Sales = 8 regions only (IDC sales are a copy of NSW-1/VIC-1 and are excluded). Cases, hours and payroll = all 10 sites.</t>
        </is>
      </c>
    </row>
    <row r="29">
      <c r="A29" t="inlineStr"/>
    </row>
    <row r="30">
      <c r="A30" s="1" t="inlineStr">
        <is>
          <t>COLOURS</t>
        </is>
      </c>
    </row>
    <row r="31">
      <c r="A31" t="inlineStr">
        <is>
          <t>Yellow cells with blue text are inputs. Blue-shaded rows are forecast months. Grey columns are helper calculations.</t>
        </is>
      </c>
    </row>
    <row r="32">
      <c r="A32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</row>
    <row r="9">
      <c r="A9" t="inlineStr">
        <is>
          <t>Selected scenario</t>
        </is>
      </c>
      <c r="B9" s="4" t="inlineStr">
        <is>
          <t>Base</t>
        </is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</row>
    <row r="13">
      <c r="A13" t="inlineStr">
        <is>
          <t>Upside</t>
        </is>
      </c>
      <c r="B13" s="5" t="n">
        <v>0.03</v>
      </c>
      <c r="C13" s="5" t="n">
        <v>0.02</v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Sales source</t>
        </is>
      </c>
      <c r="E35" s="6" t="inlineStr">
        <is>
          <t>In national sales?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874565</v>
      </c>
      <c r="E10" s="10" t="n">
        <v>8325</v>
      </c>
      <c r="F10" s="10" t="n">
        <v>606116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742637</v>
      </c>
      <c r="E11" s="10" t="n">
        <v>7284</v>
      </c>
      <c r="F11" s="10" t="n">
        <v>522875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801341</v>
      </c>
      <c r="E20" s="10" t="n">
        <v>7309</v>
      </c>
      <c r="F20" s="10" t="n">
        <v>513637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705051</v>
      </c>
      <c r="E21" s="10" t="n">
        <v>6901</v>
      </c>
      <c r="F21" s="10" t="n">
        <v>471113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892801</v>
      </c>
      <c r="E30" s="10" t="n">
        <v>7969</v>
      </c>
      <c r="F30" s="10" t="n">
        <v>557361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774342</v>
      </c>
      <c r="E31" s="10" t="n">
        <v>7357</v>
      </c>
      <c r="F31" s="10" t="n">
        <v>524425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889458</v>
      </c>
      <c r="E40" s="10" t="n">
        <v>8116</v>
      </c>
      <c r="F40" s="10" t="n">
        <v>660453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762348</v>
      </c>
      <c r="E41" s="10" t="n">
        <v>7029</v>
      </c>
      <c r="F41" s="10" t="n">
        <v>558331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897872</v>
      </c>
      <c r="E50" s="10" t="n">
        <v>8154</v>
      </c>
      <c r="F50" s="10" t="n">
        <v>571509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770167</v>
      </c>
      <c r="E51" s="10" t="n">
        <v>7491</v>
      </c>
      <c r="F51" s="10" t="n">
        <v>517818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855342</v>
      </c>
      <c r="E60" s="10" t="n">
        <v>7637</v>
      </c>
      <c r="F60" s="10" t="n">
        <v>549102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733502</v>
      </c>
      <c r="E61" s="10" t="n">
        <v>6923</v>
      </c>
      <c r="F61" s="10" t="n">
        <v>490849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892430</v>
      </c>
      <c r="E70" s="10" t="n">
        <v>8174</v>
      </c>
      <c r="F70" s="10" t="n">
        <v>576365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768264</v>
      </c>
      <c r="E71" s="10" t="n">
        <v>7360</v>
      </c>
      <c r="F71" s="10" t="n">
        <v>504003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907783</v>
      </c>
      <c r="E80" s="10" t="n">
        <v>8405</v>
      </c>
      <c r="F80" s="10" t="n">
        <v>582986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751403</v>
      </c>
      <c r="E81" s="10" t="n">
        <v>7039</v>
      </c>
      <c r="F81" s="10" t="n">
        <v>487755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868322</v>
      </c>
      <c r="E90" s="10" t="n">
        <v>7968</v>
      </c>
      <c r="F90" s="10" t="n">
        <v>555105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741396</v>
      </c>
      <c r="E91" s="10" t="n">
        <v>7206</v>
      </c>
      <c r="F91" s="10" t="n">
        <v>504555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922857</v>
      </c>
      <c r="E100" s="10" t="n">
        <v>8109</v>
      </c>
      <c r="F100" s="10" t="n">
        <v>573861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783260</v>
      </c>
      <c r="E101" s="10" t="n">
        <v>7380</v>
      </c>
      <c r="F101" s="10" t="n">
        <v>504724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935513</v>
      </c>
      <c r="E110" s="10" t="n">
        <v>8179</v>
      </c>
      <c r="F110" s="10" t="n">
        <v>575995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827775</v>
      </c>
      <c r="E111" s="10" t="n">
        <v>7585</v>
      </c>
      <c r="F111" s="10" t="n">
        <v>538310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1097270</v>
      </c>
      <c r="E120" s="10" t="n">
        <v>9483</v>
      </c>
      <c r="F120" s="10" t="n">
        <v>686453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926765</v>
      </c>
      <c r="E121" s="10" t="n">
        <v>8165</v>
      </c>
      <c r="F121" s="10" t="n">
        <v>582119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909174</v>
      </c>
      <c r="E130" s="10" t="n">
        <v>8321</v>
      </c>
      <c r="F130" s="10" t="n">
        <v>633805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781083</v>
      </c>
      <c r="E131" s="10" t="n">
        <v>7515</v>
      </c>
      <c r="F131" s="10" t="n">
        <v>568434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808573</v>
      </c>
      <c r="E140" s="10" t="n">
        <v>7399</v>
      </c>
      <c r="F140" s="10" t="n">
        <v>539975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722139</v>
      </c>
      <c r="E141" s="10" t="n">
        <v>7035</v>
      </c>
      <c r="F141" s="10" t="n">
        <v>502876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930440</v>
      </c>
      <c r="E150" s="10" t="n">
        <v>8628</v>
      </c>
      <c r="F150" s="10" t="n">
        <v>631159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810215</v>
      </c>
      <c r="E151" s="10" t="n">
        <v>7512</v>
      </c>
      <c r="F151" s="10" t="n">
        <v>556069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903256</v>
      </c>
      <c r="E160" s="10" t="n">
        <v>8173</v>
      </c>
      <c r="F160" s="10" t="n">
        <v>668846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774047</v>
      </c>
      <c r="E161" s="10" t="n">
        <v>7303</v>
      </c>
      <c r="F161" s="10" t="n">
        <v>589847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909178</v>
      </c>
      <c r="E170" s="10" t="n">
        <v>8096</v>
      </c>
      <c r="F170" s="10" t="n">
        <v>586256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783853</v>
      </c>
      <c r="E171" s="10" t="n">
        <v>7464</v>
      </c>
      <c r="F171" s="10" t="n">
        <v>533849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897114</v>
      </c>
      <c r="E180" s="10" t="n">
        <v>7812</v>
      </c>
      <c r="F180" s="10" t="n">
        <v>588046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766584</v>
      </c>
      <c r="E181" s="10" t="n">
        <v>7169</v>
      </c>
      <c r="F181" s="10" t="n">
        <v>527229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918518</v>
      </c>
      <c r="E190" s="10" t="n">
        <v>8012</v>
      </c>
      <c r="F190" s="10" t="n">
        <v>582474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767422</v>
      </c>
      <c r="E191" s="10" t="n">
        <v>7056</v>
      </c>
      <c r="F191" s="10" t="n">
        <v>502261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894170</v>
      </c>
      <c r="E200" s="10" t="n">
        <v>8107</v>
      </c>
      <c r="F200" s="10" t="n">
        <v>588107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767979</v>
      </c>
      <c r="E201" s="10" t="n">
        <v>6959</v>
      </c>
      <c r="F201" s="10" t="n">
        <v>497930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921889</v>
      </c>
      <c r="E210" s="10" t="n">
        <v>8103</v>
      </c>
      <c r="F210" s="10" t="n">
        <v>590287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768172</v>
      </c>
      <c r="E211" s="10" t="n">
        <v>7201</v>
      </c>
      <c r="F211" s="10" t="n">
        <v>521678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0.0052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0.0051</v>
      </c>
    </row>
    <row r="21">
      <c r="A21" s="9" t="n">
        <v>46054</v>
      </c>
      <c r="B21" t="inlineStr">
        <is>
          <t>IDC-VIC</t>
        </is>
      </c>
      <c r="C21" s="10" t="n"/>
      <c r="D21" s="11" t="n">
        <v>0.0049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0.005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0.0048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0.0054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0.0053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0.0049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0.0046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0.0049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0.0048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0.0047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0.0048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0.0048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0.0049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0.0046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0.0046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0.0047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0.0053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0.005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0.0054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0.0053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0.0051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0.005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0.0051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0.005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0.0047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0.0049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0.0048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0.005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0.0047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0.0048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0.0047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0.0054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0.0053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0.0051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0.0049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0.0051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0.0056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0.005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0.005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0.005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0.0051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0.0049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0.005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0.0049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0.0048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0.0046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IF(COUNTIF(D6:D40,"ERROR")=0,"ALL CHECKS OK","CHECK ERRORS")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</sheetData>
  <conditionalFormatting sqref="D6:D40">
    <cfRule type="expression" priority="1" dxfId="0">
      <formula>D6="ERROR"</formula>
    </cfRule>
    <cfRule type="expression" priority="2" dxfId="1">
      <formula>D6="OK"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V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  <c r="R6" t="inlineStr">
        <is>
          <t>NSW-1</t>
        </is>
      </c>
      <c r="S6" s="23">
        <f>SUMIFS('NSW-1'!$J$15:$J$62,'NSW-1'!$B$15:$B$62,2025)</f>
        <v/>
      </c>
      <c r="T6" s="23">
        <f>SUMIFS('NSW-1'!$J$15:$J$62,'NSW-1'!$B$15:$B$62,2026)</f>
        <v/>
      </c>
      <c r="U6" s="23">
        <f>SUMIFS('NSW-1'!$J$15:$J$62,'NSW-1'!$B$15:$B$62,2027)</f>
        <v/>
      </c>
      <c r="V6" s="23">
        <f>SUMIFS('NSW-1'!$J$15:$J$62,'NSW-1'!$B$15:$B$62,2028)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  <c r="R7" t="inlineStr">
        <is>
          <t>VIC-1</t>
        </is>
      </c>
      <c r="S7" s="23">
        <f>SUMIFS('VIC-1'!$J$15:$J$62,'VIC-1'!$B$15:$B$62,2025)</f>
        <v/>
      </c>
      <c r="T7" s="23">
        <f>SUMIFS('VIC-1'!$J$15:$J$62,'VIC-1'!$B$15:$B$62,2026)</f>
        <v/>
      </c>
      <c r="U7" s="23">
        <f>SUMIFS('VIC-1'!$J$15:$J$62,'VIC-1'!$B$15:$B$62,2027)</f>
        <v/>
      </c>
      <c r="V7" s="23">
        <f>SUMIFS('VIC-1'!$J$15:$J$62,'VIC-1'!$B$15:$B$62,2028)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  <c r="R8" t="inlineStr">
        <is>
          <t>QLD-1</t>
        </is>
      </c>
      <c r="S8" s="23">
        <f>SUMIFS('QLD-1'!$J$15:$J$62,'QLD-1'!$B$15:$B$62,2025)</f>
        <v/>
      </c>
      <c r="T8" s="23">
        <f>SUMIFS('QLD-1'!$J$15:$J$62,'QLD-1'!$B$15:$B$62,2026)</f>
        <v/>
      </c>
      <c r="U8" s="23">
        <f>SUMIFS('QLD-1'!$J$15:$J$62,'QLD-1'!$B$15:$B$62,2027)</f>
        <v/>
      </c>
      <c r="V8" s="23">
        <f>SUMIFS('QLD-1'!$J$15:$J$62,'QLD-1'!$B$15:$B$62,2028)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  <c r="R9" t="inlineStr">
        <is>
          <t>NSW-2</t>
        </is>
      </c>
      <c r="S9" s="23">
        <f>SUMIFS('NSW-2'!$J$15:$J$62,'NSW-2'!$B$15:$B$62,2025)</f>
        <v/>
      </c>
      <c r="T9" s="23">
        <f>SUMIFS('NSW-2'!$J$15:$J$62,'NSW-2'!$B$15:$B$62,2026)</f>
        <v/>
      </c>
      <c r="U9" s="23">
        <f>SUMIFS('NSW-2'!$J$15:$J$62,'NSW-2'!$B$15:$B$62,2027)</f>
        <v/>
      </c>
      <c r="V9" s="23">
        <f>SUMIFS('NSW-2'!$J$15:$J$62,'NSW-2'!$B$15:$B$62,2028)</f>
        <v/>
      </c>
    </row>
    <row r="10">
      <c r="R10" t="inlineStr">
        <is>
          <t>VIC-2</t>
        </is>
      </c>
      <c r="S10" s="23">
        <f>SUMIFS('VIC-2'!$J$15:$J$62,'VIC-2'!$B$15:$B$62,2025)</f>
        <v/>
      </c>
      <c r="T10" s="23">
        <f>SUMIFS('VIC-2'!$J$15:$J$62,'VIC-2'!$B$15:$B$62,2026)</f>
        <v/>
      </c>
      <c r="U10" s="23">
        <f>SUMIFS('VIC-2'!$J$15:$J$62,'VIC-2'!$B$15:$B$62,2027)</f>
        <v/>
      </c>
      <c r="V10" s="23">
        <f>SUMIFS('VIC-2'!$J$15:$J$62,'VIC-2'!$B$15:$B$62,2028)</f>
        <v/>
      </c>
    </row>
    <row r="11">
      <c r="R11" t="inlineStr">
        <is>
          <t>QLD-2</t>
        </is>
      </c>
      <c r="S11" s="23">
        <f>SUMIFS('QLD-2'!$J$15:$J$62,'QLD-2'!$B$15:$B$62,2025)</f>
        <v/>
      </c>
      <c r="T11" s="23">
        <f>SUMIFS('QLD-2'!$J$15:$J$62,'QLD-2'!$B$15:$B$62,2026)</f>
        <v/>
      </c>
      <c r="U11" s="23">
        <f>SUMIFS('QLD-2'!$J$15:$J$62,'QLD-2'!$B$15:$B$62,2027)</f>
        <v/>
      </c>
      <c r="V11" s="23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 t="inlineStr">
        <is>
          <t>SA-1</t>
        </is>
      </c>
      <c r="S12" s="23">
        <f>SUMIFS('SA-1'!$J$15:$J$62,'SA-1'!$B$15:$B$62,2025)</f>
        <v/>
      </c>
      <c r="T12" s="23">
        <f>SUMIFS('SA-1'!$J$15:$J$62,'SA-1'!$B$15:$B$62,2026)</f>
        <v/>
      </c>
      <c r="U12" s="23">
        <f>SUMIFS('SA-1'!$J$15:$J$62,'SA-1'!$B$15:$B$62,2027)</f>
        <v/>
      </c>
      <c r="V12" s="23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t="inlineStr">
        <is>
          <t>WA-1</t>
        </is>
      </c>
      <c r="S13" s="23">
        <f>SUMIFS('WA-1'!$J$15:$J$62,'WA-1'!$B$15:$B$62,2025)</f>
        <v/>
      </c>
      <c r="T13" s="23">
        <f>SUMIFS('WA-1'!$J$15:$J$62,'WA-1'!$B$15:$B$62,2026)</f>
        <v/>
      </c>
      <c r="U13" s="23">
        <f>SUMIFS('WA-1'!$J$15:$J$62,'WA-1'!$B$15:$B$62,2027)</f>
        <v/>
      </c>
      <c r="V13" s="23">
        <f>SUMIFS('WA-1'!$J$15:$J$62,'WA-1'!$B$15:$B$62,2028)</f>
        <v/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  <c r="R14" t="inlineStr">
        <is>
          <t>IDC-NSW</t>
        </is>
      </c>
      <c r="S14" s="23">
        <f>SUMIFS('IDC-NSW'!$J$15:$J$62,'IDC-NSW'!$B$15:$B$62,2025)</f>
        <v/>
      </c>
      <c r="T14" s="23">
        <f>SUMIFS('IDC-NSW'!$J$15:$J$62,'IDC-NSW'!$B$15:$B$62,2026)</f>
        <v/>
      </c>
      <c r="U14" s="23">
        <f>SUMIFS('IDC-NSW'!$J$15:$J$62,'IDC-NSW'!$B$15:$B$62,2027)</f>
        <v/>
      </c>
      <c r="V14" s="23">
        <f>SUMIFS('IDC-NSW'!$J$15:$J$62,'IDC-NSW'!$B$15:$B$62,2028)</f>
        <v/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'NSW-1'!E15+'VIC-1'!E15+'QLD-1'!E15+'NSW-2'!E15+'VIC-2'!E15+'QLD-2'!E15+'SA-1'!E15+'WA-1'!E15</f>
        <v/>
      </c>
      <c r="F15" s="26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3">
        <f>'NSW-1'!H15+'VIC-1'!H15+'QLD-1'!H15+'NSW-2'!H15+'VIC-2'!H15+'QLD-2'!H15+'SA-1'!H15+'WA-1'!H15+'IDC-NSW'!H15+'IDC-VIC'!H15</f>
        <v/>
      </c>
      <c r="I15" s="23">
        <f>'NSW-1'!I15+'VIC-1'!I15+'QLD-1'!I15+'NSW-2'!I15+'VIC-2'!I15+'QLD-2'!I15+'SA-1'!I15+'WA-1'!I15+'IDC-NSW'!I15+'IDC-VIC'!I15</f>
        <v/>
      </c>
      <c r="J15" s="23">
        <f>'NSW-1'!J15+'VIC-1'!J15+'QLD-1'!J15+'NSW-2'!J15+'VIC-2'!J15+'QLD-2'!J15+'SA-1'!J15+'WA-1'!J15+'IDC-NSW'!J15+'IDC-VIC'!J15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3">
        <f>SUMIFS('IDC-VIC'!$J$15:$J$62,'IDC-VIC'!$B$15:$B$62,2025)</f>
        <v/>
      </c>
      <c r="T15" s="23">
        <f>SUMIFS('IDC-VIC'!$J$15:$J$62,'IDC-VIC'!$B$15:$B$62,2026)</f>
        <v/>
      </c>
      <c r="U15" s="23">
        <f>SUMIFS('IDC-VIC'!$J$15:$J$62,'IDC-VIC'!$B$15:$B$62,2027)</f>
        <v/>
      </c>
      <c r="V15" s="23">
        <f>SUMIFS('IDC-VIC'!$J$15:$J$62,'IDC-VIC'!$B$15:$B$62,2028)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'NSW-1'!E16+'VIC-1'!E16+'QLD-1'!E16+'NSW-2'!E16+'VIC-2'!E16+'QLD-2'!E16+'SA-1'!E16+'WA-1'!E16</f>
        <v/>
      </c>
      <c r="F16" s="26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3">
        <f>'NSW-1'!H16+'VIC-1'!H16+'QLD-1'!H16+'NSW-2'!H16+'VIC-2'!H16+'QLD-2'!H16+'SA-1'!H16+'WA-1'!H16+'IDC-NSW'!H16+'IDC-VIC'!H16</f>
        <v/>
      </c>
      <c r="I16" s="23">
        <f>'NSW-1'!I16+'VIC-1'!I16+'QLD-1'!I16+'NSW-2'!I16+'VIC-2'!I16+'QLD-2'!I16+'SA-1'!I16+'WA-1'!I16+'IDC-NSW'!I16+'IDC-VIC'!I16</f>
        <v/>
      </c>
      <c r="J16" s="23">
        <f>'NSW-1'!J16+'VIC-1'!J16+'QLD-1'!J16+'NSW-2'!J16+'VIC-2'!J16+'QLD-2'!J16+'SA-1'!J16+'WA-1'!J16+'IDC-NSW'!J16+'IDC-VIC'!J16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'NSW-1'!E17+'VIC-1'!E17+'QLD-1'!E17+'NSW-2'!E17+'VIC-2'!E17+'QLD-2'!E17+'SA-1'!E17+'WA-1'!E17</f>
        <v/>
      </c>
      <c r="F17" s="26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3">
        <f>'NSW-1'!H17+'VIC-1'!H17+'QLD-1'!H17+'NSW-2'!H17+'VIC-2'!H17+'QLD-2'!H17+'SA-1'!H17+'WA-1'!H17+'IDC-NSW'!H17+'IDC-VIC'!H17</f>
        <v/>
      </c>
      <c r="I17" s="23">
        <f>'NSW-1'!I17+'VIC-1'!I17+'QLD-1'!I17+'NSW-2'!I17+'VIC-2'!I17+'QLD-2'!I17+'SA-1'!I17+'WA-1'!I17+'IDC-NSW'!I17+'IDC-VIC'!I17</f>
        <v/>
      </c>
      <c r="J17" s="23">
        <f>'NSW-1'!J17+'VIC-1'!J17+'QLD-1'!J17+'NSW-2'!J17+'VIC-2'!J17+'QLD-2'!J17+'SA-1'!J17+'WA-1'!J17+'IDC-NSW'!J17+'IDC-VIC'!J17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'NSW-1'!E18+'VIC-1'!E18+'QLD-1'!E18+'NSW-2'!E18+'VIC-2'!E18+'QLD-2'!E18+'SA-1'!E18+'WA-1'!E18</f>
        <v/>
      </c>
      <c r="F18" s="26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3">
        <f>'NSW-1'!H18+'VIC-1'!H18+'QLD-1'!H18+'NSW-2'!H18+'VIC-2'!H18+'QLD-2'!H18+'SA-1'!H18+'WA-1'!H18+'IDC-NSW'!H18+'IDC-VIC'!H18</f>
        <v/>
      </c>
      <c r="I18" s="23">
        <f>'NSW-1'!I18+'VIC-1'!I18+'QLD-1'!I18+'NSW-2'!I18+'VIC-2'!I18+'QLD-2'!I18+'SA-1'!I18+'WA-1'!I18+'IDC-NSW'!I18+'IDC-VIC'!I18</f>
        <v/>
      </c>
      <c r="J18" s="23">
        <f>'NSW-1'!J18+'VIC-1'!J18+'QLD-1'!J18+'NSW-2'!J18+'VIC-2'!J18+'QLD-2'!J18+'SA-1'!J18+'WA-1'!J18+'IDC-NSW'!J18+'IDC-VIC'!J18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'NSW-1'!E19+'VIC-1'!E19+'QLD-1'!E19+'NSW-2'!E19+'VIC-2'!E19+'QLD-2'!E19+'SA-1'!E19+'WA-1'!E19</f>
        <v/>
      </c>
      <c r="F19" s="26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3">
        <f>'NSW-1'!H19+'VIC-1'!H19+'QLD-1'!H19+'NSW-2'!H19+'VIC-2'!H19+'QLD-2'!H19+'SA-1'!H19+'WA-1'!H19+'IDC-NSW'!H19+'IDC-VIC'!H19</f>
        <v/>
      </c>
      <c r="I19" s="23">
        <f>'NSW-1'!I19+'VIC-1'!I19+'QLD-1'!I19+'NSW-2'!I19+'VIC-2'!I19+'QLD-2'!I19+'SA-1'!I19+'WA-1'!I19+'IDC-NSW'!I19+'IDC-VIC'!I19</f>
        <v/>
      </c>
      <c r="J19" s="23">
        <f>'NSW-1'!J19+'VIC-1'!J19+'QLD-1'!J19+'NSW-2'!J19+'VIC-2'!J19+'QLD-2'!J19+'SA-1'!J19+'WA-1'!J19+'IDC-NSW'!J19+'IDC-VIC'!J19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'NSW-1'!E20+'VIC-1'!E20+'QLD-1'!E20+'NSW-2'!E20+'VIC-2'!E20+'QLD-2'!E20+'SA-1'!E20+'WA-1'!E20</f>
        <v/>
      </c>
      <c r="F20" s="26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3">
        <f>'NSW-1'!H20+'VIC-1'!H20+'QLD-1'!H20+'NSW-2'!H20+'VIC-2'!H20+'QLD-2'!H20+'SA-1'!H20+'WA-1'!H20+'IDC-NSW'!H20+'IDC-VIC'!H20</f>
        <v/>
      </c>
      <c r="I20" s="23">
        <f>'NSW-1'!I20+'VIC-1'!I20+'QLD-1'!I20+'NSW-2'!I20+'VIC-2'!I20+'QLD-2'!I20+'SA-1'!I20+'WA-1'!I20+'IDC-NSW'!I20+'IDC-VIC'!I20</f>
        <v/>
      </c>
      <c r="J20" s="23">
        <f>'NSW-1'!J20+'VIC-1'!J20+'QLD-1'!J20+'NSW-2'!J20+'VIC-2'!J20+'QLD-2'!J20+'SA-1'!J20+'WA-1'!J20+'IDC-NSW'!J20+'IDC-VIC'!J20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'NSW-1'!E21+'VIC-1'!E21+'QLD-1'!E21+'NSW-2'!E21+'VIC-2'!E21+'QLD-2'!E21+'SA-1'!E21+'WA-1'!E21</f>
        <v/>
      </c>
      <c r="F21" s="26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3">
        <f>'NSW-1'!H21+'VIC-1'!H21+'QLD-1'!H21+'NSW-2'!H21+'VIC-2'!H21+'QLD-2'!H21+'SA-1'!H21+'WA-1'!H21+'IDC-NSW'!H21+'IDC-VIC'!H21</f>
        <v/>
      </c>
      <c r="I21" s="23">
        <f>'NSW-1'!I21+'VIC-1'!I21+'QLD-1'!I21+'NSW-2'!I21+'VIC-2'!I21+'QLD-2'!I21+'SA-1'!I21+'WA-1'!I21+'IDC-NSW'!I21+'IDC-VIC'!I21</f>
        <v/>
      </c>
      <c r="J21" s="23">
        <f>'NSW-1'!J21+'VIC-1'!J21+'QLD-1'!J21+'NSW-2'!J21+'VIC-2'!J21+'QLD-2'!J21+'SA-1'!J21+'WA-1'!J21+'IDC-NSW'!J21+'IDC-VIC'!J21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'NSW-1'!E22+'VIC-1'!E22+'QLD-1'!E22+'NSW-2'!E22+'VIC-2'!E22+'QLD-2'!E22+'SA-1'!E22+'WA-1'!E22</f>
        <v/>
      </c>
      <c r="F22" s="26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3">
        <f>'NSW-1'!H22+'VIC-1'!H22+'QLD-1'!H22+'NSW-2'!H22+'VIC-2'!H22+'QLD-2'!H22+'SA-1'!H22+'WA-1'!H22+'IDC-NSW'!H22+'IDC-VIC'!H22</f>
        <v/>
      </c>
      <c r="I22" s="23">
        <f>'NSW-1'!I22+'VIC-1'!I22+'QLD-1'!I22+'NSW-2'!I22+'VIC-2'!I22+'QLD-2'!I22+'SA-1'!I22+'WA-1'!I22+'IDC-NSW'!I22+'IDC-VIC'!I22</f>
        <v/>
      </c>
      <c r="J22" s="23">
        <f>'NSW-1'!J22+'VIC-1'!J22+'QLD-1'!J22+'NSW-2'!J22+'VIC-2'!J22+'QLD-2'!J22+'SA-1'!J22+'WA-1'!J22+'IDC-NSW'!J22+'IDC-VIC'!J22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'NSW-1'!E23+'VIC-1'!E23+'QLD-1'!E23+'NSW-2'!E23+'VIC-2'!E23+'QLD-2'!E23+'SA-1'!E23+'WA-1'!E23</f>
        <v/>
      </c>
      <c r="F23" s="26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3">
        <f>'NSW-1'!H23+'VIC-1'!H23+'QLD-1'!H23+'NSW-2'!H23+'VIC-2'!H23+'QLD-2'!H23+'SA-1'!H23+'WA-1'!H23+'IDC-NSW'!H23+'IDC-VIC'!H23</f>
        <v/>
      </c>
      <c r="I23" s="23">
        <f>'NSW-1'!I23+'VIC-1'!I23+'QLD-1'!I23+'NSW-2'!I23+'VIC-2'!I23+'QLD-2'!I23+'SA-1'!I23+'WA-1'!I23+'IDC-NSW'!I23+'IDC-VIC'!I23</f>
        <v/>
      </c>
      <c r="J23" s="23">
        <f>'NSW-1'!J23+'VIC-1'!J23+'QLD-1'!J23+'NSW-2'!J23+'VIC-2'!J23+'QLD-2'!J23+'SA-1'!J23+'WA-1'!J23+'IDC-NSW'!J23+'IDC-VIC'!J23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'NSW-1'!E24+'VIC-1'!E24+'QLD-1'!E24+'NSW-2'!E24+'VIC-2'!E24+'QLD-2'!E24+'SA-1'!E24+'WA-1'!E24</f>
        <v/>
      </c>
      <c r="F24" s="26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3">
        <f>'NSW-1'!H24+'VIC-1'!H24+'QLD-1'!H24+'NSW-2'!H24+'VIC-2'!H24+'QLD-2'!H24+'SA-1'!H24+'WA-1'!H24+'IDC-NSW'!H24+'IDC-VIC'!H24</f>
        <v/>
      </c>
      <c r="I24" s="23">
        <f>'NSW-1'!I24+'VIC-1'!I24+'QLD-1'!I24+'NSW-2'!I24+'VIC-2'!I24+'QLD-2'!I24+'SA-1'!I24+'WA-1'!I24+'IDC-NSW'!I24+'IDC-VIC'!I24</f>
        <v/>
      </c>
      <c r="J24" s="23">
        <f>'NSW-1'!J24+'VIC-1'!J24+'QLD-1'!J24+'NSW-2'!J24+'VIC-2'!J24+'QLD-2'!J24+'SA-1'!J24+'WA-1'!J24+'IDC-NSW'!J24+'IDC-VIC'!J24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'NSW-1'!E25+'VIC-1'!E25+'QLD-1'!E25+'NSW-2'!E25+'VIC-2'!E25+'QLD-2'!E25+'SA-1'!E25+'WA-1'!E25</f>
        <v/>
      </c>
      <c r="F25" s="26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3">
        <f>'NSW-1'!H25+'VIC-1'!H25+'QLD-1'!H25+'NSW-2'!H25+'VIC-2'!H25+'QLD-2'!H25+'SA-1'!H25+'WA-1'!H25+'IDC-NSW'!H25+'IDC-VIC'!H25</f>
        <v/>
      </c>
      <c r="I25" s="23">
        <f>'NSW-1'!I25+'VIC-1'!I25+'QLD-1'!I25+'NSW-2'!I25+'VIC-2'!I25+'QLD-2'!I25+'SA-1'!I25+'WA-1'!I25+'IDC-NSW'!I25+'IDC-VIC'!I25</f>
        <v/>
      </c>
      <c r="J25" s="23">
        <f>'NSW-1'!J25+'VIC-1'!J25+'QLD-1'!J25+'NSW-2'!J25+'VIC-2'!J25+'QLD-2'!J25+'SA-1'!J25+'WA-1'!J25+'IDC-NSW'!J25+'IDC-VIC'!J25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'NSW-1'!E26+'VIC-1'!E26+'QLD-1'!E26+'NSW-2'!E26+'VIC-2'!E26+'QLD-2'!E26+'SA-1'!E26+'WA-1'!E26</f>
        <v/>
      </c>
      <c r="F26" s="34">
        <f>'NSW-1'!F26+'VIC-1'!F26+'QLD-1'!F26+'NSW-2'!F26+'VIC-2'!F26+'QLD-2'!F26+'SA-1'!F26+'WA-1'!F26+'IDC-NSW'!F26+'IDC-VIC'!F26</f>
        <v/>
      </c>
      <c r="G26" s="35">
        <f>'NSW-1'!G26+'VIC-1'!G26+'QLD-1'!G26+'NSW-2'!G26+'VIC-2'!G26+'QLD-2'!G26+'SA-1'!G26+'WA-1'!G26+'IDC-NSW'!G26+'IDC-VIC'!G26</f>
        <v/>
      </c>
      <c r="H26" s="33">
        <f>'NSW-1'!H26+'VIC-1'!H26+'QLD-1'!H26+'NSW-2'!H26+'VIC-2'!H26+'QLD-2'!H26+'SA-1'!H26+'WA-1'!H26+'IDC-NSW'!H26+'IDC-VIC'!H26</f>
        <v/>
      </c>
      <c r="I26" s="33">
        <f>'NSW-1'!I26+'VIC-1'!I26+'QLD-1'!I26+'NSW-2'!I26+'VIC-2'!I26+'QLD-2'!I26+'SA-1'!I26+'WA-1'!I26+'IDC-NSW'!I26+'IDC-VIC'!I26</f>
        <v/>
      </c>
      <c r="J26" s="33">
        <f>'NSW-1'!J26+'VIC-1'!J26+'QLD-1'!J26+'NSW-2'!J26+'VIC-2'!J26+'QLD-2'!J26+'SA-1'!J26+'WA-1'!J26+'IDC-NSW'!J26+'IDC-VIC'!J26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'NSW-1'!E27+'VIC-1'!E27+'QLD-1'!E27+'NSW-2'!E27+'VIC-2'!E27+'QLD-2'!E27+'SA-1'!E27+'WA-1'!E27</f>
        <v/>
      </c>
      <c r="F27" s="26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3">
        <f>'NSW-1'!H27+'VIC-1'!H27+'QLD-1'!H27+'NSW-2'!H27+'VIC-2'!H27+'QLD-2'!H27+'SA-1'!H27+'WA-1'!H27+'IDC-NSW'!H27+'IDC-VIC'!H27</f>
        <v/>
      </c>
      <c r="I27" s="23">
        <f>'NSW-1'!I27+'VIC-1'!I27+'QLD-1'!I27+'NSW-2'!I27+'VIC-2'!I27+'QLD-2'!I27+'SA-1'!I27+'WA-1'!I27+'IDC-NSW'!I27+'IDC-VIC'!I27</f>
        <v/>
      </c>
      <c r="J27" s="23">
        <f>'NSW-1'!J27+'VIC-1'!J27+'QLD-1'!J27+'NSW-2'!J27+'VIC-2'!J27+'QLD-2'!J27+'SA-1'!J27+'WA-1'!J27+'IDC-NSW'!J27+'IDC-VIC'!J27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'NSW-1'!E28+'VIC-1'!E28+'QLD-1'!E28+'NSW-2'!E28+'VIC-2'!E28+'QLD-2'!E28+'SA-1'!E28+'WA-1'!E28</f>
        <v/>
      </c>
      <c r="F28" s="26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3">
        <f>'NSW-1'!H28+'VIC-1'!H28+'QLD-1'!H28+'NSW-2'!H28+'VIC-2'!H28+'QLD-2'!H28+'SA-1'!H28+'WA-1'!H28+'IDC-NSW'!H28+'IDC-VIC'!H28</f>
        <v/>
      </c>
      <c r="I28" s="23">
        <f>'NSW-1'!I28+'VIC-1'!I28+'QLD-1'!I28+'NSW-2'!I28+'VIC-2'!I28+'QLD-2'!I28+'SA-1'!I28+'WA-1'!I28+'IDC-NSW'!I28+'IDC-VIC'!I28</f>
        <v/>
      </c>
      <c r="J28" s="23">
        <f>'NSW-1'!J28+'VIC-1'!J28+'QLD-1'!J28+'NSW-2'!J28+'VIC-2'!J28+'QLD-2'!J28+'SA-1'!J28+'WA-1'!J28+'IDC-NSW'!J28+'IDC-VIC'!J28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'NSW-1'!E29+'VIC-1'!E29+'QLD-1'!E29+'NSW-2'!E29+'VIC-2'!E29+'QLD-2'!E29+'SA-1'!E29+'WA-1'!E29</f>
        <v/>
      </c>
      <c r="F29" s="26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3">
        <f>'NSW-1'!H29+'VIC-1'!H29+'QLD-1'!H29+'NSW-2'!H29+'VIC-2'!H29+'QLD-2'!H29+'SA-1'!H29+'WA-1'!H29+'IDC-NSW'!H29+'IDC-VIC'!H29</f>
        <v/>
      </c>
      <c r="I29" s="23">
        <f>'NSW-1'!I29+'VIC-1'!I29+'QLD-1'!I29+'NSW-2'!I29+'VIC-2'!I29+'QLD-2'!I29+'SA-1'!I29+'WA-1'!I29+'IDC-NSW'!I29+'IDC-VIC'!I29</f>
        <v/>
      </c>
      <c r="J29" s="23">
        <f>'NSW-1'!J29+'VIC-1'!J29+'QLD-1'!J29+'NSW-2'!J29+'VIC-2'!J29+'QLD-2'!J29+'SA-1'!J29+'WA-1'!J29+'IDC-NSW'!J29+'IDC-VIC'!J29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'NSW-1'!E30+'VIC-1'!E30+'QLD-1'!E30+'NSW-2'!E30+'VIC-2'!E30+'QLD-2'!E30+'SA-1'!E30+'WA-1'!E30</f>
        <v/>
      </c>
      <c r="F30" s="26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3">
        <f>'NSW-1'!H30+'VIC-1'!H30+'QLD-1'!H30+'NSW-2'!H30+'VIC-2'!H30+'QLD-2'!H30+'SA-1'!H30+'WA-1'!H30+'IDC-NSW'!H30+'IDC-VIC'!H30</f>
        <v/>
      </c>
      <c r="I30" s="23">
        <f>'NSW-1'!I30+'VIC-1'!I30+'QLD-1'!I30+'NSW-2'!I30+'VIC-2'!I30+'QLD-2'!I30+'SA-1'!I30+'WA-1'!I30+'IDC-NSW'!I30+'IDC-VIC'!I30</f>
        <v/>
      </c>
      <c r="J30" s="23">
        <f>'NSW-1'!J30+'VIC-1'!J30+'QLD-1'!J30+'NSW-2'!J30+'VIC-2'!J30+'QLD-2'!J30+'SA-1'!J30+'WA-1'!J30+'IDC-NSW'!J30+'IDC-VIC'!J30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'NSW-1'!E31+'VIC-1'!E31+'QLD-1'!E31+'NSW-2'!E31+'VIC-2'!E31+'QLD-2'!E31+'SA-1'!E31+'WA-1'!E31</f>
        <v/>
      </c>
      <c r="F31" s="26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3">
        <f>'NSW-1'!H31+'VIC-1'!H31+'QLD-1'!H31+'NSW-2'!H31+'VIC-2'!H31+'QLD-2'!H31+'SA-1'!H31+'WA-1'!H31+'IDC-NSW'!H31+'IDC-VIC'!H31</f>
        <v/>
      </c>
      <c r="I31" s="23">
        <f>'NSW-1'!I31+'VIC-1'!I31+'QLD-1'!I31+'NSW-2'!I31+'VIC-2'!I31+'QLD-2'!I31+'SA-1'!I31+'WA-1'!I31+'IDC-NSW'!I31+'IDC-VIC'!I31</f>
        <v/>
      </c>
      <c r="J31" s="23">
        <f>'NSW-1'!J31+'VIC-1'!J31+'QLD-1'!J31+'NSW-2'!J31+'VIC-2'!J31+'QLD-2'!J31+'SA-1'!J31+'WA-1'!J31+'IDC-NSW'!J31+'IDC-VIC'!J31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'NSW-1'!E32+'VIC-1'!E32+'QLD-1'!E32+'NSW-2'!E32+'VIC-2'!E32+'QLD-2'!E32+'SA-1'!E32+'WA-1'!E32</f>
        <v/>
      </c>
      <c r="F32" s="26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3">
        <f>'NSW-1'!H32+'VIC-1'!H32+'QLD-1'!H32+'NSW-2'!H32+'VIC-2'!H32+'QLD-2'!H32+'SA-1'!H32+'WA-1'!H32+'IDC-NSW'!H32+'IDC-VIC'!H32</f>
        <v/>
      </c>
      <c r="I32" s="23">
        <f>'NSW-1'!I32+'VIC-1'!I32+'QLD-1'!I32+'NSW-2'!I32+'VIC-2'!I32+'QLD-2'!I32+'SA-1'!I32+'WA-1'!I32+'IDC-NSW'!I32+'IDC-VIC'!I32</f>
        <v/>
      </c>
      <c r="J32" s="23">
        <f>'NSW-1'!J32+'VIC-1'!J32+'QLD-1'!J32+'NSW-2'!J32+'VIC-2'!J32+'QLD-2'!J32+'SA-1'!J32+'WA-1'!J32+'IDC-NSW'!J32+'IDC-VIC'!J32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'NSW-1'!E33+'VIC-1'!E33+'QLD-1'!E33+'NSW-2'!E33+'VIC-2'!E33+'QLD-2'!E33+'SA-1'!E33+'WA-1'!E33</f>
        <v/>
      </c>
      <c r="F33" s="26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3">
        <f>'NSW-1'!H33+'VIC-1'!H33+'QLD-1'!H33+'NSW-2'!H33+'VIC-2'!H33+'QLD-2'!H33+'SA-1'!H33+'WA-1'!H33+'IDC-NSW'!H33+'IDC-VIC'!H33</f>
        <v/>
      </c>
      <c r="I33" s="23">
        <f>'NSW-1'!I33+'VIC-1'!I33+'QLD-1'!I33+'NSW-2'!I33+'VIC-2'!I33+'QLD-2'!I33+'SA-1'!I33+'WA-1'!I33+'IDC-NSW'!I33+'IDC-VIC'!I33</f>
        <v/>
      </c>
      <c r="J33" s="23">
        <f>'NSW-1'!J33+'VIC-1'!J33+'QLD-1'!J33+'NSW-2'!J33+'VIC-2'!J33+'QLD-2'!J33+'SA-1'!J33+'WA-1'!J33+'IDC-NSW'!J33+'IDC-VIC'!J33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'NSW-1'!E34+'VIC-1'!E34+'QLD-1'!E34+'NSW-2'!E34+'VIC-2'!E34+'QLD-2'!E34+'SA-1'!E34+'WA-1'!E34</f>
        <v/>
      </c>
      <c r="F34" s="26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3">
        <f>'NSW-1'!H34+'VIC-1'!H34+'QLD-1'!H34+'NSW-2'!H34+'VIC-2'!H34+'QLD-2'!H34+'SA-1'!H34+'WA-1'!H34+'IDC-NSW'!H34+'IDC-VIC'!H34</f>
        <v/>
      </c>
      <c r="I34" s="23">
        <f>'NSW-1'!I34+'VIC-1'!I34+'QLD-1'!I34+'NSW-2'!I34+'VIC-2'!I34+'QLD-2'!I34+'SA-1'!I34+'WA-1'!I34+'IDC-NSW'!I34+'IDC-VIC'!I34</f>
        <v/>
      </c>
      <c r="J34" s="23">
        <f>'NSW-1'!J34+'VIC-1'!J34+'QLD-1'!J34+'NSW-2'!J34+'VIC-2'!J34+'QLD-2'!J34+'SA-1'!J34+'WA-1'!J34+'IDC-NSW'!J34+'IDC-VIC'!J34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27">
        <f>IFERROR(SUMIFS('NSW-1'!$F$15:$F$62,'NSW-1'!$B$15:$B$62,2025)/SUMIFS('NSW-1'!$G$15:$G$62,'NSW-1'!$B$15:$B$62,2025),0)</f>
        <v/>
      </c>
      <c r="T34" s="27">
        <f>IFERROR(SUMIFS('NSW-1'!$F$15:$F$62,'NSW-1'!$B$15:$B$62,2026)/SUMIFS('NSW-1'!$G$15:$G$62,'NSW-1'!$B$15:$B$62,2026),0)</f>
        <v/>
      </c>
      <c r="U34" s="27">
        <f>IFERROR(SUMIFS('NSW-1'!$F$15:$F$62,'NSW-1'!$B$15:$B$62,2027)/SUMIFS('NSW-1'!$G$15:$G$62,'NSW-1'!$B$15:$B$62,2027),0)</f>
        <v/>
      </c>
      <c r="V34" s="27">
        <f>IFERROR(SUMIFS('NSW-1'!$F$15:$F$62,'NSW-1'!$B$15:$B$62,2028)/SUMIFS('NSW-1'!$G$15:$G$62,'NSW-1'!$B$15:$B$62,2028),0)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'NSW-1'!E35+'VIC-1'!E35+'QLD-1'!E35+'NSW-2'!E35+'VIC-2'!E35+'QLD-2'!E35+'SA-1'!E35+'WA-1'!E35</f>
        <v/>
      </c>
      <c r="F35" s="26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3">
        <f>'NSW-1'!H35+'VIC-1'!H35+'QLD-1'!H35+'NSW-2'!H35+'VIC-2'!H35+'QLD-2'!H35+'SA-1'!H35+'WA-1'!H35+'IDC-NSW'!H35+'IDC-VIC'!H35</f>
        <v/>
      </c>
      <c r="I35" s="23">
        <f>'NSW-1'!I35+'VIC-1'!I35+'QLD-1'!I35+'NSW-2'!I35+'VIC-2'!I35+'QLD-2'!I35+'SA-1'!I35+'WA-1'!I35+'IDC-NSW'!I35+'IDC-VIC'!I35</f>
        <v/>
      </c>
      <c r="J35" s="23">
        <f>'NSW-1'!J35+'VIC-1'!J35+'QLD-1'!J35+'NSW-2'!J35+'VIC-2'!J35+'QLD-2'!J35+'SA-1'!J35+'WA-1'!J35+'IDC-NSW'!J35+'IDC-VIC'!J35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27">
        <f>IFERROR(SUMIFS('VIC-1'!$F$15:$F$62,'VIC-1'!$B$15:$B$62,2025)/SUMIFS('VIC-1'!$G$15:$G$62,'VIC-1'!$B$15:$B$62,2025),0)</f>
        <v/>
      </c>
      <c r="T35" s="27">
        <f>IFERROR(SUMIFS('VIC-1'!$F$15:$F$62,'VIC-1'!$B$15:$B$62,2026)/SUMIFS('VIC-1'!$G$15:$G$62,'VIC-1'!$B$15:$B$62,2026),0)</f>
        <v/>
      </c>
      <c r="U35" s="27">
        <f>IFERROR(SUMIFS('VIC-1'!$F$15:$F$62,'VIC-1'!$B$15:$B$62,2027)/SUMIFS('VIC-1'!$G$15:$G$62,'VIC-1'!$B$15:$B$62,2027),0)</f>
        <v/>
      </c>
      <c r="V35" s="27">
        <f>IFERROR(SUMIFS('VIC-1'!$F$15:$F$62,'VIC-1'!$B$15:$B$62,2028)/SUMIFS('VIC-1'!$G$15:$G$62,'VIC-1'!$B$15:$B$62,2028),0)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'NSW-1'!E36+'VIC-1'!E36+'QLD-1'!E36+'NSW-2'!E36+'VIC-2'!E36+'QLD-2'!E36+'SA-1'!E36+'WA-1'!E36</f>
        <v/>
      </c>
      <c r="F36" s="26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3">
        <f>'NSW-1'!H36+'VIC-1'!H36+'QLD-1'!H36+'NSW-2'!H36+'VIC-2'!H36+'QLD-2'!H36+'SA-1'!H36+'WA-1'!H36+'IDC-NSW'!H36+'IDC-VIC'!H36</f>
        <v/>
      </c>
      <c r="I36" s="23">
        <f>'NSW-1'!I36+'VIC-1'!I36+'QLD-1'!I36+'NSW-2'!I36+'VIC-2'!I36+'QLD-2'!I36+'SA-1'!I36+'WA-1'!I36+'IDC-NSW'!I36+'IDC-VIC'!I36</f>
        <v/>
      </c>
      <c r="J36" s="23">
        <f>'NSW-1'!J36+'VIC-1'!J36+'QLD-1'!J36+'NSW-2'!J36+'VIC-2'!J36+'QLD-2'!J36+'SA-1'!J36+'WA-1'!J36+'IDC-NSW'!J36+'IDC-VIC'!J36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27">
        <f>IFERROR(SUMIFS('QLD-1'!$F$15:$F$62,'QLD-1'!$B$15:$B$62,2025)/SUMIFS('QLD-1'!$G$15:$G$62,'QLD-1'!$B$15:$B$62,2025),0)</f>
        <v/>
      </c>
      <c r="T36" s="27">
        <f>IFERROR(SUMIFS('QLD-1'!$F$15:$F$62,'QLD-1'!$B$15:$B$62,2026)/SUMIFS('QLD-1'!$G$15:$G$62,'QLD-1'!$B$15:$B$62,2026),0)</f>
        <v/>
      </c>
      <c r="U36" s="27">
        <f>IFERROR(SUMIFS('QLD-1'!$F$15:$F$62,'QLD-1'!$B$15:$B$62,2027)/SUMIFS('QLD-1'!$G$15:$G$62,'QLD-1'!$B$15:$B$62,2027),0)</f>
        <v/>
      </c>
      <c r="V36" s="27">
        <f>IFERROR(SUMIFS('QLD-1'!$F$15:$F$62,'QLD-1'!$B$15:$B$62,2028)/SUMIFS('QLD-1'!$G$15:$G$62,'QLD-1'!$B$15:$B$62,2028),0)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'NSW-1'!E37+'VIC-1'!E37+'QLD-1'!E37+'NSW-2'!E37+'VIC-2'!E37+'QLD-2'!E37+'SA-1'!E37+'WA-1'!E37</f>
        <v/>
      </c>
      <c r="F37" s="26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3">
        <f>'NSW-1'!H37+'VIC-1'!H37+'QLD-1'!H37+'NSW-2'!H37+'VIC-2'!H37+'QLD-2'!H37+'SA-1'!H37+'WA-1'!H37+'IDC-NSW'!H37+'IDC-VIC'!H37</f>
        <v/>
      </c>
      <c r="I37" s="23">
        <f>'NSW-1'!I37+'VIC-1'!I37+'QLD-1'!I37+'NSW-2'!I37+'VIC-2'!I37+'QLD-2'!I37+'SA-1'!I37+'WA-1'!I37+'IDC-NSW'!I37+'IDC-VIC'!I37</f>
        <v/>
      </c>
      <c r="J37" s="23">
        <f>'NSW-1'!J37+'VIC-1'!J37+'QLD-1'!J37+'NSW-2'!J37+'VIC-2'!J37+'QLD-2'!J37+'SA-1'!J37+'WA-1'!J37+'IDC-NSW'!J37+'IDC-VIC'!J37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27">
        <f>IFERROR(SUMIFS('NSW-2'!$F$15:$F$62,'NSW-2'!$B$15:$B$62,2025)/SUMIFS('NSW-2'!$G$15:$G$62,'NSW-2'!$B$15:$B$62,2025),0)</f>
        <v/>
      </c>
      <c r="T37" s="27">
        <f>IFERROR(SUMIFS('NSW-2'!$F$15:$F$62,'NSW-2'!$B$15:$B$62,2026)/SUMIFS('NSW-2'!$G$15:$G$62,'NSW-2'!$B$15:$B$62,2026),0)</f>
        <v/>
      </c>
      <c r="U37" s="27">
        <f>IFERROR(SUMIFS('NSW-2'!$F$15:$F$62,'NSW-2'!$B$15:$B$62,2027)/SUMIFS('NSW-2'!$G$15:$G$62,'NSW-2'!$B$15:$B$62,2027),0)</f>
        <v/>
      </c>
      <c r="V37" s="27">
        <f>IFERROR(SUMIFS('NSW-2'!$F$15:$F$62,'NSW-2'!$B$15:$B$62,2028)/SUMIFS('NSW-2'!$G$15:$G$62,'NSW-2'!$B$15:$B$62,2028),0)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'NSW-1'!E38+'VIC-1'!E38+'QLD-1'!E38+'NSW-2'!E38+'VIC-2'!E38+'QLD-2'!E38+'SA-1'!E38+'WA-1'!E38</f>
        <v/>
      </c>
      <c r="F38" s="34">
        <f>'NSW-1'!F38+'VIC-1'!F38+'QLD-1'!F38+'NSW-2'!F38+'VIC-2'!F38+'QLD-2'!F38+'SA-1'!F38+'WA-1'!F38+'IDC-NSW'!F38+'IDC-VIC'!F38</f>
        <v/>
      </c>
      <c r="G38" s="35">
        <f>'NSW-1'!G38+'VIC-1'!G38+'QLD-1'!G38+'NSW-2'!G38+'VIC-2'!G38+'QLD-2'!G38+'SA-1'!G38+'WA-1'!G38+'IDC-NSW'!G38+'IDC-VIC'!G38</f>
        <v/>
      </c>
      <c r="H38" s="33">
        <f>'NSW-1'!H38+'VIC-1'!H38+'QLD-1'!H38+'NSW-2'!H38+'VIC-2'!H38+'QLD-2'!H38+'SA-1'!H38+'WA-1'!H38+'IDC-NSW'!H38+'IDC-VIC'!H38</f>
        <v/>
      </c>
      <c r="I38" s="33">
        <f>'NSW-1'!I38+'VIC-1'!I38+'QLD-1'!I38+'NSW-2'!I38+'VIC-2'!I38+'QLD-2'!I38+'SA-1'!I38+'WA-1'!I38+'IDC-NSW'!I38+'IDC-VIC'!I38</f>
        <v/>
      </c>
      <c r="J38" s="33">
        <f>'NSW-1'!J38+'VIC-1'!J38+'QLD-1'!J38+'NSW-2'!J38+'VIC-2'!J38+'QLD-2'!J38+'SA-1'!J38+'WA-1'!J38+'IDC-NSW'!J38+'IDC-VIC'!J38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t="inlineStr">
        <is>
          <t>VIC-2</t>
        </is>
      </c>
      <c r="S38" s="27">
        <f>IFERROR(SUMIFS('VIC-2'!$F$15:$F$62,'VIC-2'!$B$15:$B$62,2025)/SUMIFS('VIC-2'!$G$15:$G$62,'VIC-2'!$B$15:$B$62,2025),0)</f>
        <v/>
      </c>
      <c r="T38" s="27">
        <f>IFERROR(SUMIFS('VIC-2'!$F$15:$F$62,'VIC-2'!$B$15:$B$62,2026)/SUMIFS('VIC-2'!$G$15:$G$62,'VIC-2'!$B$15:$B$62,2026),0)</f>
        <v/>
      </c>
      <c r="U38" s="27">
        <f>IFERROR(SUMIFS('VIC-2'!$F$15:$F$62,'VIC-2'!$B$15:$B$62,2027)/SUMIFS('VIC-2'!$G$15:$G$62,'VIC-2'!$B$15:$B$62,2027),0)</f>
        <v/>
      </c>
      <c r="V38" s="27">
        <f>IFERROR(SUMIFS('VIC-2'!$F$15:$F$62,'VIC-2'!$B$15:$B$62,2028)/SUMIFS('VIC-2'!$G$15:$G$62,'VIC-2'!$B$15:$B$62,2028),0)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'NSW-1'!E39+'VIC-1'!E39+'QLD-1'!E39+'NSW-2'!E39+'VIC-2'!E39+'QLD-2'!E39+'SA-1'!E39+'WA-1'!E39</f>
        <v/>
      </c>
      <c r="F39" s="26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3">
        <f>'NSW-1'!H39+'VIC-1'!H39+'QLD-1'!H39+'NSW-2'!H39+'VIC-2'!H39+'QLD-2'!H39+'SA-1'!H39+'WA-1'!H39+'IDC-NSW'!H39+'IDC-VIC'!H39</f>
        <v/>
      </c>
      <c r="I39" s="23">
        <f>'NSW-1'!I39+'VIC-1'!I39+'QLD-1'!I39+'NSW-2'!I39+'VIC-2'!I39+'QLD-2'!I39+'SA-1'!I39+'WA-1'!I39+'IDC-NSW'!I39+'IDC-VIC'!I39</f>
        <v/>
      </c>
      <c r="J39" s="23">
        <f>'NSW-1'!J39+'VIC-1'!J39+'QLD-1'!J39+'NSW-2'!J39+'VIC-2'!J39+'QLD-2'!J39+'SA-1'!J39+'WA-1'!J39+'IDC-NSW'!J39+'IDC-VIC'!J39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27">
        <f>IFERROR(SUMIFS('QLD-2'!$F$15:$F$62,'QLD-2'!$B$15:$B$62,2025)/SUMIFS('QLD-2'!$G$15:$G$62,'QLD-2'!$B$15:$B$62,2025),0)</f>
        <v/>
      </c>
      <c r="T39" s="27">
        <f>IFERROR(SUMIFS('QLD-2'!$F$15:$F$62,'QLD-2'!$B$15:$B$62,2026)/SUMIFS('QLD-2'!$G$15:$G$62,'QLD-2'!$B$15:$B$62,2026),0)</f>
        <v/>
      </c>
      <c r="U39" s="27">
        <f>IFERROR(SUMIFS('QLD-2'!$F$15:$F$62,'QLD-2'!$B$15:$B$62,2027)/SUMIFS('QLD-2'!$G$15:$G$62,'QLD-2'!$B$15:$B$62,2027),0)</f>
        <v/>
      </c>
      <c r="V39" s="27">
        <f>IFERROR(SUMIFS('QLD-2'!$F$15:$F$62,'QLD-2'!$B$15:$B$62,2028)/SUMIFS('QLD-2'!$G$15:$G$62,'QLD-2'!$B$15:$B$62,2028),0)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'NSW-1'!E40+'VIC-1'!E40+'QLD-1'!E40+'NSW-2'!E40+'VIC-2'!E40+'QLD-2'!E40+'SA-1'!E40+'WA-1'!E40</f>
        <v/>
      </c>
      <c r="F40" s="26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3">
        <f>'NSW-1'!H40+'VIC-1'!H40+'QLD-1'!H40+'NSW-2'!H40+'VIC-2'!H40+'QLD-2'!H40+'SA-1'!H40+'WA-1'!H40+'IDC-NSW'!H40+'IDC-VIC'!H40</f>
        <v/>
      </c>
      <c r="I40" s="23">
        <f>'NSW-1'!I40+'VIC-1'!I40+'QLD-1'!I40+'NSW-2'!I40+'VIC-2'!I40+'QLD-2'!I40+'SA-1'!I40+'WA-1'!I40+'IDC-NSW'!I40+'IDC-VIC'!I40</f>
        <v/>
      </c>
      <c r="J40" s="23">
        <f>'NSW-1'!J40+'VIC-1'!J40+'QLD-1'!J40+'NSW-2'!J40+'VIC-2'!J40+'QLD-2'!J40+'SA-1'!J40+'WA-1'!J40+'IDC-NSW'!J40+'IDC-VIC'!J40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27">
        <f>IFERROR(SUMIFS('SA-1'!$F$15:$F$62,'SA-1'!$B$15:$B$62,2025)/SUMIFS('SA-1'!$G$15:$G$62,'SA-1'!$B$15:$B$62,2025),0)</f>
        <v/>
      </c>
      <c r="T40" s="27">
        <f>IFERROR(SUMIFS('SA-1'!$F$15:$F$62,'SA-1'!$B$15:$B$62,2026)/SUMIFS('SA-1'!$G$15:$G$62,'SA-1'!$B$15:$B$62,2026),0)</f>
        <v/>
      </c>
      <c r="U40" s="27">
        <f>IFERROR(SUMIFS('SA-1'!$F$15:$F$62,'SA-1'!$B$15:$B$62,2027)/SUMIFS('SA-1'!$G$15:$G$62,'SA-1'!$B$15:$B$62,2027),0)</f>
        <v/>
      </c>
      <c r="V40" s="27">
        <f>IFERROR(SUMIFS('SA-1'!$F$15:$F$62,'SA-1'!$B$15:$B$62,2028)/SUMIFS('SA-1'!$G$15:$G$62,'SA-1'!$B$15:$B$62,2028),0)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'NSW-1'!E41+'VIC-1'!E41+'QLD-1'!E41+'NSW-2'!E41+'VIC-2'!E41+'QLD-2'!E41+'SA-1'!E41+'WA-1'!E41</f>
        <v/>
      </c>
      <c r="F41" s="26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3">
        <f>'NSW-1'!H41+'VIC-1'!H41+'QLD-1'!H41+'NSW-2'!H41+'VIC-2'!H41+'QLD-2'!H41+'SA-1'!H41+'WA-1'!H41+'IDC-NSW'!H41+'IDC-VIC'!H41</f>
        <v/>
      </c>
      <c r="I41" s="23">
        <f>'NSW-1'!I41+'VIC-1'!I41+'QLD-1'!I41+'NSW-2'!I41+'VIC-2'!I41+'QLD-2'!I41+'SA-1'!I41+'WA-1'!I41+'IDC-NSW'!I41+'IDC-VIC'!I41</f>
        <v/>
      </c>
      <c r="J41" s="23">
        <f>'NSW-1'!J41+'VIC-1'!J41+'QLD-1'!J41+'NSW-2'!J41+'VIC-2'!J41+'QLD-2'!J41+'SA-1'!J41+'WA-1'!J41+'IDC-NSW'!J41+'IDC-VIC'!J41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27">
        <f>IFERROR(SUMIFS('WA-1'!$F$15:$F$62,'WA-1'!$B$15:$B$62,2025)/SUMIFS('WA-1'!$G$15:$G$62,'WA-1'!$B$15:$B$62,2025),0)</f>
        <v/>
      </c>
      <c r="T41" s="27">
        <f>IFERROR(SUMIFS('WA-1'!$F$15:$F$62,'WA-1'!$B$15:$B$62,2026)/SUMIFS('WA-1'!$G$15:$G$62,'WA-1'!$B$15:$B$62,2026),0)</f>
        <v/>
      </c>
      <c r="U41" s="27">
        <f>IFERROR(SUMIFS('WA-1'!$F$15:$F$62,'WA-1'!$B$15:$B$62,2027)/SUMIFS('WA-1'!$G$15:$G$62,'WA-1'!$B$15:$B$62,2027),0)</f>
        <v/>
      </c>
      <c r="V41" s="27">
        <f>IFERROR(SUMIFS('WA-1'!$F$15:$F$62,'WA-1'!$B$15:$B$62,2028)/SUMIFS('WA-1'!$G$15:$G$62,'WA-1'!$B$15:$B$62,2028),0)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'NSW-1'!E42+'VIC-1'!E42+'QLD-1'!E42+'NSW-2'!E42+'VIC-2'!E42+'QLD-2'!E42+'SA-1'!E42+'WA-1'!E42</f>
        <v/>
      </c>
      <c r="F42" s="26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3">
        <f>'NSW-1'!H42+'VIC-1'!H42+'QLD-1'!H42+'NSW-2'!H42+'VIC-2'!H42+'QLD-2'!H42+'SA-1'!H42+'WA-1'!H42+'IDC-NSW'!H42+'IDC-VIC'!H42</f>
        <v/>
      </c>
      <c r="I42" s="23">
        <f>'NSW-1'!I42+'VIC-1'!I42+'QLD-1'!I42+'NSW-2'!I42+'VIC-2'!I42+'QLD-2'!I42+'SA-1'!I42+'WA-1'!I42+'IDC-NSW'!I42+'IDC-VIC'!I42</f>
        <v/>
      </c>
      <c r="J42" s="23">
        <f>'NSW-1'!J42+'VIC-1'!J42+'QLD-1'!J42+'NSW-2'!J42+'VIC-2'!J42+'QLD-2'!J42+'SA-1'!J42+'WA-1'!J42+'IDC-NSW'!J42+'IDC-VIC'!J42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27">
        <f>IFERROR(SUMIFS('IDC-NSW'!$F$15:$F$62,'IDC-NSW'!$B$15:$B$62,2025)/SUMIFS('IDC-NSW'!$G$15:$G$62,'IDC-NSW'!$B$15:$B$62,2025),0)</f>
        <v/>
      </c>
      <c r="T42" s="27">
        <f>IFERROR(SUMIFS('IDC-NSW'!$F$15:$F$62,'IDC-NSW'!$B$15:$B$62,2026)/SUMIFS('IDC-NSW'!$G$15:$G$62,'IDC-NSW'!$B$15:$B$62,2026),0)</f>
        <v/>
      </c>
      <c r="U42" s="27">
        <f>IFERROR(SUMIFS('IDC-NSW'!$F$15:$F$62,'IDC-NSW'!$B$15:$B$62,2027)/SUMIFS('IDC-NSW'!$G$15:$G$62,'IDC-NSW'!$B$15:$B$62,2027),0)</f>
        <v/>
      </c>
      <c r="V42" s="27">
        <f>IFERROR(SUMIFS('IDC-NSW'!$F$15:$F$62,'IDC-NSW'!$B$15:$B$62,2028)/SUMIFS('IDC-NSW'!$G$15:$G$62,'IDC-NSW'!$B$15:$B$62,2028),0)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'NSW-1'!E43+'VIC-1'!E43+'QLD-1'!E43+'NSW-2'!E43+'VIC-2'!E43+'QLD-2'!E43+'SA-1'!E43+'WA-1'!E43</f>
        <v/>
      </c>
      <c r="F43" s="26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3">
        <f>'NSW-1'!H43+'VIC-1'!H43+'QLD-1'!H43+'NSW-2'!H43+'VIC-2'!H43+'QLD-2'!H43+'SA-1'!H43+'WA-1'!H43+'IDC-NSW'!H43+'IDC-VIC'!H43</f>
        <v/>
      </c>
      <c r="I43" s="23">
        <f>'NSW-1'!I43+'VIC-1'!I43+'QLD-1'!I43+'NSW-2'!I43+'VIC-2'!I43+'QLD-2'!I43+'SA-1'!I43+'WA-1'!I43+'IDC-NSW'!I43+'IDC-VIC'!I43</f>
        <v/>
      </c>
      <c r="J43" s="23">
        <f>'NSW-1'!J43+'VIC-1'!J43+'QLD-1'!J43+'NSW-2'!J43+'VIC-2'!J43+'QLD-2'!J43+'SA-1'!J43+'WA-1'!J43+'IDC-NSW'!J43+'IDC-VIC'!J43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27">
        <f>IFERROR(SUMIFS('IDC-VIC'!$F$15:$F$62,'IDC-VIC'!$B$15:$B$62,2025)/SUMIFS('IDC-VIC'!$G$15:$G$62,'IDC-VIC'!$B$15:$B$62,2025),0)</f>
        <v/>
      </c>
      <c r="T43" s="27">
        <f>IFERROR(SUMIFS('IDC-VIC'!$F$15:$F$62,'IDC-VIC'!$B$15:$B$62,2026)/SUMIFS('IDC-VIC'!$G$15:$G$62,'IDC-VIC'!$B$15:$B$62,2026),0)</f>
        <v/>
      </c>
      <c r="U43" s="27">
        <f>IFERROR(SUMIFS('IDC-VIC'!$F$15:$F$62,'IDC-VIC'!$B$15:$B$62,2027)/SUMIFS('IDC-VIC'!$G$15:$G$62,'IDC-VIC'!$B$15:$B$62,2027),0)</f>
        <v/>
      </c>
      <c r="V43" s="27">
        <f>IFERROR(SUMIFS('IDC-VIC'!$F$15:$F$62,'IDC-VIC'!$B$15:$B$62,2028)/SUMIFS('IDC-VIC'!$G$15:$G$62,'IDC-VIC'!$B$15:$B$62,2028),0)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'NSW-1'!E44+'VIC-1'!E44+'QLD-1'!E44+'NSW-2'!E44+'VIC-2'!E44+'QLD-2'!E44+'SA-1'!E44+'WA-1'!E44</f>
        <v/>
      </c>
      <c r="F44" s="26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3">
        <f>'NSW-1'!H44+'VIC-1'!H44+'QLD-1'!H44+'NSW-2'!H44+'VIC-2'!H44+'QLD-2'!H44+'SA-1'!H44+'WA-1'!H44+'IDC-NSW'!H44+'IDC-VIC'!H44</f>
        <v/>
      </c>
      <c r="I44" s="23">
        <f>'NSW-1'!I44+'VIC-1'!I44+'QLD-1'!I44+'NSW-2'!I44+'VIC-2'!I44+'QLD-2'!I44+'SA-1'!I44+'WA-1'!I44+'IDC-NSW'!I44+'IDC-VIC'!I44</f>
        <v/>
      </c>
      <c r="J44" s="23">
        <f>'NSW-1'!J44+'VIC-1'!J44+'QLD-1'!J44+'NSW-2'!J44+'VIC-2'!J44+'QLD-2'!J44+'SA-1'!J44+'WA-1'!J44+'IDC-NSW'!J44+'IDC-VIC'!J44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'NSW-1'!E45+'VIC-1'!E45+'QLD-1'!E45+'NSW-2'!E45+'VIC-2'!E45+'QLD-2'!E45+'SA-1'!E45+'WA-1'!E45</f>
        <v/>
      </c>
      <c r="F45" s="26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3">
        <f>'NSW-1'!H45+'VIC-1'!H45+'QLD-1'!H45+'NSW-2'!H45+'VIC-2'!H45+'QLD-2'!H45+'SA-1'!H45+'WA-1'!H45+'IDC-NSW'!H45+'IDC-VIC'!H45</f>
        <v/>
      </c>
      <c r="I45" s="23">
        <f>'NSW-1'!I45+'VIC-1'!I45+'QLD-1'!I45+'NSW-2'!I45+'VIC-2'!I45+'QLD-2'!I45+'SA-1'!I45+'WA-1'!I45+'IDC-NSW'!I45+'IDC-VIC'!I45</f>
        <v/>
      </c>
      <c r="J45" s="23">
        <f>'NSW-1'!J45+'VIC-1'!J45+'QLD-1'!J45+'NSW-2'!J45+'VIC-2'!J45+'QLD-2'!J45+'SA-1'!J45+'WA-1'!J45+'IDC-NSW'!J45+'IDC-VIC'!J45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'NSW-1'!E46+'VIC-1'!E46+'QLD-1'!E46+'NSW-2'!E46+'VIC-2'!E46+'QLD-2'!E46+'SA-1'!E46+'WA-1'!E46</f>
        <v/>
      </c>
      <c r="F46" s="26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3">
        <f>'NSW-1'!H46+'VIC-1'!H46+'QLD-1'!H46+'NSW-2'!H46+'VIC-2'!H46+'QLD-2'!H46+'SA-1'!H46+'WA-1'!H46+'IDC-NSW'!H46+'IDC-VIC'!H46</f>
        <v/>
      </c>
      <c r="I46" s="23">
        <f>'NSW-1'!I46+'VIC-1'!I46+'QLD-1'!I46+'NSW-2'!I46+'VIC-2'!I46+'QLD-2'!I46+'SA-1'!I46+'WA-1'!I46+'IDC-NSW'!I46+'IDC-VIC'!I46</f>
        <v/>
      </c>
      <c r="J46" s="23">
        <f>'NSW-1'!J46+'VIC-1'!J46+'QLD-1'!J46+'NSW-2'!J46+'VIC-2'!J46+'QLD-2'!J46+'SA-1'!J46+'WA-1'!J46+'IDC-NSW'!J46+'IDC-VIC'!J46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'NSW-1'!E47+'VIC-1'!E47+'QLD-1'!E47+'NSW-2'!E47+'VIC-2'!E47+'QLD-2'!E47+'SA-1'!E47+'WA-1'!E47</f>
        <v/>
      </c>
      <c r="F47" s="26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3">
        <f>'NSW-1'!H47+'VIC-1'!H47+'QLD-1'!H47+'NSW-2'!H47+'VIC-2'!H47+'QLD-2'!H47+'SA-1'!H47+'WA-1'!H47+'IDC-NSW'!H47+'IDC-VIC'!H47</f>
        <v/>
      </c>
      <c r="I47" s="23">
        <f>'NSW-1'!I47+'VIC-1'!I47+'QLD-1'!I47+'NSW-2'!I47+'VIC-2'!I47+'QLD-2'!I47+'SA-1'!I47+'WA-1'!I47+'IDC-NSW'!I47+'IDC-VIC'!I47</f>
        <v/>
      </c>
      <c r="J47" s="23">
        <f>'NSW-1'!J47+'VIC-1'!J47+'QLD-1'!J47+'NSW-2'!J47+'VIC-2'!J47+'QLD-2'!J47+'SA-1'!J47+'WA-1'!J47+'IDC-NSW'!J47+'IDC-VIC'!J47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'NSW-1'!E48+'VIC-1'!E48+'QLD-1'!E48+'NSW-2'!E48+'VIC-2'!E48+'QLD-2'!E48+'SA-1'!E48+'WA-1'!E48</f>
        <v/>
      </c>
      <c r="F48" s="26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3">
        <f>'NSW-1'!H48+'VIC-1'!H48+'QLD-1'!H48+'NSW-2'!H48+'VIC-2'!H48+'QLD-2'!H48+'SA-1'!H48+'WA-1'!H48+'IDC-NSW'!H48+'IDC-VIC'!H48</f>
        <v/>
      </c>
      <c r="I48" s="23">
        <f>'NSW-1'!I48+'VIC-1'!I48+'QLD-1'!I48+'NSW-2'!I48+'VIC-2'!I48+'QLD-2'!I48+'SA-1'!I48+'WA-1'!I48+'IDC-NSW'!I48+'IDC-VIC'!I48</f>
        <v/>
      </c>
      <c r="J48" s="23">
        <f>'NSW-1'!J48+'VIC-1'!J48+'QLD-1'!J48+'NSW-2'!J48+'VIC-2'!J48+'QLD-2'!J48+'SA-1'!J48+'WA-1'!J48+'IDC-NSW'!J48+'IDC-VIC'!J48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29">
        <f>IFERROR(SUMIFS('NSW-1'!$H$15:$H$62,'NSW-1'!$B$15:$B$62,2025)/SUMIFS('NSW-1'!$F$15:$F$62,'NSW-1'!$B$15:$B$62,2025),0)</f>
        <v/>
      </c>
      <c r="T48" s="29">
        <f>IFERROR(SUMIFS('NSW-1'!$H$15:$H$62,'NSW-1'!$B$15:$B$62,2026)/SUMIFS('NSW-1'!$F$15:$F$62,'NSW-1'!$B$15:$B$62,2026),0)</f>
        <v/>
      </c>
      <c r="U48" s="29">
        <f>IFERROR(SUMIFS('NSW-1'!$H$15:$H$62,'NSW-1'!$B$15:$B$62,2027)/SUMIFS('NSW-1'!$F$15:$F$62,'NSW-1'!$B$15:$B$62,2027),0)</f>
        <v/>
      </c>
      <c r="V48" s="29">
        <f>IFERROR(SUMIFS('NSW-1'!$H$15:$H$62,'NSW-1'!$B$15:$B$62,2028)/SUMIFS('NSW-1'!$F$15:$F$62,'NSW-1'!$B$15:$B$62,2028),0)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'NSW-1'!E49+'VIC-1'!E49+'QLD-1'!E49+'NSW-2'!E49+'VIC-2'!E49+'QLD-2'!E49+'SA-1'!E49+'WA-1'!E49</f>
        <v/>
      </c>
      <c r="F49" s="26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3">
        <f>'NSW-1'!H49+'VIC-1'!H49+'QLD-1'!H49+'NSW-2'!H49+'VIC-2'!H49+'QLD-2'!H49+'SA-1'!H49+'WA-1'!H49+'IDC-NSW'!H49+'IDC-VIC'!H49</f>
        <v/>
      </c>
      <c r="I49" s="23">
        <f>'NSW-1'!I49+'VIC-1'!I49+'QLD-1'!I49+'NSW-2'!I49+'VIC-2'!I49+'QLD-2'!I49+'SA-1'!I49+'WA-1'!I49+'IDC-NSW'!I49+'IDC-VIC'!I49</f>
        <v/>
      </c>
      <c r="J49" s="23">
        <f>'NSW-1'!J49+'VIC-1'!J49+'QLD-1'!J49+'NSW-2'!J49+'VIC-2'!J49+'QLD-2'!J49+'SA-1'!J49+'WA-1'!J49+'IDC-NSW'!J49+'IDC-VIC'!J49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29">
        <f>IFERROR(SUMIFS('VIC-1'!$H$15:$H$62,'VIC-1'!$B$15:$B$62,2025)/SUMIFS('VIC-1'!$F$15:$F$62,'VIC-1'!$B$15:$B$62,2025),0)</f>
        <v/>
      </c>
      <c r="T49" s="29">
        <f>IFERROR(SUMIFS('VIC-1'!$H$15:$H$62,'VIC-1'!$B$15:$B$62,2026)/SUMIFS('VIC-1'!$F$15:$F$62,'VIC-1'!$B$15:$B$62,2026),0)</f>
        <v/>
      </c>
      <c r="U49" s="29">
        <f>IFERROR(SUMIFS('VIC-1'!$H$15:$H$62,'VIC-1'!$B$15:$B$62,2027)/SUMIFS('VIC-1'!$F$15:$F$62,'VIC-1'!$B$15:$B$62,2027),0)</f>
        <v/>
      </c>
      <c r="V49" s="29">
        <f>IFERROR(SUMIFS('VIC-1'!$H$15:$H$62,'VIC-1'!$B$15:$B$62,2028)/SUMIFS('VIC-1'!$F$15:$F$62,'VIC-1'!$B$15:$B$62,2028),0)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'NSW-1'!E50+'VIC-1'!E50+'QLD-1'!E50+'NSW-2'!E50+'VIC-2'!E50+'QLD-2'!E50+'SA-1'!E50+'WA-1'!E50</f>
        <v/>
      </c>
      <c r="F50" s="34">
        <f>'NSW-1'!F50+'VIC-1'!F50+'QLD-1'!F50+'NSW-2'!F50+'VIC-2'!F50+'QLD-2'!F50+'SA-1'!F50+'WA-1'!F50+'IDC-NSW'!F50+'IDC-VIC'!F50</f>
        <v/>
      </c>
      <c r="G50" s="35">
        <f>'NSW-1'!G50+'VIC-1'!G50+'QLD-1'!G50+'NSW-2'!G50+'VIC-2'!G50+'QLD-2'!G50+'SA-1'!G50+'WA-1'!G50+'IDC-NSW'!G50+'IDC-VIC'!G50</f>
        <v/>
      </c>
      <c r="H50" s="33">
        <f>'NSW-1'!H50+'VIC-1'!H50+'QLD-1'!H50+'NSW-2'!H50+'VIC-2'!H50+'QLD-2'!H50+'SA-1'!H50+'WA-1'!H50+'IDC-NSW'!H50+'IDC-VIC'!H50</f>
        <v/>
      </c>
      <c r="I50" s="33">
        <f>'NSW-1'!I50+'VIC-1'!I50+'QLD-1'!I50+'NSW-2'!I50+'VIC-2'!I50+'QLD-2'!I50+'SA-1'!I50+'WA-1'!I50+'IDC-NSW'!I50+'IDC-VIC'!I50</f>
        <v/>
      </c>
      <c r="J50" s="33">
        <f>'NSW-1'!J50+'VIC-1'!J50+'QLD-1'!J50+'NSW-2'!J50+'VIC-2'!J50+'QLD-2'!J50+'SA-1'!J50+'WA-1'!J50+'IDC-NSW'!J50+'IDC-VIC'!J50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t="inlineStr">
        <is>
          <t>QLD-1</t>
        </is>
      </c>
      <c r="S50" s="29">
        <f>IFERROR(SUMIFS('QLD-1'!$H$15:$H$62,'QLD-1'!$B$15:$B$62,2025)/SUMIFS('QLD-1'!$F$15:$F$62,'QLD-1'!$B$15:$B$62,2025),0)</f>
        <v/>
      </c>
      <c r="T50" s="29">
        <f>IFERROR(SUMIFS('QLD-1'!$H$15:$H$62,'QLD-1'!$B$15:$B$62,2026)/SUMIFS('QLD-1'!$F$15:$F$62,'QLD-1'!$B$15:$B$62,2026),0)</f>
        <v/>
      </c>
      <c r="U50" s="29">
        <f>IFERROR(SUMIFS('QLD-1'!$H$15:$H$62,'QLD-1'!$B$15:$B$62,2027)/SUMIFS('QLD-1'!$F$15:$F$62,'QLD-1'!$B$15:$B$62,2027),0)</f>
        <v/>
      </c>
      <c r="V50" s="29">
        <f>IFERROR(SUMIFS('QLD-1'!$H$15:$H$62,'QLD-1'!$B$15:$B$62,2028)/SUMIFS('QLD-1'!$F$15:$F$62,'QLD-1'!$B$15:$B$62,2028),0)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'NSW-1'!E51+'VIC-1'!E51+'QLD-1'!E51+'NSW-2'!E51+'VIC-2'!E51+'QLD-2'!E51+'SA-1'!E51+'WA-1'!E51</f>
        <v/>
      </c>
      <c r="F51" s="26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3">
        <f>'NSW-1'!H51+'VIC-1'!H51+'QLD-1'!H51+'NSW-2'!H51+'VIC-2'!H51+'QLD-2'!H51+'SA-1'!H51+'WA-1'!H51+'IDC-NSW'!H51+'IDC-VIC'!H51</f>
        <v/>
      </c>
      <c r="I51" s="23">
        <f>'NSW-1'!I51+'VIC-1'!I51+'QLD-1'!I51+'NSW-2'!I51+'VIC-2'!I51+'QLD-2'!I51+'SA-1'!I51+'WA-1'!I51+'IDC-NSW'!I51+'IDC-VIC'!I51</f>
        <v/>
      </c>
      <c r="J51" s="23">
        <f>'NSW-1'!J51+'VIC-1'!J51+'QLD-1'!J51+'NSW-2'!J51+'VIC-2'!J51+'QLD-2'!J51+'SA-1'!J51+'WA-1'!J51+'IDC-NSW'!J51+'IDC-VIC'!J51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29">
        <f>IFERROR(SUMIFS('NSW-2'!$H$15:$H$62,'NSW-2'!$B$15:$B$62,2025)/SUMIFS('NSW-2'!$F$15:$F$62,'NSW-2'!$B$15:$B$62,2025),0)</f>
        <v/>
      </c>
      <c r="T51" s="29">
        <f>IFERROR(SUMIFS('NSW-2'!$H$15:$H$62,'NSW-2'!$B$15:$B$62,2026)/SUMIFS('NSW-2'!$F$15:$F$62,'NSW-2'!$B$15:$B$62,2026),0)</f>
        <v/>
      </c>
      <c r="U51" s="29">
        <f>IFERROR(SUMIFS('NSW-2'!$H$15:$H$62,'NSW-2'!$B$15:$B$62,2027)/SUMIFS('NSW-2'!$F$15:$F$62,'NSW-2'!$B$15:$B$62,2027),0)</f>
        <v/>
      </c>
      <c r="V51" s="29">
        <f>IFERROR(SUMIFS('NSW-2'!$H$15:$H$62,'NSW-2'!$B$15:$B$62,2028)/SUMIFS('NSW-2'!$F$15:$F$62,'NSW-2'!$B$15:$B$62,2028),0)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'NSW-1'!E52+'VIC-1'!E52+'QLD-1'!E52+'NSW-2'!E52+'VIC-2'!E52+'QLD-2'!E52+'SA-1'!E52+'WA-1'!E52</f>
        <v/>
      </c>
      <c r="F52" s="26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3">
        <f>'NSW-1'!H52+'VIC-1'!H52+'QLD-1'!H52+'NSW-2'!H52+'VIC-2'!H52+'QLD-2'!H52+'SA-1'!H52+'WA-1'!H52+'IDC-NSW'!H52+'IDC-VIC'!H52</f>
        <v/>
      </c>
      <c r="I52" s="23">
        <f>'NSW-1'!I52+'VIC-1'!I52+'QLD-1'!I52+'NSW-2'!I52+'VIC-2'!I52+'QLD-2'!I52+'SA-1'!I52+'WA-1'!I52+'IDC-NSW'!I52+'IDC-VIC'!I52</f>
        <v/>
      </c>
      <c r="J52" s="23">
        <f>'NSW-1'!J52+'VIC-1'!J52+'QLD-1'!J52+'NSW-2'!J52+'VIC-2'!J52+'QLD-2'!J52+'SA-1'!J52+'WA-1'!J52+'IDC-NSW'!J52+'IDC-VIC'!J52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29">
        <f>IFERROR(SUMIFS('VIC-2'!$H$15:$H$62,'VIC-2'!$B$15:$B$62,2025)/SUMIFS('VIC-2'!$F$15:$F$62,'VIC-2'!$B$15:$B$62,2025),0)</f>
        <v/>
      </c>
      <c r="T52" s="29">
        <f>IFERROR(SUMIFS('VIC-2'!$H$15:$H$62,'VIC-2'!$B$15:$B$62,2026)/SUMIFS('VIC-2'!$F$15:$F$62,'VIC-2'!$B$15:$B$62,2026),0)</f>
        <v/>
      </c>
      <c r="U52" s="29">
        <f>IFERROR(SUMIFS('VIC-2'!$H$15:$H$62,'VIC-2'!$B$15:$B$62,2027)/SUMIFS('VIC-2'!$F$15:$F$62,'VIC-2'!$B$15:$B$62,2027),0)</f>
        <v/>
      </c>
      <c r="V52" s="29">
        <f>IFERROR(SUMIFS('VIC-2'!$H$15:$H$62,'VIC-2'!$B$15:$B$62,2028)/SUMIFS('VIC-2'!$F$15:$F$62,'VIC-2'!$B$15:$B$62,2028),0)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'NSW-1'!E53+'VIC-1'!E53+'QLD-1'!E53+'NSW-2'!E53+'VIC-2'!E53+'QLD-2'!E53+'SA-1'!E53+'WA-1'!E53</f>
        <v/>
      </c>
      <c r="F53" s="26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3">
        <f>'NSW-1'!H53+'VIC-1'!H53+'QLD-1'!H53+'NSW-2'!H53+'VIC-2'!H53+'QLD-2'!H53+'SA-1'!H53+'WA-1'!H53+'IDC-NSW'!H53+'IDC-VIC'!H53</f>
        <v/>
      </c>
      <c r="I53" s="23">
        <f>'NSW-1'!I53+'VIC-1'!I53+'QLD-1'!I53+'NSW-2'!I53+'VIC-2'!I53+'QLD-2'!I53+'SA-1'!I53+'WA-1'!I53+'IDC-NSW'!I53+'IDC-VIC'!I53</f>
        <v/>
      </c>
      <c r="J53" s="23">
        <f>'NSW-1'!J53+'VIC-1'!J53+'QLD-1'!J53+'NSW-2'!J53+'VIC-2'!J53+'QLD-2'!J53+'SA-1'!J53+'WA-1'!J53+'IDC-NSW'!J53+'IDC-VIC'!J53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29">
        <f>IFERROR(SUMIFS('QLD-2'!$H$15:$H$62,'QLD-2'!$B$15:$B$62,2025)/SUMIFS('QLD-2'!$F$15:$F$62,'QLD-2'!$B$15:$B$62,2025),0)</f>
        <v/>
      </c>
      <c r="T53" s="29">
        <f>IFERROR(SUMIFS('QLD-2'!$H$15:$H$62,'QLD-2'!$B$15:$B$62,2026)/SUMIFS('QLD-2'!$F$15:$F$62,'QLD-2'!$B$15:$B$62,2026),0)</f>
        <v/>
      </c>
      <c r="U53" s="29">
        <f>IFERROR(SUMIFS('QLD-2'!$H$15:$H$62,'QLD-2'!$B$15:$B$62,2027)/SUMIFS('QLD-2'!$F$15:$F$62,'QLD-2'!$B$15:$B$62,2027),0)</f>
        <v/>
      </c>
      <c r="V53" s="29">
        <f>IFERROR(SUMIFS('QLD-2'!$H$15:$H$62,'QLD-2'!$B$15:$B$62,2028)/SUMIFS('QLD-2'!$F$15:$F$62,'QLD-2'!$B$15:$B$62,2028),0)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'NSW-1'!E54+'VIC-1'!E54+'QLD-1'!E54+'NSW-2'!E54+'VIC-2'!E54+'QLD-2'!E54+'SA-1'!E54+'WA-1'!E54</f>
        <v/>
      </c>
      <c r="F54" s="26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3">
        <f>'NSW-1'!H54+'VIC-1'!H54+'QLD-1'!H54+'NSW-2'!H54+'VIC-2'!H54+'QLD-2'!H54+'SA-1'!H54+'WA-1'!H54+'IDC-NSW'!H54+'IDC-VIC'!H54</f>
        <v/>
      </c>
      <c r="I54" s="23">
        <f>'NSW-1'!I54+'VIC-1'!I54+'QLD-1'!I54+'NSW-2'!I54+'VIC-2'!I54+'QLD-2'!I54+'SA-1'!I54+'WA-1'!I54+'IDC-NSW'!I54+'IDC-VIC'!I54</f>
        <v/>
      </c>
      <c r="J54" s="23">
        <f>'NSW-1'!J54+'VIC-1'!J54+'QLD-1'!J54+'NSW-2'!J54+'VIC-2'!J54+'QLD-2'!J54+'SA-1'!J54+'WA-1'!J54+'IDC-NSW'!J54+'IDC-VIC'!J54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29">
        <f>IFERROR(SUMIFS('SA-1'!$H$15:$H$62,'SA-1'!$B$15:$B$62,2025)/SUMIFS('SA-1'!$F$15:$F$62,'SA-1'!$B$15:$B$62,2025),0)</f>
        <v/>
      </c>
      <c r="T54" s="29">
        <f>IFERROR(SUMIFS('SA-1'!$H$15:$H$62,'SA-1'!$B$15:$B$62,2026)/SUMIFS('SA-1'!$F$15:$F$62,'SA-1'!$B$15:$B$62,2026),0)</f>
        <v/>
      </c>
      <c r="U54" s="29">
        <f>IFERROR(SUMIFS('SA-1'!$H$15:$H$62,'SA-1'!$B$15:$B$62,2027)/SUMIFS('SA-1'!$F$15:$F$62,'SA-1'!$B$15:$B$62,2027),0)</f>
        <v/>
      </c>
      <c r="V54" s="29">
        <f>IFERROR(SUMIFS('SA-1'!$H$15:$H$62,'SA-1'!$B$15:$B$62,2028)/SUMIFS('SA-1'!$F$15:$F$62,'SA-1'!$B$15:$B$62,2028),0)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'NSW-1'!E55+'VIC-1'!E55+'QLD-1'!E55+'NSW-2'!E55+'VIC-2'!E55+'QLD-2'!E55+'SA-1'!E55+'WA-1'!E55</f>
        <v/>
      </c>
      <c r="F55" s="26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3">
        <f>'NSW-1'!H55+'VIC-1'!H55+'QLD-1'!H55+'NSW-2'!H55+'VIC-2'!H55+'QLD-2'!H55+'SA-1'!H55+'WA-1'!H55+'IDC-NSW'!H55+'IDC-VIC'!H55</f>
        <v/>
      </c>
      <c r="I55" s="23">
        <f>'NSW-1'!I55+'VIC-1'!I55+'QLD-1'!I55+'NSW-2'!I55+'VIC-2'!I55+'QLD-2'!I55+'SA-1'!I55+'WA-1'!I55+'IDC-NSW'!I55+'IDC-VIC'!I55</f>
        <v/>
      </c>
      <c r="J55" s="23">
        <f>'NSW-1'!J55+'VIC-1'!J55+'QLD-1'!J55+'NSW-2'!J55+'VIC-2'!J55+'QLD-2'!J55+'SA-1'!J55+'WA-1'!J55+'IDC-NSW'!J55+'IDC-VIC'!J55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29">
        <f>IFERROR(SUMIFS('WA-1'!$H$15:$H$62,'WA-1'!$B$15:$B$62,2025)/SUMIFS('WA-1'!$F$15:$F$62,'WA-1'!$B$15:$B$62,2025),0)</f>
        <v/>
      </c>
      <c r="T55" s="29">
        <f>IFERROR(SUMIFS('WA-1'!$H$15:$H$62,'WA-1'!$B$15:$B$62,2026)/SUMIFS('WA-1'!$F$15:$F$62,'WA-1'!$B$15:$B$62,2026),0)</f>
        <v/>
      </c>
      <c r="U55" s="29">
        <f>IFERROR(SUMIFS('WA-1'!$H$15:$H$62,'WA-1'!$B$15:$B$62,2027)/SUMIFS('WA-1'!$F$15:$F$62,'WA-1'!$B$15:$B$62,2027),0)</f>
        <v/>
      </c>
      <c r="V55" s="29">
        <f>IFERROR(SUMIFS('WA-1'!$H$15:$H$62,'WA-1'!$B$15:$B$62,2028)/SUMIFS('WA-1'!$F$15:$F$62,'WA-1'!$B$15:$B$62,2028),0)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'NSW-1'!E56+'VIC-1'!E56+'QLD-1'!E56+'NSW-2'!E56+'VIC-2'!E56+'QLD-2'!E56+'SA-1'!E56+'WA-1'!E56</f>
        <v/>
      </c>
      <c r="F56" s="26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3">
        <f>'NSW-1'!H56+'VIC-1'!H56+'QLD-1'!H56+'NSW-2'!H56+'VIC-2'!H56+'QLD-2'!H56+'SA-1'!H56+'WA-1'!H56+'IDC-NSW'!H56+'IDC-VIC'!H56</f>
        <v/>
      </c>
      <c r="I56" s="23">
        <f>'NSW-1'!I56+'VIC-1'!I56+'QLD-1'!I56+'NSW-2'!I56+'VIC-2'!I56+'QLD-2'!I56+'SA-1'!I56+'WA-1'!I56+'IDC-NSW'!I56+'IDC-VIC'!I56</f>
        <v/>
      </c>
      <c r="J56" s="23">
        <f>'NSW-1'!J56+'VIC-1'!J56+'QLD-1'!J56+'NSW-2'!J56+'VIC-2'!J56+'QLD-2'!J56+'SA-1'!J56+'WA-1'!J56+'IDC-NSW'!J56+'IDC-VIC'!J56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29">
        <f>IFERROR(SUMIFS('IDC-NSW'!$H$15:$H$62,'IDC-NSW'!$B$15:$B$62,2025)/SUMIFS('IDC-NSW'!$F$15:$F$62,'IDC-NSW'!$B$15:$B$62,2025),0)</f>
        <v/>
      </c>
      <c r="T56" s="29">
        <f>IFERROR(SUMIFS('IDC-NSW'!$H$15:$H$62,'IDC-NSW'!$B$15:$B$62,2026)/SUMIFS('IDC-NSW'!$F$15:$F$62,'IDC-NSW'!$B$15:$B$62,2026),0)</f>
        <v/>
      </c>
      <c r="U56" s="29">
        <f>IFERROR(SUMIFS('IDC-NSW'!$H$15:$H$62,'IDC-NSW'!$B$15:$B$62,2027)/SUMIFS('IDC-NSW'!$F$15:$F$62,'IDC-NSW'!$B$15:$B$62,2027),0)</f>
        <v/>
      </c>
      <c r="V56" s="29">
        <f>IFERROR(SUMIFS('IDC-NSW'!$H$15:$H$62,'IDC-NSW'!$B$15:$B$62,2028)/SUMIFS('IDC-NSW'!$F$15:$F$62,'IDC-NSW'!$B$15:$B$62,2028),0)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'NSW-1'!E57+'VIC-1'!E57+'QLD-1'!E57+'NSW-2'!E57+'VIC-2'!E57+'QLD-2'!E57+'SA-1'!E57+'WA-1'!E57</f>
        <v/>
      </c>
      <c r="F57" s="26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3">
        <f>'NSW-1'!H57+'VIC-1'!H57+'QLD-1'!H57+'NSW-2'!H57+'VIC-2'!H57+'QLD-2'!H57+'SA-1'!H57+'WA-1'!H57+'IDC-NSW'!H57+'IDC-VIC'!H57</f>
        <v/>
      </c>
      <c r="I57" s="23">
        <f>'NSW-1'!I57+'VIC-1'!I57+'QLD-1'!I57+'NSW-2'!I57+'VIC-2'!I57+'QLD-2'!I57+'SA-1'!I57+'WA-1'!I57+'IDC-NSW'!I57+'IDC-VIC'!I57</f>
        <v/>
      </c>
      <c r="J57" s="23">
        <f>'NSW-1'!J57+'VIC-1'!J57+'QLD-1'!J57+'NSW-2'!J57+'VIC-2'!J57+'QLD-2'!J57+'SA-1'!J57+'WA-1'!J57+'IDC-NSW'!J57+'IDC-VIC'!J57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29">
        <f>IFERROR(SUMIFS('IDC-VIC'!$H$15:$H$62,'IDC-VIC'!$B$15:$B$62,2025)/SUMIFS('IDC-VIC'!$F$15:$F$62,'IDC-VIC'!$B$15:$B$62,2025),0)</f>
        <v/>
      </c>
      <c r="T57" s="29">
        <f>IFERROR(SUMIFS('IDC-VIC'!$H$15:$H$62,'IDC-VIC'!$B$15:$B$62,2026)/SUMIFS('IDC-VIC'!$F$15:$F$62,'IDC-VIC'!$B$15:$B$62,2026),0)</f>
        <v/>
      </c>
      <c r="U57" s="29">
        <f>IFERROR(SUMIFS('IDC-VIC'!$H$15:$H$62,'IDC-VIC'!$B$15:$B$62,2027)/SUMIFS('IDC-VIC'!$F$15:$F$62,'IDC-VIC'!$B$15:$B$62,2027),0)</f>
        <v/>
      </c>
      <c r="V57" s="29">
        <f>IFERROR(SUMIFS('IDC-VIC'!$H$15:$H$62,'IDC-VIC'!$B$15:$B$62,2028)/SUMIFS('IDC-VIC'!$F$15:$F$62,'IDC-VIC'!$B$15:$B$62,2028),0)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'NSW-1'!E58+'VIC-1'!E58+'QLD-1'!E58+'NSW-2'!E58+'VIC-2'!E58+'QLD-2'!E58+'SA-1'!E58+'WA-1'!E58</f>
        <v/>
      </c>
      <c r="F58" s="26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3">
        <f>'NSW-1'!H58+'VIC-1'!H58+'QLD-1'!H58+'NSW-2'!H58+'VIC-2'!H58+'QLD-2'!H58+'SA-1'!H58+'WA-1'!H58+'IDC-NSW'!H58+'IDC-VIC'!H58</f>
        <v/>
      </c>
      <c r="I58" s="23">
        <f>'NSW-1'!I58+'VIC-1'!I58+'QLD-1'!I58+'NSW-2'!I58+'VIC-2'!I58+'QLD-2'!I58+'SA-1'!I58+'WA-1'!I58+'IDC-NSW'!I58+'IDC-VIC'!I58</f>
        <v/>
      </c>
      <c r="J58" s="23">
        <f>'NSW-1'!J58+'VIC-1'!J58+'QLD-1'!J58+'NSW-2'!J58+'VIC-2'!J58+'QLD-2'!J58+'SA-1'!J58+'WA-1'!J58+'IDC-NSW'!J58+'IDC-VIC'!J58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'NSW-1'!E59+'VIC-1'!E59+'QLD-1'!E59+'NSW-2'!E59+'VIC-2'!E59+'QLD-2'!E59+'SA-1'!E59+'WA-1'!E59</f>
        <v/>
      </c>
      <c r="F59" s="26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3">
        <f>'NSW-1'!H59+'VIC-1'!H59+'QLD-1'!H59+'NSW-2'!H59+'VIC-2'!H59+'QLD-2'!H59+'SA-1'!H59+'WA-1'!H59+'IDC-NSW'!H59+'IDC-VIC'!H59</f>
        <v/>
      </c>
      <c r="I59" s="23">
        <f>'NSW-1'!I59+'VIC-1'!I59+'QLD-1'!I59+'NSW-2'!I59+'VIC-2'!I59+'QLD-2'!I59+'SA-1'!I59+'WA-1'!I59+'IDC-NSW'!I59+'IDC-VIC'!I59</f>
        <v/>
      </c>
      <c r="J59" s="23">
        <f>'NSW-1'!J59+'VIC-1'!J59+'QLD-1'!J59+'NSW-2'!J59+'VIC-2'!J59+'QLD-2'!J59+'SA-1'!J59+'WA-1'!J59+'IDC-NSW'!J59+'IDC-VIC'!J59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'NSW-1'!E60+'VIC-1'!E60+'QLD-1'!E60+'NSW-2'!E60+'VIC-2'!E60+'QLD-2'!E60+'SA-1'!E60+'WA-1'!E60</f>
        <v/>
      </c>
      <c r="F60" s="26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3">
        <f>'NSW-1'!H60+'VIC-1'!H60+'QLD-1'!H60+'NSW-2'!H60+'VIC-2'!H60+'QLD-2'!H60+'SA-1'!H60+'WA-1'!H60+'IDC-NSW'!H60+'IDC-VIC'!H60</f>
        <v/>
      </c>
      <c r="I60" s="23">
        <f>'NSW-1'!I60+'VIC-1'!I60+'QLD-1'!I60+'NSW-2'!I60+'VIC-2'!I60+'QLD-2'!I60+'SA-1'!I60+'WA-1'!I60+'IDC-NSW'!I60+'IDC-VIC'!I60</f>
        <v/>
      </c>
      <c r="J60" s="23">
        <f>'NSW-1'!J60+'VIC-1'!J60+'QLD-1'!J60+'NSW-2'!J60+'VIC-2'!J60+'QLD-2'!J60+'SA-1'!J60+'WA-1'!J60+'IDC-NSW'!J60+'IDC-VIC'!J60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'NSW-1'!E61+'VIC-1'!E61+'QLD-1'!E61+'NSW-2'!E61+'VIC-2'!E61+'QLD-2'!E61+'SA-1'!E61+'WA-1'!E61</f>
        <v/>
      </c>
      <c r="F61" s="26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3">
        <f>'NSW-1'!H61+'VIC-1'!H61+'QLD-1'!H61+'NSW-2'!H61+'VIC-2'!H61+'QLD-2'!H61+'SA-1'!H61+'WA-1'!H61+'IDC-NSW'!H61+'IDC-VIC'!H61</f>
        <v/>
      </c>
      <c r="I61" s="23">
        <f>'NSW-1'!I61+'VIC-1'!I61+'QLD-1'!I61+'NSW-2'!I61+'VIC-2'!I61+'QLD-2'!I61+'SA-1'!I61+'WA-1'!I61+'IDC-NSW'!I61+'IDC-VIC'!I61</f>
        <v/>
      </c>
      <c r="J61" s="23">
        <f>'NSW-1'!J61+'VIC-1'!J61+'QLD-1'!J61+'NSW-2'!J61+'VIC-2'!J61+'QLD-2'!J61+'SA-1'!J61+'WA-1'!J61+'IDC-NSW'!J61+'IDC-VIC'!J61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'NSW-1'!E62+'VIC-1'!E62+'QLD-1'!E62+'NSW-2'!E62+'VIC-2'!E62+'QLD-2'!E62+'SA-1'!E62+'WA-1'!E62</f>
        <v/>
      </c>
      <c r="F62" s="34">
        <f>'NSW-1'!F62+'VIC-1'!F62+'QLD-1'!F62+'NSW-2'!F62+'VIC-2'!F62+'QLD-2'!F62+'SA-1'!F62+'WA-1'!F62+'IDC-NSW'!F62+'IDC-VIC'!F62</f>
        <v/>
      </c>
      <c r="G62" s="35">
        <f>'NSW-1'!G62+'VIC-1'!G62+'QLD-1'!G62+'NSW-2'!G62+'VIC-2'!G62+'QLD-2'!G62+'SA-1'!G62+'WA-1'!G62+'IDC-NSW'!G62+'IDC-VIC'!G62</f>
        <v/>
      </c>
      <c r="H62" s="33">
        <f>'NSW-1'!H62+'VIC-1'!H62+'QLD-1'!H62+'NSW-2'!H62+'VIC-2'!H62+'QLD-2'!H62+'SA-1'!H62+'WA-1'!H62+'IDC-NSW'!H62+'IDC-VIC'!H62</f>
        <v/>
      </c>
      <c r="I62" s="33">
        <f>'NSW-1'!I62+'VIC-1'!I62+'QLD-1'!I62+'NSW-2'!I62+'VIC-2'!I62+'QLD-2'!I62+'SA-1'!I62+'WA-1'!I62+'IDC-NSW'!I62+'IDC-VIC'!I62</f>
        <v/>
      </c>
      <c r="J62" s="33">
        <f>'NSW-1'!J62+'VIC-1'!J62+'QLD-1'!J62+'NSW-2'!J62+'VIC-2'!J62+'QLD-2'!J62+'SA-1'!J62+'WA-1'!J62+'IDC-NSW'!J62+'IDC-VIC'!J62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</row>
  </sheetData>
  <mergeCells count="2"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IDC-NSW  |  IDC  |  NSW  |  sales from NSW-1 (excluded from national sales)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J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</cols>
  <sheetData>
    <row r="1">
      <c r="A1" s="2" t="inlineStr">
        <is>
          <t>IDC-VIC  |  IDC  |  VIC  |  sales from VIC-1 (excluded from national sales)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'VIC-1'!E15</f>
        <v/>
      </c>
      <c r="F15" s="26">
        <f>IF($D15="Actual",S15,E15*AG15*(1+CasesAdj))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IF($D15="Actual",IFERROR(S15/R15,""),"")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'VIC-1'!E16</f>
        <v/>
      </c>
      <c r="F16" s="26">
        <f>IF($D16="Actual",S16,E16*AG16*(1+CasesAdj))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IF($D16="Actual",IFERROR(S16/R16,""),"")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'VIC-1'!E17</f>
        <v/>
      </c>
      <c r="F17" s="26">
        <f>IF($D17="Actual",S17,E17*AG17*(1+CasesAdj))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IF($D17="Actual",IFERROR(S17/R17,""),"")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'VIC-1'!E18</f>
        <v/>
      </c>
      <c r="F18" s="26">
        <f>IF($D18="Actual",S18,E18*AG18*(1+CasesAdj))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IF($D18="Actual",IFERROR(S18/R18,""),"")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'VIC-1'!E19</f>
        <v/>
      </c>
      <c r="F19" s="26">
        <f>IF($D19="Actual",S19,E19*AG19*(1+CasesAdj))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IF($D19="Actual",IFERROR(S19/R19,""),"")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'VIC-1'!E20</f>
        <v/>
      </c>
      <c r="F20" s="26">
        <f>IF($D20="Actual",S20,E20*AG20*(1+CasesAdj))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IF($D20="Actual",IFERROR(S20/R20,""),"")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'VIC-1'!E21</f>
        <v/>
      </c>
      <c r="F21" s="26">
        <f>IF($D21="Actual",S21,E21*AG21*(1+CasesAdj))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IF($D21="Actual",IFERROR(S21/R21,""),"")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'VIC-1'!E22</f>
        <v/>
      </c>
      <c r="F22" s="26">
        <f>IF($D22="Actual",S22,E22*AG22*(1+CasesAdj))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IF($D22="Actual",IFERROR(S22/R22,""),"")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'VIC-1'!E23</f>
        <v/>
      </c>
      <c r="F23" s="26">
        <f>IF($D23="Actual",S23,E23*AG23*(1+CasesAdj))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IF($D23="Actual",IFERROR(S23/R23,""),"")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'VIC-1'!E24</f>
        <v/>
      </c>
      <c r="F24" s="26">
        <f>IF($D24="Actual",S24,E24*AG24*(1+CasesAdj))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IF($D24="Actual",IFERROR(S24/R24,""),"")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'VIC-1'!E25</f>
        <v/>
      </c>
      <c r="F25" s="26">
        <f>IF($D25="Actual",S25,E25*AG25*(1+CasesAdj))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IF($D25="Actual",IFERROR(S25/R25,""),"")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'VIC-1'!E26</f>
        <v/>
      </c>
      <c r="F26" s="34">
        <f>IF($D26="Actual",S26,E26*AG26*(1+CasesAdj))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IF($D26="Actual",IFERROR(S26/R26,""),"")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'VIC-1'!E27</f>
        <v/>
      </c>
      <c r="F27" s="26">
        <f>IF($D27="Actual",S27,E27*AG27*(1+CasesAdj))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IF($D27="Actual",IFERROR(S27/R27,""),"")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'VIC-1'!E28</f>
        <v/>
      </c>
      <c r="F28" s="26">
        <f>IF($D28="Actual",S28,E28*AG28*(1+CasesAdj))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IF($D28="Actual",IFERROR(S28/R28,""),"")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'VIC-1'!E29</f>
        <v/>
      </c>
      <c r="F29" s="26">
        <f>IF($D29="Actual",S29,E29*AG29*(1+CasesAdj))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IF($D29="Actual",IFERROR(S29/R29,""),"")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'VIC-1'!E30</f>
        <v/>
      </c>
      <c r="F30" s="26">
        <f>IF($D30="Actual",S30,E30*AG30*(1+CasesAdj))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IF($D30="Actual",IFERROR(S30/R30,""),"")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'VIC-1'!E31</f>
        <v/>
      </c>
      <c r="F31" s="26">
        <f>IF($D31="Actual",S31,E31*AG31*(1+CasesAdj))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IF($D31="Actual",IFERROR(S31/R31,""),"")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'VIC-1'!E32</f>
        <v/>
      </c>
      <c r="F32" s="26">
        <f>IF($D32="Actual",S32,E32*AG32*(1+CasesAdj))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IF($D32="Actual",IFERROR(S32/R32,""),"")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'VIC-1'!E33</f>
        <v/>
      </c>
      <c r="F33" s="26">
        <f>IF($D33="Actual",S33,E33*AG33*(1+CasesAdj))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IF($D33="Actual",IFERROR(S33/R33,""),"")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'VIC-1'!E34</f>
        <v/>
      </c>
      <c r="F34" s="26">
        <f>IF($D34="Actual",S34,E34*AG34*(1+CasesAdj))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IF($D34="Actual",IFERROR(S34/R34,""),"")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'VIC-1'!E35</f>
        <v/>
      </c>
      <c r="F35" s="26">
        <f>IF($D35="Actual",S35,E35*AG35*(1+CasesAdj))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IF($D35="Actual",IFERROR(S35/R35,""),"")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'VIC-1'!E36</f>
        <v/>
      </c>
      <c r="F36" s="26">
        <f>IF($D36="Actual",S36,E36*AG36*(1+CasesAdj))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IF($D36="Actual",IFERROR(S36/R36,""),"")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'VIC-1'!E37</f>
        <v/>
      </c>
      <c r="F37" s="26">
        <f>IF($D37="Actual",S37,E37*AG37*(1+CasesAdj))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IF($D37="Actual",IFERROR(S37/R37,""),"")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'VIC-1'!E38</f>
        <v/>
      </c>
      <c r="F38" s="34">
        <f>IF($D38="Actual",S38,E38*AG38*(1+CasesAdj))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IF($D38="Actual",IFERROR(S38/R38,""),"")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'VIC-1'!E39</f>
        <v/>
      </c>
      <c r="F39" s="26">
        <f>IF($D39="Actual",S39,E39*AG39*(1+CasesAdj))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IF($D39="Actual",IFERROR(S39/R39,""),"")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'VIC-1'!E40</f>
        <v/>
      </c>
      <c r="F40" s="26">
        <f>IF($D40="Actual",S40,E40*AG40*(1+CasesAdj))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IF($D40="Actual",IFERROR(S40/R40,""),"")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'VIC-1'!E41</f>
        <v/>
      </c>
      <c r="F41" s="26">
        <f>IF($D41="Actual",S41,E41*AG41*(1+CasesAdj))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IF($D41="Actual",IFERROR(S41/R41,""),"")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'VIC-1'!E42</f>
        <v/>
      </c>
      <c r="F42" s="26">
        <f>IF($D42="Actual",S42,E42*AG42*(1+CasesAdj))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IF($D42="Actual",IFERROR(S42/R42,""),"")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'VIC-1'!E43</f>
        <v/>
      </c>
      <c r="F43" s="26">
        <f>IF($D43="Actual",S43,E43*AG43*(1+CasesAdj))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IF($D43="Actual",IFERROR(S43/R43,""),"")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'VIC-1'!E44</f>
        <v/>
      </c>
      <c r="F44" s="26">
        <f>IF($D44="Actual",S44,E44*AG44*(1+CasesAdj))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IF($D44="Actual",IFERROR(S44/R44,""),"")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'VIC-1'!E45</f>
        <v/>
      </c>
      <c r="F45" s="26">
        <f>IF($D45="Actual",S45,E45*AG45*(1+CasesAdj))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IF($D45="Actual",IFERROR(S45/R45,""),"")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'VIC-1'!E46</f>
        <v/>
      </c>
      <c r="F46" s="26">
        <f>IF($D46="Actual",S46,E46*AG46*(1+CasesAdj))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IF($D46="Actual",IFERROR(S46/R46,""),"")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'VIC-1'!E47</f>
        <v/>
      </c>
      <c r="F47" s="26">
        <f>IF($D47="Actual",S47,E47*AG47*(1+CasesAdj))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IF($D47="Actual",IFERROR(S47/R47,""),"")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'VIC-1'!E48</f>
        <v/>
      </c>
      <c r="F48" s="26">
        <f>IF($D48="Actual",S48,E48*AG48*(1+CasesAdj))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IF($D48="Actual",IFERROR(S48/R48,""),"")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'VIC-1'!E49</f>
        <v/>
      </c>
      <c r="F49" s="26">
        <f>IF($D49="Actual",S49,E49*AG49*(1+CasesAdj))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IF($D49="Actual",IFERROR(S49/R49,""),"")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'VIC-1'!E50</f>
        <v/>
      </c>
      <c r="F50" s="34">
        <f>IF($D50="Actual",S50,E50*AG50*(1+CasesAdj))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IF($D50="Actual",IFERROR(S50/R50,""),"")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'VIC-1'!E51</f>
        <v/>
      </c>
      <c r="F51" s="26">
        <f>IF($D51="Actual",S51,E51*AG51*(1+CasesAdj))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IF($D51="Actual",IFERROR(S51/R51,""),"")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'VIC-1'!E52</f>
        <v/>
      </c>
      <c r="F52" s="26">
        <f>IF($D52="Actual",S52,E52*AG52*(1+CasesAdj))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IF($D52="Actual",IFERROR(S52/R52,""),"")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'VIC-1'!E53</f>
        <v/>
      </c>
      <c r="F53" s="26">
        <f>IF($D53="Actual",S53,E53*AG53*(1+CasesAdj))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IF($D53="Actual",IFERROR(S53/R53,""),"")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'VIC-1'!E54</f>
        <v/>
      </c>
      <c r="F54" s="26">
        <f>IF($D54="Actual",S54,E54*AG54*(1+CasesAdj))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IF($D54="Actual",IFERROR(S54/R54,""),"")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'VIC-1'!E55</f>
        <v/>
      </c>
      <c r="F55" s="26">
        <f>IF($D55="Actual",S55,E55*AG55*(1+CasesAdj))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IF($D55="Actual",IFERROR(S55/R55,""),"")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'VIC-1'!E56</f>
        <v/>
      </c>
      <c r="F56" s="26">
        <f>IF($D56="Actual",S56,E56*AG56*(1+CasesAdj))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IF($D56="Actual",IFERROR(S56/R56,""),"")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'VIC-1'!E57</f>
        <v/>
      </c>
      <c r="F57" s="26">
        <f>IF($D57="Actual",S57,E57*AG57*(1+CasesAdj))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IF($D57="Actual",IFERROR(S57/R57,""),"")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'VIC-1'!E58</f>
        <v/>
      </c>
      <c r="F58" s="26">
        <f>IF($D58="Actual",S58,E58*AG58*(1+CasesAdj))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IF($D58="Actual",IFERROR(S58/R58,""),"")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'VIC-1'!E59</f>
        <v/>
      </c>
      <c r="F59" s="26">
        <f>IF($D59="Actual",S59,E59*AG59*(1+CasesAdj))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IF($D59="Actual",IFERROR(S59/R59,""),"")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'VIC-1'!E60</f>
        <v/>
      </c>
      <c r="F60" s="26">
        <f>IF($D60="Actual",S60,E60*AG60*(1+CasesAdj))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IF($D60="Actual",IFERROR(S60/R60,""),"")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'VIC-1'!E61</f>
        <v/>
      </c>
      <c r="F61" s="26">
        <f>IF($D61="Actual",S61,E61*AG61*(1+CasesAdj))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IF($D61="Actual",IFERROR(S61/R61,""),"")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'VIC-1'!E62</f>
        <v/>
      </c>
      <c r="F62" s="34">
        <f>IF($D62="Actual",S62,E62*AG62*(1+CasesAdj))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IF($D62="Actual",IFERROR(S62/R62,""),"")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</row>
  </sheetData>
  <mergeCells count="3">
    <mergeCell ref="R12:AJ12"/>
    <mergeCell ref="K12:P12"/>
    <mergeCell ref="E12:J12"/>
  </mergeCells>
  <conditionalFormatting sqref="A15:P62">
    <cfRule type="expression" priority="1" dxfId="2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2026-10-14T04:18:08Z</dcterms:created>
  <dcterms:modified xsi:type="dcterms:W3CDTF">2026-10-14T04:18:09Z</dcterms:modified>
</cp:coreProperties>
</file>