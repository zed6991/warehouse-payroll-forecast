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Data_Actuals" sheetId="3" state="visible" r:id="rId3"/>
    <sheet name="Plan_Inputs" sheetId="4" state="visible" r:id="rId4"/>
    <sheet name="Holidays" sheetId="5" state="visible" r:id="rId5"/>
    <sheet name="Calendar" sheetId="6" state="visible" r:id="rId6"/>
    <sheet name="Checks" sheetId="7" state="visible" r:id="rId7"/>
    <sheet name="National" sheetId="8" state="visible" r:id="rId8"/>
    <sheet name="NSW-1" sheetId="9" state="visible" r:id="rId9"/>
    <sheet name="VIC-1" sheetId="10" state="visible" r:id="rId10"/>
    <sheet name="QLD-1" sheetId="11" state="visible" r:id="rId11"/>
    <sheet name="NSW-2" sheetId="12" state="visible" r:id="rId12"/>
    <sheet name="VIC-2" sheetId="13" state="visible" r:id="rId13"/>
    <sheet name="QLD-2" sheetId="14" state="visible" r:id="rId14"/>
    <sheet name="SA-1" sheetId="15" state="visible" r:id="rId15"/>
    <sheet name="WA-1" sheetId="16" state="visible" r:id="rId16"/>
    <sheet name="IDC-NSW" sheetId="17" state="visible" r:id="rId17"/>
    <sheet name="IDC-VIC" sheetId="18" state="visible" r:id="rId18"/>
  </sheets>
  <definedNames>
    <definedName name="LastActual">Inputs!$B$3</definedName>
    <definedName name="RunRateMonths">Inputs!$B$4</definedName>
    <definedName name="SeasonMonths">Inputs!$B$5</definedName>
    <definedName name="SalesAdj">Inputs!$B$16</definedName>
    <definedName name="CasesAdj">Inputs!$B$17</definedName>
    <definedName name="WageDates">Inputs!$A$21:$A$28</definedName>
    <definedName name="WageRates">Inputs!$B$21:$B$28</definedName>
    <definedName name="PH_Roster">Inputs!$B$31</definedName>
    <definedName name="PH_Loading">Inputs!$B$32</definedName>
    <definedName name="SiteCodes">Inputs!$A$36:$A$45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"/>
    <numFmt numFmtId="165" formatCode="0.0%"/>
    <numFmt numFmtId="166" formatCode="dd-mmm-yy"/>
    <numFmt numFmtId="167" formatCode="0.0000"/>
    <numFmt numFmtId="168" formatCode="0.00000"/>
    <numFmt numFmtId="169" formatCode="$#,##0.00"/>
    <numFmt numFmtId="170" formatCode="#,##0.0,,"/>
    <numFmt numFmtId="171" formatCode="#,##0.00,,"/>
    <numFmt numFmtId="172" formatCode="0.0"/>
    <numFmt numFmtId="173" formatCode="$#,##0.000"/>
    <numFmt numFmtId="174" formatCode="0.000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color rgb="000000FF"/>
    </font>
    <font>
      <b val="1"/>
      <color rgb="00FFFFFF"/>
    </font>
    <font>
      <i val="1"/>
      <color rgb="00808080"/>
    </font>
    <font>
      <i val="1"/>
    </font>
    <font>
      <color rgb="0059595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bottom style="thin">
        <color rgb="001F3864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7" fontId="3" fillId="2" borderId="0" pivotButton="0" quotePrefix="0" xfId="0"/>
    <xf numFmtId="0" fontId="3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165" fontId="3" fillId="2" borderId="0" pivotButton="0" quotePrefix="0" xfId="0"/>
    <xf numFmtId="165" fontId="0" fillId="0" borderId="0" pivotButton="0" quotePrefix="0" xfId="0"/>
    <xf numFmtId="0" fontId="5" fillId="0" borderId="0" pivotButton="0" quotePrefix="0" xfId="0"/>
    <xf numFmtId="17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170" fontId="0" fillId="4" borderId="0" pivotButton="0" quotePrefix="0" xfId="0"/>
    <xf numFmtId="171" fontId="0" fillId="4" borderId="0" pivotButton="0" quotePrefix="0" xfId="0"/>
    <xf numFmtId="3" fontId="0" fillId="4" borderId="0" pivotButton="0" quotePrefix="0" xfId="0"/>
    <xf numFmtId="172" fontId="0" fillId="4" borderId="0" pivotButton="0" quotePrefix="0" xfId="0"/>
    <xf numFmtId="169" fontId="0" fillId="4" borderId="0" pivotButton="0" quotePrefix="0" xfId="0"/>
    <xf numFmtId="173" fontId="0" fillId="4" borderId="0" pivotButton="0" quotePrefix="0" xfId="0"/>
    <xf numFmtId="10" fontId="0" fillId="4" borderId="0" pivotButton="0" quotePrefix="0" xfId="0"/>
    <xf numFmtId="170" fontId="0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1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69" fontId="0" fillId="0" borderId="0" pivotButton="0" quotePrefix="0" xfId="0"/>
    <xf numFmtId="173" fontId="0" fillId="0" borderId="0" pivotButton="0" quotePrefix="0" xfId="0"/>
    <xf numFmtId="17" fontId="0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170" fontId="0" fillId="0" borderId="1" pivotButton="0" quotePrefix="0" xfId="0"/>
    <xf numFmtId="171" fontId="0" fillId="0" borderId="1" pivotButton="0" quotePrefix="0" xfId="0"/>
    <xf numFmtId="3" fontId="0" fillId="0" borderId="1" pivotButton="0" quotePrefix="0" xfId="0"/>
    <xf numFmtId="172" fontId="0" fillId="0" borderId="1" pivotButton="0" quotePrefix="0" xfId="0"/>
    <xf numFmtId="169" fontId="0" fillId="0" borderId="1" pivotButton="0" quotePrefix="0" xfId="0"/>
    <xf numFmtId="173" fontId="0" fillId="0" borderId="1" pivotButton="0" quotePrefix="0" xfId="0"/>
    <xf numFmtId="10" fontId="0" fillId="0" borderId="1" pivotButton="0" quotePrefix="0" xfId="0"/>
    <xf numFmtId="168" fontId="1" fillId="0" borderId="0" pivotButton="0" quotePrefix="0" xfId="0"/>
    <xf numFmtId="169" fontId="1" fillId="0" borderId="0" pivotButton="0" quotePrefix="0" xfId="0"/>
    <xf numFmtId="10" fontId="1" fillId="0" borderId="0" pivotButton="0" quotePrefix="0" xfId="0"/>
    <xf numFmtId="0" fontId="4" fillId="5" borderId="0" applyAlignment="1" pivotButton="0" quotePrefix="0" xfId="0">
      <alignment horizontal="center" vertical="center" wrapText="1"/>
    </xf>
    <xf numFmtId="3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0" fontId="7" fillId="0" borderId="0" pivotButton="0" quotePrefix="0" xfId="0"/>
    <xf numFmtId="167" fontId="7" fillId="0" borderId="0" pivotButton="0" quotePrefix="0" xfId="0"/>
    <xf numFmtId="174" fontId="7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Warehouse payroll forecast model</t>
        </is>
      </c>
    </row>
    <row r="2">
      <c r="A2" t="inlineStr">
        <is>
          <t>Synthetic data only. Monthly, Jan 2025 to Dec 2028.</t>
        </is>
      </c>
    </row>
    <row r="3">
      <c r="A3" t="inlineStr"/>
    </row>
    <row r="4">
      <c r="A4" s="1" t="inlineStr">
        <is>
          <t>HOW TO UPDATE ACTUALS</t>
        </is>
      </c>
    </row>
    <row r="5">
      <c r="A5" t="inlineStr">
        <is>
          <t>1. Paste the new actuals over the rows in Data_Actuals (keep the header and column order). One row per site per month.</t>
        </is>
      </c>
    </row>
    <row r="6">
      <c r="A6" t="inlineStr">
        <is>
          <t xml:space="preserve">   Months must be the 1st of the month. IDC rows leave Sales blank.</t>
        </is>
      </c>
    </row>
    <row r="7">
      <c r="A7" t="inlineStr">
        <is>
          <t>2. Set 'Last actual month' on the Inputs tab. Every tab switches actual/forecast from that date.</t>
        </is>
      </c>
    </row>
    <row r="8">
      <c r="A8" t="inlineStr">
        <is>
          <t>3. Paste the plan (sales forecast + payroll % of sales) into Plan_Inputs, same layout.</t>
        </is>
      </c>
    </row>
    <row r="9">
      <c r="A9" t="inlineStr">
        <is>
          <t>4. Check the Checks tab says ALL CHECKS OK.</t>
        </is>
      </c>
    </row>
    <row r="10">
      <c r="A10" t="inlineStr"/>
    </row>
    <row r="11">
      <c r="A11" s="1" t="inlineStr">
        <is>
          <t>FORECAST LOGIC (per site, per month)</t>
        </is>
      </c>
    </row>
    <row r="12">
      <c r="A12" t="inlineStr">
        <is>
          <t>Sales = plan sales x (1 + scenario sales lever). IDCs use their host region's sales (IDC-NSW = NSW-1, IDC-VIC = VIC-1).</t>
        </is>
      </c>
    </row>
    <row r="13">
      <c r="A13" t="inlineStr">
        <is>
          <t>Total payroll = sales x plan payroll % (the driver).</t>
        </is>
      </c>
    </row>
    <row r="14">
      <c r="A14" t="inlineStr">
        <is>
          <t>Leadership = sales x leadership % run rate.  Staff payroll = total payroll - leadership.</t>
        </is>
      </c>
    </row>
    <row r="15">
      <c r="A15" t="inlineStr">
        <is>
          <t>Cost per hour = run rate x public-holiday factor x wage index.  Hours = staff payroll / cost per hour.</t>
        </is>
      </c>
    </row>
    <row r="16">
      <c r="A16" t="inlineStr">
        <is>
          <t>Cases = sales x cases-per-$ run rate x (1 + scenario cases lever).</t>
        </is>
      </c>
    </row>
    <row r="17">
      <c r="A17" t="inlineStr">
        <is>
          <t>CPLH = cases / hours.  Cost per case = staff payroll / cases (excludes leadership).</t>
        </is>
      </c>
    </row>
    <row r="18">
      <c r="A18" t="inlineStr"/>
    </row>
    <row r="19">
      <c r="A19" s="1" t="inlineStr">
        <is>
          <t>RUN RATES (cases per $ sales, cost per hour, leadership %)</t>
        </is>
      </c>
    </row>
    <row r="20">
      <c r="A20" t="inlineStr">
        <is>
          <t>Seasonal index = each calendar month vs the average over the last 12 actual months.</t>
        </is>
      </c>
    </row>
    <row r="21">
      <c r="A21" t="inlineStr">
        <is>
          <t>Level = average of the last 6 actual months / average seasonal index of those months.</t>
        </is>
      </c>
    </row>
    <row r="22">
      <c r="A22" t="inlineStr">
        <is>
          <t>Forecast = level x seasonal index, so the last 6 months set the level and last year sets the shape.</t>
        </is>
      </c>
    </row>
    <row r="23">
      <c r="A23" t="inlineStr">
        <is>
          <t>Cost per hour is first stripped of public-holiday and wage effects, then they are added back for each forecast month.</t>
        </is>
      </c>
    </row>
    <row r="24">
      <c r="A24" t="inlineStr">
        <is>
          <t>So Easter moving from April to March, or an extra holiday, changes cost per hour in that month.</t>
        </is>
      </c>
    </row>
    <row r="25">
      <c r="A25" t="inlineStr"/>
    </row>
    <row r="26">
      <c r="A26" s="1" t="inlineStr">
        <is>
          <t>NATIONAL</t>
        </is>
      </c>
    </row>
    <row r="27">
      <c r="A27" t="inlineStr">
        <is>
          <t>Sales = 8 regions only (IDC sales are a copy of NSW-1/VIC-1 and are excluded). Cases, hours and payroll = all 10 sites.</t>
        </is>
      </c>
    </row>
    <row r="28">
      <c r="A28" t="inlineStr"/>
    </row>
    <row r="29">
      <c r="A29" s="1" t="inlineStr">
        <is>
          <t>COLOURS</t>
        </is>
      </c>
    </row>
    <row r="30">
      <c r="A30" t="inlineStr">
        <is>
          <t>Yellow cells with blue text are inputs. Blue-shaded rows are forecast months. Grey columns are helper calculations.</t>
        </is>
      </c>
    </row>
    <row r="31">
      <c r="A31" t="inlineStr">
        <is>
          <t>Public holidays are generated by rule; check against the official state lists (AFL Grand Final Friday in particular).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2" t="inlineStr">
        <is>
          <t>Inputs</t>
        </is>
      </c>
    </row>
    <row r="3">
      <c r="A3" t="inlineStr">
        <is>
          <t>Last actual month</t>
        </is>
      </c>
      <c r="B3" s="3" t="n">
        <v>46266</v>
      </c>
    </row>
    <row r="4">
      <c r="A4" t="inlineStr">
        <is>
          <t>Run-rate months (level)</t>
        </is>
      </c>
      <c r="B4" s="4" t="n">
        <v>6</v>
      </c>
    </row>
    <row r="5">
      <c r="A5" t="inlineStr">
        <is>
          <t>Seasonality window (months)</t>
        </is>
      </c>
      <c r="B5" s="4" t="n">
        <v>12</v>
      </c>
    </row>
    <row r="6">
      <c r="A6" t="inlineStr">
        <is>
          <t>Model status</t>
        </is>
      </c>
      <c r="B6" s="1">
        <f>Checks!B3</f>
        <v/>
      </c>
    </row>
    <row r="8">
      <c r="A8" s="1" t="inlineStr">
        <is>
          <t>Scenario</t>
        </is>
      </c>
    </row>
    <row r="9">
      <c r="A9" t="inlineStr">
        <is>
          <t>Selected scenario</t>
        </is>
      </c>
      <c r="B9" s="4" t="inlineStr">
        <is>
          <t>Base</t>
        </is>
      </c>
    </row>
    <row r="11">
      <c r="A11" s="5" t="inlineStr">
        <is>
          <t>Scenario</t>
        </is>
      </c>
      <c r="B11" s="5" t="inlineStr">
        <is>
          <t>Sales lever</t>
        </is>
      </c>
      <c r="C11" s="5" t="inlineStr">
        <is>
          <t>Cases lever</t>
        </is>
      </c>
    </row>
    <row r="12">
      <c r="A12" t="inlineStr">
        <is>
          <t>Base</t>
        </is>
      </c>
      <c r="B12" s="6" t="n">
        <v>0</v>
      </c>
      <c r="C12" s="6" t="n">
        <v>0</v>
      </c>
    </row>
    <row r="13">
      <c r="A13" t="inlineStr">
        <is>
          <t>Upside</t>
        </is>
      </c>
      <c r="B13" s="6" t="n">
        <v>0.03</v>
      </c>
      <c r="C13" s="6" t="n">
        <v>0.02</v>
      </c>
    </row>
    <row r="14">
      <c r="A14" t="inlineStr">
        <is>
          <t>Downside</t>
        </is>
      </c>
      <c r="B14" s="6" t="n">
        <v>-0.03</v>
      </c>
      <c r="C14" s="6" t="n">
        <v>-0.02</v>
      </c>
    </row>
    <row r="16">
      <c r="A16" t="inlineStr">
        <is>
          <t>Sales lever (active)</t>
        </is>
      </c>
      <c r="B16" s="7">
        <f>INDEX($B$12:$B$14,MATCH($B$9,$A$12:$A$14,0))</f>
        <v/>
      </c>
    </row>
    <row r="17">
      <c r="A17" t="inlineStr">
        <is>
          <t>Cases lever (active)</t>
        </is>
      </c>
      <c r="B17" s="7">
        <f>INDEX($C$12:$C$14,MATCH($B$9,$A$12:$A$14,0))</f>
        <v/>
      </c>
    </row>
    <row r="19">
      <c r="A19" s="1" t="inlineStr">
        <is>
          <t>Wage increases (applied to cost per hour)</t>
        </is>
      </c>
    </row>
    <row r="20">
      <c r="A20" s="5" t="inlineStr">
        <is>
          <t>Effective month</t>
        </is>
      </c>
      <c r="B20" s="5" t="inlineStr">
        <is>
          <t>Increase</t>
        </is>
      </c>
    </row>
    <row r="21">
      <c r="A21" s="3" t="n">
        <v>46023</v>
      </c>
      <c r="B21" s="6" t="n">
        <v>0.04</v>
      </c>
      <c r="C21" s="8" t="inlineStr">
        <is>
          <t>History row: lets the model strip past increases out of actual cost per hour. Replace with your real ones.</t>
        </is>
      </c>
    </row>
    <row r="22">
      <c r="A22" s="3" t="n">
        <v>46388</v>
      </c>
      <c r="B22" s="6" t="n">
        <v>0.045</v>
      </c>
    </row>
    <row r="23">
      <c r="A23" s="3" t="n">
        <v>46753</v>
      </c>
      <c r="B23" s="6" t="n">
        <v>0.045</v>
      </c>
    </row>
    <row r="24">
      <c r="A24" s="3" t="n"/>
      <c r="B24" s="6" t="n"/>
    </row>
    <row r="25">
      <c r="A25" s="3" t="n"/>
      <c r="B25" s="6" t="n"/>
    </row>
    <row r="26">
      <c r="A26" s="3" t="n"/>
      <c r="B26" s="6" t="n"/>
    </row>
    <row r="27">
      <c r="A27" s="3" t="n"/>
      <c r="B27" s="6" t="n"/>
    </row>
    <row r="28">
      <c r="A28" s="3" t="n"/>
      <c r="B28" s="6" t="n"/>
    </row>
    <row r="30">
      <c r="A30" s="1" t="inlineStr">
        <is>
          <t>Public holidays</t>
        </is>
      </c>
    </row>
    <row r="31">
      <c r="A31" t="inlineStr">
        <is>
          <t>Share of normal hours worked on a PH</t>
        </is>
      </c>
      <c r="B31" s="4" t="n">
        <v>0.5</v>
      </c>
    </row>
    <row r="32">
      <c r="A32" t="inlineStr">
        <is>
          <t>PH pay loading (1.5 = paid 250%)</t>
        </is>
      </c>
      <c r="B32" s="4" t="n">
        <v>1.5</v>
      </c>
    </row>
    <row r="34">
      <c r="A34" s="1" t="inlineStr">
        <is>
          <t>Sites</t>
        </is>
      </c>
    </row>
    <row r="35">
      <c r="A35" s="5" t="inlineStr">
        <is>
          <t>Code</t>
        </is>
      </c>
      <c r="B35" s="5" t="inlineStr">
        <is>
          <t>Type</t>
        </is>
      </c>
      <c r="C35" s="5" t="inlineStr">
        <is>
          <t>State</t>
        </is>
      </c>
      <c r="D35" s="5" t="inlineStr">
        <is>
          <t>Sales source</t>
        </is>
      </c>
      <c r="E35" s="5" t="inlineStr">
        <is>
          <t>In national sales?</t>
        </is>
      </c>
    </row>
    <row r="36">
      <c r="A36" t="inlineStr">
        <is>
          <t>NSW-1</t>
        </is>
      </c>
      <c r="B36" t="inlineStr">
        <is>
          <t>Region</t>
        </is>
      </c>
      <c r="C36" t="inlineStr">
        <is>
          <t>NSW</t>
        </is>
      </c>
      <c r="D36" t="inlineStr">
        <is>
          <t>NSW-1</t>
        </is>
      </c>
      <c r="E36" t="inlineStr">
        <is>
          <t>Yes</t>
        </is>
      </c>
    </row>
    <row r="37">
      <c r="A37" t="inlineStr">
        <is>
          <t>VIC-1</t>
        </is>
      </c>
      <c r="B37" t="inlineStr">
        <is>
          <t>Region</t>
        </is>
      </c>
      <c r="C37" t="inlineStr">
        <is>
          <t>VIC</t>
        </is>
      </c>
      <c r="D37" t="inlineStr">
        <is>
          <t>VIC-1</t>
        </is>
      </c>
      <c r="E37" t="inlineStr">
        <is>
          <t>Yes</t>
        </is>
      </c>
    </row>
    <row r="38">
      <c r="A38" t="inlineStr">
        <is>
          <t>QLD-1</t>
        </is>
      </c>
      <c r="B38" t="inlineStr">
        <is>
          <t>Region</t>
        </is>
      </c>
      <c r="C38" t="inlineStr">
        <is>
          <t>QLD</t>
        </is>
      </c>
      <c r="D38" t="inlineStr">
        <is>
          <t>QLD-1</t>
        </is>
      </c>
      <c r="E38" t="inlineStr">
        <is>
          <t>Yes</t>
        </is>
      </c>
    </row>
    <row r="39">
      <c r="A39" t="inlineStr">
        <is>
          <t>NSW-2</t>
        </is>
      </c>
      <c r="B39" t="inlineStr">
        <is>
          <t>Region</t>
        </is>
      </c>
      <c r="C39" t="inlineStr">
        <is>
          <t>NSW</t>
        </is>
      </c>
      <c r="D39" t="inlineStr">
        <is>
          <t>NSW-2</t>
        </is>
      </c>
      <c r="E39" t="inlineStr">
        <is>
          <t>Yes</t>
        </is>
      </c>
    </row>
    <row r="40">
      <c r="A40" t="inlineStr">
        <is>
          <t>VIC-2</t>
        </is>
      </c>
      <c r="B40" t="inlineStr">
        <is>
          <t>Region</t>
        </is>
      </c>
      <c r="C40" t="inlineStr">
        <is>
          <t>VIC</t>
        </is>
      </c>
      <c r="D40" t="inlineStr">
        <is>
          <t>VIC-2</t>
        </is>
      </c>
      <c r="E40" t="inlineStr">
        <is>
          <t>Yes</t>
        </is>
      </c>
    </row>
    <row r="41">
      <c r="A41" t="inlineStr">
        <is>
          <t>QLD-2</t>
        </is>
      </c>
      <c r="B41" t="inlineStr">
        <is>
          <t>Region</t>
        </is>
      </c>
      <c r="C41" t="inlineStr">
        <is>
          <t>QLD</t>
        </is>
      </c>
      <c r="D41" t="inlineStr">
        <is>
          <t>QLD-2</t>
        </is>
      </c>
      <c r="E41" t="inlineStr">
        <is>
          <t>Yes</t>
        </is>
      </c>
    </row>
    <row r="42">
      <c r="A42" t="inlineStr">
        <is>
          <t>SA-1</t>
        </is>
      </c>
      <c r="B42" t="inlineStr">
        <is>
          <t>Region</t>
        </is>
      </c>
      <c r="C42" t="inlineStr">
        <is>
          <t>SA</t>
        </is>
      </c>
      <c r="D42" t="inlineStr">
        <is>
          <t>SA-1</t>
        </is>
      </c>
      <c r="E42" t="inlineStr">
        <is>
          <t>Yes</t>
        </is>
      </c>
    </row>
    <row r="43">
      <c r="A43" t="inlineStr">
        <is>
          <t>WA-1</t>
        </is>
      </c>
      <c r="B43" t="inlineStr">
        <is>
          <t>Region</t>
        </is>
      </c>
      <c r="C43" t="inlineStr">
        <is>
          <t>WA</t>
        </is>
      </c>
      <c r="D43" t="inlineStr">
        <is>
          <t>WA-1</t>
        </is>
      </c>
      <c r="E43" t="inlineStr">
        <is>
          <t>Yes</t>
        </is>
      </c>
    </row>
    <row r="44">
      <c r="A44" t="inlineStr">
        <is>
          <t>IDC-NSW</t>
        </is>
      </c>
      <c r="B44" t="inlineStr">
        <is>
          <t>IDC</t>
        </is>
      </c>
      <c r="C44" t="inlineStr">
        <is>
          <t>NSW</t>
        </is>
      </c>
      <c r="D44" t="inlineStr">
        <is>
          <t>NSW-1</t>
        </is>
      </c>
      <c r="E44" t="inlineStr">
        <is>
          <t>No</t>
        </is>
      </c>
    </row>
    <row r="45">
      <c r="A45" t="inlineStr">
        <is>
          <t>IDC-VIC</t>
        </is>
      </c>
      <c r="B45" t="inlineStr">
        <is>
          <t>IDC</t>
        </is>
      </c>
      <c r="C45" t="inlineStr">
        <is>
          <t>VIC</t>
        </is>
      </c>
      <c r="D45" t="inlineStr">
        <is>
          <t>VIC-1</t>
        </is>
      </c>
      <c r="E45" t="inlineStr">
        <is>
          <t>No</t>
        </is>
      </c>
    </row>
  </sheetData>
  <dataValidations count="1">
    <dataValidation sqref="B9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G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5" t="inlineStr">
        <is>
          <t>Month</t>
        </is>
      </c>
      <c r="B1" s="5" t="inlineStr">
        <is>
          <t>Site</t>
        </is>
      </c>
      <c r="C1" s="5" t="inlineStr">
        <is>
          <t>Sales $</t>
        </is>
      </c>
      <c r="D1" s="5" t="inlineStr">
        <is>
          <t>Cases picked</t>
        </is>
      </c>
      <c r="E1" s="5" t="inlineStr">
        <is>
          <t>WH hours worked</t>
        </is>
      </c>
      <c r="F1" s="5" t="inlineStr">
        <is>
          <t>Staff payroll $</t>
        </is>
      </c>
      <c r="G1" s="5" t="inlineStr">
        <is>
          <t>Leadership payroll $</t>
        </is>
      </c>
    </row>
    <row r="2">
      <c r="A2" s="9" t="n">
        <v>45658</v>
      </c>
      <c r="B2" s="10" t="inlineStr">
        <is>
          <t>NSW-1</t>
        </is>
      </c>
      <c r="C2" s="10" t="n">
        <v>145185523</v>
      </c>
      <c r="D2" s="10" t="n">
        <v>3043624</v>
      </c>
      <c r="E2" s="10" t="n">
        <v>40295</v>
      </c>
      <c r="F2" s="10" t="n">
        <v>2808121</v>
      </c>
      <c r="G2" s="10" t="n">
        <v>319183</v>
      </c>
    </row>
    <row r="3">
      <c r="A3" s="9" t="n">
        <v>45658</v>
      </c>
      <c r="B3" s="10" t="inlineStr">
        <is>
          <t>VIC-1</t>
        </is>
      </c>
      <c r="C3" s="10" t="n">
        <v>133443243</v>
      </c>
      <c r="D3" s="10" t="n">
        <v>2887489</v>
      </c>
      <c r="E3" s="10" t="n">
        <v>38547</v>
      </c>
      <c r="F3" s="10" t="n">
        <v>2623810</v>
      </c>
      <c r="G3" s="10" t="n">
        <v>302699</v>
      </c>
    </row>
    <row r="4">
      <c r="A4" s="9" t="n">
        <v>45658</v>
      </c>
      <c r="B4" s="10" t="inlineStr">
        <is>
          <t>QLD-1</t>
        </is>
      </c>
      <c r="C4" s="10" t="n">
        <v>111417052</v>
      </c>
      <c r="D4" s="10" t="n">
        <v>2452995</v>
      </c>
      <c r="E4" s="10" t="n">
        <v>34693</v>
      </c>
      <c r="F4" s="10" t="n">
        <v>2319628</v>
      </c>
      <c r="G4" s="10" t="n">
        <v>267794</v>
      </c>
    </row>
    <row r="5">
      <c r="A5" s="9" t="n">
        <v>45658</v>
      </c>
      <c r="B5" s="10" t="inlineStr">
        <is>
          <t>NSW-2</t>
        </is>
      </c>
      <c r="C5" s="10" t="n">
        <v>125154901</v>
      </c>
      <c r="D5" s="10" t="n">
        <v>2690106</v>
      </c>
      <c r="E5" s="10" t="n">
        <v>36126</v>
      </c>
      <c r="F5" s="10" t="n">
        <v>2481070</v>
      </c>
      <c r="G5" s="10" t="n">
        <v>301012</v>
      </c>
    </row>
    <row r="6">
      <c r="A6" s="9" t="n">
        <v>45658</v>
      </c>
      <c r="B6" s="10" t="inlineStr">
        <is>
          <t>VIC-2</t>
        </is>
      </c>
      <c r="C6" s="10" t="n">
        <v>129729431</v>
      </c>
      <c r="D6" s="10" t="n">
        <v>2666780</v>
      </c>
      <c r="E6" s="10" t="n">
        <v>34264</v>
      </c>
      <c r="F6" s="10" t="n">
        <v>2298653</v>
      </c>
      <c r="G6" s="10" t="n">
        <v>303403</v>
      </c>
    </row>
    <row r="7">
      <c r="A7" s="9" t="n">
        <v>45658</v>
      </c>
      <c r="B7" s="10" t="inlineStr">
        <is>
          <t>QLD-2</t>
        </is>
      </c>
      <c r="C7" s="10" t="n">
        <v>117129351</v>
      </c>
      <c r="D7" s="10" t="n">
        <v>2537615</v>
      </c>
      <c r="E7" s="10" t="n">
        <v>35430</v>
      </c>
      <c r="F7" s="10" t="n">
        <v>2331622</v>
      </c>
      <c r="G7" s="10" t="n">
        <v>266309</v>
      </c>
    </row>
    <row r="8">
      <c r="A8" s="9" t="n">
        <v>45658</v>
      </c>
      <c r="B8" s="10" t="inlineStr">
        <is>
          <t>SA-1</t>
        </is>
      </c>
      <c r="C8" s="10" t="n">
        <v>78517402</v>
      </c>
      <c r="D8" s="10" t="n">
        <v>1794006</v>
      </c>
      <c r="E8" s="10" t="n">
        <v>26280</v>
      </c>
      <c r="F8" s="10" t="n">
        <v>1687827</v>
      </c>
      <c r="G8" s="10" t="n">
        <v>204809</v>
      </c>
    </row>
    <row r="9">
      <c r="A9" s="9" t="n">
        <v>45658</v>
      </c>
      <c r="B9" s="10" t="inlineStr">
        <is>
          <t>WA-1</t>
        </is>
      </c>
      <c r="C9" s="10" t="n">
        <v>99253181</v>
      </c>
      <c r="D9" s="10" t="n">
        <v>2212340</v>
      </c>
      <c r="E9" s="10" t="n">
        <v>31507</v>
      </c>
      <c r="F9" s="10" t="n">
        <v>2336629</v>
      </c>
      <c r="G9" s="10" t="n">
        <v>248935</v>
      </c>
    </row>
    <row r="10">
      <c r="A10" s="9" t="n">
        <v>45658</v>
      </c>
      <c r="B10" s="10" t="inlineStr">
        <is>
          <t>IDC-NSW</t>
        </is>
      </c>
      <c r="C10" s="10" t="n"/>
      <c r="D10" s="10" t="n">
        <v>874565</v>
      </c>
      <c r="E10" s="10" t="n">
        <v>8325</v>
      </c>
      <c r="F10" s="10" t="n">
        <v>606116</v>
      </c>
      <c r="G10" s="10" t="n">
        <v>149724</v>
      </c>
    </row>
    <row r="11">
      <c r="A11" s="9" t="n">
        <v>45658</v>
      </c>
      <c r="B11" s="10" t="inlineStr">
        <is>
          <t>IDC-VIC</t>
        </is>
      </c>
      <c r="C11" s="10" t="n"/>
      <c r="D11" s="10" t="n">
        <v>742637</v>
      </c>
      <c r="E11" s="10" t="n">
        <v>7284</v>
      </c>
      <c r="F11" s="10" t="n">
        <v>522875</v>
      </c>
      <c r="G11" s="10" t="n">
        <v>142777</v>
      </c>
    </row>
    <row r="12">
      <c r="A12" s="9" t="n">
        <v>45689</v>
      </c>
      <c r="B12" s="10" t="inlineStr">
        <is>
          <t>NSW-1</t>
        </is>
      </c>
      <c r="C12" s="10" t="n">
        <v>132346726</v>
      </c>
      <c r="D12" s="10" t="n">
        <v>2785007</v>
      </c>
      <c r="E12" s="10" t="n">
        <v>36181</v>
      </c>
      <c r="F12" s="10" t="n">
        <v>2383806</v>
      </c>
      <c r="G12" s="10" t="n">
        <v>320742</v>
      </c>
    </row>
    <row r="13">
      <c r="A13" s="9" t="n">
        <v>45689</v>
      </c>
      <c r="B13" s="10" t="inlineStr">
        <is>
          <t>VIC-1</t>
        </is>
      </c>
      <c r="C13" s="10" t="n">
        <v>129246596</v>
      </c>
      <c r="D13" s="10" t="n">
        <v>2777283</v>
      </c>
      <c r="E13" s="10" t="n">
        <v>34519</v>
      </c>
      <c r="F13" s="10" t="n">
        <v>2236585</v>
      </c>
      <c r="G13" s="10" t="n">
        <v>295534</v>
      </c>
    </row>
    <row r="14">
      <c r="A14" s="9" t="n">
        <v>45689</v>
      </c>
      <c r="B14" s="10" t="inlineStr">
        <is>
          <t>QLD-1</t>
        </is>
      </c>
      <c r="C14" s="10" t="n">
        <v>100727414</v>
      </c>
      <c r="D14" s="10" t="n">
        <v>2181145</v>
      </c>
      <c r="E14" s="10" t="n">
        <v>29392</v>
      </c>
      <c r="F14" s="10" t="n">
        <v>1832372</v>
      </c>
      <c r="G14" s="10" t="n">
        <v>257979</v>
      </c>
    </row>
    <row r="15">
      <c r="A15" s="9" t="n">
        <v>45689</v>
      </c>
      <c r="B15" s="10" t="inlineStr">
        <is>
          <t>NSW-2</t>
        </is>
      </c>
      <c r="C15" s="10" t="n">
        <v>110794435</v>
      </c>
      <c r="D15" s="10" t="n">
        <v>2337164</v>
      </c>
      <c r="E15" s="10" t="n">
        <v>31366</v>
      </c>
      <c r="F15" s="10" t="n">
        <v>2097121</v>
      </c>
      <c r="G15" s="10" t="n">
        <v>282353</v>
      </c>
    </row>
    <row r="16">
      <c r="A16" s="9" t="n">
        <v>45689</v>
      </c>
      <c r="B16" s="10" t="inlineStr">
        <is>
          <t>VIC-2</t>
        </is>
      </c>
      <c r="C16" s="10" t="n">
        <v>122688392</v>
      </c>
      <c r="D16" s="10" t="n">
        <v>2600981</v>
      </c>
      <c r="E16" s="10" t="n">
        <v>33068</v>
      </c>
      <c r="F16" s="10" t="n">
        <v>2113994</v>
      </c>
      <c r="G16" s="10" t="n">
        <v>294983</v>
      </c>
    </row>
    <row r="17">
      <c r="A17" s="9" t="n">
        <v>45689</v>
      </c>
      <c r="B17" s="10" t="inlineStr">
        <is>
          <t>QLD-2</t>
        </is>
      </c>
      <c r="C17" s="10" t="n">
        <v>109162992</v>
      </c>
      <c r="D17" s="10" t="n">
        <v>2365350</v>
      </c>
      <c r="E17" s="10" t="n">
        <v>31471</v>
      </c>
      <c r="F17" s="10" t="n">
        <v>1991983</v>
      </c>
      <c r="G17" s="10" t="n">
        <v>275619</v>
      </c>
    </row>
    <row r="18">
      <c r="A18" s="9" t="n">
        <v>45689</v>
      </c>
      <c r="B18" s="10" t="inlineStr">
        <is>
          <t>SA-1</t>
        </is>
      </c>
      <c r="C18" s="10" t="n">
        <v>70749655</v>
      </c>
      <c r="D18" s="10" t="n">
        <v>1615239</v>
      </c>
      <c r="E18" s="10" t="n">
        <v>22417</v>
      </c>
      <c r="F18" s="10" t="n">
        <v>1358641</v>
      </c>
      <c r="G18" s="10" t="n">
        <v>210920</v>
      </c>
    </row>
    <row r="19">
      <c r="A19" s="9" t="n">
        <v>45689</v>
      </c>
      <c r="B19" s="10" t="inlineStr">
        <is>
          <t>WA-1</t>
        </is>
      </c>
      <c r="C19" s="10" t="n">
        <v>94123598</v>
      </c>
      <c r="D19" s="10" t="n">
        <v>2117036</v>
      </c>
      <c r="E19" s="10" t="n">
        <v>29338</v>
      </c>
      <c r="F19" s="10" t="n">
        <v>2028412</v>
      </c>
      <c r="G19" s="10" t="n">
        <v>245629</v>
      </c>
    </row>
    <row r="20">
      <c r="A20" s="9" t="n">
        <v>45689</v>
      </c>
      <c r="B20" s="10" t="inlineStr">
        <is>
          <t>IDC-NSW</t>
        </is>
      </c>
      <c r="C20" s="10" t="n"/>
      <c r="D20" s="10" t="n">
        <v>801341</v>
      </c>
      <c r="E20" s="10" t="n">
        <v>7309</v>
      </c>
      <c r="F20" s="10" t="n">
        <v>513637</v>
      </c>
      <c r="G20" s="10" t="n">
        <v>145495</v>
      </c>
    </row>
    <row r="21">
      <c r="A21" s="9" t="n">
        <v>45689</v>
      </c>
      <c r="B21" s="10" t="inlineStr">
        <is>
          <t>IDC-VIC</t>
        </is>
      </c>
      <c r="C21" s="10" t="n"/>
      <c r="D21" s="10" t="n">
        <v>705051</v>
      </c>
      <c r="E21" s="10" t="n">
        <v>6901</v>
      </c>
      <c r="F21" s="10" t="n">
        <v>471113</v>
      </c>
      <c r="G21" s="10" t="n">
        <v>140341</v>
      </c>
    </row>
    <row r="22">
      <c r="A22" s="9" t="n">
        <v>45717</v>
      </c>
      <c r="B22" s="10" t="inlineStr">
        <is>
          <t>NSW-1</t>
        </is>
      </c>
      <c r="C22" s="10" t="n">
        <v>151388181</v>
      </c>
      <c r="D22" s="10" t="n">
        <v>3208052</v>
      </c>
      <c r="E22" s="10" t="n">
        <v>40660</v>
      </c>
      <c r="F22" s="10" t="n">
        <v>2685948</v>
      </c>
      <c r="G22" s="10" t="n">
        <v>315275</v>
      </c>
    </row>
    <row r="23">
      <c r="A23" s="9" t="n">
        <v>45717</v>
      </c>
      <c r="B23" s="10" t="inlineStr">
        <is>
          <t>VIC-1</t>
        </is>
      </c>
      <c r="C23" s="10" t="n">
        <v>139380637</v>
      </c>
      <c r="D23" s="10" t="n">
        <v>3034799</v>
      </c>
      <c r="E23" s="10" t="n">
        <v>37316</v>
      </c>
      <c r="F23" s="10" t="n">
        <v>2494850</v>
      </c>
      <c r="G23" s="10" t="n">
        <v>319982</v>
      </c>
    </row>
    <row r="24">
      <c r="A24" s="9" t="n">
        <v>45717</v>
      </c>
      <c r="B24" s="10" t="inlineStr">
        <is>
          <t>QLD-1</t>
        </is>
      </c>
      <c r="C24" s="10" t="n">
        <v>115886017</v>
      </c>
      <c r="D24" s="10" t="n">
        <v>2560673</v>
      </c>
      <c r="E24" s="10" t="n">
        <v>34662</v>
      </c>
      <c r="F24" s="10" t="n">
        <v>2185396</v>
      </c>
      <c r="G24" s="10" t="n">
        <v>255961</v>
      </c>
    </row>
    <row r="25">
      <c r="A25" s="9" t="n">
        <v>45717</v>
      </c>
      <c r="B25" s="10" t="inlineStr">
        <is>
          <t>NSW-2</t>
        </is>
      </c>
      <c r="C25" s="10" t="n">
        <v>123027509</v>
      </c>
      <c r="D25" s="10" t="n">
        <v>2608583</v>
      </c>
      <c r="E25" s="10" t="n">
        <v>33988</v>
      </c>
      <c r="F25" s="10" t="n">
        <v>2237477</v>
      </c>
      <c r="G25" s="10" t="n">
        <v>273167</v>
      </c>
    </row>
    <row r="26">
      <c r="A26" s="9" t="n">
        <v>45717</v>
      </c>
      <c r="B26" s="10" t="inlineStr">
        <is>
          <t>VIC-2</t>
        </is>
      </c>
      <c r="C26" s="10" t="n">
        <v>135907959</v>
      </c>
      <c r="D26" s="10" t="n">
        <v>2829800</v>
      </c>
      <c r="E26" s="10" t="n">
        <v>35242</v>
      </c>
      <c r="F26" s="10" t="n">
        <v>2310290</v>
      </c>
      <c r="G26" s="10" t="n">
        <v>298020</v>
      </c>
    </row>
    <row r="27">
      <c r="A27" s="9" t="n">
        <v>45717</v>
      </c>
      <c r="B27" s="10" t="inlineStr">
        <is>
          <t>QLD-2</t>
        </is>
      </c>
      <c r="C27" s="10" t="n">
        <v>122320621</v>
      </c>
      <c r="D27" s="10" t="n">
        <v>2680744</v>
      </c>
      <c r="E27" s="10" t="n">
        <v>35277</v>
      </c>
      <c r="F27" s="10" t="n">
        <v>2213243</v>
      </c>
      <c r="G27" s="10" t="n">
        <v>268586</v>
      </c>
    </row>
    <row r="28">
      <c r="A28" s="9" t="n">
        <v>45717</v>
      </c>
      <c r="B28" s="10" t="inlineStr">
        <is>
          <t>SA-1</t>
        </is>
      </c>
      <c r="C28" s="10" t="n">
        <v>81234768</v>
      </c>
      <c r="D28" s="10" t="n">
        <v>1826489</v>
      </c>
      <c r="E28" s="10" t="n">
        <v>24500</v>
      </c>
      <c r="F28" s="10" t="n">
        <v>1538671</v>
      </c>
      <c r="G28" s="10" t="n">
        <v>197429</v>
      </c>
    </row>
    <row r="29">
      <c r="A29" s="9" t="n">
        <v>45717</v>
      </c>
      <c r="B29" s="10" t="inlineStr">
        <is>
          <t>WA-1</t>
        </is>
      </c>
      <c r="C29" s="10" t="n">
        <v>108067323</v>
      </c>
      <c r="D29" s="10" t="n">
        <v>2388750</v>
      </c>
      <c r="E29" s="10" t="n">
        <v>32485</v>
      </c>
      <c r="F29" s="10" t="n">
        <v>2317422</v>
      </c>
      <c r="G29" s="10" t="n">
        <v>248477</v>
      </c>
    </row>
    <row r="30">
      <c r="A30" s="9" t="n">
        <v>45717</v>
      </c>
      <c r="B30" s="10" t="inlineStr">
        <is>
          <t>IDC-NSW</t>
        </is>
      </c>
      <c r="C30" s="10" t="n"/>
      <c r="D30" s="10" t="n">
        <v>892801</v>
      </c>
      <c r="E30" s="10" t="n">
        <v>7969</v>
      </c>
      <c r="F30" s="10" t="n">
        <v>557361</v>
      </c>
      <c r="G30" s="10" t="n">
        <v>146059</v>
      </c>
    </row>
    <row r="31">
      <c r="A31" s="9" t="n">
        <v>45717</v>
      </c>
      <c r="B31" s="10" t="inlineStr">
        <is>
          <t>IDC-VIC</t>
        </is>
      </c>
      <c r="C31" s="10" t="n"/>
      <c r="D31" s="10" t="n">
        <v>774342</v>
      </c>
      <c r="E31" s="10" t="n">
        <v>7357</v>
      </c>
      <c r="F31" s="10" t="n">
        <v>524425</v>
      </c>
      <c r="G31" s="10" t="n">
        <v>140256</v>
      </c>
    </row>
    <row r="32">
      <c r="A32" s="9" t="n">
        <v>45748</v>
      </c>
      <c r="B32" s="10" t="inlineStr">
        <is>
          <t>NSW-1</t>
        </is>
      </c>
      <c r="C32" s="10" t="n">
        <v>147502978</v>
      </c>
      <c r="D32" s="10" t="n">
        <v>3093483</v>
      </c>
      <c r="E32" s="10" t="n">
        <v>39190</v>
      </c>
      <c r="F32" s="10" t="n">
        <v>2940258</v>
      </c>
      <c r="G32" s="10" t="n">
        <v>319320</v>
      </c>
    </row>
    <row r="33">
      <c r="A33" s="9" t="n">
        <v>45748</v>
      </c>
      <c r="B33" s="10" t="inlineStr">
        <is>
          <t>VIC-1</t>
        </is>
      </c>
      <c r="C33" s="10" t="n">
        <v>139729332</v>
      </c>
      <c r="D33" s="10" t="n">
        <v>3011417</v>
      </c>
      <c r="E33" s="10" t="n">
        <v>37754</v>
      </c>
      <c r="F33" s="10" t="n">
        <v>2783718</v>
      </c>
      <c r="G33" s="10" t="n">
        <v>313897</v>
      </c>
    </row>
    <row r="34">
      <c r="A34" s="9" t="n">
        <v>45748</v>
      </c>
      <c r="B34" s="10" t="inlineStr">
        <is>
          <t>QLD-1</t>
        </is>
      </c>
      <c r="C34" s="10" t="n">
        <v>117059467</v>
      </c>
      <c r="D34" s="10" t="n">
        <v>2552888</v>
      </c>
      <c r="E34" s="10" t="n">
        <v>34584</v>
      </c>
      <c r="F34" s="10" t="n">
        <v>2465776</v>
      </c>
      <c r="G34" s="10" t="n">
        <v>260553</v>
      </c>
    </row>
    <row r="35">
      <c r="A35" s="9" t="n">
        <v>45748</v>
      </c>
      <c r="B35" s="10" t="inlineStr">
        <is>
          <t>NSW-2</t>
        </is>
      </c>
      <c r="C35" s="10" t="n">
        <v>123461416</v>
      </c>
      <c r="D35" s="10" t="n">
        <v>2596120</v>
      </c>
      <c r="E35" s="10" t="n">
        <v>34407</v>
      </c>
      <c r="F35" s="10" t="n">
        <v>2569797</v>
      </c>
      <c r="G35" s="10" t="n">
        <v>284117</v>
      </c>
    </row>
    <row r="36">
      <c r="A36" s="9" t="n">
        <v>45748</v>
      </c>
      <c r="B36" s="10" t="inlineStr">
        <is>
          <t>VIC-2</t>
        </is>
      </c>
      <c r="C36" s="10" t="n">
        <v>136765517</v>
      </c>
      <c r="D36" s="10" t="n">
        <v>2877751</v>
      </c>
      <c r="E36" s="10" t="n">
        <v>35707</v>
      </c>
      <c r="F36" s="10" t="n">
        <v>2629214</v>
      </c>
      <c r="G36" s="10" t="n">
        <v>306586</v>
      </c>
    </row>
    <row r="37">
      <c r="A37" s="9" t="n">
        <v>45748</v>
      </c>
      <c r="B37" s="10" t="inlineStr">
        <is>
          <t>QLD-2</t>
        </is>
      </c>
      <c r="C37" s="10" t="n">
        <v>116536673</v>
      </c>
      <c r="D37" s="10" t="n">
        <v>2538303</v>
      </c>
      <c r="E37" s="10" t="n">
        <v>34449</v>
      </c>
      <c r="F37" s="10" t="n">
        <v>2474166</v>
      </c>
      <c r="G37" s="10" t="n">
        <v>272848</v>
      </c>
    </row>
    <row r="38">
      <c r="A38" s="9" t="n">
        <v>45748</v>
      </c>
      <c r="B38" s="10" t="inlineStr">
        <is>
          <t>SA-1</t>
        </is>
      </c>
      <c r="C38" s="10" t="n">
        <v>79536351</v>
      </c>
      <c r="D38" s="10" t="n">
        <v>1769687</v>
      </c>
      <c r="E38" s="10" t="n">
        <v>24842</v>
      </c>
      <c r="F38" s="10" t="n">
        <v>1722163</v>
      </c>
      <c r="G38" s="10" t="n">
        <v>207265</v>
      </c>
    </row>
    <row r="39">
      <c r="A39" s="9" t="n">
        <v>45748</v>
      </c>
      <c r="B39" s="10" t="inlineStr">
        <is>
          <t>WA-1</t>
        </is>
      </c>
      <c r="C39" s="10" t="n">
        <v>104847628</v>
      </c>
      <c r="D39" s="10" t="n">
        <v>2342946</v>
      </c>
      <c r="E39" s="10" t="n">
        <v>32011</v>
      </c>
      <c r="F39" s="10" t="n">
        <v>2424086</v>
      </c>
      <c r="G39" s="10" t="n">
        <v>250907</v>
      </c>
    </row>
    <row r="40">
      <c r="A40" s="9" t="n">
        <v>45748</v>
      </c>
      <c r="B40" s="10" t="inlineStr">
        <is>
          <t>IDC-NSW</t>
        </is>
      </c>
      <c r="C40" s="10" t="n"/>
      <c r="D40" s="10" t="n">
        <v>889458</v>
      </c>
      <c r="E40" s="10" t="n">
        <v>8116</v>
      </c>
      <c r="F40" s="10" t="n">
        <v>660453</v>
      </c>
      <c r="G40" s="10" t="n">
        <v>153750</v>
      </c>
    </row>
    <row r="41">
      <c r="A41" s="9" t="n">
        <v>45748</v>
      </c>
      <c r="B41" s="10" t="inlineStr">
        <is>
          <t>IDC-VIC</t>
        </is>
      </c>
      <c r="C41" s="10" t="n"/>
      <c r="D41" s="10" t="n">
        <v>762348</v>
      </c>
      <c r="E41" s="10" t="n">
        <v>7029</v>
      </c>
      <c r="F41" s="10" t="n">
        <v>558331</v>
      </c>
      <c r="G41" s="10" t="n">
        <v>140551</v>
      </c>
    </row>
    <row r="42">
      <c r="A42" s="9" t="n">
        <v>45778</v>
      </c>
      <c r="B42" s="10" t="inlineStr">
        <is>
          <t>NSW-1</t>
        </is>
      </c>
      <c r="C42" s="10" t="n">
        <v>149881462</v>
      </c>
      <c r="D42" s="10" t="n">
        <v>3086173</v>
      </c>
      <c r="E42" s="10" t="n">
        <v>39621</v>
      </c>
      <c r="F42" s="10" t="n">
        <v>2625238</v>
      </c>
      <c r="G42" s="10" t="n">
        <v>325590</v>
      </c>
    </row>
    <row r="43">
      <c r="A43" s="9" t="n">
        <v>45778</v>
      </c>
      <c r="B43" s="10" t="inlineStr">
        <is>
          <t>VIC-1</t>
        </is>
      </c>
      <c r="C43" s="10" t="n">
        <v>141918699</v>
      </c>
      <c r="D43" s="10" t="n">
        <v>2993432</v>
      </c>
      <c r="E43" s="10" t="n">
        <v>37519</v>
      </c>
      <c r="F43" s="10" t="n">
        <v>2447093</v>
      </c>
      <c r="G43" s="10" t="n">
        <v>304699</v>
      </c>
    </row>
    <row r="44">
      <c r="A44" s="9" t="n">
        <v>45778</v>
      </c>
      <c r="B44" s="10" t="inlineStr">
        <is>
          <t>QLD-1</t>
        </is>
      </c>
      <c r="C44" s="10" t="n">
        <v>113712227</v>
      </c>
      <c r="D44" s="10" t="n">
        <v>2485054</v>
      </c>
      <c r="E44" s="10" t="n">
        <v>33987</v>
      </c>
      <c r="F44" s="10" t="n">
        <v>2207839</v>
      </c>
      <c r="G44" s="10" t="n">
        <v>267353</v>
      </c>
    </row>
    <row r="45">
      <c r="A45" s="9" t="n">
        <v>45778</v>
      </c>
      <c r="B45" s="10" t="inlineStr">
        <is>
          <t>NSW-2</t>
        </is>
      </c>
      <c r="C45" s="10" t="n">
        <v>122147150</v>
      </c>
      <c r="D45" s="10" t="n">
        <v>2531897</v>
      </c>
      <c r="E45" s="10" t="n">
        <v>33577</v>
      </c>
      <c r="F45" s="10" t="n">
        <v>2239964</v>
      </c>
      <c r="G45" s="10" t="n">
        <v>276790</v>
      </c>
    </row>
    <row r="46">
      <c r="A46" s="9" t="n">
        <v>45778</v>
      </c>
      <c r="B46" s="10" t="inlineStr">
        <is>
          <t>VIC-2</t>
        </is>
      </c>
      <c r="C46" s="10" t="n">
        <v>137261905</v>
      </c>
      <c r="D46" s="10" t="n">
        <v>2874734</v>
      </c>
      <c r="E46" s="10" t="n">
        <v>35879</v>
      </c>
      <c r="F46" s="10" t="n">
        <v>2347584</v>
      </c>
      <c r="G46" s="10" t="n">
        <v>295261</v>
      </c>
    </row>
    <row r="47">
      <c r="A47" s="9" t="n">
        <v>45778</v>
      </c>
      <c r="B47" s="10" t="inlineStr">
        <is>
          <t>QLD-2</t>
        </is>
      </c>
      <c r="C47" s="10" t="n">
        <v>116543697</v>
      </c>
      <c r="D47" s="10" t="n">
        <v>2502257</v>
      </c>
      <c r="E47" s="10" t="n">
        <v>33428</v>
      </c>
      <c r="F47" s="10" t="n">
        <v>2148823</v>
      </c>
      <c r="G47" s="10" t="n">
        <v>270902</v>
      </c>
    </row>
    <row r="48">
      <c r="A48" s="9" t="n">
        <v>45778</v>
      </c>
      <c r="B48" s="10" t="inlineStr">
        <is>
          <t>SA-1</t>
        </is>
      </c>
      <c r="C48" s="10" t="n">
        <v>78013621</v>
      </c>
      <c r="D48" s="10" t="n">
        <v>1770297</v>
      </c>
      <c r="E48" s="10" t="n">
        <v>24288</v>
      </c>
      <c r="F48" s="10" t="n">
        <v>1473644</v>
      </c>
      <c r="G48" s="10" t="n">
        <v>212855</v>
      </c>
    </row>
    <row r="49">
      <c r="A49" s="9" t="n">
        <v>45778</v>
      </c>
      <c r="B49" s="10" t="inlineStr">
        <is>
          <t>WA-1</t>
        </is>
      </c>
      <c r="C49" s="10" t="n">
        <v>102610754</v>
      </c>
      <c r="D49" s="10" t="n">
        <v>2259751</v>
      </c>
      <c r="E49" s="10" t="n">
        <v>31156</v>
      </c>
      <c r="F49" s="10" t="n">
        <v>2170677</v>
      </c>
      <c r="G49" s="10" t="n">
        <v>257983</v>
      </c>
    </row>
    <row r="50">
      <c r="A50" s="9" t="n">
        <v>45778</v>
      </c>
      <c r="B50" s="10" t="inlineStr">
        <is>
          <t>IDC-NSW</t>
        </is>
      </c>
      <c r="C50" s="10" t="n"/>
      <c r="D50" s="10" t="n">
        <v>897872</v>
      </c>
      <c r="E50" s="10" t="n">
        <v>8154</v>
      </c>
      <c r="F50" s="10" t="n">
        <v>571509</v>
      </c>
      <c r="G50" s="10" t="n">
        <v>149692</v>
      </c>
    </row>
    <row r="51">
      <c r="A51" s="9" t="n">
        <v>45778</v>
      </c>
      <c r="B51" s="10" t="inlineStr">
        <is>
          <t>IDC-VIC</t>
        </is>
      </c>
      <c r="C51" s="10" t="n"/>
      <c r="D51" s="10" t="n">
        <v>770167</v>
      </c>
      <c r="E51" s="10" t="n">
        <v>7491</v>
      </c>
      <c r="F51" s="10" t="n">
        <v>517818</v>
      </c>
      <c r="G51" s="10" t="n">
        <v>139285</v>
      </c>
    </row>
    <row r="52">
      <c r="A52" s="9" t="n">
        <v>45809</v>
      </c>
      <c r="B52" s="10" t="inlineStr">
        <is>
          <t>NSW-1</t>
        </is>
      </c>
      <c r="C52" s="10" t="n">
        <v>145551686</v>
      </c>
      <c r="D52" s="10" t="n">
        <v>3048836</v>
      </c>
      <c r="E52" s="10" t="n">
        <v>38782</v>
      </c>
      <c r="F52" s="10" t="n">
        <v>2641082</v>
      </c>
      <c r="G52" s="10" t="n">
        <v>312875</v>
      </c>
    </row>
    <row r="53">
      <c r="A53" s="9" t="n">
        <v>45809</v>
      </c>
      <c r="B53" s="10" t="inlineStr">
        <is>
          <t>VIC-1</t>
        </is>
      </c>
      <c r="C53" s="10" t="n">
        <v>133582637</v>
      </c>
      <c r="D53" s="10" t="n">
        <v>2789624</v>
      </c>
      <c r="E53" s="10" t="n">
        <v>35748</v>
      </c>
      <c r="F53" s="10" t="n">
        <v>2381357</v>
      </c>
      <c r="G53" s="10" t="n">
        <v>299381</v>
      </c>
    </row>
    <row r="54">
      <c r="A54" s="9" t="n">
        <v>45809</v>
      </c>
      <c r="B54" s="10" t="inlineStr">
        <is>
          <t>QLD-1</t>
        </is>
      </c>
      <c r="C54" s="10" t="n">
        <v>112402328</v>
      </c>
      <c r="D54" s="10" t="n">
        <v>2475324</v>
      </c>
      <c r="E54" s="10" t="n">
        <v>32898</v>
      </c>
      <c r="F54" s="10" t="n">
        <v>2087983</v>
      </c>
      <c r="G54" s="10" t="n">
        <v>261577</v>
      </c>
    </row>
    <row r="55">
      <c r="A55" s="9" t="n">
        <v>45809</v>
      </c>
      <c r="B55" s="10" t="inlineStr">
        <is>
          <t>NSW-2</t>
        </is>
      </c>
      <c r="C55" s="10" t="n">
        <v>126006744</v>
      </c>
      <c r="D55" s="10" t="n">
        <v>2667620</v>
      </c>
      <c r="E55" s="10" t="n">
        <v>35576</v>
      </c>
      <c r="F55" s="10" t="n">
        <v>2391671</v>
      </c>
      <c r="G55" s="10" t="n">
        <v>281363</v>
      </c>
    </row>
    <row r="56">
      <c r="A56" s="9" t="n">
        <v>45809</v>
      </c>
      <c r="B56" s="10" t="inlineStr">
        <is>
          <t>VIC-2</t>
        </is>
      </c>
      <c r="C56" s="10" t="n">
        <v>128616983</v>
      </c>
      <c r="D56" s="10" t="n">
        <v>2684568</v>
      </c>
      <c r="E56" s="10" t="n">
        <v>34018</v>
      </c>
      <c r="F56" s="10" t="n">
        <v>2266901</v>
      </c>
      <c r="G56" s="10" t="n">
        <v>296528</v>
      </c>
    </row>
    <row r="57">
      <c r="A57" s="9" t="n">
        <v>45809</v>
      </c>
      <c r="B57" s="10" t="inlineStr">
        <is>
          <t>QLD-2</t>
        </is>
      </c>
      <c r="C57" s="10" t="n">
        <v>114837763</v>
      </c>
      <c r="D57" s="10" t="n">
        <v>2488921</v>
      </c>
      <c r="E57" s="10" t="n">
        <v>33907</v>
      </c>
      <c r="F57" s="10" t="n">
        <v>2099318</v>
      </c>
      <c r="G57" s="10" t="n">
        <v>273870</v>
      </c>
    </row>
    <row r="58">
      <c r="A58" s="9" t="n">
        <v>45809</v>
      </c>
      <c r="B58" s="10" t="inlineStr">
        <is>
          <t>SA-1</t>
        </is>
      </c>
      <c r="C58" s="10" t="n">
        <v>78697811</v>
      </c>
      <c r="D58" s="10" t="n">
        <v>1781884</v>
      </c>
      <c r="E58" s="10" t="n">
        <v>25042</v>
      </c>
      <c r="F58" s="10" t="n">
        <v>1576197</v>
      </c>
      <c r="G58" s="10" t="n">
        <v>207447</v>
      </c>
    </row>
    <row r="59">
      <c r="A59" s="9" t="n">
        <v>45809</v>
      </c>
      <c r="B59" s="10" t="inlineStr">
        <is>
          <t>WA-1</t>
        </is>
      </c>
      <c r="C59" s="10" t="n">
        <v>106251584</v>
      </c>
      <c r="D59" s="10" t="n">
        <v>2353205</v>
      </c>
      <c r="E59" s="10" t="n">
        <v>32513</v>
      </c>
      <c r="F59" s="10" t="n">
        <v>2282566</v>
      </c>
      <c r="G59" s="10" t="n">
        <v>258037</v>
      </c>
    </row>
    <row r="60">
      <c r="A60" s="9" t="n">
        <v>45809</v>
      </c>
      <c r="B60" s="10" t="inlineStr">
        <is>
          <t>IDC-NSW</t>
        </is>
      </c>
      <c r="C60" s="10" t="n"/>
      <c r="D60" s="10" t="n">
        <v>855342</v>
      </c>
      <c r="E60" s="10" t="n">
        <v>7637</v>
      </c>
      <c r="F60" s="10" t="n">
        <v>549102</v>
      </c>
      <c r="G60" s="10" t="n">
        <v>141736</v>
      </c>
    </row>
    <row r="61">
      <c r="A61" s="9" t="n">
        <v>45809</v>
      </c>
      <c r="B61" s="10" t="inlineStr">
        <is>
          <t>IDC-VIC</t>
        </is>
      </c>
      <c r="C61" s="10" t="n"/>
      <c r="D61" s="10" t="n">
        <v>733502</v>
      </c>
      <c r="E61" s="10" t="n">
        <v>6923</v>
      </c>
      <c r="F61" s="10" t="n">
        <v>490849</v>
      </c>
      <c r="G61" s="10" t="n">
        <v>143198</v>
      </c>
    </row>
    <row r="62">
      <c r="A62" s="9" t="n">
        <v>45839</v>
      </c>
      <c r="B62" s="10" t="inlineStr">
        <is>
          <t>NSW-1</t>
        </is>
      </c>
      <c r="C62" s="10" t="n">
        <v>150825108</v>
      </c>
      <c r="D62" s="10" t="n">
        <v>3095874</v>
      </c>
      <c r="E62" s="10" t="n">
        <v>41109</v>
      </c>
      <c r="F62" s="10" t="n">
        <v>2700039</v>
      </c>
      <c r="G62" s="10" t="n">
        <v>314139</v>
      </c>
    </row>
    <row r="63">
      <c r="A63" s="9" t="n">
        <v>45839</v>
      </c>
      <c r="B63" s="10" t="inlineStr">
        <is>
          <t>VIC-1</t>
        </is>
      </c>
      <c r="C63" s="10" t="n">
        <v>140303139</v>
      </c>
      <c r="D63" s="10" t="n">
        <v>2970766</v>
      </c>
      <c r="E63" s="10" t="n">
        <v>37642</v>
      </c>
      <c r="F63" s="10" t="n">
        <v>2407100</v>
      </c>
      <c r="G63" s="10" t="n">
        <v>301975</v>
      </c>
    </row>
    <row r="64">
      <c r="A64" s="9" t="n">
        <v>45839</v>
      </c>
      <c r="B64" s="10" t="inlineStr">
        <is>
          <t>QLD-1</t>
        </is>
      </c>
      <c r="C64" s="10" t="n">
        <v>115020335</v>
      </c>
      <c r="D64" s="10" t="n">
        <v>2533096</v>
      </c>
      <c r="E64" s="10" t="n">
        <v>34026</v>
      </c>
      <c r="F64" s="10" t="n">
        <v>2126937</v>
      </c>
      <c r="G64" s="10" t="n">
        <v>260124</v>
      </c>
    </row>
    <row r="65">
      <c r="A65" s="9" t="n">
        <v>45839</v>
      </c>
      <c r="B65" s="10" t="inlineStr">
        <is>
          <t>NSW-2</t>
        </is>
      </c>
      <c r="C65" s="10" t="n">
        <v>122423850</v>
      </c>
      <c r="D65" s="10" t="n">
        <v>2637012</v>
      </c>
      <c r="E65" s="10" t="n">
        <v>35046</v>
      </c>
      <c r="F65" s="10" t="n">
        <v>2325652</v>
      </c>
      <c r="G65" s="10" t="n">
        <v>288177</v>
      </c>
    </row>
    <row r="66">
      <c r="A66" s="9" t="n">
        <v>45839</v>
      </c>
      <c r="B66" s="10" t="inlineStr">
        <is>
          <t>VIC-2</t>
        </is>
      </c>
      <c r="C66" s="10" t="n">
        <v>133802087</v>
      </c>
      <c r="D66" s="10" t="n">
        <v>2768560</v>
      </c>
      <c r="E66" s="10" t="n">
        <v>35414</v>
      </c>
      <c r="F66" s="10" t="n">
        <v>2303169</v>
      </c>
      <c r="G66" s="10" t="n">
        <v>301476</v>
      </c>
    </row>
    <row r="67">
      <c r="A67" s="9" t="n">
        <v>45839</v>
      </c>
      <c r="B67" s="10" t="inlineStr">
        <is>
          <t>QLD-2</t>
        </is>
      </c>
      <c r="C67" s="10" t="n">
        <v>117297779</v>
      </c>
      <c r="D67" s="10" t="n">
        <v>2523631</v>
      </c>
      <c r="E67" s="10" t="n">
        <v>34209</v>
      </c>
      <c r="F67" s="10" t="n">
        <v>2130859</v>
      </c>
      <c r="G67" s="10" t="n">
        <v>267846</v>
      </c>
    </row>
    <row r="68">
      <c r="A68" s="9" t="n">
        <v>45839</v>
      </c>
      <c r="B68" s="10" t="inlineStr">
        <is>
          <t>SA-1</t>
        </is>
      </c>
      <c r="C68" s="10" t="n">
        <v>81142099</v>
      </c>
      <c r="D68" s="10" t="n">
        <v>1808466</v>
      </c>
      <c r="E68" s="10" t="n">
        <v>25875</v>
      </c>
      <c r="F68" s="10" t="n">
        <v>1578800</v>
      </c>
      <c r="G68" s="10" t="n">
        <v>202507</v>
      </c>
    </row>
    <row r="69">
      <c r="A69" s="9" t="n">
        <v>45839</v>
      </c>
      <c r="B69" s="10" t="inlineStr">
        <is>
          <t>WA-1</t>
        </is>
      </c>
      <c r="C69" s="10" t="n">
        <v>102269580</v>
      </c>
      <c r="D69" s="10" t="n">
        <v>2256268</v>
      </c>
      <c r="E69" s="10" t="n">
        <v>31018</v>
      </c>
      <c r="F69" s="10" t="n">
        <v>2170189</v>
      </c>
      <c r="G69" s="10" t="n">
        <v>244933</v>
      </c>
    </row>
    <row r="70">
      <c r="A70" s="9" t="n">
        <v>45839</v>
      </c>
      <c r="B70" s="10" t="inlineStr">
        <is>
          <t>IDC-NSW</t>
        </is>
      </c>
      <c r="C70" s="10" t="n"/>
      <c r="D70" s="10" t="n">
        <v>892430</v>
      </c>
      <c r="E70" s="10" t="n">
        <v>8174</v>
      </c>
      <c r="F70" s="10" t="n">
        <v>576365</v>
      </c>
      <c r="G70" s="10" t="n">
        <v>149868</v>
      </c>
    </row>
    <row r="71">
      <c r="A71" s="9" t="n">
        <v>45839</v>
      </c>
      <c r="B71" s="10" t="inlineStr">
        <is>
          <t>IDC-VIC</t>
        </is>
      </c>
      <c r="C71" s="10" t="n"/>
      <c r="D71" s="10" t="n">
        <v>768264</v>
      </c>
      <c r="E71" s="10" t="n">
        <v>7360</v>
      </c>
      <c r="F71" s="10" t="n">
        <v>504003</v>
      </c>
      <c r="G71" s="10" t="n">
        <v>141633</v>
      </c>
    </row>
    <row r="72">
      <c r="A72" s="9" t="n">
        <v>45870</v>
      </c>
      <c r="B72" s="10" t="inlineStr">
        <is>
          <t>NSW-1</t>
        </is>
      </c>
      <c r="C72" s="10" t="n">
        <v>150399966</v>
      </c>
      <c r="D72" s="10" t="n">
        <v>3151472</v>
      </c>
      <c r="E72" s="10" t="n">
        <v>40918</v>
      </c>
      <c r="F72" s="10" t="n">
        <v>2718887</v>
      </c>
      <c r="G72" s="10" t="n">
        <v>313586</v>
      </c>
    </row>
    <row r="73">
      <c r="A73" s="9" t="n">
        <v>45870</v>
      </c>
      <c r="B73" s="10" t="inlineStr">
        <is>
          <t>VIC-1</t>
        </is>
      </c>
      <c r="C73" s="10" t="n">
        <v>139321773</v>
      </c>
      <c r="D73" s="10" t="n">
        <v>2998609</v>
      </c>
      <c r="E73" s="10" t="n">
        <v>36829</v>
      </c>
      <c r="F73" s="10" t="n">
        <v>2390221</v>
      </c>
      <c r="G73" s="10" t="n">
        <v>308096</v>
      </c>
    </row>
    <row r="74">
      <c r="A74" s="9" t="n">
        <v>45870</v>
      </c>
      <c r="B74" s="10" t="inlineStr">
        <is>
          <t>QLD-1</t>
        </is>
      </c>
      <c r="C74" s="10" t="n">
        <v>110587301</v>
      </c>
      <c r="D74" s="10" t="n">
        <v>2411423</v>
      </c>
      <c r="E74" s="10" t="n">
        <v>32199</v>
      </c>
      <c r="F74" s="10" t="n">
        <v>2048566</v>
      </c>
      <c r="G74" s="10" t="n">
        <v>260787</v>
      </c>
    </row>
    <row r="75">
      <c r="A75" s="9" t="n">
        <v>45870</v>
      </c>
      <c r="B75" s="10" t="inlineStr">
        <is>
          <t>NSW-2</t>
        </is>
      </c>
      <c r="C75" s="10" t="n">
        <v>123505128</v>
      </c>
      <c r="D75" s="10" t="n">
        <v>2569481</v>
      </c>
      <c r="E75" s="10" t="n">
        <v>33752</v>
      </c>
      <c r="F75" s="10" t="n">
        <v>2234056</v>
      </c>
      <c r="G75" s="10" t="n">
        <v>284904</v>
      </c>
    </row>
    <row r="76">
      <c r="A76" s="9" t="n">
        <v>45870</v>
      </c>
      <c r="B76" s="10" t="inlineStr">
        <is>
          <t>VIC-2</t>
        </is>
      </c>
      <c r="C76" s="10" t="n">
        <v>133449358</v>
      </c>
      <c r="D76" s="10" t="n">
        <v>2730922</v>
      </c>
      <c r="E76" s="10" t="n">
        <v>33968</v>
      </c>
      <c r="F76" s="10" t="n">
        <v>2240982</v>
      </c>
      <c r="G76" s="10" t="n">
        <v>296393</v>
      </c>
    </row>
    <row r="77">
      <c r="A77" s="9" t="n">
        <v>45870</v>
      </c>
      <c r="B77" s="10" t="inlineStr">
        <is>
          <t>QLD-2</t>
        </is>
      </c>
      <c r="C77" s="10" t="n">
        <v>118028853</v>
      </c>
      <c r="D77" s="10" t="n">
        <v>2575504</v>
      </c>
      <c r="E77" s="10" t="n">
        <v>33913</v>
      </c>
      <c r="F77" s="10" t="n">
        <v>2132034</v>
      </c>
      <c r="G77" s="10" t="n">
        <v>274091</v>
      </c>
    </row>
    <row r="78">
      <c r="A78" s="9" t="n">
        <v>45870</v>
      </c>
      <c r="B78" s="10" t="inlineStr">
        <is>
          <t>SA-1</t>
        </is>
      </c>
      <c r="C78" s="10" t="n">
        <v>78915082</v>
      </c>
      <c r="D78" s="10" t="n">
        <v>1758980</v>
      </c>
      <c r="E78" s="10" t="n">
        <v>24436</v>
      </c>
      <c r="F78" s="10" t="n">
        <v>1472864</v>
      </c>
      <c r="G78" s="10" t="n">
        <v>205314</v>
      </c>
    </row>
    <row r="79">
      <c r="A79" s="9" t="n">
        <v>45870</v>
      </c>
      <c r="B79" s="10" t="inlineStr">
        <is>
          <t>WA-1</t>
        </is>
      </c>
      <c r="C79" s="10" t="n">
        <v>105631703</v>
      </c>
      <c r="D79" s="10" t="n">
        <v>2365576</v>
      </c>
      <c r="E79" s="10" t="n">
        <v>32298</v>
      </c>
      <c r="F79" s="10" t="n">
        <v>2236889</v>
      </c>
      <c r="G79" s="10" t="n">
        <v>242306</v>
      </c>
    </row>
    <row r="80">
      <c r="A80" s="9" t="n">
        <v>45870</v>
      </c>
      <c r="B80" s="10" t="inlineStr">
        <is>
          <t>IDC-NSW</t>
        </is>
      </c>
      <c r="C80" s="10" t="n"/>
      <c r="D80" s="10" t="n">
        <v>907783</v>
      </c>
      <c r="E80" s="10" t="n">
        <v>8405</v>
      </c>
      <c r="F80" s="10" t="n">
        <v>582986</v>
      </c>
      <c r="G80" s="10" t="n">
        <v>153201</v>
      </c>
    </row>
    <row r="81">
      <c r="A81" s="9" t="n">
        <v>45870</v>
      </c>
      <c r="B81" s="10" t="inlineStr">
        <is>
          <t>IDC-VIC</t>
        </is>
      </c>
      <c r="C81" s="10" t="n"/>
      <c r="D81" s="10" t="n">
        <v>751403</v>
      </c>
      <c r="E81" s="10" t="n">
        <v>7039</v>
      </c>
      <c r="F81" s="10" t="n">
        <v>487755</v>
      </c>
      <c r="G81" s="10" t="n">
        <v>139877</v>
      </c>
    </row>
    <row r="82">
      <c r="A82" s="9" t="n">
        <v>45901</v>
      </c>
      <c r="B82" s="10" t="inlineStr">
        <is>
          <t>NSW-1</t>
        </is>
      </c>
      <c r="C82" s="10" t="n">
        <v>147150090</v>
      </c>
      <c r="D82" s="10" t="n">
        <v>3050182</v>
      </c>
      <c r="E82" s="10" t="n">
        <v>38780</v>
      </c>
      <c r="F82" s="10" t="n">
        <v>2576228</v>
      </c>
      <c r="G82" s="10" t="n">
        <v>324086</v>
      </c>
    </row>
    <row r="83">
      <c r="A83" s="9" t="n">
        <v>45901</v>
      </c>
      <c r="B83" s="10" t="inlineStr">
        <is>
          <t>VIC-1</t>
        </is>
      </c>
      <c r="C83" s="10" t="n">
        <v>137236692</v>
      </c>
      <c r="D83" s="10" t="n">
        <v>2901706</v>
      </c>
      <c r="E83" s="10" t="n">
        <v>36315</v>
      </c>
      <c r="F83" s="10" t="n">
        <v>2409168</v>
      </c>
      <c r="G83" s="10" t="n">
        <v>287006</v>
      </c>
    </row>
    <row r="84">
      <c r="A84" s="9" t="n">
        <v>45901</v>
      </c>
      <c r="B84" s="10" t="inlineStr">
        <is>
          <t>QLD-1</t>
        </is>
      </c>
      <c r="C84" s="10" t="n">
        <v>114533859</v>
      </c>
      <c r="D84" s="10" t="n">
        <v>2494471</v>
      </c>
      <c r="E84" s="10" t="n">
        <v>34008</v>
      </c>
      <c r="F84" s="10" t="n">
        <v>2118331</v>
      </c>
      <c r="G84" s="10" t="n">
        <v>254957</v>
      </c>
    </row>
    <row r="85">
      <c r="A85" s="9" t="n">
        <v>45901</v>
      </c>
      <c r="B85" s="10" t="inlineStr">
        <is>
          <t>NSW-2</t>
        </is>
      </c>
      <c r="C85" s="10" t="n">
        <v>122888375</v>
      </c>
      <c r="D85" s="10" t="n">
        <v>2543002</v>
      </c>
      <c r="E85" s="10" t="n">
        <v>33218</v>
      </c>
      <c r="F85" s="10" t="n">
        <v>2180594</v>
      </c>
      <c r="G85" s="10" t="n">
        <v>267774</v>
      </c>
    </row>
    <row r="86">
      <c r="A86" s="9" t="n">
        <v>45901</v>
      </c>
      <c r="B86" s="10" t="inlineStr">
        <is>
          <t>VIC-2</t>
        </is>
      </c>
      <c r="C86" s="10" t="n">
        <v>135062098</v>
      </c>
      <c r="D86" s="10" t="n">
        <v>2805860</v>
      </c>
      <c r="E86" s="10" t="n">
        <v>36745</v>
      </c>
      <c r="F86" s="10" t="n">
        <v>2434219</v>
      </c>
      <c r="G86" s="10" t="n">
        <v>296185</v>
      </c>
    </row>
    <row r="87">
      <c r="A87" s="9" t="n">
        <v>45901</v>
      </c>
      <c r="B87" s="10" t="inlineStr">
        <is>
          <t>QLD-2</t>
        </is>
      </c>
      <c r="C87" s="10" t="n">
        <v>119846726</v>
      </c>
      <c r="D87" s="10" t="n">
        <v>2597104</v>
      </c>
      <c r="E87" s="10" t="n">
        <v>34610</v>
      </c>
      <c r="F87" s="10" t="n">
        <v>2198201</v>
      </c>
      <c r="G87" s="10" t="n">
        <v>279550</v>
      </c>
    </row>
    <row r="88">
      <c r="A88" s="9" t="n">
        <v>45901</v>
      </c>
      <c r="B88" s="10" t="inlineStr">
        <is>
          <t>SA-1</t>
        </is>
      </c>
      <c r="C88" s="10" t="n">
        <v>77586165</v>
      </c>
      <c r="D88" s="10" t="n">
        <v>1723900</v>
      </c>
      <c r="E88" s="10" t="n">
        <v>23334</v>
      </c>
      <c r="F88" s="10" t="n">
        <v>1431434</v>
      </c>
      <c r="G88" s="10" t="n">
        <v>208017</v>
      </c>
    </row>
    <row r="89">
      <c r="A89" s="9" t="n">
        <v>45901</v>
      </c>
      <c r="B89" s="10" t="inlineStr">
        <is>
          <t>WA-1</t>
        </is>
      </c>
      <c r="C89" s="10" t="n">
        <v>103002025</v>
      </c>
      <c r="D89" s="10" t="n">
        <v>2269028</v>
      </c>
      <c r="E89" s="10" t="n">
        <v>32120</v>
      </c>
      <c r="F89" s="10" t="n">
        <v>2280172</v>
      </c>
      <c r="G89" s="10" t="n">
        <v>251776</v>
      </c>
    </row>
    <row r="90">
      <c r="A90" s="9" t="n">
        <v>45901</v>
      </c>
      <c r="B90" s="10" t="inlineStr">
        <is>
          <t>IDC-NSW</t>
        </is>
      </c>
      <c r="C90" s="10" t="n"/>
      <c r="D90" s="10" t="n">
        <v>868322</v>
      </c>
      <c r="E90" s="10" t="n">
        <v>7968</v>
      </c>
      <c r="F90" s="10" t="n">
        <v>555105</v>
      </c>
      <c r="G90" s="10" t="n">
        <v>147721</v>
      </c>
    </row>
    <row r="91">
      <c r="A91" s="9" t="n">
        <v>45901</v>
      </c>
      <c r="B91" s="10" t="inlineStr">
        <is>
          <t>IDC-VIC</t>
        </is>
      </c>
      <c r="C91" s="10" t="n"/>
      <c r="D91" s="10" t="n">
        <v>741396</v>
      </c>
      <c r="E91" s="10" t="n">
        <v>7206</v>
      </c>
      <c r="F91" s="10" t="n">
        <v>504555</v>
      </c>
      <c r="G91" s="10" t="n">
        <v>135447</v>
      </c>
    </row>
    <row r="92">
      <c r="A92" s="9" t="n">
        <v>45931</v>
      </c>
      <c r="B92" s="10" t="inlineStr">
        <is>
          <t>NSW-1</t>
        </is>
      </c>
      <c r="C92" s="10" t="n">
        <v>154728337</v>
      </c>
      <c r="D92" s="10" t="n">
        <v>3233552</v>
      </c>
      <c r="E92" s="10" t="n">
        <v>40450</v>
      </c>
      <c r="F92" s="10" t="n">
        <v>2721618</v>
      </c>
      <c r="G92" s="10" t="n">
        <v>315409</v>
      </c>
    </row>
    <row r="93">
      <c r="A93" s="9" t="n">
        <v>45931</v>
      </c>
      <c r="B93" s="10" t="inlineStr">
        <is>
          <t>VIC-1</t>
        </is>
      </c>
      <c r="C93" s="10" t="n">
        <v>143996017</v>
      </c>
      <c r="D93" s="10" t="n">
        <v>3068669</v>
      </c>
      <c r="E93" s="10" t="n">
        <v>37902</v>
      </c>
      <c r="F93" s="10" t="n">
        <v>2449571</v>
      </c>
      <c r="G93" s="10" t="n">
        <v>302231</v>
      </c>
    </row>
    <row r="94">
      <c r="A94" s="9" t="n">
        <v>45931</v>
      </c>
      <c r="B94" s="10" t="inlineStr">
        <is>
          <t>QLD-1</t>
        </is>
      </c>
      <c r="C94" s="10" t="n">
        <v>115587533</v>
      </c>
      <c r="D94" s="10" t="n">
        <v>2530197</v>
      </c>
      <c r="E94" s="10" t="n">
        <v>33707</v>
      </c>
      <c r="F94" s="10" t="n">
        <v>2185659</v>
      </c>
      <c r="G94" s="10" t="n">
        <v>260382</v>
      </c>
    </row>
    <row r="95">
      <c r="A95" s="9" t="n">
        <v>45931</v>
      </c>
      <c r="B95" s="10" t="inlineStr">
        <is>
          <t>NSW-2</t>
        </is>
      </c>
      <c r="C95" s="10" t="n">
        <v>126924990</v>
      </c>
      <c r="D95" s="10" t="n">
        <v>2622371</v>
      </c>
      <c r="E95" s="10" t="n">
        <v>33613</v>
      </c>
      <c r="F95" s="10" t="n">
        <v>2308387</v>
      </c>
      <c r="G95" s="10" t="n">
        <v>290409</v>
      </c>
    </row>
    <row r="96">
      <c r="A96" s="9" t="n">
        <v>45931</v>
      </c>
      <c r="B96" s="10" t="inlineStr">
        <is>
          <t>VIC-2</t>
        </is>
      </c>
      <c r="C96" s="10" t="n">
        <v>140152932</v>
      </c>
      <c r="D96" s="10" t="n">
        <v>2887756</v>
      </c>
      <c r="E96" s="10" t="n">
        <v>35669</v>
      </c>
      <c r="F96" s="10" t="n">
        <v>2330290</v>
      </c>
      <c r="G96" s="10" t="n">
        <v>294606</v>
      </c>
    </row>
    <row r="97">
      <c r="A97" s="9" t="n">
        <v>45931</v>
      </c>
      <c r="B97" s="10" t="inlineStr">
        <is>
          <t>QLD-2</t>
        </is>
      </c>
      <c r="C97" s="10" t="n">
        <v>124356453</v>
      </c>
      <c r="D97" s="10" t="n">
        <v>2727876</v>
      </c>
      <c r="E97" s="10" t="n">
        <v>35254</v>
      </c>
      <c r="F97" s="10" t="n">
        <v>2291059</v>
      </c>
      <c r="G97" s="10" t="n">
        <v>264113</v>
      </c>
    </row>
    <row r="98">
      <c r="A98" s="9" t="n">
        <v>45931</v>
      </c>
      <c r="B98" s="10" t="inlineStr">
        <is>
          <t>SA-1</t>
        </is>
      </c>
      <c r="C98" s="10" t="n">
        <v>83659551</v>
      </c>
      <c r="D98" s="10" t="n">
        <v>1835662</v>
      </c>
      <c r="E98" s="10" t="n">
        <v>24800</v>
      </c>
      <c r="F98" s="10" t="n">
        <v>1547850</v>
      </c>
      <c r="G98" s="10" t="n">
        <v>210993</v>
      </c>
    </row>
    <row r="99">
      <c r="A99" s="9" t="n">
        <v>45931</v>
      </c>
      <c r="B99" s="10" t="inlineStr">
        <is>
          <t>WA-1</t>
        </is>
      </c>
      <c r="C99" s="10" t="n">
        <v>105007588</v>
      </c>
      <c r="D99" s="10" t="n">
        <v>2282578</v>
      </c>
      <c r="E99" s="10" t="n">
        <v>31078</v>
      </c>
      <c r="F99" s="10" t="n">
        <v>2135284</v>
      </c>
      <c r="G99" s="10" t="n">
        <v>248468</v>
      </c>
    </row>
    <row r="100">
      <c r="A100" s="9" t="n">
        <v>45931</v>
      </c>
      <c r="B100" s="10" t="inlineStr">
        <is>
          <t>IDC-NSW</t>
        </is>
      </c>
      <c r="C100" s="10" t="n"/>
      <c r="D100" s="10" t="n">
        <v>922857</v>
      </c>
      <c r="E100" s="10" t="n">
        <v>8109</v>
      </c>
      <c r="F100" s="10" t="n">
        <v>573861</v>
      </c>
      <c r="G100" s="10" t="n">
        <v>149128</v>
      </c>
    </row>
    <row r="101">
      <c r="A101" s="9" t="n">
        <v>45931</v>
      </c>
      <c r="B101" s="10" t="inlineStr">
        <is>
          <t>IDC-VIC</t>
        </is>
      </c>
      <c r="C101" s="10" t="n"/>
      <c r="D101" s="10" t="n">
        <v>783260</v>
      </c>
      <c r="E101" s="10" t="n">
        <v>7380</v>
      </c>
      <c r="F101" s="10" t="n">
        <v>504724</v>
      </c>
      <c r="G101" s="10" t="n">
        <v>142443</v>
      </c>
    </row>
    <row r="102">
      <c r="A102" s="9" t="n">
        <v>45962</v>
      </c>
      <c r="B102" s="10" t="inlineStr">
        <is>
          <t>NSW-1</t>
        </is>
      </c>
      <c r="C102" s="10" t="n">
        <v>157872455</v>
      </c>
      <c r="D102" s="10" t="n">
        <v>3290175</v>
      </c>
      <c r="E102" s="10" t="n">
        <v>40768</v>
      </c>
      <c r="F102" s="10" t="n">
        <v>2740960</v>
      </c>
      <c r="G102" s="10" t="n">
        <v>330494</v>
      </c>
    </row>
    <row r="103">
      <c r="A103" s="9" t="n">
        <v>45962</v>
      </c>
      <c r="B103" s="10" t="inlineStr">
        <is>
          <t>VIC-1</t>
        </is>
      </c>
      <c r="C103" s="10" t="n">
        <v>152215323</v>
      </c>
      <c r="D103" s="10" t="n">
        <v>3232906</v>
      </c>
      <c r="E103" s="10" t="n">
        <v>39209</v>
      </c>
      <c r="F103" s="10" t="n">
        <v>2601006</v>
      </c>
      <c r="G103" s="10" t="n">
        <v>314561</v>
      </c>
    </row>
    <row r="104">
      <c r="A104" s="9" t="n">
        <v>45962</v>
      </c>
      <c r="B104" s="10" t="inlineStr">
        <is>
          <t>QLD-1</t>
        </is>
      </c>
      <c r="C104" s="10" t="n">
        <v>123803814</v>
      </c>
      <c r="D104" s="10" t="n">
        <v>2718110</v>
      </c>
      <c r="E104" s="10" t="n">
        <v>35713</v>
      </c>
      <c r="F104" s="10" t="n">
        <v>2244956</v>
      </c>
      <c r="G104" s="10" t="n">
        <v>270091</v>
      </c>
    </row>
    <row r="105">
      <c r="A105" s="9" t="n">
        <v>45962</v>
      </c>
      <c r="B105" s="10" t="inlineStr">
        <is>
          <t>NSW-2</t>
        </is>
      </c>
      <c r="C105" s="10" t="n">
        <v>131355198</v>
      </c>
      <c r="D105" s="10" t="n">
        <v>2737025</v>
      </c>
      <c r="E105" s="10" t="n">
        <v>34321</v>
      </c>
      <c r="F105" s="10" t="n">
        <v>2284433</v>
      </c>
      <c r="G105" s="10" t="n">
        <v>291538</v>
      </c>
    </row>
    <row r="106">
      <c r="A106" s="9" t="n">
        <v>45962</v>
      </c>
      <c r="B106" s="10" t="inlineStr">
        <is>
          <t>VIC-2</t>
        </is>
      </c>
      <c r="C106" s="10" t="n">
        <v>141491552</v>
      </c>
      <c r="D106" s="10" t="n">
        <v>2870651</v>
      </c>
      <c r="E106" s="10" t="n">
        <v>35077</v>
      </c>
      <c r="F106" s="10" t="n">
        <v>2335760</v>
      </c>
      <c r="G106" s="10" t="n">
        <v>316079</v>
      </c>
    </row>
    <row r="107">
      <c r="A107" s="9" t="n">
        <v>45962</v>
      </c>
      <c r="B107" s="10" t="inlineStr">
        <is>
          <t>QLD-2</t>
        </is>
      </c>
      <c r="C107" s="10" t="n">
        <v>125070063</v>
      </c>
      <c r="D107" s="10" t="n">
        <v>2691071</v>
      </c>
      <c r="E107" s="10" t="n">
        <v>35436</v>
      </c>
      <c r="F107" s="10" t="n">
        <v>2221851</v>
      </c>
      <c r="G107" s="10" t="n">
        <v>288418</v>
      </c>
    </row>
    <row r="108">
      <c r="A108" s="9" t="n">
        <v>45962</v>
      </c>
      <c r="B108" s="10" t="inlineStr">
        <is>
          <t>SA-1</t>
        </is>
      </c>
      <c r="C108" s="10" t="n">
        <v>85608507</v>
      </c>
      <c r="D108" s="10" t="n">
        <v>1889158</v>
      </c>
      <c r="E108" s="10" t="n">
        <v>24964</v>
      </c>
      <c r="F108" s="10" t="n">
        <v>1522674</v>
      </c>
      <c r="G108" s="10" t="n">
        <v>231136</v>
      </c>
    </row>
    <row r="109">
      <c r="A109" s="9" t="n">
        <v>45962</v>
      </c>
      <c r="B109" s="10" t="inlineStr">
        <is>
          <t>WA-1</t>
        </is>
      </c>
      <c r="C109" s="10" t="n">
        <v>109695777</v>
      </c>
      <c r="D109" s="10" t="n">
        <v>2391254</v>
      </c>
      <c r="E109" s="10" t="n">
        <v>31396</v>
      </c>
      <c r="F109" s="10" t="n">
        <v>2158078</v>
      </c>
      <c r="G109" s="10" t="n">
        <v>261939</v>
      </c>
    </row>
    <row r="110">
      <c r="A110" s="9" t="n">
        <v>45962</v>
      </c>
      <c r="B110" s="10" t="inlineStr">
        <is>
          <t>IDC-NSW</t>
        </is>
      </c>
      <c r="C110" s="10" t="n"/>
      <c r="D110" s="10" t="n">
        <v>935513</v>
      </c>
      <c r="E110" s="10" t="n">
        <v>8179</v>
      </c>
      <c r="F110" s="10" t="n">
        <v>575995</v>
      </c>
      <c r="G110" s="10" t="n">
        <v>157878</v>
      </c>
    </row>
    <row r="111">
      <c r="A111" s="9" t="n">
        <v>45962</v>
      </c>
      <c r="B111" s="10" t="inlineStr">
        <is>
          <t>IDC-VIC</t>
        </is>
      </c>
      <c r="C111" s="10" t="n"/>
      <c r="D111" s="10" t="n">
        <v>827775</v>
      </c>
      <c r="E111" s="10" t="n">
        <v>7585</v>
      </c>
      <c r="F111" s="10" t="n">
        <v>538310</v>
      </c>
      <c r="G111" s="10" t="n">
        <v>150047</v>
      </c>
    </row>
    <row r="112">
      <c r="A112" s="9" t="n">
        <v>45992</v>
      </c>
      <c r="B112" s="10" t="inlineStr">
        <is>
          <t>NSW-1</t>
        </is>
      </c>
      <c r="C112" s="10" t="n">
        <v>190317363</v>
      </c>
      <c r="D112" s="10" t="n">
        <v>3892527</v>
      </c>
      <c r="E112" s="10" t="n">
        <v>45678</v>
      </c>
      <c r="F112" s="10" t="n">
        <v>3178275</v>
      </c>
      <c r="G112" s="10" t="n">
        <v>374152</v>
      </c>
    </row>
    <row r="113">
      <c r="A113" s="9" t="n">
        <v>45992</v>
      </c>
      <c r="B113" s="10" t="inlineStr">
        <is>
          <t>VIC-1</t>
        </is>
      </c>
      <c r="C113" s="10" t="n">
        <v>177180124</v>
      </c>
      <c r="D113" s="10" t="n">
        <v>3677210</v>
      </c>
      <c r="E113" s="10" t="n">
        <v>42930</v>
      </c>
      <c r="F113" s="10" t="n">
        <v>2973225</v>
      </c>
      <c r="G113" s="10" t="n">
        <v>351510</v>
      </c>
    </row>
    <row r="114">
      <c r="A114" s="9" t="n">
        <v>45992</v>
      </c>
      <c r="B114" s="10" t="inlineStr">
        <is>
          <t>QLD-1</t>
        </is>
      </c>
      <c r="C114" s="10" t="n">
        <v>144747382</v>
      </c>
      <c r="D114" s="10" t="n">
        <v>3098598</v>
      </c>
      <c r="E114" s="10" t="n">
        <v>38458</v>
      </c>
      <c r="F114" s="10" t="n">
        <v>2543887</v>
      </c>
      <c r="G114" s="10" t="n">
        <v>296051</v>
      </c>
    </row>
    <row r="115">
      <c r="A115" s="9" t="n">
        <v>45992</v>
      </c>
      <c r="B115" s="10" t="inlineStr">
        <is>
          <t>NSW-2</t>
        </is>
      </c>
      <c r="C115" s="10" t="n">
        <v>160910788</v>
      </c>
      <c r="D115" s="10" t="n">
        <v>3369851</v>
      </c>
      <c r="E115" s="10" t="n">
        <v>41517</v>
      </c>
      <c r="F115" s="10" t="n">
        <v>2865987</v>
      </c>
      <c r="G115" s="10" t="n">
        <v>322772</v>
      </c>
    </row>
    <row r="116">
      <c r="A116" s="9" t="n">
        <v>45992</v>
      </c>
      <c r="B116" s="10" t="inlineStr">
        <is>
          <t>VIC-2</t>
        </is>
      </c>
      <c r="C116" s="10" t="n">
        <v>172256287</v>
      </c>
      <c r="D116" s="10" t="n">
        <v>3494354</v>
      </c>
      <c r="E116" s="10" t="n">
        <v>40789</v>
      </c>
      <c r="F116" s="10" t="n">
        <v>2818265</v>
      </c>
      <c r="G116" s="10" t="n">
        <v>349908</v>
      </c>
    </row>
    <row r="117">
      <c r="A117" s="9" t="n">
        <v>45992</v>
      </c>
      <c r="B117" s="10" t="inlineStr">
        <is>
          <t>QLD-2</t>
        </is>
      </c>
      <c r="C117" s="10" t="n">
        <v>153261022</v>
      </c>
      <c r="D117" s="10" t="n">
        <v>3246437</v>
      </c>
      <c r="E117" s="10" t="n">
        <v>41302</v>
      </c>
      <c r="F117" s="10" t="n">
        <v>2721341</v>
      </c>
      <c r="G117" s="10" t="n">
        <v>316856</v>
      </c>
    </row>
    <row r="118">
      <c r="A118" s="9" t="n">
        <v>45992</v>
      </c>
      <c r="B118" s="10" t="inlineStr">
        <is>
          <t>SA-1</t>
        </is>
      </c>
      <c r="C118" s="10" t="n">
        <v>102732699</v>
      </c>
      <c r="D118" s="10" t="n">
        <v>2262444</v>
      </c>
      <c r="E118" s="10" t="n">
        <v>29093</v>
      </c>
      <c r="F118" s="10" t="n">
        <v>1845881</v>
      </c>
      <c r="G118" s="10" t="n">
        <v>248072</v>
      </c>
    </row>
    <row r="119">
      <c r="A119" s="9" t="n">
        <v>45992</v>
      </c>
      <c r="B119" s="10" t="inlineStr">
        <is>
          <t>WA-1</t>
        </is>
      </c>
      <c r="C119" s="10" t="n">
        <v>134988204</v>
      </c>
      <c r="D119" s="10" t="n">
        <v>2922746</v>
      </c>
      <c r="E119" s="10" t="n">
        <v>37515</v>
      </c>
      <c r="F119" s="10" t="n">
        <v>2736709</v>
      </c>
      <c r="G119" s="10" t="n">
        <v>288092</v>
      </c>
    </row>
    <row r="120">
      <c r="A120" s="9" t="n">
        <v>45992</v>
      </c>
      <c r="B120" s="10" t="inlineStr">
        <is>
          <t>IDC-NSW</t>
        </is>
      </c>
      <c r="C120" s="10" t="n"/>
      <c r="D120" s="10" t="n">
        <v>1097270</v>
      </c>
      <c r="E120" s="10" t="n">
        <v>9483</v>
      </c>
      <c r="F120" s="10" t="n">
        <v>686453</v>
      </c>
      <c r="G120" s="10" t="n">
        <v>171220</v>
      </c>
    </row>
    <row r="121">
      <c r="A121" s="9" t="n">
        <v>45992</v>
      </c>
      <c r="B121" s="10" t="inlineStr">
        <is>
          <t>IDC-VIC</t>
        </is>
      </c>
      <c r="C121" s="10" t="n"/>
      <c r="D121" s="10" t="n">
        <v>926765</v>
      </c>
      <c r="E121" s="10" t="n">
        <v>8165</v>
      </c>
      <c r="F121" s="10" t="n">
        <v>582119</v>
      </c>
      <c r="G121" s="10" t="n">
        <v>158442</v>
      </c>
    </row>
    <row r="122">
      <c r="A122" s="9" t="n">
        <v>46023</v>
      </c>
      <c r="B122" s="10" t="inlineStr">
        <is>
          <t>NSW-1</t>
        </is>
      </c>
      <c r="C122" s="10" t="n">
        <v>153814453</v>
      </c>
      <c r="D122" s="10" t="n">
        <v>3178660</v>
      </c>
      <c r="E122" s="10" t="n">
        <v>42504</v>
      </c>
      <c r="F122" s="10" t="n">
        <v>3050286</v>
      </c>
      <c r="G122" s="10" t="n">
        <v>339142</v>
      </c>
    </row>
    <row r="123">
      <c r="A123" s="9" t="n">
        <v>46023</v>
      </c>
      <c r="B123" s="10" t="inlineStr">
        <is>
          <t>VIC-1</t>
        </is>
      </c>
      <c r="C123" s="10" t="n">
        <v>142733039</v>
      </c>
      <c r="D123" s="10" t="n">
        <v>3001178</v>
      </c>
      <c r="E123" s="10" t="n">
        <v>37911</v>
      </c>
      <c r="F123" s="10" t="n">
        <v>2666402</v>
      </c>
      <c r="G123" s="10" t="n">
        <v>313947</v>
      </c>
    </row>
    <row r="124">
      <c r="A124" s="9" t="n">
        <v>46023</v>
      </c>
      <c r="B124" s="10" t="inlineStr">
        <is>
          <t>QLD-1</t>
        </is>
      </c>
      <c r="C124" s="10" t="n">
        <v>117343494</v>
      </c>
      <c r="D124" s="10" t="n">
        <v>2483205</v>
      </c>
      <c r="E124" s="10" t="n">
        <v>34161</v>
      </c>
      <c r="F124" s="10" t="n">
        <v>2352848</v>
      </c>
      <c r="G124" s="10" t="n">
        <v>267313</v>
      </c>
    </row>
    <row r="125">
      <c r="A125" s="9" t="n">
        <v>46023</v>
      </c>
      <c r="B125" s="10" t="inlineStr">
        <is>
          <t>NSW-2</t>
        </is>
      </c>
      <c r="C125" s="10" t="n">
        <v>126584985</v>
      </c>
      <c r="D125" s="10" t="n">
        <v>2616342</v>
      </c>
      <c r="E125" s="10" t="n">
        <v>35270</v>
      </c>
      <c r="F125" s="10" t="n">
        <v>2518281</v>
      </c>
      <c r="G125" s="10" t="n">
        <v>289579</v>
      </c>
    </row>
    <row r="126">
      <c r="A126" s="9" t="n">
        <v>46023</v>
      </c>
      <c r="B126" s="10" t="inlineStr">
        <is>
          <t>VIC-2</t>
        </is>
      </c>
      <c r="C126" s="10" t="n">
        <v>135910394</v>
      </c>
      <c r="D126" s="10" t="n">
        <v>2803256</v>
      </c>
      <c r="E126" s="10" t="n">
        <v>35891</v>
      </c>
      <c r="F126" s="10" t="n">
        <v>2534276</v>
      </c>
      <c r="G126" s="10" t="n">
        <v>320046</v>
      </c>
    </row>
    <row r="127">
      <c r="A127" s="9" t="n">
        <v>46023</v>
      </c>
      <c r="B127" s="10" t="inlineStr">
        <is>
          <t>QLD-2</t>
        </is>
      </c>
      <c r="C127" s="10" t="n">
        <v>120850805</v>
      </c>
      <c r="D127" s="10" t="n">
        <v>2602562</v>
      </c>
      <c r="E127" s="10" t="n">
        <v>34537</v>
      </c>
      <c r="F127" s="10" t="n">
        <v>2400638</v>
      </c>
      <c r="G127" s="10" t="n">
        <v>275876</v>
      </c>
    </row>
    <row r="128">
      <c r="A128" s="9" t="n">
        <v>46023</v>
      </c>
      <c r="B128" s="10" t="inlineStr">
        <is>
          <t>SA-1</t>
        </is>
      </c>
      <c r="C128" s="10" t="n">
        <v>79038481</v>
      </c>
      <c r="D128" s="10" t="n">
        <v>1712593</v>
      </c>
      <c r="E128" s="10" t="n">
        <v>23972</v>
      </c>
      <c r="F128" s="10" t="n">
        <v>1610481</v>
      </c>
      <c r="G128" s="10" t="n">
        <v>218627</v>
      </c>
    </row>
    <row r="129">
      <c r="A129" s="9" t="n">
        <v>46023</v>
      </c>
      <c r="B129" s="10" t="inlineStr">
        <is>
          <t>WA-1</t>
        </is>
      </c>
      <c r="C129" s="10" t="n">
        <v>106820510</v>
      </c>
      <c r="D129" s="10" t="n">
        <v>2375627</v>
      </c>
      <c r="E129" s="10" t="n">
        <v>33961</v>
      </c>
      <c r="F129" s="10" t="n">
        <v>2577778</v>
      </c>
      <c r="G129" s="10" t="n">
        <v>269271</v>
      </c>
    </row>
    <row r="130">
      <c r="A130" s="9" t="n">
        <v>46023</v>
      </c>
      <c r="B130" s="10" t="inlineStr">
        <is>
          <t>IDC-NSW</t>
        </is>
      </c>
      <c r="C130" s="10" t="n"/>
      <c r="D130" s="10" t="n">
        <v>909174</v>
      </c>
      <c r="E130" s="10" t="n">
        <v>8321</v>
      </c>
      <c r="F130" s="10" t="n">
        <v>633805</v>
      </c>
      <c r="G130" s="10" t="n">
        <v>163250</v>
      </c>
    </row>
    <row r="131">
      <c r="A131" s="9" t="n">
        <v>46023</v>
      </c>
      <c r="B131" s="10" t="inlineStr">
        <is>
          <t>IDC-VIC</t>
        </is>
      </c>
      <c r="C131" s="10" t="n"/>
      <c r="D131" s="10" t="n">
        <v>781083</v>
      </c>
      <c r="E131" s="10" t="n">
        <v>7515</v>
      </c>
      <c r="F131" s="10" t="n">
        <v>568434</v>
      </c>
      <c r="G131" s="10" t="n">
        <v>146130</v>
      </c>
    </row>
    <row r="132">
      <c r="A132" s="9" t="n">
        <v>46054</v>
      </c>
      <c r="B132" s="10" t="inlineStr">
        <is>
          <t>NSW-1</t>
        </is>
      </c>
      <c r="C132" s="10" t="n">
        <v>137091680</v>
      </c>
      <c r="D132" s="10" t="n">
        <v>2833122</v>
      </c>
      <c r="E132" s="10" t="n">
        <v>36158</v>
      </c>
      <c r="F132" s="10" t="n">
        <v>2475636</v>
      </c>
      <c r="G132" s="10" t="n">
        <v>337616</v>
      </c>
    </row>
    <row r="133">
      <c r="A133" s="9" t="n">
        <v>46054</v>
      </c>
      <c r="B133" s="10" t="inlineStr">
        <is>
          <t>VIC-1</t>
        </is>
      </c>
      <c r="C133" s="10" t="n">
        <v>131605858</v>
      </c>
      <c r="D133" s="10" t="n">
        <v>2762241</v>
      </c>
      <c r="E133" s="10" t="n">
        <v>33498</v>
      </c>
      <c r="F133" s="10" t="n">
        <v>2274758</v>
      </c>
      <c r="G133" s="10" t="n">
        <v>300127</v>
      </c>
    </row>
    <row r="134">
      <c r="A134" s="9" t="n">
        <v>46054</v>
      </c>
      <c r="B134" s="10" t="inlineStr">
        <is>
          <t>QLD-1</t>
        </is>
      </c>
      <c r="C134" s="10" t="n">
        <v>109672491</v>
      </c>
      <c r="D134" s="10" t="n">
        <v>2396653</v>
      </c>
      <c r="E134" s="10" t="n">
        <v>32491</v>
      </c>
      <c r="F134" s="10" t="n">
        <v>2127326</v>
      </c>
      <c r="G134" s="10" t="n">
        <v>268302</v>
      </c>
    </row>
    <row r="135">
      <c r="A135" s="9" t="n">
        <v>46054</v>
      </c>
      <c r="B135" s="10" t="inlineStr">
        <is>
          <t>NSW-2</t>
        </is>
      </c>
      <c r="C135" s="10" t="n">
        <v>120059358</v>
      </c>
      <c r="D135" s="10" t="n">
        <v>2522496</v>
      </c>
      <c r="E135" s="10" t="n">
        <v>33213</v>
      </c>
      <c r="F135" s="10" t="n">
        <v>2262698</v>
      </c>
      <c r="G135" s="10" t="n">
        <v>289386</v>
      </c>
    </row>
    <row r="136">
      <c r="A136" s="9" t="n">
        <v>46054</v>
      </c>
      <c r="B136" s="10" t="inlineStr">
        <is>
          <t>VIC-2</t>
        </is>
      </c>
      <c r="C136" s="10" t="n">
        <v>129364448</v>
      </c>
      <c r="D136" s="10" t="n">
        <v>2699414</v>
      </c>
      <c r="E136" s="10" t="n">
        <v>34127</v>
      </c>
      <c r="F136" s="10" t="n">
        <v>2312961</v>
      </c>
      <c r="G136" s="10" t="n">
        <v>314598</v>
      </c>
    </row>
    <row r="137">
      <c r="A137" s="9" t="n">
        <v>46054</v>
      </c>
      <c r="B137" s="10" t="inlineStr">
        <is>
          <t>QLD-2</t>
        </is>
      </c>
      <c r="C137" s="10" t="n">
        <v>114316974</v>
      </c>
      <c r="D137" s="10" t="n">
        <v>2436555</v>
      </c>
      <c r="E137" s="10" t="n">
        <v>32472</v>
      </c>
      <c r="F137" s="10" t="n">
        <v>2127843</v>
      </c>
      <c r="G137" s="10" t="n">
        <v>286826</v>
      </c>
    </row>
    <row r="138">
      <c r="A138" s="9" t="n">
        <v>46054</v>
      </c>
      <c r="B138" s="10" t="inlineStr">
        <is>
          <t>SA-1</t>
        </is>
      </c>
      <c r="C138" s="10" t="n">
        <v>74441334</v>
      </c>
      <c r="D138" s="10" t="n">
        <v>1673824</v>
      </c>
      <c r="E138" s="10" t="n">
        <v>22985</v>
      </c>
      <c r="F138" s="10" t="n">
        <v>1450529</v>
      </c>
      <c r="G138" s="10" t="n">
        <v>221595</v>
      </c>
    </row>
    <row r="139">
      <c r="A139" s="9" t="n">
        <v>46054</v>
      </c>
      <c r="B139" s="10" t="inlineStr">
        <is>
          <t>WA-1</t>
        </is>
      </c>
      <c r="C139" s="10" t="n">
        <v>96657390</v>
      </c>
      <c r="D139" s="10" t="n">
        <v>2119780</v>
      </c>
      <c r="E139" s="10" t="n">
        <v>29173</v>
      </c>
      <c r="F139" s="10" t="n">
        <v>2100854</v>
      </c>
      <c r="G139" s="10" t="n">
        <v>262704</v>
      </c>
    </row>
    <row r="140">
      <c r="A140" s="9" t="n">
        <v>46054</v>
      </c>
      <c r="B140" s="10" t="inlineStr">
        <is>
          <t>IDC-NSW</t>
        </is>
      </c>
      <c r="C140" s="10" t="n"/>
      <c r="D140" s="10" t="n">
        <v>808573</v>
      </c>
      <c r="E140" s="10" t="n">
        <v>7399</v>
      </c>
      <c r="F140" s="10" t="n">
        <v>539975</v>
      </c>
      <c r="G140" s="10" t="n">
        <v>152972</v>
      </c>
    </row>
    <row r="141">
      <c r="A141" s="9" t="n">
        <v>46054</v>
      </c>
      <c r="B141" s="10" t="inlineStr">
        <is>
          <t>IDC-VIC</t>
        </is>
      </c>
      <c r="C141" s="10" t="n"/>
      <c r="D141" s="10" t="n">
        <v>722139</v>
      </c>
      <c r="E141" s="10" t="n">
        <v>7035</v>
      </c>
      <c r="F141" s="10" t="n">
        <v>502876</v>
      </c>
      <c r="G141" s="10" t="n">
        <v>145738</v>
      </c>
    </row>
    <row r="142">
      <c r="A142" s="9" t="n">
        <v>46082</v>
      </c>
      <c r="B142" s="10" t="inlineStr">
        <is>
          <t>NSW-1</t>
        </is>
      </c>
      <c r="C142" s="10" t="n">
        <v>157502961</v>
      </c>
      <c r="D142" s="10" t="n">
        <v>3325193</v>
      </c>
      <c r="E142" s="10" t="n">
        <v>41750</v>
      </c>
      <c r="F142" s="10" t="n">
        <v>2851776</v>
      </c>
      <c r="G142" s="10" t="n">
        <v>329061</v>
      </c>
    </row>
    <row r="143">
      <c r="A143" s="9" t="n">
        <v>46082</v>
      </c>
      <c r="B143" s="10" t="inlineStr">
        <is>
          <t>VIC-1</t>
        </is>
      </c>
      <c r="C143" s="10" t="n">
        <v>146941731</v>
      </c>
      <c r="D143" s="10" t="n">
        <v>3091384</v>
      </c>
      <c r="E143" s="10" t="n">
        <v>38196</v>
      </c>
      <c r="F143" s="10" t="n">
        <v>2655366</v>
      </c>
      <c r="G143" s="10" t="n">
        <v>314437</v>
      </c>
    </row>
    <row r="144">
      <c r="A144" s="9" t="n">
        <v>46082</v>
      </c>
      <c r="B144" s="10" t="inlineStr">
        <is>
          <t>QLD-1</t>
        </is>
      </c>
      <c r="C144" s="10" t="n">
        <v>118789815</v>
      </c>
      <c r="D144" s="10" t="n">
        <v>2534109</v>
      </c>
      <c r="E144" s="10" t="n">
        <v>33163</v>
      </c>
      <c r="F144" s="10" t="n">
        <v>2190711</v>
      </c>
      <c r="G144" s="10" t="n">
        <v>274716</v>
      </c>
    </row>
    <row r="145">
      <c r="A145" s="9" t="n">
        <v>46082</v>
      </c>
      <c r="B145" s="10" t="inlineStr">
        <is>
          <t>NSW-2</t>
        </is>
      </c>
      <c r="C145" s="10" t="n">
        <v>132169716</v>
      </c>
      <c r="D145" s="10" t="n">
        <v>2737561</v>
      </c>
      <c r="E145" s="10" t="n">
        <v>34847</v>
      </c>
      <c r="F145" s="10" t="n">
        <v>2365591</v>
      </c>
      <c r="G145" s="10" t="n">
        <v>289511</v>
      </c>
    </row>
    <row r="146">
      <c r="A146" s="9" t="n">
        <v>46082</v>
      </c>
      <c r="B146" s="10" t="inlineStr">
        <is>
          <t>VIC-2</t>
        </is>
      </c>
      <c r="C146" s="10" t="n">
        <v>140523058</v>
      </c>
      <c r="D146" s="10" t="n">
        <v>2889578</v>
      </c>
      <c r="E146" s="10" t="n">
        <v>36221</v>
      </c>
      <c r="F146" s="10" t="n">
        <v>2504834</v>
      </c>
      <c r="G146" s="10" t="n">
        <v>322976</v>
      </c>
    </row>
    <row r="147">
      <c r="A147" s="9" t="n">
        <v>46082</v>
      </c>
      <c r="B147" s="10" t="inlineStr">
        <is>
          <t>QLD-2</t>
        </is>
      </c>
      <c r="C147" s="10" t="n">
        <v>122798234</v>
      </c>
      <c r="D147" s="10" t="n">
        <v>2642098</v>
      </c>
      <c r="E147" s="10" t="n">
        <v>34550</v>
      </c>
      <c r="F147" s="10" t="n">
        <v>2278400</v>
      </c>
      <c r="G147" s="10" t="n">
        <v>279618</v>
      </c>
    </row>
    <row r="148">
      <c r="A148" s="9" t="n">
        <v>46082</v>
      </c>
      <c r="B148" s="10" t="inlineStr">
        <is>
          <t>SA-1</t>
        </is>
      </c>
      <c r="C148" s="10" t="n">
        <v>81723056</v>
      </c>
      <c r="D148" s="10" t="n">
        <v>1796532</v>
      </c>
      <c r="E148" s="10" t="n">
        <v>25059</v>
      </c>
      <c r="F148" s="10" t="n">
        <v>1600164</v>
      </c>
      <c r="G148" s="10" t="n">
        <v>213258</v>
      </c>
    </row>
    <row r="149">
      <c r="A149" s="9" t="n">
        <v>46082</v>
      </c>
      <c r="B149" s="10" t="inlineStr">
        <is>
          <t>WA-1</t>
        </is>
      </c>
      <c r="C149" s="10" t="n">
        <v>108202577</v>
      </c>
      <c r="D149" s="10" t="n">
        <v>2401862</v>
      </c>
      <c r="E149" s="10" t="n">
        <v>32946</v>
      </c>
      <c r="F149" s="10" t="n">
        <v>2419648</v>
      </c>
      <c r="G149" s="10" t="n">
        <v>265323</v>
      </c>
    </row>
    <row r="150">
      <c r="A150" s="9" t="n">
        <v>46082</v>
      </c>
      <c r="B150" s="10" t="inlineStr">
        <is>
          <t>IDC-NSW</t>
        </is>
      </c>
      <c r="C150" s="10" t="n"/>
      <c r="D150" s="10" t="n">
        <v>930440</v>
      </c>
      <c r="E150" s="10" t="n">
        <v>8628</v>
      </c>
      <c r="F150" s="10" t="n">
        <v>631159</v>
      </c>
      <c r="G150" s="10" t="n">
        <v>156208</v>
      </c>
    </row>
    <row r="151">
      <c r="A151" s="9" t="n">
        <v>46082</v>
      </c>
      <c r="B151" s="10" t="inlineStr">
        <is>
          <t>IDC-VIC</t>
        </is>
      </c>
      <c r="C151" s="10" t="n"/>
      <c r="D151" s="10" t="n">
        <v>810215</v>
      </c>
      <c r="E151" s="10" t="n">
        <v>7512</v>
      </c>
      <c r="F151" s="10" t="n">
        <v>556069</v>
      </c>
      <c r="G151" s="10" t="n">
        <v>143383</v>
      </c>
    </row>
    <row r="152">
      <c r="A152" s="9" t="n">
        <v>46113</v>
      </c>
      <c r="B152" s="10" t="inlineStr">
        <is>
          <t>NSW-1</t>
        </is>
      </c>
      <c r="C152" s="10" t="n">
        <v>153091315</v>
      </c>
      <c r="D152" s="10" t="n">
        <v>3184793</v>
      </c>
      <c r="E152" s="10" t="n">
        <v>41083</v>
      </c>
      <c r="F152" s="10" t="n">
        <v>3202643</v>
      </c>
      <c r="G152" s="10" t="n">
        <v>337787</v>
      </c>
    </row>
    <row r="153">
      <c r="A153" s="9" t="n">
        <v>46113</v>
      </c>
      <c r="B153" s="10" t="inlineStr">
        <is>
          <t>VIC-1</t>
        </is>
      </c>
      <c r="C153" s="10" t="n">
        <v>140264377</v>
      </c>
      <c r="D153" s="10" t="n">
        <v>2924969</v>
      </c>
      <c r="E153" s="10" t="n">
        <v>36057</v>
      </c>
      <c r="F153" s="10" t="n">
        <v>2798669</v>
      </c>
      <c r="G153" s="10" t="n">
        <v>323876</v>
      </c>
    </row>
    <row r="154">
      <c r="A154" s="9" t="n">
        <v>46113</v>
      </c>
      <c r="B154" s="10" t="inlineStr">
        <is>
          <t>QLD-1</t>
        </is>
      </c>
      <c r="C154" s="10" t="n">
        <v>116901572</v>
      </c>
      <c r="D154" s="10" t="n">
        <v>2576218</v>
      </c>
      <c r="E154" s="10" t="n">
        <v>33729</v>
      </c>
      <c r="F154" s="10" t="n">
        <v>2515048</v>
      </c>
      <c r="G154" s="10" t="n">
        <v>265510</v>
      </c>
    </row>
    <row r="155">
      <c r="A155" s="9" t="n">
        <v>46113</v>
      </c>
      <c r="B155" s="10" t="inlineStr">
        <is>
          <t>NSW-2</t>
        </is>
      </c>
      <c r="C155" s="10" t="n">
        <v>132564697</v>
      </c>
      <c r="D155" s="10" t="n">
        <v>2702405</v>
      </c>
      <c r="E155" s="10" t="n">
        <v>34852</v>
      </c>
      <c r="F155" s="10" t="n">
        <v>2678184</v>
      </c>
      <c r="G155" s="10" t="n">
        <v>290675</v>
      </c>
    </row>
    <row r="156">
      <c r="A156" s="9" t="n">
        <v>46113</v>
      </c>
      <c r="B156" s="10" t="inlineStr">
        <is>
          <t>VIC-2</t>
        </is>
      </c>
      <c r="C156" s="10" t="n">
        <v>139867271</v>
      </c>
      <c r="D156" s="10" t="n">
        <v>2856707</v>
      </c>
      <c r="E156" s="10" t="n">
        <v>35604</v>
      </c>
      <c r="F156" s="10" t="n">
        <v>2738290</v>
      </c>
      <c r="G156" s="10" t="n">
        <v>313820</v>
      </c>
    </row>
    <row r="157">
      <c r="A157" s="9" t="n">
        <v>46113</v>
      </c>
      <c r="B157" s="10" t="inlineStr">
        <is>
          <t>QLD-2</t>
        </is>
      </c>
      <c r="C157" s="10" t="n">
        <v>125886692</v>
      </c>
      <c r="D157" s="10" t="n">
        <v>2673809</v>
      </c>
      <c r="E157" s="10" t="n">
        <v>34964</v>
      </c>
      <c r="F157" s="10" t="n">
        <v>2610578</v>
      </c>
      <c r="G157" s="10" t="n">
        <v>272937</v>
      </c>
    </row>
    <row r="158">
      <c r="A158" s="9" t="n">
        <v>46113</v>
      </c>
      <c r="B158" s="10" t="inlineStr">
        <is>
          <t>SA-1</t>
        </is>
      </c>
      <c r="C158" s="10" t="n">
        <v>84195960</v>
      </c>
      <c r="D158" s="10" t="n">
        <v>1838548</v>
      </c>
      <c r="E158" s="10" t="n">
        <v>25686</v>
      </c>
      <c r="F158" s="10" t="n">
        <v>1834558</v>
      </c>
      <c r="G158" s="10" t="n">
        <v>222181</v>
      </c>
    </row>
    <row r="159">
      <c r="A159" s="9" t="n">
        <v>46113</v>
      </c>
      <c r="B159" s="10" t="inlineStr">
        <is>
          <t>WA-1</t>
        </is>
      </c>
      <c r="C159" s="10" t="n">
        <v>111697272</v>
      </c>
      <c r="D159" s="10" t="n">
        <v>2431703</v>
      </c>
      <c r="E159" s="10" t="n">
        <v>32846</v>
      </c>
      <c r="F159" s="10" t="n">
        <v>2683168</v>
      </c>
      <c r="G159" s="10" t="n">
        <v>251771</v>
      </c>
    </row>
    <row r="160">
      <c r="A160" s="9" t="n">
        <v>46113</v>
      </c>
      <c r="B160" s="10" t="inlineStr">
        <is>
          <t>IDC-NSW</t>
        </is>
      </c>
      <c r="C160" s="10" t="n"/>
      <c r="D160" s="10" t="n">
        <v>903256</v>
      </c>
      <c r="E160" s="10" t="n">
        <v>8173</v>
      </c>
      <c r="F160" s="10" t="n">
        <v>668846</v>
      </c>
      <c r="G160" s="10" t="n">
        <v>153196</v>
      </c>
    </row>
    <row r="161">
      <c r="A161" s="9" t="n">
        <v>46113</v>
      </c>
      <c r="B161" s="10" t="inlineStr">
        <is>
          <t>IDC-VIC</t>
        </is>
      </c>
      <c r="C161" s="10" t="n"/>
      <c r="D161" s="10" t="n">
        <v>774047</v>
      </c>
      <c r="E161" s="10" t="n">
        <v>7303</v>
      </c>
      <c r="F161" s="10" t="n">
        <v>589847</v>
      </c>
      <c r="G161" s="10" t="n">
        <v>152430</v>
      </c>
    </row>
    <row r="162">
      <c r="A162" s="9" t="n">
        <v>46143</v>
      </c>
      <c r="B162" s="10" t="inlineStr">
        <is>
          <t>NSW-1</t>
        </is>
      </c>
      <c r="C162" s="10" t="n">
        <v>152229599</v>
      </c>
      <c r="D162" s="10" t="n">
        <v>3123845</v>
      </c>
      <c r="E162" s="10" t="n">
        <v>40644</v>
      </c>
      <c r="F162" s="10" t="n">
        <v>2765647</v>
      </c>
      <c r="G162" s="10" t="n">
        <v>329021</v>
      </c>
    </row>
    <row r="163">
      <c r="A163" s="9" t="n">
        <v>46143</v>
      </c>
      <c r="B163" s="10" t="inlineStr">
        <is>
          <t>VIC-1</t>
        </is>
      </c>
      <c r="C163" s="10" t="n">
        <v>147524828</v>
      </c>
      <c r="D163" s="10" t="n">
        <v>3044611</v>
      </c>
      <c r="E163" s="10" t="n">
        <v>37128</v>
      </c>
      <c r="F163" s="10" t="n">
        <v>2471344</v>
      </c>
      <c r="G163" s="10" t="n">
        <v>322069</v>
      </c>
    </row>
    <row r="164">
      <c r="A164" s="9" t="n">
        <v>46143</v>
      </c>
      <c r="B164" s="10" t="inlineStr">
        <is>
          <t>QLD-1</t>
        </is>
      </c>
      <c r="C164" s="10" t="n">
        <v>116456329</v>
      </c>
      <c r="D164" s="10" t="n">
        <v>2521436</v>
      </c>
      <c r="E164" s="10" t="n">
        <v>34091</v>
      </c>
      <c r="F164" s="10" t="n">
        <v>2287961</v>
      </c>
      <c r="G164" s="10" t="n">
        <v>276287</v>
      </c>
    </row>
    <row r="165">
      <c r="A165" s="9" t="n">
        <v>46143</v>
      </c>
      <c r="B165" s="10" t="inlineStr">
        <is>
          <t>NSW-2</t>
        </is>
      </c>
      <c r="C165" s="10" t="n">
        <v>127917845</v>
      </c>
      <c r="D165" s="10" t="n">
        <v>2679665</v>
      </c>
      <c r="E165" s="10" t="n">
        <v>36522</v>
      </c>
      <c r="F165" s="10" t="n">
        <v>2468423</v>
      </c>
      <c r="G165" s="10" t="n">
        <v>287904</v>
      </c>
    </row>
    <row r="166">
      <c r="A166" s="9" t="n">
        <v>46143</v>
      </c>
      <c r="B166" s="10" t="inlineStr">
        <is>
          <t>VIC-2</t>
        </is>
      </c>
      <c r="C166" s="10" t="n">
        <v>138377675</v>
      </c>
      <c r="D166" s="10" t="n">
        <v>2786409</v>
      </c>
      <c r="E166" s="10" t="n">
        <v>34822</v>
      </c>
      <c r="F166" s="10" t="n">
        <v>2332579</v>
      </c>
      <c r="G166" s="10" t="n">
        <v>313311</v>
      </c>
    </row>
    <row r="167">
      <c r="A167" s="9" t="n">
        <v>46143</v>
      </c>
      <c r="B167" s="10" t="inlineStr">
        <is>
          <t>QLD-2</t>
        </is>
      </c>
      <c r="C167" s="10" t="n">
        <v>123873114</v>
      </c>
      <c r="D167" s="10" t="n">
        <v>2651306</v>
      </c>
      <c r="E167" s="10" t="n">
        <v>35072</v>
      </c>
      <c r="F167" s="10" t="n">
        <v>2340552</v>
      </c>
      <c r="G167" s="10" t="n">
        <v>279451</v>
      </c>
    </row>
    <row r="168">
      <c r="A168" s="9" t="n">
        <v>46143</v>
      </c>
      <c r="B168" s="10" t="inlineStr">
        <is>
          <t>SA-1</t>
        </is>
      </c>
      <c r="C168" s="10" t="n">
        <v>82081320</v>
      </c>
      <c r="D168" s="10" t="n">
        <v>1818868</v>
      </c>
      <c r="E168" s="10" t="n">
        <v>24969</v>
      </c>
      <c r="F168" s="10" t="n">
        <v>1569175</v>
      </c>
      <c r="G168" s="10" t="n">
        <v>214146</v>
      </c>
    </row>
    <row r="169">
      <c r="A169" s="9" t="n">
        <v>46143</v>
      </c>
      <c r="B169" s="10" t="inlineStr">
        <is>
          <t>WA-1</t>
        </is>
      </c>
      <c r="C169" s="10" t="n">
        <v>106186263</v>
      </c>
      <c r="D169" s="10" t="n">
        <v>2292754</v>
      </c>
      <c r="E169" s="10" t="n">
        <v>31229</v>
      </c>
      <c r="F169" s="10" t="n">
        <v>2233552</v>
      </c>
      <c r="G169" s="10" t="n">
        <v>260145</v>
      </c>
    </row>
    <row r="170">
      <c r="A170" s="9" t="n">
        <v>46143</v>
      </c>
      <c r="B170" s="10" t="inlineStr">
        <is>
          <t>IDC-NSW</t>
        </is>
      </c>
      <c r="C170" s="10" t="n"/>
      <c r="D170" s="10" t="n">
        <v>909178</v>
      </c>
      <c r="E170" s="10" t="n">
        <v>8096</v>
      </c>
      <c r="F170" s="10" t="n">
        <v>586256</v>
      </c>
      <c r="G170" s="10" t="n">
        <v>157314</v>
      </c>
    </row>
    <row r="171">
      <c r="A171" s="9" t="n">
        <v>46143</v>
      </c>
      <c r="B171" s="10" t="inlineStr">
        <is>
          <t>IDC-VIC</t>
        </is>
      </c>
      <c r="C171" s="10" t="n"/>
      <c r="D171" s="10" t="n">
        <v>783853</v>
      </c>
      <c r="E171" s="10" t="n">
        <v>7464</v>
      </c>
      <c r="F171" s="10" t="n">
        <v>533849</v>
      </c>
      <c r="G171" s="10" t="n">
        <v>142745</v>
      </c>
    </row>
    <row r="172">
      <c r="A172" s="9" t="n">
        <v>46174</v>
      </c>
      <c r="B172" s="10" t="inlineStr">
        <is>
          <t>NSW-1</t>
        </is>
      </c>
      <c r="C172" s="10" t="n">
        <v>152134607</v>
      </c>
      <c r="D172" s="10" t="n">
        <v>3164472</v>
      </c>
      <c r="E172" s="10" t="n">
        <v>40013</v>
      </c>
      <c r="F172" s="10" t="n">
        <v>2822232</v>
      </c>
      <c r="G172" s="10" t="n">
        <v>333918</v>
      </c>
    </row>
    <row r="173">
      <c r="A173" s="9" t="n">
        <v>46174</v>
      </c>
      <c r="B173" s="10" t="inlineStr">
        <is>
          <t>VIC-1</t>
        </is>
      </c>
      <c r="C173" s="10" t="n">
        <v>141648526</v>
      </c>
      <c r="D173" s="10" t="n">
        <v>2946913</v>
      </c>
      <c r="E173" s="10" t="n">
        <v>35258</v>
      </c>
      <c r="F173" s="10" t="n">
        <v>2456616</v>
      </c>
      <c r="G173" s="10" t="n">
        <v>300199</v>
      </c>
    </row>
    <row r="174">
      <c r="A174" s="9" t="n">
        <v>46174</v>
      </c>
      <c r="B174" s="10" t="inlineStr">
        <is>
          <t>QLD-1</t>
        </is>
      </c>
      <c r="C174" s="10" t="n">
        <v>113293725</v>
      </c>
      <c r="D174" s="10" t="n">
        <v>2488596</v>
      </c>
      <c r="E174" s="10" t="n">
        <v>32398</v>
      </c>
      <c r="F174" s="10" t="n">
        <v>2101682</v>
      </c>
      <c r="G174" s="10" t="n">
        <v>262755</v>
      </c>
    </row>
    <row r="175">
      <c r="A175" s="9" t="n">
        <v>46174</v>
      </c>
      <c r="B175" s="10" t="inlineStr">
        <is>
          <t>NSW-2</t>
        </is>
      </c>
      <c r="C175" s="10" t="n">
        <v>126062822</v>
      </c>
      <c r="D175" s="10" t="n">
        <v>2592553</v>
      </c>
      <c r="E175" s="10" t="n">
        <v>33747</v>
      </c>
      <c r="F175" s="10" t="n">
        <v>2352735</v>
      </c>
      <c r="G175" s="10" t="n">
        <v>288863</v>
      </c>
    </row>
    <row r="176">
      <c r="A176" s="9" t="n">
        <v>46174</v>
      </c>
      <c r="B176" s="10" t="inlineStr">
        <is>
          <t>VIC-2</t>
        </is>
      </c>
      <c r="C176" s="10" t="n">
        <v>133661122</v>
      </c>
      <c r="D176" s="10" t="n">
        <v>2746204</v>
      </c>
      <c r="E176" s="10" t="n">
        <v>33895</v>
      </c>
      <c r="F176" s="10" t="n">
        <v>2354797</v>
      </c>
      <c r="G176" s="10" t="n">
        <v>311375</v>
      </c>
    </row>
    <row r="177">
      <c r="A177" s="9" t="n">
        <v>46174</v>
      </c>
      <c r="B177" s="10" t="inlineStr">
        <is>
          <t>QLD-2</t>
        </is>
      </c>
      <c r="C177" s="10" t="n">
        <v>118336864</v>
      </c>
      <c r="D177" s="10" t="n">
        <v>2567788</v>
      </c>
      <c r="E177" s="10" t="n">
        <v>34339</v>
      </c>
      <c r="F177" s="10" t="n">
        <v>2237996</v>
      </c>
      <c r="G177" s="10" t="n">
        <v>287230</v>
      </c>
    </row>
    <row r="178">
      <c r="A178" s="9" t="n">
        <v>46174</v>
      </c>
      <c r="B178" s="10" t="inlineStr">
        <is>
          <t>SA-1</t>
        </is>
      </c>
      <c r="C178" s="10" t="n">
        <v>81648282</v>
      </c>
      <c r="D178" s="10" t="n">
        <v>1797138</v>
      </c>
      <c r="E178" s="10" t="n">
        <v>24328</v>
      </c>
      <c r="F178" s="10" t="n">
        <v>1542583</v>
      </c>
      <c r="G178" s="10" t="n">
        <v>223249</v>
      </c>
    </row>
    <row r="179">
      <c r="A179" s="9" t="n">
        <v>46174</v>
      </c>
      <c r="B179" s="10" t="inlineStr">
        <is>
          <t>WA-1</t>
        </is>
      </c>
      <c r="C179" s="10" t="n">
        <v>107862555</v>
      </c>
      <c r="D179" s="10" t="n">
        <v>2364329</v>
      </c>
      <c r="E179" s="10" t="n">
        <v>30712</v>
      </c>
      <c r="F179" s="10" t="n">
        <v>2255559</v>
      </c>
      <c r="G179" s="10" t="n">
        <v>264104</v>
      </c>
    </row>
    <row r="180">
      <c r="A180" s="9" t="n">
        <v>46174</v>
      </c>
      <c r="B180" s="10" t="inlineStr">
        <is>
          <t>IDC-NSW</t>
        </is>
      </c>
      <c r="C180" s="10" t="n"/>
      <c r="D180" s="10" t="n">
        <v>897114</v>
      </c>
      <c r="E180" s="10" t="n">
        <v>7812</v>
      </c>
      <c r="F180" s="10" t="n">
        <v>588046</v>
      </c>
      <c r="G180" s="10" t="n">
        <v>157283</v>
      </c>
    </row>
    <row r="181">
      <c r="A181" s="9" t="n">
        <v>46174</v>
      </c>
      <c r="B181" s="10" t="inlineStr">
        <is>
          <t>IDC-VIC</t>
        </is>
      </c>
      <c r="C181" s="10" t="n"/>
      <c r="D181" s="10" t="n">
        <v>766584</v>
      </c>
      <c r="E181" s="10" t="n">
        <v>7169</v>
      </c>
      <c r="F181" s="10" t="n">
        <v>527229</v>
      </c>
      <c r="G181" s="10" t="n">
        <v>151115</v>
      </c>
    </row>
    <row r="182">
      <c r="A182" s="9" t="n">
        <v>46204</v>
      </c>
      <c r="B182" s="10" t="inlineStr">
        <is>
          <t>NSW-1</t>
        </is>
      </c>
      <c r="C182" s="10" t="n">
        <v>157303158</v>
      </c>
      <c r="D182" s="10" t="n">
        <v>3258169</v>
      </c>
      <c r="E182" s="10" t="n">
        <v>40984</v>
      </c>
      <c r="F182" s="10" t="n">
        <v>2790412</v>
      </c>
      <c r="G182" s="10" t="n">
        <v>338813</v>
      </c>
    </row>
    <row r="183">
      <c r="A183" s="9" t="n">
        <v>46204</v>
      </c>
      <c r="B183" s="10" t="inlineStr">
        <is>
          <t>VIC-1</t>
        </is>
      </c>
      <c r="C183" s="10" t="n">
        <v>145101604</v>
      </c>
      <c r="D183" s="10" t="n">
        <v>3027457</v>
      </c>
      <c r="E183" s="10" t="n">
        <v>37220</v>
      </c>
      <c r="F183" s="10" t="n">
        <v>2506738</v>
      </c>
      <c r="G183" s="10" t="n">
        <v>320571</v>
      </c>
    </row>
    <row r="184">
      <c r="A184" s="9" t="n">
        <v>46204</v>
      </c>
      <c r="B184" s="10" t="inlineStr">
        <is>
          <t>QLD-1</t>
        </is>
      </c>
      <c r="C184" s="10" t="n">
        <v>118163726</v>
      </c>
      <c r="D184" s="10" t="n">
        <v>2515126</v>
      </c>
      <c r="E184" s="10" t="n">
        <v>33618</v>
      </c>
      <c r="F184" s="10" t="n">
        <v>2157145</v>
      </c>
      <c r="G184" s="10" t="n">
        <v>269163</v>
      </c>
    </row>
    <row r="185">
      <c r="A185" s="9" t="n">
        <v>46204</v>
      </c>
      <c r="B185" s="10" t="inlineStr">
        <is>
          <t>NSW-2</t>
        </is>
      </c>
      <c r="C185" s="10" t="n">
        <v>127348869</v>
      </c>
      <c r="D185" s="10" t="n">
        <v>2645719</v>
      </c>
      <c r="E185" s="10" t="n">
        <v>34000</v>
      </c>
      <c r="F185" s="10" t="n">
        <v>2360502</v>
      </c>
      <c r="G185" s="10" t="n">
        <v>287377</v>
      </c>
    </row>
    <row r="186">
      <c r="A186" s="9" t="n">
        <v>46204</v>
      </c>
      <c r="B186" s="10" t="inlineStr">
        <is>
          <t>VIC-2</t>
        </is>
      </c>
      <c r="C186" s="10" t="n">
        <v>140176075</v>
      </c>
      <c r="D186" s="10" t="n">
        <v>2794298</v>
      </c>
      <c r="E186" s="10" t="n">
        <v>35430</v>
      </c>
      <c r="F186" s="10" t="n">
        <v>2392202</v>
      </c>
      <c r="G186" s="10" t="n">
        <v>314154</v>
      </c>
    </row>
    <row r="187">
      <c r="A187" s="9" t="n">
        <v>46204</v>
      </c>
      <c r="B187" s="10" t="inlineStr">
        <is>
          <t>QLD-2</t>
        </is>
      </c>
      <c r="C187" s="10" t="n">
        <v>124914357</v>
      </c>
      <c r="D187" s="10" t="n">
        <v>2681266</v>
      </c>
      <c r="E187" s="10" t="n">
        <v>34437</v>
      </c>
      <c r="F187" s="10" t="n">
        <v>2250686</v>
      </c>
      <c r="G187" s="10" t="n">
        <v>274923</v>
      </c>
    </row>
    <row r="188">
      <c r="A188" s="9" t="n">
        <v>46204</v>
      </c>
      <c r="B188" s="10" t="inlineStr">
        <is>
          <t>SA-1</t>
        </is>
      </c>
      <c r="C188" s="10" t="n">
        <v>81940139</v>
      </c>
      <c r="D188" s="10" t="n">
        <v>1841489</v>
      </c>
      <c r="E188" s="10" t="n">
        <v>25392</v>
      </c>
      <c r="F188" s="10" t="n">
        <v>1611224</v>
      </c>
      <c r="G188" s="10" t="n">
        <v>221285</v>
      </c>
    </row>
    <row r="189">
      <c r="A189" s="9" t="n">
        <v>46204</v>
      </c>
      <c r="B189" s="10" t="inlineStr">
        <is>
          <t>WA-1</t>
        </is>
      </c>
      <c r="C189" s="10" t="n">
        <v>109022765</v>
      </c>
      <c r="D189" s="10" t="n">
        <v>2412518</v>
      </c>
      <c r="E189" s="10" t="n">
        <v>32745</v>
      </c>
      <c r="F189" s="10" t="n">
        <v>2365642</v>
      </c>
      <c r="G189" s="10" t="n">
        <v>268471</v>
      </c>
    </row>
    <row r="190">
      <c r="A190" s="9" t="n">
        <v>46204</v>
      </c>
      <c r="B190" s="10" t="inlineStr">
        <is>
          <t>IDC-NSW</t>
        </is>
      </c>
      <c r="C190" s="10" t="n"/>
      <c r="D190" s="10" t="n">
        <v>918518</v>
      </c>
      <c r="E190" s="10" t="n">
        <v>8012</v>
      </c>
      <c r="F190" s="10" t="n">
        <v>582474</v>
      </c>
      <c r="G190" s="10" t="n">
        <v>153284</v>
      </c>
    </row>
    <row r="191">
      <c r="A191" s="9" t="n">
        <v>46204</v>
      </c>
      <c r="B191" s="10" t="inlineStr">
        <is>
          <t>IDC-VIC</t>
        </is>
      </c>
      <c r="C191" s="10" t="n"/>
      <c r="D191" s="10" t="n">
        <v>767422</v>
      </c>
      <c r="E191" s="10" t="n">
        <v>7056</v>
      </c>
      <c r="F191" s="10" t="n">
        <v>502261</v>
      </c>
      <c r="G191" s="10" t="n">
        <v>149858</v>
      </c>
    </row>
    <row r="192">
      <c r="A192" s="9" t="n">
        <v>46235</v>
      </c>
      <c r="B192" s="10" t="inlineStr">
        <is>
          <t>NSW-1</t>
        </is>
      </c>
      <c r="C192" s="10" t="n">
        <v>154523231</v>
      </c>
      <c r="D192" s="10" t="n">
        <v>3207130</v>
      </c>
      <c r="E192" s="10" t="n">
        <v>40493</v>
      </c>
      <c r="F192" s="10" t="n">
        <v>2822833</v>
      </c>
      <c r="G192" s="10" t="n">
        <v>330411</v>
      </c>
    </row>
    <row r="193">
      <c r="A193" s="9" t="n">
        <v>46235</v>
      </c>
      <c r="B193" s="10" t="inlineStr">
        <is>
          <t>VIC-1</t>
        </is>
      </c>
      <c r="C193" s="10" t="n">
        <v>140340506</v>
      </c>
      <c r="D193" s="10" t="n">
        <v>2955324</v>
      </c>
      <c r="E193" s="10" t="n">
        <v>35401</v>
      </c>
      <c r="F193" s="10" t="n">
        <v>2377259</v>
      </c>
      <c r="G193" s="10" t="n">
        <v>313314</v>
      </c>
    </row>
    <row r="194">
      <c r="A194" s="9" t="n">
        <v>46235</v>
      </c>
      <c r="B194" s="10" t="inlineStr">
        <is>
          <t>QLD-1</t>
        </is>
      </c>
      <c r="C194" s="10" t="n">
        <v>120980031</v>
      </c>
      <c r="D194" s="10" t="n">
        <v>2569610</v>
      </c>
      <c r="E194" s="10" t="n">
        <v>34322</v>
      </c>
      <c r="F194" s="10" t="n">
        <v>2221995</v>
      </c>
      <c r="G194" s="10" t="n">
        <v>273852</v>
      </c>
    </row>
    <row r="195">
      <c r="A195" s="9" t="n">
        <v>46235</v>
      </c>
      <c r="B195" s="10" t="inlineStr">
        <is>
          <t>NSW-2</t>
        </is>
      </c>
      <c r="C195" s="10" t="n">
        <v>127426811</v>
      </c>
      <c r="D195" s="10" t="n">
        <v>2638830</v>
      </c>
      <c r="E195" s="10" t="n">
        <v>34331</v>
      </c>
      <c r="F195" s="10" t="n">
        <v>2355471</v>
      </c>
      <c r="G195" s="10" t="n">
        <v>282102</v>
      </c>
    </row>
    <row r="196">
      <c r="A196" s="9" t="n">
        <v>46235</v>
      </c>
      <c r="B196" s="10" t="inlineStr">
        <is>
          <t>VIC-2</t>
        </is>
      </c>
      <c r="C196" s="10" t="n">
        <v>138115853</v>
      </c>
      <c r="D196" s="10" t="n">
        <v>2776702</v>
      </c>
      <c r="E196" s="10" t="n">
        <v>34530</v>
      </c>
      <c r="F196" s="10" t="n">
        <v>2325728</v>
      </c>
      <c r="G196" s="10" t="n">
        <v>305332</v>
      </c>
    </row>
    <row r="197">
      <c r="A197" s="9" t="n">
        <v>46235</v>
      </c>
      <c r="B197" s="10" t="inlineStr">
        <is>
          <t>QLD-2</t>
        </is>
      </c>
      <c r="C197" s="10" t="n">
        <v>124472644</v>
      </c>
      <c r="D197" s="10" t="n">
        <v>2670437</v>
      </c>
      <c r="E197" s="10" t="n">
        <v>35222</v>
      </c>
      <c r="F197" s="10" t="n">
        <v>2284378</v>
      </c>
      <c r="G197" s="10" t="n">
        <v>287759</v>
      </c>
    </row>
    <row r="198">
      <c r="A198" s="9" t="n">
        <v>46235</v>
      </c>
      <c r="B198" s="10" t="inlineStr">
        <is>
          <t>SA-1</t>
        </is>
      </c>
      <c r="C198" s="10" t="n">
        <v>80867529</v>
      </c>
      <c r="D198" s="10" t="n">
        <v>1791999</v>
      </c>
      <c r="E198" s="10" t="n">
        <v>24739</v>
      </c>
      <c r="F198" s="10" t="n">
        <v>1585645</v>
      </c>
      <c r="G198" s="10" t="n">
        <v>221865</v>
      </c>
    </row>
    <row r="199">
      <c r="A199" s="9" t="n">
        <v>46235</v>
      </c>
      <c r="B199" s="10" t="inlineStr">
        <is>
          <t>WA-1</t>
        </is>
      </c>
      <c r="C199" s="10" t="n">
        <v>106388661</v>
      </c>
      <c r="D199" s="10" t="n">
        <v>2314634</v>
      </c>
      <c r="E199" s="10" t="n">
        <v>30977</v>
      </c>
      <c r="F199" s="10" t="n">
        <v>2215203</v>
      </c>
      <c r="G199" s="10" t="n">
        <v>255449</v>
      </c>
    </row>
    <row r="200">
      <c r="A200" s="9" t="n">
        <v>46235</v>
      </c>
      <c r="B200" s="10" t="inlineStr">
        <is>
          <t>IDC-NSW</t>
        </is>
      </c>
      <c r="C200" s="10" t="n"/>
      <c r="D200" s="10" t="n">
        <v>894170</v>
      </c>
      <c r="E200" s="10" t="n">
        <v>8107</v>
      </c>
      <c r="F200" s="10" t="n">
        <v>588107</v>
      </c>
      <c r="G200" s="10" t="n">
        <v>158388</v>
      </c>
    </row>
    <row r="201">
      <c r="A201" s="9" t="n">
        <v>46235</v>
      </c>
      <c r="B201" s="10" t="inlineStr">
        <is>
          <t>IDC-VIC</t>
        </is>
      </c>
      <c r="C201" s="10" t="n"/>
      <c r="D201" s="10" t="n">
        <v>767979</v>
      </c>
      <c r="E201" s="10" t="n">
        <v>6959</v>
      </c>
      <c r="F201" s="10" t="n">
        <v>497930</v>
      </c>
      <c r="G201" s="10" t="n">
        <v>142213</v>
      </c>
    </row>
    <row r="202">
      <c r="A202" s="9" t="n">
        <v>46266</v>
      </c>
      <c r="B202" s="10" t="inlineStr">
        <is>
          <t>NSW-1</t>
        </is>
      </c>
      <c r="C202" s="10" t="n">
        <v>156141692</v>
      </c>
      <c r="D202" s="10" t="n">
        <v>3201093</v>
      </c>
      <c r="E202" s="10" t="n">
        <v>40680</v>
      </c>
      <c r="F202" s="10" t="n">
        <v>2767047</v>
      </c>
      <c r="G202" s="10" t="n">
        <v>331795</v>
      </c>
    </row>
    <row r="203">
      <c r="A203" s="9" t="n">
        <v>46266</v>
      </c>
      <c r="B203" s="10" t="inlineStr">
        <is>
          <t>VIC-1</t>
        </is>
      </c>
      <c r="C203" s="10" t="n">
        <v>142762382</v>
      </c>
      <c r="D203" s="10" t="n">
        <v>2972398</v>
      </c>
      <c r="E203" s="10" t="n">
        <v>36192</v>
      </c>
      <c r="F203" s="10" t="n">
        <v>2510738</v>
      </c>
      <c r="G203" s="10" t="n">
        <v>306111</v>
      </c>
    </row>
    <row r="204">
      <c r="A204" s="9" t="n">
        <v>46266</v>
      </c>
      <c r="B204" s="10" t="inlineStr">
        <is>
          <t>QLD-1</t>
        </is>
      </c>
      <c r="C204" s="10" t="n">
        <v>116519697</v>
      </c>
      <c r="D204" s="10" t="n">
        <v>2548180</v>
      </c>
      <c r="E204" s="10" t="n">
        <v>33764</v>
      </c>
      <c r="F204" s="10" t="n">
        <v>2205615</v>
      </c>
      <c r="G204" s="10" t="n">
        <v>273376</v>
      </c>
    </row>
    <row r="205">
      <c r="A205" s="9" t="n">
        <v>46266</v>
      </c>
      <c r="B205" s="10" t="inlineStr">
        <is>
          <t>NSW-2</t>
        </is>
      </c>
      <c r="C205" s="10" t="n">
        <v>127789999</v>
      </c>
      <c r="D205" s="10" t="n">
        <v>2617581</v>
      </c>
      <c r="E205" s="10" t="n">
        <v>34369</v>
      </c>
      <c r="F205" s="10" t="n">
        <v>2329098</v>
      </c>
      <c r="G205" s="10" t="n">
        <v>297962</v>
      </c>
    </row>
    <row r="206">
      <c r="A206" s="9" t="n">
        <v>46266</v>
      </c>
      <c r="B206" s="10" t="inlineStr">
        <is>
          <t>VIC-2</t>
        </is>
      </c>
      <c r="C206" s="10" t="n">
        <v>137926213</v>
      </c>
      <c r="D206" s="10" t="n">
        <v>2791629</v>
      </c>
      <c r="E206" s="10" t="n">
        <v>34143</v>
      </c>
      <c r="F206" s="10" t="n">
        <v>2379355</v>
      </c>
      <c r="G206" s="10" t="n">
        <v>316584</v>
      </c>
    </row>
    <row r="207">
      <c r="A207" s="9" t="n">
        <v>46266</v>
      </c>
      <c r="B207" s="10" t="inlineStr">
        <is>
          <t>QLD-2</t>
        </is>
      </c>
      <c r="C207" s="10" t="n">
        <v>123051883</v>
      </c>
      <c r="D207" s="10" t="n">
        <v>2579876</v>
      </c>
      <c r="E207" s="10" t="n">
        <v>33441</v>
      </c>
      <c r="F207" s="10" t="n">
        <v>2165819</v>
      </c>
      <c r="G207" s="10" t="n">
        <v>278090</v>
      </c>
    </row>
    <row r="208">
      <c r="A208" s="9" t="n">
        <v>46266</v>
      </c>
      <c r="B208" s="10" t="inlineStr">
        <is>
          <t>SA-1</t>
        </is>
      </c>
      <c r="C208" s="10" t="n">
        <v>81936733</v>
      </c>
      <c r="D208" s="10" t="n">
        <v>1784699</v>
      </c>
      <c r="E208" s="10" t="n">
        <v>24457</v>
      </c>
      <c r="F208" s="10" t="n">
        <v>1555278</v>
      </c>
      <c r="G208" s="10" t="n">
        <v>209518</v>
      </c>
    </row>
    <row r="209">
      <c r="A209" s="9" t="n">
        <v>46266</v>
      </c>
      <c r="B209" s="10" t="inlineStr">
        <is>
          <t>WA-1</t>
        </is>
      </c>
      <c r="C209" s="10" t="n">
        <v>109682954</v>
      </c>
      <c r="D209" s="10" t="n">
        <v>2379611</v>
      </c>
      <c r="E209" s="10" t="n">
        <v>31248</v>
      </c>
      <c r="F209" s="10" t="n">
        <v>2290046</v>
      </c>
      <c r="G209" s="10" t="n">
        <v>258923</v>
      </c>
    </row>
    <row r="210">
      <c r="A210" s="9" t="n">
        <v>46266</v>
      </c>
      <c r="B210" s="10" t="inlineStr">
        <is>
          <t>IDC-NSW</t>
        </is>
      </c>
      <c r="C210" s="10" t="n"/>
      <c r="D210" s="10" t="n">
        <v>921889</v>
      </c>
      <c r="E210" s="10" t="n">
        <v>8103</v>
      </c>
      <c r="F210" s="10" t="n">
        <v>590287</v>
      </c>
      <c r="G210" s="10" t="n">
        <v>158594</v>
      </c>
    </row>
    <row r="211">
      <c r="A211" s="9" t="n">
        <v>46266</v>
      </c>
      <c r="B211" s="10" t="inlineStr">
        <is>
          <t>IDC-VIC</t>
        </is>
      </c>
      <c r="C211" s="10" t="n"/>
      <c r="D211" s="10" t="n">
        <v>768172</v>
      </c>
      <c r="E211" s="10" t="n">
        <v>7201</v>
      </c>
      <c r="F211" s="10" t="n">
        <v>521678</v>
      </c>
      <c r="G211" s="10" t="n">
        <v>147742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5" t="inlineStr">
        <is>
          <t>Month</t>
        </is>
      </c>
      <c r="B1" s="5" t="inlineStr">
        <is>
          <t>Site</t>
        </is>
      </c>
      <c r="C1" s="5" t="inlineStr">
        <is>
          <t>Sales forecast $</t>
        </is>
      </c>
      <c r="D1" s="5" t="inlineStr">
        <is>
          <t>Payroll % of sales (total)</t>
        </is>
      </c>
      <c r="F1" s="8" t="inlineStr">
        <is>
          <t>Stand-in for the long-range plan. IDC payroll % is a % of the host region's sales (IDC-NSW: NSW-1, IDC-VIC: VIC-1).</t>
        </is>
      </c>
    </row>
    <row r="2">
      <c r="A2" s="9" t="n">
        <v>46023</v>
      </c>
      <c r="B2" t="inlineStr">
        <is>
          <t>NSW-1</t>
        </is>
      </c>
      <c r="C2" s="10" t="n">
        <v>153814000</v>
      </c>
      <c r="D2" s="11" t="n">
        <v>0.022</v>
      </c>
    </row>
    <row r="3">
      <c r="A3" s="9" t="n">
        <v>46023</v>
      </c>
      <c r="B3" t="inlineStr">
        <is>
          <t>VIC-1</t>
        </is>
      </c>
      <c r="C3" s="10" t="n">
        <v>142733000</v>
      </c>
      <c r="D3" s="11" t="n">
        <v>0.0209</v>
      </c>
    </row>
    <row r="4">
      <c r="A4" s="9" t="n">
        <v>46023</v>
      </c>
      <c r="B4" t="inlineStr">
        <is>
          <t>QLD-1</t>
        </is>
      </c>
      <c r="C4" s="10" t="n">
        <v>117343000</v>
      </c>
      <c r="D4" s="11" t="n">
        <v>0.0223</v>
      </c>
    </row>
    <row r="5">
      <c r="A5" s="9" t="n">
        <v>46023</v>
      </c>
      <c r="B5" t="inlineStr">
        <is>
          <t>NSW-2</t>
        </is>
      </c>
      <c r="C5" s="10" t="n">
        <v>126585000</v>
      </c>
      <c r="D5" s="11" t="n">
        <v>0.0222</v>
      </c>
    </row>
    <row r="6">
      <c r="A6" s="9" t="n">
        <v>46023</v>
      </c>
      <c r="B6" t="inlineStr">
        <is>
          <t>VIC-2</t>
        </is>
      </c>
      <c r="C6" s="10" t="n">
        <v>135910000</v>
      </c>
      <c r="D6" s="11" t="n">
        <v>0.021</v>
      </c>
    </row>
    <row r="7">
      <c r="A7" s="9" t="n">
        <v>46023</v>
      </c>
      <c r="B7" t="inlineStr">
        <is>
          <t>QLD-2</t>
        </is>
      </c>
      <c r="C7" s="10" t="n">
        <v>120851000</v>
      </c>
      <c r="D7" s="11" t="n">
        <v>0.0221</v>
      </c>
    </row>
    <row r="8">
      <c r="A8" s="9" t="n">
        <v>46023</v>
      </c>
      <c r="B8" t="inlineStr">
        <is>
          <t>SA-1</t>
        </is>
      </c>
      <c r="C8" s="10" t="n">
        <v>79038000</v>
      </c>
      <c r="D8" s="11" t="n">
        <v>0.0231</v>
      </c>
    </row>
    <row r="9">
      <c r="A9" s="9" t="n">
        <v>46023</v>
      </c>
      <c r="B9" t="inlineStr">
        <is>
          <t>WA-1</t>
        </is>
      </c>
      <c r="C9" s="10" t="n">
        <v>106821000</v>
      </c>
      <c r="D9" s="11" t="n">
        <v>0.0267</v>
      </c>
    </row>
    <row r="10">
      <c r="A10" s="9" t="n">
        <v>46023</v>
      </c>
      <c r="B10" t="inlineStr">
        <is>
          <t>IDC-NSW</t>
        </is>
      </c>
      <c r="C10" s="10" t="n"/>
      <c r="D10" s="11" t="n">
        <v>0.0052</v>
      </c>
    </row>
    <row r="11">
      <c r="A11" s="9" t="n">
        <v>46023</v>
      </c>
      <c r="B11" t="inlineStr">
        <is>
          <t>IDC-VIC</t>
        </is>
      </c>
      <c r="C11" s="10" t="n"/>
      <c r="D11" s="11" t="n">
        <v>0.005</v>
      </c>
    </row>
    <row r="12">
      <c r="A12" s="9" t="n">
        <v>46054</v>
      </c>
      <c r="B12" t="inlineStr">
        <is>
          <t>NSW-1</t>
        </is>
      </c>
      <c r="C12" s="10" t="n">
        <v>137092000</v>
      </c>
      <c r="D12" s="11" t="n">
        <v>0.0205</v>
      </c>
    </row>
    <row r="13">
      <c r="A13" s="9" t="n">
        <v>46054</v>
      </c>
      <c r="B13" t="inlineStr">
        <is>
          <t>VIC-1</t>
        </is>
      </c>
      <c r="C13" s="10" t="n">
        <v>131606000</v>
      </c>
      <c r="D13" s="11" t="n">
        <v>0.0196</v>
      </c>
    </row>
    <row r="14">
      <c r="A14" s="9" t="n">
        <v>46054</v>
      </c>
      <c r="B14" t="inlineStr">
        <is>
          <t>QLD-1</t>
        </is>
      </c>
      <c r="C14" s="10" t="n">
        <v>109672000</v>
      </c>
      <c r="D14" s="11" t="n">
        <v>0.0218</v>
      </c>
    </row>
    <row r="15">
      <c r="A15" s="9" t="n">
        <v>46054</v>
      </c>
      <c r="B15" t="inlineStr">
        <is>
          <t>NSW-2</t>
        </is>
      </c>
      <c r="C15" s="10" t="n">
        <v>120059000</v>
      </c>
      <c r="D15" s="11" t="n">
        <v>0.0213</v>
      </c>
    </row>
    <row r="16">
      <c r="A16" s="9" t="n">
        <v>46054</v>
      </c>
      <c r="B16" t="inlineStr">
        <is>
          <t>VIC-2</t>
        </is>
      </c>
      <c r="C16" s="10" t="n">
        <v>129364000</v>
      </c>
      <c r="D16" s="11" t="n">
        <v>0.0203</v>
      </c>
    </row>
    <row r="17">
      <c r="A17" s="9" t="n">
        <v>46054</v>
      </c>
      <c r="B17" t="inlineStr">
        <is>
          <t>QLD-2</t>
        </is>
      </c>
      <c r="C17" s="10" t="n">
        <v>114317000</v>
      </c>
      <c r="D17" s="11" t="n">
        <v>0.0211</v>
      </c>
    </row>
    <row r="18">
      <c r="A18" s="9" t="n">
        <v>46054</v>
      </c>
      <c r="B18" t="inlineStr">
        <is>
          <t>SA-1</t>
        </is>
      </c>
      <c r="C18" s="10" t="n">
        <v>74441000</v>
      </c>
      <c r="D18" s="11" t="n">
        <v>0.0225</v>
      </c>
    </row>
    <row r="19">
      <c r="A19" s="9" t="n">
        <v>46054</v>
      </c>
      <c r="B19" t="inlineStr">
        <is>
          <t>WA-1</t>
        </is>
      </c>
      <c r="C19" s="10" t="n">
        <v>96657000</v>
      </c>
      <c r="D19" s="11" t="n">
        <v>0.0245</v>
      </c>
    </row>
    <row r="20">
      <c r="A20" s="9" t="n">
        <v>46054</v>
      </c>
      <c r="B20" t="inlineStr">
        <is>
          <t>IDC-NSW</t>
        </is>
      </c>
      <c r="C20" s="10" t="n"/>
      <c r="D20" s="11" t="n">
        <v>0.0051</v>
      </c>
    </row>
    <row r="21">
      <c r="A21" s="9" t="n">
        <v>46054</v>
      </c>
      <c r="B21" t="inlineStr">
        <is>
          <t>IDC-VIC</t>
        </is>
      </c>
      <c r="C21" s="10" t="n"/>
      <c r="D21" s="11" t="n">
        <v>0.0049</v>
      </c>
    </row>
    <row r="22">
      <c r="A22" s="9" t="n">
        <v>46082</v>
      </c>
      <c r="B22" t="inlineStr">
        <is>
          <t>NSW-1</t>
        </is>
      </c>
      <c r="C22" s="10" t="n">
        <v>157503000</v>
      </c>
      <c r="D22" s="11" t="n">
        <v>0.0202</v>
      </c>
    </row>
    <row r="23">
      <c r="A23" s="9" t="n">
        <v>46082</v>
      </c>
      <c r="B23" t="inlineStr">
        <is>
          <t>VIC-1</t>
        </is>
      </c>
      <c r="C23" s="10" t="n">
        <v>146942000</v>
      </c>
      <c r="D23" s="11" t="n">
        <v>0.0202</v>
      </c>
    </row>
    <row r="24">
      <c r="A24" s="9" t="n">
        <v>46082</v>
      </c>
      <c r="B24" t="inlineStr">
        <is>
          <t>QLD-1</t>
        </is>
      </c>
      <c r="C24" s="10" t="n">
        <v>118790000</v>
      </c>
      <c r="D24" s="11" t="n">
        <v>0.0208</v>
      </c>
    </row>
    <row r="25">
      <c r="A25" s="9" t="n">
        <v>46082</v>
      </c>
      <c r="B25" t="inlineStr">
        <is>
          <t>NSW-2</t>
        </is>
      </c>
      <c r="C25" s="10" t="n">
        <v>132170000</v>
      </c>
      <c r="D25" s="11" t="n">
        <v>0.0201</v>
      </c>
    </row>
    <row r="26">
      <c r="A26" s="9" t="n">
        <v>46082</v>
      </c>
      <c r="B26" t="inlineStr">
        <is>
          <t>VIC-2</t>
        </is>
      </c>
      <c r="C26" s="10" t="n">
        <v>140523000</v>
      </c>
      <c r="D26" s="11" t="n">
        <v>0.0201</v>
      </c>
    </row>
    <row r="27">
      <c r="A27" s="9" t="n">
        <v>46082</v>
      </c>
      <c r="B27" t="inlineStr">
        <is>
          <t>QLD-2</t>
        </is>
      </c>
      <c r="C27" s="10" t="n">
        <v>122798000</v>
      </c>
      <c r="D27" s="11" t="n">
        <v>0.0208</v>
      </c>
    </row>
    <row r="28">
      <c r="A28" s="9" t="n">
        <v>46082</v>
      </c>
      <c r="B28" t="inlineStr">
        <is>
          <t>SA-1</t>
        </is>
      </c>
      <c r="C28" s="10" t="n">
        <v>81723000</v>
      </c>
      <c r="D28" s="11" t="n">
        <v>0.0222</v>
      </c>
    </row>
    <row r="29">
      <c r="A29" s="9" t="n">
        <v>46082</v>
      </c>
      <c r="B29" t="inlineStr">
        <is>
          <t>WA-1</t>
        </is>
      </c>
      <c r="C29" s="10" t="n">
        <v>108203000</v>
      </c>
      <c r="D29" s="11" t="n">
        <v>0.0248</v>
      </c>
    </row>
    <row r="30">
      <c r="A30" s="9" t="n">
        <v>46082</v>
      </c>
      <c r="B30" t="inlineStr">
        <is>
          <t>IDC-NSW</t>
        </is>
      </c>
      <c r="C30" s="10" t="n"/>
      <c r="D30" s="11" t="n">
        <v>0.005</v>
      </c>
    </row>
    <row r="31">
      <c r="A31" s="9" t="n">
        <v>46082</v>
      </c>
      <c r="B31" t="inlineStr">
        <is>
          <t>IDC-VIC</t>
        </is>
      </c>
      <c r="C31" s="10" t="n"/>
      <c r="D31" s="11" t="n">
        <v>0.0048</v>
      </c>
    </row>
    <row r="32">
      <c r="A32" s="9" t="n">
        <v>46113</v>
      </c>
      <c r="B32" t="inlineStr">
        <is>
          <t>NSW-1</t>
        </is>
      </c>
      <c r="C32" s="10" t="n">
        <v>153091000</v>
      </c>
      <c r="D32" s="11" t="n">
        <v>0.0231</v>
      </c>
    </row>
    <row r="33">
      <c r="A33" s="9" t="n">
        <v>46113</v>
      </c>
      <c r="B33" t="inlineStr">
        <is>
          <t>VIC-1</t>
        </is>
      </c>
      <c r="C33" s="10" t="n">
        <v>140264000</v>
      </c>
      <c r="D33" s="11" t="n">
        <v>0.0223</v>
      </c>
    </row>
    <row r="34">
      <c r="A34" s="9" t="n">
        <v>46113</v>
      </c>
      <c r="B34" t="inlineStr">
        <is>
          <t>QLD-1</t>
        </is>
      </c>
      <c r="C34" s="10" t="n">
        <v>116902000</v>
      </c>
      <c r="D34" s="11" t="n">
        <v>0.0238</v>
      </c>
    </row>
    <row r="35">
      <c r="A35" s="9" t="n">
        <v>46113</v>
      </c>
      <c r="B35" t="inlineStr">
        <is>
          <t>NSW-2</t>
        </is>
      </c>
      <c r="C35" s="10" t="n">
        <v>132565000</v>
      </c>
      <c r="D35" s="11" t="n">
        <v>0.0224</v>
      </c>
    </row>
    <row r="36">
      <c r="A36" s="9" t="n">
        <v>46113</v>
      </c>
      <c r="B36" t="inlineStr">
        <is>
          <t>VIC-2</t>
        </is>
      </c>
      <c r="C36" s="10" t="n">
        <v>139867000</v>
      </c>
      <c r="D36" s="11" t="n">
        <v>0.0218</v>
      </c>
    </row>
    <row r="37">
      <c r="A37" s="9" t="n">
        <v>46113</v>
      </c>
      <c r="B37" t="inlineStr">
        <is>
          <t>QLD-2</t>
        </is>
      </c>
      <c r="C37" s="10" t="n">
        <v>125887000</v>
      </c>
      <c r="D37" s="11" t="n">
        <v>0.0229</v>
      </c>
    </row>
    <row r="38">
      <c r="A38" s="9" t="n">
        <v>46113</v>
      </c>
      <c r="B38" t="inlineStr">
        <is>
          <t>SA-1</t>
        </is>
      </c>
      <c r="C38" s="10" t="n">
        <v>84196000</v>
      </c>
      <c r="D38" s="11" t="n">
        <v>0.0244</v>
      </c>
    </row>
    <row r="39">
      <c r="A39" s="9" t="n">
        <v>46113</v>
      </c>
      <c r="B39" t="inlineStr">
        <is>
          <t>WA-1</t>
        </is>
      </c>
      <c r="C39" s="10" t="n">
        <v>111697000</v>
      </c>
      <c r="D39" s="11" t="n">
        <v>0.0263</v>
      </c>
    </row>
    <row r="40">
      <c r="A40" s="9" t="n">
        <v>46113</v>
      </c>
      <c r="B40" t="inlineStr">
        <is>
          <t>IDC-NSW</t>
        </is>
      </c>
      <c r="C40" s="10" t="n"/>
      <c r="D40" s="11" t="n">
        <v>0.0054</v>
      </c>
    </row>
    <row r="41">
      <c r="A41" s="9" t="n">
        <v>46113</v>
      </c>
      <c r="B41" t="inlineStr">
        <is>
          <t>IDC-VIC</t>
        </is>
      </c>
      <c r="C41" s="10" t="n"/>
      <c r="D41" s="11" t="n">
        <v>0.0053</v>
      </c>
    </row>
    <row r="42">
      <c r="A42" s="9" t="n">
        <v>46143</v>
      </c>
      <c r="B42" t="inlineStr">
        <is>
          <t>NSW-1</t>
        </is>
      </c>
      <c r="C42" s="10" t="n">
        <v>152230000</v>
      </c>
      <c r="D42" s="11" t="n">
        <v>0.0203</v>
      </c>
    </row>
    <row r="43">
      <c r="A43" s="9" t="n">
        <v>46143</v>
      </c>
      <c r="B43" t="inlineStr">
        <is>
          <t>VIC-1</t>
        </is>
      </c>
      <c r="C43" s="10" t="n">
        <v>147525000</v>
      </c>
      <c r="D43" s="11" t="n">
        <v>0.0189</v>
      </c>
    </row>
    <row r="44">
      <c r="A44" s="9" t="n">
        <v>46143</v>
      </c>
      <c r="B44" t="inlineStr">
        <is>
          <t>QLD-1</t>
        </is>
      </c>
      <c r="C44" s="10" t="n">
        <v>116456000</v>
      </c>
      <c r="D44" s="11" t="n">
        <v>0.022</v>
      </c>
    </row>
    <row r="45">
      <c r="A45" s="9" t="n">
        <v>46143</v>
      </c>
      <c r="B45" t="inlineStr">
        <is>
          <t>NSW-2</t>
        </is>
      </c>
      <c r="C45" s="10" t="n">
        <v>127918000</v>
      </c>
      <c r="D45" s="11" t="n">
        <v>0.0215</v>
      </c>
    </row>
    <row r="46">
      <c r="A46" s="9" t="n">
        <v>46143</v>
      </c>
      <c r="B46" t="inlineStr">
        <is>
          <t>VIC-2</t>
        </is>
      </c>
      <c r="C46" s="10" t="n">
        <v>138378000</v>
      </c>
      <c r="D46" s="11" t="n">
        <v>0.0191</v>
      </c>
    </row>
    <row r="47">
      <c r="A47" s="9" t="n">
        <v>46143</v>
      </c>
      <c r="B47" t="inlineStr">
        <is>
          <t>QLD-2</t>
        </is>
      </c>
      <c r="C47" s="10" t="n">
        <v>123873000</v>
      </c>
      <c r="D47" s="11" t="n">
        <v>0.0212</v>
      </c>
    </row>
    <row r="48">
      <c r="A48" s="9" t="n">
        <v>46143</v>
      </c>
      <c r="B48" t="inlineStr">
        <is>
          <t>SA-1</t>
        </is>
      </c>
      <c r="C48" s="10" t="n">
        <v>82081000</v>
      </c>
      <c r="D48" s="11" t="n">
        <v>0.0217</v>
      </c>
    </row>
    <row r="49">
      <c r="A49" s="9" t="n">
        <v>46143</v>
      </c>
      <c r="B49" t="inlineStr">
        <is>
          <t>WA-1</t>
        </is>
      </c>
      <c r="C49" s="10" t="n">
        <v>106186000</v>
      </c>
      <c r="D49" s="11" t="n">
        <v>0.0235</v>
      </c>
    </row>
    <row r="50">
      <c r="A50" s="9" t="n">
        <v>46143</v>
      </c>
      <c r="B50" t="inlineStr">
        <is>
          <t>IDC-NSW</t>
        </is>
      </c>
      <c r="C50" s="10" t="n"/>
      <c r="D50" s="11" t="n">
        <v>0.0049</v>
      </c>
    </row>
    <row r="51">
      <c r="A51" s="9" t="n">
        <v>46143</v>
      </c>
      <c r="B51" t="inlineStr">
        <is>
          <t>IDC-VIC</t>
        </is>
      </c>
      <c r="C51" s="10" t="n"/>
      <c r="D51" s="11" t="n">
        <v>0.0046</v>
      </c>
    </row>
    <row r="52">
      <c r="A52" s="9" t="n">
        <v>46174</v>
      </c>
      <c r="B52" t="inlineStr">
        <is>
          <t>NSW-1</t>
        </is>
      </c>
      <c r="C52" s="10" t="n">
        <v>152135000</v>
      </c>
      <c r="D52" s="11" t="n">
        <v>0.0207</v>
      </c>
    </row>
    <row r="53">
      <c r="A53" s="9" t="n">
        <v>46174</v>
      </c>
      <c r="B53" t="inlineStr">
        <is>
          <t>VIC-1</t>
        </is>
      </c>
      <c r="C53" s="10" t="n">
        <v>141649000</v>
      </c>
      <c r="D53" s="11" t="n">
        <v>0.0195</v>
      </c>
    </row>
    <row r="54">
      <c r="A54" s="9" t="n">
        <v>46174</v>
      </c>
      <c r="B54" t="inlineStr">
        <is>
          <t>QLD-1</t>
        </is>
      </c>
      <c r="C54" s="10" t="n">
        <v>113294000</v>
      </c>
      <c r="D54" s="11" t="n">
        <v>0.0209</v>
      </c>
    </row>
    <row r="55">
      <c r="A55" s="9" t="n">
        <v>46174</v>
      </c>
      <c r="B55" t="inlineStr">
        <is>
          <t>NSW-2</t>
        </is>
      </c>
      <c r="C55" s="10" t="n">
        <v>126063000</v>
      </c>
      <c r="D55" s="11" t="n">
        <v>0.021</v>
      </c>
    </row>
    <row r="56">
      <c r="A56" s="9" t="n">
        <v>46174</v>
      </c>
      <c r="B56" t="inlineStr">
        <is>
          <t>VIC-2</t>
        </is>
      </c>
      <c r="C56" s="10" t="n">
        <v>133661000</v>
      </c>
      <c r="D56" s="11" t="n">
        <v>0.0199</v>
      </c>
    </row>
    <row r="57">
      <c r="A57" s="9" t="n">
        <v>46174</v>
      </c>
      <c r="B57" t="inlineStr">
        <is>
          <t>QLD-2</t>
        </is>
      </c>
      <c r="C57" s="10" t="n">
        <v>118337000</v>
      </c>
      <c r="D57" s="11" t="n">
        <v>0.0213</v>
      </c>
    </row>
    <row r="58">
      <c r="A58" s="9" t="n">
        <v>46174</v>
      </c>
      <c r="B58" t="inlineStr">
        <is>
          <t>SA-1</t>
        </is>
      </c>
      <c r="C58" s="10" t="n">
        <v>81648000</v>
      </c>
      <c r="D58" s="11" t="n">
        <v>0.0216</v>
      </c>
    </row>
    <row r="59">
      <c r="A59" s="9" t="n">
        <v>46174</v>
      </c>
      <c r="B59" t="inlineStr">
        <is>
          <t>WA-1</t>
        </is>
      </c>
      <c r="C59" s="10" t="n">
        <v>107863000</v>
      </c>
      <c r="D59" s="11" t="n">
        <v>0.0234</v>
      </c>
    </row>
    <row r="60">
      <c r="A60" s="9" t="n">
        <v>46174</v>
      </c>
      <c r="B60" t="inlineStr">
        <is>
          <t>IDC-NSW</t>
        </is>
      </c>
      <c r="C60" s="10" t="n"/>
      <c r="D60" s="11" t="n">
        <v>0.0049</v>
      </c>
    </row>
    <row r="61">
      <c r="A61" s="9" t="n">
        <v>46174</v>
      </c>
      <c r="B61" t="inlineStr">
        <is>
          <t>IDC-VIC</t>
        </is>
      </c>
      <c r="C61" s="10" t="n"/>
      <c r="D61" s="11" t="n">
        <v>0.0048</v>
      </c>
    </row>
    <row r="62">
      <c r="A62" s="9" t="n">
        <v>46204</v>
      </c>
      <c r="B62" t="inlineStr">
        <is>
          <t>NSW-1</t>
        </is>
      </c>
      <c r="C62" s="10" t="n">
        <v>157303000</v>
      </c>
      <c r="D62" s="11" t="n">
        <v>0.0199</v>
      </c>
    </row>
    <row r="63">
      <c r="A63" s="9" t="n">
        <v>46204</v>
      </c>
      <c r="B63" t="inlineStr">
        <is>
          <t>VIC-1</t>
        </is>
      </c>
      <c r="C63" s="10" t="n">
        <v>145102000</v>
      </c>
      <c r="D63" s="11" t="n">
        <v>0.0195</v>
      </c>
    </row>
    <row r="64">
      <c r="A64" s="9" t="n">
        <v>46204</v>
      </c>
      <c r="B64" t="inlineStr">
        <is>
          <t>QLD-1</t>
        </is>
      </c>
      <c r="C64" s="10" t="n">
        <v>118164000</v>
      </c>
      <c r="D64" s="11" t="n">
        <v>0.0205</v>
      </c>
    </row>
    <row r="65">
      <c r="A65" s="9" t="n">
        <v>46204</v>
      </c>
      <c r="B65" t="inlineStr">
        <is>
          <t>NSW-2</t>
        </is>
      </c>
      <c r="C65" s="10" t="n">
        <v>127349000</v>
      </c>
      <c r="D65" s="11" t="n">
        <v>0.0208</v>
      </c>
    </row>
    <row r="66">
      <c r="A66" s="9" t="n">
        <v>46204</v>
      </c>
      <c r="B66" t="inlineStr">
        <is>
          <t>VIC-2</t>
        </is>
      </c>
      <c r="C66" s="10" t="n">
        <v>140176000</v>
      </c>
      <c r="D66" s="11" t="n">
        <v>0.0193</v>
      </c>
    </row>
    <row r="67">
      <c r="A67" s="9" t="n">
        <v>46204</v>
      </c>
      <c r="B67" t="inlineStr">
        <is>
          <t>QLD-2</t>
        </is>
      </c>
      <c r="C67" s="10" t="n">
        <v>124914000</v>
      </c>
      <c r="D67" s="11" t="n">
        <v>0.0202</v>
      </c>
    </row>
    <row r="68">
      <c r="A68" s="9" t="n">
        <v>46204</v>
      </c>
      <c r="B68" t="inlineStr">
        <is>
          <t>SA-1</t>
        </is>
      </c>
      <c r="C68" s="10" t="n">
        <v>81940000</v>
      </c>
      <c r="D68" s="11" t="n">
        <v>0.0224</v>
      </c>
    </row>
    <row r="69">
      <c r="A69" s="9" t="n">
        <v>46204</v>
      </c>
      <c r="B69" t="inlineStr">
        <is>
          <t>WA-1</t>
        </is>
      </c>
      <c r="C69" s="10" t="n">
        <v>109023000</v>
      </c>
      <c r="D69" s="11" t="n">
        <v>0.0242</v>
      </c>
    </row>
    <row r="70">
      <c r="A70" s="9" t="n">
        <v>46204</v>
      </c>
      <c r="B70" t="inlineStr">
        <is>
          <t>IDC-NSW</t>
        </is>
      </c>
      <c r="C70" s="10" t="n"/>
      <c r="D70" s="11" t="n">
        <v>0.0047</v>
      </c>
    </row>
    <row r="71">
      <c r="A71" s="9" t="n">
        <v>46204</v>
      </c>
      <c r="B71" t="inlineStr">
        <is>
          <t>IDC-VIC</t>
        </is>
      </c>
      <c r="C71" s="10" t="n"/>
      <c r="D71" s="11" t="n">
        <v>0.0045</v>
      </c>
    </row>
    <row r="72">
      <c r="A72" s="9" t="n">
        <v>46235</v>
      </c>
      <c r="B72" t="inlineStr">
        <is>
          <t>NSW-1</t>
        </is>
      </c>
      <c r="C72" s="10" t="n">
        <v>154523000</v>
      </c>
      <c r="D72" s="11" t="n">
        <v>0.0204</v>
      </c>
    </row>
    <row r="73">
      <c r="A73" s="9" t="n">
        <v>46235</v>
      </c>
      <c r="B73" t="inlineStr">
        <is>
          <t>VIC-1</t>
        </is>
      </c>
      <c r="C73" s="10" t="n">
        <v>140341000</v>
      </c>
      <c r="D73" s="11" t="n">
        <v>0.0192</v>
      </c>
    </row>
    <row r="74">
      <c r="A74" s="9" t="n">
        <v>46235</v>
      </c>
      <c r="B74" t="inlineStr">
        <is>
          <t>QLD-1</t>
        </is>
      </c>
      <c r="C74" s="10" t="n">
        <v>120980000</v>
      </c>
      <c r="D74" s="11" t="n">
        <v>0.0206</v>
      </c>
    </row>
    <row r="75">
      <c r="A75" s="9" t="n">
        <v>46235</v>
      </c>
      <c r="B75" t="inlineStr">
        <is>
          <t>NSW-2</t>
        </is>
      </c>
      <c r="C75" s="10" t="n">
        <v>127427000</v>
      </c>
      <c r="D75" s="11" t="n">
        <v>0.0207</v>
      </c>
    </row>
    <row r="76">
      <c r="A76" s="9" t="n">
        <v>46235</v>
      </c>
      <c r="B76" t="inlineStr">
        <is>
          <t>VIC-2</t>
        </is>
      </c>
      <c r="C76" s="10" t="n">
        <v>138116000</v>
      </c>
      <c r="D76" s="11" t="n">
        <v>0.019</v>
      </c>
    </row>
    <row r="77">
      <c r="A77" s="9" t="n">
        <v>46235</v>
      </c>
      <c r="B77" t="inlineStr">
        <is>
          <t>QLD-2</t>
        </is>
      </c>
      <c r="C77" s="10" t="n">
        <v>124473000</v>
      </c>
      <c r="D77" s="11" t="n">
        <v>0.0207</v>
      </c>
    </row>
    <row r="78">
      <c r="A78" s="9" t="n">
        <v>46235</v>
      </c>
      <c r="B78" t="inlineStr">
        <is>
          <t>SA-1</t>
        </is>
      </c>
      <c r="C78" s="10" t="n">
        <v>80868000</v>
      </c>
      <c r="D78" s="11" t="n">
        <v>0.0224</v>
      </c>
    </row>
    <row r="79">
      <c r="A79" s="9" t="n">
        <v>46235</v>
      </c>
      <c r="B79" t="inlineStr">
        <is>
          <t>WA-1</t>
        </is>
      </c>
      <c r="C79" s="10" t="n">
        <v>106389000</v>
      </c>
      <c r="D79" s="11" t="n">
        <v>0.0232</v>
      </c>
    </row>
    <row r="80">
      <c r="A80" s="9" t="n">
        <v>46235</v>
      </c>
      <c r="B80" t="inlineStr">
        <is>
          <t>IDC-NSW</t>
        </is>
      </c>
      <c r="C80" s="10" t="n"/>
      <c r="D80" s="11" t="n">
        <v>0.0048</v>
      </c>
    </row>
    <row r="81">
      <c r="A81" s="9" t="n">
        <v>46235</v>
      </c>
      <c r="B81" t="inlineStr">
        <is>
          <t>IDC-VIC</t>
        </is>
      </c>
      <c r="C81" s="10" t="n"/>
      <c r="D81" s="11" t="n">
        <v>0.0046</v>
      </c>
    </row>
    <row r="82">
      <c r="A82" s="9" t="n">
        <v>46266</v>
      </c>
      <c r="B82" t="inlineStr">
        <is>
          <t>NSW-1</t>
        </is>
      </c>
      <c r="C82" s="10" t="n">
        <v>156142000</v>
      </c>
      <c r="D82" s="11" t="n">
        <v>0.0198</v>
      </c>
    </row>
    <row r="83">
      <c r="A83" s="9" t="n">
        <v>46266</v>
      </c>
      <c r="B83" t="inlineStr">
        <is>
          <t>VIC-1</t>
        </is>
      </c>
      <c r="C83" s="10" t="n">
        <v>142762000</v>
      </c>
      <c r="D83" s="11" t="n">
        <v>0.0197</v>
      </c>
    </row>
    <row r="84">
      <c r="A84" s="9" t="n">
        <v>46266</v>
      </c>
      <c r="B84" t="inlineStr">
        <is>
          <t>QLD-1</t>
        </is>
      </c>
      <c r="C84" s="10" t="n">
        <v>116520000</v>
      </c>
      <c r="D84" s="11" t="n">
        <v>0.0213</v>
      </c>
    </row>
    <row r="85">
      <c r="A85" s="9" t="n">
        <v>46266</v>
      </c>
      <c r="B85" t="inlineStr">
        <is>
          <t>NSW-2</t>
        </is>
      </c>
      <c r="C85" s="10" t="n">
        <v>127790000</v>
      </c>
      <c r="D85" s="11" t="n">
        <v>0.0206</v>
      </c>
    </row>
    <row r="86">
      <c r="A86" s="9" t="n">
        <v>46266</v>
      </c>
      <c r="B86" t="inlineStr">
        <is>
          <t>VIC-2</t>
        </is>
      </c>
      <c r="C86" s="10" t="n">
        <v>137926000</v>
      </c>
      <c r="D86" s="11" t="n">
        <v>0.0195</v>
      </c>
    </row>
    <row r="87">
      <c r="A87" s="9" t="n">
        <v>46266</v>
      </c>
      <c r="B87" t="inlineStr">
        <is>
          <t>QLD-2</t>
        </is>
      </c>
      <c r="C87" s="10" t="n">
        <v>123052000</v>
      </c>
      <c r="D87" s="11" t="n">
        <v>0.0199</v>
      </c>
    </row>
    <row r="88">
      <c r="A88" s="9" t="n">
        <v>46266</v>
      </c>
      <c r="B88" t="inlineStr">
        <is>
          <t>SA-1</t>
        </is>
      </c>
      <c r="C88" s="10" t="n">
        <v>81937000</v>
      </c>
      <c r="D88" s="11" t="n">
        <v>0.0215</v>
      </c>
    </row>
    <row r="89">
      <c r="A89" s="9" t="n">
        <v>46266</v>
      </c>
      <c r="B89" t="inlineStr">
        <is>
          <t>WA-1</t>
        </is>
      </c>
      <c r="C89" s="10" t="n">
        <v>109683000</v>
      </c>
      <c r="D89" s="11" t="n">
        <v>0.0232</v>
      </c>
    </row>
    <row r="90">
      <c r="A90" s="9" t="n">
        <v>46266</v>
      </c>
      <c r="B90" t="inlineStr">
        <is>
          <t>IDC-NSW</t>
        </is>
      </c>
      <c r="C90" s="10" t="n"/>
      <c r="D90" s="11" t="n">
        <v>0.0048</v>
      </c>
    </row>
    <row r="91">
      <c r="A91" s="9" t="n">
        <v>46266</v>
      </c>
      <c r="B91" t="inlineStr">
        <is>
          <t>IDC-VIC</t>
        </is>
      </c>
      <c r="C91" s="10" t="n"/>
      <c r="D91" s="11" t="n">
        <v>0.0047</v>
      </c>
    </row>
    <row r="92">
      <c r="A92" s="9" t="n">
        <v>46296</v>
      </c>
      <c r="B92" t="inlineStr">
        <is>
          <t>NSW-1</t>
        </is>
      </c>
      <c r="C92" s="10" t="n">
        <v>162709000</v>
      </c>
      <c r="D92" s="11" t="n">
        <v>0.0196</v>
      </c>
    </row>
    <row r="93">
      <c r="A93" s="9" t="n">
        <v>46296</v>
      </c>
      <c r="B93" t="inlineStr">
        <is>
          <t>VIC-1</t>
        </is>
      </c>
      <c r="C93" s="10" t="n">
        <v>152617000</v>
      </c>
      <c r="D93" s="11" t="n">
        <v>0.0193</v>
      </c>
    </row>
    <row r="94">
      <c r="A94" s="9" t="n">
        <v>46296</v>
      </c>
      <c r="B94" t="inlineStr">
        <is>
          <t>QLD-1</t>
        </is>
      </c>
      <c r="C94" s="10" t="n">
        <v>121209000</v>
      </c>
      <c r="D94" s="11" t="n">
        <v>0.0208</v>
      </c>
    </row>
    <row r="95">
      <c r="A95" s="9" t="n">
        <v>46296</v>
      </c>
      <c r="B95" t="inlineStr">
        <is>
          <t>NSW-2</t>
        </is>
      </c>
      <c r="C95" s="10" t="n">
        <v>132476000</v>
      </c>
      <c r="D95" s="11" t="n">
        <v>0.0206</v>
      </c>
    </row>
    <row r="96">
      <c r="A96" s="9" t="n">
        <v>46296</v>
      </c>
      <c r="B96" t="inlineStr">
        <is>
          <t>VIC-2</t>
        </is>
      </c>
      <c r="C96" s="10" t="n">
        <v>144069000</v>
      </c>
      <c r="D96" s="11" t="n">
        <v>0.0191</v>
      </c>
    </row>
    <row r="97">
      <c r="A97" s="9" t="n">
        <v>46296</v>
      </c>
      <c r="B97" t="inlineStr">
        <is>
          <t>QLD-2</t>
        </is>
      </c>
      <c r="C97" s="10" t="n">
        <v>125299000</v>
      </c>
      <c r="D97" s="11" t="n">
        <v>0.0208</v>
      </c>
    </row>
    <row r="98">
      <c r="A98" s="9" t="n">
        <v>46296</v>
      </c>
      <c r="B98" t="inlineStr">
        <is>
          <t>SA-1</t>
        </is>
      </c>
      <c r="C98" s="10" t="n">
        <v>84261000</v>
      </c>
      <c r="D98" s="11" t="n">
        <v>0.0226</v>
      </c>
    </row>
    <row r="99">
      <c r="A99" s="9" t="n">
        <v>46296</v>
      </c>
      <c r="B99" t="inlineStr">
        <is>
          <t>WA-1</t>
        </is>
      </c>
      <c r="C99" s="10" t="n">
        <v>112849000</v>
      </c>
      <c r="D99" s="11" t="n">
        <v>0.0232</v>
      </c>
    </row>
    <row r="100">
      <c r="A100" s="9" t="n">
        <v>46296</v>
      </c>
      <c r="B100" t="inlineStr">
        <is>
          <t>IDC-NSW</t>
        </is>
      </c>
      <c r="C100" s="10" t="n"/>
      <c r="D100" s="11" t="n">
        <v>0.0049</v>
      </c>
    </row>
    <row r="101">
      <c r="A101" s="9" t="n">
        <v>46296</v>
      </c>
      <c r="B101" t="inlineStr">
        <is>
          <t>IDC-VIC</t>
        </is>
      </c>
      <c r="C101" s="10" t="n"/>
      <c r="D101" s="11" t="n">
        <v>0.0044</v>
      </c>
    </row>
    <row r="102">
      <c r="A102" s="9" t="n">
        <v>46327</v>
      </c>
      <c r="B102" t="inlineStr">
        <is>
          <t>NSW-1</t>
        </is>
      </c>
      <c r="C102" s="10" t="n">
        <v>165930000</v>
      </c>
      <c r="D102" s="11" t="n">
        <v>0.0194</v>
      </c>
    </row>
    <row r="103">
      <c r="A103" s="9" t="n">
        <v>46327</v>
      </c>
      <c r="B103" t="inlineStr">
        <is>
          <t>VIC-1</t>
        </is>
      </c>
      <c r="C103" s="10" t="n">
        <v>156423000</v>
      </c>
      <c r="D103" s="11" t="n">
        <v>0.0192</v>
      </c>
    </row>
    <row r="104">
      <c r="A104" s="9" t="n">
        <v>46327</v>
      </c>
      <c r="B104" t="inlineStr">
        <is>
          <t>QLD-1</t>
        </is>
      </c>
      <c r="C104" s="10" t="n">
        <v>126872000</v>
      </c>
      <c r="D104" s="11" t="n">
        <v>0.0203</v>
      </c>
    </row>
    <row r="105">
      <c r="A105" s="9" t="n">
        <v>46327</v>
      </c>
      <c r="B105" t="inlineStr">
        <is>
          <t>NSW-2</t>
        </is>
      </c>
      <c r="C105" s="10" t="n">
        <v>138691000</v>
      </c>
      <c r="D105" s="11" t="n">
        <v>0.0201</v>
      </c>
    </row>
    <row r="106">
      <c r="A106" s="9" t="n">
        <v>46327</v>
      </c>
      <c r="B106" t="inlineStr">
        <is>
          <t>VIC-2</t>
        </is>
      </c>
      <c r="C106" s="10" t="n">
        <v>145704000</v>
      </c>
      <c r="D106" s="11" t="n">
        <v>0.0192</v>
      </c>
    </row>
    <row r="107">
      <c r="A107" s="9" t="n">
        <v>46327</v>
      </c>
      <c r="B107" t="inlineStr">
        <is>
          <t>QLD-2</t>
        </is>
      </c>
      <c r="C107" s="10" t="n">
        <v>132228000</v>
      </c>
      <c r="D107" s="11" t="n">
        <v>0.0197</v>
      </c>
    </row>
    <row r="108">
      <c r="A108" s="9" t="n">
        <v>46327</v>
      </c>
      <c r="B108" t="inlineStr">
        <is>
          <t>SA-1</t>
        </is>
      </c>
      <c r="C108" s="10" t="n">
        <v>88190000</v>
      </c>
      <c r="D108" s="11" t="n">
        <v>0.0208</v>
      </c>
    </row>
    <row r="109">
      <c r="A109" s="9" t="n">
        <v>46327</v>
      </c>
      <c r="B109" t="inlineStr">
        <is>
          <t>WA-1</t>
        </is>
      </c>
      <c r="C109" s="10" t="n">
        <v>114040000</v>
      </c>
      <c r="D109" s="11" t="n">
        <v>0.0233</v>
      </c>
    </row>
    <row r="110">
      <c r="A110" s="9" t="n">
        <v>46327</v>
      </c>
      <c r="B110" t="inlineStr">
        <is>
          <t>IDC-NSW</t>
        </is>
      </c>
      <c r="C110" s="10" t="n"/>
      <c r="D110" s="11" t="n">
        <v>0.0046</v>
      </c>
    </row>
    <row r="111">
      <c r="A111" s="9" t="n">
        <v>46327</v>
      </c>
      <c r="B111" t="inlineStr">
        <is>
          <t>IDC-VIC</t>
        </is>
      </c>
      <c r="C111" s="10" t="n"/>
      <c r="D111" s="11" t="n">
        <v>0.0046</v>
      </c>
    </row>
    <row r="112">
      <c r="A112" s="9" t="n">
        <v>46357</v>
      </c>
      <c r="B112" t="inlineStr">
        <is>
          <t>NSW-1</t>
        </is>
      </c>
      <c r="C112" s="10" t="n">
        <v>197110000</v>
      </c>
      <c r="D112" s="11" t="n">
        <v>0.019</v>
      </c>
    </row>
    <row r="113">
      <c r="A113" s="9" t="n">
        <v>46357</v>
      </c>
      <c r="B113" t="inlineStr">
        <is>
          <t>VIC-1</t>
        </is>
      </c>
      <c r="C113" s="10" t="n">
        <v>186603000</v>
      </c>
      <c r="D113" s="11" t="n">
        <v>0.0195</v>
      </c>
    </row>
    <row r="114">
      <c r="A114" s="9" t="n">
        <v>46357</v>
      </c>
      <c r="B114" t="inlineStr">
        <is>
          <t>QLD-1</t>
        </is>
      </c>
      <c r="C114" s="10" t="n">
        <v>157549000</v>
      </c>
      <c r="D114" s="11" t="n">
        <v>0.021</v>
      </c>
    </row>
    <row r="115">
      <c r="A115" s="9" t="n">
        <v>46357</v>
      </c>
      <c r="B115" t="inlineStr">
        <is>
          <t>NSW-2</t>
        </is>
      </c>
      <c r="C115" s="10" t="n">
        <v>164367000</v>
      </c>
      <c r="D115" s="11" t="n">
        <v>0.0199</v>
      </c>
    </row>
    <row r="116">
      <c r="A116" s="9" t="n">
        <v>46357</v>
      </c>
      <c r="B116" t="inlineStr">
        <is>
          <t>VIC-2</t>
        </is>
      </c>
      <c r="C116" s="10" t="n">
        <v>175200000</v>
      </c>
      <c r="D116" s="11" t="n">
        <v>0.0191</v>
      </c>
    </row>
    <row r="117">
      <c r="A117" s="9" t="n">
        <v>46357</v>
      </c>
      <c r="B117" t="inlineStr">
        <is>
          <t>QLD-2</t>
        </is>
      </c>
      <c r="C117" s="10" t="n">
        <v>161517000</v>
      </c>
      <c r="D117" s="11" t="n">
        <v>0.0204</v>
      </c>
    </row>
    <row r="118">
      <c r="A118" s="9" t="n">
        <v>46357</v>
      </c>
      <c r="B118" t="inlineStr">
        <is>
          <t>SA-1</t>
        </is>
      </c>
      <c r="C118" s="10" t="n">
        <v>108985000</v>
      </c>
      <c r="D118" s="11" t="n">
        <v>0.0212</v>
      </c>
    </row>
    <row r="119">
      <c r="A119" s="9" t="n">
        <v>46357</v>
      </c>
      <c r="B119" t="inlineStr">
        <is>
          <t>WA-1</t>
        </is>
      </c>
      <c r="C119" s="10" t="n">
        <v>139118000</v>
      </c>
      <c r="D119" s="11" t="n">
        <v>0.0231</v>
      </c>
    </row>
    <row r="120">
      <c r="A120" s="9" t="n">
        <v>46357</v>
      </c>
      <c r="B120" t="inlineStr">
        <is>
          <t>IDC-NSW</t>
        </is>
      </c>
      <c r="C120" s="10" t="n"/>
      <c r="D120" s="11" t="n">
        <v>0.0047</v>
      </c>
    </row>
    <row r="121">
      <c r="A121" s="9" t="n">
        <v>46357</v>
      </c>
      <c r="B121" t="inlineStr">
        <is>
          <t>IDC-VIC</t>
        </is>
      </c>
      <c r="C121" s="10" t="n"/>
      <c r="D121" s="11" t="n">
        <v>0.0044</v>
      </c>
    </row>
    <row r="122">
      <c r="A122" s="9" t="n">
        <v>46388</v>
      </c>
      <c r="B122" t="inlineStr">
        <is>
          <t>NSW-1</t>
        </is>
      </c>
      <c r="C122" s="10" t="n">
        <v>156092000</v>
      </c>
      <c r="D122" s="11" t="n">
        <v>0.0216</v>
      </c>
    </row>
    <row r="123">
      <c r="A123" s="9" t="n">
        <v>46388</v>
      </c>
      <c r="B123" t="inlineStr">
        <is>
          <t>VIC-1</t>
        </is>
      </c>
      <c r="C123" s="10" t="n">
        <v>145218000</v>
      </c>
      <c r="D123" s="11" t="n">
        <v>0.0217</v>
      </c>
    </row>
    <row r="124">
      <c r="A124" s="9" t="n">
        <v>46388</v>
      </c>
      <c r="B124" t="inlineStr">
        <is>
          <t>QLD-1</t>
        </is>
      </c>
      <c r="C124" s="10" t="n">
        <v>121951000</v>
      </c>
      <c r="D124" s="11" t="n">
        <v>0.024</v>
      </c>
    </row>
    <row r="125">
      <c r="A125" s="9" t="n">
        <v>46388</v>
      </c>
      <c r="B125" t="inlineStr">
        <is>
          <t>NSW-2</t>
        </is>
      </c>
      <c r="C125" s="10" t="n">
        <v>128305000</v>
      </c>
      <c r="D125" s="11" t="n">
        <v>0.0234</v>
      </c>
    </row>
    <row r="126">
      <c r="A126" s="9" t="n">
        <v>46388</v>
      </c>
      <c r="B126" t="inlineStr">
        <is>
          <t>VIC-2</t>
        </is>
      </c>
      <c r="C126" s="10" t="n">
        <v>138831000</v>
      </c>
      <c r="D126" s="11" t="n">
        <v>0.0218</v>
      </c>
    </row>
    <row r="127">
      <c r="A127" s="9" t="n">
        <v>46388</v>
      </c>
      <c r="B127" t="inlineStr">
        <is>
          <t>QLD-2</t>
        </is>
      </c>
      <c r="C127" s="10" t="n">
        <v>126668000</v>
      </c>
      <c r="D127" s="11" t="n">
        <v>0.0222</v>
      </c>
    </row>
    <row r="128">
      <c r="A128" s="9" t="n">
        <v>46388</v>
      </c>
      <c r="B128" t="inlineStr">
        <is>
          <t>SA-1</t>
        </is>
      </c>
      <c r="C128" s="10" t="n">
        <v>81501000</v>
      </c>
      <c r="D128" s="11" t="n">
        <v>0.024</v>
      </c>
    </row>
    <row r="129">
      <c r="A129" s="9" t="n">
        <v>46388</v>
      </c>
      <c r="B129" t="inlineStr">
        <is>
          <t>WA-1</t>
        </is>
      </c>
      <c r="C129" s="10" t="n">
        <v>106816000</v>
      </c>
      <c r="D129" s="11" t="n">
        <v>0.0258</v>
      </c>
    </row>
    <row r="130">
      <c r="A130" s="9" t="n">
        <v>46388</v>
      </c>
      <c r="B130" t="inlineStr">
        <is>
          <t>IDC-NSW</t>
        </is>
      </c>
      <c r="C130" s="10" t="n"/>
      <c r="D130" s="11" t="n">
        <v>0.0053</v>
      </c>
    </row>
    <row r="131">
      <c r="A131" s="9" t="n">
        <v>46388</v>
      </c>
      <c r="B131" t="inlineStr">
        <is>
          <t>IDC-VIC</t>
        </is>
      </c>
      <c r="C131" s="10" t="n"/>
      <c r="D131" s="11" t="n">
        <v>0.0052</v>
      </c>
    </row>
    <row r="132">
      <c r="A132" s="9" t="n">
        <v>46419</v>
      </c>
      <c r="B132" t="inlineStr">
        <is>
          <t>NSW-1</t>
        </is>
      </c>
      <c r="C132" s="10" t="n">
        <v>145037000</v>
      </c>
      <c r="D132" s="11" t="n">
        <v>0.0214</v>
      </c>
    </row>
    <row r="133">
      <c r="A133" s="9" t="n">
        <v>46419</v>
      </c>
      <c r="B133" t="inlineStr">
        <is>
          <t>VIC-1</t>
        </is>
      </c>
      <c r="C133" s="10" t="n">
        <v>137120000</v>
      </c>
      <c r="D133" s="11" t="n">
        <v>0.0205</v>
      </c>
    </row>
    <row r="134">
      <c r="A134" s="9" t="n">
        <v>46419</v>
      </c>
      <c r="B134" t="inlineStr">
        <is>
          <t>QLD-1</t>
        </is>
      </c>
      <c r="C134" s="10" t="n">
        <v>108952000</v>
      </c>
      <c r="D134" s="11" t="n">
        <v>0.0218</v>
      </c>
    </row>
    <row r="135">
      <c r="A135" s="9" t="n">
        <v>46419</v>
      </c>
      <c r="B135" t="inlineStr">
        <is>
          <t>NSW-2</t>
        </is>
      </c>
      <c r="C135" s="10" t="n">
        <v>117985000</v>
      </c>
      <c r="D135" s="11" t="n">
        <v>0.0213</v>
      </c>
    </row>
    <row r="136">
      <c r="A136" s="9" t="n">
        <v>46419</v>
      </c>
      <c r="B136" t="inlineStr">
        <is>
          <t>VIC-2</t>
        </is>
      </c>
      <c r="C136" s="10" t="n">
        <v>130968000</v>
      </c>
      <c r="D136" s="11" t="n">
        <v>0.0199</v>
      </c>
    </row>
    <row r="137">
      <c r="A137" s="9" t="n">
        <v>46419</v>
      </c>
      <c r="B137" t="inlineStr">
        <is>
          <t>QLD-2</t>
        </is>
      </c>
      <c r="C137" s="10" t="n">
        <v>115107000</v>
      </c>
      <c r="D137" s="11" t="n">
        <v>0.0215</v>
      </c>
    </row>
    <row r="138">
      <c r="A138" s="9" t="n">
        <v>46419</v>
      </c>
      <c r="B138" t="inlineStr">
        <is>
          <t>SA-1</t>
        </is>
      </c>
      <c r="C138" s="10" t="n">
        <v>77345000</v>
      </c>
      <c r="D138" s="11" t="n">
        <v>0.0226</v>
      </c>
    </row>
    <row r="139">
      <c r="A139" s="9" t="n">
        <v>46419</v>
      </c>
      <c r="B139" t="inlineStr">
        <is>
          <t>WA-1</t>
        </is>
      </c>
      <c r="C139" s="10" t="n">
        <v>100835000</v>
      </c>
      <c r="D139" s="11" t="n">
        <v>0.0243</v>
      </c>
    </row>
    <row r="140">
      <c r="A140" s="9" t="n">
        <v>46419</v>
      </c>
      <c r="B140" t="inlineStr">
        <is>
          <t>IDC-NSW</t>
        </is>
      </c>
      <c r="C140" s="10" t="n"/>
      <c r="D140" s="11" t="n">
        <v>0.005</v>
      </c>
    </row>
    <row r="141">
      <c r="A141" s="9" t="n">
        <v>46419</v>
      </c>
      <c r="B141" t="inlineStr">
        <is>
          <t>IDC-VIC</t>
        </is>
      </c>
      <c r="C141" s="10" t="n"/>
      <c r="D141" s="11" t="n">
        <v>0.005</v>
      </c>
    </row>
    <row r="142">
      <c r="A142" s="9" t="n">
        <v>46447</v>
      </c>
      <c r="B142" t="inlineStr">
        <is>
          <t>NSW-1</t>
        </is>
      </c>
      <c r="C142" s="10" t="n">
        <v>161312000</v>
      </c>
      <c r="D142" s="11" t="n">
        <v>0.0217</v>
      </c>
    </row>
    <row r="143">
      <c r="A143" s="9" t="n">
        <v>46447</v>
      </c>
      <c r="B143" t="inlineStr">
        <is>
          <t>VIC-1</t>
        </is>
      </c>
      <c r="C143" s="10" t="n">
        <v>147331000</v>
      </c>
      <c r="D143" s="11" t="n">
        <v>0.0223</v>
      </c>
    </row>
    <row r="144">
      <c r="A144" s="9" t="n">
        <v>46447</v>
      </c>
      <c r="B144" t="inlineStr">
        <is>
          <t>QLD-1</t>
        </is>
      </c>
      <c r="C144" s="10" t="n">
        <v>123331000</v>
      </c>
      <c r="D144" s="11" t="n">
        <v>0.0236</v>
      </c>
    </row>
    <row r="145">
      <c r="A145" s="9" t="n">
        <v>46447</v>
      </c>
      <c r="B145" t="inlineStr">
        <is>
          <t>NSW-2</t>
        </is>
      </c>
      <c r="C145" s="10" t="n">
        <v>135053000</v>
      </c>
      <c r="D145" s="11" t="n">
        <v>0.023</v>
      </c>
    </row>
    <row r="146">
      <c r="A146" s="9" t="n">
        <v>46447</v>
      </c>
      <c r="B146" t="inlineStr">
        <is>
          <t>VIC-2</t>
        </is>
      </c>
      <c r="C146" s="10" t="n">
        <v>146167000</v>
      </c>
      <c r="D146" s="11" t="n">
        <v>0.0221</v>
      </c>
    </row>
    <row r="147">
      <c r="A147" s="9" t="n">
        <v>46447</v>
      </c>
      <c r="B147" t="inlineStr">
        <is>
          <t>QLD-2</t>
        </is>
      </c>
      <c r="C147" s="10" t="n">
        <v>129709000</v>
      </c>
      <c r="D147" s="11" t="n">
        <v>0.0233</v>
      </c>
    </row>
    <row r="148">
      <c r="A148" s="9" t="n">
        <v>46447</v>
      </c>
      <c r="B148" t="inlineStr">
        <is>
          <t>SA-1</t>
        </is>
      </c>
      <c r="C148" s="10" t="n">
        <v>88017000</v>
      </c>
      <c r="D148" s="11" t="n">
        <v>0.0253</v>
      </c>
    </row>
    <row r="149">
      <c r="A149" s="9" t="n">
        <v>46447</v>
      </c>
      <c r="B149" t="inlineStr">
        <is>
          <t>WA-1</t>
        </is>
      </c>
      <c r="C149" s="10" t="n">
        <v>109817000</v>
      </c>
      <c r="D149" s="11" t="n">
        <v>0.0263</v>
      </c>
    </row>
    <row r="150">
      <c r="A150" s="9" t="n">
        <v>46447</v>
      </c>
      <c r="B150" t="inlineStr">
        <is>
          <t>IDC-NSW</t>
        </is>
      </c>
      <c r="C150" s="10" t="n"/>
      <c r="D150" s="11" t="n">
        <v>0.0054</v>
      </c>
    </row>
    <row r="151">
      <c r="A151" s="9" t="n">
        <v>46447</v>
      </c>
      <c r="B151" t="inlineStr">
        <is>
          <t>IDC-VIC</t>
        </is>
      </c>
      <c r="C151" s="10" t="n"/>
      <c r="D151" s="11" t="n">
        <v>0.0053</v>
      </c>
    </row>
    <row r="152">
      <c r="A152" s="9" t="n">
        <v>46478</v>
      </c>
      <c r="B152" t="inlineStr">
        <is>
          <t>NSW-1</t>
        </is>
      </c>
      <c r="C152" s="10" t="n">
        <v>161874000</v>
      </c>
      <c r="D152" s="11" t="n">
        <v>0.0211</v>
      </c>
    </row>
    <row r="153">
      <c r="A153" s="9" t="n">
        <v>46478</v>
      </c>
      <c r="B153" t="inlineStr">
        <is>
          <t>VIC-1</t>
        </is>
      </c>
      <c r="C153" s="10" t="n">
        <v>150399000</v>
      </c>
      <c r="D153" s="11" t="n">
        <v>0.0208</v>
      </c>
    </row>
    <row r="154">
      <c r="A154" s="9" t="n">
        <v>46478</v>
      </c>
      <c r="B154" t="inlineStr">
        <is>
          <t>QLD-1</t>
        </is>
      </c>
      <c r="C154" s="10" t="n">
        <v>122637000</v>
      </c>
      <c r="D154" s="11" t="n">
        <v>0.0224</v>
      </c>
    </row>
    <row r="155">
      <c r="A155" s="9" t="n">
        <v>46478</v>
      </c>
      <c r="B155" t="inlineStr">
        <is>
          <t>NSW-2</t>
        </is>
      </c>
      <c r="C155" s="10" t="n">
        <v>130408000</v>
      </c>
      <c r="D155" s="11" t="n">
        <v>0.0225</v>
      </c>
    </row>
    <row r="156">
      <c r="A156" s="9" t="n">
        <v>46478</v>
      </c>
      <c r="B156" t="inlineStr">
        <is>
          <t>VIC-2</t>
        </is>
      </c>
      <c r="C156" s="10" t="n">
        <v>146430000</v>
      </c>
      <c r="D156" s="11" t="n">
        <v>0.0207</v>
      </c>
    </row>
    <row r="157">
      <c r="A157" s="9" t="n">
        <v>46478</v>
      </c>
      <c r="B157" t="inlineStr">
        <is>
          <t>QLD-2</t>
        </is>
      </c>
      <c r="C157" s="10" t="n">
        <v>127092000</v>
      </c>
      <c r="D157" s="11" t="n">
        <v>0.0215</v>
      </c>
    </row>
    <row r="158">
      <c r="A158" s="9" t="n">
        <v>46478</v>
      </c>
      <c r="B158" t="inlineStr">
        <is>
          <t>SA-1</t>
        </is>
      </c>
      <c r="C158" s="10" t="n">
        <v>87756000</v>
      </c>
      <c r="D158" s="11" t="n">
        <v>0.0242</v>
      </c>
    </row>
    <row r="159">
      <c r="A159" s="9" t="n">
        <v>46478</v>
      </c>
      <c r="B159" t="inlineStr">
        <is>
          <t>WA-1</t>
        </is>
      </c>
      <c r="C159" s="10" t="n">
        <v>116441000</v>
      </c>
      <c r="D159" s="11" t="n">
        <v>0.0248</v>
      </c>
    </row>
    <row r="160">
      <c r="A160" s="9" t="n">
        <v>46478</v>
      </c>
      <c r="B160" t="inlineStr">
        <is>
          <t>IDC-NSW</t>
        </is>
      </c>
      <c r="C160" s="10" t="n"/>
      <c r="D160" s="11" t="n">
        <v>0.0051</v>
      </c>
    </row>
    <row r="161">
      <c r="A161" s="9" t="n">
        <v>46478</v>
      </c>
      <c r="B161" t="inlineStr">
        <is>
          <t>IDC-VIC</t>
        </is>
      </c>
      <c r="C161" s="10" t="n"/>
      <c r="D161" s="11" t="n">
        <v>0.0049</v>
      </c>
    </row>
    <row r="162">
      <c r="A162" s="9" t="n">
        <v>46508</v>
      </c>
      <c r="B162" t="inlineStr">
        <is>
          <t>NSW-1</t>
        </is>
      </c>
      <c r="C162" s="10" t="n">
        <v>156304000</v>
      </c>
      <c r="D162" s="11" t="n">
        <v>0.0208</v>
      </c>
    </row>
    <row r="163">
      <c r="A163" s="9" t="n">
        <v>46508</v>
      </c>
      <c r="B163" t="inlineStr">
        <is>
          <t>VIC-1</t>
        </is>
      </c>
      <c r="C163" s="10" t="n">
        <v>148311000</v>
      </c>
      <c r="D163" s="11" t="n">
        <v>0.0202</v>
      </c>
    </row>
    <row r="164">
      <c r="A164" s="9" t="n">
        <v>46508</v>
      </c>
      <c r="B164" t="inlineStr">
        <is>
          <t>QLD-1</t>
        </is>
      </c>
      <c r="C164" s="10" t="n">
        <v>122111000</v>
      </c>
      <c r="D164" s="11" t="n">
        <v>0.022</v>
      </c>
    </row>
    <row r="165">
      <c r="A165" s="9" t="n">
        <v>46508</v>
      </c>
      <c r="B165" t="inlineStr">
        <is>
          <t>NSW-2</t>
        </is>
      </c>
      <c r="C165" s="10" t="n">
        <v>134240000</v>
      </c>
      <c r="D165" s="11" t="n">
        <v>0.021</v>
      </c>
    </row>
    <row r="166">
      <c r="A166" s="9" t="n">
        <v>46508</v>
      </c>
      <c r="B166" t="inlineStr">
        <is>
          <t>VIC-2</t>
        </is>
      </c>
      <c r="C166" s="10" t="n">
        <v>142831000</v>
      </c>
      <c r="D166" s="11" t="n">
        <v>0.0203</v>
      </c>
    </row>
    <row r="167">
      <c r="A167" s="9" t="n">
        <v>46508</v>
      </c>
      <c r="B167" t="inlineStr">
        <is>
          <t>QLD-2</t>
        </is>
      </c>
      <c r="C167" s="10" t="n">
        <v>125821000</v>
      </c>
      <c r="D167" s="11" t="n">
        <v>0.0213</v>
      </c>
    </row>
    <row r="168">
      <c r="A168" s="9" t="n">
        <v>46508</v>
      </c>
      <c r="B168" t="inlineStr">
        <is>
          <t>SA-1</t>
        </is>
      </c>
      <c r="C168" s="10" t="n">
        <v>82399000</v>
      </c>
      <c r="D168" s="11" t="n">
        <v>0.0224</v>
      </c>
    </row>
    <row r="169">
      <c r="A169" s="9" t="n">
        <v>46508</v>
      </c>
      <c r="B169" t="inlineStr">
        <is>
          <t>WA-1</t>
        </is>
      </c>
      <c r="C169" s="10" t="n">
        <v>109651000</v>
      </c>
      <c r="D169" s="11" t="n">
        <v>0.0237</v>
      </c>
    </row>
    <row r="170">
      <c r="A170" s="9" t="n">
        <v>46508</v>
      </c>
      <c r="B170" t="inlineStr">
        <is>
          <t>IDC-NSW</t>
        </is>
      </c>
      <c r="C170" s="10" t="n"/>
      <c r="D170" s="11" t="n">
        <v>0.005</v>
      </c>
    </row>
    <row r="171">
      <c r="A171" s="9" t="n">
        <v>46508</v>
      </c>
      <c r="B171" t="inlineStr">
        <is>
          <t>IDC-VIC</t>
        </is>
      </c>
      <c r="C171" s="10" t="n"/>
      <c r="D171" s="11" t="n">
        <v>0.0047</v>
      </c>
    </row>
    <row r="172">
      <c r="A172" s="9" t="n">
        <v>46539</v>
      </c>
      <c r="B172" t="inlineStr">
        <is>
          <t>NSW-1</t>
        </is>
      </c>
      <c r="C172" s="10" t="n">
        <v>157235000</v>
      </c>
      <c r="D172" s="11" t="n">
        <v>0.0207</v>
      </c>
    </row>
    <row r="173">
      <c r="A173" s="9" t="n">
        <v>46539</v>
      </c>
      <c r="B173" t="inlineStr">
        <is>
          <t>VIC-1</t>
        </is>
      </c>
      <c r="C173" s="10" t="n">
        <v>147107000</v>
      </c>
      <c r="D173" s="11" t="n">
        <v>0.0206</v>
      </c>
    </row>
    <row r="174">
      <c r="A174" s="9" t="n">
        <v>46539</v>
      </c>
      <c r="B174" t="inlineStr">
        <is>
          <t>QLD-1</t>
        </is>
      </c>
      <c r="C174" s="10" t="n">
        <v>119289000</v>
      </c>
      <c r="D174" s="11" t="n">
        <v>0.0212</v>
      </c>
    </row>
    <row r="175">
      <c r="A175" s="9" t="n">
        <v>46539</v>
      </c>
      <c r="B175" t="inlineStr">
        <is>
          <t>NSW-2</t>
        </is>
      </c>
      <c r="C175" s="10" t="n">
        <v>131397000</v>
      </c>
      <c r="D175" s="11" t="n">
        <v>0.0215</v>
      </c>
    </row>
    <row r="176">
      <c r="A176" s="9" t="n">
        <v>46539</v>
      </c>
      <c r="B176" t="inlineStr">
        <is>
          <t>VIC-2</t>
        </is>
      </c>
      <c r="C176" s="10" t="n">
        <v>136583000</v>
      </c>
      <c r="D176" s="11" t="n">
        <v>0.0208</v>
      </c>
    </row>
    <row r="177">
      <c r="A177" s="9" t="n">
        <v>46539</v>
      </c>
      <c r="B177" t="inlineStr">
        <is>
          <t>QLD-2</t>
        </is>
      </c>
      <c r="C177" s="10" t="n">
        <v>123639000</v>
      </c>
      <c r="D177" s="11" t="n">
        <v>0.0218</v>
      </c>
    </row>
    <row r="178">
      <c r="A178" s="9" t="n">
        <v>46539</v>
      </c>
      <c r="B178" t="inlineStr">
        <is>
          <t>SA-1</t>
        </is>
      </c>
      <c r="C178" s="10" t="n">
        <v>84074000</v>
      </c>
      <c r="D178" s="11" t="n">
        <v>0.0221</v>
      </c>
    </row>
    <row r="179">
      <c r="A179" s="9" t="n">
        <v>46539</v>
      </c>
      <c r="B179" t="inlineStr">
        <is>
          <t>WA-1</t>
        </is>
      </c>
      <c r="C179" s="10" t="n">
        <v>109010000</v>
      </c>
      <c r="D179" s="11" t="n">
        <v>0.0253</v>
      </c>
    </row>
    <row r="180">
      <c r="A180" s="9" t="n">
        <v>46539</v>
      </c>
      <c r="B180" t="inlineStr">
        <is>
          <t>IDC-NSW</t>
        </is>
      </c>
      <c r="C180" s="10" t="n"/>
      <c r="D180" s="11" t="n">
        <v>0.0051</v>
      </c>
    </row>
    <row r="181">
      <c r="A181" s="9" t="n">
        <v>46539</v>
      </c>
      <c r="B181" t="inlineStr">
        <is>
          <t>IDC-VIC</t>
        </is>
      </c>
      <c r="C181" s="10" t="n"/>
      <c r="D181" s="11" t="n">
        <v>0.0048</v>
      </c>
    </row>
    <row r="182">
      <c r="A182" s="9" t="n">
        <v>46569</v>
      </c>
      <c r="B182" t="inlineStr">
        <is>
          <t>NSW-1</t>
        </is>
      </c>
      <c r="C182" s="10" t="n">
        <v>163682000</v>
      </c>
      <c r="D182" s="11" t="n">
        <v>0.0207</v>
      </c>
    </row>
    <row r="183">
      <c r="A183" s="9" t="n">
        <v>46569</v>
      </c>
      <c r="B183" t="inlineStr">
        <is>
          <t>VIC-1</t>
        </is>
      </c>
      <c r="C183" s="10" t="n">
        <v>152062000</v>
      </c>
      <c r="D183" s="11" t="n">
        <v>0.0201</v>
      </c>
    </row>
    <row r="184">
      <c r="A184" s="9" t="n">
        <v>46569</v>
      </c>
      <c r="B184" t="inlineStr">
        <is>
          <t>QLD-1</t>
        </is>
      </c>
      <c r="C184" s="10" t="n">
        <v>125044000</v>
      </c>
      <c r="D184" s="11" t="n">
        <v>0.0215</v>
      </c>
    </row>
    <row r="185">
      <c r="A185" s="9" t="n">
        <v>46569</v>
      </c>
      <c r="B185" t="inlineStr">
        <is>
          <t>NSW-2</t>
        </is>
      </c>
      <c r="C185" s="10" t="n">
        <v>130251000</v>
      </c>
      <c r="D185" s="11" t="n">
        <v>0.021</v>
      </c>
    </row>
    <row r="186">
      <c r="A186" s="9" t="n">
        <v>46569</v>
      </c>
      <c r="B186" t="inlineStr">
        <is>
          <t>VIC-2</t>
        </is>
      </c>
      <c r="C186" s="10" t="n">
        <v>142862000</v>
      </c>
      <c r="D186" s="11" t="n">
        <v>0.0198</v>
      </c>
    </row>
    <row r="187">
      <c r="A187" s="9" t="n">
        <v>46569</v>
      </c>
      <c r="B187" t="inlineStr">
        <is>
          <t>QLD-2</t>
        </is>
      </c>
      <c r="C187" s="10" t="n">
        <v>126427000</v>
      </c>
      <c r="D187" s="11" t="n">
        <v>0.0206</v>
      </c>
    </row>
    <row r="188">
      <c r="A188" s="9" t="n">
        <v>46569</v>
      </c>
      <c r="B188" t="inlineStr">
        <is>
          <t>SA-1</t>
        </is>
      </c>
      <c r="C188" s="10" t="n">
        <v>87399000</v>
      </c>
      <c r="D188" s="11" t="n">
        <v>0.022</v>
      </c>
    </row>
    <row r="189">
      <c r="A189" s="9" t="n">
        <v>46569</v>
      </c>
      <c r="B189" t="inlineStr">
        <is>
          <t>WA-1</t>
        </is>
      </c>
      <c r="C189" s="10" t="n">
        <v>110572000</v>
      </c>
      <c r="D189" s="11" t="n">
        <v>0.0233</v>
      </c>
    </row>
    <row r="190">
      <c r="A190" s="9" t="n">
        <v>46569</v>
      </c>
      <c r="B190" t="inlineStr">
        <is>
          <t>IDC-NSW</t>
        </is>
      </c>
      <c r="C190" s="10" t="n"/>
      <c r="D190" s="11" t="n">
        <v>0.005</v>
      </c>
    </row>
    <row r="191">
      <c r="A191" s="9" t="n">
        <v>46569</v>
      </c>
      <c r="B191" t="inlineStr">
        <is>
          <t>IDC-VIC</t>
        </is>
      </c>
      <c r="C191" s="10" t="n"/>
      <c r="D191" s="11" t="n">
        <v>0.0047</v>
      </c>
    </row>
    <row r="192">
      <c r="A192" s="9" t="n">
        <v>46600</v>
      </c>
      <c r="B192" t="inlineStr">
        <is>
          <t>NSW-1</t>
        </is>
      </c>
      <c r="C192" s="10" t="n">
        <v>160195000</v>
      </c>
      <c r="D192" s="11" t="n">
        <v>0.0199</v>
      </c>
    </row>
    <row r="193">
      <c r="A193" s="9" t="n">
        <v>46600</v>
      </c>
      <c r="B193" t="inlineStr">
        <is>
          <t>VIC-1</t>
        </is>
      </c>
      <c r="C193" s="10" t="n">
        <v>148426000</v>
      </c>
      <c r="D193" s="11" t="n">
        <v>0.0195</v>
      </c>
    </row>
    <row r="194">
      <c r="A194" s="9" t="n">
        <v>46600</v>
      </c>
      <c r="B194" t="inlineStr">
        <is>
          <t>QLD-1</t>
        </is>
      </c>
      <c r="C194" s="10" t="n">
        <v>123151000</v>
      </c>
      <c r="D194" s="11" t="n">
        <v>0.0212</v>
      </c>
    </row>
    <row r="195">
      <c r="A195" s="9" t="n">
        <v>46600</v>
      </c>
      <c r="B195" t="inlineStr">
        <is>
          <t>NSW-2</t>
        </is>
      </c>
      <c r="C195" s="10" t="n">
        <v>130514000</v>
      </c>
      <c r="D195" s="11" t="n">
        <v>0.0206</v>
      </c>
    </row>
    <row r="196">
      <c r="A196" s="9" t="n">
        <v>46600</v>
      </c>
      <c r="B196" t="inlineStr">
        <is>
          <t>VIC-2</t>
        </is>
      </c>
      <c r="C196" s="10" t="n">
        <v>145729000</v>
      </c>
      <c r="D196" s="11" t="n">
        <v>0.0189</v>
      </c>
    </row>
    <row r="197">
      <c r="A197" s="9" t="n">
        <v>46600</v>
      </c>
      <c r="B197" t="inlineStr">
        <is>
          <t>QLD-2</t>
        </is>
      </c>
      <c r="C197" s="10" t="n">
        <v>126230000</v>
      </c>
      <c r="D197" s="11" t="n">
        <v>0.0207</v>
      </c>
    </row>
    <row r="198">
      <c r="A198" s="9" t="n">
        <v>46600</v>
      </c>
      <c r="B198" t="inlineStr">
        <is>
          <t>SA-1</t>
        </is>
      </c>
      <c r="C198" s="10" t="n">
        <v>84605000</v>
      </c>
      <c r="D198" s="11" t="n">
        <v>0.0216</v>
      </c>
    </row>
    <row r="199">
      <c r="A199" s="9" t="n">
        <v>46600</v>
      </c>
      <c r="B199" t="inlineStr">
        <is>
          <t>WA-1</t>
        </is>
      </c>
      <c r="C199" s="10" t="n">
        <v>109785000</v>
      </c>
      <c r="D199" s="11" t="n">
        <v>0.0247</v>
      </c>
    </row>
    <row r="200">
      <c r="A200" s="9" t="n">
        <v>46600</v>
      </c>
      <c r="B200" t="inlineStr">
        <is>
          <t>IDC-NSW</t>
        </is>
      </c>
      <c r="C200" s="10" t="n"/>
      <c r="D200" s="11" t="n">
        <v>0.0049</v>
      </c>
    </row>
    <row r="201">
      <c r="A201" s="9" t="n">
        <v>46600</v>
      </c>
      <c r="B201" t="inlineStr">
        <is>
          <t>IDC-VIC</t>
        </is>
      </c>
      <c r="C201" s="10" t="n"/>
      <c r="D201" s="11" t="n">
        <v>0.0047</v>
      </c>
    </row>
    <row r="202">
      <c r="A202" s="9" t="n">
        <v>46631</v>
      </c>
      <c r="B202" t="inlineStr">
        <is>
          <t>NSW-1</t>
        </is>
      </c>
      <c r="C202" s="10" t="n">
        <v>160851000</v>
      </c>
      <c r="D202" s="11" t="n">
        <v>0.0206</v>
      </c>
    </row>
    <row r="203">
      <c r="A203" s="9" t="n">
        <v>46631</v>
      </c>
      <c r="B203" t="inlineStr">
        <is>
          <t>VIC-1</t>
        </is>
      </c>
      <c r="C203" s="10" t="n">
        <v>145881000</v>
      </c>
      <c r="D203" s="11" t="n">
        <v>0.0212</v>
      </c>
    </row>
    <row r="204">
      <c r="A204" s="9" t="n">
        <v>46631</v>
      </c>
      <c r="B204" t="inlineStr">
        <is>
          <t>QLD-1</t>
        </is>
      </c>
      <c r="C204" s="10" t="n">
        <v>123281000</v>
      </c>
      <c r="D204" s="11" t="n">
        <v>0.0213</v>
      </c>
    </row>
    <row r="205">
      <c r="A205" s="9" t="n">
        <v>46631</v>
      </c>
      <c r="B205" t="inlineStr">
        <is>
          <t>NSW-2</t>
        </is>
      </c>
      <c r="C205" s="10" t="n">
        <v>131491000</v>
      </c>
      <c r="D205" s="11" t="n">
        <v>0.0207</v>
      </c>
    </row>
    <row r="206">
      <c r="A206" s="9" t="n">
        <v>46631</v>
      </c>
      <c r="B206" t="inlineStr">
        <is>
          <t>VIC-2</t>
        </is>
      </c>
      <c r="C206" s="10" t="n">
        <v>145301000</v>
      </c>
      <c r="D206" s="11" t="n">
        <v>0.0194</v>
      </c>
    </row>
    <row r="207">
      <c r="A207" s="9" t="n">
        <v>46631</v>
      </c>
      <c r="B207" t="inlineStr">
        <is>
          <t>QLD-2</t>
        </is>
      </c>
      <c r="C207" s="10" t="n">
        <v>129196000</v>
      </c>
      <c r="D207" s="11" t="n">
        <v>0.0209</v>
      </c>
    </row>
    <row r="208">
      <c r="A208" s="9" t="n">
        <v>46631</v>
      </c>
      <c r="B208" t="inlineStr">
        <is>
          <t>SA-1</t>
        </is>
      </c>
      <c r="C208" s="10" t="n">
        <v>84861000</v>
      </c>
      <c r="D208" s="11" t="n">
        <v>0.022</v>
      </c>
    </row>
    <row r="209">
      <c r="A209" s="9" t="n">
        <v>46631</v>
      </c>
      <c r="B209" t="inlineStr">
        <is>
          <t>WA-1</t>
        </is>
      </c>
      <c r="C209" s="10" t="n">
        <v>109411000</v>
      </c>
      <c r="D209" s="11" t="n">
        <v>0.0255</v>
      </c>
    </row>
    <row r="210">
      <c r="A210" s="9" t="n">
        <v>46631</v>
      </c>
      <c r="B210" t="inlineStr">
        <is>
          <t>IDC-NSW</t>
        </is>
      </c>
      <c r="C210" s="10" t="n"/>
      <c r="D210" s="11" t="n">
        <v>0.0048</v>
      </c>
    </row>
    <row r="211">
      <c r="A211" s="9" t="n">
        <v>46631</v>
      </c>
      <c r="B211" t="inlineStr">
        <is>
          <t>IDC-VIC</t>
        </is>
      </c>
      <c r="C211" s="10" t="n"/>
      <c r="D211" s="11" t="n">
        <v>0.005</v>
      </c>
    </row>
    <row r="212">
      <c r="A212" s="9" t="n">
        <v>46661</v>
      </c>
      <c r="B212" t="inlineStr">
        <is>
          <t>NSW-1</t>
        </is>
      </c>
      <c r="C212" s="10" t="n">
        <v>164152000</v>
      </c>
      <c r="D212" s="11" t="n">
        <v>0.0201</v>
      </c>
    </row>
    <row r="213">
      <c r="A213" s="9" t="n">
        <v>46661</v>
      </c>
      <c r="B213" t="inlineStr">
        <is>
          <t>VIC-1</t>
        </is>
      </c>
      <c r="C213" s="10" t="n">
        <v>152542000</v>
      </c>
      <c r="D213" s="11" t="n">
        <v>0.0196</v>
      </c>
    </row>
    <row r="214">
      <c r="A214" s="9" t="n">
        <v>46661</v>
      </c>
      <c r="B214" t="inlineStr">
        <is>
          <t>QLD-1</t>
        </is>
      </c>
      <c r="C214" s="10" t="n">
        <v>124790000</v>
      </c>
      <c r="D214" s="11" t="n">
        <v>0.0218</v>
      </c>
    </row>
    <row r="215">
      <c r="A215" s="9" t="n">
        <v>46661</v>
      </c>
      <c r="B215" t="inlineStr">
        <is>
          <t>NSW-2</t>
        </is>
      </c>
      <c r="C215" s="10" t="n">
        <v>135599000</v>
      </c>
      <c r="D215" s="11" t="n">
        <v>0.021</v>
      </c>
    </row>
    <row r="216">
      <c r="A216" s="9" t="n">
        <v>46661</v>
      </c>
      <c r="B216" t="inlineStr">
        <is>
          <t>VIC-2</t>
        </is>
      </c>
      <c r="C216" s="10" t="n">
        <v>147994000</v>
      </c>
      <c r="D216" s="11" t="n">
        <v>0.0199</v>
      </c>
    </row>
    <row r="217">
      <c r="A217" s="9" t="n">
        <v>46661</v>
      </c>
      <c r="B217" t="inlineStr">
        <is>
          <t>QLD-2</t>
        </is>
      </c>
      <c r="C217" s="10" t="n">
        <v>130333000</v>
      </c>
      <c r="D217" s="11" t="n">
        <v>0.021</v>
      </c>
    </row>
    <row r="218">
      <c r="A218" s="9" t="n">
        <v>46661</v>
      </c>
      <c r="B218" t="inlineStr">
        <is>
          <t>SA-1</t>
        </is>
      </c>
      <c r="C218" s="10" t="n">
        <v>86382000</v>
      </c>
      <c r="D218" s="11" t="n">
        <v>0.0222</v>
      </c>
    </row>
    <row r="219">
      <c r="A219" s="9" t="n">
        <v>46661</v>
      </c>
      <c r="B219" t="inlineStr">
        <is>
          <t>WA-1</t>
        </is>
      </c>
      <c r="C219" s="10" t="n">
        <v>114146000</v>
      </c>
      <c r="D219" s="11" t="n">
        <v>0.0235</v>
      </c>
    </row>
    <row r="220">
      <c r="A220" s="9" t="n">
        <v>46661</v>
      </c>
      <c r="B220" t="inlineStr">
        <is>
          <t>IDC-NSW</t>
        </is>
      </c>
      <c r="C220" s="10" t="n"/>
      <c r="D220" s="11" t="n">
        <v>0.005</v>
      </c>
    </row>
    <row r="221">
      <c r="A221" s="9" t="n">
        <v>46661</v>
      </c>
      <c r="B221" t="inlineStr">
        <is>
          <t>IDC-VIC</t>
        </is>
      </c>
      <c r="C221" s="10" t="n"/>
      <c r="D221" s="11" t="n">
        <v>0.0046</v>
      </c>
    </row>
    <row r="222">
      <c r="A222" s="9" t="n">
        <v>46692</v>
      </c>
      <c r="B222" t="inlineStr">
        <is>
          <t>NSW-1</t>
        </is>
      </c>
      <c r="C222" s="10" t="n">
        <v>173372000</v>
      </c>
      <c r="D222" s="11" t="n">
        <v>0.02</v>
      </c>
    </row>
    <row r="223">
      <c r="A223" s="9" t="n">
        <v>46692</v>
      </c>
      <c r="B223" t="inlineStr">
        <is>
          <t>VIC-1</t>
        </is>
      </c>
      <c r="C223" s="10" t="n">
        <v>160621000</v>
      </c>
      <c r="D223" s="11" t="n">
        <v>0.0195</v>
      </c>
    </row>
    <row r="224">
      <c r="A224" s="9" t="n">
        <v>46692</v>
      </c>
      <c r="B224" t="inlineStr">
        <is>
          <t>QLD-1</t>
        </is>
      </c>
      <c r="C224" s="10" t="n">
        <v>130832000</v>
      </c>
      <c r="D224" s="11" t="n">
        <v>0.0204</v>
      </c>
    </row>
    <row r="225">
      <c r="A225" s="9" t="n">
        <v>46692</v>
      </c>
      <c r="B225" t="inlineStr">
        <is>
          <t>NSW-2</t>
        </is>
      </c>
      <c r="C225" s="10" t="n">
        <v>140494000</v>
      </c>
      <c r="D225" s="11" t="n">
        <v>0.0205</v>
      </c>
    </row>
    <row r="226">
      <c r="A226" s="9" t="n">
        <v>46692</v>
      </c>
      <c r="B226" t="inlineStr">
        <is>
          <t>VIC-2</t>
        </is>
      </c>
      <c r="C226" s="10" t="n">
        <v>152707000</v>
      </c>
      <c r="D226" s="11" t="n">
        <v>0.0194</v>
      </c>
    </row>
    <row r="227">
      <c r="A227" s="9" t="n">
        <v>46692</v>
      </c>
      <c r="B227" t="inlineStr">
        <is>
          <t>QLD-2</t>
        </is>
      </c>
      <c r="C227" s="10" t="n">
        <v>136645000</v>
      </c>
      <c r="D227" s="11" t="n">
        <v>0.0206</v>
      </c>
    </row>
    <row r="228">
      <c r="A228" s="9" t="n">
        <v>46692</v>
      </c>
      <c r="B228" t="inlineStr">
        <is>
          <t>SA-1</t>
        </is>
      </c>
      <c r="C228" s="10" t="n">
        <v>89710000</v>
      </c>
      <c r="D228" s="11" t="n">
        <v>0.0212</v>
      </c>
    </row>
    <row r="229">
      <c r="A229" s="9" t="n">
        <v>46692</v>
      </c>
      <c r="B229" t="inlineStr">
        <is>
          <t>WA-1</t>
        </is>
      </c>
      <c r="C229" s="10" t="n">
        <v>117889000</v>
      </c>
      <c r="D229" s="11" t="n">
        <v>0.0232</v>
      </c>
    </row>
    <row r="230">
      <c r="A230" s="9" t="n">
        <v>46692</v>
      </c>
      <c r="B230" t="inlineStr">
        <is>
          <t>IDC-NSW</t>
        </is>
      </c>
      <c r="C230" s="10" t="n"/>
      <c r="D230" s="11" t="n">
        <v>0.0047</v>
      </c>
    </row>
    <row r="231">
      <c r="A231" s="9" t="n">
        <v>46692</v>
      </c>
      <c r="B231" t="inlineStr">
        <is>
          <t>IDC-VIC</t>
        </is>
      </c>
      <c r="C231" s="10" t="n"/>
      <c r="D231" s="11" t="n">
        <v>0.0046</v>
      </c>
    </row>
    <row r="232">
      <c r="A232" s="9" t="n">
        <v>46722</v>
      </c>
      <c r="B232" t="inlineStr">
        <is>
          <t>NSW-1</t>
        </is>
      </c>
      <c r="C232" s="10" t="n">
        <v>205399000</v>
      </c>
      <c r="D232" s="11" t="n">
        <v>0.0201</v>
      </c>
    </row>
    <row r="233">
      <c r="A233" s="9" t="n">
        <v>46722</v>
      </c>
      <c r="B233" t="inlineStr">
        <is>
          <t>VIC-1</t>
        </is>
      </c>
      <c r="C233" s="10" t="n">
        <v>194083000</v>
      </c>
      <c r="D233" s="11" t="n">
        <v>0.0197</v>
      </c>
    </row>
    <row r="234">
      <c r="A234" s="9" t="n">
        <v>46722</v>
      </c>
      <c r="B234" t="inlineStr">
        <is>
          <t>QLD-1</t>
        </is>
      </c>
      <c r="C234" s="10" t="n">
        <v>156753000</v>
      </c>
      <c r="D234" s="11" t="n">
        <v>0.0215</v>
      </c>
    </row>
    <row r="235">
      <c r="A235" s="9" t="n">
        <v>46722</v>
      </c>
      <c r="B235" t="inlineStr">
        <is>
          <t>NSW-2</t>
        </is>
      </c>
      <c r="C235" s="10" t="n">
        <v>175166000</v>
      </c>
      <c r="D235" s="11" t="n">
        <v>0.0206</v>
      </c>
    </row>
    <row r="236">
      <c r="A236" s="9" t="n">
        <v>46722</v>
      </c>
      <c r="B236" t="inlineStr">
        <is>
          <t>VIC-2</t>
        </is>
      </c>
      <c r="C236" s="10" t="n">
        <v>183921000</v>
      </c>
      <c r="D236" s="11" t="n">
        <v>0.0195</v>
      </c>
    </row>
    <row r="237">
      <c r="A237" s="9" t="n">
        <v>46722</v>
      </c>
      <c r="B237" t="inlineStr">
        <is>
          <t>QLD-2</t>
        </is>
      </c>
      <c r="C237" s="10" t="n">
        <v>166796000</v>
      </c>
      <c r="D237" s="11" t="n">
        <v>0.0201</v>
      </c>
    </row>
    <row r="238">
      <c r="A238" s="9" t="n">
        <v>46722</v>
      </c>
      <c r="B238" t="inlineStr">
        <is>
          <t>SA-1</t>
        </is>
      </c>
      <c r="C238" s="10" t="n">
        <v>111739000</v>
      </c>
      <c r="D238" s="11" t="n">
        <v>0.0217</v>
      </c>
    </row>
    <row r="239">
      <c r="A239" s="9" t="n">
        <v>46722</v>
      </c>
      <c r="B239" t="inlineStr">
        <is>
          <t>WA-1</t>
        </is>
      </c>
      <c r="C239" s="10" t="n">
        <v>142375000</v>
      </c>
      <c r="D239" s="11" t="n">
        <v>0.0243</v>
      </c>
    </row>
    <row r="240">
      <c r="A240" s="9" t="n">
        <v>46722</v>
      </c>
      <c r="B240" t="inlineStr">
        <is>
          <t>IDC-NSW</t>
        </is>
      </c>
      <c r="C240" s="10" t="n"/>
      <c r="D240" s="11" t="n">
        <v>0.0048</v>
      </c>
    </row>
    <row r="241">
      <c r="A241" s="9" t="n">
        <v>46722</v>
      </c>
      <c r="B241" t="inlineStr">
        <is>
          <t>IDC-VIC</t>
        </is>
      </c>
      <c r="C241" s="10" t="n"/>
      <c r="D241" s="11" t="n">
        <v>0.0047</v>
      </c>
    </row>
    <row r="242">
      <c r="A242" s="9" t="n">
        <v>46753</v>
      </c>
      <c r="B242" t="inlineStr">
        <is>
          <t>NSW-1</t>
        </is>
      </c>
      <c r="C242" s="10" t="n">
        <v>160844000</v>
      </c>
      <c r="D242" s="11" t="n">
        <v>0.0225</v>
      </c>
    </row>
    <row r="243">
      <c r="A243" s="9" t="n">
        <v>46753</v>
      </c>
      <c r="B243" t="inlineStr">
        <is>
          <t>VIC-1</t>
        </is>
      </c>
      <c r="C243" s="10" t="n">
        <v>147829000</v>
      </c>
      <c r="D243" s="11" t="n">
        <v>0.0229</v>
      </c>
    </row>
    <row r="244">
      <c r="A244" s="9" t="n">
        <v>46753</v>
      </c>
      <c r="B244" t="inlineStr">
        <is>
          <t>QLD-1</t>
        </is>
      </c>
      <c r="C244" s="10" t="n">
        <v>122220000</v>
      </c>
      <c r="D244" s="11" t="n">
        <v>0.0241</v>
      </c>
    </row>
    <row r="245">
      <c r="A245" s="9" t="n">
        <v>46753</v>
      </c>
      <c r="B245" t="inlineStr">
        <is>
          <t>NSW-2</t>
        </is>
      </c>
      <c r="C245" s="10" t="n">
        <v>136117000</v>
      </c>
      <c r="D245" s="11" t="n">
        <v>0.0233</v>
      </c>
    </row>
    <row r="246">
      <c r="A246" s="9" t="n">
        <v>46753</v>
      </c>
      <c r="B246" t="inlineStr">
        <is>
          <t>VIC-2</t>
        </is>
      </c>
      <c r="C246" s="10" t="n">
        <v>145150000</v>
      </c>
      <c r="D246" s="11" t="n">
        <v>0.0225</v>
      </c>
    </row>
    <row r="247">
      <c r="A247" s="9" t="n">
        <v>46753</v>
      </c>
      <c r="B247" t="inlineStr">
        <is>
          <t>QLD-2</t>
        </is>
      </c>
      <c r="C247" s="10" t="n">
        <v>132412000</v>
      </c>
      <c r="D247" s="11" t="n">
        <v>0.0237</v>
      </c>
    </row>
    <row r="248">
      <c r="A248" s="9" t="n">
        <v>46753</v>
      </c>
      <c r="B248" t="inlineStr">
        <is>
          <t>SA-1</t>
        </is>
      </c>
      <c r="C248" s="10" t="n">
        <v>83717000</v>
      </c>
      <c r="D248" s="11" t="n">
        <v>0.0252</v>
      </c>
    </row>
    <row r="249">
      <c r="A249" s="9" t="n">
        <v>46753</v>
      </c>
      <c r="B249" t="inlineStr">
        <is>
          <t>WA-1</t>
        </is>
      </c>
      <c r="C249" s="10" t="n">
        <v>113871000</v>
      </c>
      <c r="D249" s="11" t="n">
        <v>0.0266</v>
      </c>
    </row>
    <row r="250">
      <c r="A250" s="9" t="n">
        <v>46753</v>
      </c>
      <c r="B250" t="inlineStr">
        <is>
          <t>IDC-NSW</t>
        </is>
      </c>
      <c r="C250" s="10" t="n"/>
      <c r="D250" s="11" t="n">
        <v>0.0054</v>
      </c>
    </row>
    <row r="251">
      <c r="A251" s="9" t="n">
        <v>46753</v>
      </c>
      <c r="B251" t="inlineStr">
        <is>
          <t>IDC-VIC</t>
        </is>
      </c>
      <c r="C251" s="10" t="n"/>
      <c r="D251" s="11" t="n">
        <v>0.0053</v>
      </c>
    </row>
    <row r="252">
      <c r="A252" s="9" t="n">
        <v>46784</v>
      </c>
      <c r="B252" t="inlineStr">
        <is>
          <t>NSW-1</t>
        </is>
      </c>
      <c r="C252" s="10" t="n">
        <v>151284000</v>
      </c>
      <c r="D252" s="11" t="n">
        <v>0.0216</v>
      </c>
    </row>
    <row r="253">
      <c r="A253" s="9" t="n">
        <v>46784</v>
      </c>
      <c r="B253" t="inlineStr">
        <is>
          <t>VIC-1</t>
        </is>
      </c>
      <c r="C253" s="10" t="n">
        <v>140155000</v>
      </c>
      <c r="D253" s="11" t="n">
        <v>0.0209</v>
      </c>
    </row>
    <row r="254">
      <c r="A254" s="9" t="n">
        <v>46784</v>
      </c>
      <c r="B254" t="inlineStr">
        <is>
          <t>QLD-1</t>
        </is>
      </c>
      <c r="C254" s="10" t="n">
        <v>112734000</v>
      </c>
      <c r="D254" s="11" t="n">
        <v>0.0226</v>
      </c>
    </row>
    <row r="255">
      <c r="A255" s="9" t="n">
        <v>46784</v>
      </c>
      <c r="B255" t="inlineStr">
        <is>
          <t>NSW-2</t>
        </is>
      </c>
      <c r="C255" s="10" t="n">
        <v>127484000</v>
      </c>
      <c r="D255" s="11" t="n">
        <v>0.0226</v>
      </c>
    </row>
    <row r="256">
      <c r="A256" s="9" t="n">
        <v>46784</v>
      </c>
      <c r="B256" t="inlineStr">
        <is>
          <t>VIC-2</t>
        </is>
      </c>
      <c r="C256" s="10" t="n">
        <v>137458000</v>
      </c>
      <c r="D256" s="11" t="n">
        <v>0.0211</v>
      </c>
    </row>
    <row r="257">
      <c r="A257" s="9" t="n">
        <v>46784</v>
      </c>
      <c r="B257" t="inlineStr">
        <is>
          <t>QLD-2</t>
        </is>
      </c>
      <c r="C257" s="10" t="n">
        <v>121212000</v>
      </c>
      <c r="D257" s="11" t="n">
        <v>0.0227</v>
      </c>
    </row>
    <row r="258">
      <c r="A258" s="9" t="n">
        <v>46784</v>
      </c>
      <c r="B258" t="inlineStr">
        <is>
          <t>SA-1</t>
        </is>
      </c>
      <c r="C258" s="10" t="n">
        <v>80244000</v>
      </c>
      <c r="D258" s="11" t="n">
        <v>0.023</v>
      </c>
    </row>
    <row r="259">
      <c r="A259" s="9" t="n">
        <v>46784</v>
      </c>
      <c r="B259" t="inlineStr">
        <is>
          <t>WA-1</t>
        </is>
      </c>
      <c r="C259" s="10" t="n">
        <v>105870000</v>
      </c>
      <c r="D259" s="11" t="n">
        <v>0.0248</v>
      </c>
    </row>
    <row r="260">
      <c r="A260" s="9" t="n">
        <v>46784</v>
      </c>
      <c r="B260" t="inlineStr">
        <is>
          <t>IDC-NSW</t>
        </is>
      </c>
      <c r="C260" s="10" t="n"/>
      <c r="D260" s="11" t="n">
        <v>0.0051</v>
      </c>
    </row>
    <row r="261">
      <c r="A261" s="9" t="n">
        <v>46784</v>
      </c>
      <c r="B261" t="inlineStr">
        <is>
          <t>IDC-VIC</t>
        </is>
      </c>
      <c r="C261" s="10" t="n"/>
      <c r="D261" s="11" t="n">
        <v>0.0049</v>
      </c>
    </row>
    <row r="262">
      <c r="A262" s="9" t="n">
        <v>46813</v>
      </c>
      <c r="B262" t="inlineStr">
        <is>
          <t>NSW-1</t>
        </is>
      </c>
      <c r="C262" s="10" t="n">
        <v>165476000</v>
      </c>
      <c r="D262" s="11" t="n">
        <v>0.0212</v>
      </c>
    </row>
    <row r="263">
      <c r="A263" s="9" t="n">
        <v>46813</v>
      </c>
      <c r="B263" t="inlineStr">
        <is>
          <t>VIC-1</t>
        </is>
      </c>
      <c r="C263" s="10" t="n">
        <v>158045000</v>
      </c>
      <c r="D263" s="11" t="n">
        <v>0.0211</v>
      </c>
    </row>
    <row r="264">
      <c r="A264" s="9" t="n">
        <v>46813</v>
      </c>
      <c r="B264" t="inlineStr">
        <is>
          <t>QLD-1</t>
        </is>
      </c>
      <c r="C264" s="10" t="n">
        <v>124665000</v>
      </c>
      <c r="D264" s="11" t="n">
        <v>0.0218</v>
      </c>
    </row>
    <row r="265">
      <c r="A265" s="9" t="n">
        <v>46813</v>
      </c>
      <c r="B265" t="inlineStr">
        <is>
          <t>NSW-2</t>
        </is>
      </c>
      <c r="C265" s="10" t="n">
        <v>134860000</v>
      </c>
      <c r="D265" s="11" t="n">
        <v>0.022</v>
      </c>
    </row>
    <row r="266">
      <c r="A266" s="9" t="n">
        <v>46813</v>
      </c>
      <c r="B266" t="inlineStr">
        <is>
          <t>VIC-2</t>
        </is>
      </c>
      <c r="C266" s="10" t="n">
        <v>152259000</v>
      </c>
      <c r="D266" s="11" t="n">
        <v>0.0208</v>
      </c>
    </row>
    <row r="267">
      <c r="A267" s="9" t="n">
        <v>46813</v>
      </c>
      <c r="B267" t="inlineStr">
        <is>
          <t>QLD-2</t>
        </is>
      </c>
      <c r="C267" s="10" t="n">
        <v>133616000</v>
      </c>
      <c r="D267" s="11" t="n">
        <v>0.0214</v>
      </c>
    </row>
    <row r="268">
      <c r="A268" s="9" t="n">
        <v>46813</v>
      </c>
      <c r="B268" t="inlineStr">
        <is>
          <t>SA-1</t>
        </is>
      </c>
      <c r="C268" s="10" t="n">
        <v>88391000</v>
      </c>
      <c r="D268" s="11" t="n">
        <v>0.0232</v>
      </c>
    </row>
    <row r="269">
      <c r="A269" s="9" t="n">
        <v>46813</v>
      </c>
      <c r="B269" t="inlineStr">
        <is>
          <t>WA-1</t>
        </is>
      </c>
      <c r="C269" s="10" t="n">
        <v>117188000</v>
      </c>
      <c r="D269" s="11" t="n">
        <v>0.025</v>
      </c>
    </row>
    <row r="270">
      <c r="A270" s="9" t="n">
        <v>46813</v>
      </c>
      <c r="B270" t="inlineStr">
        <is>
          <t>IDC-NSW</t>
        </is>
      </c>
      <c r="C270" s="10" t="n"/>
      <c r="D270" s="11" t="n">
        <v>0.0051</v>
      </c>
    </row>
    <row r="271">
      <c r="A271" s="9" t="n">
        <v>46813</v>
      </c>
      <c r="B271" t="inlineStr">
        <is>
          <t>IDC-VIC</t>
        </is>
      </c>
      <c r="C271" s="10" t="n"/>
      <c r="D271" s="11" t="n">
        <v>0.0048</v>
      </c>
    </row>
    <row r="272">
      <c r="A272" s="9" t="n">
        <v>46844</v>
      </c>
      <c r="B272" t="inlineStr">
        <is>
          <t>NSW-1</t>
        </is>
      </c>
      <c r="C272" s="10" t="n">
        <v>167799000</v>
      </c>
      <c r="D272" s="11" t="n">
        <v>0.0238</v>
      </c>
    </row>
    <row r="273">
      <c r="A273" s="9" t="n">
        <v>46844</v>
      </c>
      <c r="B273" t="inlineStr">
        <is>
          <t>VIC-1</t>
        </is>
      </c>
      <c r="C273" s="10" t="n">
        <v>154912000</v>
      </c>
      <c r="D273" s="11" t="n">
        <v>0.0223</v>
      </c>
    </row>
    <row r="274">
      <c r="A274" s="9" t="n">
        <v>46844</v>
      </c>
      <c r="B274" t="inlineStr">
        <is>
          <t>QLD-1</t>
        </is>
      </c>
      <c r="C274" s="10" t="n">
        <v>125512000</v>
      </c>
      <c r="D274" s="11" t="n">
        <v>0.0257</v>
      </c>
    </row>
    <row r="275">
      <c r="A275" s="9" t="n">
        <v>46844</v>
      </c>
      <c r="B275" t="inlineStr">
        <is>
          <t>NSW-2</t>
        </is>
      </c>
      <c r="C275" s="10" t="n">
        <v>137183000</v>
      </c>
      <c r="D275" s="11" t="n">
        <v>0.0244</v>
      </c>
    </row>
    <row r="276">
      <c r="A276" s="9" t="n">
        <v>46844</v>
      </c>
      <c r="B276" t="inlineStr">
        <is>
          <t>VIC-2</t>
        </is>
      </c>
      <c r="C276" s="10" t="n">
        <v>147261000</v>
      </c>
      <c r="D276" s="11" t="n">
        <v>0.0226</v>
      </c>
    </row>
    <row r="277">
      <c r="A277" s="9" t="n">
        <v>46844</v>
      </c>
      <c r="B277" t="inlineStr">
        <is>
          <t>QLD-2</t>
        </is>
      </c>
      <c r="C277" s="10" t="n">
        <v>130689000</v>
      </c>
      <c r="D277" s="11" t="n">
        <v>0.0249</v>
      </c>
    </row>
    <row r="278">
      <c r="A278" s="9" t="n">
        <v>46844</v>
      </c>
      <c r="B278" t="inlineStr">
        <is>
          <t>SA-1</t>
        </is>
      </c>
      <c r="C278" s="10" t="n">
        <v>88461000</v>
      </c>
      <c r="D278" s="11" t="n">
        <v>0.0251</v>
      </c>
    </row>
    <row r="279">
      <c r="A279" s="9" t="n">
        <v>46844</v>
      </c>
      <c r="B279" t="inlineStr">
        <is>
          <t>WA-1</t>
        </is>
      </c>
      <c r="C279" s="10" t="n">
        <v>116429000</v>
      </c>
      <c r="D279" s="11" t="n">
        <v>0.0274</v>
      </c>
    </row>
    <row r="280">
      <c r="A280" s="9" t="n">
        <v>46844</v>
      </c>
      <c r="B280" t="inlineStr">
        <is>
          <t>IDC-NSW</t>
        </is>
      </c>
      <c r="C280" s="10" t="n"/>
      <c r="D280" s="11" t="n">
        <v>0.0056</v>
      </c>
    </row>
    <row r="281">
      <c r="A281" s="9" t="n">
        <v>46844</v>
      </c>
      <c r="B281" t="inlineStr">
        <is>
          <t>IDC-VIC</t>
        </is>
      </c>
      <c r="C281" s="10" t="n"/>
      <c r="D281" s="11" t="n">
        <v>0.0054</v>
      </c>
    </row>
    <row r="282">
      <c r="A282" s="9" t="n">
        <v>46874</v>
      </c>
      <c r="B282" t="inlineStr">
        <is>
          <t>NSW-1</t>
        </is>
      </c>
      <c r="C282" s="10" t="n">
        <v>170403000</v>
      </c>
      <c r="D282" s="11" t="n">
        <v>0.0204</v>
      </c>
    </row>
    <row r="283">
      <c r="A283" s="9" t="n">
        <v>46874</v>
      </c>
      <c r="B283" t="inlineStr">
        <is>
          <t>VIC-1</t>
        </is>
      </c>
      <c r="C283" s="10" t="n">
        <v>150476000</v>
      </c>
      <c r="D283" s="11" t="n">
        <v>0.0204</v>
      </c>
    </row>
    <row r="284">
      <c r="A284" s="9" t="n">
        <v>46874</v>
      </c>
      <c r="B284" t="inlineStr">
        <is>
          <t>QLD-1</t>
        </is>
      </c>
      <c r="C284" s="10" t="n">
        <v>125802000</v>
      </c>
      <c r="D284" s="11" t="n">
        <v>0.0223</v>
      </c>
    </row>
    <row r="285">
      <c r="A285" s="9" t="n">
        <v>46874</v>
      </c>
      <c r="B285" t="inlineStr">
        <is>
          <t>NSW-2</t>
        </is>
      </c>
      <c r="C285" s="10" t="n">
        <v>135259000</v>
      </c>
      <c r="D285" s="11" t="n">
        <v>0.0214</v>
      </c>
    </row>
    <row r="286">
      <c r="A286" s="9" t="n">
        <v>46874</v>
      </c>
      <c r="B286" t="inlineStr">
        <is>
          <t>VIC-2</t>
        </is>
      </c>
      <c r="C286" s="10" t="n">
        <v>146732000</v>
      </c>
      <c r="D286" s="11" t="n">
        <v>0.0202</v>
      </c>
    </row>
    <row r="287">
      <c r="A287" s="9" t="n">
        <v>46874</v>
      </c>
      <c r="B287" t="inlineStr">
        <is>
          <t>QLD-2</t>
        </is>
      </c>
      <c r="C287" s="10" t="n">
        <v>131693000</v>
      </c>
      <c r="D287" s="11" t="n">
        <v>0.0226</v>
      </c>
    </row>
    <row r="288">
      <c r="A288" s="9" t="n">
        <v>46874</v>
      </c>
      <c r="B288" t="inlineStr">
        <is>
          <t>SA-1</t>
        </is>
      </c>
      <c r="C288" s="10" t="n">
        <v>87817000</v>
      </c>
      <c r="D288" s="11" t="n">
        <v>0.0226</v>
      </c>
    </row>
    <row r="289">
      <c r="A289" s="9" t="n">
        <v>46874</v>
      </c>
      <c r="B289" t="inlineStr">
        <is>
          <t>WA-1</t>
        </is>
      </c>
      <c r="C289" s="10" t="n">
        <v>113708000</v>
      </c>
      <c r="D289" s="11" t="n">
        <v>0.0241</v>
      </c>
    </row>
    <row r="290">
      <c r="A290" s="9" t="n">
        <v>46874</v>
      </c>
      <c r="B290" t="inlineStr">
        <is>
          <t>IDC-NSW</t>
        </is>
      </c>
      <c r="C290" s="10" t="n"/>
      <c r="D290" s="11" t="n">
        <v>0.005</v>
      </c>
    </row>
    <row r="291">
      <c r="A291" s="9" t="n">
        <v>46874</v>
      </c>
      <c r="B291" t="inlineStr">
        <is>
          <t>IDC-VIC</t>
        </is>
      </c>
      <c r="C291" s="10" t="n"/>
      <c r="D291" s="11" t="n">
        <v>0.0049</v>
      </c>
    </row>
    <row r="292">
      <c r="A292" s="9" t="n">
        <v>46905</v>
      </c>
      <c r="B292" t="inlineStr">
        <is>
          <t>NSW-1</t>
        </is>
      </c>
      <c r="C292" s="10" t="n">
        <v>162112000</v>
      </c>
      <c r="D292" s="11" t="n">
        <v>0.0209</v>
      </c>
    </row>
    <row r="293">
      <c r="A293" s="9" t="n">
        <v>46905</v>
      </c>
      <c r="B293" t="inlineStr">
        <is>
          <t>VIC-1</t>
        </is>
      </c>
      <c r="C293" s="10" t="n">
        <v>149194000</v>
      </c>
      <c r="D293" s="11" t="n">
        <v>0.0213</v>
      </c>
    </row>
    <row r="294">
      <c r="A294" s="9" t="n">
        <v>46905</v>
      </c>
      <c r="B294" t="inlineStr">
        <is>
          <t>QLD-1</t>
        </is>
      </c>
      <c r="C294" s="10" t="n">
        <v>124204000</v>
      </c>
      <c r="D294" s="11" t="n">
        <v>0.022</v>
      </c>
    </row>
    <row r="295">
      <c r="A295" s="9" t="n">
        <v>46905</v>
      </c>
      <c r="B295" t="inlineStr">
        <is>
          <t>NSW-2</t>
        </is>
      </c>
      <c r="C295" s="10" t="n">
        <v>133583000</v>
      </c>
      <c r="D295" s="11" t="n">
        <v>0.0217</v>
      </c>
    </row>
    <row r="296">
      <c r="A296" s="9" t="n">
        <v>46905</v>
      </c>
      <c r="B296" t="inlineStr">
        <is>
          <t>VIC-2</t>
        </is>
      </c>
      <c r="C296" s="10" t="n">
        <v>145186000</v>
      </c>
      <c r="D296" s="11" t="n">
        <v>0.0203</v>
      </c>
    </row>
    <row r="297">
      <c r="A297" s="9" t="n">
        <v>46905</v>
      </c>
      <c r="B297" t="inlineStr">
        <is>
          <t>QLD-2</t>
        </is>
      </c>
      <c r="C297" s="10" t="n">
        <v>129819000</v>
      </c>
      <c r="D297" s="11" t="n">
        <v>0.0221</v>
      </c>
    </row>
    <row r="298">
      <c r="A298" s="9" t="n">
        <v>46905</v>
      </c>
      <c r="B298" t="inlineStr">
        <is>
          <t>SA-1</t>
        </is>
      </c>
      <c r="C298" s="10" t="n">
        <v>87571000</v>
      </c>
      <c r="D298" s="11" t="n">
        <v>0.0226</v>
      </c>
    </row>
    <row r="299">
      <c r="A299" s="9" t="n">
        <v>46905</v>
      </c>
      <c r="B299" t="inlineStr">
        <is>
          <t>WA-1</t>
        </is>
      </c>
      <c r="C299" s="10" t="n">
        <v>114161000</v>
      </c>
      <c r="D299" s="11" t="n">
        <v>0.0252</v>
      </c>
    </row>
    <row r="300">
      <c r="A300" s="9" t="n">
        <v>46905</v>
      </c>
      <c r="B300" t="inlineStr">
        <is>
          <t>IDC-NSW</t>
        </is>
      </c>
      <c r="C300" s="10" t="n"/>
      <c r="D300" s="11" t="n">
        <v>0.005</v>
      </c>
    </row>
    <row r="301">
      <c r="A301" s="9" t="n">
        <v>46905</v>
      </c>
      <c r="B301" t="inlineStr">
        <is>
          <t>IDC-VIC</t>
        </is>
      </c>
      <c r="C301" s="10" t="n"/>
      <c r="D301" s="11" t="n">
        <v>0.0048</v>
      </c>
    </row>
    <row r="302">
      <c r="A302" s="9" t="n">
        <v>46935</v>
      </c>
      <c r="B302" t="inlineStr">
        <is>
          <t>NSW-1</t>
        </is>
      </c>
      <c r="C302" s="10" t="n">
        <v>165394000</v>
      </c>
      <c r="D302" s="11" t="n">
        <v>0.0215</v>
      </c>
    </row>
    <row r="303">
      <c r="A303" s="9" t="n">
        <v>46935</v>
      </c>
      <c r="B303" t="inlineStr">
        <is>
          <t>VIC-1</t>
        </is>
      </c>
      <c r="C303" s="10" t="n">
        <v>157814000</v>
      </c>
      <c r="D303" s="11" t="n">
        <v>0.0204</v>
      </c>
    </row>
    <row r="304">
      <c r="A304" s="9" t="n">
        <v>46935</v>
      </c>
      <c r="B304" t="inlineStr">
        <is>
          <t>QLD-1</t>
        </is>
      </c>
      <c r="C304" s="10" t="n">
        <v>126510000</v>
      </c>
      <c r="D304" s="11" t="n">
        <v>0.0216</v>
      </c>
    </row>
    <row r="305">
      <c r="A305" s="9" t="n">
        <v>46935</v>
      </c>
      <c r="B305" t="inlineStr">
        <is>
          <t>NSW-2</t>
        </is>
      </c>
      <c r="C305" s="10" t="n">
        <v>137213000</v>
      </c>
      <c r="D305" s="11" t="n">
        <v>0.0217</v>
      </c>
    </row>
    <row r="306">
      <c r="A306" s="9" t="n">
        <v>46935</v>
      </c>
      <c r="B306" t="inlineStr">
        <is>
          <t>VIC-2</t>
        </is>
      </c>
      <c r="C306" s="10" t="n">
        <v>149522000</v>
      </c>
      <c r="D306" s="11" t="n">
        <v>0.0204</v>
      </c>
    </row>
    <row r="307">
      <c r="A307" s="9" t="n">
        <v>46935</v>
      </c>
      <c r="B307" t="inlineStr">
        <is>
          <t>QLD-2</t>
        </is>
      </c>
      <c r="C307" s="10" t="n">
        <v>132703000</v>
      </c>
      <c r="D307" s="11" t="n">
        <v>0.0219</v>
      </c>
    </row>
    <row r="308">
      <c r="A308" s="9" t="n">
        <v>46935</v>
      </c>
      <c r="B308" t="inlineStr">
        <is>
          <t>SA-1</t>
        </is>
      </c>
      <c r="C308" s="10" t="n">
        <v>87417000</v>
      </c>
      <c r="D308" s="11" t="n">
        <v>0.0222</v>
      </c>
    </row>
    <row r="309">
      <c r="A309" s="9" t="n">
        <v>46935</v>
      </c>
      <c r="B309" t="inlineStr">
        <is>
          <t>WA-1</t>
        </is>
      </c>
      <c r="C309" s="10" t="n">
        <v>116737000</v>
      </c>
      <c r="D309" s="11" t="n">
        <v>0.0242</v>
      </c>
    </row>
    <row r="310">
      <c r="A310" s="9" t="n">
        <v>46935</v>
      </c>
      <c r="B310" t="inlineStr">
        <is>
          <t>IDC-NSW</t>
        </is>
      </c>
      <c r="C310" s="10" t="n"/>
      <c r="D310" s="11" t="n">
        <v>0.005</v>
      </c>
    </row>
    <row r="311">
      <c r="A311" s="9" t="n">
        <v>46935</v>
      </c>
      <c r="B311" t="inlineStr">
        <is>
          <t>IDC-VIC</t>
        </is>
      </c>
      <c r="C311" s="10" t="n"/>
      <c r="D311" s="11" t="n">
        <v>0.0047</v>
      </c>
    </row>
    <row r="312">
      <c r="A312" s="9" t="n">
        <v>46966</v>
      </c>
      <c r="B312" t="inlineStr">
        <is>
          <t>NSW-1</t>
        </is>
      </c>
      <c r="C312" s="10" t="n">
        <v>162441000</v>
      </c>
      <c r="D312" s="11" t="n">
        <v>0.0207</v>
      </c>
    </row>
    <row r="313">
      <c r="A313" s="9" t="n">
        <v>46966</v>
      </c>
      <c r="B313" t="inlineStr">
        <is>
          <t>VIC-1</t>
        </is>
      </c>
      <c r="C313" s="10" t="n">
        <v>156899000</v>
      </c>
      <c r="D313" s="11" t="n">
        <v>0.0206</v>
      </c>
    </row>
    <row r="314">
      <c r="A314" s="9" t="n">
        <v>46966</v>
      </c>
      <c r="B314" t="inlineStr">
        <is>
          <t>QLD-1</t>
        </is>
      </c>
      <c r="C314" s="10" t="n">
        <v>123608000</v>
      </c>
      <c r="D314" s="11" t="n">
        <v>0.022</v>
      </c>
    </row>
    <row r="315">
      <c r="A315" s="9" t="n">
        <v>46966</v>
      </c>
      <c r="B315" t="inlineStr">
        <is>
          <t>NSW-2</t>
        </is>
      </c>
      <c r="C315" s="10" t="n">
        <v>135812000</v>
      </c>
      <c r="D315" s="11" t="n">
        <v>0.0212</v>
      </c>
    </row>
    <row r="316">
      <c r="A316" s="9" t="n">
        <v>46966</v>
      </c>
      <c r="B316" t="inlineStr">
        <is>
          <t>VIC-2</t>
        </is>
      </c>
      <c r="C316" s="10" t="n">
        <v>148308000</v>
      </c>
      <c r="D316" s="11" t="n">
        <v>0.0198</v>
      </c>
    </row>
    <row r="317">
      <c r="A317" s="9" t="n">
        <v>46966</v>
      </c>
      <c r="B317" t="inlineStr">
        <is>
          <t>QLD-2</t>
        </is>
      </c>
      <c r="C317" s="10" t="n">
        <v>133717000</v>
      </c>
      <c r="D317" s="11" t="n">
        <v>0.0214</v>
      </c>
    </row>
    <row r="318">
      <c r="A318" s="9" t="n">
        <v>46966</v>
      </c>
      <c r="B318" t="inlineStr">
        <is>
          <t>SA-1</t>
        </is>
      </c>
      <c r="C318" s="10" t="n">
        <v>87638000</v>
      </c>
      <c r="D318" s="11" t="n">
        <v>0.0226</v>
      </c>
    </row>
    <row r="319">
      <c r="A319" s="9" t="n">
        <v>46966</v>
      </c>
      <c r="B319" t="inlineStr">
        <is>
          <t>WA-1</t>
        </is>
      </c>
      <c r="C319" s="10" t="n">
        <v>116312000</v>
      </c>
      <c r="D319" s="11" t="n">
        <v>0.0239</v>
      </c>
    </row>
    <row r="320">
      <c r="A320" s="9" t="n">
        <v>46966</v>
      </c>
      <c r="B320" t="inlineStr">
        <is>
          <t>IDC-NSW</t>
        </is>
      </c>
      <c r="C320" s="10" t="n"/>
      <c r="D320" s="11" t="n">
        <v>0.0051</v>
      </c>
    </row>
    <row r="321">
      <c r="A321" s="9" t="n">
        <v>46966</v>
      </c>
      <c r="B321" t="inlineStr">
        <is>
          <t>IDC-VIC</t>
        </is>
      </c>
      <c r="C321" s="10" t="n"/>
      <c r="D321" s="11" t="n">
        <v>0.0047</v>
      </c>
    </row>
    <row r="322">
      <c r="A322" s="9" t="n">
        <v>46997</v>
      </c>
      <c r="B322" t="inlineStr">
        <is>
          <t>NSW-1</t>
        </is>
      </c>
      <c r="C322" s="10" t="n">
        <v>166521000</v>
      </c>
      <c r="D322" s="11" t="n">
        <v>0.021</v>
      </c>
    </row>
    <row r="323">
      <c r="A323" s="9" t="n">
        <v>46997</v>
      </c>
      <c r="B323" t="inlineStr">
        <is>
          <t>VIC-1</t>
        </is>
      </c>
      <c r="C323" s="10" t="n">
        <v>154127000</v>
      </c>
      <c r="D323" s="11" t="n">
        <v>0.021</v>
      </c>
    </row>
    <row r="324">
      <c r="A324" s="9" t="n">
        <v>46997</v>
      </c>
      <c r="B324" t="inlineStr">
        <is>
          <t>QLD-1</t>
        </is>
      </c>
      <c r="C324" s="10" t="n">
        <v>122779000</v>
      </c>
      <c r="D324" s="11" t="n">
        <v>0.0214</v>
      </c>
    </row>
    <row r="325">
      <c r="A325" s="9" t="n">
        <v>46997</v>
      </c>
      <c r="B325" t="inlineStr">
        <is>
          <t>NSW-2</t>
        </is>
      </c>
      <c r="C325" s="10" t="n">
        <v>137192000</v>
      </c>
      <c r="D325" s="11" t="n">
        <v>0.0208</v>
      </c>
    </row>
    <row r="326">
      <c r="A326" s="9" t="n">
        <v>46997</v>
      </c>
      <c r="B326" t="inlineStr">
        <is>
          <t>VIC-2</t>
        </is>
      </c>
      <c r="C326" s="10" t="n">
        <v>149021000</v>
      </c>
      <c r="D326" s="11" t="n">
        <v>0.0198</v>
      </c>
    </row>
    <row r="327">
      <c r="A327" s="9" t="n">
        <v>46997</v>
      </c>
      <c r="B327" t="inlineStr">
        <is>
          <t>QLD-2</t>
        </is>
      </c>
      <c r="C327" s="10" t="n">
        <v>128386000</v>
      </c>
      <c r="D327" s="11" t="n">
        <v>0.0209</v>
      </c>
    </row>
    <row r="328">
      <c r="A328" s="9" t="n">
        <v>46997</v>
      </c>
      <c r="B328" t="inlineStr">
        <is>
          <t>SA-1</t>
        </is>
      </c>
      <c r="C328" s="10" t="n">
        <v>88015000</v>
      </c>
      <c r="D328" s="11" t="n">
        <v>0.0224</v>
      </c>
    </row>
    <row r="329">
      <c r="A329" s="9" t="n">
        <v>46997</v>
      </c>
      <c r="B329" t="inlineStr">
        <is>
          <t>WA-1</t>
        </is>
      </c>
      <c r="C329" s="10" t="n">
        <v>114397000</v>
      </c>
      <c r="D329" s="11" t="n">
        <v>0.025</v>
      </c>
    </row>
    <row r="330">
      <c r="A330" s="9" t="n">
        <v>46997</v>
      </c>
      <c r="B330" t="inlineStr">
        <is>
          <t>IDC-NSW</t>
        </is>
      </c>
      <c r="C330" s="10" t="n"/>
      <c r="D330" s="11" t="n">
        <v>0.0049</v>
      </c>
    </row>
    <row r="331">
      <c r="A331" s="9" t="n">
        <v>46997</v>
      </c>
      <c r="B331" t="inlineStr">
        <is>
          <t>IDC-VIC</t>
        </is>
      </c>
      <c r="C331" s="10" t="n"/>
      <c r="D331" s="11" t="n">
        <v>0.0049</v>
      </c>
    </row>
    <row r="332">
      <c r="A332" s="9" t="n">
        <v>47027</v>
      </c>
      <c r="B332" t="inlineStr">
        <is>
          <t>NSW-1</t>
        </is>
      </c>
      <c r="C332" s="10" t="n">
        <v>171846000</v>
      </c>
      <c r="D332" s="11" t="n">
        <v>0.0207</v>
      </c>
    </row>
    <row r="333">
      <c r="A333" s="9" t="n">
        <v>47027</v>
      </c>
      <c r="B333" t="inlineStr">
        <is>
          <t>VIC-1</t>
        </is>
      </c>
      <c r="C333" s="10" t="n">
        <v>158952000</v>
      </c>
      <c r="D333" s="11" t="n">
        <v>0.0196</v>
      </c>
    </row>
    <row r="334">
      <c r="A334" s="9" t="n">
        <v>47027</v>
      </c>
      <c r="B334" t="inlineStr">
        <is>
          <t>QLD-1</t>
        </is>
      </c>
      <c r="C334" s="10" t="n">
        <v>132288000</v>
      </c>
      <c r="D334" s="11" t="n">
        <v>0.0223</v>
      </c>
    </row>
    <row r="335">
      <c r="A335" s="9" t="n">
        <v>47027</v>
      </c>
      <c r="B335" t="inlineStr">
        <is>
          <t>NSW-2</t>
        </is>
      </c>
      <c r="C335" s="10" t="n">
        <v>143108000</v>
      </c>
      <c r="D335" s="11" t="n">
        <v>0.022</v>
      </c>
    </row>
    <row r="336">
      <c r="A336" s="9" t="n">
        <v>47027</v>
      </c>
      <c r="B336" t="inlineStr">
        <is>
          <t>VIC-2</t>
        </is>
      </c>
      <c r="C336" s="10" t="n">
        <v>153707000</v>
      </c>
      <c r="D336" s="11" t="n">
        <v>0.0201</v>
      </c>
    </row>
    <row r="337">
      <c r="A337" s="9" t="n">
        <v>47027</v>
      </c>
      <c r="B337" t="inlineStr">
        <is>
          <t>QLD-2</t>
        </is>
      </c>
      <c r="C337" s="10" t="n">
        <v>137990000</v>
      </c>
      <c r="D337" s="11" t="n">
        <v>0.0217</v>
      </c>
    </row>
    <row r="338">
      <c r="A338" s="9" t="n">
        <v>47027</v>
      </c>
      <c r="B338" t="inlineStr">
        <is>
          <t>SA-1</t>
        </is>
      </c>
      <c r="C338" s="10" t="n">
        <v>91106000</v>
      </c>
      <c r="D338" s="11" t="n">
        <v>0.0224</v>
      </c>
    </row>
    <row r="339">
      <c r="A339" s="9" t="n">
        <v>47027</v>
      </c>
      <c r="B339" t="inlineStr">
        <is>
          <t>WA-1</t>
        </is>
      </c>
      <c r="C339" s="10" t="n">
        <v>120376000</v>
      </c>
      <c r="D339" s="11" t="n">
        <v>0.0242</v>
      </c>
    </row>
    <row r="340">
      <c r="A340" s="9" t="n">
        <v>47027</v>
      </c>
      <c r="B340" t="inlineStr">
        <is>
          <t>IDC-NSW</t>
        </is>
      </c>
      <c r="C340" s="10" t="n"/>
      <c r="D340" s="11" t="n">
        <v>0.005</v>
      </c>
    </row>
    <row r="341">
      <c r="A341" s="9" t="n">
        <v>47027</v>
      </c>
      <c r="B341" t="inlineStr">
        <is>
          <t>IDC-VIC</t>
        </is>
      </c>
      <c r="C341" s="10" t="n"/>
      <c r="D341" s="11" t="n">
        <v>0.0048</v>
      </c>
    </row>
    <row r="342">
      <c r="A342" s="9" t="n">
        <v>47058</v>
      </c>
      <c r="B342" t="inlineStr">
        <is>
          <t>NSW-1</t>
        </is>
      </c>
      <c r="C342" s="10" t="n">
        <v>177764000</v>
      </c>
      <c r="D342" s="11" t="n">
        <v>0.0202</v>
      </c>
    </row>
    <row r="343">
      <c r="A343" s="9" t="n">
        <v>47058</v>
      </c>
      <c r="B343" t="inlineStr">
        <is>
          <t>VIC-1</t>
        </is>
      </c>
      <c r="C343" s="10" t="n">
        <v>161946000</v>
      </c>
      <c r="D343" s="11" t="n">
        <v>0.0204</v>
      </c>
    </row>
    <row r="344">
      <c r="A344" s="9" t="n">
        <v>47058</v>
      </c>
      <c r="B344" t="inlineStr">
        <is>
          <t>QLD-1</t>
        </is>
      </c>
      <c r="C344" s="10" t="n">
        <v>133965000</v>
      </c>
      <c r="D344" s="11" t="n">
        <v>0.0204</v>
      </c>
    </row>
    <row r="345">
      <c r="A345" s="9" t="n">
        <v>47058</v>
      </c>
      <c r="B345" t="inlineStr">
        <is>
          <t>NSW-2</t>
        </is>
      </c>
      <c r="C345" s="10" t="n">
        <v>145905000</v>
      </c>
      <c r="D345" s="11" t="n">
        <v>0.0197</v>
      </c>
    </row>
    <row r="346">
      <c r="A346" s="9" t="n">
        <v>47058</v>
      </c>
      <c r="B346" t="inlineStr">
        <is>
          <t>VIC-2</t>
        </is>
      </c>
      <c r="C346" s="10" t="n">
        <v>158028000</v>
      </c>
      <c r="D346" s="11" t="n">
        <v>0.0196</v>
      </c>
    </row>
    <row r="347">
      <c r="A347" s="9" t="n">
        <v>47058</v>
      </c>
      <c r="B347" t="inlineStr">
        <is>
          <t>QLD-2</t>
        </is>
      </c>
      <c r="C347" s="10" t="n">
        <v>141489000</v>
      </c>
      <c r="D347" s="11" t="n">
        <v>0.0203</v>
      </c>
    </row>
    <row r="348">
      <c r="A348" s="9" t="n">
        <v>47058</v>
      </c>
      <c r="B348" t="inlineStr">
        <is>
          <t>SA-1</t>
        </is>
      </c>
      <c r="C348" s="10" t="n">
        <v>91368000</v>
      </c>
      <c r="D348" s="11" t="n">
        <v>0.0218</v>
      </c>
    </row>
    <row r="349">
      <c r="A349" s="9" t="n">
        <v>47058</v>
      </c>
      <c r="B349" t="inlineStr">
        <is>
          <t>WA-1</t>
        </is>
      </c>
      <c r="C349" s="10" t="n">
        <v>120983000</v>
      </c>
      <c r="D349" s="11" t="n">
        <v>0.0235</v>
      </c>
    </row>
    <row r="350">
      <c r="A350" s="9" t="n">
        <v>47058</v>
      </c>
      <c r="B350" t="inlineStr">
        <is>
          <t>IDC-NSW</t>
        </is>
      </c>
      <c r="C350" s="10" t="n"/>
      <c r="D350" s="11" t="n">
        <v>0.0049</v>
      </c>
    </row>
    <row r="351">
      <c r="A351" s="9" t="n">
        <v>47058</v>
      </c>
      <c r="B351" t="inlineStr">
        <is>
          <t>IDC-VIC</t>
        </is>
      </c>
      <c r="C351" s="10" t="n"/>
      <c r="D351" s="11" t="n">
        <v>0.0048</v>
      </c>
    </row>
    <row r="352">
      <c r="A352" s="9" t="n">
        <v>47088</v>
      </c>
      <c r="B352" t="inlineStr">
        <is>
          <t>NSW-1</t>
        </is>
      </c>
      <c r="C352" s="10" t="n">
        <v>216164000</v>
      </c>
      <c r="D352" s="11" t="n">
        <v>0.0197</v>
      </c>
    </row>
    <row r="353">
      <c r="A353" s="9" t="n">
        <v>47088</v>
      </c>
      <c r="B353" t="inlineStr">
        <is>
          <t>VIC-1</t>
        </is>
      </c>
      <c r="C353" s="10" t="n">
        <v>203375000</v>
      </c>
      <c r="D353" s="11" t="n">
        <v>0.0195</v>
      </c>
    </row>
    <row r="354">
      <c r="A354" s="9" t="n">
        <v>47088</v>
      </c>
      <c r="B354" t="inlineStr">
        <is>
          <t>QLD-1</t>
        </is>
      </c>
      <c r="C354" s="10" t="n">
        <v>164524000</v>
      </c>
      <c r="D354" s="11" t="n">
        <v>0.0209</v>
      </c>
    </row>
    <row r="355">
      <c r="A355" s="9" t="n">
        <v>47088</v>
      </c>
      <c r="B355" t="inlineStr">
        <is>
          <t>NSW-2</t>
        </is>
      </c>
      <c r="C355" s="10" t="n">
        <v>182330000</v>
      </c>
      <c r="D355" s="11" t="n">
        <v>0.0204</v>
      </c>
    </row>
    <row r="356">
      <c r="A356" s="9" t="n">
        <v>47088</v>
      </c>
      <c r="B356" t="inlineStr">
        <is>
          <t>VIC-2</t>
        </is>
      </c>
      <c r="C356" s="10" t="n">
        <v>197733000</v>
      </c>
      <c r="D356" s="11" t="n">
        <v>0.0192</v>
      </c>
    </row>
    <row r="357">
      <c r="A357" s="9" t="n">
        <v>47088</v>
      </c>
      <c r="B357" t="inlineStr">
        <is>
          <t>QLD-2</t>
        </is>
      </c>
      <c r="C357" s="10" t="n">
        <v>167477000</v>
      </c>
      <c r="D357" s="11" t="n">
        <v>0.02</v>
      </c>
    </row>
    <row r="358">
      <c r="A358" s="9" t="n">
        <v>47088</v>
      </c>
      <c r="B358" t="inlineStr">
        <is>
          <t>SA-1</t>
        </is>
      </c>
      <c r="C358" s="10" t="n">
        <v>115720000</v>
      </c>
      <c r="D358" s="11" t="n">
        <v>0.0213</v>
      </c>
    </row>
    <row r="359">
      <c r="A359" s="9" t="n">
        <v>47088</v>
      </c>
      <c r="B359" t="inlineStr">
        <is>
          <t>WA-1</t>
        </is>
      </c>
      <c r="C359" s="10" t="n">
        <v>150038000</v>
      </c>
      <c r="D359" s="11" t="n">
        <v>0.0231</v>
      </c>
    </row>
    <row r="360">
      <c r="A360" s="9" t="n">
        <v>47088</v>
      </c>
      <c r="B360" t="inlineStr">
        <is>
          <t>IDC-NSW</t>
        </is>
      </c>
      <c r="C360" s="10" t="n"/>
      <c r="D360" s="11" t="n">
        <v>0.0046</v>
      </c>
    </row>
    <row r="361">
      <c r="A361" s="9" t="n">
        <v>47088</v>
      </c>
      <c r="B361" t="inlineStr">
        <is>
          <t>IDC-VIC</t>
        </is>
      </c>
      <c r="C361" s="10" t="n"/>
      <c r="D361" s="11" t="n">
        <v>0.0045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E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</cols>
  <sheetData>
    <row r="1">
      <c r="A1" s="5" t="inlineStr">
        <is>
          <t>Date</t>
        </is>
      </c>
      <c r="B1" s="5" t="inlineStr">
        <is>
          <t>Holiday</t>
        </is>
      </c>
      <c r="C1" s="5" t="inlineStr">
        <is>
          <t>State</t>
        </is>
      </c>
      <c r="E1" s="8" t="inlineStr">
        <is>
          <t>Generated by rule. Add, remove or move rows freely; the Calendar tab counts them by state and month.</t>
        </is>
      </c>
    </row>
    <row r="2">
      <c r="A2" s="12" t="n">
        <v>45658</v>
      </c>
      <c r="B2" t="inlineStr">
        <is>
          <t>New Year's Day</t>
        </is>
      </c>
      <c r="C2" t="inlineStr">
        <is>
          <t>NSW</t>
        </is>
      </c>
    </row>
    <row r="3">
      <c r="A3" s="12" t="n">
        <v>45684</v>
      </c>
      <c r="B3" t="inlineStr">
        <is>
          <t>Australia Day</t>
        </is>
      </c>
      <c r="C3" t="inlineStr">
        <is>
          <t>NSW</t>
        </is>
      </c>
    </row>
    <row r="4">
      <c r="A4" s="12" t="n">
        <v>45765</v>
      </c>
      <c r="B4" t="inlineStr">
        <is>
          <t>Good Friday</t>
        </is>
      </c>
      <c r="C4" t="inlineStr">
        <is>
          <t>NSW</t>
        </is>
      </c>
    </row>
    <row r="5">
      <c r="A5" s="12" t="n">
        <v>45766</v>
      </c>
      <c r="B5" t="inlineStr">
        <is>
          <t>Easter Saturday</t>
        </is>
      </c>
      <c r="C5" t="inlineStr">
        <is>
          <t>NSW</t>
        </is>
      </c>
    </row>
    <row r="6">
      <c r="A6" s="12" t="n">
        <v>45767</v>
      </c>
      <c r="B6" t="inlineStr">
        <is>
          <t>Easter Sunday</t>
        </is>
      </c>
      <c r="C6" t="inlineStr">
        <is>
          <t>NSW</t>
        </is>
      </c>
    </row>
    <row r="7">
      <c r="A7" s="12" t="n">
        <v>45768</v>
      </c>
      <c r="B7" t="inlineStr">
        <is>
          <t>Easter Monday</t>
        </is>
      </c>
      <c r="C7" t="inlineStr">
        <is>
          <t>NSW</t>
        </is>
      </c>
    </row>
    <row r="8">
      <c r="A8" s="12" t="n">
        <v>45772</v>
      </c>
      <c r="B8" t="inlineStr">
        <is>
          <t>Anzac Day</t>
        </is>
      </c>
      <c r="C8" t="inlineStr">
        <is>
          <t>NSW</t>
        </is>
      </c>
    </row>
    <row r="9">
      <c r="A9" s="12" t="n">
        <v>45817</v>
      </c>
      <c r="B9" t="inlineStr">
        <is>
          <t>King's Birthday</t>
        </is>
      </c>
      <c r="C9" t="inlineStr">
        <is>
          <t>NSW</t>
        </is>
      </c>
    </row>
    <row r="10">
      <c r="A10" s="12" t="n">
        <v>45936</v>
      </c>
      <c r="B10" t="inlineStr">
        <is>
          <t>Labour Day</t>
        </is>
      </c>
      <c r="C10" t="inlineStr">
        <is>
          <t>NSW</t>
        </is>
      </c>
    </row>
    <row r="11">
      <c r="A11" s="12" t="n">
        <v>46016</v>
      </c>
      <c r="B11" t="inlineStr">
        <is>
          <t>Christmas Day</t>
        </is>
      </c>
      <c r="C11" t="inlineStr">
        <is>
          <t>NSW</t>
        </is>
      </c>
    </row>
    <row r="12">
      <c r="A12" s="12" t="n">
        <v>46017</v>
      </c>
      <c r="B12" t="inlineStr">
        <is>
          <t>Boxing Day</t>
        </is>
      </c>
      <c r="C12" t="inlineStr">
        <is>
          <t>NSW</t>
        </is>
      </c>
    </row>
    <row r="13">
      <c r="A13" s="12" t="n">
        <v>46023</v>
      </c>
      <c r="B13" t="inlineStr">
        <is>
          <t>New Year's Day</t>
        </is>
      </c>
      <c r="C13" t="inlineStr">
        <is>
          <t>NSW</t>
        </is>
      </c>
    </row>
    <row r="14">
      <c r="A14" s="12" t="n">
        <v>46048</v>
      </c>
      <c r="B14" t="inlineStr">
        <is>
          <t>Australia Day</t>
        </is>
      </c>
      <c r="C14" t="inlineStr">
        <is>
          <t>NSW</t>
        </is>
      </c>
    </row>
    <row r="15">
      <c r="A15" s="12" t="n">
        <v>46115</v>
      </c>
      <c r="B15" t="inlineStr">
        <is>
          <t>Good Friday</t>
        </is>
      </c>
      <c r="C15" t="inlineStr">
        <is>
          <t>NSW</t>
        </is>
      </c>
    </row>
    <row r="16">
      <c r="A16" s="12" t="n">
        <v>46116</v>
      </c>
      <c r="B16" t="inlineStr">
        <is>
          <t>Easter Saturday</t>
        </is>
      </c>
      <c r="C16" t="inlineStr">
        <is>
          <t>NSW</t>
        </is>
      </c>
    </row>
    <row r="17">
      <c r="A17" s="12" t="n">
        <v>46117</v>
      </c>
      <c r="B17" t="inlineStr">
        <is>
          <t>Easter Sunday</t>
        </is>
      </c>
      <c r="C17" t="inlineStr">
        <is>
          <t>NSW</t>
        </is>
      </c>
    </row>
    <row r="18">
      <c r="A18" s="12" t="n">
        <v>46118</v>
      </c>
      <c r="B18" t="inlineStr">
        <is>
          <t>Easter Monday</t>
        </is>
      </c>
      <c r="C18" t="inlineStr">
        <is>
          <t>NSW</t>
        </is>
      </c>
    </row>
    <row r="19">
      <c r="A19" s="12" t="n">
        <v>46137</v>
      </c>
      <c r="B19" t="inlineStr">
        <is>
          <t>Anzac Day</t>
        </is>
      </c>
      <c r="C19" t="inlineStr">
        <is>
          <t>NSW</t>
        </is>
      </c>
    </row>
    <row r="20">
      <c r="A20" s="12" t="n">
        <v>46181</v>
      </c>
      <c r="B20" t="inlineStr">
        <is>
          <t>King's Birthday</t>
        </is>
      </c>
      <c r="C20" t="inlineStr">
        <is>
          <t>NSW</t>
        </is>
      </c>
    </row>
    <row r="21">
      <c r="A21" s="12" t="n">
        <v>46300</v>
      </c>
      <c r="B21" t="inlineStr">
        <is>
          <t>Labour Day</t>
        </is>
      </c>
      <c r="C21" t="inlineStr">
        <is>
          <t>NSW</t>
        </is>
      </c>
    </row>
    <row r="22">
      <c r="A22" s="12" t="n">
        <v>46381</v>
      </c>
      <c r="B22" t="inlineStr">
        <is>
          <t>Christmas Day</t>
        </is>
      </c>
      <c r="C22" t="inlineStr">
        <is>
          <t>NSW</t>
        </is>
      </c>
    </row>
    <row r="23">
      <c r="A23" s="12" t="n">
        <v>46382</v>
      </c>
      <c r="B23" t="inlineStr">
        <is>
          <t>Boxing Day</t>
        </is>
      </c>
      <c r="C23" t="inlineStr">
        <is>
          <t>NSW</t>
        </is>
      </c>
    </row>
    <row r="24">
      <c r="A24" s="12" t="n">
        <v>46384</v>
      </c>
      <c r="B24" t="inlineStr">
        <is>
          <t>Boxing Day (additional)</t>
        </is>
      </c>
      <c r="C24" t="inlineStr">
        <is>
          <t>NSW</t>
        </is>
      </c>
    </row>
    <row r="25">
      <c r="A25" s="12" t="n">
        <v>46388</v>
      </c>
      <c r="B25" t="inlineStr">
        <is>
          <t>New Year's Day</t>
        </is>
      </c>
      <c r="C25" t="inlineStr">
        <is>
          <t>NSW</t>
        </is>
      </c>
    </row>
    <row r="26">
      <c r="A26" s="12" t="n">
        <v>46413</v>
      </c>
      <c r="B26" t="inlineStr">
        <is>
          <t>Australia Day</t>
        </is>
      </c>
      <c r="C26" t="inlineStr">
        <is>
          <t>NSW</t>
        </is>
      </c>
    </row>
    <row r="27">
      <c r="A27" s="12" t="n">
        <v>46472</v>
      </c>
      <c r="B27" t="inlineStr">
        <is>
          <t>Good Friday</t>
        </is>
      </c>
      <c r="C27" t="inlineStr">
        <is>
          <t>NSW</t>
        </is>
      </c>
    </row>
    <row r="28">
      <c r="A28" s="12" t="n">
        <v>46473</v>
      </c>
      <c r="B28" t="inlineStr">
        <is>
          <t>Easter Saturday</t>
        </is>
      </c>
      <c r="C28" t="inlineStr">
        <is>
          <t>NSW</t>
        </is>
      </c>
    </row>
    <row r="29">
      <c r="A29" s="12" t="n">
        <v>46474</v>
      </c>
      <c r="B29" t="inlineStr">
        <is>
          <t>Easter Sunday</t>
        </is>
      </c>
      <c r="C29" t="inlineStr">
        <is>
          <t>NSW</t>
        </is>
      </c>
    </row>
    <row r="30">
      <c r="A30" s="12" t="n">
        <v>46475</v>
      </c>
      <c r="B30" t="inlineStr">
        <is>
          <t>Easter Monday</t>
        </is>
      </c>
      <c r="C30" t="inlineStr">
        <is>
          <t>NSW</t>
        </is>
      </c>
    </row>
    <row r="31">
      <c r="A31" s="12" t="n">
        <v>46502</v>
      </c>
      <c r="B31" t="inlineStr">
        <is>
          <t>Anzac Day</t>
        </is>
      </c>
      <c r="C31" t="inlineStr">
        <is>
          <t>NSW</t>
        </is>
      </c>
    </row>
    <row r="32">
      <c r="A32" s="12" t="n">
        <v>46552</v>
      </c>
      <c r="B32" t="inlineStr">
        <is>
          <t>King's Birthday</t>
        </is>
      </c>
      <c r="C32" t="inlineStr">
        <is>
          <t>NSW</t>
        </is>
      </c>
    </row>
    <row r="33">
      <c r="A33" s="12" t="n">
        <v>46664</v>
      </c>
      <c r="B33" t="inlineStr">
        <is>
          <t>Labour Day</t>
        </is>
      </c>
      <c r="C33" t="inlineStr">
        <is>
          <t>NSW</t>
        </is>
      </c>
    </row>
    <row r="34">
      <c r="A34" s="12" t="n">
        <v>46746</v>
      </c>
      <c r="B34" t="inlineStr">
        <is>
          <t>Christmas Day</t>
        </is>
      </c>
      <c r="C34" t="inlineStr">
        <is>
          <t>NSW</t>
        </is>
      </c>
    </row>
    <row r="35">
      <c r="A35" s="12" t="n">
        <v>46747</v>
      </c>
      <c r="B35" t="inlineStr">
        <is>
          <t>Boxing Day</t>
        </is>
      </c>
      <c r="C35" t="inlineStr">
        <is>
          <t>NSW</t>
        </is>
      </c>
    </row>
    <row r="36">
      <c r="A36" s="12" t="n">
        <v>46748</v>
      </c>
      <c r="B36" t="inlineStr">
        <is>
          <t>Christmas (additional)</t>
        </is>
      </c>
      <c r="C36" t="inlineStr">
        <is>
          <t>NSW</t>
        </is>
      </c>
    </row>
    <row r="37">
      <c r="A37" s="12" t="n">
        <v>46749</v>
      </c>
      <c r="B37" t="inlineStr">
        <is>
          <t>Boxing Day (additional)</t>
        </is>
      </c>
      <c r="C37" t="inlineStr">
        <is>
          <t>NSW</t>
        </is>
      </c>
    </row>
    <row r="38">
      <c r="A38" s="12" t="n">
        <v>46753</v>
      </c>
      <c r="B38" t="inlineStr">
        <is>
          <t>New Year's Day</t>
        </is>
      </c>
      <c r="C38" t="inlineStr">
        <is>
          <t>NSW</t>
        </is>
      </c>
    </row>
    <row r="39">
      <c r="A39" s="12" t="n">
        <v>46755</v>
      </c>
      <c r="B39" t="inlineStr">
        <is>
          <t>New Year's Day (additional)</t>
        </is>
      </c>
      <c r="C39" t="inlineStr">
        <is>
          <t>NSW</t>
        </is>
      </c>
    </row>
    <row r="40">
      <c r="A40" s="12" t="n">
        <v>46778</v>
      </c>
      <c r="B40" t="inlineStr">
        <is>
          <t>Australia Day</t>
        </is>
      </c>
      <c r="C40" t="inlineStr">
        <is>
          <t>NSW</t>
        </is>
      </c>
    </row>
    <row r="41">
      <c r="A41" s="12" t="n">
        <v>46857</v>
      </c>
      <c r="B41" t="inlineStr">
        <is>
          <t>Good Friday</t>
        </is>
      </c>
      <c r="C41" t="inlineStr">
        <is>
          <t>NSW</t>
        </is>
      </c>
    </row>
    <row r="42">
      <c r="A42" s="12" t="n">
        <v>46858</v>
      </c>
      <c r="B42" t="inlineStr">
        <is>
          <t>Easter Saturday</t>
        </is>
      </c>
      <c r="C42" t="inlineStr">
        <is>
          <t>NSW</t>
        </is>
      </c>
    </row>
    <row r="43">
      <c r="A43" s="12" t="n">
        <v>46859</v>
      </c>
      <c r="B43" t="inlineStr">
        <is>
          <t>Easter Sunday</t>
        </is>
      </c>
      <c r="C43" t="inlineStr">
        <is>
          <t>NSW</t>
        </is>
      </c>
    </row>
    <row r="44">
      <c r="A44" s="12" t="n">
        <v>46860</v>
      </c>
      <c r="B44" t="inlineStr">
        <is>
          <t>Easter Monday</t>
        </is>
      </c>
      <c r="C44" t="inlineStr">
        <is>
          <t>NSW</t>
        </is>
      </c>
    </row>
    <row r="45">
      <c r="A45" s="12" t="n">
        <v>46868</v>
      </c>
      <c r="B45" t="inlineStr">
        <is>
          <t>Anzac Day</t>
        </is>
      </c>
      <c r="C45" t="inlineStr">
        <is>
          <t>NSW</t>
        </is>
      </c>
    </row>
    <row r="46">
      <c r="A46" s="12" t="n">
        <v>46916</v>
      </c>
      <c r="B46" t="inlineStr">
        <is>
          <t>King's Birthday</t>
        </is>
      </c>
      <c r="C46" t="inlineStr">
        <is>
          <t>NSW</t>
        </is>
      </c>
    </row>
    <row r="47">
      <c r="A47" s="12" t="n">
        <v>47028</v>
      </c>
      <c r="B47" t="inlineStr">
        <is>
          <t>Labour Day</t>
        </is>
      </c>
      <c r="C47" t="inlineStr">
        <is>
          <t>NSW</t>
        </is>
      </c>
    </row>
    <row r="48">
      <c r="A48" s="12" t="n">
        <v>47112</v>
      </c>
      <c r="B48" t="inlineStr">
        <is>
          <t>Christmas Day</t>
        </is>
      </c>
      <c r="C48" t="inlineStr">
        <is>
          <t>NSW</t>
        </is>
      </c>
    </row>
    <row r="49">
      <c r="A49" s="12" t="n">
        <v>47113</v>
      </c>
      <c r="B49" t="inlineStr">
        <is>
          <t>Boxing Day</t>
        </is>
      </c>
      <c r="C49" t="inlineStr">
        <is>
          <t>NSW</t>
        </is>
      </c>
    </row>
    <row r="50">
      <c r="A50" s="12" t="n">
        <v>45658</v>
      </c>
      <c r="B50" t="inlineStr">
        <is>
          <t>New Year's Day</t>
        </is>
      </c>
      <c r="C50" t="inlineStr">
        <is>
          <t>QLD</t>
        </is>
      </c>
    </row>
    <row r="51">
      <c r="A51" s="12" t="n">
        <v>45684</v>
      </c>
      <c r="B51" t="inlineStr">
        <is>
          <t>Australia Day</t>
        </is>
      </c>
      <c r="C51" t="inlineStr">
        <is>
          <t>QLD</t>
        </is>
      </c>
    </row>
    <row r="52">
      <c r="A52" s="12" t="n">
        <v>45765</v>
      </c>
      <c r="B52" t="inlineStr">
        <is>
          <t>Good Friday</t>
        </is>
      </c>
      <c r="C52" t="inlineStr">
        <is>
          <t>QLD</t>
        </is>
      </c>
    </row>
    <row r="53">
      <c r="A53" s="12" t="n">
        <v>45766</v>
      </c>
      <c r="B53" t="inlineStr">
        <is>
          <t>Easter Saturday</t>
        </is>
      </c>
      <c r="C53" t="inlineStr">
        <is>
          <t>QLD</t>
        </is>
      </c>
    </row>
    <row r="54">
      <c r="A54" s="12" t="n">
        <v>45767</v>
      </c>
      <c r="B54" t="inlineStr">
        <is>
          <t>Easter Sunday</t>
        </is>
      </c>
      <c r="C54" t="inlineStr">
        <is>
          <t>QLD</t>
        </is>
      </c>
    </row>
    <row r="55">
      <c r="A55" s="12" t="n">
        <v>45768</v>
      </c>
      <c r="B55" t="inlineStr">
        <is>
          <t>Easter Monday</t>
        </is>
      </c>
      <c r="C55" t="inlineStr">
        <is>
          <t>QLD</t>
        </is>
      </c>
    </row>
    <row r="56">
      <c r="A56" s="12" t="n">
        <v>45772</v>
      </c>
      <c r="B56" t="inlineStr">
        <is>
          <t>Anzac Day</t>
        </is>
      </c>
      <c r="C56" t="inlineStr">
        <is>
          <t>QLD</t>
        </is>
      </c>
    </row>
    <row r="57">
      <c r="A57" s="12" t="n">
        <v>45782</v>
      </c>
      <c r="B57" t="inlineStr">
        <is>
          <t>Labour Day</t>
        </is>
      </c>
      <c r="C57" t="inlineStr">
        <is>
          <t>QLD</t>
        </is>
      </c>
    </row>
    <row r="58">
      <c r="A58" s="12" t="n">
        <v>45936</v>
      </c>
      <c r="B58" t="inlineStr">
        <is>
          <t>King's Birthday</t>
        </is>
      </c>
      <c r="C58" t="inlineStr">
        <is>
          <t>QLD</t>
        </is>
      </c>
    </row>
    <row r="59">
      <c r="A59" s="12" t="n">
        <v>46016</v>
      </c>
      <c r="B59" t="inlineStr">
        <is>
          <t>Christmas Day</t>
        </is>
      </c>
      <c r="C59" t="inlineStr">
        <is>
          <t>QLD</t>
        </is>
      </c>
    </row>
    <row r="60">
      <c r="A60" s="12" t="n">
        <v>46017</v>
      </c>
      <c r="B60" t="inlineStr">
        <is>
          <t>Boxing Day</t>
        </is>
      </c>
      <c r="C60" t="inlineStr">
        <is>
          <t>QLD</t>
        </is>
      </c>
    </row>
    <row r="61">
      <c r="A61" s="12" t="n">
        <v>46023</v>
      </c>
      <c r="B61" t="inlineStr">
        <is>
          <t>New Year's Day</t>
        </is>
      </c>
      <c r="C61" t="inlineStr">
        <is>
          <t>QLD</t>
        </is>
      </c>
    </row>
    <row r="62">
      <c r="A62" s="12" t="n">
        <v>46048</v>
      </c>
      <c r="B62" t="inlineStr">
        <is>
          <t>Australia Day</t>
        </is>
      </c>
      <c r="C62" t="inlineStr">
        <is>
          <t>QLD</t>
        </is>
      </c>
    </row>
    <row r="63">
      <c r="A63" s="12" t="n">
        <v>46115</v>
      </c>
      <c r="B63" t="inlineStr">
        <is>
          <t>Good Friday</t>
        </is>
      </c>
      <c r="C63" t="inlineStr">
        <is>
          <t>QLD</t>
        </is>
      </c>
    </row>
    <row r="64">
      <c r="A64" s="12" t="n">
        <v>46116</v>
      </c>
      <c r="B64" t="inlineStr">
        <is>
          <t>Easter Saturday</t>
        </is>
      </c>
      <c r="C64" t="inlineStr">
        <is>
          <t>QLD</t>
        </is>
      </c>
    </row>
    <row r="65">
      <c r="A65" s="12" t="n">
        <v>46117</v>
      </c>
      <c r="B65" t="inlineStr">
        <is>
          <t>Easter Sunday</t>
        </is>
      </c>
      <c r="C65" t="inlineStr">
        <is>
          <t>QLD</t>
        </is>
      </c>
    </row>
    <row r="66">
      <c r="A66" s="12" t="n">
        <v>46118</v>
      </c>
      <c r="B66" t="inlineStr">
        <is>
          <t>Easter Monday</t>
        </is>
      </c>
      <c r="C66" t="inlineStr">
        <is>
          <t>QLD</t>
        </is>
      </c>
    </row>
    <row r="67">
      <c r="A67" s="12" t="n">
        <v>46137</v>
      </c>
      <c r="B67" t="inlineStr">
        <is>
          <t>Anzac Day</t>
        </is>
      </c>
      <c r="C67" t="inlineStr">
        <is>
          <t>QLD</t>
        </is>
      </c>
    </row>
    <row r="68">
      <c r="A68" s="12" t="n">
        <v>46146</v>
      </c>
      <c r="B68" t="inlineStr">
        <is>
          <t>Labour Day</t>
        </is>
      </c>
      <c r="C68" t="inlineStr">
        <is>
          <t>QLD</t>
        </is>
      </c>
    </row>
    <row r="69">
      <c r="A69" s="12" t="n">
        <v>46300</v>
      </c>
      <c r="B69" t="inlineStr">
        <is>
          <t>King's Birthday</t>
        </is>
      </c>
      <c r="C69" t="inlineStr">
        <is>
          <t>QLD</t>
        </is>
      </c>
    </row>
    <row r="70">
      <c r="A70" s="12" t="n">
        <v>46381</v>
      </c>
      <c r="B70" t="inlineStr">
        <is>
          <t>Christmas Day</t>
        </is>
      </c>
      <c r="C70" t="inlineStr">
        <is>
          <t>QLD</t>
        </is>
      </c>
    </row>
    <row r="71">
      <c r="A71" s="12" t="n">
        <v>46382</v>
      </c>
      <c r="B71" t="inlineStr">
        <is>
          <t>Boxing Day</t>
        </is>
      </c>
      <c r="C71" t="inlineStr">
        <is>
          <t>QLD</t>
        </is>
      </c>
    </row>
    <row r="72">
      <c r="A72" s="12" t="n">
        <v>46384</v>
      </c>
      <c r="B72" t="inlineStr">
        <is>
          <t>Boxing Day (additional)</t>
        </is>
      </c>
      <c r="C72" t="inlineStr">
        <is>
          <t>QLD</t>
        </is>
      </c>
    </row>
    <row r="73">
      <c r="A73" s="12" t="n">
        <v>46388</v>
      </c>
      <c r="B73" t="inlineStr">
        <is>
          <t>New Year's Day</t>
        </is>
      </c>
      <c r="C73" t="inlineStr">
        <is>
          <t>QLD</t>
        </is>
      </c>
    </row>
    <row r="74">
      <c r="A74" s="12" t="n">
        <v>46413</v>
      </c>
      <c r="B74" t="inlineStr">
        <is>
          <t>Australia Day</t>
        </is>
      </c>
      <c r="C74" t="inlineStr">
        <is>
          <t>QLD</t>
        </is>
      </c>
    </row>
    <row r="75">
      <c r="A75" s="12" t="n">
        <v>46472</v>
      </c>
      <c r="B75" t="inlineStr">
        <is>
          <t>Good Friday</t>
        </is>
      </c>
      <c r="C75" t="inlineStr">
        <is>
          <t>QLD</t>
        </is>
      </c>
    </row>
    <row r="76">
      <c r="A76" s="12" t="n">
        <v>46473</v>
      </c>
      <c r="B76" t="inlineStr">
        <is>
          <t>Easter Saturday</t>
        </is>
      </c>
      <c r="C76" t="inlineStr">
        <is>
          <t>QLD</t>
        </is>
      </c>
    </row>
    <row r="77">
      <c r="A77" s="12" t="n">
        <v>46474</v>
      </c>
      <c r="B77" t="inlineStr">
        <is>
          <t>Easter Sunday</t>
        </is>
      </c>
      <c r="C77" t="inlineStr">
        <is>
          <t>QLD</t>
        </is>
      </c>
    </row>
    <row r="78">
      <c r="A78" s="12" t="n">
        <v>46475</v>
      </c>
      <c r="B78" t="inlineStr">
        <is>
          <t>Easter Monday</t>
        </is>
      </c>
      <c r="C78" t="inlineStr">
        <is>
          <t>QLD</t>
        </is>
      </c>
    </row>
    <row r="79">
      <c r="A79" s="12" t="n">
        <v>46502</v>
      </c>
      <c r="B79" t="inlineStr">
        <is>
          <t>Anzac Day</t>
        </is>
      </c>
      <c r="C79" t="inlineStr">
        <is>
          <t>QLD</t>
        </is>
      </c>
    </row>
    <row r="80">
      <c r="A80" s="12" t="n">
        <v>46510</v>
      </c>
      <c r="B80" t="inlineStr">
        <is>
          <t>Labour Day</t>
        </is>
      </c>
      <c r="C80" t="inlineStr">
        <is>
          <t>QLD</t>
        </is>
      </c>
    </row>
    <row r="81">
      <c r="A81" s="12" t="n">
        <v>46664</v>
      </c>
      <c r="B81" t="inlineStr">
        <is>
          <t>King's Birthday</t>
        </is>
      </c>
      <c r="C81" t="inlineStr">
        <is>
          <t>QLD</t>
        </is>
      </c>
    </row>
    <row r="82">
      <c r="A82" s="12" t="n">
        <v>46746</v>
      </c>
      <c r="B82" t="inlineStr">
        <is>
          <t>Christmas Day</t>
        </is>
      </c>
      <c r="C82" t="inlineStr">
        <is>
          <t>QLD</t>
        </is>
      </c>
    </row>
    <row r="83">
      <c r="A83" s="12" t="n">
        <v>46747</v>
      </c>
      <c r="B83" t="inlineStr">
        <is>
          <t>Boxing Day</t>
        </is>
      </c>
      <c r="C83" t="inlineStr">
        <is>
          <t>QLD</t>
        </is>
      </c>
    </row>
    <row r="84">
      <c r="A84" s="12" t="n">
        <v>46748</v>
      </c>
      <c r="B84" t="inlineStr">
        <is>
          <t>Christmas (additional)</t>
        </is>
      </c>
      <c r="C84" t="inlineStr">
        <is>
          <t>QLD</t>
        </is>
      </c>
    </row>
    <row r="85">
      <c r="A85" s="12" t="n">
        <v>46749</v>
      </c>
      <c r="B85" t="inlineStr">
        <is>
          <t>Boxing Day (additional)</t>
        </is>
      </c>
      <c r="C85" t="inlineStr">
        <is>
          <t>QLD</t>
        </is>
      </c>
    </row>
    <row r="86">
      <c r="A86" s="12" t="n">
        <v>46753</v>
      </c>
      <c r="B86" t="inlineStr">
        <is>
          <t>New Year's Day</t>
        </is>
      </c>
      <c r="C86" t="inlineStr">
        <is>
          <t>QLD</t>
        </is>
      </c>
    </row>
    <row r="87">
      <c r="A87" s="12" t="n">
        <v>46755</v>
      </c>
      <c r="B87" t="inlineStr">
        <is>
          <t>New Year's Day (additional)</t>
        </is>
      </c>
      <c r="C87" t="inlineStr">
        <is>
          <t>QLD</t>
        </is>
      </c>
    </row>
    <row r="88">
      <c r="A88" s="12" t="n">
        <v>46778</v>
      </c>
      <c r="B88" t="inlineStr">
        <is>
          <t>Australia Day</t>
        </is>
      </c>
      <c r="C88" t="inlineStr">
        <is>
          <t>QLD</t>
        </is>
      </c>
    </row>
    <row r="89">
      <c r="A89" s="12" t="n">
        <v>46857</v>
      </c>
      <c r="B89" t="inlineStr">
        <is>
          <t>Good Friday</t>
        </is>
      </c>
      <c r="C89" t="inlineStr">
        <is>
          <t>QLD</t>
        </is>
      </c>
    </row>
    <row r="90">
      <c r="A90" s="12" t="n">
        <v>46858</v>
      </c>
      <c r="B90" t="inlineStr">
        <is>
          <t>Easter Saturday</t>
        </is>
      </c>
      <c r="C90" t="inlineStr">
        <is>
          <t>QLD</t>
        </is>
      </c>
    </row>
    <row r="91">
      <c r="A91" s="12" t="n">
        <v>46859</v>
      </c>
      <c r="B91" t="inlineStr">
        <is>
          <t>Easter Sunday</t>
        </is>
      </c>
      <c r="C91" t="inlineStr">
        <is>
          <t>QLD</t>
        </is>
      </c>
    </row>
    <row r="92">
      <c r="A92" s="12" t="n">
        <v>46860</v>
      </c>
      <c r="B92" t="inlineStr">
        <is>
          <t>Easter Monday</t>
        </is>
      </c>
      <c r="C92" t="inlineStr">
        <is>
          <t>QLD</t>
        </is>
      </c>
    </row>
    <row r="93">
      <c r="A93" s="12" t="n">
        <v>46868</v>
      </c>
      <c r="B93" t="inlineStr">
        <is>
          <t>Anzac Day</t>
        </is>
      </c>
      <c r="C93" t="inlineStr">
        <is>
          <t>QLD</t>
        </is>
      </c>
    </row>
    <row r="94">
      <c r="A94" s="12" t="n">
        <v>46874</v>
      </c>
      <c r="B94" t="inlineStr">
        <is>
          <t>Labour Day</t>
        </is>
      </c>
      <c r="C94" t="inlineStr">
        <is>
          <t>QLD</t>
        </is>
      </c>
    </row>
    <row r="95">
      <c r="A95" s="12" t="n">
        <v>47028</v>
      </c>
      <c r="B95" t="inlineStr">
        <is>
          <t>King's Birthday</t>
        </is>
      </c>
      <c r="C95" t="inlineStr">
        <is>
          <t>QLD</t>
        </is>
      </c>
    </row>
    <row r="96">
      <c r="A96" s="12" t="n">
        <v>47112</v>
      </c>
      <c r="B96" t="inlineStr">
        <is>
          <t>Christmas Day</t>
        </is>
      </c>
      <c r="C96" t="inlineStr">
        <is>
          <t>QLD</t>
        </is>
      </c>
    </row>
    <row r="97">
      <c r="A97" s="12" t="n">
        <v>47113</v>
      </c>
      <c r="B97" t="inlineStr">
        <is>
          <t>Boxing Day</t>
        </is>
      </c>
      <c r="C97" t="inlineStr">
        <is>
          <t>QLD</t>
        </is>
      </c>
    </row>
    <row r="98">
      <c r="A98" s="12" t="n">
        <v>45658</v>
      </c>
      <c r="B98" t="inlineStr">
        <is>
          <t>New Year's Day</t>
        </is>
      </c>
      <c r="C98" t="inlineStr">
        <is>
          <t>SA</t>
        </is>
      </c>
    </row>
    <row r="99">
      <c r="A99" s="12" t="n">
        <v>45684</v>
      </c>
      <c r="B99" t="inlineStr">
        <is>
          <t>Australia Day</t>
        </is>
      </c>
      <c r="C99" t="inlineStr">
        <is>
          <t>SA</t>
        </is>
      </c>
    </row>
    <row r="100">
      <c r="A100" s="12" t="n">
        <v>45726</v>
      </c>
      <c r="B100" t="inlineStr">
        <is>
          <t>Adelaide Cup</t>
        </is>
      </c>
      <c r="C100" t="inlineStr">
        <is>
          <t>SA</t>
        </is>
      </c>
    </row>
    <row r="101">
      <c r="A101" s="12" t="n">
        <v>45765</v>
      </c>
      <c r="B101" t="inlineStr">
        <is>
          <t>Good Friday</t>
        </is>
      </c>
      <c r="C101" t="inlineStr">
        <is>
          <t>SA</t>
        </is>
      </c>
    </row>
    <row r="102">
      <c r="A102" s="12" t="n">
        <v>45766</v>
      </c>
      <c r="B102" t="inlineStr">
        <is>
          <t>Easter Saturday</t>
        </is>
      </c>
      <c r="C102" t="inlineStr">
        <is>
          <t>SA</t>
        </is>
      </c>
    </row>
    <row r="103">
      <c r="A103" s="12" t="n">
        <v>45767</v>
      </c>
      <c r="B103" t="inlineStr">
        <is>
          <t>Easter Sunday</t>
        </is>
      </c>
      <c r="C103" t="inlineStr">
        <is>
          <t>SA</t>
        </is>
      </c>
    </row>
    <row r="104">
      <c r="A104" s="12" t="n">
        <v>45768</v>
      </c>
      <c r="B104" t="inlineStr">
        <is>
          <t>Easter Monday</t>
        </is>
      </c>
      <c r="C104" t="inlineStr">
        <is>
          <t>SA</t>
        </is>
      </c>
    </row>
    <row r="105">
      <c r="A105" s="12" t="n">
        <v>45772</v>
      </c>
      <c r="B105" t="inlineStr">
        <is>
          <t>Anzac Day</t>
        </is>
      </c>
      <c r="C105" t="inlineStr">
        <is>
          <t>SA</t>
        </is>
      </c>
    </row>
    <row r="106">
      <c r="A106" s="12" t="n">
        <v>45817</v>
      </c>
      <c r="B106" t="inlineStr">
        <is>
          <t>King's Birthday</t>
        </is>
      </c>
      <c r="C106" t="inlineStr">
        <is>
          <t>SA</t>
        </is>
      </c>
    </row>
    <row r="107">
      <c r="A107" s="12" t="n">
        <v>45936</v>
      </c>
      <c r="B107" t="inlineStr">
        <is>
          <t>Labour Day</t>
        </is>
      </c>
      <c r="C107" t="inlineStr">
        <is>
          <t>SA</t>
        </is>
      </c>
    </row>
    <row r="108">
      <c r="A108" s="12" t="n">
        <v>46016</v>
      </c>
      <c r="B108" t="inlineStr">
        <is>
          <t>Christmas Day</t>
        </is>
      </c>
      <c r="C108" t="inlineStr">
        <is>
          <t>SA</t>
        </is>
      </c>
    </row>
    <row r="109">
      <c r="A109" s="12" t="n">
        <v>46017</v>
      </c>
      <c r="B109" t="inlineStr">
        <is>
          <t>Proclamation Day</t>
        </is>
      </c>
      <c r="C109" t="inlineStr">
        <is>
          <t>SA</t>
        </is>
      </c>
    </row>
    <row r="110">
      <c r="A110" s="12" t="n">
        <v>46023</v>
      </c>
      <c r="B110" t="inlineStr">
        <is>
          <t>New Year's Day</t>
        </is>
      </c>
      <c r="C110" t="inlineStr">
        <is>
          <t>SA</t>
        </is>
      </c>
    </row>
    <row r="111">
      <c r="A111" s="12" t="n">
        <v>46048</v>
      </c>
      <c r="B111" t="inlineStr">
        <is>
          <t>Australia Day</t>
        </is>
      </c>
      <c r="C111" t="inlineStr">
        <is>
          <t>SA</t>
        </is>
      </c>
    </row>
    <row r="112">
      <c r="A112" s="12" t="n">
        <v>46090</v>
      </c>
      <c r="B112" t="inlineStr">
        <is>
          <t>Adelaide Cup</t>
        </is>
      </c>
      <c r="C112" t="inlineStr">
        <is>
          <t>SA</t>
        </is>
      </c>
    </row>
    <row r="113">
      <c r="A113" s="12" t="n">
        <v>46115</v>
      </c>
      <c r="B113" t="inlineStr">
        <is>
          <t>Good Friday</t>
        </is>
      </c>
      <c r="C113" t="inlineStr">
        <is>
          <t>SA</t>
        </is>
      </c>
    </row>
    <row r="114">
      <c r="A114" s="12" t="n">
        <v>46116</v>
      </c>
      <c r="B114" t="inlineStr">
        <is>
          <t>Easter Saturday</t>
        </is>
      </c>
      <c r="C114" t="inlineStr">
        <is>
          <t>SA</t>
        </is>
      </c>
    </row>
    <row r="115">
      <c r="A115" s="12" t="n">
        <v>46117</v>
      </c>
      <c r="B115" t="inlineStr">
        <is>
          <t>Easter Sunday</t>
        </is>
      </c>
      <c r="C115" t="inlineStr">
        <is>
          <t>SA</t>
        </is>
      </c>
    </row>
    <row r="116">
      <c r="A116" s="12" t="n">
        <v>46118</v>
      </c>
      <c r="B116" t="inlineStr">
        <is>
          <t>Easter Monday</t>
        </is>
      </c>
      <c r="C116" t="inlineStr">
        <is>
          <t>SA</t>
        </is>
      </c>
    </row>
    <row r="117">
      <c r="A117" s="12" t="n">
        <v>46137</v>
      </c>
      <c r="B117" t="inlineStr">
        <is>
          <t>Anzac Day</t>
        </is>
      </c>
      <c r="C117" t="inlineStr">
        <is>
          <t>SA</t>
        </is>
      </c>
    </row>
    <row r="118">
      <c r="A118" s="12" t="n">
        <v>46181</v>
      </c>
      <c r="B118" t="inlineStr">
        <is>
          <t>King's Birthday</t>
        </is>
      </c>
      <c r="C118" t="inlineStr">
        <is>
          <t>SA</t>
        </is>
      </c>
    </row>
    <row r="119">
      <c r="A119" s="12" t="n">
        <v>46300</v>
      </c>
      <c r="B119" t="inlineStr">
        <is>
          <t>Labour Day</t>
        </is>
      </c>
      <c r="C119" t="inlineStr">
        <is>
          <t>SA</t>
        </is>
      </c>
    </row>
    <row r="120">
      <c r="A120" s="12" t="n">
        <v>46381</v>
      </c>
      <c r="B120" t="inlineStr">
        <is>
          <t>Christmas Day</t>
        </is>
      </c>
      <c r="C120" t="inlineStr">
        <is>
          <t>SA</t>
        </is>
      </c>
    </row>
    <row r="121">
      <c r="A121" s="12" t="n">
        <v>46382</v>
      </c>
      <c r="B121" t="inlineStr">
        <is>
          <t>Proclamation Day</t>
        </is>
      </c>
      <c r="C121" t="inlineStr">
        <is>
          <t>SA</t>
        </is>
      </c>
    </row>
    <row r="122">
      <c r="A122" s="12" t="n">
        <v>46384</v>
      </c>
      <c r="B122" t="inlineStr">
        <is>
          <t>Boxing Day (additional)</t>
        </is>
      </c>
      <c r="C122" t="inlineStr">
        <is>
          <t>SA</t>
        </is>
      </c>
    </row>
    <row r="123">
      <c r="A123" s="12" t="n">
        <v>46388</v>
      </c>
      <c r="B123" t="inlineStr">
        <is>
          <t>New Year's Day</t>
        </is>
      </c>
      <c r="C123" t="inlineStr">
        <is>
          <t>SA</t>
        </is>
      </c>
    </row>
    <row r="124">
      <c r="A124" s="12" t="n">
        <v>46413</v>
      </c>
      <c r="B124" t="inlineStr">
        <is>
          <t>Australia Day</t>
        </is>
      </c>
      <c r="C124" t="inlineStr">
        <is>
          <t>SA</t>
        </is>
      </c>
    </row>
    <row r="125">
      <c r="A125" s="12" t="n">
        <v>46454</v>
      </c>
      <c r="B125" t="inlineStr">
        <is>
          <t>Adelaide Cup</t>
        </is>
      </c>
      <c r="C125" t="inlineStr">
        <is>
          <t>SA</t>
        </is>
      </c>
    </row>
    <row r="126">
      <c r="A126" s="12" t="n">
        <v>46472</v>
      </c>
      <c r="B126" t="inlineStr">
        <is>
          <t>Good Friday</t>
        </is>
      </c>
      <c r="C126" t="inlineStr">
        <is>
          <t>SA</t>
        </is>
      </c>
    </row>
    <row r="127">
      <c r="A127" s="12" t="n">
        <v>46473</v>
      </c>
      <c r="B127" t="inlineStr">
        <is>
          <t>Easter Saturday</t>
        </is>
      </c>
      <c r="C127" t="inlineStr">
        <is>
          <t>SA</t>
        </is>
      </c>
    </row>
    <row r="128">
      <c r="A128" s="12" t="n">
        <v>46474</v>
      </c>
      <c r="B128" t="inlineStr">
        <is>
          <t>Easter Sunday</t>
        </is>
      </c>
      <c r="C128" t="inlineStr">
        <is>
          <t>SA</t>
        </is>
      </c>
    </row>
    <row r="129">
      <c r="A129" s="12" t="n">
        <v>46475</v>
      </c>
      <c r="B129" t="inlineStr">
        <is>
          <t>Easter Monday</t>
        </is>
      </c>
      <c r="C129" t="inlineStr">
        <is>
          <t>SA</t>
        </is>
      </c>
    </row>
    <row r="130">
      <c r="A130" s="12" t="n">
        <v>46502</v>
      </c>
      <c r="B130" t="inlineStr">
        <is>
          <t>Anzac Day</t>
        </is>
      </c>
      <c r="C130" t="inlineStr">
        <is>
          <t>SA</t>
        </is>
      </c>
    </row>
    <row r="131">
      <c r="A131" s="12" t="n">
        <v>46503</v>
      </c>
      <c r="B131" t="inlineStr">
        <is>
          <t>Anzac Day (additional)</t>
        </is>
      </c>
      <c r="C131" t="inlineStr">
        <is>
          <t>SA</t>
        </is>
      </c>
    </row>
    <row r="132">
      <c r="A132" s="12" t="n">
        <v>46552</v>
      </c>
      <c r="B132" t="inlineStr">
        <is>
          <t>King's Birthday</t>
        </is>
      </c>
      <c r="C132" t="inlineStr">
        <is>
          <t>SA</t>
        </is>
      </c>
    </row>
    <row r="133">
      <c r="A133" s="12" t="n">
        <v>46664</v>
      </c>
      <c r="B133" t="inlineStr">
        <is>
          <t>Labour Day</t>
        </is>
      </c>
      <c r="C133" t="inlineStr">
        <is>
          <t>SA</t>
        </is>
      </c>
    </row>
    <row r="134">
      <c r="A134" s="12" t="n">
        <v>46746</v>
      </c>
      <c r="B134" t="inlineStr">
        <is>
          <t>Christmas Day</t>
        </is>
      </c>
      <c r="C134" t="inlineStr">
        <is>
          <t>SA</t>
        </is>
      </c>
    </row>
    <row r="135">
      <c r="A135" s="12" t="n">
        <v>46747</v>
      </c>
      <c r="B135" t="inlineStr">
        <is>
          <t>Proclamation Day</t>
        </is>
      </c>
      <c r="C135" t="inlineStr">
        <is>
          <t>SA</t>
        </is>
      </c>
    </row>
    <row r="136">
      <c r="A136" s="12" t="n">
        <v>46748</v>
      </c>
      <c r="B136" t="inlineStr">
        <is>
          <t>Christmas (additional)</t>
        </is>
      </c>
      <c r="C136" t="inlineStr">
        <is>
          <t>SA</t>
        </is>
      </c>
    </row>
    <row r="137">
      <c r="A137" s="12" t="n">
        <v>46749</v>
      </c>
      <c r="B137" t="inlineStr">
        <is>
          <t>Boxing Day (additional)</t>
        </is>
      </c>
      <c r="C137" t="inlineStr">
        <is>
          <t>SA</t>
        </is>
      </c>
    </row>
    <row r="138">
      <c r="A138" s="12" t="n">
        <v>46753</v>
      </c>
      <c r="B138" t="inlineStr">
        <is>
          <t>New Year's Day</t>
        </is>
      </c>
      <c r="C138" t="inlineStr">
        <is>
          <t>SA</t>
        </is>
      </c>
    </row>
    <row r="139">
      <c r="A139" s="12" t="n">
        <v>46755</v>
      </c>
      <c r="B139" t="inlineStr">
        <is>
          <t>New Year's Day (additional)</t>
        </is>
      </c>
      <c r="C139" t="inlineStr">
        <is>
          <t>SA</t>
        </is>
      </c>
    </row>
    <row r="140">
      <c r="A140" s="12" t="n">
        <v>46778</v>
      </c>
      <c r="B140" t="inlineStr">
        <is>
          <t>Australia Day</t>
        </is>
      </c>
      <c r="C140" t="inlineStr">
        <is>
          <t>SA</t>
        </is>
      </c>
    </row>
    <row r="141">
      <c r="A141" s="12" t="n">
        <v>46825</v>
      </c>
      <c r="B141" t="inlineStr">
        <is>
          <t>Adelaide Cup</t>
        </is>
      </c>
      <c r="C141" t="inlineStr">
        <is>
          <t>SA</t>
        </is>
      </c>
    </row>
    <row r="142">
      <c r="A142" s="12" t="n">
        <v>46857</v>
      </c>
      <c r="B142" t="inlineStr">
        <is>
          <t>Good Friday</t>
        </is>
      </c>
      <c r="C142" t="inlineStr">
        <is>
          <t>SA</t>
        </is>
      </c>
    </row>
    <row r="143">
      <c r="A143" s="12" t="n">
        <v>46858</v>
      </c>
      <c r="B143" t="inlineStr">
        <is>
          <t>Easter Saturday</t>
        </is>
      </c>
      <c r="C143" t="inlineStr">
        <is>
          <t>SA</t>
        </is>
      </c>
    </row>
    <row r="144">
      <c r="A144" s="12" t="n">
        <v>46859</v>
      </c>
      <c r="B144" t="inlineStr">
        <is>
          <t>Easter Sunday</t>
        </is>
      </c>
      <c r="C144" t="inlineStr">
        <is>
          <t>SA</t>
        </is>
      </c>
    </row>
    <row r="145">
      <c r="A145" s="12" t="n">
        <v>46860</v>
      </c>
      <c r="B145" t="inlineStr">
        <is>
          <t>Easter Monday</t>
        </is>
      </c>
      <c r="C145" t="inlineStr">
        <is>
          <t>SA</t>
        </is>
      </c>
    </row>
    <row r="146">
      <c r="A146" s="12" t="n">
        <v>46868</v>
      </c>
      <c r="B146" t="inlineStr">
        <is>
          <t>Anzac Day</t>
        </is>
      </c>
      <c r="C146" t="inlineStr">
        <is>
          <t>SA</t>
        </is>
      </c>
    </row>
    <row r="147">
      <c r="A147" s="12" t="n">
        <v>46916</v>
      </c>
      <c r="B147" t="inlineStr">
        <is>
          <t>King's Birthday</t>
        </is>
      </c>
      <c r="C147" t="inlineStr">
        <is>
          <t>SA</t>
        </is>
      </c>
    </row>
    <row r="148">
      <c r="A148" s="12" t="n">
        <v>47028</v>
      </c>
      <c r="B148" t="inlineStr">
        <is>
          <t>Labour Day</t>
        </is>
      </c>
      <c r="C148" t="inlineStr">
        <is>
          <t>SA</t>
        </is>
      </c>
    </row>
    <row r="149">
      <c r="A149" s="12" t="n">
        <v>47112</v>
      </c>
      <c r="B149" t="inlineStr">
        <is>
          <t>Christmas Day</t>
        </is>
      </c>
      <c r="C149" t="inlineStr">
        <is>
          <t>SA</t>
        </is>
      </c>
    </row>
    <row r="150">
      <c r="A150" s="12" t="n">
        <v>47113</v>
      </c>
      <c r="B150" t="inlineStr">
        <is>
          <t>Proclamation Day</t>
        </is>
      </c>
      <c r="C150" t="inlineStr">
        <is>
          <t>SA</t>
        </is>
      </c>
    </row>
    <row r="151">
      <c r="A151" s="12" t="n">
        <v>45658</v>
      </c>
      <c r="B151" t="inlineStr">
        <is>
          <t>New Year's Day</t>
        </is>
      </c>
      <c r="C151" t="inlineStr">
        <is>
          <t>VIC</t>
        </is>
      </c>
    </row>
    <row r="152">
      <c r="A152" s="12" t="n">
        <v>45684</v>
      </c>
      <c r="B152" t="inlineStr">
        <is>
          <t>Australia Day</t>
        </is>
      </c>
      <c r="C152" t="inlineStr">
        <is>
          <t>VIC</t>
        </is>
      </c>
    </row>
    <row r="153">
      <c r="A153" s="12" t="n">
        <v>45726</v>
      </c>
      <c r="B153" t="inlineStr">
        <is>
          <t>Labour Day</t>
        </is>
      </c>
      <c r="C153" t="inlineStr">
        <is>
          <t>VIC</t>
        </is>
      </c>
    </row>
    <row r="154">
      <c r="A154" s="12" t="n">
        <v>45765</v>
      </c>
      <c r="B154" t="inlineStr">
        <is>
          <t>Good Friday</t>
        </is>
      </c>
      <c r="C154" t="inlineStr">
        <is>
          <t>VIC</t>
        </is>
      </c>
    </row>
    <row r="155">
      <c r="A155" s="12" t="n">
        <v>45766</v>
      </c>
      <c r="B155" t="inlineStr">
        <is>
          <t>Easter Saturday</t>
        </is>
      </c>
      <c r="C155" t="inlineStr">
        <is>
          <t>VIC</t>
        </is>
      </c>
    </row>
    <row r="156">
      <c r="A156" s="12" t="n">
        <v>45767</v>
      </c>
      <c r="B156" t="inlineStr">
        <is>
          <t>Easter Sunday</t>
        </is>
      </c>
      <c r="C156" t="inlineStr">
        <is>
          <t>VIC</t>
        </is>
      </c>
    </row>
    <row r="157">
      <c r="A157" s="12" t="n">
        <v>45768</v>
      </c>
      <c r="B157" t="inlineStr">
        <is>
          <t>Easter Monday</t>
        </is>
      </c>
      <c r="C157" t="inlineStr">
        <is>
          <t>VIC</t>
        </is>
      </c>
    </row>
    <row r="158">
      <c r="A158" s="12" t="n">
        <v>45772</v>
      </c>
      <c r="B158" t="inlineStr">
        <is>
          <t>Anzac Day</t>
        </is>
      </c>
      <c r="C158" t="inlineStr">
        <is>
          <t>VIC</t>
        </is>
      </c>
    </row>
    <row r="159">
      <c r="A159" s="12" t="n">
        <v>45817</v>
      </c>
      <c r="B159" t="inlineStr">
        <is>
          <t>King's Birthday</t>
        </is>
      </c>
      <c r="C159" t="inlineStr">
        <is>
          <t>VIC</t>
        </is>
      </c>
    </row>
    <row r="160">
      <c r="A160" s="12" t="n">
        <v>45926</v>
      </c>
      <c r="B160" t="inlineStr">
        <is>
          <t>AFL Grand Final Friday (check date)</t>
        </is>
      </c>
      <c r="C160" t="inlineStr">
        <is>
          <t>VIC</t>
        </is>
      </c>
    </row>
    <row r="161">
      <c r="A161" s="12" t="n">
        <v>45965</v>
      </c>
      <c r="B161" t="inlineStr">
        <is>
          <t>Melbourne Cup</t>
        </is>
      </c>
      <c r="C161" t="inlineStr">
        <is>
          <t>VIC</t>
        </is>
      </c>
    </row>
    <row r="162">
      <c r="A162" s="12" t="n">
        <v>46016</v>
      </c>
      <c r="B162" t="inlineStr">
        <is>
          <t>Christmas Day</t>
        </is>
      </c>
      <c r="C162" t="inlineStr">
        <is>
          <t>VIC</t>
        </is>
      </c>
    </row>
    <row r="163">
      <c r="A163" s="12" t="n">
        <v>46017</v>
      </c>
      <c r="B163" t="inlineStr">
        <is>
          <t>Boxing Day</t>
        </is>
      </c>
      <c r="C163" t="inlineStr">
        <is>
          <t>VIC</t>
        </is>
      </c>
    </row>
    <row r="164">
      <c r="A164" s="12" t="n">
        <v>46023</v>
      </c>
      <c r="B164" t="inlineStr">
        <is>
          <t>New Year's Day</t>
        </is>
      </c>
      <c r="C164" t="inlineStr">
        <is>
          <t>VIC</t>
        </is>
      </c>
    </row>
    <row r="165">
      <c r="A165" s="12" t="n">
        <v>46048</v>
      </c>
      <c r="B165" t="inlineStr">
        <is>
          <t>Australia Day</t>
        </is>
      </c>
      <c r="C165" t="inlineStr">
        <is>
          <t>VIC</t>
        </is>
      </c>
    </row>
    <row r="166">
      <c r="A166" s="12" t="n">
        <v>46090</v>
      </c>
      <c r="B166" t="inlineStr">
        <is>
          <t>Labour Day</t>
        </is>
      </c>
      <c r="C166" t="inlineStr">
        <is>
          <t>VIC</t>
        </is>
      </c>
    </row>
    <row r="167">
      <c r="A167" s="12" t="n">
        <v>46115</v>
      </c>
      <c r="B167" t="inlineStr">
        <is>
          <t>Good Friday</t>
        </is>
      </c>
      <c r="C167" t="inlineStr">
        <is>
          <t>VIC</t>
        </is>
      </c>
    </row>
    <row r="168">
      <c r="A168" s="12" t="n">
        <v>46116</v>
      </c>
      <c r="B168" t="inlineStr">
        <is>
          <t>Easter Saturday</t>
        </is>
      </c>
      <c r="C168" t="inlineStr">
        <is>
          <t>VIC</t>
        </is>
      </c>
    </row>
    <row r="169">
      <c r="A169" s="12" t="n">
        <v>46117</v>
      </c>
      <c r="B169" t="inlineStr">
        <is>
          <t>Easter Sunday</t>
        </is>
      </c>
      <c r="C169" t="inlineStr">
        <is>
          <t>VIC</t>
        </is>
      </c>
    </row>
    <row r="170">
      <c r="A170" s="12" t="n">
        <v>46118</v>
      </c>
      <c r="B170" t="inlineStr">
        <is>
          <t>Easter Monday</t>
        </is>
      </c>
      <c r="C170" t="inlineStr">
        <is>
          <t>VIC</t>
        </is>
      </c>
    </row>
    <row r="171">
      <c r="A171" s="12" t="n">
        <v>46137</v>
      </c>
      <c r="B171" t="inlineStr">
        <is>
          <t>Anzac Day</t>
        </is>
      </c>
      <c r="C171" t="inlineStr">
        <is>
          <t>VIC</t>
        </is>
      </c>
    </row>
    <row r="172">
      <c r="A172" s="12" t="n">
        <v>46181</v>
      </c>
      <c r="B172" t="inlineStr">
        <is>
          <t>King's Birthday</t>
        </is>
      </c>
      <c r="C172" t="inlineStr">
        <is>
          <t>VIC</t>
        </is>
      </c>
    </row>
    <row r="173">
      <c r="A173" s="12" t="n">
        <v>46290</v>
      </c>
      <c r="B173" t="inlineStr">
        <is>
          <t>AFL Grand Final Friday (check date)</t>
        </is>
      </c>
      <c r="C173" t="inlineStr">
        <is>
          <t>VIC</t>
        </is>
      </c>
    </row>
    <row r="174">
      <c r="A174" s="12" t="n">
        <v>46329</v>
      </c>
      <c r="B174" t="inlineStr">
        <is>
          <t>Melbourne Cup</t>
        </is>
      </c>
      <c r="C174" t="inlineStr">
        <is>
          <t>VIC</t>
        </is>
      </c>
    </row>
    <row r="175">
      <c r="A175" s="12" t="n">
        <v>46381</v>
      </c>
      <c r="B175" t="inlineStr">
        <is>
          <t>Christmas Day</t>
        </is>
      </c>
      <c r="C175" t="inlineStr">
        <is>
          <t>VIC</t>
        </is>
      </c>
    </row>
    <row r="176">
      <c r="A176" s="12" t="n">
        <v>46382</v>
      </c>
      <c r="B176" t="inlineStr">
        <is>
          <t>Boxing Day</t>
        </is>
      </c>
      <c r="C176" t="inlineStr">
        <is>
          <t>VIC</t>
        </is>
      </c>
    </row>
    <row r="177">
      <c r="A177" s="12" t="n">
        <v>46384</v>
      </c>
      <c r="B177" t="inlineStr">
        <is>
          <t>Boxing Day (additional)</t>
        </is>
      </c>
      <c r="C177" t="inlineStr">
        <is>
          <t>VIC</t>
        </is>
      </c>
    </row>
    <row r="178">
      <c r="A178" s="12" t="n">
        <v>46388</v>
      </c>
      <c r="B178" t="inlineStr">
        <is>
          <t>New Year's Day</t>
        </is>
      </c>
      <c r="C178" t="inlineStr">
        <is>
          <t>VIC</t>
        </is>
      </c>
    </row>
    <row r="179">
      <c r="A179" s="12" t="n">
        <v>46413</v>
      </c>
      <c r="B179" t="inlineStr">
        <is>
          <t>Australia Day</t>
        </is>
      </c>
      <c r="C179" t="inlineStr">
        <is>
          <t>VIC</t>
        </is>
      </c>
    </row>
    <row r="180">
      <c r="A180" s="12" t="n">
        <v>46454</v>
      </c>
      <c r="B180" t="inlineStr">
        <is>
          <t>Labour Day</t>
        </is>
      </c>
      <c r="C180" t="inlineStr">
        <is>
          <t>VIC</t>
        </is>
      </c>
    </row>
    <row r="181">
      <c r="A181" s="12" t="n">
        <v>46472</v>
      </c>
      <c r="B181" t="inlineStr">
        <is>
          <t>Good Friday</t>
        </is>
      </c>
      <c r="C181" t="inlineStr">
        <is>
          <t>VIC</t>
        </is>
      </c>
    </row>
    <row r="182">
      <c r="A182" s="12" t="n">
        <v>46473</v>
      </c>
      <c r="B182" t="inlineStr">
        <is>
          <t>Easter Saturday</t>
        </is>
      </c>
      <c r="C182" t="inlineStr">
        <is>
          <t>VIC</t>
        </is>
      </c>
    </row>
    <row r="183">
      <c r="A183" s="12" t="n">
        <v>46474</v>
      </c>
      <c r="B183" t="inlineStr">
        <is>
          <t>Easter Sunday</t>
        </is>
      </c>
      <c r="C183" t="inlineStr">
        <is>
          <t>VIC</t>
        </is>
      </c>
    </row>
    <row r="184">
      <c r="A184" s="12" t="n">
        <v>46475</v>
      </c>
      <c r="B184" t="inlineStr">
        <is>
          <t>Easter Monday</t>
        </is>
      </c>
      <c r="C184" t="inlineStr">
        <is>
          <t>VIC</t>
        </is>
      </c>
    </row>
    <row r="185">
      <c r="A185" s="12" t="n">
        <v>46502</v>
      </c>
      <c r="B185" t="inlineStr">
        <is>
          <t>Anzac Day</t>
        </is>
      </c>
      <c r="C185" t="inlineStr">
        <is>
          <t>VIC</t>
        </is>
      </c>
    </row>
    <row r="186">
      <c r="A186" s="12" t="n">
        <v>46552</v>
      </c>
      <c r="B186" t="inlineStr">
        <is>
          <t>King's Birthday</t>
        </is>
      </c>
      <c r="C186" t="inlineStr">
        <is>
          <t>VIC</t>
        </is>
      </c>
    </row>
    <row r="187">
      <c r="A187" s="12" t="n">
        <v>46654</v>
      </c>
      <c r="B187" t="inlineStr">
        <is>
          <t>AFL Grand Final Friday (check date)</t>
        </is>
      </c>
      <c r="C187" t="inlineStr">
        <is>
          <t>VIC</t>
        </is>
      </c>
    </row>
    <row r="188">
      <c r="A188" s="12" t="n">
        <v>46693</v>
      </c>
      <c r="B188" t="inlineStr">
        <is>
          <t>Melbourne Cup</t>
        </is>
      </c>
      <c r="C188" t="inlineStr">
        <is>
          <t>VIC</t>
        </is>
      </c>
    </row>
    <row r="189">
      <c r="A189" s="12" t="n">
        <v>46746</v>
      </c>
      <c r="B189" t="inlineStr">
        <is>
          <t>Christmas Day</t>
        </is>
      </c>
      <c r="C189" t="inlineStr">
        <is>
          <t>VIC</t>
        </is>
      </c>
    </row>
    <row r="190">
      <c r="A190" s="12" t="n">
        <v>46747</v>
      </c>
      <c r="B190" t="inlineStr">
        <is>
          <t>Boxing Day</t>
        </is>
      </c>
      <c r="C190" t="inlineStr">
        <is>
          <t>VIC</t>
        </is>
      </c>
    </row>
    <row r="191">
      <c r="A191" s="12" t="n">
        <v>46748</v>
      </c>
      <c r="B191" t="inlineStr">
        <is>
          <t>Christmas (additional)</t>
        </is>
      </c>
      <c r="C191" t="inlineStr">
        <is>
          <t>VIC</t>
        </is>
      </c>
    </row>
    <row r="192">
      <c r="A192" s="12" t="n">
        <v>46749</v>
      </c>
      <c r="B192" t="inlineStr">
        <is>
          <t>Boxing Day (additional)</t>
        </is>
      </c>
      <c r="C192" t="inlineStr">
        <is>
          <t>VIC</t>
        </is>
      </c>
    </row>
    <row r="193">
      <c r="A193" s="12" t="n">
        <v>46753</v>
      </c>
      <c r="B193" t="inlineStr">
        <is>
          <t>New Year's Day</t>
        </is>
      </c>
      <c r="C193" t="inlineStr">
        <is>
          <t>VIC</t>
        </is>
      </c>
    </row>
    <row r="194">
      <c r="A194" s="12" t="n">
        <v>46755</v>
      </c>
      <c r="B194" t="inlineStr">
        <is>
          <t>New Year's Day (additional)</t>
        </is>
      </c>
      <c r="C194" t="inlineStr">
        <is>
          <t>VIC</t>
        </is>
      </c>
    </row>
    <row r="195">
      <c r="A195" s="12" t="n">
        <v>46778</v>
      </c>
      <c r="B195" t="inlineStr">
        <is>
          <t>Australia Day</t>
        </is>
      </c>
      <c r="C195" t="inlineStr">
        <is>
          <t>VIC</t>
        </is>
      </c>
    </row>
    <row r="196">
      <c r="A196" s="12" t="n">
        <v>46825</v>
      </c>
      <c r="B196" t="inlineStr">
        <is>
          <t>Labour Day</t>
        </is>
      </c>
      <c r="C196" t="inlineStr">
        <is>
          <t>VIC</t>
        </is>
      </c>
    </row>
    <row r="197">
      <c r="A197" s="12" t="n">
        <v>46857</v>
      </c>
      <c r="B197" t="inlineStr">
        <is>
          <t>Good Friday</t>
        </is>
      </c>
      <c r="C197" t="inlineStr">
        <is>
          <t>VIC</t>
        </is>
      </c>
    </row>
    <row r="198">
      <c r="A198" s="12" t="n">
        <v>46858</v>
      </c>
      <c r="B198" t="inlineStr">
        <is>
          <t>Easter Saturday</t>
        </is>
      </c>
      <c r="C198" t="inlineStr">
        <is>
          <t>VIC</t>
        </is>
      </c>
    </row>
    <row r="199">
      <c r="A199" s="12" t="n">
        <v>46859</v>
      </c>
      <c r="B199" t="inlineStr">
        <is>
          <t>Easter Sunday</t>
        </is>
      </c>
      <c r="C199" t="inlineStr">
        <is>
          <t>VIC</t>
        </is>
      </c>
    </row>
    <row r="200">
      <c r="A200" s="12" t="n">
        <v>46860</v>
      </c>
      <c r="B200" t="inlineStr">
        <is>
          <t>Easter Monday</t>
        </is>
      </c>
      <c r="C200" t="inlineStr">
        <is>
          <t>VIC</t>
        </is>
      </c>
    </row>
    <row r="201">
      <c r="A201" s="12" t="n">
        <v>46868</v>
      </c>
      <c r="B201" t="inlineStr">
        <is>
          <t>Anzac Day</t>
        </is>
      </c>
      <c r="C201" t="inlineStr">
        <is>
          <t>VIC</t>
        </is>
      </c>
    </row>
    <row r="202">
      <c r="A202" s="12" t="n">
        <v>46916</v>
      </c>
      <c r="B202" t="inlineStr">
        <is>
          <t>King's Birthday</t>
        </is>
      </c>
      <c r="C202" t="inlineStr">
        <is>
          <t>VIC</t>
        </is>
      </c>
    </row>
    <row r="203">
      <c r="A203" s="12" t="n">
        <v>47025</v>
      </c>
      <c r="B203" t="inlineStr">
        <is>
          <t>AFL Grand Final Friday (check date)</t>
        </is>
      </c>
      <c r="C203" t="inlineStr">
        <is>
          <t>VIC</t>
        </is>
      </c>
    </row>
    <row r="204">
      <c r="A204" s="12" t="n">
        <v>47064</v>
      </c>
      <c r="B204" t="inlineStr">
        <is>
          <t>Melbourne Cup</t>
        </is>
      </c>
      <c r="C204" t="inlineStr">
        <is>
          <t>VIC</t>
        </is>
      </c>
    </row>
    <row r="205">
      <c r="A205" s="12" t="n">
        <v>47112</v>
      </c>
      <c r="B205" t="inlineStr">
        <is>
          <t>Christmas Day</t>
        </is>
      </c>
      <c r="C205" t="inlineStr">
        <is>
          <t>VIC</t>
        </is>
      </c>
    </row>
    <row r="206">
      <c r="A206" s="12" t="n">
        <v>47113</v>
      </c>
      <c r="B206" t="inlineStr">
        <is>
          <t>Boxing Day</t>
        </is>
      </c>
      <c r="C206" t="inlineStr">
        <is>
          <t>VIC</t>
        </is>
      </c>
    </row>
    <row r="207">
      <c r="A207" s="12" t="n">
        <v>45658</v>
      </c>
      <c r="B207" t="inlineStr">
        <is>
          <t>New Year's Day</t>
        </is>
      </c>
      <c r="C207" t="inlineStr">
        <is>
          <t>WA</t>
        </is>
      </c>
    </row>
    <row r="208">
      <c r="A208" s="12" t="n">
        <v>45684</v>
      </c>
      <c r="B208" t="inlineStr">
        <is>
          <t>Australia Day</t>
        </is>
      </c>
      <c r="C208" t="inlineStr">
        <is>
          <t>WA</t>
        </is>
      </c>
    </row>
    <row r="209">
      <c r="A209" s="12" t="n">
        <v>45719</v>
      </c>
      <c r="B209" t="inlineStr">
        <is>
          <t>Labour Day</t>
        </is>
      </c>
      <c r="C209" t="inlineStr">
        <is>
          <t>WA</t>
        </is>
      </c>
    </row>
    <row r="210">
      <c r="A210" s="12" t="n">
        <v>45765</v>
      </c>
      <c r="B210" t="inlineStr">
        <is>
          <t>Good Friday</t>
        </is>
      </c>
      <c r="C210" t="inlineStr">
        <is>
          <t>WA</t>
        </is>
      </c>
    </row>
    <row r="211">
      <c r="A211" s="12" t="n">
        <v>45767</v>
      </c>
      <c r="B211" t="inlineStr">
        <is>
          <t>Easter Sunday</t>
        </is>
      </c>
      <c r="C211" t="inlineStr">
        <is>
          <t>WA</t>
        </is>
      </c>
    </row>
    <row r="212">
      <c r="A212" s="12" t="n">
        <v>45768</v>
      </c>
      <c r="B212" t="inlineStr">
        <is>
          <t>Easter Monday</t>
        </is>
      </c>
      <c r="C212" t="inlineStr">
        <is>
          <t>WA</t>
        </is>
      </c>
    </row>
    <row r="213">
      <c r="A213" s="12" t="n">
        <v>45772</v>
      </c>
      <c r="B213" t="inlineStr">
        <is>
          <t>Anzac Day</t>
        </is>
      </c>
      <c r="C213" t="inlineStr">
        <is>
          <t>WA</t>
        </is>
      </c>
    </row>
    <row r="214">
      <c r="A214" s="12" t="n">
        <v>45810</v>
      </c>
      <c r="B214" t="inlineStr">
        <is>
          <t>WA Day</t>
        </is>
      </c>
      <c r="C214" t="inlineStr">
        <is>
          <t>WA</t>
        </is>
      </c>
    </row>
    <row r="215">
      <c r="A215" s="12" t="n">
        <v>45929</v>
      </c>
      <c r="B215" t="inlineStr">
        <is>
          <t>King's Birthday</t>
        </is>
      </c>
      <c r="C215" t="inlineStr">
        <is>
          <t>WA</t>
        </is>
      </c>
    </row>
    <row r="216">
      <c r="A216" s="12" t="n">
        <v>46016</v>
      </c>
      <c r="B216" t="inlineStr">
        <is>
          <t>Christmas Day</t>
        </is>
      </c>
      <c r="C216" t="inlineStr">
        <is>
          <t>WA</t>
        </is>
      </c>
    </row>
    <row r="217">
      <c r="A217" s="12" t="n">
        <v>46017</v>
      </c>
      <c r="B217" t="inlineStr">
        <is>
          <t>Boxing Day</t>
        </is>
      </c>
      <c r="C217" t="inlineStr">
        <is>
          <t>WA</t>
        </is>
      </c>
    </row>
    <row r="218">
      <c r="A218" s="12" t="n">
        <v>46023</v>
      </c>
      <c r="B218" t="inlineStr">
        <is>
          <t>New Year's Day</t>
        </is>
      </c>
      <c r="C218" t="inlineStr">
        <is>
          <t>WA</t>
        </is>
      </c>
    </row>
    <row r="219">
      <c r="A219" s="12" t="n">
        <v>46048</v>
      </c>
      <c r="B219" t="inlineStr">
        <is>
          <t>Australia Day</t>
        </is>
      </c>
      <c r="C219" t="inlineStr">
        <is>
          <t>WA</t>
        </is>
      </c>
    </row>
    <row r="220">
      <c r="A220" s="12" t="n">
        <v>46083</v>
      </c>
      <c r="B220" t="inlineStr">
        <is>
          <t>Labour Day</t>
        </is>
      </c>
      <c r="C220" t="inlineStr">
        <is>
          <t>WA</t>
        </is>
      </c>
    </row>
    <row r="221">
      <c r="A221" s="12" t="n">
        <v>46115</v>
      </c>
      <c r="B221" t="inlineStr">
        <is>
          <t>Good Friday</t>
        </is>
      </c>
      <c r="C221" t="inlineStr">
        <is>
          <t>WA</t>
        </is>
      </c>
    </row>
    <row r="222">
      <c r="A222" s="12" t="n">
        <v>46117</v>
      </c>
      <c r="B222" t="inlineStr">
        <is>
          <t>Easter Sunday</t>
        </is>
      </c>
      <c r="C222" t="inlineStr">
        <is>
          <t>WA</t>
        </is>
      </c>
    </row>
    <row r="223">
      <c r="A223" s="12" t="n">
        <v>46118</v>
      </c>
      <c r="B223" t="inlineStr">
        <is>
          <t>Easter Monday</t>
        </is>
      </c>
      <c r="C223" t="inlineStr">
        <is>
          <t>WA</t>
        </is>
      </c>
    </row>
    <row r="224">
      <c r="A224" s="12" t="n">
        <v>46137</v>
      </c>
      <c r="B224" t="inlineStr">
        <is>
          <t>Anzac Day</t>
        </is>
      </c>
      <c r="C224" t="inlineStr">
        <is>
          <t>WA</t>
        </is>
      </c>
    </row>
    <row r="225">
      <c r="A225" s="12" t="n">
        <v>46139</v>
      </c>
      <c r="B225" t="inlineStr">
        <is>
          <t>Anzac Day (additional)</t>
        </is>
      </c>
      <c r="C225" t="inlineStr">
        <is>
          <t>WA</t>
        </is>
      </c>
    </row>
    <row r="226">
      <c r="A226" s="12" t="n">
        <v>46174</v>
      </c>
      <c r="B226" t="inlineStr">
        <is>
          <t>WA Day</t>
        </is>
      </c>
      <c r="C226" t="inlineStr">
        <is>
          <t>WA</t>
        </is>
      </c>
    </row>
    <row r="227">
      <c r="A227" s="12" t="n">
        <v>46293</v>
      </c>
      <c r="B227" t="inlineStr">
        <is>
          <t>King's Birthday</t>
        </is>
      </c>
      <c r="C227" t="inlineStr">
        <is>
          <t>WA</t>
        </is>
      </c>
    </row>
    <row r="228">
      <c r="A228" s="12" t="n">
        <v>46381</v>
      </c>
      <c r="B228" t="inlineStr">
        <is>
          <t>Christmas Day</t>
        </is>
      </c>
      <c r="C228" t="inlineStr">
        <is>
          <t>WA</t>
        </is>
      </c>
    </row>
    <row r="229">
      <c r="A229" s="12" t="n">
        <v>46382</v>
      </c>
      <c r="B229" t="inlineStr">
        <is>
          <t>Boxing Day</t>
        </is>
      </c>
      <c r="C229" t="inlineStr">
        <is>
          <t>WA</t>
        </is>
      </c>
    </row>
    <row r="230">
      <c r="A230" s="12" t="n">
        <v>46384</v>
      </c>
      <c r="B230" t="inlineStr">
        <is>
          <t>Boxing Day (additional)</t>
        </is>
      </c>
      <c r="C230" t="inlineStr">
        <is>
          <t>WA</t>
        </is>
      </c>
    </row>
    <row r="231">
      <c r="A231" s="12" t="n">
        <v>46388</v>
      </c>
      <c r="B231" t="inlineStr">
        <is>
          <t>New Year's Day</t>
        </is>
      </c>
      <c r="C231" t="inlineStr">
        <is>
          <t>WA</t>
        </is>
      </c>
    </row>
    <row r="232">
      <c r="A232" s="12" t="n">
        <v>46413</v>
      </c>
      <c r="B232" t="inlineStr">
        <is>
          <t>Australia Day</t>
        </is>
      </c>
      <c r="C232" t="inlineStr">
        <is>
          <t>WA</t>
        </is>
      </c>
    </row>
    <row r="233">
      <c r="A233" s="12" t="n">
        <v>46447</v>
      </c>
      <c r="B233" t="inlineStr">
        <is>
          <t>Labour Day</t>
        </is>
      </c>
      <c r="C233" t="inlineStr">
        <is>
          <t>WA</t>
        </is>
      </c>
    </row>
    <row r="234">
      <c r="A234" s="12" t="n">
        <v>46472</v>
      </c>
      <c r="B234" t="inlineStr">
        <is>
          <t>Good Friday</t>
        </is>
      </c>
      <c r="C234" t="inlineStr">
        <is>
          <t>WA</t>
        </is>
      </c>
    </row>
    <row r="235">
      <c r="A235" s="12" t="n">
        <v>46474</v>
      </c>
      <c r="B235" t="inlineStr">
        <is>
          <t>Easter Sunday</t>
        </is>
      </c>
      <c r="C235" t="inlineStr">
        <is>
          <t>WA</t>
        </is>
      </c>
    </row>
    <row r="236">
      <c r="A236" s="12" t="n">
        <v>46475</v>
      </c>
      <c r="B236" t="inlineStr">
        <is>
          <t>Easter Monday</t>
        </is>
      </c>
      <c r="C236" t="inlineStr">
        <is>
          <t>WA</t>
        </is>
      </c>
    </row>
    <row r="237">
      <c r="A237" s="12" t="n">
        <v>46502</v>
      </c>
      <c r="B237" t="inlineStr">
        <is>
          <t>Anzac Day</t>
        </is>
      </c>
      <c r="C237" t="inlineStr">
        <is>
          <t>WA</t>
        </is>
      </c>
    </row>
    <row r="238">
      <c r="A238" s="12" t="n">
        <v>46503</v>
      </c>
      <c r="B238" t="inlineStr">
        <is>
          <t>Anzac Day (additional)</t>
        </is>
      </c>
      <c r="C238" t="inlineStr">
        <is>
          <t>WA</t>
        </is>
      </c>
    </row>
    <row r="239">
      <c r="A239" s="12" t="n">
        <v>46545</v>
      </c>
      <c r="B239" t="inlineStr">
        <is>
          <t>WA Day</t>
        </is>
      </c>
      <c r="C239" t="inlineStr">
        <is>
          <t>WA</t>
        </is>
      </c>
    </row>
    <row r="240">
      <c r="A240" s="12" t="n">
        <v>46657</v>
      </c>
      <c r="B240" t="inlineStr">
        <is>
          <t>King's Birthday</t>
        </is>
      </c>
      <c r="C240" t="inlineStr">
        <is>
          <t>WA</t>
        </is>
      </c>
    </row>
    <row r="241">
      <c r="A241" s="12" t="n">
        <v>46746</v>
      </c>
      <c r="B241" t="inlineStr">
        <is>
          <t>Christmas Day</t>
        </is>
      </c>
      <c r="C241" t="inlineStr">
        <is>
          <t>WA</t>
        </is>
      </c>
    </row>
    <row r="242">
      <c r="A242" s="12" t="n">
        <v>46747</v>
      </c>
      <c r="B242" t="inlineStr">
        <is>
          <t>Boxing Day</t>
        </is>
      </c>
      <c r="C242" t="inlineStr">
        <is>
          <t>WA</t>
        </is>
      </c>
    </row>
    <row r="243">
      <c r="A243" s="12" t="n">
        <v>46748</v>
      </c>
      <c r="B243" t="inlineStr">
        <is>
          <t>Christmas (additional)</t>
        </is>
      </c>
      <c r="C243" t="inlineStr">
        <is>
          <t>WA</t>
        </is>
      </c>
    </row>
    <row r="244">
      <c r="A244" s="12" t="n">
        <v>46749</v>
      </c>
      <c r="B244" t="inlineStr">
        <is>
          <t>Boxing Day (additional)</t>
        </is>
      </c>
      <c r="C244" t="inlineStr">
        <is>
          <t>WA</t>
        </is>
      </c>
    </row>
    <row r="245">
      <c r="A245" s="12" t="n">
        <v>46753</v>
      </c>
      <c r="B245" t="inlineStr">
        <is>
          <t>New Year's Day</t>
        </is>
      </c>
      <c r="C245" t="inlineStr">
        <is>
          <t>WA</t>
        </is>
      </c>
    </row>
    <row r="246">
      <c r="A246" s="12" t="n">
        <v>46755</v>
      </c>
      <c r="B246" t="inlineStr">
        <is>
          <t>New Year's Day (additional)</t>
        </is>
      </c>
      <c r="C246" t="inlineStr">
        <is>
          <t>WA</t>
        </is>
      </c>
    </row>
    <row r="247">
      <c r="A247" s="12" t="n">
        <v>46778</v>
      </c>
      <c r="B247" t="inlineStr">
        <is>
          <t>Australia Day</t>
        </is>
      </c>
      <c r="C247" t="inlineStr">
        <is>
          <t>WA</t>
        </is>
      </c>
    </row>
    <row r="248">
      <c r="A248" s="12" t="n">
        <v>46818</v>
      </c>
      <c r="B248" t="inlineStr">
        <is>
          <t>Labour Day</t>
        </is>
      </c>
      <c r="C248" t="inlineStr">
        <is>
          <t>WA</t>
        </is>
      </c>
    </row>
    <row r="249">
      <c r="A249" s="12" t="n">
        <v>46857</v>
      </c>
      <c r="B249" t="inlineStr">
        <is>
          <t>Good Friday</t>
        </is>
      </c>
      <c r="C249" t="inlineStr">
        <is>
          <t>WA</t>
        </is>
      </c>
    </row>
    <row r="250">
      <c r="A250" s="12" t="n">
        <v>46859</v>
      </c>
      <c r="B250" t="inlineStr">
        <is>
          <t>Easter Sunday</t>
        </is>
      </c>
      <c r="C250" t="inlineStr">
        <is>
          <t>WA</t>
        </is>
      </c>
    </row>
    <row r="251">
      <c r="A251" s="12" t="n">
        <v>46860</v>
      </c>
      <c r="B251" t="inlineStr">
        <is>
          <t>Easter Monday</t>
        </is>
      </c>
      <c r="C251" t="inlineStr">
        <is>
          <t>WA</t>
        </is>
      </c>
    </row>
    <row r="252">
      <c r="A252" s="12" t="n">
        <v>46868</v>
      </c>
      <c r="B252" t="inlineStr">
        <is>
          <t>Anzac Day</t>
        </is>
      </c>
      <c r="C252" t="inlineStr">
        <is>
          <t>WA</t>
        </is>
      </c>
    </row>
    <row r="253">
      <c r="A253" s="12" t="n">
        <v>46909</v>
      </c>
      <c r="B253" t="inlineStr">
        <is>
          <t>WA Day</t>
        </is>
      </c>
      <c r="C253" t="inlineStr">
        <is>
          <t>WA</t>
        </is>
      </c>
    </row>
    <row r="254">
      <c r="A254" s="12" t="n">
        <v>47021</v>
      </c>
      <c r="B254" t="inlineStr">
        <is>
          <t>King's Birthday</t>
        </is>
      </c>
      <c r="C254" t="inlineStr">
        <is>
          <t>WA</t>
        </is>
      </c>
    </row>
    <row r="255">
      <c r="A255" s="12" t="n">
        <v>47112</v>
      </c>
      <c r="B255" t="inlineStr">
        <is>
          <t>Christmas Day</t>
        </is>
      </c>
      <c r="C255" t="inlineStr">
        <is>
          <t>WA</t>
        </is>
      </c>
    </row>
    <row r="256">
      <c r="A256" s="12" t="n">
        <v>47113</v>
      </c>
      <c r="B256" t="inlineStr">
        <is>
          <t>Boxing Day</t>
        </is>
      </c>
      <c r="C256" t="inlineStr">
        <is>
          <t>WA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Calendar: public holidays, PH cost factor, wage index</t>
        </is>
      </c>
    </row>
    <row r="2">
      <c r="A2" s="8" t="inlineStr">
        <is>
          <t>PH factor = average cost per hour in the month vs a month with no public holidays.</t>
        </is>
      </c>
    </row>
    <row r="3">
      <c r="C3" s="1" t="inlineStr">
        <is>
          <t>Public holidays (count)</t>
        </is>
      </c>
      <c r="H3" s="1" t="inlineStr">
        <is>
          <t>PH cost factor</t>
        </is>
      </c>
    </row>
    <row r="4">
      <c r="A4" s="5" t="inlineStr">
        <is>
          <t>Month</t>
        </is>
      </c>
      <c r="B4" s="5" t="inlineStr">
        <is>
          <t>Days</t>
        </is>
      </c>
      <c r="C4" s="5" t="inlineStr">
        <is>
          <t>PH NSW</t>
        </is>
      </c>
      <c r="D4" s="5" t="inlineStr">
        <is>
          <t>PH VIC</t>
        </is>
      </c>
      <c r="E4" s="5" t="inlineStr">
        <is>
          <t>PH QLD</t>
        </is>
      </c>
      <c r="F4" s="5" t="inlineStr">
        <is>
          <t>PH SA</t>
        </is>
      </c>
      <c r="G4" s="5" t="inlineStr">
        <is>
          <t>PH WA</t>
        </is>
      </c>
      <c r="H4" s="5" t="inlineStr">
        <is>
          <t>NSW</t>
        </is>
      </c>
      <c r="I4" s="5" t="inlineStr">
        <is>
          <t>VIC</t>
        </is>
      </c>
      <c r="J4" s="5" t="inlineStr">
        <is>
          <t>QLD</t>
        </is>
      </c>
      <c r="K4" s="5" t="inlineStr">
        <is>
          <t>SA</t>
        </is>
      </c>
      <c r="L4" s="5" t="inlineStr">
        <is>
          <t>WA</t>
        </is>
      </c>
      <c r="M4" s="5" t="inlineStr">
        <is>
          <t>Wage index</t>
        </is>
      </c>
    </row>
    <row r="5">
      <c r="A5" s="9" t="n">
        <v>45658</v>
      </c>
      <c r="B5">
        <f>DAY(EOMONTH(A5,0))</f>
        <v/>
      </c>
      <c r="C5">
        <f>COUNTIFS(Holidays!$A$2:$A$1000,"&gt;="&amp;$A5,Holidays!$A$2:$A$1000,"&lt;="&amp;EOMONTH($A5,0),Holidays!$C$2:$C$1000,"NSW")</f>
        <v/>
      </c>
      <c r="D5">
        <f>COUNTIFS(Holidays!$A$2:$A$1000,"&gt;="&amp;$A5,Holidays!$A$2:$A$1000,"&lt;="&amp;EOMONTH($A5,0),Holidays!$C$2:$C$1000,"VIC")</f>
        <v/>
      </c>
      <c r="E5">
        <f>COUNTIFS(Holidays!$A$2:$A$1000,"&gt;="&amp;$A5,Holidays!$A$2:$A$1000,"&lt;="&amp;EOMONTH($A5,0),Holidays!$C$2:$C$1000,"QLD")</f>
        <v/>
      </c>
      <c r="F5">
        <f>COUNTIFS(Holidays!$A$2:$A$1000,"&gt;="&amp;$A5,Holidays!$A$2:$A$1000,"&lt;="&amp;EOMONTH($A5,0),Holidays!$C$2:$C$1000,"SA")</f>
        <v/>
      </c>
      <c r="G5">
        <f>COUNTIFS(Holidays!$A$2:$A$1000,"&gt;="&amp;$A5,Holidays!$A$2:$A$1000,"&lt;="&amp;EOMONTH($A5,0),Holidays!$C$2:$C$1000,"WA")</f>
        <v/>
      </c>
      <c r="H5" s="13">
        <f>($B5-C5+C5*PH_Roster*(1+PH_Loading))/($B5-C5+C5*PH_Roster)</f>
        <v/>
      </c>
      <c r="I5" s="13">
        <f>($B5-D5+D5*PH_Roster*(1+PH_Loading))/($B5-D5+D5*PH_Roster)</f>
        <v/>
      </c>
      <c r="J5" s="13">
        <f>($B5-E5+E5*PH_Roster*(1+PH_Loading))/($B5-E5+E5*PH_Roster)</f>
        <v/>
      </c>
      <c r="K5" s="13">
        <f>($B5-F5+F5*PH_Roster*(1+PH_Loading))/($B5-F5+F5*PH_Roster)</f>
        <v/>
      </c>
      <c r="L5" s="13">
        <f>($B5-G5+G5*PH_Roster*(1+PH_Loading))/($B5-G5+G5*PH_Roster)</f>
        <v/>
      </c>
      <c r="M5" s="13">
        <f>EXP(SUMPRODUCT((WageDates&lt;=$A5)*(WageDates&lt;&gt;"")*LN(1+WageRates)))</f>
        <v/>
      </c>
    </row>
    <row r="6">
      <c r="A6" s="9" t="n">
        <v>45689</v>
      </c>
      <c r="B6">
        <f>DAY(EOMONTH(A6,0))</f>
        <v/>
      </c>
      <c r="C6">
        <f>COUNTIFS(Holidays!$A$2:$A$1000,"&gt;="&amp;$A6,Holidays!$A$2:$A$1000,"&lt;="&amp;EOMONTH($A6,0),Holidays!$C$2:$C$1000,"NSW")</f>
        <v/>
      </c>
      <c r="D6">
        <f>COUNTIFS(Holidays!$A$2:$A$1000,"&gt;="&amp;$A6,Holidays!$A$2:$A$1000,"&lt;="&amp;EOMONTH($A6,0),Holidays!$C$2:$C$1000,"VIC")</f>
        <v/>
      </c>
      <c r="E6">
        <f>COUNTIFS(Holidays!$A$2:$A$1000,"&gt;="&amp;$A6,Holidays!$A$2:$A$1000,"&lt;="&amp;EOMONTH($A6,0),Holidays!$C$2:$C$1000,"QLD")</f>
        <v/>
      </c>
      <c r="F6">
        <f>COUNTIFS(Holidays!$A$2:$A$1000,"&gt;="&amp;$A6,Holidays!$A$2:$A$1000,"&lt;="&amp;EOMONTH($A6,0),Holidays!$C$2:$C$1000,"SA")</f>
        <v/>
      </c>
      <c r="G6">
        <f>COUNTIFS(Holidays!$A$2:$A$1000,"&gt;="&amp;$A6,Holidays!$A$2:$A$1000,"&lt;="&amp;EOMONTH($A6,0),Holidays!$C$2:$C$1000,"WA")</f>
        <v/>
      </c>
      <c r="H6" s="13">
        <f>($B6-C6+C6*PH_Roster*(1+PH_Loading))/($B6-C6+C6*PH_Roster)</f>
        <v/>
      </c>
      <c r="I6" s="13">
        <f>($B6-D6+D6*PH_Roster*(1+PH_Loading))/($B6-D6+D6*PH_Roster)</f>
        <v/>
      </c>
      <c r="J6" s="13">
        <f>($B6-E6+E6*PH_Roster*(1+PH_Loading))/($B6-E6+E6*PH_Roster)</f>
        <v/>
      </c>
      <c r="K6" s="13">
        <f>($B6-F6+F6*PH_Roster*(1+PH_Loading))/($B6-F6+F6*PH_Roster)</f>
        <v/>
      </c>
      <c r="L6" s="13">
        <f>($B6-G6+G6*PH_Roster*(1+PH_Loading))/($B6-G6+G6*PH_Roster)</f>
        <v/>
      </c>
      <c r="M6" s="13">
        <f>EXP(SUMPRODUCT((WageDates&lt;=$A6)*(WageDates&lt;&gt;"")*LN(1+WageRates)))</f>
        <v/>
      </c>
    </row>
    <row r="7">
      <c r="A7" s="9" t="n">
        <v>45717</v>
      </c>
      <c r="B7">
        <f>DAY(EOMONTH(A7,0))</f>
        <v/>
      </c>
      <c r="C7">
        <f>COUNTIFS(Holidays!$A$2:$A$1000,"&gt;="&amp;$A7,Holidays!$A$2:$A$1000,"&lt;="&amp;EOMONTH($A7,0),Holidays!$C$2:$C$1000,"NSW")</f>
        <v/>
      </c>
      <c r="D7">
        <f>COUNTIFS(Holidays!$A$2:$A$1000,"&gt;="&amp;$A7,Holidays!$A$2:$A$1000,"&lt;="&amp;EOMONTH($A7,0),Holidays!$C$2:$C$1000,"VIC")</f>
        <v/>
      </c>
      <c r="E7">
        <f>COUNTIFS(Holidays!$A$2:$A$1000,"&gt;="&amp;$A7,Holidays!$A$2:$A$1000,"&lt;="&amp;EOMONTH($A7,0),Holidays!$C$2:$C$1000,"QLD")</f>
        <v/>
      </c>
      <c r="F7">
        <f>COUNTIFS(Holidays!$A$2:$A$1000,"&gt;="&amp;$A7,Holidays!$A$2:$A$1000,"&lt;="&amp;EOMONTH($A7,0),Holidays!$C$2:$C$1000,"SA")</f>
        <v/>
      </c>
      <c r="G7">
        <f>COUNTIFS(Holidays!$A$2:$A$1000,"&gt;="&amp;$A7,Holidays!$A$2:$A$1000,"&lt;="&amp;EOMONTH($A7,0),Holidays!$C$2:$C$1000,"WA")</f>
        <v/>
      </c>
      <c r="H7" s="13">
        <f>($B7-C7+C7*PH_Roster*(1+PH_Loading))/($B7-C7+C7*PH_Roster)</f>
        <v/>
      </c>
      <c r="I7" s="13">
        <f>($B7-D7+D7*PH_Roster*(1+PH_Loading))/($B7-D7+D7*PH_Roster)</f>
        <v/>
      </c>
      <c r="J7" s="13">
        <f>($B7-E7+E7*PH_Roster*(1+PH_Loading))/($B7-E7+E7*PH_Roster)</f>
        <v/>
      </c>
      <c r="K7" s="13">
        <f>($B7-F7+F7*PH_Roster*(1+PH_Loading))/($B7-F7+F7*PH_Roster)</f>
        <v/>
      </c>
      <c r="L7" s="13">
        <f>($B7-G7+G7*PH_Roster*(1+PH_Loading))/($B7-G7+G7*PH_Roster)</f>
        <v/>
      </c>
      <c r="M7" s="13">
        <f>EXP(SUMPRODUCT((WageDates&lt;=$A7)*(WageDates&lt;&gt;"")*LN(1+WageRates)))</f>
        <v/>
      </c>
    </row>
    <row r="8">
      <c r="A8" s="9" t="n">
        <v>45748</v>
      </c>
      <c r="B8">
        <f>DAY(EOMONTH(A8,0))</f>
        <v/>
      </c>
      <c r="C8">
        <f>COUNTIFS(Holidays!$A$2:$A$1000,"&gt;="&amp;$A8,Holidays!$A$2:$A$1000,"&lt;="&amp;EOMONTH($A8,0),Holidays!$C$2:$C$1000,"NSW")</f>
        <v/>
      </c>
      <c r="D8">
        <f>COUNTIFS(Holidays!$A$2:$A$1000,"&gt;="&amp;$A8,Holidays!$A$2:$A$1000,"&lt;="&amp;EOMONTH($A8,0),Holidays!$C$2:$C$1000,"VIC")</f>
        <v/>
      </c>
      <c r="E8">
        <f>COUNTIFS(Holidays!$A$2:$A$1000,"&gt;="&amp;$A8,Holidays!$A$2:$A$1000,"&lt;="&amp;EOMONTH($A8,0),Holidays!$C$2:$C$1000,"QLD")</f>
        <v/>
      </c>
      <c r="F8">
        <f>COUNTIFS(Holidays!$A$2:$A$1000,"&gt;="&amp;$A8,Holidays!$A$2:$A$1000,"&lt;="&amp;EOMONTH($A8,0),Holidays!$C$2:$C$1000,"SA")</f>
        <v/>
      </c>
      <c r="G8">
        <f>COUNTIFS(Holidays!$A$2:$A$1000,"&gt;="&amp;$A8,Holidays!$A$2:$A$1000,"&lt;="&amp;EOMONTH($A8,0),Holidays!$C$2:$C$1000,"WA")</f>
        <v/>
      </c>
      <c r="H8" s="13">
        <f>($B8-C8+C8*PH_Roster*(1+PH_Loading))/($B8-C8+C8*PH_Roster)</f>
        <v/>
      </c>
      <c r="I8" s="13">
        <f>($B8-D8+D8*PH_Roster*(1+PH_Loading))/($B8-D8+D8*PH_Roster)</f>
        <v/>
      </c>
      <c r="J8" s="13">
        <f>($B8-E8+E8*PH_Roster*(1+PH_Loading))/($B8-E8+E8*PH_Roster)</f>
        <v/>
      </c>
      <c r="K8" s="13">
        <f>($B8-F8+F8*PH_Roster*(1+PH_Loading))/($B8-F8+F8*PH_Roster)</f>
        <v/>
      </c>
      <c r="L8" s="13">
        <f>($B8-G8+G8*PH_Roster*(1+PH_Loading))/($B8-G8+G8*PH_Roster)</f>
        <v/>
      </c>
      <c r="M8" s="13">
        <f>EXP(SUMPRODUCT((WageDates&lt;=$A8)*(WageDates&lt;&gt;"")*LN(1+WageRates)))</f>
        <v/>
      </c>
    </row>
    <row r="9">
      <c r="A9" s="9" t="n">
        <v>45778</v>
      </c>
      <c r="B9">
        <f>DAY(EOMONTH(A9,0))</f>
        <v/>
      </c>
      <c r="C9">
        <f>COUNTIFS(Holidays!$A$2:$A$1000,"&gt;="&amp;$A9,Holidays!$A$2:$A$1000,"&lt;="&amp;EOMONTH($A9,0),Holidays!$C$2:$C$1000,"NSW")</f>
        <v/>
      </c>
      <c r="D9">
        <f>COUNTIFS(Holidays!$A$2:$A$1000,"&gt;="&amp;$A9,Holidays!$A$2:$A$1000,"&lt;="&amp;EOMONTH($A9,0),Holidays!$C$2:$C$1000,"VIC")</f>
        <v/>
      </c>
      <c r="E9">
        <f>COUNTIFS(Holidays!$A$2:$A$1000,"&gt;="&amp;$A9,Holidays!$A$2:$A$1000,"&lt;="&amp;EOMONTH($A9,0),Holidays!$C$2:$C$1000,"QLD")</f>
        <v/>
      </c>
      <c r="F9">
        <f>COUNTIFS(Holidays!$A$2:$A$1000,"&gt;="&amp;$A9,Holidays!$A$2:$A$1000,"&lt;="&amp;EOMONTH($A9,0),Holidays!$C$2:$C$1000,"SA")</f>
        <v/>
      </c>
      <c r="G9">
        <f>COUNTIFS(Holidays!$A$2:$A$1000,"&gt;="&amp;$A9,Holidays!$A$2:$A$1000,"&lt;="&amp;EOMONTH($A9,0),Holidays!$C$2:$C$1000,"WA")</f>
        <v/>
      </c>
      <c r="H9" s="13">
        <f>($B9-C9+C9*PH_Roster*(1+PH_Loading))/($B9-C9+C9*PH_Roster)</f>
        <v/>
      </c>
      <c r="I9" s="13">
        <f>($B9-D9+D9*PH_Roster*(1+PH_Loading))/($B9-D9+D9*PH_Roster)</f>
        <v/>
      </c>
      <c r="J9" s="13">
        <f>($B9-E9+E9*PH_Roster*(1+PH_Loading))/($B9-E9+E9*PH_Roster)</f>
        <v/>
      </c>
      <c r="K9" s="13">
        <f>($B9-F9+F9*PH_Roster*(1+PH_Loading))/($B9-F9+F9*PH_Roster)</f>
        <v/>
      </c>
      <c r="L9" s="13">
        <f>($B9-G9+G9*PH_Roster*(1+PH_Loading))/($B9-G9+G9*PH_Roster)</f>
        <v/>
      </c>
      <c r="M9" s="13">
        <f>EXP(SUMPRODUCT((WageDates&lt;=$A9)*(WageDates&lt;&gt;"")*LN(1+WageRates)))</f>
        <v/>
      </c>
    </row>
    <row r="10">
      <c r="A10" s="9" t="n">
        <v>45809</v>
      </c>
      <c r="B10">
        <f>DAY(EOMONTH(A10,0))</f>
        <v/>
      </c>
      <c r="C10">
        <f>COUNTIFS(Holidays!$A$2:$A$1000,"&gt;="&amp;$A10,Holidays!$A$2:$A$1000,"&lt;="&amp;EOMONTH($A10,0),Holidays!$C$2:$C$1000,"NSW")</f>
        <v/>
      </c>
      <c r="D10">
        <f>COUNTIFS(Holidays!$A$2:$A$1000,"&gt;="&amp;$A10,Holidays!$A$2:$A$1000,"&lt;="&amp;EOMONTH($A10,0),Holidays!$C$2:$C$1000,"VIC")</f>
        <v/>
      </c>
      <c r="E10">
        <f>COUNTIFS(Holidays!$A$2:$A$1000,"&gt;="&amp;$A10,Holidays!$A$2:$A$1000,"&lt;="&amp;EOMONTH($A10,0),Holidays!$C$2:$C$1000,"QLD")</f>
        <v/>
      </c>
      <c r="F10">
        <f>COUNTIFS(Holidays!$A$2:$A$1000,"&gt;="&amp;$A10,Holidays!$A$2:$A$1000,"&lt;="&amp;EOMONTH($A10,0),Holidays!$C$2:$C$1000,"SA")</f>
        <v/>
      </c>
      <c r="G10">
        <f>COUNTIFS(Holidays!$A$2:$A$1000,"&gt;="&amp;$A10,Holidays!$A$2:$A$1000,"&lt;="&amp;EOMONTH($A10,0),Holidays!$C$2:$C$1000,"WA")</f>
        <v/>
      </c>
      <c r="H10" s="13">
        <f>($B10-C10+C10*PH_Roster*(1+PH_Loading))/($B10-C10+C10*PH_Roster)</f>
        <v/>
      </c>
      <c r="I10" s="13">
        <f>($B10-D10+D10*PH_Roster*(1+PH_Loading))/($B10-D10+D10*PH_Roster)</f>
        <v/>
      </c>
      <c r="J10" s="13">
        <f>($B10-E10+E10*PH_Roster*(1+PH_Loading))/($B10-E10+E10*PH_Roster)</f>
        <v/>
      </c>
      <c r="K10" s="13">
        <f>($B10-F10+F10*PH_Roster*(1+PH_Loading))/($B10-F10+F10*PH_Roster)</f>
        <v/>
      </c>
      <c r="L10" s="13">
        <f>($B10-G10+G10*PH_Roster*(1+PH_Loading))/($B10-G10+G10*PH_Roster)</f>
        <v/>
      </c>
      <c r="M10" s="13">
        <f>EXP(SUMPRODUCT((WageDates&lt;=$A10)*(WageDates&lt;&gt;"")*LN(1+WageRates)))</f>
        <v/>
      </c>
    </row>
    <row r="11">
      <c r="A11" s="9" t="n">
        <v>45839</v>
      </c>
      <c r="B11">
        <f>DAY(EOMONTH(A11,0))</f>
        <v/>
      </c>
      <c r="C11">
        <f>COUNTIFS(Holidays!$A$2:$A$1000,"&gt;="&amp;$A11,Holidays!$A$2:$A$1000,"&lt;="&amp;EOMONTH($A11,0),Holidays!$C$2:$C$1000,"NSW")</f>
        <v/>
      </c>
      <c r="D11">
        <f>COUNTIFS(Holidays!$A$2:$A$1000,"&gt;="&amp;$A11,Holidays!$A$2:$A$1000,"&lt;="&amp;EOMONTH($A11,0),Holidays!$C$2:$C$1000,"VIC")</f>
        <v/>
      </c>
      <c r="E11">
        <f>COUNTIFS(Holidays!$A$2:$A$1000,"&gt;="&amp;$A11,Holidays!$A$2:$A$1000,"&lt;="&amp;EOMONTH($A11,0),Holidays!$C$2:$C$1000,"QLD")</f>
        <v/>
      </c>
      <c r="F11">
        <f>COUNTIFS(Holidays!$A$2:$A$1000,"&gt;="&amp;$A11,Holidays!$A$2:$A$1000,"&lt;="&amp;EOMONTH($A11,0),Holidays!$C$2:$C$1000,"SA")</f>
        <v/>
      </c>
      <c r="G11">
        <f>COUNTIFS(Holidays!$A$2:$A$1000,"&gt;="&amp;$A11,Holidays!$A$2:$A$1000,"&lt;="&amp;EOMONTH($A11,0),Holidays!$C$2:$C$1000,"WA")</f>
        <v/>
      </c>
      <c r="H11" s="13">
        <f>($B11-C11+C11*PH_Roster*(1+PH_Loading))/($B11-C11+C11*PH_Roster)</f>
        <v/>
      </c>
      <c r="I11" s="13">
        <f>($B11-D11+D11*PH_Roster*(1+PH_Loading))/($B11-D11+D11*PH_Roster)</f>
        <v/>
      </c>
      <c r="J11" s="13">
        <f>($B11-E11+E11*PH_Roster*(1+PH_Loading))/($B11-E11+E11*PH_Roster)</f>
        <v/>
      </c>
      <c r="K11" s="13">
        <f>($B11-F11+F11*PH_Roster*(1+PH_Loading))/($B11-F11+F11*PH_Roster)</f>
        <v/>
      </c>
      <c r="L11" s="13">
        <f>($B11-G11+G11*PH_Roster*(1+PH_Loading))/($B11-G11+G11*PH_Roster)</f>
        <v/>
      </c>
      <c r="M11" s="13">
        <f>EXP(SUMPRODUCT((WageDates&lt;=$A11)*(WageDates&lt;&gt;"")*LN(1+WageRates)))</f>
        <v/>
      </c>
    </row>
    <row r="12">
      <c r="A12" s="9" t="n">
        <v>45870</v>
      </c>
      <c r="B12">
        <f>DAY(EOMONTH(A12,0))</f>
        <v/>
      </c>
      <c r="C12">
        <f>COUNTIFS(Holidays!$A$2:$A$1000,"&gt;="&amp;$A12,Holidays!$A$2:$A$1000,"&lt;="&amp;EOMONTH($A12,0),Holidays!$C$2:$C$1000,"NSW")</f>
        <v/>
      </c>
      <c r="D12">
        <f>COUNTIFS(Holidays!$A$2:$A$1000,"&gt;="&amp;$A12,Holidays!$A$2:$A$1000,"&lt;="&amp;EOMONTH($A12,0),Holidays!$C$2:$C$1000,"VIC")</f>
        <v/>
      </c>
      <c r="E12">
        <f>COUNTIFS(Holidays!$A$2:$A$1000,"&gt;="&amp;$A12,Holidays!$A$2:$A$1000,"&lt;="&amp;EOMONTH($A12,0),Holidays!$C$2:$C$1000,"QLD")</f>
        <v/>
      </c>
      <c r="F12">
        <f>COUNTIFS(Holidays!$A$2:$A$1000,"&gt;="&amp;$A12,Holidays!$A$2:$A$1000,"&lt;="&amp;EOMONTH($A12,0),Holidays!$C$2:$C$1000,"SA")</f>
        <v/>
      </c>
      <c r="G12">
        <f>COUNTIFS(Holidays!$A$2:$A$1000,"&gt;="&amp;$A12,Holidays!$A$2:$A$1000,"&lt;="&amp;EOMONTH($A12,0),Holidays!$C$2:$C$1000,"WA")</f>
        <v/>
      </c>
      <c r="H12" s="13">
        <f>($B12-C12+C12*PH_Roster*(1+PH_Loading))/($B12-C12+C12*PH_Roster)</f>
        <v/>
      </c>
      <c r="I12" s="13">
        <f>($B12-D12+D12*PH_Roster*(1+PH_Loading))/($B12-D12+D12*PH_Roster)</f>
        <v/>
      </c>
      <c r="J12" s="13">
        <f>($B12-E12+E12*PH_Roster*(1+PH_Loading))/($B12-E12+E12*PH_Roster)</f>
        <v/>
      </c>
      <c r="K12" s="13">
        <f>($B12-F12+F12*PH_Roster*(1+PH_Loading))/($B12-F12+F12*PH_Roster)</f>
        <v/>
      </c>
      <c r="L12" s="13">
        <f>($B12-G12+G12*PH_Roster*(1+PH_Loading))/($B12-G12+G12*PH_Roster)</f>
        <v/>
      </c>
      <c r="M12" s="13">
        <f>EXP(SUMPRODUCT((WageDates&lt;=$A12)*(WageDates&lt;&gt;"")*LN(1+WageRates)))</f>
        <v/>
      </c>
    </row>
    <row r="13">
      <c r="A13" s="9" t="n">
        <v>45901</v>
      </c>
      <c r="B13">
        <f>DAY(EOMONTH(A13,0))</f>
        <v/>
      </c>
      <c r="C13">
        <f>COUNTIFS(Holidays!$A$2:$A$1000,"&gt;="&amp;$A13,Holidays!$A$2:$A$1000,"&lt;="&amp;EOMONTH($A13,0),Holidays!$C$2:$C$1000,"NSW")</f>
        <v/>
      </c>
      <c r="D13">
        <f>COUNTIFS(Holidays!$A$2:$A$1000,"&gt;="&amp;$A13,Holidays!$A$2:$A$1000,"&lt;="&amp;EOMONTH($A13,0),Holidays!$C$2:$C$1000,"VIC")</f>
        <v/>
      </c>
      <c r="E13">
        <f>COUNTIFS(Holidays!$A$2:$A$1000,"&gt;="&amp;$A13,Holidays!$A$2:$A$1000,"&lt;="&amp;EOMONTH($A13,0),Holidays!$C$2:$C$1000,"QLD")</f>
        <v/>
      </c>
      <c r="F13">
        <f>COUNTIFS(Holidays!$A$2:$A$1000,"&gt;="&amp;$A13,Holidays!$A$2:$A$1000,"&lt;="&amp;EOMONTH($A13,0),Holidays!$C$2:$C$1000,"SA")</f>
        <v/>
      </c>
      <c r="G13">
        <f>COUNTIFS(Holidays!$A$2:$A$1000,"&gt;="&amp;$A13,Holidays!$A$2:$A$1000,"&lt;="&amp;EOMONTH($A13,0),Holidays!$C$2:$C$1000,"WA")</f>
        <v/>
      </c>
      <c r="H13" s="13">
        <f>($B13-C13+C13*PH_Roster*(1+PH_Loading))/($B13-C13+C13*PH_Roster)</f>
        <v/>
      </c>
      <c r="I13" s="13">
        <f>($B13-D13+D13*PH_Roster*(1+PH_Loading))/($B13-D13+D13*PH_Roster)</f>
        <v/>
      </c>
      <c r="J13" s="13">
        <f>($B13-E13+E13*PH_Roster*(1+PH_Loading))/($B13-E13+E13*PH_Roster)</f>
        <v/>
      </c>
      <c r="K13" s="13">
        <f>($B13-F13+F13*PH_Roster*(1+PH_Loading))/($B13-F13+F13*PH_Roster)</f>
        <v/>
      </c>
      <c r="L13" s="13">
        <f>($B13-G13+G13*PH_Roster*(1+PH_Loading))/($B13-G13+G13*PH_Roster)</f>
        <v/>
      </c>
      <c r="M13" s="13">
        <f>EXP(SUMPRODUCT((WageDates&lt;=$A13)*(WageDates&lt;&gt;"")*LN(1+WageRates)))</f>
        <v/>
      </c>
    </row>
    <row r="14">
      <c r="A14" s="9" t="n">
        <v>45931</v>
      </c>
      <c r="B14">
        <f>DAY(EOMONTH(A14,0))</f>
        <v/>
      </c>
      <c r="C14">
        <f>COUNTIFS(Holidays!$A$2:$A$1000,"&gt;="&amp;$A14,Holidays!$A$2:$A$1000,"&lt;="&amp;EOMONTH($A14,0),Holidays!$C$2:$C$1000,"NSW")</f>
        <v/>
      </c>
      <c r="D14">
        <f>COUNTIFS(Holidays!$A$2:$A$1000,"&gt;="&amp;$A14,Holidays!$A$2:$A$1000,"&lt;="&amp;EOMONTH($A14,0),Holidays!$C$2:$C$1000,"VIC")</f>
        <v/>
      </c>
      <c r="E14">
        <f>COUNTIFS(Holidays!$A$2:$A$1000,"&gt;="&amp;$A14,Holidays!$A$2:$A$1000,"&lt;="&amp;EOMONTH($A14,0),Holidays!$C$2:$C$1000,"QLD")</f>
        <v/>
      </c>
      <c r="F14">
        <f>COUNTIFS(Holidays!$A$2:$A$1000,"&gt;="&amp;$A14,Holidays!$A$2:$A$1000,"&lt;="&amp;EOMONTH($A14,0),Holidays!$C$2:$C$1000,"SA")</f>
        <v/>
      </c>
      <c r="G14">
        <f>COUNTIFS(Holidays!$A$2:$A$1000,"&gt;="&amp;$A14,Holidays!$A$2:$A$1000,"&lt;="&amp;EOMONTH($A14,0),Holidays!$C$2:$C$1000,"WA")</f>
        <v/>
      </c>
      <c r="H14" s="13">
        <f>($B14-C14+C14*PH_Roster*(1+PH_Loading))/($B14-C14+C14*PH_Roster)</f>
        <v/>
      </c>
      <c r="I14" s="13">
        <f>($B14-D14+D14*PH_Roster*(1+PH_Loading))/($B14-D14+D14*PH_Roster)</f>
        <v/>
      </c>
      <c r="J14" s="13">
        <f>($B14-E14+E14*PH_Roster*(1+PH_Loading))/($B14-E14+E14*PH_Roster)</f>
        <v/>
      </c>
      <c r="K14" s="13">
        <f>($B14-F14+F14*PH_Roster*(1+PH_Loading))/($B14-F14+F14*PH_Roster)</f>
        <v/>
      </c>
      <c r="L14" s="13">
        <f>($B14-G14+G14*PH_Roster*(1+PH_Loading))/($B14-G14+G14*PH_Roster)</f>
        <v/>
      </c>
      <c r="M14" s="13">
        <f>EXP(SUMPRODUCT((WageDates&lt;=$A14)*(WageDates&lt;&gt;"")*LN(1+WageRates)))</f>
        <v/>
      </c>
    </row>
    <row r="15">
      <c r="A15" s="9" t="n">
        <v>45962</v>
      </c>
      <c r="B15">
        <f>DAY(EOMONTH(A15,0))</f>
        <v/>
      </c>
      <c r="C15">
        <f>COUNTIFS(Holidays!$A$2:$A$1000,"&gt;="&amp;$A15,Holidays!$A$2:$A$1000,"&lt;="&amp;EOMONTH($A15,0),Holidays!$C$2:$C$1000,"NSW")</f>
        <v/>
      </c>
      <c r="D15">
        <f>COUNTIFS(Holidays!$A$2:$A$1000,"&gt;="&amp;$A15,Holidays!$A$2:$A$1000,"&lt;="&amp;EOMONTH($A15,0),Holidays!$C$2:$C$1000,"VIC")</f>
        <v/>
      </c>
      <c r="E15">
        <f>COUNTIFS(Holidays!$A$2:$A$1000,"&gt;="&amp;$A15,Holidays!$A$2:$A$1000,"&lt;="&amp;EOMONTH($A15,0),Holidays!$C$2:$C$1000,"QLD")</f>
        <v/>
      </c>
      <c r="F15">
        <f>COUNTIFS(Holidays!$A$2:$A$1000,"&gt;="&amp;$A15,Holidays!$A$2:$A$1000,"&lt;="&amp;EOMONTH($A15,0),Holidays!$C$2:$C$1000,"SA")</f>
        <v/>
      </c>
      <c r="G15">
        <f>COUNTIFS(Holidays!$A$2:$A$1000,"&gt;="&amp;$A15,Holidays!$A$2:$A$1000,"&lt;="&amp;EOMONTH($A15,0),Holidays!$C$2:$C$1000,"WA")</f>
        <v/>
      </c>
      <c r="H15" s="13">
        <f>($B15-C15+C15*PH_Roster*(1+PH_Loading))/($B15-C15+C15*PH_Roster)</f>
        <v/>
      </c>
      <c r="I15" s="13">
        <f>($B15-D15+D15*PH_Roster*(1+PH_Loading))/($B15-D15+D15*PH_Roster)</f>
        <v/>
      </c>
      <c r="J15" s="13">
        <f>($B15-E15+E15*PH_Roster*(1+PH_Loading))/($B15-E15+E15*PH_Roster)</f>
        <v/>
      </c>
      <c r="K15" s="13">
        <f>($B15-F15+F15*PH_Roster*(1+PH_Loading))/($B15-F15+F15*PH_Roster)</f>
        <v/>
      </c>
      <c r="L15" s="13">
        <f>($B15-G15+G15*PH_Roster*(1+PH_Loading))/($B15-G15+G15*PH_Roster)</f>
        <v/>
      </c>
      <c r="M15" s="13">
        <f>EXP(SUMPRODUCT((WageDates&lt;=$A15)*(WageDates&lt;&gt;"")*LN(1+WageRates)))</f>
        <v/>
      </c>
    </row>
    <row r="16">
      <c r="A16" s="9" t="n">
        <v>45992</v>
      </c>
      <c r="B16">
        <f>DAY(EOMONTH(A16,0))</f>
        <v/>
      </c>
      <c r="C16">
        <f>COUNTIFS(Holidays!$A$2:$A$1000,"&gt;="&amp;$A16,Holidays!$A$2:$A$1000,"&lt;="&amp;EOMONTH($A16,0),Holidays!$C$2:$C$1000,"NSW")</f>
        <v/>
      </c>
      <c r="D16">
        <f>COUNTIFS(Holidays!$A$2:$A$1000,"&gt;="&amp;$A16,Holidays!$A$2:$A$1000,"&lt;="&amp;EOMONTH($A16,0),Holidays!$C$2:$C$1000,"VIC")</f>
        <v/>
      </c>
      <c r="E16">
        <f>COUNTIFS(Holidays!$A$2:$A$1000,"&gt;="&amp;$A16,Holidays!$A$2:$A$1000,"&lt;="&amp;EOMONTH($A16,0),Holidays!$C$2:$C$1000,"QLD")</f>
        <v/>
      </c>
      <c r="F16">
        <f>COUNTIFS(Holidays!$A$2:$A$1000,"&gt;="&amp;$A16,Holidays!$A$2:$A$1000,"&lt;="&amp;EOMONTH($A16,0),Holidays!$C$2:$C$1000,"SA")</f>
        <v/>
      </c>
      <c r="G16">
        <f>COUNTIFS(Holidays!$A$2:$A$1000,"&gt;="&amp;$A16,Holidays!$A$2:$A$1000,"&lt;="&amp;EOMONTH($A16,0),Holidays!$C$2:$C$1000,"WA")</f>
        <v/>
      </c>
      <c r="H16" s="13">
        <f>($B16-C16+C16*PH_Roster*(1+PH_Loading))/($B16-C16+C16*PH_Roster)</f>
        <v/>
      </c>
      <c r="I16" s="13">
        <f>($B16-D16+D16*PH_Roster*(1+PH_Loading))/($B16-D16+D16*PH_Roster)</f>
        <v/>
      </c>
      <c r="J16" s="13">
        <f>($B16-E16+E16*PH_Roster*(1+PH_Loading))/($B16-E16+E16*PH_Roster)</f>
        <v/>
      </c>
      <c r="K16" s="13">
        <f>($B16-F16+F16*PH_Roster*(1+PH_Loading))/($B16-F16+F16*PH_Roster)</f>
        <v/>
      </c>
      <c r="L16" s="13">
        <f>($B16-G16+G16*PH_Roster*(1+PH_Loading))/($B16-G16+G16*PH_Roster)</f>
        <v/>
      </c>
      <c r="M16" s="13">
        <f>EXP(SUMPRODUCT((WageDates&lt;=$A16)*(WageDates&lt;&gt;"")*LN(1+WageRates)))</f>
        <v/>
      </c>
    </row>
    <row r="17">
      <c r="A17" s="9" t="n">
        <v>46023</v>
      </c>
      <c r="B17">
        <f>DAY(EOMONTH(A17,0))</f>
        <v/>
      </c>
      <c r="C17">
        <f>COUNTIFS(Holidays!$A$2:$A$1000,"&gt;="&amp;$A17,Holidays!$A$2:$A$1000,"&lt;="&amp;EOMONTH($A17,0),Holidays!$C$2:$C$1000,"NSW")</f>
        <v/>
      </c>
      <c r="D17">
        <f>COUNTIFS(Holidays!$A$2:$A$1000,"&gt;="&amp;$A17,Holidays!$A$2:$A$1000,"&lt;="&amp;EOMONTH($A17,0),Holidays!$C$2:$C$1000,"VIC")</f>
        <v/>
      </c>
      <c r="E17">
        <f>COUNTIFS(Holidays!$A$2:$A$1000,"&gt;="&amp;$A17,Holidays!$A$2:$A$1000,"&lt;="&amp;EOMONTH($A17,0),Holidays!$C$2:$C$1000,"QLD")</f>
        <v/>
      </c>
      <c r="F17">
        <f>COUNTIFS(Holidays!$A$2:$A$1000,"&gt;="&amp;$A17,Holidays!$A$2:$A$1000,"&lt;="&amp;EOMONTH($A17,0),Holidays!$C$2:$C$1000,"SA")</f>
        <v/>
      </c>
      <c r="G17">
        <f>COUNTIFS(Holidays!$A$2:$A$1000,"&gt;="&amp;$A17,Holidays!$A$2:$A$1000,"&lt;="&amp;EOMONTH($A17,0),Holidays!$C$2:$C$1000,"WA")</f>
        <v/>
      </c>
      <c r="H17" s="13">
        <f>($B17-C17+C17*PH_Roster*(1+PH_Loading))/($B17-C17+C17*PH_Roster)</f>
        <v/>
      </c>
      <c r="I17" s="13">
        <f>($B17-D17+D17*PH_Roster*(1+PH_Loading))/($B17-D17+D17*PH_Roster)</f>
        <v/>
      </c>
      <c r="J17" s="13">
        <f>($B17-E17+E17*PH_Roster*(1+PH_Loading))/($B17-E17+E17*PH_Roster)</f>
        <v/>
      </c>
      <c r="K17" s="13">
        <f>($B17-F17+F17*PH_Roster*(1+PH_Loading))/($B17-F17+F17*PH_Roster)</f>
        <v/>
      </c>
      <c r="L17" s="13">
        <f>($B17-G17+G17*PH_Roster*(1+PH_Loading))/($B17-G17+G17*PH_Roster)</f>
        <v/>
      </c>
      <c r="M17" s="13">
        <f>EXP(SUMPRODUCT((WageDates&lt;=$A17)*(WageDates&lt;&gt;"")*LN(1+WageRates)))</f>
        <v/>
      </c>
    </row>
    <row r="18">
      <c r="A18" s="9" t="n">
        <v>46054</v>
      </c>
      <c r="B18">
        <f>DAY(EOMONTH(A18,0))</f>
        <v/>
      </c>
      <c r="C18">
        <f>COUNTIFS(Holidays!$A$2:$A$1000,"&gt;="&amp;$A18,Holidays!$A$2:$A$1000,"&lt;="&amp;EOMONTH($A18,0),Holidays!$C$2:$C$1000,"NSW")</f>
        <v/>
      </c>
      <c r="D18">
        <f>COUNTIFS(Holidays!$A$2:$A$1000,"&gt;="&amp;$A18,Holidays!$A$2:$A$1000,"&lt;="&amp;EOMONTH($A18,0),Holidays!$C$2:$C$1000,"VIC")</f>
        <v/>
      </c>
      <c r="E18">
        <f>COUNTIFS(Holidays!$A$2:$A$1000,"&gt;="&amp;$A18,Holidays!$A$2:$A$1000,"&lt;="&amp;EOMONTH($A18,0),Holidays!$C$2:$C$1000,"QLD")</f>
        <v/>
      </c>
      <c r="F18">
        <f>COUNTIFS(Holidays!$A$2:$A$1000,"&gt;="&amp;$A18,Holidays!$A$2:$A$1000,"&lt;="&amp;EOMONTH($A18,0),Holidays!$C$2:$C$1000,"SA")</f>
        <v/>
      </c>
      <c r="G18">
        <f>COUNTIFS(Holidays!$A$2:$A$1000,"&gt;="&amp;$A18,Holidays!$A$2:$A$1000,"&lt;="&amp;EOMONTH($A18,0),Holidays!$C$2:$C$1000,"WA")</f>
        <v/>
      </c>
      <c r="H18" s="13">
        <f>($B18-C18+C18*PH_Roster*(1+PH_Loading))/($B18-C18+C18*PH_Roster)</f>
        <v/>
      </c>
      <c r="I18" s="13">
        <f>($B18-D18+D18*PH_Roster*(1+PH_Loading))/($B18-D18+D18*PH_Roster)</f>
        <v/>
      </c>
      <c r="J18" s="13">
        <f>($B18-E18+E18*PH_Roster*(1+PH_Loading))/($B18-E18+E18*PH_Roster)</f>
        <v/>
      </c>
      <c r="K18" s="13">
        <f>($B18-F18+F18*PH_Roster*(1+PH_Loading))/($B18-F18+F18*PH_Roster)</f>
        <v/>
      </c>
      <c r="L18" s="13">
        <f>($B18-G18+G18*PH_Roster*(1+PH_Loading))/($B18-G18+G18*PH_Roster)</f>
        <v/>
      </c>
      <c r="M18" s="13">
        <f>EXP(SUMPRODUCT((WageDates&lt;=$A18)*(WageDates&lt;&gt;"")*LN(1+WageRates)))</f>
        <v/>
      </c>
    </row>
    <row r="19">
      <c r="A19" s="9" t="n">
        <v>46082</v>
      </c>
      <c r="B19">
        <f>DAY(EOMONTH(A19,0))</f>
        <v/>
      </c>
      <c r="C19">
        <f>COUNTIFS(Holidays!$A$2:$A$1000,"&gt;="&amp;$A19,Holidays!$A$2:$A$1000,"&lt;="&amp;EOMONTH($A19,0),Holidays!$C$2:$C$1000,"NSW")</f>
        <v/>
      </c>
      <c r="D19">
        <f>COUNTIFS(Holidays!$A$2:$A$1000,"&gt;="&amp;$A19,Holidays!$A$2:$A$1000,"&lt;="&amp;EOMONTH($A19,0),Holidays!$C$2:$C$1000,"VIC")</f>
        <v/>
      </c>
      <c r="E19">
        <f>COUNTIFS(Holidays!$A$2:$A$1000,"&gt;="&amp;$A19,Holidays!$A$2:$A$1000,"&lt;="&amp;EOMONTH($A19,0),Holidays!$C$2:$C$1000,"QLD")</f>
        <v/>
      </c>
      <c r="F19">
        <f>COUNTIFS(Holidays!$A$2:$A$1000,"&gt;="&amp;$A19,Holidays!$A$2:$A$1000,"&lt;="&amp;EOMONTH($A19,0),Holidays!$C$2:$C$1000,"SA")</f>
        <v/>
      </c>
      <c r="G19">
        <f>COUNTIFS(Holidays!$A$2:$A$1000,"&gt;="&amp;$A19,Holidays!$A$2:$A$1000,"&lt;="&amp;EOMONTH($A19,0),Holidays!$C$2:$C$1000,"WA")</f>
        <v/>
      </c>
      <c r="H19" s="13">
        <f>($B19-C19+C19*PH_Roster*(1+PH_Loading))/($B19-C19+C19*PH_Roster)</f>
        <v/>
      </c>
      <c r="I19" s="13">
        <f>($B19-D19+D19*PH_Roster*(1+PH_Loading))/($B19-D19+D19*PH_Roster)</f>
        <v/>
      </c>
      <c r="J19" s="13">
        <f>($B19-E19+E19*PH_Roster*(1+PH_Loading))/($B19-E19+E19*PH_Roster)</f>
        <v/>
      </c>
      <c r="K19" s="13">
        <f>($B19-F19+F19*PH_Roster*(1+PH_Loading))/($B19-F19+F19*PH_Roster)</f>
        <v/>
      </c>
      <c r="L19" s="13">
        <f>($B19-G19+G19*PH_Roster*(1+PH_Loading))/($B19-G19+G19*PH_Roster)</f>
        <v/>
      </c>
      <c r="M19" s="13">
        <f>EXP(SUMPRODUCT((WageDates&lt;=$A19)*(WageDates&lt;&gt;"")*LN(1+WageRates)))</f>
        <v/>
      </c>
    </row>
    <row r="20">
      <c r="A20" s="9" t="n">
        <v>46113</v>
      </c>
      <c r="B20">
        <f>DAY(EOMONTH(A20,0))</f>
        <v/>
      </c>
      <c r="C20">
        <f>COUNTIFS(Holidays!$A$2:$A$1000,"&gt;="&amp;$A20,Holidays!$A$2:$A$1000,"&lt;="&amp;EOMONTH($A20,0),Holidays!$C$2:$C$1000,"NSW")</f>
        <v/>
      </c>
      <c r="D20">
        <f>COUNTIFS(Holidays!$A$2:$A$1000,"&gt;="&amp;$A20,Holidays!$A$2:$A$1000,"&lt;="&amp;EOMONTH($A20,0),Holidays!$C$2:$C$1000,"VIC")</f>
        <v/>
      </c>
      <c r="E20">
        <f>COUNTIFS(Holidays!$A$2:$A$1000,"&gt;="&amp;$A20,Holidays!$A$2:$A$1000,"&lt;="&amp;EOMONTH($A20,0),Holidays!$C$2:$C$1000,"QLD")</f>
        <v/>
      </c>
      <c r="F20">
        <f>COUNTIFS(Holidays!$A$2:$A$1000,"&gt;="&amp;$A20,Holidays!$A$2:$A$1000,"&lt;="&amp;EOMONTH($A20,0),Holidays!$C$2:$C$1000,"SA")</f>
        <v/>
      </c>
      <c r="G20">
        <f>COUNTIFS(Holidays!$A$2:$A$1000,"&gt;="&amp;$A20,Holidays!$A$2:$A$1000,"&lt;="&amp;EOMONTH($A20,0),Holidays!$C$2:$C$1000,"WA")</f>
        <v/>
      </c>
      <c r="H20" s="13">
        <f>($B20-C20+C20*PH_Roster*(1+PH_Loading))/($B20-C20+C20*PH_Roster)</f>
        <v/>
      </c>
      <c r="I20" s="13">
        <f>($B20-D20+D20*PH_Roster*(1+PH_Loading))/($B20-D20+D20*PH_Roster)</f>
        <v/>
      </c>
      <c r="J20" s="13">
        <f>($B20-E20+E20*PH_Roster*(1+PH_Loading))/($B20-E20+E20*PH_Roster)</f>
        <v/>
      </c>
      <c r="K20" s="13">
        <f>($B20-F20+F20*PH_Roster*(1+PH_Loading))/($B20-F20+F20*PH_Roster)</f>
        <v/>
      </c>
      <c r="L20" s="13">
        <f>($B20-G20+G20*PH_Roster*(1+PH_Loading))/($B20-G20+G20*PH_Roster)</f>
        <v/>
      </c>
      <c r="M20" s="13">
        <f>EXP(SUMPRODUCT((WageDates&lt;=$A20)*(WageDates&lt;&gt;"")*LN(1+WageRates)))</f>
        <v/>
      </c>
    </row>
    <row r="21">
      <c r="A21" s="9" t="n">
        <v>46143</v>
      </c>
      <c r="B21">
        <f>DAY(EOMONTH(A21,0))</f>
        <v/>
      </c>
      <c r="C21">
        <f>COUNTIFS(Holidays!$A$2:$A$1000,"&gt;="&amp;$A21,Holidays!$A$2:$A$1000,"&lt;="&amp;EOMONTH($A21,0),Holidays!$C$2:$C$1000,"NSW")</f>
        <v/>
      </c>
      <c r="D21">
        <f>COUNTIFS(Holidays!$A$2:$A$1000,"&gt;="&amp;$A21,Holidays!$A$2:$A$1000,"&lt;="&amp;EOMONTH($A21,0),Holidays!$C$2:$C$1000,"VIC")</f>
        <v/>
      </c>
      <c r="E21">
        <f>COUNTIFS(Holidays!$A$2:$A$1000,"&gt;="&amp;$A21,Holidays!$A$2:$A$1000,"&lt;="&amp;EOMONTH($A21,0),Holidays!$C$2:$C$1000,"QLD")</f>
        <v/>
      </c>
      <c r="F21">
        <f>COUNTIFS(Holidays!$A$2:$A$1000,"&gt;="&amp;$A21,Holidays!$A$2:$A$1000,"&lt;="&amp;EOMONTH($A21,0),Holidays!$C$2:$C$1000,"SA")</f>
        <v/>
      </c>
      <c r="G21">
        <f>COUNTIFS(Holidays!$A$2:$A$1000,"&gt;="&amp;$A21,Holidays!$A$2:$A$1000,"&lt;="&amp;EOMONTH($A21,0),Holidays!$C$2:$C$1000,"WA")</f>
        <v/>
      </c>
      <c r="H21" s="13">
        <f>($B21-C21+C21*PH_Roster*(1+PH_Loading))/($B21-C21+C21*PH_Roster)</f>
        <v/>
      </c>
      <c r="I21" s="13">
        <f>($B21-D21+D21*PH_Roster*(1+PH_Loading))/($B21-D21+D21*PH_Roster)</f>
        <v/>
      </c>
      <c r="J21" s="13">
        <f>($B21-E21+E21*PH_Roster*(1+PH_Loading))/($B21-E21+E21*PH_Roster)</f>
        <v/>
      </c>
      <c r="K21" s="13">
        <f>($B21-F21+F21*PH_Roster*(1+PH_Loading))/($B21-F21+F21*PH_Roster)</f>
        <v/>
      </c>
      <c r="L21" s="13">
        <f>($B21-G21+G21*PH_Roster*(1+PH_Loading))/($B21-G21+G21*PH_Roster)</f>
        <v/>
      </c>
      <c r="M21" s="13">
        <f>EXP(SUMPRODUCT((WageDates&lt;=$A21)*(WageDates&lt;&gt;"")*LN(1+WageRates)))</f>
        <v/>
      </c>
    </row>
    <row r="22">
      <c r="A22" s="9" t="n">
        <v>46174</v>
      </c>
      <c r="B22">
        <f>DAY(EOMONTH(A22,0))</f>
        <v/>
      </c>
      <c r="C22">
        <f>COUNTIFS(Holidays!$A$2:$A$1000,"&gt;="&amp;$A22,Holidays!$A$2:$A$1000,"&lt;="&amp;EOMONTH($A22,0),Holidays!$C$2:$C$1000,"NSW")</f>
        <v/>
      </c>
      <c r="D22">
        <f>COUNTIFS(Holidays!$A$2:$A$1000,"&gt;="&amp;$A22,Holidays!$A$2:$A$1000,"&lt;="&amp;EOMONTH($A22,0),Holidays!$C$2:$C$1000,"VIC")</f>
        <v/>
      </c>
      <c r="E22">
        <f>COUNTIFS(Holidays!$A$2:$A$1000,"&gt;="&amp;$A22,Holidays!$A$2:$A$1000,"&lt;="&amp;EOMONTH($A22,0),Holidays!$C$2:$C$1000,"QLD")</f>
        <v/>
      </c>
      <c r="F22">
        <f>COUNTIFS(Holidays!$A$2:$A$1000,"&gt;="&amp;$A22,Holidays!$A$2:$A$1000,"&lt;="&amp;EOMONTH($A22,0),Holidays!$C$2:$C$1000,"SA")</f>
        <v/>
      </c>
      <c r="G22">
        <f>COUNTIFS(Holidays!$A$2:$A$1000,"&gt;="&amp;$A22,Holidays!$A$2:$A$1000,"&lt;="&amp;EOMONTH($A22,0),Holidays!$C$2:$C$1000,"WA")</f>
        <v/>
      </c>
      <c r="H22" s="13">
        <f>($B22-C22+C22*PH_Roster*(1+PH_Loading))/($B22-C22+C22*PH_Roster)</f>
        <v/>
      </c>
      <c r="I22" s="13">
        <f>($B22-D22+D22*PH_Roster*(1+PH_Loading))/($B22-D22+D22*PH_Roster)</f>
        <v/>
      </c>
      <c r="J22" s="13">
        <f>($B22-E22+E22*PH_Roster*(1+PH_Loading))/($B22-E22+E22*PH_Roster)</f>
        <v/>
      </c>
      <c r="K22" s="13">
        <f>($B22-F22+F22*PH_Roster*(1+PH_Loading))/($B22-F22+F22*PH_Roster)</f>
        <v/>
      </c>
      <c r="L22" s="13">
        <f>($B22-G22+G22*PH_Roster*(1+PH_Loading))/($B22-G22+G22*PH_Roster)</f>
        <v/>
      </c>
      <c r="M22" s="13">
        <f>EXP(SUMPRODUCT((WageDates&lt;=$A22)*(WageDates&lt;&gt;"")*LN(1+WageRates)))</f>
        <v/>
      </c>
    </row>
    <row r="23">
      <c r="A23" s="9" t="n">
        <v>46204</v>
      </c>
      <c r="B23">
        <f>DAY(EOMONTH(A23,0))</f>
        <v/>
      </c>
      <c r="C23">
        <f>COUNTIFS(Holidays!$A$2:$A$1000,"&gt;="&amp;$A23,Holidays!$A$2:$A$1000,"&lt;="&amp;EOMONTH($A23,0),Holidays!$C$2:$C$1000,"NSW")</f>
        <v/>
      </c>
      <c r="D23">
        <f>COUNTIFS(Holidays!$A$2:$A$1000,"&gt;="&amp;$A23,Holidays!$A$2:$A$1000,"&lt;="&amp;EOMONTH($A23,0),Holidays!$C$2:$C$1000,"VIC")</f>
        <v/>
      </c>
      <c r="E23">
        <f>COUNTIFS(Holidays!$A$2:$A$1000,"&gt;="&amp;$A23,Holidays!$A$2:$A$1000,"&lt;="&amp;EOMONTH($A23,0),Holidays!$C$2:$C$1000,"QLD")</f>
        <v/>
      </c>
      <c r="F23">
        <f>COUNTIFS(Holidays!$A$2:$A$1000,"&gt;="&amp;$A23,Holidays!$A$2:$A$1000,"&lt;="&amp;EOMONTH($A23,0),Holidays!$C$2:$C$1000,"SA")</f>
        <v/>
      </c>
      <c r="G23">
        <f>COUNTIFS(Holidays!$A$2:$A$1000,"&gt;="&amp;$A23,Holidays!$A$2:$A$1000,"&lt;="&amp;EOMONTH($A23,0),Holidays!$C$2:$C$1000,"WA")</f>
        <v/>
      </c>
      <c r="H23" s="13">
        <f>($B23-C23+C23*PH_Roster*(1+PH_Loading))/($B23-C23+C23*PH_Roster)</f>
        <v/>
      </c>
      <c r="I23" s="13">
        <f>($B23-D23+D23*PH_Roster*(1+PH_Loading))/($B23-D23+D23*PH_Roster)</f>
        <v/>
      </c>
      <c r="J23" s="13">
        <f>($B23-E23+E23*PH_Roster*(1+PH_Loading))/($B23-E23+E23*PH_Roster)</f>
        <v/>
      </c>
      <c r="K23" s="13">
        <f>($B23-F23+F23*PH_Roster*(1+PH_Loading))/($B23-F23+F23*PH_Roster)</f>
        <v/>
      </c>
      <c r="L23" s="13">
        <f>($B23-G23+G23*PH_Roster*(1+PH_Loading))/($B23-G23+G23*PH_Roster)</f>
        <v/>
      </c>
      <c r="M23" s="13">
        <f>EXP(SUMPRODUCT((WageDates&lt;=$A23)*(WageDates&lt;&gt;"")*LN(1+WageRates)))</f>
        <v/>
      </c>
    </row>
    <row r="24">
      <c r="A24" s="9" t="n">
        <v>46235</v>
      </c>
      <c r="B24">
        <f>DAY(EOMONTH(A24,0))</f>
        <v/>
      </c>
      <c r="C24">
        <f>COUNTIFS(Holidays!$A$2:$A$1000,"&gt;="&amp;$A24,Holidays!$A$2:$A$1000,"&lt;="&amp;EOMONTH($A24,0),Holidays!$C$2:$C$1000,"NSW")</f>
        <v/>
      </c>
      <c r="D24">
        <f>COUNTIFS(Holidays!$A$2:$A$1000,"&gt;="&amp;$A24,Holidays!$A$2:$A$1000,"&lt;="&amp;EOMONTH($A24,0),Holidays!$C$2:$C$1000,"VIC")</f>
        <v/>
      </c>
      <c r="E24">
        <f>COUNTIFS(Holidays!$A$2:$A$1000,"&gt;="&amp;$A24,Holidays!$A$2:$A$1000,"&lt;="&amp;EOMONTH($A24,0),Holidays!$C$2:$C$1000,"QLD")</f>
        <v/>
      </c>
      <c r="F24">
        <f>COUNTIFS(Holidays!$A$2:$A$1000,"&gt;="&amp;$A24,Holidays!$A$2:$A$1000,"&lt;="&amp;EOMONTH($A24,0),Holidays!$C$2:$C$1000,"SA")</f>
        <v/>
      </c>
      <c r="G24">
        <f>COUNTIFS(Holidays!$A$2:$A$1000,"&gt;="&amp;$A24,Holidays!$A$2:$A$1000,"&lt;="&amp;EOMONTH($A24,0),Holidays!$C$2:$C$1000,"WA")</f>
        <v/>
      </c>
      <c r="H24" s="13">
        <f>($B24-C24+C24*PH_Roster*(1+PH_Loading))/($B24-C24+C24*PH_Roster)</f>
        <v/>
      </c>
      <c r="I24" s="13">
        <f>($B24-D24+D24*PH_Roster*(1+PH_Loading))/($B24-D24+D24*PH_Roster)</f>
        <v/>
      </c>
      <c r="J24" s="13">
        <f>($B24-E24+E24*PH_Roster*(1+PH_Loading))/($B24-E24+E24*PH_Roster)</f>
        <v/>
      </c>
      <c r="K24" s="13">
        <f>($B24-F24+F24*PH_Roster*(1+PH_Loading))/($B24-F24+F24*PH_Roster)</f>
        <v/>
      </c>
      <c r="L24" s="13">
        <f>($B24-G24+G24*PH_Roster*(1+PH_Loading))/($B24-G24+G24*PH_Roster)</f>
        <v/>
      </c>
      <c r="M24" s="13">
        <f>EXP(SUMPRODUCT((WageDates&lt;=$A24)*(WageDates&lt;&gt;"")*LN(1+WageRates)))</f>
        <v/>
      </c>
    </row>
    <row r="25">
      <c r="A25" s="9" t="n">
        <v>46266</v>
      </c>
      <c r="B25">
        <f>DAY(EOMONTH(A25,0))</f>
        <v/>
      </c>
      <c r="C25">
        <f>COUNTIFS(Holidays!$A$2:$A$1000,"&gt;="&amp;$A25,Holidays!$A$2:$A$1000,"&lt;="&amp;EOMONTH($A25,0),Holidays!$C$2:$C$1000,"NSW")</f>
        <v/>
      </c>
      <c r="D25">
        <f>COUNTIFS(Holidays!$A$2:$A$1000,"&gt;="&amp;$A25,Holidays!$A$2:$A$1000,"&lt;="&amp;EOMONTH($A25,0),Holidays!$C$2:$C$1000,"VIC")</f>
        <v/>
      </c>
      <c r="E25">
        <f>COUNTIFS(Holidays!$A$2:$A$1000,"&gt;="&amp;$A25,Holidays!$A$2:$A$1000,"&lt;="&amp;EOMONTH($A25,0),Holidays!$C$2:$C$1000,"QLD")</f>
        <v/>
      </c>
      <c r="F25">
        <f>COUNTIFS(Holidays!$A$2:$A$1000,"&gt;="&amp;$A25,Holidays!$A$2:$A$1000,"&lt;="&amp;EOMONTH($A25,0),Holidays!$C$2:$C$1000,"SA")</f>
        <v/>
      </c>
      <c r="G25">
        <f>COUNTIFS(Holidays!$A$2:$A$1000,"&gt;="&amp;$A25,Holidays!$A$2:$A$1000,"&lt;="&amp;EOMONTH($A25,0),Holidays!$C$2:$C$1000,"WA")</f>
        <v/>
      </c>
      <c r="H25" s="13">
        <f>($B25-C25+C25*PH_Roster*(1+PH_Loading))/($B25-C25+C25*PH_Roster)</f>
        <v/>
      </c>
      <c r="I25" s="13">
        <f>($B25-D25+D25*PH_Roster*(1+PH_Loading))/($B25-D25+D25*PH_Roster)</f>
        <v/>
      </c>
      <c r="J25" s="13">
        <f>($B25-E25+E25*PH_Roster*(1+PH_Loading))/($B25-E25+E25*PH_Roster)</f>
        <v/>
      </c>
      <c r="K25" s="13">
        <f>($B25-F25+F25*PH_Roster*(1+PH_Loading))/($B25-F25+F25*PH_Roster)</f>
        <v/>
      </c>
      <c r="L25" s="13">
        <f>($B25-G25+G25*PH_Roster*(1+PH_Loading))/($B25-G25+G25*PH_Roster)</f>
        <v/>
      </c>
      <c r="M25" s="13">
        <f>EXP(SUMPRODUCT((WageDates&lt;=$A25)*(WageDates&lt;&gt;"")*LN(1+WageRates)))</f>
        <v/>
      </c>
    </row>
    <row r="26">
      <c r="A26" s="9" t="n">
        <v>46296</v>
      </c>
      <c r="B26">
        <f>DAY(EOMONTH(A26,0))</f>
        <v/>
      </c>
      <c r="C26">
        <f>COUNTIFS(Holidays!$A$2:$A$1000,"&gt;="&amp;$A26,Holidays!$A$2:$A$1000,"&lt;="&amp;EOMONTH($A26,0),Holidays!$C$2:$C$1000,"NSW")</f>
        <v/>
      </c>
      <c r="D26">
        <f>COUNTIFS(Holidays!$A$2:$A$1000,"&gt;="&amp;$A26,Holidays!$A$2:$A$1000,"&lt;="&amp;EOMONTH($A26,0),Holidays!$C$2:$C$1000,"VIC")</f>
        <v/>
      </c>
      <c r="E26">
        <f>COUNTIFS(Holidays!$A$2:$A$1000,"&gt;="&amp;$A26,Holidays!$A$2:$A$1000,"&lt;="&amp;EOMONTH($A26,0),Holidays!$C$2:$C$1000,"QLD")</f>
        <v/>
      </c>
      <c r="F26">
        <f>COUNTIFS(Holidays!$A$2:$A$1000,"&gt;="&amp;$A26,Holidays!$A$2:$A$1000,"&lt;="&amp;EOMONTH($A26,0),Holidays!$C$2:$C$1000,"SA")</f>
        <v/>
      </c>
      <c r="G26">
        <f>COUNTIFS(Holidays!$A$2:$A$1000,"&gt;="&amp;$A26,Holidays!$A$2:$A$1000,"&lt;="&amp;EOMONTH($A26,0),Holidays!$C$2:$C$1000,"WA")</f>
        <v/>
      </c>
      <c r="H26" s="13">
        <f>($B26-C26+C26*PH_Roster*(1+PH_Loading))/($B26-C26+C26*PH_Roster)</f>
        <v/>
      </c>
      <c r="I26" s="13">
        <f>($B26-D26+D26*PH_Roster*(1+PH_Loading))/($B26-D26+D26*PH_Roster)</f>
        <v/>
      </c>
      <c r="J26" s="13">
        <f>($B26-E26+E26*PH_Roster*(1+PH_Loading))/($B26-E26+E26*PH_Roster)</f>
        <v/>
      </c>
      <c r="K26" s="13">
        <f>($B26-F26+F26*PH_Roster*(1+PH_Loading))/($B26-F26+F26*PH_Roster)</f>
        <v/>
      </c>
      <c r="L26" s="13">
        <f>($B26-G26+G26*PH_Roster*(1+PH_Loading))/($B26-G26+G26*PH_Roster)</f>
        <v/>
      </c>
      <c r="M26" s="13">
        <f>EXP(SUMPRODUCT((WageDates&lt;=$A26)*(WageDates&lt;&gt;"")*LN(1+WageRates)))</f>
        <v/>
      </c>
    </row>
    <row r="27">
      <c r="A27" s="9" t="n">
        <v>46327</v>
      </c>
      <c r="B27">
        <f>DAY(EOMONTH(A27,0))</f>
        <v/>
      </c>
      <c r="C27">
        <f>COUNTIFS(Holidays!$A$2:$A$1000,"&gt;="&amp;$A27,Holidays!$A$2:$A$1000,"&lt;="&amp;EOMONTH($A27,0),Holidays!$C$2:$C$1000,"NSW")</f>
        <v/>
      </c>
      <c r="D27">
        <f>COUNTIFS(Holidays!$A$2:$A$1000,"&gt;="&amp;$A27,Holidays!$A$2:$A$1000,"&lt;="&amp;EOMONTH($A27,0),Holidays!$C$2:$C$1000,"VIC")</f>
        <v/>
      </c>
      <c r="E27">
        <f>COUNTIFS(Holidays!$A$2:$A$1000,"&gt;="&amp;$A27,Holidays!$A$2:$A$1000,"&lt;="&amp;EOMONTH($A27,0),Holidays!$C$2:$C$1000,"QLD")</f>
        <v/>
      </c>
      <c r="F27">
        <f>COUNTIFS(Holidays!$A$2:$A$1000,"&gt;="&amp;$A27,Holidays!$A$2:$A$1000,"&lt;="&amp;EOMONTH($A27,0),Holidays!$C$2:$C$1000,"SA")</f>
        <v/>
      </c>
      <c r="G27">
        <f>COUNTIFS(Holidays!$A$2:$A$1000,"&gt;="&amp;$A27,Holidays!$A$2:$A$1000,"&lt;="&amp;EOMONTH($A27,0),Holidays!$C$2:$C$1000,"WA")</f>
        <v/>
      </c>
      <c r="H27" s="13">
        <f>($B27-C27+C27*PH_Roster*(1+PH_Loading))/($B27-C27+C27*PH_Roster)</f>
        <v/>
      </c>
      <c r="I27" s="13">
        <f>($B27-D27+D27*PH_Roster*(1+PH_Loading))/($B27-D27+D27*PH_Roster)</f>
        <v/>
      </c>
      <c r="J27" s="13">
        <f>($B27-E27+E27*PH_Roster*(1+PH_Loading))/($B27-E27+E27*PH_Roster)</f>
        <v/>
      </c>
      <c r="K27" s="13">
        <f>($B27-F27+F27*PH_Roster*(1+PH_Loading))/($B27-F27+F27*PH_Roster)</f>
        <v/>
      </c>
      <c r="L27" s="13">
        <f>($B27-G27+G27*PH_Roster*(1+PH_Loading))/($B27-G27+G27*PH_Roster)</f>
        <v/>
      </c>
      <c r="M27" s="13">
        <f>EXP(SUMPRODUCT((WageDates&lt;=$A27)*(WageDates&lt;&gt;"")*LN(1+WageRates)))</f>
        <v/>
      </c>
    </row>
    <row r="28">
      <c r="A28" s="9" t="n">
        <v>46357</v>
      </c>
      <c r="B28">
        <f>DAY(EOMONTH(A28,0))</f>
        <v/>
      </c>
      <c r="C28">
        <f>COUNTIFS(Holidays!$A$2:$A$1000,"&gt;="&amp;$A28,Holidays!$A$2:$A$1000,"&lt;="&amp;EOMONTH($A28,0),Holidays!$C$2:$C$1000,"NSW")</f>
        <v/>
      </c>
      <c r="D28">
        <f>COUNTIFS(Holidays!$A$2:$A$1000,"&gt;="&amp;$A28,Holidays!$A$2:$A$1000,"&lt;="&amp;EOMONTH($A28,0),Holidays!$C$2:$C$1000,"VIC")</f>
        <v/>
      </c>
      <c r="E28">
        <f>COUNTIFS(Holidays!$A$2:$A$1000,"&gt;="&amp;$A28,Holidays!$A$2:$A$1000,"&lt;="&amp;EOMONTH($A28,0),Holidays!$C$2:$C$1000,"QLD")</f>
        <v/>
      </c>
      <c r="F28">
        <f>COUNTIFS(Holidays!$A$2:$A$1000,"&gt;="&amp;$A28,Holidays!$A$2:$A$1000,"&lt;="&amp;EOMONTH($A28,0),Holidays!$C$2:$C$1000,"SA")</f>
        <v/>
      </c>
      <c r="G28">
        <f>COUNTIFS(Holidays!$A$2:$A$1000,"&gt;="&amp;$A28,Holidays!$A$2:$A$1000,"&lt;="&amp;EOMONTH($A28,0),Holidays!$C$2:$C$1000,"WA")</f>
        <v/>
      </c>
      <c r="H28" s="13">
        <f>($B28-C28+C28*PH_Roster*(1+PH_Loading))/($B28-C28+C28*PH_Roster)</f>
        <v/>
      </c>
      <c r="I28" s="13">
        <f>($B28-D28+D28*PH_Roster*(1+PH_Loading))/($B28-D28+D28*PH_Roster)</f>
        <v/>
      </c>
      <c r="J28" s="13">
        <f>($B28-E28+E28*PH_Roster*(1+PH_Loading))/($B28-E28+E28*PH_Roster)</f>
        <v/>
      </c>
      <c r="K28" s="13">
        <f>($B28-F28+F28*PH_Roster*(1+PH_Loading))/($B28-F28+F28*PH_Roster)</f>
        <v/>
      </c>
      <c r="L28" s="13">
        <f>($B28-G28+G28*PH_Roster*(1+PH_Loading))/($B28-G28+G28*PH_Roster)</f>
        <v/>
      </c>
      <c r="M28" s="13">
        <f>EXP(SUMPRODUCT((WageDates&lt;=$A28)*(WageDates&lt;&gt;"")*LN(1+WageRates)))</f>
        <v/>
      </c>
    </row>
    <row r="29">
      <c r="A29" s="9" t="n">
        <v>46388</v>
      </c>
      <c r="B29">
        <f>DAY(EOMONTH(A29,0))</f>
        <v/>
      </c>
      <c r="C29">
        <f>COUNTIFS(Holidays!$A$2:$A$1000,"&gt;="&amp;$A29,Holidays!$A$2:$A$1000,"&lt;="&amp;EOMONTH($A29,0),Holidays!$C$2:$C$1000,"NSW")</f>
        <v/>
      </c>
      <c r="D29">
        <f>COUNTIFS(Holidays!$A$2:$A$1000,"&gt;="&amp;$A29,Holidays!$A$2:$A$1000,"&lt;="&amp;EOMONTH($A29,0),Holidays!$C$2:$C$1000,"VIC")</f>
        <v/>
      </c>
      <c r="E29">
        <f>COUNTIFS(Holidays!$A$2:$A$1000,"&gt;="&amp;$A29,Holidays!$A$2:$A$1000,"&lt;="&amp;EOMONTH($A29,0),Holidays!$C$2:$C$1000,"QLD")</f>
        <v/>
      </c>
      <c r="F29">
        <f>COUNTIFS(Holidays!$A$2:$A$1000,"&gt;="&amp;$A29,Holidays!$A$2:$A$1000,"&lt;="&amp;EOMONTH($A29,0),Holidays!$C$2:$C$1000,"SA")</f>
        <v/>
      </c>
      <c r="G29">
        <f>COUNTIFS(Holidays!$A$2:$A$1000,"&gt;="&amp;$A29,Holidays!$A$2:$A$1000,"&lt;="&amp;EOMONTH($A29,0),Holidays!$C$2:$C$1000,"WA")</f>
        <v/>
      </c>
      <c r="H29" s="13">
        <f>($B29-C29+C29*PH_Roster*(1+PH_Loading))/($B29-C29+C29*PH_Roster)</f>
        <v/>
      </c>
      <c r="I29" s="13">
        <f>($B29-D29+D29*PH_Roster*(1+PH_Loading))/($B29-D29+D29*PH_Roster)</f>
        <v/>
      </c>
      <c r="J29" s="13">
        <f>($B29-E29+E29*PH_Roster*(1+PH_Loading))/($B29-E29+E29*PH_Roster)</f>
        <v/>
      </c>
      <c r="K29" s="13">
        <f>($B29-F29+F29*PH_Roster*(1+PH_Loading))/($B29-F29+F29*PH_Roster)</f>
        <v/>
      </c>
      <c r="L29" s="13">
        <f>($B29-G29+G29*PH_Roster*(1+PH_Loading))/($B29-G29+G29*PH_Roster)</f>
        <v/>
      </c>
      <c r="M29" s="13">
        <f>EXP(SUMPRODUCT((WageDates&lt;=$A29)*(WageDates&lt;&gt;"")*LN(1+WageRates)))</f>
        <v/>
      </c>
    </row>
    <row r="30">
      <c r="A30" s="9" t="n">
        <v>46419</v>
      </c>
      <c r="B30">
        <f>DAY(EOMONTH(A30,0))</f>
        <v/>
      </c>
      <c r="C30">
        <f>COUNTIFS(Holidays!$A$2:$A$1000,"&gt;="&amp;$A30,Holidays!$A$2:$A$1000,"&lt;="&amp;EOMONTH($A30,0),Holidays!$C$2:$C$1000,"NSW")</f>
        <v/>
      </c>
      <c r="D30">
        <f>COUNTIFS(Holidays!$A$2:$A$1000,"&gt;="&amp;$A30,Holidays!$A$2:$A$1000,"&lt;="&amp;EOMONTH($A30,0),Holidays!$C$2:$C$1000,"VIC")</f>
        <v/>
      </c>
      <c r="E30">
        <f>COUNTIFS(Holidays!$A$2:$A$1000,"&gt;="&amp;$A30,Holidays!$A$2:$A$1000,"&lt;="&amp;EOMONTH($A30,0),Holidays!$C$2:$C$1000,"QLD")</f>
        <v/>
      </c>
      <c r="F30">
        <f>COUNTIFS(Holidays!$A$2:$A$1000,"&gt;="&amp;$A30,Holidays!$A$2:$A$1000,"&lt;="&amp;EOMONTH($A30,0),Holidays!$C$2:$C$1000,"SA")</f>
        <v/>
      </c>
      <c r="G30">
        <f>COUNTIFS(Holidays!$A$2:$A$1000,"&gt;="&amp;$A30,Holidays!$A$2:$A$1000,"&lt;="&amp;EOMONTH($A30,0),Holidays!$C$2:$C$1000,"WA")</f>
        <v/>
      </c>
      <c r="H30" s="13">
        <f>($B30-C30+C30*PH_Roster*(1+PH_Loading))/($B30-C30+C30*PH_Roster)</f>
        <v/>
      </c>
      <c r="I30" s="13">
        <f>($B30-D30+D30*PH_Roster*(1+PH_Loading))/($B30-D30+D30*PH_Roster)</f>
        <v/>
      </c>
      <c r="J30" s="13">
        <f>($B30-E30+E30*PH_Roster*(1+PH_Loading))/($B30-E30+E30*PH_Roster)</f>
        <v/>
      </c>
      <c r="K30" s="13">
        <f>($B30-F30+F30*PH_Roster*(1+PH_Loading))/($B30-F30+F30*PH_Roster)</f>
        <v/>
      </c>
      <c r="L30" s="13">
        <f>($B30-G30+G30*PH_Roster*(1+PH_Loading))/($B30-G30+G30*PH_Roster)</f>
        <v/>
      </c>
      <c r="M30" s="13">
        <f>EXP(SUMPRODUCT((WageDates&lt;=$A30)*(WageDates&lt;&gt;"")*LN(1+WageRates)))</f>
        <v/>
      </c>
    </row>
    <row r="31">
      <c r="A31" s="9" t="n">
        <v>46447</v>
      </c>
      <c r="B31">
        <f>DAY(EOMONTH(A31,0))</f>
        <v/>
      </c>
      <c r="C31">
        <f>COUNTIFS(Holidays!$A$2:$A$1000,"&gt;="&amp;$A31,Holidays!$A$2:$A$1000,"&lt;="&amp;EOMONTH($A31,0),Holidays!$C$2:$C$1000,"NSW")</f>
        <v/>
      </c>
      <c r="D31">
        <f>COUNTIFS(Holidays!$A$2:$A$1000,"&gt;="&amp;$A31,Holidays!$A$2:$A$1000,"&lt;="&amp;EOMONTH($A31,0),Holidays!$C$2:$C$1000,"VIC")</f>
        <v/>
      </c>
      <c r="E31">
        <f>COUNTIFS(Holidays!$A$2:$A$1000,"&gt;="&amp;$A31,Holidays!$A$2:$A$1000,"&lt;="&amp;EOMONTH($A31,0),Holidays!$C$2:$C$1000,"QLD")</f>
        <v/>
      </c>
      <c r="F31">
        <f>COUNTIFS(Holidays!$A$2:$A$1000,"&gt;="&amp;$A31,Holidays!$A$2:$A$1000,"&lt;="&amp;EOMONTH($A31,0),Holidays!$C$2:$C$1000,"SA")</f>
        <v/>
      </c>
      <c r="G31">
        <f>COUNTIFS(Holidays!$A$2:$A$1000,"&gt;="&amp;$A31,Holidays!$A$2:$A$1000,"&lt;="&amp;EOMONTH($A31,0),Holidays!$C$2:$C$1000,"WA")</f>
        <v/>
      </c>
      <c r="H31" s="13">
        <f>($B31-C31+C31*PH_Roster*(1+PH_Loading))/($B31-C31+C31*PH_Roster)</f>
        <v/>
      </c>
      <c r="I31" s="13">
        <f>($B31-D31+D31*PH_Roster*(1+PH_Loading))/($B31-D31+D31*PH_Roster)</f>
        <v/>
      </c>
      <c r="J31" s="13">
        <f>($B31-E31+E31*PH_Roster*(1+PH_Loading))/($B31-E31+E31*PH_Roster)</f>
        <v/>
      </c>
      <c r="K31" s="13">
        <f>($B31-F31+F31*PH_Roster*(1+PH_Loading))/($B31-F31+F31*PH_Roster)</f>
        <v/>
      </c>
      <c r="L31" s="13">
        <f>($B31-G31+G31*PH_Roster*(1+PH_Loading))/($B31-G31+G31*PH_Roster)</f>
        <v/>
      </c>
      <c r="M31" s="13">
        <f>EXP(SUMPRODUCT((WageDates&lt;=$A31)*(WageDates&lt;&gt;"")*LN(1+WageRates)))</f>
        <v/>
      </c>
    </row>
    <row r="32">
      <c r="A32" s="9" t="n">
        <v>46478</v>
      </c>
      <c r="B32">
        <f>DAY(EOMONTH(A32,0))</f>
        <v/>
      </c>
      <c r="C32">
        <f>COUNTIFS(Holidays!$A$2:$A$1000,"&gt;="&amp;$A32,Holidays!$A$2:$A$1000,"&lt;="&amp;EOMONTH($A32,0),Holidays!$C$2:$C$1000,"NSW")</f>
        <v/>
      </c>
      <c r="D32">
        <f>COUNTIFS(Holidays!$A$2:$A$1000,"&gt;="&amp;$A32,Holidays!$A$2:$A$1000,"&lt;="&amp;EOMONTH($A32,0),Holidays!$C$2:$C$1000,"VIC")</f>
        <v/>
      </c>
      <c r="E32">
        <f>COUNTIFS(Holidays!$A$2:$A$1000,"&gt;="&amp;$A32,Holidays!$A$2:$A$1000,"&lt;="&amp;EOMONTH($A32,0),Holidays!$C$2:$C$1000,"QLD")</f>
        <v/>
      </c>
      <c r="F32">
        <f>COUNTIFS(Holidays!$A$2:$A$1000,"&gt;="&amp;$A32,Holidays!$A$2:$A$1000,"&lt;="&amp;EOMONTH($A32,0),Holidays!$C$2:$C$1000,"SA")</f>
        <v/>
      </c>
      <c r="G32">
        <f>COUNTIFS(Holidays!$A$2:$A$1000,"&gt;="&amp;$A32,Holidays!$A$2:$A$1000,"&lt;="&amp;EOMONTH($A32,0),Holidays!$C$2:$C$1000,"WA")</f>
        <v/>
      </c>
      <c r="H32" s="13">
        <f>($B32-C32+C32*PH_Roster*(1+PH_Loading))/($B32-C32+C32*PH_Roster)</f>
        <v/>
      </c>
      <c r="I32" s="13">
        <f>($B32-D32+D32*PH_Roster*(1+PH_Loading))/($B32-D32+D32*PH_Roster)</f>
        <v/>
      </c>
      <c r="J32" s="13">
        <f>($B32-E32+E32*PH_Roster*(1+PH_Loading))/($B32-E32+E32*PH_Roster)</f>
        <v/>
      </c>
      <c r="K32" s="13">
        <f>($B32-F32+F32*PH_Roster*(1+PH_Loading))/($B32-F32+F32*PH_Roster)</f>
        <v/>
      </c>
      <c r="L32" s="13">
        <f>($B32-G32+G32*PH_Roster*(1+PH_Loading))/($B32-G32+G32*PH_Roster)</f>
        <v/>
      </c>
      <c r="M32" s="13">
        <f>EXP(SUMPRODUCT((WageDates&lt;=$A32)*(WageDates&lt;&gt;"")*LN(1+WageRates)))</f>
        <v/>
      </c>
    </row>
    <row r="33">
      <c r="A33" s="9" t="n">
        <v>46508</v>
      </c>
      <c r="B33">
        <f>DAY(EOMONTH(A33,0))</f>
        <v/>
      </c>
      <c r="C33">
        <f>COUNTIFS(Holidays!$A$2:$A$1000,"&gt;="&amp;$A33,Holidays!$A$2:$A$1000,"&lt;="&amp;EOMONTH($A33,0),Holidays!$C$2:$C$1000,"NSW")</f>
        <v/>
      </c>
      <c r="D33">
        <f>COUNTIFS(Holidays!$A$2:$A$1000,"&gt;="&amp;$A33,Holidays!$A$2:$A$1000,"&lt;="&amp;EOMONTH($A33,0),Holidays!$C$2:$C$1000,"VIC")</f>
        <v/>
      </c>
      <c r="E33">
        <f>COUNTIFS(Holidays!$A$2:$A$1000,"&gt;="&amp;$A33,Holidays!$A$2:$A$1000,"&lt;="&amp;EOMONTH($A33,0),Holidays!$C$2:$C$1000,"QLD")</f>
        <v/>
      </c>
      <c r="F33">
        <f>COUNTIFS(Holidays!$A$2:$A$1000,"&gt;="&amp;$A33,Holidays!$A$2:$A$1000,"&lt;="&amp;EOMONTH($A33,0),Holidays!$C$2:$C$1000,"SA")</f>
        <v/>
      </c>
      <c r="G33">
        <f>COUNTIFS(Holidays!$A$2:$A$1000,"&gt;="&amp;$A33,Holidays!$A$2:$A$1000,"&lt;="&amp;EOMONTH($A33,0),Holidays!$C$2:$C$1000,"WA")</f>
        <v/>
      </c>
      <c r="H33" s="13">
        <f>($B33-C33+C33*PH_Roster*(1+PH_Loading))/($B33-C33+C33*PH_Roster)</f>
        <v/>
      </c>
      <c r="I33" s="13">
        <f>($B33-D33+D33*PH_Roster*(1+PH_Loading))/($B33-D33+D33*PH_Roster)</f>
        <v/>
      </c>
      <c r="J33" s="13">
        <f>($B33-E33+E33*PH_Roster*(1+PH_Loading))/($B33-E33+E33*PH_Roster)</f>
        <v/>
      </c>
      <c r="K33" s="13">
        <f>($B33-F33+F33*PH_Roster*(1+PH_Loading))/($B33-F33+F33*PH_Roster)</f>
        <v/>
      </c>
      <c r="L33" s="13">
        <f>($B33-G33+G33*PH_Roster*(1+PH_Loading))/($B33-G33+G33*PH_Roster)</f>
        <v/>
      </c>
      <c r="M33" s="13">
        <f>EXP(SUMPRODUCT((WageDates&lt;=$A33)*(WageDates&lt;&gt;"")*LN(1+WageRates)))</f>
        <v/>
      </c>
    </row>
    <row r="34">
      <c r="A34" s="9" t="n">
        <v>46539</v>
      </c>
      <c r="B34">
        <f>DAY(EOMONTH(A34,0))</f>
        <v/>
      </c>
      <c r="C34">
        <f>COUNTIFS(Holidays!$A$2:$A$1000,"&gt;="&amp;$A34,Holidays!$A$2:$A$1000,"&lt;="&amp;EOMONTH($A34,0),Holidays!$C$2:$C$1000,"NSW")</f>
        <v/>
      </c>
      <c r="D34">
        <f>COUNTIFS(Holidays!$A$2:$A$1000,"&gt;="&amp;$A34,Holidays!$A$2:$A$1000,"&lt;="&amp;EOMONTH($A34,0),Holidays!$C$2:$C$1000,"VIC")</f>
        <v/>
      </c>
      <c r="E34">
        <f>COUNTIFS(Holidays!$A$2:$A$1000,"&gt;="&amp;$A34,Holidays!$A$2:$A$1000,"&lt;="&amp;EOMONTH($A34,0),Holidays!$C$2:$C$1000,"QLD")</f>
        <v/>
      </c>
      <c r="F34">
        <f>COUNTIFS(Holidays!$A$2:$A$1000,"&gt;="&amp;$A34,Holidays!$A$2:$A$1000,"&lt;="&amp;EOMONTH($A34,0),Holidays!$C$2:$C$1000,"SA")</f>
        <v/>
      </c>
      <c r="G34">
        <f>COUNTIFS(Holidays!$A$2:$A$1000,"&gt;="&amp;$A34,Holidays!$A$2:$A$1000,"&lt;="&amp;EOMONTH($A34,0),Holidays!$C$2:$C$1000,"WA")</f>
        <v/>
      </c>
      <c r="H34" s="13">
        <f>($B34-C34+C34*PH_Roster*(1+PH_Loading))/($B34-C34+C34*PH_Roster)</f>
        <v/>
      </c>
      <c r="I34" s="13">
        <f>($B34-D34+D34*PH_Roster*(1+PH_Loading))/($B34-D34+D34*PH_Roster)</f>
        <v/>
      </c>
      <c r="J34" s="13">
        <f>($B34-E34+E34*PH_Roster*(1+PH_Loading))/($B34-E34+E34*PH_Roster)</f>
        <v/>
      </c>
      <c r="K34" s="13">
        <f>($B34-F34+F34*PH_Roster*(1+PH_Loading))/($B34-F34+F34*PH_Roster)</f>
        <v/>
      </c>
      <c r="L34" s="13">
        <f>($B34-G34+G34*PH_Roster*(1+PH_Loading))/($B34-G34+G34*PH_Roster)</f>
        <v/>
      </c>
      <c r="M34" s="13">
        <f>EXP(SUMPRODUCT((WageDates&lt;=$A34)*(WageDates&lt;&gt;"")*LN(1+WageRates)))</f>
        <v/>
      </c>
    </row>
    <row r="35">
      <c r="A35" s="9" t="n">
        <v>46569</v>
      </c>
      <c r="B35">
        <f>DAY(EOMONTH(A35,0))</f>
        <v/>
      </c>
      <c r="C35">
        <f>COUNTIFS(Holidays!$A$2:$A$1000,"&gt;="&amp;$A35,Holidays!$A$2:$A$1000,"&lt;="&amp;EOMONTH($A35,0),Holidays!$C$2:$C$1000,"NSW")</f>
        <v/>
      </c>
      <c r="D35">
        <f>COUNTIFS(Holidays!$A$2:$A$1000,"&gt;="&amp;$A35,Holidays!$A$2:$A$1000,"&lt;="&amp;EOMONTH($A35,0),Holidays!$C$2:$C$1000,"VIC")</f>
        <v/>
      </c>
      <c r="E35">
        <f>COUNTIFS(Holidays!$A$2:$A$1000,"&gt;="&amp;$A35,Holidays!$A$2:$A$1000,"&lt;="&amp;EOMONTH($A35,0),Holidays!$C$2:$C$1000,"QLD")</f>
        <v/>
      </c>
      <c r="F35">
        <f>COUNTIFS(Holidays!$A$2:$A$1000,"&gt;="&amp;$A35,Holidays!$A$2:$A$1000,"&lt;="&amp;EOMONTH($A35,0),Holidays!$C$2:$C$1000,"SA")</f>
        <v/>
      </c>
      <c r="G35">
        <f>COUNTIFS(Holidays!$A$2:$A$1000,"&gt;="&amp;$A35,Holidays!$A$2:$A$1000,"&lt;="&amp;EOMONTH($A35,0),Holidays!$C$2:$C$1000,"WA")</f>
        <v/>
      </c>
      <c r="H35" s="13">
        <f>($B35-C35+C35*PH_Roster*(1+PH_Loading))/($B35-C35+C35*PH_Roster)</f>
        <v/>
      </c>
      <c r="I35" s="13">
        <f>($B35-D35+D35*PH_Roster*(1+PH_Loading))/($B35-D35+D35*PH_Roster)</f>
        <v/>
      </c>
      <c r="J35" s="13">
        <f>($B35-E35+E35*PH_Roster*(1+PH_Loading))/($B35-E35+E35*PH_Roster)</f>
        <v/>
      </c>
      <c r="K35" s="13">
        <f>($B35-F35+F35*PH_Roster*(1+PH_Loading))/($B35-F35+F35*PH_Roster)</f>
        <v/>
      </c>
      <c r="L35" s="13">
        <f>($B35-G35+G35*PH_Roster*(1+PH_Loading))/($B35-G35+G35*PH_Roster)</f>
        <v/>
      </c>
      <c r="M35" s="13">
        <f>EXP(SUMPRODUCT((WageDates&lt;=$A35)*(WageDates&lt;&gt;"")*LN(1+WageRates)))</f>
        <v/>
      </c>
    </row>
    <row r="36">
      <c r="A36" s="9" t="n">
        <v>46600</v>
      </c>
      <c r="B36">
        <f>DAY(EOMONTH(A36,0))</f>
        <v/>
      </c>
      <c r="C36">
        <f>COUNTIFS(Holidays!$A$2:$A$1000,"&gt;="&amp;$A36,Holidays!$A$2:$A$1000,"&lt;="&amp;EOMONTH($A36,0),Holidays!$C$2:$C$1000,"NSW")</f>
        <v/>
      </c>
      <c r="D36">
        <f>COUNTIFS(Holidays!$A$2:$A$1000,"&gt;="&amp;$A36,Holidays!$A$2:$A$1000,"&lt;="&amp;EOMONTH($A36,0),Holidays!$C$2:$C$1000,"VIC")</f>
        <v/>
      </c>
      <c r="E36">
        <f>COUNTIFS(Holidays!$A$2:$A$1000,"&gt;="&amp;$A36,Holidays!$A$2:$A$1000,"&lt;="&amp;EOMONTH($A36,0),Holidays!$C$2:$C$1000,"QLD")</f>
        <v/>
      </c>
      <c r="F36">
        <f>COUNTIFS(Holidays!$A$2:$A$1000,"&gt;="&amp;$A36,Holidays!$A$2:$A$1000,"&lt;="&amp;EOMONTH($A36,0),Holidays!$C$2:$C$1000,"SA")</f>
        <v/>
      </c>
      <c r="G36">
        <f>COUNTIFS(Holidays!$A$2:$A$1000,"&gt;="&amp;$A36,Holidays!$A$2:$A$1000,"&lt;="&amp;EOMONTH($A36,0),Holidays!$C$2:$C$1000,"WA")</f>
        <v/>
      </c>
      <c r="H36" s="13">
        <f>($B36-C36+C36*PH_Roster*(1+PH_Loading))/($B36-C36+C36*PH_Roster)</f>
        <v/>
      </c>
      <c r="I36" s="13">
        <f>($B36-D36+D36*PH_Roster*(1+PH_Loading))/($B36-D36+D36*PH_Roster)</f>
        <v/>
      </c>
      <c r="J36" s="13">
        <f>($B36-E36+E36*PH_Roster*(1+PH_Loading))/($B36-E36+E36*PH_Roster)</f>
        <v/>
      </c>
      <c r="K36" s="13">
        <f>($B36-F36+F36*PH_Roster*(1+PH_Loading))/($B36-F36+F36*PH_Roster)</f>
        <v/>
      </c>
      <c r="L36" s="13">
        <f>($B36-G36+G36*PH_Roster*(1+PH_Loading))/($B36-G36+G36*PH_Roster)</f>
        <v/>
      </c>
      <c r="M36" s="13">
        <f>EXP(SUMPRODUCT((WageDates&lt;=$A36)*(WageDates&lt;&gt;"")*LN(1+WageRates)))</f>
        <v/>
      </c>
    </row>
    <row r="37">
      <c r="A37" s="9" t="n">
        <v>46631</v>
      </c>
      <c r="B37">
        <f>DAY(EOMONTH(A37,0))</f>
        <v/>
      </c>
      <c r="C37">
        <f>COUNTIFS(Holidays!$A$2:$A$1000,"&gt;="&amp;$A37,Holidays!$A$2:$A$1000,"&lt;="&amp;EOMONTH($A37,0),Holidays!$C$2:$C$1000,"NSW")</f>
        <v/>
      </c>
      <c r="D37">
        <f>COUNTIFS(Holidays!$A$2:$A$1000,"&gt;="&amp;$A37,Holidays!$A$2:$A$1000,"&lt;="&amp;EOMONTH($A37,0),Holidays!$C$2:$C$1000,"VIC")</f>
        <v/>
      </c>
      <c r="E37">
        <f>COUNTIFS(Holidays!$A$2:$A$1000,"&gt;="&amp;$A37,Holidays!$A$2:$A$1000,"&lt;="&amp;EOMONTH($A37,0),Holidays!$C$2:$C$1000,"QLD")</f>
        <v/>
      </c>
      <c r="F37">
        <f>COUNTIFS(Holidays!$A$2:$A$1000,"&gt;="&amp;$A37,Holidays!$A$2:$A$1000,"&lt;="&amp;EOMONTH($A37,0),Holidays!$C$2:$C$1000,"SA")</f>
        <v/>
      </c>
      <c r="G37">
        <f>COUNTIFS(Holidays!$A$2:$A$1000,"&gt;="&amp;$A37,Holidays!$A$2:$A$1000,"&lt;="&amp;EOMONTH($A37,0),Holidays!$C$2:$C$1000,"WA")</f>
        <v/>
      </c>
      <c r="H37" s="13">
        <f>($B37-C37+C37*PH_Roster*(1+PH_Loading))/($B37-C37+C37*PH_Roster)</f>
        <v/>
      </c>
      <c r="I37" s="13">
        <f>($B37-D37+D37*PH_Roster*(1+PH_Loading))/($B37-D37+D37*PH_Roster)</f>
        <v/>
      </c>
      <c r="J37" s="13">
        <f>($B37-E37+E37*PH_Roster*(1+PH_Loading))/($B37-E37+E37*PH_Roster)</f>
        <v/>
      </c>
      <c r="K37" s="13">
        <f>($B37-F37+F37*PH_Roster*(1+PH_Loading))/($B37-F37+F37*PH_Roster)</f>
        <v/>
      </c>
      <c r="L37" s="13">
        <f>($B37-G37+G37*PH_Roster*(1+PH_Loading))/($B37-G37+G37*PH_Roster)</f>
        <v/>
      </c>
      <c r="M37" s="13">
        <f>EXP(SUMPRODUCT((WageDates&lt;=$A37)*(WageDates&lt;&gt;"")*LN(1+WageRates)))</f>
        <v/>
      </c>
    </row>
    <row r="38">
      <c r="A38" s="9" t="n">
        <v>46661</v>
      </c>
      <c r="B38">
        <f>DAY(EOMONTH(A38,0))</f>
        <v/>
      </c>
      <c r="C38">
        <f>COUNTIFS(Holidays!$A$2:$A$1000,"&gt;="&amp;$A38,Holidays!$A$2:$A$1000,"&lt;="&amp;EOMONTH($A38,0),Holidays!$C$2:$C$1000,"NSW")</f>
        <v/>
      </c>
      <c r="D38">
        <f>COUNTIFS(Holidays!$A$2:$A$1000,"&gt;="&amp;$A38,Holidays!$A$2:$A$1000,"&lt;="&amp;EOMONTH($A38,0),Holidays!$C$2:$C$1000,"VIC")</f>
        <v/>
      </c>
      <c r="E38">
        <f>COUNTIFS(Holidays!$A$2:$A$1000,"&gt;="&amp;$A38,Holidays!$A$2:$A$1000,"&lt;="&amp;EOMONTH($A38,0),Holidays!$C$2:$C$1000,"QLD")</f>
        <v/>
      </c>
      <c r="F38">
        <f>COUNTIFS(Holidays!$A$2:$A$1000,"&gt;="&amp;$A38,Holidays!$A$2:$A$1000,"&lt;="&amp;EOMONTH($A38,0),Holidays!$C$2:$C$1000,"SA")</f>
        <v/>
      </c>
      <c r="G38">
        <f>COUNTIFS(Holidays!$A$2:$A$1000,"&gt;="&amp;$A38,Holidays!$A$2:$A$1000,"&lt;="&amp;EOMONTH($A38,0),Holidays!$C$2:$C$1000,"WA")</f>
        <v/>
      </c>
      <c r="H38" s="13">
        <f>($B38-C38+C38*PH_Roster*(1+PH_Loading))/($B38-C38+C38*PH_Roster)</f>
        <v/>
      </c>
      <c r="I38" s="13">
        <f>($B38-D38+D38*PH_Roster*(1+PH_Loading))/($B38-D38+D38*PH_Roster)</f>
        <v/>
      </c>
      <c r="J38" s="13">
        <f>($B38-E38+E38*PH_Roster*(1+PH_Loading))/($B38-E38+E38*PH_Roster)</f>
        <v/>
      </c>
      <c r="K38" s="13">
        <f>($B38-F38+F38*PH_Roster*(1+PH_Loading))/($B38-F38+F38*PH_Roster)</f>
        <v/>
      </c>
      <c r="L38" s="13">
        <f>($B38-G38+G38*PH_Roster*(1+PH_Loading))/($B38-G38+G38*PH_Roster)</f>
        <v/>
      </c>
      <c r="M38" s="13">
        <f>EXP(SUMPRODUCT((WageDates&lt;=$A38)*(WageDates&lt;&gt;"")*LN(1+WageRates)))</f>
        <v/>
      </c>
    </row>
    <row r="39">
      <c r="A39" s="9" t="n">
        <v>46692</v>
      </c>
      <c r="B39">
        <f>DAY(EOMONTH(A39,0))</f>
        <v/>
      </c>
      <c r="C39">
        <f>COUNTIFS(Holidays!$A$2:$A$1000,"&gt;="&amp;$A39,Holidays!$A$2:$A$1000,"&lt;="&amp;EOMONTH($A39,0),Holidays!$C$2:$C$1000,"NSW")</f>
        <v/>
      </c>
      <c r="D39">
        <f>COUNTIFS(Holidays!$A$2:$A$1000,"&gt;="&amp;$A39,Holidays!$A$2:$A$1000,"&lt;="&amp;EOMONTH($A39,0),Holidays!$C$2:$C$1000,"VIC")</f>
        <v/>
      </c>
      <c r="E39">
        <f>COUNTIFS(Holidays!$A$2:$A$1000,"&gt;="&amp;$A39,Holidays!$A$2:$A$1000,"&lt;="&amp;EOMONTH($A39,0),Holidays!$C$2:$C$1000,"QLD")</f>
        <v/>
      </c>
      <c r="F39">
        <f>COUNTIFS(Holidays!$A$2:$A$1000,"&gt;="&amp;$A39,Holidays!$A$2:$A$1000,"&lt;="&amp;EOMONTH($A39,0),Holidays!$C$2:$C$1000,"SA")</f>
        <v/>
      </c>
      <c r="G39">
        <f>COUNTIFS(Holidays!$A$2:$A$1000,"&gt;="&amp;$A39,Holidays!$A$2:$A$1000,"&lt;="&amp;EOMONTH($A39,0),Holidays!$C$2:$C$1000,"WA")</f>
        <v/>
      </c>
      <c r="H39" s="13">
        <f>($B39-C39+C39*PH_Roster*(1+PH_Loading))/($B39-C39+C39*PH_Roster)</f>
        <v/>
      </c>
      <c r="I39" s="13">
        <f>($B39-D39+D39*PH_Roster*(1+PH_Loading))/($B39-D39+D39*PH_Roster)</f>
        <v/>
      </c>
      <c r="J39" s="13">
        <f>($B39-E39+E39*PH_Roster*(1+PH_Loading))/($B39-E39+E39*PH_Roster)</f>
        <v/>
      </c>
      <c r="K39" s="13">
        <f>($B39-F39+F39*PH_Roster*(1+PH_Loading))/($B39-F39+F39*PH_Roster)</f>
        <v/>
      </c>
      <c r="L39" s="13">
        <f>($B39-G39+G39*PH_Roster*(1+PH_Loading))/($B39-G39+G39*PH_Roster)</f>
        <v/>
      </c>
      <c r="M39" s="13">
        <f>EXP(SUMPRODUCT((WageDates&lt;=$A39)*(WageDates&lt;&gt;"")*LN(1+WageRates)))</f>
        <v/>
      </c>
    </row>
    <row r="40">
      <c r="A40" s="9" t="n">
        <v>46722</v>
      </c>
      <c r="B40">
        <f>DAY(EOMONTH(A40,0))</f>
        <v/>
      </c>
      <c r="C40">
        <f>COUNTIFS(Holidays!$A$2:$A$1000,"&gt;="&amp;$A40,Holidays!$A$2:$A$1000,"&lt;="&amp;EOMONTH($A40,0),Holidays!$C$2:$C$1000,"NSW")</f>
        <v/>
      </c>
      <c r="D40">
        <f>COUNTIFS(Holidays!$A$2:$A$1000,"&gt;="&amp;$A40,Holidays!$A$2:$A$1000,"&lt;="&amp;EOMONTH($A40,0),Holidays!$C$2:$C$1000,"VIC")</f>
        <v/>
      </c>
      <c r="E40">
        <f>COUNTIFS(Holidays!$A$2:$A$1000,"&gt;="&amp;$A40,Holidays!$A$2:$A$1000,"&lt;="&amp;EOMONTH($A40,0),Holidays!$C$2:$C$1000,"QLD")</f>
        <v/>
      </c>
      <c r="F40">
        <f>COUNTIFS(Holidays!$A$2:$A$1000,"&gt;="&amp;$A40,Holidays!$A$2:$A$1000,"&lt;="&amp;EOMONTH($A40,0),Holidays!$C$2:$C$1000,"SA")</f>
        <v/>
      </c>
      <c r="G40">
        <f>COUNTIFS(Holidays!$A$2:$A$1000,"&gt;="&amp;$A40,Holidays!$A$2:$A$1000,"&lt;="&amp;EOMONTH($A40,0),Holidays!$C$2:$C$1000,"WA")</f>
        <v/>
      </c>
      <c r="H40" s="13">
        <f>($B40-C40+C40*PH_Roster*(1+PH_Loading))/($B40-C40+C40*PH_Roster)</f>
        <v/>
      </c>
      <c r="I40" s="13">
        <f>($B40-D40+D40*PH_Roster*(1+PH_Loading))/($B40-D40+D40*PH_Roster)</f>
        <v/>
      </c>
      <c r="J40" s="13">
        <f>($B40-E40+E40*PH_Roster*(1+PH_Loading))/($B40-E40+E40*PH_Roster)</f>
        <v/>
      </c>
      <c r="K40" s="13">
        <f>($B40-F40+F40*PH_Roster*(1+PH_Loading))/($B40-F40+F40*PH_Roster)</f>
        <v/>
      </c>
      <c r="L40" s="13">
        <f>($B40-G40+G40*PH_Roster*(1+PH_Loading))/($B40-G40+G40*PH_Roster)</f>
        <v/>
      </c>
      <c r="M40" s="13">
        <f>EXP(SUMPRODUCT((WageDates&lt;=$A40)*(WageDates&lt;&gt;"")*LN(1+WageRates)))</f>
        <v/>
      </c>
    </row>
    <row r="41">
      <c r="A41" s="9" t="n">
        <v>46753</v>
      </c>
      <c r="B41">
        <f>DAY(EOMONTH(A41,0))</f>
        <v/>
      </c>
      <c r="C41">
        <f>COUNTIFS(Holidays!$A$2:$A$1000,"&gt;="&amp;$A41,Holidays!$A$2:$A$1000,"&lt;="&amp;EOMONTH($A41,0),Holidays!$C$2:$C$1000,"NSW")</f>
        <v/>
      </c>
      <c r="D41">
        <f>COUNTIFS(Holidays!$A$2:$A$1000,"&gt;="&amp;$A41,Holidays!$A$2:$A$1000,"&lt;="&amp;EOMONTH($A41,0),Holidays!$C$2:$C$1000,"VIC")</f>
        <v/>
      </c>
      <c r="E41">
        <f>COUNTIFS(Holidays!$A$2:$A$1000,"&gt;="&amp;$A41,Holidays!$A$2:$A$1000,"&lt;="&amp;EOMONTH($A41,0),Holidays!$C$2:$C$1000,"QLD")</f>
        <v/>
      </c>
      <c r="F41">
        <f>COUNTIFS(Holidays!$A$2:$A$1000,"&gt;="&amp;$A41,Holidays!$A$2:$A$1000,"&lt;="&amp;EOMONTH($A41,0),Holidays!$C$2:$C$1000,"SA")</f>
        <v/>
      </c>
      <c r="G41">
        <f>COUNTIFS(Holidays!$A$2:$A$1000,"&gt;="&amp;$A41,Holidays!$A$2:$A$1000,"&lt;="&amp;EOMONTH($A41,0),Holidays!$C$2:$C$1000,"WA")</f>
        <v/>
      </c>
      <c r="H41" s="13">
        <f>($B41-C41+C41*PH_Roster*(1+PH_Loading))/($B41-C41+C41*PH_Roster)</f>
        <v/>
      </c>
      <c r="I41" s="13">
        <f>($B41-D41+D41*PH_Roster*(1+PH_Loading))/($B41-D41+D41*PH_Roster)</f>
        <v/>
      </c>
      <c r="J41" s="13">
        <f>($B41-E41+E41*PH_Roster*(1+PH_Loading))/($B41-E41+E41*PH_Roster)</f>
        <v/>
      </c>
      <c r="K41" s="13">
        <f>($B41-F41+F41*PH_Roster*(1+PH_Loading))/($B41-F41+F41*PH_Roster)</f>
        <v/>
      </c>
      <c r="L41" s="13">
        <f>($B41-G41+G41*PH_Roster*(1+PH_Loading))/($B41-G41+G41*PH_Roster)</f>
        <v/>
      </c>
      <c r="M41" s="13">
        <f>EXP(SUMPRODUCT((WageDates&lt;=$A41)*(WageDates&lt;&gt;"")*LN(1+WageRates)))</f>
        <v/>
      </c>
    </row>
    <row r="42">
      <c r="A42" s="9" t="n">
        <v>46784</v>
      </c>
      <c r="B42">
        <f>DAY(EOMONTH(A42,0))</f>
        <v/>
      </c>
      <c r="C42">
        <f>COUNTIFS(Holidays!$A$2:$A$1000,"&gt;="&amp;$A42,Holidays!$A$2:$A$1000,"&lt;="&amp;EOMONTH($A42,0),Holidays!$C$2:$C$1000,"NSW")</f>
        <v/>
      </c>
      <c r="D42">
        <f>COUNTIFS(Holidays!$A$2:$A$1000,"&gt;="&amp;$A42,Holidays!$A$2:$A$1000,"&lt;="&amp;EOMONTH($A42,0),Holidays!$C$2:$C$1000,"VIC")</f>
        <v/>
      </c>
      <c r="E42">
        <f>COUNTIFS(Holidays!$A$2:$A$1000,"&gt;="&amp;$A42,Holidays!$A$2:$A$1000,"&lt;="&amp;EOMONTH($A42,0),Holidays!$C$2:$C$1000,"QLD")</f>
        <v/>
      </c>
      <c r="F42">
        <f>COUNTIFS(Holidays!$A$2:$A$1000,"&gt;="&amp;$A42,Holidays!$A$2:$A$1000,"&lt;="&amp;EOMONTH($A42,0),Holidays!$C$2:$C$1000,"SA")</f>
        <v/>
      </c>
      <c r="G42">
        <f>COUNTIFS(Holidays!$A$2:$A$1000,"&gt;="&amp;$A42,Holidays!$A$2:$A$1000,"&lt;="&amp;EOMONTH($A42,0),Holidays!$C$2:$C$1000,"WA")</f>
        <v/>
      </c>
      <c r="H42" s="13">
        <f>($B42-C42+C42*PH_Roster*(1+PH_Loading))/($B42-C42+C42*PH_Roster)</f>
        <v/>
      </c>
      <c r="I42" s="13">
        <f>($B42-D42+D42*PH_Roster*(1+PH_Loading))/($B42-D42+D42*PH_Roster)</f>
        <v/>
      </c>
      <c r="J42" s="13">
        <f>($B42-E42+E42*PH_Roster*(1+PH_Loading))/($B42-E42+E42*PH_Roster)</f>
        <v/>
      </c>
      <c r="K42" s="13">
        <f>($B42-F42+F42*PH_Roster*(1+PH_Loading))/($B42-F42+F42*PH_Roster)</f>
        <v/>
      </c>
      <c r="L42" s="13">
        <f>($B42-G42+G42*PH_Roster*(1+PH_Loading))/($B42-G42+G42*PH_Roster)</f>
        <v/>
      </c>
      <c r="M42" s="13">
        <f>EXP(SUMPRODUCT((WageDates&lt;=$A42)*(WageDates&lt;&gt;"")*LN(1+WageRates)))</f>
        <v/>
      </c>
    </row>
    <row r="43">
      <c r="A43" s="9" t="n">
        <v>46813</v>
      </c>
      <c r="B43">
        <f>DAY(EOMONTH(A43,0))</f>
        <v/>
      </c>
      <c r="C43">
        <f>COUNTIFS(Holidays!$A$2:$A$1000,"&gt;="&amp;$A43,Holidays!$A$2:$A$1000,"&lt;="&amp;EOMONTH($A43,0),Holidays!$C$2:$C$1000,"NSW")</f>
        <v/>
      </c>
      <c r="D43">
        <f>COUNTIFS(Holidays!$A$2:$A$1000,"&gt;="&amp;$A43,Holidays!$A$2:$A$1000,"&lt;="&amp;EOMONTH($A43,0),Holidays!$C$2:$C$1000,"VIC")</f>
        <v/>
      </c>
      <c r="E43">
        <f>COUNTIFS(Holidays!$A$2:$A$1000,"&gt;="&amp;$A43,Holidays!$A$2:$A$1000,"&lt;="&amp;EOMONTH($A43,0),Holidays!$C$2:$C$1000,"QLD")</f>
        <v/>
      </c>
      <c r="F43">
        <f>COUNTIFS(Holidays!$A$2:$A$1000,"&gt;="&amp;$A43,Holidays!$A$2:$A$1000,"&lt;="&amp;EOMONTH($A43,0),Holidays!$C$2:$C$1000,"SA")</f>
        <v/>
      </c>
      <c r="G43">
        <f>COUNTIFS(Holidays!$A$2:$A$1000,"&gt;="&amp;$A43,Holidays!$A$2:$A$1000,"&lt;="&amp;EOMONTH($A43,0),Holidays!$C$2:$C$1000,"WA")</f>
        <v/>
      </c>
      <c r="H43" s="13">
        <f>($B43-C43+C43*PH_Roster*(1+PH_Loading))/($B43-C43+C43*PH_Roster)</f>
        <v/>
      </c>
      <c r="I43" s="13">
        <f>($B43-D43+D43*PH_Roster*(1+PH_Loading))/($B43-D43+D43*PH_Roster)</f>
        <v/>
      </c>
      <c r="J43" s="13">
        <f>($B43-E43+E43*PH_Roster*(1+PH_Loading))/($B43-E43+E43*PH_Roster)</f>
        <v/>
      </c>
      <c r="K43" s="13">
        <f>($B43-F43+F43*PH_Roster*(1+PH_Loading))/($B43-F43+F43*PH_Roster)</f>
        <v/>
      </c>
      <c r="L43" s="13">
        <f>($B43-G43+G43*PH_Roster*(1+PH_Loading))/($B43-G43+G43*PH_Roster)</f>
        <v/>
      </c>
      <c r="M43" s="13">
        <f>EXP(SUMPRODUCT((WageDates&lt;=$A43)*(WageDates&lt;&gt;"")*LN(1+WageRates)))</f>
        <v/>
      </c>
    </row>
    <row r="44">
      <c r="A44" s="9" t="n">
        <v>46844</v>
      </c>
      <c r="B44">
        <f>DAY(EOMONTH(A44,0))</f>
        <v/>
      </c>
      <c r="C44">
        <f>COUNTIFS(Holidays!$A$2:$A$1000,"&gt;="&amp;$A44,Holidays!$A$2:$A$1000,"&lt;="&amp;EOMONTH($A44,0),Holidays!$C$2:$C$1000,"NSW")</f>
        <v/>
      </c>
      <c r="D44">
        <f>COUNTIFS(Holidays!$A$2:$A$1000,"&gt;="&amp;$A44,Holidays!$A$2:$A$1000,"&lt;="&amp;EOMONTH($A44,0),Holidays!$C$2:$C$1000,"VIC")</f>
        <v/>
      </c>
      <c r="E44">
        <f>COUNTIFS(Holidays!$A$2:$A$1000,"&gt;="&amp;$A44,Holidays!$A$2:$A$1000,"&lt;="&amp;EOMONTH($A44,0),Holidays!$C$2:$C$1000,"QLD")</f>
        <v/>
      </c>
      <c r="F44">
        <f>COUNTIFS(Holidays!$A$2:$A$1000,"&gt;="&amp;$A44,Holidays!$A$2:$A$1000,"&lt;="&amp;EOMONTH($A44,0),Holidays!$C$2:$C$1000,"SA")</f>
        <v/>
      </c>
      <c r="G44">
        <f>COUNTIFS(Holidays!$A$2:$A$1000,"&gt;="&amp;$A44,Holidays!$A$2:$A$1000,"&lt;="&amp;EOMONTH($A44,0),Holidays!$C$2:$C$1000,"WA")</f>
        <v/>
      </c>
      <c r="H44" s="13">
        <f>($B44-C44+C44*PH_Roster*(1+PH_Loading))/($B44-C44+C44*PH_Roster)</f>
        <v/>
      </c>
      <c r="I44" s="13">
        <f>($B44-D44+D44*PH_Roster*(1+PH_Loading))/($B44-D44+D44*PH_Roster)</f>
        <v/>
      </c>
      <c r="J44" s="13">
        <f>($B44-E44+E44*PH_Roster*(1+PH_Loading))/($B44-E44+E44*PH_Roster)</f>
        <v/>
      </c>
      <c r="K44" s="13">
        <f>($B44-F44+F44*PH_Roster*(1+PH_Loading))/($B44-F44+F44*PH_Roster)</f>
        <v/>
      </c>
      <c r="L44" s="13">
        <f>($B44-G44+G44*PH_Roster*(1+PH_Loading))/($B44-G44+G44*PH_Roster)</f>
        <v/>
      </c>
      <c r="M44" s="13">
        <f>EXP(SUMPRODUCT((WageDates&lt;=$A44)*(WageDates&lt;&gt;"")*LN(1+WageRates)))</f>
        <v/>
      </c>
    </row>
    <row r="45">
      <c r="A45" s="9" t="n">
        <v>46874</v>
      </c>
      <c r="B45">
        <f>DAY(EOMONTH(A45,0))</f>
        <v/>
      </c>
      <c r="C45">
        <f>COUNTIFS(Holidays!$A$2:$A$1000,"&gt;="&amp;$A45,Holidays!$A$2:$A$1000,"&lt;="&amp;EOMONTH($A45,0),Holidays!$C$2:$C$1000,"NSW")</f>
        <v/>
      </c>
      <c r="D45">
        <f>COUNTIFS(Holidays!$A$2:$A$1000,"&gt;="&amp;$A45,Holidays!$A$2:$A$1000,"&lt;="&amp;EOMONTH($A45,0),Holidays!$C$2:$C$1000,"VIC")</f>
        <v/>
      </c>
      <c r="E45">
        <f>COUNTIFS(Holidays!$A$2:$A$1000,"&gt;="&amp;$A45,Holidays!$A$2:$A$1000,"&lt;="&amp;EOMONTH($A45,0),Holidays!$C$2:$C$1000,"QLD")</f>
        <v/>
      </c>
      <c r="F45">
        <f>COUNTIFS(Holidays!$A$2:$A$1000,"&gt;="&amp;$A45,Holidays!$A$2:$A$1000,"&lt;="&amp;EOMONTH($A45,0),Holidays!$C$2:$C$1000,"SA")</f>
        <v/>
      </c>
      <c r="G45">
        <f>COUNTIFS(Holidays!$A$2:$A$1000,"&gt;="&amp;$A45,Holidays!$A$2:$A$1000,"&lt;="&amp;EOMONTH($A45,0),Holidays!$C$2:$C$1000,"WA")</f>
        <v/>
      </c>
      <c r="H45" s="13">
        <f>($B45-C45+C45*PH_Roster*(1+PH_Loading))/($B45-C45+C45*PH_Roster)</f>
        <v/>
      </c>
      <c r="I45" s="13">
        <f>($B45-D45+D45*PH_Roster*(1+PH_Loading))/($B45-D45+D45*PH_Roster)</f>
        <v/>
      </c>
      <c r="J45" s="13">
        <f>($B45-E45+E45*PH_Roster*(1+PH_Loading))/($B45-E45+E45*PH_Roster)</f>
        <v/>
      </c>
      <c r="K45" s="13">
        <f>($B45-F45+F45*PH_Roster*(1+PH_Loading))/($B45-F45+F45*PH_Roster)</f>
        <v/>
      </c>
      <c r="L45" s="13">
        <f>($B45-G45+G45*PH_Roster*(1+PH_Loading))/($B45-G45+G45*PH_Roster)</f>
        <v/>
      </c>
      <c r="M45" s="13">
        <f>EXP(SUMPRODUCT((WageDates&lt;=$A45)*(WageDates&lt;&gt;"")*LN(1+WageRates)))</f>
        <v/>
      </c>
    </row>
    <row r="46">
      <c r="A46" s="9" t="n">
        <v>46905</v>
      </c>
      <c r="B46">
        <f>DAY(EOMONTH(A46,0))</f>
        <v/>
      </c>
      <c r="C46">
        <f>COUNTIFS(Holidays!$A$2:$A$1000,"&gt;="&amp;$A46,Holidays!$A$2:$A$1000,"&lt;="&amp;EOMONTH($A46,0),Holidays!$C$2:$C$1000,"NSW")</f>
        <v/>
      </c>
      <c r="D46">
        <f>COUNTIFS(Holidays!$A$2:$A$1000,"&gt;="&amp;$A46,Holidays!$A$2:$A$1000,"&lt;="&amp;EOMONTH($A46,0),Holidays!$C$2:$C$1000,"VIC")</f>
        <v/>
      </c>
      <c r="E46">
        <f>COUNTIFS(Holidays!$A$2:$A$1000,"&gt;="&amp;$A46,Holidays!$A$2:$A$1000,"&lt;="&amp;EOMONTH($A46,0),Holidays!$C$2:$C$1000,"QLD")</f>
        <v/>
      </c>
      <c r="F46">
        <f>COUNTIFS(Holidays!$A$2:$A$1000,"&gt;="&amp;$A46,Holidays!$A$2:$A$1000,"&lt;="&amp;EOMONTH($A46,0),Holidays!$C$2:$C$1000,"SA")</f>
        <v/>
      </c>
      <c r="G46">
        <f>COUNTIFS(Holidays!$A$2:$A$1000,"&gt;="&amp;$A46,Holidays!$A$2:$A$1000,"&lt;="&amp;EOMONTH($A46,0),Holidays!$C$2:$C$1000,"WA")</f>
        <v/>
      </c>
      <c r="H46" s="13">
        <f>($B46-C46+C46*PH_Roster*(1+PH_Loading))/($B46-C46+C46*PH_Roster)</f>
        <v/>
      </c>
      <c r="I46" s="13">
        <f>($B46-D46+D46*PH_Roster*(1+PH_Loading))/($B46-D46+D46*PH_Roster)</f>
        <v/>
      </c>
      <c r="J46" s="13">
        <f>($B46-E46+E46*PH_Roster*(1+PH_Loading))/($B46-E46+E46*PH_Roster)</f>
        <v/>
      </c>
      <c r="K46" s="13">
        <f>($B46-F46+F46*PH_Roster*(1+PH_Loading))/($B46-F46+F46*PH_Roster)</f>
        <v/>
      </c>
      <c r="L46" s="13">
        <f>($B46-G46+G46*PH_Roster*(1+PH_Loading))/($B46-G46+G46*PH_Roster)</f>
        <v/>
      </c>
      <c r="M46" s="13">
        <f>EXP(SUMPRODUCT((WageDates&lt;=$A46)*(WageDates&lt;&gt;"")*LN(1+WageRates)))</f>
        <v/>
      </c>
    </row>
    <row r="47">
      <c r="A47" s="9" t="n">
        <v>46935</v>
      </c>
      <c r="B47">
        <f>DAY(EOMONTH(A47,0))</f>
        <v/>
      </c>
      <c r="C47">
        <f>COUNTIFS(Holidays!$A$2:$A$1000,"&gt;="&amp;$A47,Holidays!$A$2:$A$1000,"&lt;="&amp;EOMONTH($A47,0),Holidays!$C$2:$C$1000,"NSW")</f>
        <v/>
      </c>
      <c r="D47">
        <f>COUNTIFS(Holidays!$A$2:$A$1000,"&gt;="&amp;$A47,Holidays!$A$2:$A$1000,"&lt;="&amp;EOMONTH($A47,0),Holidays!$C$2:$C$1000,"VIC")</f>
        <v/>
      </c>
      <c r="E47">
        <f>COUNTIFS(Holidays!$A$2:$A$1000,"&gt;="&amp;$A47,Holidays!$A$2:$A$1000,"&lt;="&amp;EOMONTH($A47,0),Holidays!$C$2:$C$1000,"QLD")</f>
        <v/>
      </c>
      <c r="F47">
        <f>COUNTIFS(Holidays!$A$2:$A$1000,"&gt;="&amp;$A47,Holidays!$A$2:$A$1000,"&lt;="&amp;EOMONTH($A47,0),Holidays!$C$2:$C$1000,"SA")</f>
        <v/>
      </c>
      <c r="G47">
        <f>COUNTIFS(Holidays!$A$2:$A$1000,"&gt;="&amp;$A47,Holidays!$A$2:$A$1000,"&lt;="&amp;EOMONTH($A47,0),Holidays!$C$2:$C$1000,"WA")</f>
        <v/>
      </c>
      <c r="H47" s="13">
        <f>($B47-C47+C47*PH_Roster*(1+PH_Loading))/($B47-C47+C47*PH_Roster)</f>
        <v/>
      </c>
      <c r="I47" s="13">
        <f>($B47-D47+D47*PH_Roster*(1+PH_Loading))/($B47-D47+D47*PH_Roster)</f>
        <v/>
      </c>
      <c r="J47" s="13">
        <f>($B47-E47+E47*PH_Roster*(1+PH_Loading))/($B47-E47+E47*PH_Roster)</f>
        <v/>
      </c>
      <c r="K47" s="13">
        <f>($B47-F47+F47*PH_Roster*(1+PH_Loading))/($B47-F47+F47*PH_Roster)</f>
        <v/>
      </c>
      <c r="L47" s="13">
        <f>($B47-G47+G47*PH_Roster*(1+PH_Loading))/($B47-G47+G47*PH_Roster)</f>
        <v/>
      </c>
      <c r="M47" s="13">
        <f>EXP(SUMPRODUCT((WageDates&lt;=$A47)*(WageDates&lt;&gt;"")*LN(1+WageRates)))</f>
        <v/>
      </c>
    </row>
    <row r="48">
      <c r="A48" s="9" t="n">
        <v>46966</v>
      </c>
      <c r="B48">
        <f>DAY(EOMONTH(A48,0))</f>
        <v/>
      </c>
      <c r="C48">
        <f>COUNTIFS(Holidays!$A$2:$A$1000,"&gt;="&amp;$A48,Holidays!$A$2:$A$1000,"&lt;="&amp;EOMONTH($A48,0),Holidays!$C$2:$C$1000,"NSW")</f>
        <v/>
      </c>
      <c r="D48">
        <f>COUNTIFS(Holidays!$A$2:$A$1000,"&gt;="&amp;$A48,Holidays!$A$2:$A$1000,"&lt;="&amp;EOMONTH($A48,0),Holidays!$C$2:$C$1000,"VIC")</f>
        <v/>
      </c>
      <c r="E48">
        <f>COUNTIFS(Holidays!$A$2:$A$1000,"&gt;="&amp;$A48,Holidays!$A$2:$A$1000,"&lt;="&amp;EOMONTH($A48,0),Holidays!$C$2:$C$1000,"QLD")</f>
        <v/>
      </c>
      <c r="F48">
        <f>COUNTIFS(Holidays!$A$2:$A$1000,"&gt;="&amp;$A48,Holidays!$A$2:$A$1000,"&lt;="&amp;EOMONTH($A48,0),Holidays!$C$2:$C$1000,"SA")</f>
        <v/>
      </c>
      <c r="G48">
        <f>COUNTIFS(Holidays!$A$2:$A$1000,"&gt;="&amp;$A48,Holidays!$A$2:$A$1000,"&lt;="&amp;EOMONTH($A48,0),Holidays!$C$2:$C$1000,"WA")</f>
        <v/>
      </c>
      <c r="H48" s="13">
        <f>($B48-C48+C48*PH_Roster*(1+PH_Loading))/($B48-C48+C48*PH_Roster)</f>
        <v/>
      </c>
      <c r="I48" s="13">
        <f>($B48-D48+D48*PH_Roster*(1+PH_Loading))/($B48-D48+D48*PH_Roster)</f>
        <v/>
      </c>
      <c r="J48" s="13">
        <f>($B48-E48+E48*PH_Roster*(1+PH_Loading))/($B48-E48+E48*PH_Roster)</f>
        <v/>
      </c>
      <c r="K48" s="13">
        <f>($B48-F48+F48*PH_Roster*(1+PH_Loading))/($B48-F48+F48*PH_Roster)</f>
        <v/>
      </c>
      <c r="L48" s="13">
        <f>($B48-G48+G48*PH_Roster*(1+PH_Loading))/($B48-G48+G48*PH_Roster)</f>
        <v/>
      </c>
      <c r="M48" s="13">
        <f>EXP(SUMPRODUCT((WageDates&lt;=$A48)*(WageDates&lt;&gt;"")*LN(1+WageRates)))</f>
        <v/>
      </c>
    </row>
    <row r="49">
      <c r="A49" s="9" t="n">
        <v>46997</v>
      </c>
      <c r="B49">
        <f>DAY(EOMONTH(A49,0))</f>
        <v/>
      </c>
      <c r="C49">
        <f>COUNTIFS(Holidays!$A$2:$A$1000,"&gt;="&amp;$A49,Holidays!$A$2:$A$1000,"&lt;="&amp;EOMONTH($A49,0),Holidays!$C$2:$C$1000,"NSW")</f>
        <v/>
      </c>
      <c r="D49">
        <f>COUNTIFS(Holidays!$A$2:$A$1000,"&gt;="&amp;$A49,Holidays!$A$2:$A$1000,"&lt;="&amp;EOMONTH($A49,0),Holidays!$C$2:$C$1000,"VIC")</f>
        <v/>
      </c>
      <c r="E49">
        <f>COUNTIFS(Holidays!$A$2:$A$1000,"&gt;="&amp;$A49,Holidays!$A$2:$A$1000,"&lt;="&amp;EOMONTH($A49,0),Holidays!$C$2:$C$1000,"QLD")</f>
        <v/>
      </c>
      <c r="F49">
        <f>COUNTIFS(Holidays!$A$2:$A$1000,"&gt;="&amp;$A49,Holidays!$A$2:$A$1000,"&lt;="&amp;EOMONTH($A49,0),Holidays!$C$2:$C$1000,"SA")</f>
        <v/>
      </c>
      <c r="G49">
        <f>COUNTIFS(Holidays!$A$2:$A$1000,"&gt;="&amp;$A49,Holidays!$A$2:$A$1000,"&lt;="&amp;EOMONTH($A49,0),Holidays!$C$2:$C$1000,"WA")</f>
        <v/>
      </c>
      <c r="H49" s="13">
        <f>($B49-C49+C49*PH_Roster*(1+PH_Loading))/($B49-C49+C49*PH_Roster)</f>
        <v/>
      </c>
      <c r="I49" s="13">
        <f>($B49-D49+D49*PH_Roster*(1+PH_Loading))/($B49-D49+D49*PH_Roster)</f>
        <v/>
      </c>
      <c r="J49" s="13">
        <f>($B49-E49+E49*PH_Roster*(1+PH_Loading))/($B49-E49+E49*PH_Roster)</f>
        <v/>
      </c>
      <c r="K49" s="13">
        <f>($B49-F49+F49*PH_Roster*(1+PH_Loading))/($B49-F49+F49*PH_Roster)</f>
        <v/>
      </c>
      <c r="L49" s="13">
        <f>($B49-G49+G49*PH_Roster*(1+PH_Loading))/($B49-G49+G49*PH_Roster)</f>
        <v/>
      </c>
      <c r="M49" s="13">
        <f>EXP(SUMPRODUCT((WageDates&lt;=$A49)*(WageDates&lt;&gt;"")*LN(1+WageRates)))</f>
        <v/>
      </c>
    </row>
    <row r="50">
      <c r="A50" s="9" t="n">
        <v>47027</v>
      </c>
      <c r="B50">
        <f>DAY(EOMONTH(A50,0))</f>
        <v/>
      </c>
      <c r="C50">
        <f>COUNTIFS(Holidays!$A$2:$A$1000,"&gt;="&amp;$A50,Holidays!$A$2:$A$1000,"&lt;="&amp;EOMONTH($A50,0),Holidays!$C$2:$C$1000,"NSW")</f>
        <v/>
      </c>
      <c r="D50">
        <f>COUNTIFS(Holidays!$A$2:$A$1000,"&gt;="&amp;$A50,Holidays!$A$2:$A$1000,"&lt;="&amp;EOMONTH($A50,0),Holidays!$C$2:$C$1000,"VIC")</f>
        <v/>
      </c>
      <c r="E50">
        <f>COUNTIFS(Holidays!$A$2:$A$1000,"&gt;="&amp;$A50,Holidays!$A$2:$A$1000,"&lt;="&amp;EOMONTH($A50,0),Holidays!$C$2:$C$1000,"QLD")</f>
        <v/>
      </c>
      <c r="F50">
        <f>COUNTIFS(Holidays!$A$2:$A$1000,"&gt;="&amp;$A50,Holidays!$A$2:$A$1000,"&lt;="&amp;EOMONTH($A50,0),Holidays!$C$2:$C$1000,"SA")</f>
        <v/>
      </c>
      <c r="G50">
        <f>COUNTIFS(Holidays!$A$2:$A$1000,"&gt;="&amp;$A50,Holidays!$A$2:$A$1000,"&lt;="&amp;EOMONTH($A50,0),Holidays!$C$2:$C$1000,"WA")</f>
        <v/>
      </c>
      <c r="H50" s="13">
        <f>($B50-C50+C50*PH_Roster*(1+PH_Loading))/($B50-C50+C50*PH_Roster)</f>
        <v/>
      </c>
      <c r="I50" s="13">
        <f>($B50-D50+D50*PH_Roster*(1+PH_Loading))/($B50-D50+D50*PH_Roster)</f>
        <v/>
      </c>
      <c r="J50" s="13">
        <f>($B50-E50+E50*PH_Roster*(1+PH_Loading))/($B50-E50+E50*PH_Roster)</f>
        <v/>
      </c>
      <c r="K50" s="13">
        <f>($B50-F50+F50*PH_Roster*(1+PH_Loading))/($B50-F50+F50*PH_Roster)</f>
        <v/>
      </c>
      <c r="L50" s="13">
        <f>($B50-G50+G50*PH_Roster*(1+PH_Loading))/($B50-G50+G50*PH_Roster)</f>
        <v/>
      </c>
      <c r="M50" s="13">
        <f>EXP(SUMPRODUCT((WageDates&lt;=$A50)*(WageDates&lt;&gt;"")*LN(1+WageRates)))</f>
        <v/>
      </c>
    </row>
    <row r="51">
      <c r="A51" s="9" t="n">
        <v>47058</v>
      </c>
      <c r="B51">
        <f>DAY(EOMONTH(A51,0))</f>
        <v/>
      </c>
      <c r="C51">
        <f>COUNTIFS(Holidays!$A$2:$A$1000,"&gt;="&amp;$A51,Holidays!$A$2:$A$1000,"&lt;="&amp;EOMONTH($A51,0),Holidays!$C$2:$C$1000,"NSW")</f>
        <v/>
      </c>
      <c r="D51">
        <f>COUNTIFS(Holidays!$A$2:$A$1000,"&gt;="&amp;$A51,Holidays!$A$2:$A$1000,"&lt;="&amp;EOMONTH($A51,0),Holidays!$C$2:$C$1000,"VIC")</f>
        <v/>
      </c>
      <c r="E51">
        <f>COUNTIFS(Holidays!$A$2:$A$1000,"&gt;="&amp;$A51,Holidays!$A$2:$A$1000,"&lt;="&amp;EOMONTH($A51,0),Holidays!$C$2:$C$1000,"QLD")</f>
        <v/>
      </c>
      <c r="F51">
        <f>COUNTIFS(Holidays!$A$2:$A$1000,"&gt;="&amp;$A51,Holidays!$A$2:$A$1000,"&lt;="&amp;EOMONTH($A51,0),Holidays!$C$2:$C$1000,"SA")</f>
        <v/>
      </c>
      <c r="G51">
        <f>COUNTIFS(Holidays!$A$2:$A$1000,"&gt;="&amp;$A51,Holidays!$A$2:$A$1000,"&lt;="&amp;EOMONTH($A51,0),Holidays!$C$2:$C$1000,"WA")</f>
        <v/>
      </c>
      <c r="H51" s="13">
        <f>($B51-C51+C51*PH_Roster*(1+PH_Loading))/($B51-C51+C51*PH_Roster)</f>
        <v/>
      </c>
      <c r="I51" s="13">
        <f>($B51-D51+D51*PH_Roster*(1+PH_Loading))/($B51-D51+D51*PH_Roster)</f>
        <v/>
      </c>
      <c r="J51" s="13">
        <f>($B51-E51+E51*PH_Roster*(1+PH_Loading))/($B51-E51+E51*PH_Roster)</f>
        <v/>
      </c>
      <c r="K51" s="13">
        <f>($B51-F51+F51*PH_Roster*(1+PH_Loading))/($B51-F51+F51*PH_Roster)</f>
        <v/>
      </c>
      <c r="L51" s="13">
        <f>($B51-G51+G51*PH_Roster*(1+PH_Loading))/($B51-G51+G51*PH_Roster)</f>
        <v/>
      </c>
      <c r="M51" s="13">
        <f>EXP(SUMPRODUCT((WageDates&lt;=$A51)*(WageDates&lt;&gt;"")*LN(1+WageRates)))</f>
        <v/>
      </c>
    </row>
    <row r="52">
      <c r="A52" s="9" t="n">
        <v>47088</v>
      </c>
      <c r="B52">
        <f>DAY(EOMONTH(A52,0))</f>
        <v/>
      </c>
      <c r="C52">
        <f>COUNTIFS(Holidays!$A$2:$A$1000,"&gt;="&amp;$A52,Holidays!$A$2:$A$1000,"&lt;="&amp;EOMONTH($A52,0),Holidays!$C$2:$C$1000,"NSW")</f>
        <v/>
      </c>
      <c r="D52">
        <f>COUNTIFS(Holidays!$A$2:$A$1000,"&gt;="&amp;$A52,Holidays!$A$2:$A$1000,"&lt;="&amp;EOMONTH($A52,0),Holidays!$C$2:$C$1000,"VIC")</f>
        <v/>
      </c>
      <c r="E52">
        <f>COUNTIFS(Holidays!$A$2:$A$1000,"&gt;="&amp;$A52,Holidays!$A$2:$A$1000,"&lt;="&amp;EOMONTH($A52,0),Holidays!$C$2:$C$1000,"QLD")</f>
        <v/>
      </c>
      <c r="F52">
        <f>COUNTIFS(Holidays!$A$2:$A$1000,"&gt;="&amp;$A52,Holidays!$A$2:$A$1000,"&lt;="&amp;EOMONTH($A52,0),Holidays!$C$2:$C$1000,"SA")</f>
        <v/>
      </c>
      <c r="G52">
        <f>COUNTIFS(Holidays!$A$2:$A$1000,"&gt;="&amp;$A52,Holidays!$A$2:$A$1000,"&lt;="&amp;EOMONTH($A52,0),Holidays!$C$2:$C$1000,"WA")</f>
        <v/>
      </c>
      <c r="H52" s="13">
        <f>($B52-C52+C52*PH_Roster*(1+PH_Loading))/($B52-C52+C52*PH_Roster)</f>
        <v/>
      </c>
      <c r="I52" s="13">
        <f>($B52-D52+D52*PH_Roster*(1+PH_Loading))/($B52-D52+D52*PH_Roster)</f>
        <v/>
      </c>
      <c r="J52" s="13">
        <f>($B52-E52+E52*PH_Roster*(1+PH_Loading))/($B52-E52+E52*PH_Roster)</f>
        <v/>
      </c>
      <c r="K52" s="13">
        <f>($B52-F52+F52*PH_Roster*(1+PH_Loading))/($B52-F52+F52*PH_Roster)</f>
        <v/>
      </c>
      <c r="L52" s="13">
        <f>($B52-G52+G52*PH_Roster*(1+PH_Loading))/($B52-G52+G52*PH_Roster)</f>
        <v/>
      </c>
      <c r="M52" s="13">
        <f>EXP(SUMPRODUCT((WageDates&lt;=$A52)*(WageDates&lt;&gt;"")*LN(1+WageRates)))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Checks</t>
        </is>
      </c>
    </row>
    <row r="3">
      <c r="A3" t="inlineStr">
        <is>
          <t>Overall</t>
        </is>
      </c>
      <c r="B3" s="1">
        <f>IF(COUNTIF(D6:D40,"ERROR")=0,"ALL CHECKS OK","CHECK ERRORS")</f>
        <v/>
      </c>
    </row>
    <row r="5">
      <c r="A5" s="5" t="inlineStr">
        <is>
          <t>Check</t>
        </is>
      </c>
      <c r="B5" s="5" t="inlineStr">
        <is>
          <t>Value</t>
        </is>
      </c>
      <c r="C5" s="5" t="inlineStr">
        <is>
          <t>Expected</t>
        </is>
      </c>
      <c r="D5" s="5" t="inlineStr">
        <is>
          <t>Result</t>
        </is>
      </c>
    </row>
    <row r="6">
      <c r="A6" t="inlineStr">
        <is>
          <t>NSW-1: actual rows in Data_Actuals (one per month)</t>
        </is>
      </c>
      <c r="B6" s="10">
        <f>COUNTIFS(Data_Actuals!$B$2:$B$5000,"NSW-1",Data_Actuals!$A$2:$A$5000,"&lt;="&amp;LastActual)</f>
        <v/>
      </c>
      <c r="C6" s="10">
        <f>(YEAR(LastActual)-2025)*12+MONTH(LastActual)</f>
        <v/>
      </c>
      <c r="D6">
        <f>IF(ABS(B6-C6)&lt;=MAX(1,ABS(C6)*0.000001),"OK","ERROR")</f>
        <v/>
      </c>
    </row>
    <row r="7">
      <c r="A7" t="inlineStr">
        <is>
          <t>VIC-1: actual rows in Data_Actuals (one per month)</t>
        </is>
      </c>
      <c r="B7" s="10">
        <f>COUNTIFS(Data_Actuals!$B$2:$B$5000,"VIC-1",Data_Actuals!$A$2:$A$5000,"&lt;="&amp;LastActual)</f>
        <v/>
      </c>
      <c r="C7" s="10">
        <f>(YEAR(LastActual)-2025)*12+MONTH(LastActual)</f>
        <v/>
      </c>
      <c r="D7">
        <f>IF(ABS(B7-C7)&lt;=MAX(1,ABS(C7)*0.000001),"OK","ERROR")</f>
        <v/>
      </c>
    </row>
    <row r="8">
      <c r="A8" t="inlineStr">
        <is>
          <t>QLD-1: actual rows in Data_Actuals (one per month)</t>
        </is>
      </c>
      <c r="B8" s="10">
        <f>COUNTIFS(Data_Actuals!$B$2:$B$5000,"QLD-1",Data_Actuals!$A$2:$A$5000,"&lt;="&amp;LastActual)</f>
        <v/>
      </c>
      <c r="C8" s="10">
        <f>(YEAR(LastActual)-2025)*12+MONTH(LastActual)</f>
        <v/>
      </c>
      <c r="D8">
        <f>IF(ABS(B8-C8)&lt;=MAX(1,ABS(C8)*0.000001),"OK","ERROR")</f>
        <v/>
      </c>
    </row>
    <row r="9">
      <c r="A9" t="inlineStr">
        <is>
          <t>NSW-2: actual rows in Data_Actuals (one per month)</t>
        </is>
      </c>
      <c r="B9" s="10">
        <f>COUNTIFS(Data_Actuals!$B$2:$B$5000,"NSW-2",Data_Actuals!$A$2:$A$5000,"&lt;="&amp;LastActual)</f>
        <v/>
      </c>
      <c r="C9" s="10">
        <f>(YEAR(LastActual)-2025)*12+MONTH(LastActual)</f>
        <v/>
      </c>
      <c r="D9">
        <f>IF(ABS(B9-C9)&lt;=MAX(1,ABS(C9)*0.000001),"OK","ERROR")</f>
        <v/>
      </c>
    </row>
    <row r="10">
      <c r="A10" t="inlineStr">
        <is>
          <t>VIC-2: actual rows in Data_Actuals (one per month)</t>
        </is>
      </c>
      <c r="B10" s="10">
        <f>COUNTIFS(Data_Actuals!$B$2:$B$5000,"VIC-2",Data_Actuals!$A$2:$A$5000,"&lt;="&amp;LastActual)</f>
        <v/>
      </c>
      <c r="C10" s="10">
        <f>(YEAR(LastActual)-2025)*12+MONTH(LastActual)</f>
        <v/>
      </c>
      <c r="D10">
        <f>IF(ABS(B10-C10)&lt;=MAX(1,ABS(C10)*0.000001),"OK","ERROR")</f>
        <v/>
      </c>
    </row>
    <row r="11">
      <c r="A11" t="inlineStr">
        <is>
          <t>QLD-2: actual rows in Data_Actuals (one per month)</t>
        </is>
      </c>
      <c r="B11" s="10">
        <f>COUNTIFS(Data_Actuals!$B$2:$B$5000,"QLD-2",Data_Actuals!$A$2:$A$5000,"&lt;="&amp;LastActual)</f>
        <v/>
      </c>
      <c r="C11" s="10">
        <f>(YEAR(LastActual)-2025)*12+MONTH(LastActual)</f>
        <v/>
      </c>
      <c r="D11">
        <f>IF(ABS(B11-C11)&lt;=MAX(1,ABS(C11)*0.000001),"OK","ERROR")</f>
        <v/>
      </c>
    </row>
    <row r="12">
      <c r="A12" t="inlineStr">
        <is>
          <t>SA-1: actual rows in Data_Actuals (one per month)</t>
        </is>
      </c>
      <c r="B12" s="10">
        <f>COUNTIFS(Data_Actuals!$B$2:$B$5000,"SA-1",Data_Actuals!$A$2:$A$5000,"&lt;="&amp;LastActual)</f>
        <v/>
      </c>
      <c r="C12" s="10">
        <f>(YEAR(LastActual)-2025)*12+MONTH(LastActual)</f>
        <v/>
      </c>
      <c r="D12">
        <f>IF(ABS(B12-C12)&lt;=MAX(1,ABS(C12)*0.000001),"OK","ERROR")</f>
        <v/>
      </c>
    </row>
    <row r="13">
      <c r="A13" t="inlineStr">
        <is>
          <t>WA-1: actual rows in Data_Actuals (one per month)</t>
        </is>
      </c>
      <c r="B13" s="10">
        <f>COUNTIFS(Data_Actuals!$B$2:$B$5000,"WA-1",Data_Actuals!$A$2:$A$5000,"&lt;="&amp;LastActual)</f>
        <v/>
      </c>
      <c r="C13" s="10">
        <f>(YEAR(LastActual)-2025)*12+MONTH(LastActual)</f>
        <v/>
      </c>
      <c r="D13">
        <f>IF(ABS(B13-C13)&lt;=MAX(1,ABS(C13)*0.000001),"OK","ERROR")</f>
        <v/>
      </c>
    </row>
    <row r="14">
      <c r="A14" t="inlineStr">
        <is>
          <t>IDC-NSW: actual rows in Data_Actuals (one per month)</t>
        </is>
      </c>
      <c r="B14" s="10">
        <f>COUNTIFS(Data_Actuals!$B$2:$B$5000,"IDC-NSW",Data_Actuals!$A$2:$A$5000,"&lt;="&amp;LastActual)</f>
        <v/>
      </c>
      <c r="C14" s="10">
        <f>(YEAR(LastActual)-2025)*12+MONTH(LastActual)</f>
        <v/>
      </c>
      <c r="D14">
        <f>IF(ABS(B14-C14)&lt;=MAX(1,ABS(C14)*0.000001),"OK","ERROR")</f>
        <v/>
      </c>
    </row>
    <row r="15">
      <c r="A15" t="inlineStr">
        <is>
          <t>IDC-VIC: actual rows in Data_Actuals (one per month)</t>
        </is>
      </c>
      <c r="B15" s="10">
        <f>COUNTIFS(Data_Actuals!$B$2:$B$5000,"IDC-VIC",Data_Actuals!$A$2:$A$5000,"&lt;="&amp;LastActual)</f>
        <v/>
      </c>
      <c r="C15" s="10">
        <f>(YEAR(LastActual)-2025)*12+MONTH(LastActual)</f>
        <v/>
      </c>
      <c r="D15">
        <f>IF(ABS(B15-C15)&lt;=MAX(1,ABS(C15)*0.000001),"OK","ERROR")</f>
        <v/>
      </c>
    </row>
    <row r="16">
      <c r="A16" t="inlineStr">
        <is>
          <t>NSW-1: plan payroll % present for every forecast month</t>
        </is>
      </c>
      <c r="B16" s="10">
        <f>COUNTIFS(Plan_Inputs!$B$2:$B$5000,"NSW-1",Plan_Inputs!$A$2:$A$5000,"&gt;"&amp;LastActual,Plan_Inputs!$D$2:$D$5000,"&gt;0")</f>
        <v/>
      </c>
      <c r="C16" s="10">
        <f>(2028-YEAR(LastActual))*12+12-MONTH(LastActual)</f>
        <v/>
      </c>
      <c r="D16">
        <f>IF(ABS(B16-C16)&lt;=MAX(1,ABS(C16)*0.000001),"OK","ERROR")</f>
        <v/>
      </c>
    </row>
    <row r="17">
      <c r="A17" t="inlineStr">
        <is>
          <t>VIC-1: plan payroll % present for every forecast month</t>
        </is>
      </c>
      <c r="B17" s="10">
        <f>COUNTIFS(Plan_Inputs!$B$2:$B$5000,"VIC-1",Plan_Inputs!$A$2:$A$5000,"&gt;"&amp;LastActual,Plan_Inputs!$D$2:$D$5000,"&gt;0")</f>
        <v/>
      </c>
      <c r="C17" s="10">
        <f>(2028-YEAR(LastActual))*12+12-MONTH(LastActual)</f>
        <v/>
      </c>
      <c r="D17">
        <f>IF(ABS(B17-C17)&lt;=MAX(1,ABS(C17)*0.000001),"OK","ERROR")</f>
        <v/>
      </c>
    </row>
    <row r="18">
      <c r="A18" t="inlineStr">
        <is>
          <t>QLD-1: plan payroll % present for every forecast month</t>
        </is>
      </c>
      <c r="B18" s="10">
        <f>COUNTIFS(Plan_Inputs!$B$2:$B$5000,"QLD-1",Plan_Inputs!$A$2:$A$5000,"&gt;"&amp;LastActual,Plan_Inputs!$D$2:$D$5000,"&gt;0")</f>
        <v/>
      </c>
      <c r="C18" s="10">
        <f>(2028-YEAR(LastActual))*12+12-MONTH(LastActual)</f>
        <v/>
      </c>
      <c r="D18">
        <f>IF(ABS(B18-C18)&lt;=MAX(1,ABS(C18)*0.000001),"OK","ERROR")</f>
        <v/>
      </c>
    </row>
    <row r="19">
      <c r="A19" t="inlineStr">
        <is>
          <t>NSW-2: plan payroll % present for every forecast month</t>
        </is>
      </c>
      <c r="B19" s="10">
        <f>COUNTIFS(Plan_Inputs!$B$2:$B$5000,"NSW-2",Plan_Inputs!$A$2:$A$5000,"&gt;"&amp;LastActual,Plan_Inputs!$D$2:$D$5000,"&gt;0")</f>
        <v/>
      </c>
      <c r="C19" s="10">
        <f>(2028-YEAR(LastActual))*12+12-MONTH(LastActual)</f>
        <v/>
      </c>
      <c r="D19">
        <f>IF(ABS(B19-C19)&lt;=MAX(1,ABS(C19)*0.000001),"OK","ERROR")</f>
        <v/>
      </c>
    </row>
    <row r="20">
      <c r="A20" t="inlineStr">
        <is>
          <t>VIC-2: plan payroll % present for every forecast month</t>
        </is>
      </c>
      <c r="B20" s="10">
        <f>COUNTIFS(Plan_Inputs!$B$2:$B$5000,"VIC-2",Plan_Inputs!$A$2:$A$5000,"&gt;"&amp;LastActual,Plan_Inputs!$D$2:$D$5000,"&gt;0")</f>
        <v/>
      </c>
      <c r="C20" s="10">
        <f>(2028-YEAR(LastActual))*12+12-MONTH(LastActual)</f>
        <v/>
      </c>
      <c r="D20">
        <f>IF(ABS(B20-C20)&lt;=MAX(1,ABS(C20)*0.000001),"OK","ERROR")</f>
        <v/>
      </c>
    </row>
    <row r="21">
      <c r="A21" t="inlineStr">
        <is>
          <t>QLD-2: plan payroll % present for every forecast month</t>
        </is>
      </c>
      <c r="B21" s="10">
        <f>COUNTIFS(Plan_Inputs!$B$2:$B$5000,"QLD-2",Plan_Inputs!$A$2:$A$5000,"&gt;"&amp;LastActual,Plan_Inputs!$D$2:$D$5000,"&gt;0")</f>
        <v/>
      </c>
      <c r="C21" s="10">
        <f>(2028-YEAR(LastActual))*12+12-MONTH(LastActual)</f>
        <v/>
      </c>
      <c r="D21">
        <f>IF(ABS(B21-C21)&lt;=MAX(1,ABS(C21)*0.000001),"OK","ERROR")</f>
        <v/>
      </c>
    </row>
    <row r="22">
      <c r="A22" t="inlineStr">
        <is>
          <t>SA-1: plan payroll % present for every forecast month</t>
        </is>
      </c>
      <c r="B22" s="10">
        <f>COUNTIFS(Plan_Inputs!$B$2:$B$5000,"SA-1",Plan_Inputs!$A$2:$A$5000,"&gt;"&amp;LastActual,Plan_Inputs!$D$2:$D$5000,"&gt;0")</f>
        <v/>
      </c>
      <c r="C22" s="10">
        <f>(2028-YEAR(LastActual))*12+12-MONTH(LastActual)</f>
        <v/>
      </c>
      <c r="D22">
        <f>IF(ABS(B22-C22)&lt;=MAX(1,ABS(C22)*0.000001),"OK","ERROR")</f>
        <v/>
      </c>
    </row>
    <row r="23">
      <c r="A23" t="inlineStr">
        <is>
          <t>WA-1: plan payroll % present for every forecast month</t>
        </is>
      </c>
      <c r="B23" s="10">
        <f>COUNTIFS(Plan_Inputs!$B$2:$B$5000,"WA-1",Plan_Inputs!$A$2:$A$5000,"&gt;"&amp;LastActual,Plan_Inputs!$D$2:$D$5000,"&gt;0")</f>
        <v/>
      </c>
      <c r="C23" s="10">
        <f>(2028-YEAR(LastActual))*12+12-MONTH(LastActual)</f>
        <v/>
      </c>
      <c r="D23">
        <f>IF(ABS(B23-C23)&lt;=MAX(1,ABS(C23)*0.000001),"OK","ERROR")</f>
        <v/>
      </c>
    </row>
    <row r="24">
      <c r="A24" t="inlineStr">
        <is>
          <t>IDC-NSW: plan payroll % present for every forecast month</t>
        </is>
      </c>
      <c r="B24" s="10">
        <f>COUNTIFS(Plan_Inputs!$B$2:$B$5000,"IDC-NSW",Plan_Inputs!$A$2:$A$5000,"&gt;"&amp;LastActual,Plan_Inputs!$D$2:$D$5000,"&gt;0")</f>
        <v/>
      </c>
      <c r="C24" s="10">
        <f>(2028-YEAR(LastActual))*12+12-MONTH(LastActual)</f>
        <v/>
      </c>
      <c r="D24">
        <f>IF(ABS(B24-C24)&lt;=MAX(1,ABS(C24)*0.000001),"OK","ERROR")</f>
        <v/>
      </c>
    </row>
    <row r="25">
      <c r="A25" t="inlineStr">
        <is>
          <t>IDC-VIC: plan payroll % present for every forecast month</t>
        </is>
      </c>
      <c r="B25" s="10">
        <f>COUNTIFS(Plan_Inputs!$B$2:$B$5000,"IDC-VIC",Plan_Inputs!$A$2:$A$5000,"&gt;"&amp;LastActual,Plan_Inputs!$D$2:$D$5000,"&gt;0")</f>
        <v/>
      </c>
      <c r="C25" s="10">
        <f>(2028-YEAR(LastActual))*12+12-MONTH(LastActual)</f>
        <v/>
      </c>
      <c r="D25">
        <f>IF(ABS(B25-C25)&lt;=MAX(1,ABS(C25)*0.000001),"OK","ERROR")</f>
        <v/>
      </c>
    </row>
    <row r="26">
      <c r="A26" t="inlineStr">
        <is>
          <t>Unknown site codes in Data_Actuals</t>
        </is>
      </c>
      <c r="B26" s="10">
        <f>SUMPRODUCT((Data_Actuals!$B$2:$B$5000&lt;&gt;"")*(COUNTIF(SiteCodes,Data_Actuals!$B$2:$B$5000)=0))</f>
        <v/>
      </c>
      <c r="C26" s="10">
        <f>0</f>
        <v/>
      </c>
      <c r="D26">
        <f>IF(ABS(B26-C26)&lt;=MAX(1,ABS(C26)*0.000001),"OK","ERROR")</f>
        <v/>
      </c>
    </row>
    <row r="27">
      <c r="A27" t="inlineStr">
        <is>
          <t>National sales = sum of 8 regions (IDCs excluded)</t>
        </is>
      </c>
      <c r="B27" s="10">
        <f>SUM(National!E15:E62)</f>
        <v/>
      </c>
      <c r="C27" s="10">
        <f>SUM('NSW-1'!E15:E62)+SUM('VIC-1'!E15:E62)+SUM('QLD-1'!E15:E62)+SUM('NSW-2'!E15:E62)+SUM('VIC-2'!E15:E62)+SUM('QLD-2'!E15:E62)+SUM('SA-1'!E15:E62)+SUM('WA-1'!E15:E62)</f>
        <v/>
      </c>
      <c r="D27">
        <f>IF(ABS(B27-C27)&lt;=MAX(1,ABS(C27)*0.000001),"OK","ERROR")</f>
        <v/>
      </c>
    </row>
    <row r="28">
      <c r="A28" t="inlineStr">
        <is>
          <t>National total payroll = sum of all 10 sites</t>
        </is>
      </c>
      <c r="B28" s="10">
        <f>SUM(National!J15:J62)</f>
        <v/>
      </c>
      <c r="C28" s="10">
        <f>SUM('NSW-1'!J15:J62)+SUM('VIC-1'!J15:J62)+SUM('QLD-1'!J15:J62)+SUM('NSW-2'!J15:J62)+SUM('VIC-2'!J15:J62)+SUM('QLD-2'!J15:J62)+SUM('SA-1'!J15:J62)+SUM('WA-1'!J15:J62)+SUM('IDC-NSW'!J15:J62)+SUM('IDC-VIC'!J15:J62)</f>
        <v/>
      </c>
      <c r="D28">
        <f>IF(ABS(B28-C28)&lt;=MAX(1,ABS(C28)*0.000001),"OK","ERROR")</f>
        <v/>
      </c>
    </row>
    <row r="29">
      <c r="A29" t="inlineStr">
        <is>
          <t>Staff + leadership = total payroll (national, all months)</t>
        </is>
      </c>
      <c r="B29" s="10">
        <f>SUM(National!H15:I62)</f>
        <v/>
      </c>
      <c r="C29" s="10">
        <f>SUM(National!J15:J62)</f>
        <v/>
      </c>
      <c r="D29">
        <f>IF(ABS(B29-C29)&lt;=MAX(1,ABS(C29)*0.000001),"OK","ERROR")</f>
        <v/>
      </c>
    </row>
    <row r="30">
      <c r="A30" t="inlineStr">
        <is>
          <t>Months with negative staff payroll (leadership &gt; total)</t>
        </is>
      </c>
      <c r="B30" s="10">
        <f>COUNTIF('NSW-1'!H15:H62,"&lt;0")+COUNTIF('VIC-1'!H15:H62,"&lt;0")+COUNTIF('QLD-1'!H15:H62,"&lt;0")+COUNTIF('NSW-2'!H15:H62,"&lt;0")+COUNTIF('VIC-2'!H15:H62,"&lt;0")+COUNTIF('QLD-2'!H15:H62,"&lt;0")+COUNTIF('SA-1'!H15:H62,"&lt;0")+COUNTIF('WA-1'!H15:H62,"&lt;0")+COUNTIF('IDC-NSW'!H15:H62,"&lt;0")+COUNTIF('IDC-VIC'!H15:H62,"&lt;0")</f>
        <v/>
      </c>
      <c r="C30" s="10">
        <f>0</f>
        <v/>
      </c>
      <c r="D30">
        <f>IF(ABS(B30-C30)&lt;=MAX(1,ABS(C30)*0.000001),"OK","ERROR")</f>
        <v/>
      </c>
    </row>
    <row r="31">
      <c r="A31" t="inlineStr">
        <is>
          <t>At least 12 actual months for seasonality</t>
        </is>
      </c>
      <c r="B31" s="10">
        <f>(YEAR(LastActual)-2025)*12+MONTH(LastActual)</f>
        <v/>
      </c>
      <c r="C31" s="10">
        <f>SeasonMonths</f>
        <v/>
      </c>
      <c r="D31">
        <f>IF(B31&gt;=C31,"OK","ERROR")</f>
        <v/>
      </c>
    </row>
  </sheetData>
  <conditionalFormatting sqref="D6:D40">
    <cfRule type="expression" priority="1" dxfId="0">
      <formula>D6="ERROR"</formula>
    </cfRule>
    <cfRule type="expression" priority="2" dxfId="1">
      <formula>D6="OK"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V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3" customWidth="1" min="17" max="17"/>
    <col width="10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2" t="inlineStr">
        <is>
          <t>National  |  8 regions + 2 IDCs  |  sales exclude IDCs</t>
        </is>
      </c>
    </row>
    <row r="2">
      <c r="A2" t="inlineStr">
        <is>
          <t>Model status</t>
        </is>
      </c>
      <c r="B2" s="1">
        <f>Checks!B3</f>
        <v/>
      </c>
    </row>
    <row r="4">
      <c r="R4" s="1" t="inlineStr">
        <is>
          <t>Total payroll ($m)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  <c r="R5" s="5" t="inlineStr">
        <is>
          <t>Site</t>
        </is>
      </c>
      <c r="S5" s="5" t="inlineStr">
        <is>
          <t>FY2025</t>
        </is>
      </c>
      <c r="T5" s="5" t="inlineStr">
        <is>
          <t>FY2026</t>
        </is>
      </c>
      <c r="U5" s="5" t="inlineStr">
        <is>
          <t>FY2027</t>
        </is>
      </c>
      <c r="V5" s="5" t="inlineStr">
        <is>
          <t>FY2028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  <c r="R6" t="inlineStr">
        <is>
          <t>NSW-1</t>
        </is>
      </c>
      <c r="S6" s="23">
        <f>SUMIFS('NSW-1'!$J$15:$J$62,'NSW-1'!$B$15:$B$62,2025)</f>
        <v/>
      </c>
      <c r="T6" s="23">
        <f>SUMIFS('NSW-1'!$J$15:$J$62,'NSW-1'!$B$15:$B$62,2026)</f>
        <v/>
      </c>
      <c r="U6" s="23">
        <f>SUMIFS('NSW-1'!$J$15:$J$62,'NSW-1'!$B$15:$B$62,2027)</f>
        <v/>
      </c>
      <c r="V6" s="23">
        <f>SUMIFS('NSW-1'!$J$15:$J$62,'NSW-1'!$B$15:$B$62,2028)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  <c r="R7" t="inlineStr">
        <is>
          <t>VIC-1</t>
        </is>
      </c>
      <c r="S7" s="23">
        <f>SUMIFS('VIC-1'!$J$15:$J$62,'VIC-1'!$B$15:$B$62,2025)</f>
        <v/>
      </c>
      <c r="T7" s="23">
        <f>SUMIFS('VIC-1'!$J$15:$J$62,'VIC-1'!$B$15:$B$62,2026)</f>
        <v/>
      </c>
      <c r="U7" s="23">
        <f>SUMIFS('VIC-1'!$J$15:$J$62,'VIC-1'!$B$15:$B$62,2027)</f>
        <v/>
      </c>
      <c r="V7" s="23">
        <f>SUMIFS('VIC-1'!$J$15:$J$62,'VIC-1'!$B$15:$B$62,2028)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  <c r="R8" t="inlineStr">
        <is>
          <t>QLD-1</t>
        </is>
      </c>
      <c r="S8" s="23">
        <f>SUMIFS('QLD-1'!$J$15:$J$62,'QLD-1'!$B$15:$B$62,2025)</f>
        <v/>
      </c>
      <c r="T8" s="23">
        <f>SUMIFS('QLD-1'!$J$15:$J$62,'QLD-1'!$B$15:$B$62,2026)</f>
        <v/>
      </c>
      <c r="U8" s="23">
        <f>SUMIFS('QLD-1'!$J$15:$J$62,'QLD-1'!$B$15:$B$62,2027)</f>
        <v/>
      </c>
      <c r="V8" s="23">
        <f>SUMIFS('QLD-1'!$J$15:$J$62,'QLD-1'!$B$15:$B$62,2028)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  <c r="R9" t="inlineStr">
        <is>
          <t>NSW-2</t>
        </is>
      </c>
      <c r="S9" s="23">
        <f>SUMIFS('NSW-2'!$J$15:$J$62,'NSW-2'!$B$15:$B$62,2025)</f>
        <v/>
      </c>
      <c r="T9" s="23">
        <f>SUMIFS('NSW-2'!$J$15:$J$62,'NSW-2'!$B$15:$B$62,2026)</f>
        <v/>
      </c>
      <c r="U9" s="23">
        <f>SUMIFS('NSW-2'!$J$15:$J$62,'NSW-2'!$B$15:$B$62,2027)</f>
        <v/>
      </c>
      <c r="V9" s="23">
        <f>SUMIFS('NSW-2'!$J$15:$J$62,'NSW-2'!$B$15:$B$62,2028)</f>
        <v/>
      </c>
    </row>
    <row r="10">
      <c r="R10" t="inlineStr">
        <is>
          <t>VIC-2</t>
        </is>
      </c>
      <c r="S10" s="23">
        <f>SUMIFS('VIC-2'!$J$15:$J$62,'VIC-2'!$B$15:$B$62,2025)</f>
        <v/>
      </c>
      <c r="T10" s="23">
        <f>SUMIFS('VIC-2'!$J$15:$J$62,'VIC-2'!$B$15:$B$62,2026)</f>
        <v/>
      </c>
      <c r="U10" s="23">
        <f>SUMIFS('VIC-2'!$J$15:$J$62,'VIC-2'!$B$15:$B$62,2027)</f>
        <v/>
      </c>
      <c r="V10" s="23">
        <f>SUMIFS('VIC-2'!$J$15:$J$62,'VIC-2'!$B$15:$B$62,2028)</f>
        <v/>
      </c>
    </row>
    <row r="11">
      <c r="R11" t="inlineStr">
        <is>
          <t>QLD-2</t>
        </is>
      </c>
      <c r="S11" s="23">
        <f>SUMIFS('QLD-2'!$J$15:$J$62,'QLD-2'!$B$15:$B$62,2025)</f>
        <v/>
      </c>
      <c r="T11" s="23">
        <f>SUMIFS('QLD-2'!$J$15:$J$62,'QLD-2'!$B$15:$B$62,2026)</f>
        <v/>
      </c>
      <c r="U11" s="23">
        <f>SUMIFS('QLD-2'!$J$15:$J$62,'QLD-2'!$B$15:$B$62,2027)</f>
        <v/>
      </c>
      <c r="V11" s="23">
        <f>SUMIFS('QLD-2'!$J$15:$J$62,'QLD-2'!$B$15:$B$62,2028)</f>
        <v/>
      </c>
    </row>
    <row r="12">
      <c r="E12" s="5" t="inlineStr">
        <is>
          <t>Drivers</t>
        </is>
      </c>
      <c r="K12" s="5" t="inlineStr">
        <is>
          <t>Metrics</t>
        </is>
      </c>
      <c r="R12" t="inlineStr">
        <is>
          <t>SA-1</t>
        </is>
      </c>
      <c r="S12" s="23">
        <f>SUMIFS('SA-1'!$J$15:$J$62,'SA-1'!$B$15:$B$62,2025)</f>
        <v/>
      </c>
      <c r="T12" s="23">
        <f>SUMIFS('SA-1'!$J$15:$J$62,'SA-1'!$B$15:$B$62,2026)</f>
        <v/>
      </c>
      <c r="U12" s="23">
        <f>SUMIFS('SA-1'!$J$15:$J$62,'SA-1'!$B$15:$B$62,2027)</f>
        <v/>
      </c>
      <c r="V12" s="23">
        <f>SUMIFS('SA-1'!$J$15:$J$62,'SA-1'!$B$15:$B$62,2028)</f>
        <v/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t="inlineStr">
        <is>
          <t>WA-1</t>
        </is>
      </c>
      <c r="S13" s="23">
        <f>SUMIFS('WA-1'!$J$15:$J$62,'WA-1'!$B$15:$B$62,2025)</f>
        <v/>
      </c>
      <c r="T13" s="23">
        <f>SUMIFS('WA-1'!$J$15:$J$62,'WA-1'!$B$15:$B$62,2026)</f>
        <v/>
      </c>
      <c r="U13" s="23">
        <f>SUMIFS('WA-1'!$J$15:$J$62,'WA-1'!$B$15:$B$62,2027)</f>
        <v/>
      </c>
      <c r="V13" s="23">
        <f>SUMIFS('WA-1'!$J$15:$J$62,'WA-1'!$B$15:$B$62,2028)</f>
        <v/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  <c r="R14" t="inlineStr">
        <is>
          <t>IDC-NSW</t>
        </is>
      </c>
      <c r="S14" s="23">
        <f>SUMIFS('IDC-NSW'!$J$15:$J$62,'IDC-NSW'!$B$15:$B$62,2025)</f>
        <v/>
      </c>
      <c r="T14" s="23">
        <f>SUMIFS('IDC-NSW'!$J$15:$J$62,'IDC-NSW'!$B$15:$B$62,2026)</f>
        <v/>
      </c>
      <c r="U14" s="23">
        <f>SUMIFS('IDC-NSW'!$J$15:$J$62,'IDC-NSW'!$B$15:$B$62,2027)</f>
        <v/>
      </c>
      <c r="V14" s="23">
        <f>SUMIFS('IDC-NSW'!$J$15:$J$62,'IDC-NSW'!$B$15:$B$62,2028)</f>
        <v/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'NSW-1'!E15+'VIC-1'!E15+'QLD-1'!E15+'NSW-2'!E15+'VIC-2'!E15+'QLD-2'!E15+'SA-1'!E15+'WA-1'!E15</f>
        <v/>
      </c>
      <c r="F15" s="26">
        <f>'NSW-1'!F15+'VIC-1'!F15+'QLD-1'!F15+'NSW-2'!F15+'VIC-2'!F15+'QLD-2'!F15+'SA-1'!F15+'WA-1'!F15+'IDC-NSW'!F15+'IDC-VIC'!F15</f>
        <v/>
      </c>
      <c r="G15" s="10">
        <f>'NSW-1'!G15+'VIC-1'!G15+'QLD-1'!G15+'NSW-2'!G15+'VIC-2'!G15+'QLD-2'!G15+'SA-1'!G15+'WA-1'!G15+'IDC-NSW'!G15+'IDC-VIC'!G15</f>
        <v/>
      </c>
      <c r="H15" s="23">
        <f>'NSW-1'!H15+'VIC-1'!H15+'QLD-1'!H15+'NSW-2'!H15+'VIC-2'!H15+'QLD-2'!H15+'SA-1'!H15+'WA-1'!H15+'IDC-NSW'!H15+'IDC-VIC'!H15</f>
        <v/>
      </c>
      <c r="I15" s="23">
        <f>'NSW-1'!I15+'VIC-1'!I15+'QLD-1'!I15+'NSW-2'!I15+'VIC-2'!I15+'QLD-2'!I15+'SA-1'!I15+'WA-1'!I15+'IDC-NSW'!I15+'IDC-VIC'!I15</f>
        <v/>
      </c>
      <c r="J15" s="23">
        <f>'NSW-1'!J15+'VIC-1'!J15+'QLD-1'!J15+'NSW-2'!J15+'VIC-2'!J15+'QLD-2'!J15+'SA-1'!J15+'WA-1'!J15+'IDC-NSW'!J15+'IDC-VIC'!J15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t="inlineStr">
        <is>
          <t>IDC-VIC</t>
        </is>
      </c>
      <c r="S15" s="23">
        <f>SUMIFS('IDC-VIC'!$J$15:$J$62,'IDC-VIC'!$B$15:$B$62,2025)</f>
        <v/>
      </c>
      <c r="T15" s="23">
        <f>SUMIFS('IDC-VIC'!$J$15:$J$62,'IDC-VIC'!$B$15:$B$62,2026)</f>
        <v/>
      </c>
      <c r="U15" s="23">
        <f>SUMIFS('IDC-VIC'!$J$15:$J$62,'IDC-VIC'!$B$15:$B$62,2027)</f>
        <v/>
      </c>
      <c r="V15" s="23">
        <f>SUMIFS('IDC-VIC'!$J$15:$J$62,'IDC-VIC'!$B$15:$B$62,2028)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'NSW-1'!E16+'VIC-1'!E16+'QLD-1'!E16+'NSW-2'!E16+'VIC-2'!E16+'QLD-2'!E16+'SA-1'!E16+'WA-1'!E16</f>
        <v/>
      </c>
      <c r="F16" s="26">
        <f>'NSW-1'!F16+'VIC-1'!F16+'QLD-1'!F16+'NSW-2'!F16+'VIC-2'!F16+'QLD-2'!F16+'SA-1'!F16+'WA-1'!F16+'IDC-NSW'!F16+'IDC-VIC'!F16</f>
        <v/>
      </c>
      <c r="G16" s="10">
        <f>'NSW-1'!G16+'VIC-1'!G16+'QLD-1'!G16+'NSW-2'!G16+'VIC-2'!G16+'QLD-2'!G16+'SA-1'!G16+'WA-1'!G16+'IDC-NSW'!G16+'IDC-VIC'!G16</f>
        <v/>
      </c>
      <c r="H16" s="23">
        <f>'NSW-1'!H16+'VIC-1'!H16+'QLD-1'!H16+'NSW-2'!H16+'VIC-2'!H16+'QLD-2'!H16+'SA-1'!H16+'WA-1'!H16+'IDC-NSW'!H16+'IDC-VIC'!H16</f>
        <v/>
      </c>
      <c r="I16" s="23">
        <f>'NSW-1'!I16+'VIC-1'!I16+'QLD-1'!I16+'NSW-2'!I16+'VIC-2'!I16+'QLD-2'!I16+'SA-1'!I16+'WA-1'!I16+'IDC-NSW'!I16+'IDC-VIC'!I16</f>
        <v/>
      </c>
      <c r="J16" s="23">
        <f>'NSW-1'!J16+'VIC-1'!J16+'QLD-1'!J16+'NSW-2'!J16+'VIC-2'!J16+'QLD-2'!J16+'SA-1'!J16+'WA-1'!J16+'IDC-NSW'!J16+'IDC-VIC'!J16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'NSW-1'!E17+'VIC-1'!E17+'QLD-1'!E17+'NSW-2'!E17+'VIC-2'!E17+'QLD-2'!E17+'SA-1'!E17+'WA-1'!E17</f>
        <v/>
      </c>
      <c r="F17" s="26">
        <f>'NSW-1'!F17+'VIC-1'!F17+'QLD-1'!F17+'NSW-2'!F17+'VIC-2'!F17+'QLD-2'!F17+'SA-1'!F17+'WA-1'!F17+'IDC-NSW'!F17+'IDC-VIC'!F17</f>
        <v/>
      </c>
      <c r="G17" s="10">
        <f>'NSW-1'!G17+'VIC-1'!G17+'QLD-1'!G17+'NSW-2'!G17+'VIC-2'!G17+'QLD-2'!G17+'SA-1'!G17+'WA-1'!G17+'IDC-NSW'!G17+'IDC-VIC'!G17</f>
        <v/>
      </c>
      <c r="H17" s="23">
        <f>'NSW-1'!H17+'VIC-1'!H17+'QLD-1'!H17+'NSW-2'!H17+'VIC-2'!H17+'QLD-2'!H17+'SA-1'!H17+'WA-1'!H17+'IDC-NSW'!H17+'IDC-VIC'!H17</f>
        <v/>
      </c>
      <c r="I17" s="23">
        <f>'NSW-1'!I17+'VIC-1'!I17+'QLD-1'!I17+'NSW-2'!I17+'VIC-2'!I17+'QLD-2'!I17+'SA-1'!I17+'WA-1'!I17+'IDC-NSW'!I17+'IDC-VIC'!I17</f>
        <v/>
      </c>
      <c r="J17" s="23">
        <f>'NSW-1'!J17+'VIC-1'!J17+'QLD-1'!J17+'NSW-2'!J17+'VIC-2'!J17+'QLD-2'!J17+'SA-1'!J17+'WA-1'!J17+'IDC-NSW'!J17+'IDC-VIC'!J17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'NSW-1'!E18+'VIC-1'!E18+'QLD-1'!E18+'NSW-2'!E18+'VIC-2'!E18+'QLD-2'!E18+'SA-1'!E18+'WA-1'!E18</f>
        <v/>
      </c>
      <c r="F18" s="26">
        <f>'NSW-1'!F18+'VIC-1'!F18+'QLD-1'!F18+'NSW-2'!F18+'VIC-2'!F18+'QLD-2'!F18+'SA-1'!F18+'WA-1'!F18+'IDC-NSW'!F18+'IDC-VIC'!F18</f>
        <v/>
      </c>
      <c r="G18" s="10">
        <f>'NSW-1'!G18+'VIC-1'!G18+'QLD-1'!G18+'NSW-2'!G18+'VIC-2'!G18+'QLD-2'!G18+'SA-1'!G18+'WA-1'!G18+'IDC-NSW'!G18+'IDC-VIC'!G18</f>
        <v/>
      </c>
      <c r="H18" s="23">
        <f>'NSW-1'!H18+'VIC-1'!H18+'QLD-1'!H18+'NSW-2'!H18+'VIC-2'!H18+'QLD-2'!H18+'SA-1'!H18+'WA-1'!H18+'IDC-NSW'!H18+'IDC-VIC'!H18</f>
        <v/>
      </c>
      <c r="I18" s="23">
        <f>'NSW-1'!I18+'VIC-1'!I18+'QLD-1'!I18+'NSW-2'!I18+'VIC-2'!I18+'QLD-2'!I18+'SA-1'!I18+'WA-1'!I18+'IDC-NSW'!I18+'IDC-VIC'!I18</f>
        <v/>
      </c>
      <c r="J18" s="23">
        <f>'NSW-1'!J18+'VIC-1'!J18+'QLD-1'!J18+'NSW-2'!J18+'VIC-2'!J18+'QLD-2'!J18+'SA-1'!J18+'WA-1'!J18+'IDC-NSW'!J18+'IDC-VIC'!J18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1" t="inlineStr">
        <is>
          <t>Payroll % of sales (IDC: % of host sales)</t>
        </is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'NSW-1'!E19+'VIC-1'!E19+'QLD-1'!E19+'NSW-2'!E19+'VIC-2'!E19+'QLD-2'!E19+'SA-1'!E19+'WA-1'!E19</f>
        <v/>
      </c>
      <c r="F19" s="26">
        <f>'NSW-1'!F19+'VIC-1'!F19+'QLD-1'!F19+'NSW-2'!F19+'VIC-2'!F19+'QLD-2'!F19+'SA-1'!F19+'WA-1'!F19+'IDC-NSW'!F19+'IDC-VIC'!F19</f>
        <v/>
      </c>
      <c r="G19" s="10">
        <f>'NSW-1'!G19+'VIC-1'!G19+'QLD-1'!G19+'NSW-2'!G19+'VIC-2'!G19+'QLD-2'!G19+'SA-1'!G19+'WA-1'!G19+'IDC-NSW'!G19+'IDC-VIC'!G19</f>
        <v/>
      </c>
      <c r="H19" s="23">
        <f>'NSW-1'!H19+'VIC-1'!H19+'QLD-1'!H19+'NSW-2'!H19+'VIC-2'!H19+'QLD-2'!H19+'SA-1'!H19+'WA-1'!H19+'IDC-NSW'!H19+'IDC-VIC'!H19</f>
        <v/>
      </c>
      <c r="I19" s="23">
        <f>'NSW-1'!I19+'VIC-1'!I19+'QLD-1'!I19+'NSW-2'!I19+'VIC-2'!I19+'QLD-2'!I19+'SA-1'!I19+'WA-1'!I19+'IDC-NSW'!I19+'IDC-VIC'!I19</f>
        <v/>
      </c>
      <c r="J19" s="23">
        <f>'NSW-1'!J19+'VIC-1'!J19+'QLD-1'!J19+'NSW-2'!J19+'VIC-2'!J19+'QLD-2'!J19+'SA-1'!J19+'WA-1'!J19+'IDC-NSW'!J19+'IDC-VIC'!J19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5" t="inlineStr">
        <is>
          <t>Site</t>
        </is>
      </c>
      <c r="S19" s="5" t="inlineStr">
        <is>
          <t>FY2025</t>
        </is>
      </c>
      <c r="T19" s="5" t="inlineStr">
        <is>
          <t>FY2026</t>
        </is>
      </c>
      <c r="U19" s="5" t="inlineStr">
        <is>
          <t>FY2027</t>
        </is>
      </c>
      <c r="V19" s="5" t="inlineStr">
        <is>
          <t>FY2028</t>
        </is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'NSW-1'!E20+'VIC-1'!E20+'QLD-1'!E20+'NSW-2'!E20+'VIC-2'!E20+'QLD-2'!E20+'SA-1'!E20+'WA-1'!E20</f>
        <v/>
      </c>
      <c r="F20" s="26">
        <f>'NSW-1'!F20+'VIC-1'!F20+'QLD-1'!F20+'NSW-2'!F20+'VIC-2'!F20+'QLD-2'!F20+'SA-1'!F20+'WA-1'!F20+'IDC-NSW'!F20+'IDC-VIC'!F20</f>
        <v/>
      </c>
      <c r="G20" s="10">
        <f>'NSW-1'!G20+'VIC-1'!G20+'QLD-1'!G20+'NSW-2'!G20+'VIC-2'!G20+'QLD-2'!G20+'SA-1'!G20+'WA-1'!G20+'IDC-NSW'!G20+'IDC-VIC'!G20</f>
        <v/>
      </c>
      <c r="H20" s="23">
        <f>'NSW-1'!H20+'VIC-1'!H20+'QLD-1'!H20+'NSW-2'!H20+'VIC-2'!H20+'QLD-2'!H20+'SA-1'!H20+'WA-1'!H20+'IDC-NSW'!H20+'IDC-VIC'!H20</f>
        <v/>
      </c>
      <c r="I20" s="23">
        <f>'NSW-1'!I20+'VIC-1'!I20+'QLD-1'!I20+'NSW-2'!I20+'VIC-2'!I20+'QLD-2'!I20+'SA-1'!I20+'WA-1'!I20+'IDC-NSW'!I20+'IDC-VIC'!I20</f>
        <v/>
      </c>
      <c r="J20" s="23">
        <f>'NSW-1'!J20+'VIC-1'!J20+'QLD-1'!J20+'NSW-2'!J20+'VIC-2'!J20+'QLD-2'!J20+'SA-1'!J20+'WA-1'!J20+'IDC-NSW'!J20+'IDC-VIC'!J20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t="inlineStr">
        <is>
          <t>NSW-1</t>
        </is>
      </c>
      <c r="S20" s="11">
        <f>IFERROR(SUMIFS('NSW-1'!$J$15:$J$62,'NSW-1'!$B$15:$B$62,2025)/SUMIFS('NSW-1'!$E$15:$E$62,'NSW-1'!$B$15:$B$62,2025),0)</f>
        <v/>
      </c>
      <c r="T20" s="11">
        <f>IFERROR(SUMIFS('NSW-1'!$J$15:$J$62,'NSW-1'!$B$15:$B$62,2026)/SUMIFS('NSW-1'!$E$15:$E$62,'NSW-1'!$B$15:$B$62,2026),0)</f>
        <v/>
      </c>
      <c r="U20" s="11">
        <f>IFERROR(SUMIFS('NSW-1'!$J$15:$J$62,'NSW-1'!$B$15:$B$62,2027)/SUMIFS('NSW-1'!$E$15:$E$62,'NSW-1'!$B$15:$B$62,2027),0)</f>
        <v/>
      </c>
      <c r="V20" s="11">
        <f>IFERROR(SUMIFS('NSW-1'!$J$15:$J$62,'NSW-1'!$B$15:$B$62,2028)/SUMIFS('NSW-1'!$E$15:$E$62,'NSW-1'!$B$15:$B$62,2028),0)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'NSW-1'!E21+'VIC-1'!E21+'QLD-1'!E21+'NSW-2'!E21+'VIC-2'!E21+'QLD-2'!E21+'SA-1'!E21+'WA-1'!E21</f>
        <v/>
      </c>
      <c r="F21" s="26">
        <f>'NSW-1'!F21+'VIC-1'!F21+'QLD-1'!F21+'NSW-2'!F21+'VIC-2'!F21+'QLD-2'!F21+'SA-1'!F21+'WA-1'!F21+'IDC-NSW'!F21+'IDC-VIC'!F21</f>
        <v/>
      </c>
      <c r="G21" s="10">
        <f>'NSW-1'!G21+'VIC-1'!G21+'QLD-1'!G21+'NSW-2'!G21+'VIC-2'!G21+'QLD-2'!G21+'SA-1'!G21+'WA-1'!G21+'IDC-NSW'!G21+'IDC-VIC'!G21</f>
        <v/>
      </c>
      <c r="H21" s="23">
        <f>'NSW-1'!H21+'VIC-1'!H21+'QLD-1'!H21+'NSW-2'!H21+'VIC-2'!H21+'QLD-2'!H21+'SA-1'!H21+'WA-1'!H21+'IDC-NSW'!H21+'IDC-VIC'!H21</f>
        <v/>
      </c>
      <c r="I21" s="23">
        <f>'NSW-1'!I21+'VIC-1'!I21+'QLD-1'!I21+'NSW-2'!I21+'VIC-2'!I21+'QLD-2'!I21+'SA-1'!I21+'WA-1'!I21+'IDC-NSW'!I21+'IDC-VIC'!I21</f>
        <v/>
      </c>
      <c r="J21" s="23">
        <f>'NSW-1'!J21+'VIC-1'!J21+'QLD-1'!J21+'NSW-2'!J21+'VIC-2'!J21+'QLD-2'!J21+'SA-1'!J21+'WA-1'!J21+'IDC-NSW'!J21+'IDC-VIC'!J21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t="inlineStr">
        <is>
          <t>VIC-1</t>
        </is>
      </c>
      <c r="S21" s="11">
        <f>IFERROR(SUMIFS('VIC-1'!$J$15:$J$62,'VIC-1'!$B$15:$B$62,2025)/SUMIFS('VIC-1'!$E$15:$E$62,'VIC-1'!$B$15:$B$62,2025),0)</f>
        <v/>
      </c>
      <c r="T21" s="11">
        <f>IFERROR(SUMIFS('VIC-1'!$J$15:$J$62,'VIC-1'!$B$15:$B$62,2026)/SUMIFS('VIC-1'!$E$15:$E$62,'VIC-1'!$B$15:$B$62,2026),0)</f>
        <v/>
      </c>
      <c r="U21" s="11">
        <f>IFERROR(SUMIFS('VIC-1'!$J$15:$J$62,'VIC-1'!$B$15:$B$62,2027)/SUMIFS('VIC-1'!$E$15:$E$62,'VIC-1'!$B$15:$B$62,2027),0)</f>
        <v/>
      </c>
      <c r="V21" s="11">
        <f>IFERROR(SUMIFS('VIC-1'!$J$15:$J$62,'VIC-1'!$B$15:$B$62,2028)/SUMIFS('VIC-1'!$E$15:$E$62,'VIC-1'!$B$15:$B$62,2028),0)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'NSW-1'!E22+'VIC-1'!E22+'QLD-1'!E22+'NSW-2'!E22+'VIC-2'!E22+'QLD-2'!E22+'SA-1'!E22+'WA-1'!E22</f>
        <v/>
      </c>
      <c r="F22" s="26">
        <f>'NSW-1'!F22+'VIC-1'!F22+'QLD-1'!F22+'NSW-2'!F22+'VIC-2'!F22+'QLD-2'!F22+'SA-1'!F22+'WA-1'!F22+'IDC-NSW'!F22+'IDC-VIC'!F22</f>
        <v/>
      </c>
      <c r="G22" s="10">
        <f>'NSW-1'!G22+'VIC-1'!G22+'QLD-1'!G22+'NSW-2'!G22+'VIC-2'!G22+'QLD-2'!G22+'SA-1'!G22+'WA-1'!G22+'IDC-NSW'!G22+'IDC-VIC'!G22</f>
        <v/>
      </c>
      <c r="H22" s="23">
        <f>'NSW-1'!H22+'VIC-1'!H22+'QLD-1'!H22+'NSW-2'!H22+'VIC-2'!H22+'QLD-2'!H22+'SA-1'!H22+'WA-1'!H22+'IDC-NSW'!H22+'IDC-VIC'!H22</f>
        <v/>
      </c>
      <c r="I22" s="23">
        <f>'NSW-1'!I22+'VIC-1'!I22+'QLD-1'!I22+'NSW-2'!I22+'VIC-2'!I22+'QLD-2'!I22+'SA-1'!I22+'WA-1'!I22+'IDC-NSW'!I22+'IDC-VIC'!I22</f>
        <v/>
      </c>
      <c r="J22" s="23">
        <f>'NSW-1'!J22+'VIC-1'!J22+'QLD-1'!J22+'NSW-2'!J22+'VIC-2'!J22+'QLD-2'!J22+'SA-1'!J22+'WA-1'!J22+'IDC-NSW'!J22+'IDC-VIC'!J22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t="inlineStr">
        <is>
          <t>QLD-1</t>
        </is>
      </c>
      <c r="S22" s="11">
        <f>IFERROR(SUMIFS('QLD-1'!$J$15:$J$62,'QLD-1'!$B$15:$B$62,2025)/SUMIFS('QLD-1'!$E$15:$E$62,'QLD-1'!$B$15:$B$62,2025),0)</f>
        <v/>
      </c>
      <c r="T22" s="11">
        <f>IFERROR(SUMIFS('QLD-1'!$J$15:$J$62,'QLD-1'!$B$15:$B$62,2026)/SUMIFS('QLD-1'!$E$15:$E$62,'QLD-1'!$B$15:$B$62,2026),0)</f>
        <v/>
      </c>
      <c r="U22" s="11">
        <f>IFERROR(SUMIFS('QLD-1'!$J$15:$J$62,'QLD-1'!$B$15:$B$62,2027)/SUMIFS('QLD-1'!$E$15:$E$62,'QLD-1'!$B$15:$B$62,2027),0)</f>
        <v/>
      </c>
      <c r="V22" s="11">
        <f>IFERROR(SUMIFS('QLD-1'!$J$15:$J$62,'QLD-1'!$B$15:$B$62,2028)/SUMIFS('QLD-1'!$E$15:$E$62,'QLD-1'!$B$15:$B$62,2028),0)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'NSW-1'!E23+'VIC-1'!E23+'QLD-1'!E23+'NSW-2'!E23+'VIC-2'!E23+'QLD-2'!E23+'SA-1'!E23+'WA-1'!E23</f>
        <v/>
      </c>
      <c r="F23" s="26">
        <f>'NSW-1'!F23+'VIC-1'!F23+'QLD-1'!F23+'NSW-2'!F23+'VIC-2'!F23+'QLD-2'!F23+'SA-1'!F23+'WA-1'!F23+'IDC-NSW'!F23+'IDC-VIC'!F23</f>
        <v/>
      </c>
      <c r="G23" s="10">
        <f>'NSW-1'!G23+'VIC-1'!G23+'QLD-1'!G23+'NSW-2'!G23+'VIC-2'!G23+'QLD-2'!G23+'SA-1'!G23+'WA-1'!G23+'IDC-NSW'!G23+'IDC-VIC'!G23</f>
        <v/>
      </c>
      <c r="H23" s="23">
        <f>'NSW-1'!H23+'VIC-1'!H23+'QLD-1'!H23+'NSW-2'!H23+'VIC-2'!H23+'QLD-2'!H23+'SA-1'!H23+'WA-1'!H23+'IDC-NSW'!H23+'IDC-VIC'!H23</f>
        <v/>
      </c>
      <c r="I23" s="23">
        <f>'NSW-1'!I23+'VIC-1'!I23+'QLD-1'!I23+'NSW-2'!I23+'VIC-2'!I23+'QLD-2'!I23+'SA-1'!I23+'WA-1'!I23+'IDC-NSW'!I23+'IDC-VIC'!I23</f>
        <v/>
      </c>
      <c r="J23" s="23">
        <f>'NSW-1'!J23+'VIC-1'!J23+'QLD-1'!J23+'NSW-2'!J23+'VIC-2'!J23+'QLD-2'!J23+'SA-1'!J23+'WA-1'!J23+'IDC-NSW'!J23+'IDC-VIC'!J23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t="inlineStr">
        <is>
          <t>NSW-2</t>
        </is>
      </c>
      <c r="S23" s="11">
        <f>IFERROR(SUMIFS('NSW-2'!$J$15:$J$62,'NSW-2'!$B$15:$B$62,2025)/SUMIFS('NSW-2'!$E$15:$E$62,'NSW-2'!$B$15:$B$62,2025),0)</f>
        <v/>
      </c>
      <c r="T23" s="11">
        <f>IFERROR(SUMIFS('NSW-2'!$J$15:$J$62,'NSW-2'!$B$15:$B$62,2026)/SUMIFS('NSW-2'!$E$15:$E$62,'NSW-2'!$B$15:$B$62,2026),0)</f>
        <v/>
      </c>
      <c r="U23" s="11">
        <f>IFERROR(SUMIFS('NSW-2'!$J$15:$J$62,'NSW-2'!$B$15:$B$62,2027)/SUMIFS('NSW-2'!$E$15:$E$62,'NSW-2'!$B$15:$B$62,2027),0)</f>
        <v/>
      </c>
      <c r="V23" s="11">
        <f>IFERROR(SUMIFS('NSW-2'!$J$15:$J$62,'NSW-2'!$B$15:$B$62,2028)/SUMIFS('NSW-2'!$E$15:$E$62,'NSW-2'!$B$15:$B$62,2028),0)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'NSW-1'!E24+'VIC-1'!E24+'QLD-1'!E24+'NSW-2'!E24+'VIC-2'!E24+'QLD-2'!E24+'SA-1'!E24+'WA-1'!E24</f>
        <v/>
      </c>
      <c r="F24" s="26">
        <f>'NSW-1'!F24+'VIC-1'!F24+'QLD-1'!F24+'NSW-2'!F24+'VIC-2'!F24+'QLD-2'!F24+'SA-1'!F24+'WA-1'!F24+'IDC-NSW'!F24+'IDC-VIC'!F24</f>
        <v/>
      </c>
      <c r="G24" s="10">
        <f>'NSW-1'!G24+'VIC-1'!G24+'QLD-1'!G24+'NSW-2'!G24+'VIC-2'!G24+'QLD-2'!G24+'SA-1'!G24+'WA-1'!G24+'IDC-NSW'!G24+'IDC-VIC'!G24</f>
        <v/>
      </c>
      <c r="H24" s="23">
        <f>'NSW-1'!H24+'VIC-1'!H24+'QLD-1'!H24+'NSW-2'!H24+'VIC-2'!H24+'QLD-2'!H24+'SA-1'!H24+'WA-1'!H24+'IDC-NSW'!H24+'IDC-VIC'!H24</f>
        <v/>
      </c>
      <c r="I24" s="23">
        <f>'NSW-1'!I24+'VIC-1'!I24+'QLD-1'!I24+'NSW-2'!I24+'VIC-2'!I24+'QLD-2'!I24+'SA-1'!I24+'WA-1'!I24+'IDC-NSW'!I24+'IDC-VIC'!I24</f>
        <v/>
      </c>
      <c r="J24" s="23">
        <f>'NSW-1'!J24+'VIC-1'!J24+'QLD-1'!J24+'NSW-2'!J24+'VIC-2'!J24+'QLD-2'!J24+'SA-1'!J24+'WA-1'!J24+'IDC-NSW'!J24+'IDC-VIC'!J24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t="inlineStr">
        <is>
          <t>VIC-2</t>
        </is>
      </c>
      <c r="S24" s="11">
        <f>IFERROR(SUMIFS('VIC-2'!$J$15:$J$62,'VIC-2'!$B$15:$B$62,2025)/SUMIFS('VIC-2'!$E$15:$E$62,'VIC-2'!$B$15:$B$62,2025),0)</f>
        <v/>
      </c>
      <c r="T24" s="11">
        <f>IFERROR(SUMIFS('VIC-2'!$J$15:$J$62,'VIC-2'!$B$15:$B$62,2026)/SUMIFS('VIC-2'!$E$15:$E$62,'VIC-2'!$B$15:$B$62,2026),0)</f>
        <v/>
      </c>
      <c r="U24" s="11">
        <f>IFERROR(SUMIFS('VIC-2'!$J$15:$J$62,'VIC-2'!$B$15:$B$62,2027)/SUMIFS('VIC-2'!$E$15:$E$62,'VIC-2'!$B$15:$B$62,2027),0)</f>
        <v/>
      </c>
      <c r="V24" s="11">
        <f>IFERROR(SUMIFS('VIC-2'!$J$15:$J$62,'VIC-2'!$B$15:$B$62,2028)/SUMIFS('VIC-2'!$E$15:$E$62,'VIC-2'!$B$15:$B$62,2028),0)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'NSW-1'!E25+'VIC-1'!E25+'QLD-1'!E25+'NSW-2'!E25+'VIC-2'!E25+'QLD-2'!E25+'SA-1'!E25+'WA-1'!E25</f>
        <v/>
      </c>
      <c r="F25" s="26">
        <f>'NSW-1'!F25+'VIC-1'!F25+'QLD-1'!F25+'NSW-2'!F25+'VIC-2'!F25+'QLD-2'!F25+'SA-1'!F25+'WA-1'!F25+'IDC-NSW'!F25+'IDC-VIC'!F25</f>
        <v/>
      </c>
      <c r="G25" s="10">
        <f>'NSW-1'!G25+'VIC-1'!G25+'QLD-1'!G25+'NSW-2'!G25+'VIC-2'!G25+'QLD-2'!G25+'SA-1'!G25+'WA-1'!G25+'IDC-NSW'!G25+'IDC-VIC'!G25</f>
        <v/>
      </c>
      <c r="H25" s="23">
        <f>'NSW-1'!H25+'VIC-1'!H25+'QLD-1'!H25+'NSW-2'!H25+'VIC-2'!H25+'QLD-2'!H25+'SA-1'!H25+'WA-1'!H25+'IDC-NSW'!H25+'IDC-VIC'!H25</f>
        <v/>
      </c>
      <c r="I25" s="23">
        <f>'NSW-1'!I25+'VIC-1'!I25+'QLD-1'!I25+'NSW-2'!I25+'VIC-2'!I25+'QLD-2'!I25+'SA-1'!I25+'WA-1'!I25+'IDC-NSW'!I25+'IDC-VIC'!I25</f>
        <v/>
      </c>
      <c r="J25" s="23">
        <f>'NSW-1'!J25+'VIC-1'!J25+'QLD-1'!J25+'NSW-2'!J25+'VIC-2'!J25+'QLD-2'!J25+'SA-1'!J25+'WA-1'!J25+'IDC-NSW'!J25+'IDC-VIC'!J25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t="inlineStr">
        <is>
          <t>QLD-2</t>
        </is>
      </c>
      <c r="S25" s="11">
        <f>IFERROR(SUMIFS('QLD-2'!$J$15:$J$62,'QLD-2'!$B$15:$B$62,2025)/SUMIFS('QLD-2'!$E$15:$E$62,'QLD-2'!$B$15:$B$62,2025),0)</f>
        <v/>
      </c>
      <c r="T25" s="11">
        <f>IFERROR(SUMIFS('QLD-2'!$J$15:$J$62,'QLD-2'!$B$15:$B$62,2026)/SUMIFS('QLD-2'!$E$15:$E$62,'QLD-2'!$B$15:$B$62,2026),0)</f>
        <v/>
      </c>
      <c r="U25" s="11">
        <f>IFERROR(SUMIFS('QLD-2'!$J$15:$J$62,'QLD-2'!$B$15:$B$62,2027)/SUMIFS('QLD-2'!$E$15:$E$62,'QLD-2'!$B$15:$B$62,2027),0)</f>
        <v/>
      </c>
      <c r="V25" s="11">
        <f>IFERROR(SUMIFS('QLD-2'!$J$15:$J$62,'QLD-2'!$B$15:$B$62,2028)/SUMIFS('QLD-2'!$E$15:$E$62,'QLD-2'!$B$15:$B$62,2028),0)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'NSW-1'!E26+'VIC-1'!E26+'QLD-1'!E26+'NSW-2'!E26+'VIC-2'!E26+'QLD-2'!E26+'SA-1'!E26+'WA-1'!E26</f>
        <v/>
      </c>
      <c r="F26" s="34">
        <f>'NSW-1'!F26+'VIC-1'!F26+'QLD-1'!F26+'NSW-2'!F26+'VIC-2'!F26+'QLD-2'!F26+'SA-1'!F26+'WA-1'!F26+'IDC-NSW'!F26+'IDC-VIC'!F26</f>
        <v/>
      </c>
      <c r="G26" s="35">
        <f>'NSW-1'!G26+'VIC-1'!G26+'QLD-1'!G26+'NSW-2'!G26+'VIC-2'!G26+'QLD-2'!G26+'SA-1'!G26+'WA-1'!G26+'IDC-NSW'!G26+'IDC-VIC'!G26</f>
        <v/>
      </c>
      <c r="H26" s="33">
        <f>'NSW-1'!H26+'VIC-1'!H26+'QLD-1'!H26+'NSW-2'!H26+'VIC-2'!H26+'QLD-2'!H26+'SA-1'!H26+'WA-1'!H26+'IDC-NSW'!H26+'IDC-VIC'!H26</f>
        <v/>
      </c>
      <c r="I26" s="33">
        <f>'NSW-1'!I26+'VIC-1'!I26+'QLD-1'!I26+'NSW-2'!I26+'VIC-2'!I26+'QLD-2'!I26+'SA-1'!I26+'WA-1'!I26+'IDC-NSW'!I26+'IDC-VIC'!I26</f>
        <v/>
      </c>
      <c r="J26" s="33">
        <f>'NSW-1'!J26+'VIC-1'!J26+'QLD-1'!J26+'NSW-2'!J26+'VIC-2'!J26+'QLD-2'!J26+'SA-1'!J26+'WA-1'!J26+'IDC-NSW'!J26+'IDC-VIC'!J26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t="inlineStr">
        <is>
          <t>SA-1</t>
        </is>
      </c>
      <c r="S26" s="11">
        <f>IFERROR(SUMIFS('SA-1'!$J$15:$J$62,'SA-1'!$B$15:$B$62,2025)/SUMIFS('SA-1'!$E$15:$E$62,'SA-1'!$B$15:$B$62,2025),0)</f>
        <v/>
      </c>
      <c r="T26" s="11">
        <f>IFERROR(SUMIFS('SA-1'!$J$15:$J$62,'SA-1'!$B$15:$B$62,2026)/SUMIFS('SA-1'!$E$15:$E$62,'SA-1'!$B$15:$B$62,2026),0)</f>
        <v/>
      </c>
      <c r="U26" s="11">
        <f>IFERROR(SUMIFS('SA-1'!$J$15:$J$62,'SA-1'!$B$15:$B$62,2027)/SUMIFS('SA-1'!$E$15:$E$62,'SA-1'!$B$15:$B$62,2027),0)</f>
        <v/>
      </c>
      <c r="V26" s="11">
        <f>IFERROR(SUMIFS('SA-1'!$J$15:$J$62,'SA-1'!$B$15:$B$62,2028)/SUMIFS('SA-1'!$E$15:$E$62,'SA-1'!$B$15:$B$62,2028),0)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'NSW-1'!E27+'VIC-1'!E27+'QLD-1'!E27+'NSW-2'!E27+'VIC-2'!E27+'QLD-2'!E27+'SA-1'!E27+'WA-1'!E27</f>
        <v/>
      </c>
      <c r="F27" s="26">
        <f>'NSW-1'!F27+'VIC-1'!F27+'QLD-1'!F27+'NSW-2'!F27+'VIC-2'!F27+'QLD-2'!F27+'SA-1'!F27+'WA-1'!F27+'IDC-NSW'!F27+'IDC-VIC'!F27</f>
        <v/>
      </c>
      <c r="G27" s="10">
        <f>'NSW-1'!G27+'VIC-1'!G27+'QLD-1'!G27+'NSW-2'!G27+'VIC-2'!G27+'QLD-2'!G27+'SA-1'!G27+'WA-1'!G27+'IDC-NSW'!G27+'IDC-VIC'!G27</f>
        <v/>
      </c>
      <c r="H27" s="23">
        <f>'NSW-1'!H27+'VIC-1'!H27+'QLD-1'!H27+'NSW-2'!H27+'VIC-2'!H27+'QLD-2'!H27+'SA-1'!H27+'WA-1'!H27+'IDC-NSW'!H27+'IDC-VIC'!H27</f>
        <v/>
      </c>
      <c r="I27" s="23">
        <f>'NSW-1'!I27+'VIC-1'!I27+'QLD-1'!I27+'NSW-2'!I27+'VIC-2'!I27+'QLD-2'!I27+'SA-1'!I27+'WA-1'!I27+'IDC-NSW'!I27+'IDC-VIC'!I27</f>
        <v/>
      </c>
      <c r="J27" s="23">
        <f>'NSW-1'!J27+'VIC-1'!J27+'QLD-1'!J27+'NSW-2'!J27+'VIC-2'!J27+'QLD-2'!J27+'SA-1'!J27+'WA-1'!J27+'IDC-NSW'!J27+'IDC-VIC'!J27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t="inlineStr">
        <is>
          <t>WA-1</t>
        </is>
      </c>
      <c r="S27" s="11">
        <f>IFERROR(SUMIFS('WA-1'!$J$15:$J$62,'WA-1'!$B$15:$B$62,2025)/SUMIFS('WA-1'!$E$15:$E$62,'WA-1'!$B$15:$B$62,2025),0)</f>
        <v/>
      </c>
      <c r="T27" s="11">
        <f>IFERROR(SUMIFS('WA-1'!$J$15:$J$62,'WA-1'!$B$15:$B$62,2026)/SUMIFS('WA-1'!$E$15:$E$62,'WA-1'!$B$15:$B$62,2026),0)</f>
        <v/>
      </c>
      <c r="U27" s="11">
        <f>IFERROR(SUMIFS('WA-1'!$J$15:$J$62,'WA-1'!$B$15:$B$62,2027)/SUMIFS('WA-1'!$E$15:$E$62,'WA-1'!$B$15:$B$62,2027),0)</f>
        <v/>
      </c>
      <c r="V27" s="11">
        <f>IFERROR(SUMIFS('WA-1'!$J$15:$J$62,'WA-1'!$B$15:$B$62,2028)/SUMIFS('WA-1'!$E$15:$E$62,'WA-1'!$B$15:$B$62,2028),0)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'NSW-1'!E28+'VIC-1'!E28+'QLD-1'!E28+'NSW-2'!E28+'VIC-2'!E28+'QLD-2'!E28+'SA-1'!E28+'WA-1'!E28</f>
        <v/>
      </c>
      <c r="F28" s="26">
        <f>'NSW-1'!F28+'VIC-1'!F28+'QLD-1'!F28+'NSW-2'!F28+'VIC-2'!F28+'QLD-2'!F28+'SA-1'!F28+'WA-1'!F28+'IDC-NSW'!F28+'IDC-VIC'!F28</f>
        <v/>
      </c>
      <c r="G28" s="10">
        <f>'NSW-1'!G28+'VIC-1'!G28+'QLD-1'!G28+'NSW-2'!G28+'VIC-2'!G28+'QLD-2'!G28+'SA-1'!G28+'WA-1'!G28+'IDC-NSW'!G28+'IDC-VIC'!G28</f>
        <v/>
      </c>
      <c r="H28" s="23">
        <f>'NSW-1'!H28+'VIC-1'!H28+'QLD-1'!H28+'NSW-2'!H28+'VIC-2'!H28+'QLD-2'!H28+'SA-1'!H28+'WA-1'!H28+'IDC-NSW'!H28+'IDC-VIC'!H28</f>
        <v/>
      </c>
      <c r="I28" s="23">
        <f>'NSW-1'!I28+'VIC-1'!I28+'QLD-1'!I28+'NSW-2'!I28+'VIC-2'!I28+'QLD-2'!I28+'SA-1'!I28+'WA-1'!I28+'IDC-NSW'!I28+'IDC-VIC'!I28</f>
        <v/>
      </c>
      <c r="J28" s="23">
        <f>'NSW-1'!J28+'VIC-1'!J28+'QLD-1'!J28+'NSW-2'!J28+'VIC-2'!J28+'QLD-2'!J28+'SA-1'!J28+'WA-1'!J28+'IDC-NSW'!J28+'IDC-VIC'!J28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t="inlineStr">
        <is>
          <t>IDC-NSW</t>
        </is>
      </c>
      <c r="S28" s="11">
        <f>IFERROR(SUMIFS('IDC-NSW'!$J$15:$J$62,'IDC-NSW'!$B$15:$B$62,2025)/SUMIFS('IDC-NSW'!$E$15:$E$62,'IDC-NSW'!$B$15:$B$62,2025),0)</f>
        <v/>
      </c>
      <c r="T28" s="11">
        <f>IFERROR(SUMIFS('IDC-NSW'!$J$15:$J$62,'IDC-NSW'!$B$15:$B$62,2026)/SUMIFS('IDC-NSW'!$E$15:$E$62,'IDC-NSW'!$B$15:$B$62,2026),0)</f>
        <v/>
      </c>
      <c r="U28" s="11">
        <f>IFERROR(SUMIFS('IDC-NSW'!$J$15:$J$62,'IDC-NSW'!$B$15:$B$62,2027)/SUMIFS('IDC-NSW'!$E$15:$E$62,'IDC-NSW'!$B$15:$B$62,2027),0)</f>
        <v/>
      </c>
      <c r="V28" s="11">
        <f>IFERROR(SUMIFS('IDC-NSW'!$J$15:$J$62,'IDC-NSW'!$B$15:$B$62,2028)/SUMIFS('IDC-NSW'!$E$15:$E$62,'IDC-NSW'!$B$15:$B$62,2028),0)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'NSW-1'!E29+'VIC-1'!E29+'QLD-1'!E29+'NSW-2'!E29+'VIC-2'!E29+'QLD-2'!E29+'SA-1'!E29+'WA-1'!E29</f>
        <v/>
      </c>
      <c r="F29" s="26">
        <f>'NSW-1'!F29+'VIC-1'!F29+'QLD-1'!F29+'NSW-2'!F29+'VIC-2'!F29+'QLD-2'!F29+'SA-1'!F29+'WA-1'!F29+'IDC-NSW'!F29+'IDC-VIC'!F29</f>
        <v/>
      </c>
      <c r="G29" s="10">
        <f>'NSW-1'!G29+'VIC-1'!G29+'QLD-1'!G29+'NSW-2'!G29+'VIC-2'!G29+'QLD-2'!G29+'SA-1'!G29+'WA-1'!G29+'IDC-NSW'!G29+'IDC-VIC'!G29</f>
        <v/>
      </c>
      <c r="H29" s="23">
        <f>'NSW-1'!H29+'VIC-1'!H29+'QLD-1'!H29+'NSW-2'!H29+'VIC-2'!H29+'QLD-2'!H29+'SA-1'!H29+'WA-1'!H29+'IDC-NSW'!H29+'IDC-VIC'!H29</f>
        <v/>
      </c>
      <c r="I29" s="23">
        <f>'NSW-1'!I29+'VIC-1'!I29+'QLD-1'!I29+'NSW-2'!I29+'VIC-2'!I29+'QLD-2'!I29+'SA-1'!I29+'WA-1'!I29+'IDC-NSW'!I29+'IDC-VIC'!I29</f>
        <v/>
      </c>
      <c r="J29" s="23">
        <f>'NSW-1'!J29+'VIC-1'!J29+'QLD-1'!J29+'NSW-2'!J29+'VIC-2'!J29+'QLD-2'!J29+'SA-1'!J29+'WA-1'!J29+'IDC-NSW'!J29+'IDC-VIC'!J29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t="inlineStr">
        <is>
          <t>IDC-VIC</t>
        </is>
      </c>
      <c r="S29" s="11">
        <f>IFERROR(SUMIFS('IDC-VIC'!$J$15:$J$62,'IDC-VIC'!$B$15:$B$62,2025)/SUMIFS('IDC-VIC'!$E$15:$E$62,'IDC-VIC'!$B$15:$B$62,2025),0)</f>
        <v/>
      </c>
      <c r="T29" s="11">
        <f>IFERROR(SUMIFS('IDC-VIC'!$J$15:$J$62,'IDC-VIC'!$B$15:$B$62,2026)/SUMIFS('IDC-VIC'!$E$15:$E$62,'IDC-VIC'!$B$15:$B$62,2026),0)</f>
        <v/>
      </c>
      <c r="U29" s="11">
        <f>IFERROR(SUMIFS('IDC-VIC'!$J$15:$J$62,'IDC-VIC'!$B$15:$B$62,2027)/SUMIFS('IDC-VIC'!$E$15:$E$62,'IDC-VIC'!$B$15:$B$62,2027),0)</f>
        <v/>
      </c>
      <c r="V29" s="11">
        <f>IFERROR(SUMIFS('IDC-VIC'!$J$15:$J$62,'IDC-VIC'!$B$15:$B$62,2028)/SUMIFS('IDC-VIC'!$E$15:$E$62,'IDC-VIC'!$B$15:$B$62,2028),0)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'NSW-1'!E30+'VIC-1'!E30+'QLD-1'!E30+'NSW-2'!E30+'VIC-2'!E30+'QLD-2'!E30+'SA-1'!E30+'WA-1'!E30</f>
        <v/>
      </c>
      <c r="F30" s="26">
        <f>'NSW-1'!F30+'VIC-1'!F30+'QLD-1'!F30+'NSW-2'!F30+'VIC-2'!F30+'QLD-2'!F30+'SA-1'!F30+'WA-1'!F30+'IDC-NSW'!F30+'IDC-VIC'!F30</f>
        <v/>
      </c>
      <c r="G30" s="10">
        <f>'NSW-1'!G30+'VIC-1'!G30+'QLD-1'!G30+'NSW-2'!G30+'VIC-2'!G30+'QLD-2'!G30+'SA-1'!G30+'WA-1'!G30+'IDC-NSW'!G30+'IDC-VIC'!G30</f>
        <v/>
      </c>
      <c r="H30" s="23">
        <f>'NSW-1'!H30+'VIC-1'!H30+'QLD-1'!H30+'NSW-2'!H30+'VIC-2'!H30+'QLD-2'!H30+'SA-1'!H30+'WA-1'!H30+'IDC-NSW'!H30+'IDC-VIC'!H30</f>
        <v/>
      </c>
      <c r="I30" s="23">
        <f>'NSW-1'!I30+'VIC-1'!I30+'QLD-1'!I30+'NSW-2'!I30+'VIC-2'!I30+'QLD-2'!I30+'SA-1'!I30+'WA-1'!I30+'IDC-NSW'!I30+'IDC-VIC'!I30</f>
        <v/>
      </c>
      <c r="J30" s="23">
        <f>'NSW-1'!J30+'VIC-1'!J30+'QLD-1'!J30+'NSW-2'!J30+'VIC-2'!J30+'QLD-2'!J30+'SA-1'!J30+'WA-1'!J30+'IDC-NSW'!J30+'IDC-VIC'!J30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'NSW-1'!E31+'VIC-1'!E31+'QLD-1'!E31+'NSW-2'!E31+'VIC-2'!E31+'QLD-2'!E31+'SA-1'!E31+'WA-1'!E31</f>
        <v/>
      </c>
      <c r="F31" s="26">
        <f>'NSW-1'!F31+'VIC-1'!F31+'QLD-1'!F31+'NSW-2'!F31+'VIC-2'!F31+'QLD-2'!F31+'SA-1'!F31+'WA-1'!F31+'IDC-NSW'!F31+'IDC-VIC'!F31</f>
        <v/>
      </c>
      <c r="G31" s="10">
        <f>'NSW-1'!G31+'VIC-1'!G31+'QLD-1'!G31+'NSW-2'!G31+'VIC-2'!G31+'QLD-2'!G31+'SA-1'!G31+'WA-1'!G31+'IDC-NSW'!G31+'IDC-VIC'!G31</f>
        <v/>
      </c>
      <c r="H31" s="23">
        <f>'NSW-1'!H31+'VIC-1'!H31+'QLD-1'!H31+'NSW-2'!H31+'VIC-2'!H31+'QLD-2'!H31+'SA-1'!H31+'WA-1'!H31+'IDC-NSW'!H31+'IDC-VIC'!H31</f>
        <v/>
      </c>
      <c r="I31" s="23">
        <f>'NSW-1'!I31+'VIC-1'!I31+'QLD-1'!I31+'NSW-2'!I31+'VIC-2'!I31+'QLD-2'!I31+'SA-1'!I31+'WA-1'!I31+'IDC-NSW'!I31+'IDC-VIC'!I31</f>
        <v/>
      </c>
      <c r="J31" s="23">
        <f>'NSW-1'!J31+'VIC-1'!J31+'QLD-1'!J31+'NSW-2'!J31+'VIC-2'!J31+'QLD-2'!J31+'SA-1'!J31+'WA-1'!J31+'IDC-NSW'!J31+'IDC-VIC'!J31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'NSW-1'!E32+'VIC-1'!E32+'QLD-1'!E32+'NSW-2'!E32+'VIC-2'!E32+'QLD-2'!E32+'SA-1'!E32+'WA-1'!E32</f>
        <v/>
      </c>
      <c r="F32" s="26">
        <f>'NSW-1'!F32+'VIC-1'!F32+'QLD-1'!F32+'NSW-2'!F32+'VIC-2'!F32+'QLD-2'!F32+'SA-1'!F32+'WA-1'!F32+'IDC-NSW'!F32+'IDC-VIC'!F32</f>
        <v/>
      </c>
      <c r="G32" s="10">
        <f>'NSW-1'!G32+'VIC-1'!G32+'QLD-1'!G32+'NSW-2'!G32+'VIC-2'!G32+'QLD-2'!G32+'SA-1'!G32+'WA-1'!G32+'IDC-NSW'!G32+'IDC-VIC'!G32</f>
        <v/>
      </c>
      <c r="H32" s="23">
        <f>'NSW-1'!H32+'VIC-1'!H32+'QLD-1'!H32+'NSW-2'!H32+'VIC-2'!H32+'QLD-2'!H32+'SA-1'!H32+'WA-1'!H32+'IDC-NSW'!H32+'IDC-VIC'!H32</f>
        <v/>
      </c>
      <c r="I32" s="23">
        <f>'NSW-1'!I32+'VIC-1'!I32+'QLD-1'!I32+'NSW-2'!I32+'VIC-2'!I32+'QLD-2'!I32+'SA-1'!I32+'WA-1'!I32+'IDC-NSW'!I32+'IDC-VIC'!I32</f>
        <v/>
      </c>
      <c r="J32" s="23">
        <f>'NSW-1'!J32+'VIC-1'!J32+'QLD-1'!J32+'NSW-2'!J32+'VIC-2'!J32+'QLD-2'!J32+'SA-1'!J32+'WA-1'!J32+'IDC-NSW'!J32+'IDC-VIC'!J32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1" t="inlineStr">
        <is>
          <t>CPLH (cases / hr)</t>
        </is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'NSW-1'!E33+'VIC-1'!E33+'QLD-1'!E33+'NSW-2'!E33+'VIC-2'!E33+'QLD-2'!E33+'SA-1'!E33+'WA-1'!E33</f>
        <v/>
      </c>
      <c r="F33" s="26">
        <f>'NSW-1'!F33+'VIC-1'!F33+'QLD-1'!F33+'NSW-2'!F33+'VIC-2'!F33+'QLD-2'!F33+'SA-1'!F33+'WA-1'!F33+'IDC-NSW'!F33+'IDC-VIC'!F33</f>
        <v/>
      </c>
      <c r="G33" s="10">
        <f>'NSW-1'!G33+'VIC-1'!G33+'QLD-1'!G33+'NSW-2'!G33+'VIC-2'!G33+'QLD-2'!G33+'SA-1'!G33+'WA-1'!G33+'IDC-NSW'!G33+'IDC-VIC'!G33</f>
        <v/>
      </c>
      <c r="H33" s="23">
        <f>'NSW-1'!H33+'VIC-1'!H33+'QLD-1'!H33+'NSW-2'!H33+'VIC-2'!H33+'QLD-2'!H33+'SA-1'!H33+'WA-1'!H33+'IDC-NSW'!H33+'IDC-VIC'!H33</f>
        <v/>
      </c>
      <c r="I33" s="23">
        <f>'NSW-1'!I33+'VIC-1'!I33+'QLD-1'!I33+'NSW-2'!I33+'VIC-2'!I33+'QLD-2'!I33+'SA-1'!I33+'WA-1'!I33+'IDC-NSW'!I33+'IDC-VIC'!I33</f>
        <v/>
      </c>
      <c r="J33" s="23">
        <f>'NSW-1'!J33+'VIC-1'!J33+'QLD-1'!J33+'NSW-2'!J33+'VIC-2'!J33+'QLD-2'!J33+'SA-1'!J33+'WA-1'!J33+'IDC-NSW'!J33+'IDC-VIC'!J33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5" t="inlineStr">
        <is>
          <t>Site</t>
        </is>
      </c>
      <c r="S33" s="5" t="inlineStr">
        <is>
          <t>FY2025</t>
        </is>
      </c>
      <c r="T33" s="5" t="inlineStr">
        <is>
          <t>FY2026</t>
        </is>
      </c>
      <c r="U33" s="5" t="inlineStr">
        <is>
          <t>FY2027</t>
        </is>
      </c>
      <c r="V33" s="5" t="inlineStr">
        <is>
          <t>FY2028</t>
        </is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'NSW-1'!E34+'VIC-1'!E34+'QLD-1'!E34+'NSW-2'!E34+'VIC-2'!E34+'QLD-2'!E34+'SA-1'!E34+'WA-1'!E34</f>
        <v/>
      </c>
      <c r="F34" s="26">
        <f>'NSW-1'!F34+'VIC-1'!F34+'QLD-1'!F34+'NSW-2'!F34+'VIC-2'!F34+'QLD-2'!F34+'SA-1'!F34+'WA-1'!F34+'IDC-NSW'!F34+'IDC-VIC'!F34</f>
        <v/>
      </c>
      <c r="G34" s="10">
        <f>'NSW-1'!G34+'VIC-1'!G34+'QLD-1'!G34+'NSW-2'!G34+'VIC-2'!G34+'QLD-2'!G34+'SA-1'!G34+'WA-1'!G34+'IDC-NSW'!G34+'IDC-VIC'!G34</f>
        <v/>
      </c>
      <c r="H34" s="23">
        <f>'NSW-1'!H34+'VIC-1'!H34+'QLD-1'!H34+'NSW-2'!H34+'VIC-2'!H34+'QLD-2'!H34+'SA-1'!H34+'WA-1'!H34+'IDC-NSW'!H34+'IDC-VIC'!H34</f>
        <v/>
      </c>
      <c r="I34" s="23">
        <f>'NSW-1'!I34+'VIC-1'!I34+'QLD-1'!I34+'NSW-2'!I34+'VIC-2'!I34+'QLD-2'!I34+'SA-1'!I34+'WA-1'!I34+'IDC-NSW'!I34+'IDC-VIC'!I34</f>
        <v/>
      </c>
      <c r="J34" s="23">
        <f>'NSW-1'!J34+'VIC-1'!J34+'QLD-1'!J34+'NSW-2'!J34+'VIC-2'!J34+'QLD-2'!J34+'SA-1'!J34+'WA-1'!J34+'IDC-NSW'!J34+'IDC-VIC'!J34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t="inlineStr">
        <is>
          <t>NSW-1</t>
        </is>
      </c>
      <c r="S34" s="27">
        <f>IFERROR(SUMIFS('NSW-1'!$F$15:$F$62,'NSW-1'!$B$15:$B$62,2025)/SUMIFS('NSW-1'!$G$15:$G$62,'NSW-1'!$B$15:$B$62,2025),0)</f>
        <v/>
      </c>
      <c r="T34" s="27">
        <f>IFERROR(SUMIFS('NSW-1'!$F$15:$F$62,'NSW-1'!$B$15:$B$62,2026)/SUMIFS('NSW-1'!$G$15:$G$62,'NSW-1'!$B$15:$B$62,2026),0)</f>
        <v/>
      </c>
      <c r="U34" s="27">
        <f>IFERROR(SUMIFS('NSW-1'!$F$15:$F$62,'NSW-1'!$B$15:$B$62,2027)/SUMIFS('NSW-1'!$G$15:$G$62,'NSW-1'!$B$15:$B$62,2027),0)</f>
        <v/>
      </c>
      <c r="V34" s="27">
        <f>IFERROR(SUMIFS('NSW-1'!$F$15:$F$62,'NSW-1'!$B$15:$B$62,2028)/SUMIFS('NSW-1'!$G$15:$G$62,'NSW-1'!$B$15:$B$62,2028),0)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'NSW-1'!E35+'VIC-1'!E35+'QLD-1'!E35+'NSW-2'!E35+'VIC-2'!E35+'QLD-2'!E35+'SA-1'!E35+'WA-1'!E35</f>
        <v/>
      </c>
      <c r="F35" s="26">
        <f>'NSW-1'!F35+'VIC-1'!F35+'QLD-1'!F35+'NSW-2'!F35+'VIC-2'!F35+'QLD-2'!F35+'SA-1'!F35+'WA-1'!F35+'IDC-NSW'!F35+'IDC-VIC'!F35</f>
        <v/>
      </c>
      <c r="G35" s="10">
        <f>'NSW-1'!G35+'VIC-1'!G35+'QLD-1'!G35+'NSW-2'!G35+'VIC-2'!G35+'QLD-2'!G35+'SA-1'!G35+'WA-1'!G35+'IDC-NSW'!G35+'IDC-VIC'!G35</f>
        <v/>
      </c>
      <c r="H35" s="23">
        <f>'NSW-1'!H35+'VIC-1'!H35+'QLD-1'!H35+'NSW-2'!H35+'VIC-2'!H35+'QLD-2'!H35+'SA-1'!H35+'WA-1'!H35+'IDC-NSW'!H35+'IDC-VIC'!H35</f>
        <v/>
      </c>
      <c r="I35" s="23">
        <f>'NSW-1'!I35+'VIC-1'!I35+'QLD-1'!I35+'NSW-2'!I35+'VIC-2'!I35+'QLD-2'!I35+'SA-1'!I35+'WA-1'!I35+'IDC-NSW'!I35+'IDC-VIC'!I35</f>
        <v/>
      </c>
      <c r="J35" s="23">
        <f>'NSW-1'!J35+'VIC-1'!J35+'QLD-1'!J35+'NSW-2'!J35+'VIC-2'!J35+'QLD-2'!J35+'SA-1'!J35+'WA-1'!J35+'IDC-NSW'!J35+'IDC-VIC'!J35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t="inlineStr">
        <is>
          <t>VIC-1</t>
        </is>
      </c>
      <c r="S35" s="27">
        <f>IFERROR(SUMIFS('VIC-1'!$F$15:$F$62,'VIC-1'!$B$15:$B$62,2025)/SUMIFS('VIC-1'!$G$15:$G$62,'VIC-1'!$B$15:$B$62,2025),0)</f>
        <v/>
      </c>
      <c r="T35" s="27">
        <f>IFERROR(SUMIFS('VIC-1'!$F$15:$F$62,'VIC-1'!$B$15:$B$62,2026)/SUMIFS('VIC-1'!$G$15:$G$62,'VIC-1'!$B$15:$B$62,2026),0)</f>
        <v/>
      </c>
      <c r="U35" s="27">
        <f>IFERROR(SUMIFS('VIC-1'!$F$15:$F$62,'VIC-1'!$B$15:$B$62,2027)/SUMIFS('VIC-1'!$G$15:$G$62,'VIC-1'!$B$15:$B$62,2027),0)</f>
        <v/>
      </c>
      <c r="V35" s="27">
        <f>IFERROR(SUMIFS('VIC-1'!$F$15:$F$62,'VIC-1'!$B$15:$B$62,2028)/SUMIFS('VIC-1'!$G$15:$G$62,'VIC-1'!$B$15:$B$62,2028),0)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'NSW-1'!E36+'VIC-1'!E36+'QLD-1'!E36+'NSW-2'!E36+'VIC-2'!E36+'QLD-2'!E36+'SA-1'!E36+'WA-1'!E36</f>
        <v/>
      </c>
      <c r="F36" s="26">
        <f>'NSW-1'!F36+'VIC-1'!F36+'QLD-1'!F36+'NSW-2'!F36+'VIC-2'!F36+'QLD-2'!F36+'SA-1'!F36+'WA-1'!F36+'IDC-NSW'!F36+'IDC-VIC'!F36</f>
        <v/>
      </c>
      <c r="G36" s="10">
        <f>'NSW-1'!G36+'VIC-1'!G36+'QLD-1'!G36+'NSW-2'!G36+'VIC-2'!G36+'QLD-2'!G36+'SA-1'!G36+'WA-1'!G36+'IDC-NSW'!G36+'IDC-VIC'!G36</f>
        <v/>
      </c>
      <c r="H36" s="23">
        <f>'NSW-1'!H36+'VIC-1'!H36+'QLD-1'!H36+'NSW-2'!H36+'VIC-2'!H36+'QLD-2'!H36+'SA-1'!H36+'WA-1'!H36+'IDC-NSW'!H36+'IDC-VIC'!H36</f>
        <v/>
      </c>
      <c r="I36" s="23">
        <f>'NSW-1'!I36+'VIC-1'!I36+'QLD-1'!I36+'NSW-2'!I36+'VIC-2'!I36+'QLD-2'!I36+'SA-1'!I36+'WA-1'!I36+'IDC-NSW'!I36+'IDC-VIC'!I36</f>
        <v/>
      </c>
      <c r="J36" s="23">
        <f>'NSW-1'!J36+'VIC-1'!J36+'QLD-1'!J36+'NSW-2'!J36+'VIC-2'!J36+'QLD-2'!J36+'SA-1'!J36+'WA-1'!J36+'IDC-NSW'!J36+'IDC-VIC'!J36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t="inlineStr">
        <is>
          <t>QLD-1</t>
        </is>
      </c>
      <c r="S36" s="27">
        <f>IFERROR(SUMIFS('QLD-1'!$F$15:$F$62,'QLD-1'!$B$15:$B$62,2025)/SUMIFS('QLD-1'!$G$15:$G$62,'QLD-1'!$B$15:$B$62,2025),0)</f>
        <v/>
      </c>
      <c r="T36" s="27">
        <f>IFERROR(SUMIFS('QLD-1'!$F$15:$F$62,'QLD-1'!$B$15:$B$62,2026)/SUMIFS('QLD-1'!$G$15:$G$62,'QLD-1'!$B$15:$B$62,2026),0)</f>
        <v/>
      </c>
      <c r="U36" s="27">
        <f>IFERROR(SUMIFS('QLD-1'!$F$15:$F$62,'QLD-1'!$B$15:$B$62,2027)/SUMIFS('QLD-1'!$G$15:$G$62,'QLD-1'!$B$15:$B$62,2027),0)</f>
        <v/>
      </c>
      <c r="V36" s="27">
        <f>IFERROR(SUMIFS('QLD-1'!$F$15:$F$62,'QLD-1'!$B$15:$B$62,2028)/SUMIFS('QLD-1'!$G$15:$G$62,'QLD-1'!$B$15:$B$62,2028),0)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'NSW-1'!E37+'VIC-1'!E37+'QLD-1'!E37+'NSW-2'!E37+'VIC-2'!E37+'QLD-2'!E37+'SA-1'!E37+'WA-1'!E37</f>
        <v/>
      </c>
      <c r="F37" s="26">
        <f>'NSW-1'!F37+'VIC-1'!F37+'QLD-1'!F37+'NSW-2'!F37+'VIC-2'!F37+'QLD-2'!F37+'SA-1'!F37+'WA-1'!F37+'IDC-NSW'!F37+'IDC-VIC'!F37</f>
        <v/>
      </c>
      <c r="G37" s="10">
        <f>'NSW-1'!G37+'VIC-1'!G37+'QLD-1'!G37+'NSW-2'!G37+'VIC-2'!G37+'QLD-2'!G37+'SA-1'!G37+'WA-1'!G37+'IDC-NSW'!G37+'IDC-VIC'!G37</f>
        <v/>
      </c>
      <c r="H37" s="23">
        <f>'NSW-1'!H37+'VIC-1'!H37+'QLD-1'!H37+'NSW-2'!H37+'VIC-2'!H37+'QLD-2'!H37+'SA-1'!H37+'WA-1'!H37+'IDC-NSW'!H37+'IDC-VIC'!H37</f>
        <v/>
      </c>
      <c r="I37" s="23">
        <f>'NSW-1'!I37+'VIC-1'!I37+'QLD-1'!I37+'NSW-2'!I37+'VIC-2'!I37+'QLD-2'!I37+'SA-1'!I37+'WA-1'!I37+'IDC-NSW'!I37+'IDC-VIC'!I37</f>
        <v/>
      </c>
      <c r="J37" s="23">
        <f>'NSW-1'!J37+'VIC-1'!J37+'QLD-1'!J37+'NSW-2'!J37+'VIC-2'!J37+'QLD-2'!J37+'SA-1'!J37+'WA-1'!J37+'IDC-NSW'!J37+'IDC-VIC'!J37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t="inlineStr">
        <is>
          <t>NSW-2</t>
        </is>
      </c>
      <c r="S37" s="27">
        <f>IFERROR(SUMIFS('NSW-2'!$F$15:$F$62,'NSW-2'!$B$15:$B$62,2025)/SUMIFS('NSW-2'!$G$15:$G$62,'NSW-2'!$B$15:$B$62,2025),0)</f>
        <v/>
      </c>
      <c r="T37" s="27">
        <f>IFERROR(SUMIFS('NSW-2'!$F$15:$F$62,'NSW-2'!$B$15:$B$62,2026)/SUMIFS('NSW-2'!$G$15:$G$62,'NSW-2'!$B$15:$B$62,2026),0)</f>
        <v/>
      </c>
      <c r="U37" s="27">
        <f>IFERROR(SUMIFS('NSW-2'!$F$15:$F$62,'NSW-2'!$B$15:$B$62,2027)/SUMIFS('NSW-2'!$G$15:$G$62,'NSW-2'!$B$15:$B$62,2027),0)</f>
        <v/>
      </c>
      <c r="V37" s="27">
        <f>IFERROR(SUMIFS('NSW-2'!$F$15:$F$62,'NSW-2'!$B$15:$B$62,2028)/SUMIFS('NSW-2'!$G$15:$G$62,'NSW-2'!$B$15:$B$62,2028),0)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'NSW-1'!E38+'VIC-1'!E38+'QLD-1'!E38+'NSW-2'!E38+'VIC-2'!E38+'QLD-2'!E38+'SA-1'!E38+'WA-1'!E38</f>
        <v/>
      </c>
      <c r="F38" s="34">
        <f>'NSW-1'!F38+'VIC-1'!F38+'QLD-1'!F38+'NSW-2'!F38+'VIC-2'!F38+'QLD-2'!F38+'SA-1'!F38+'WA-1'!F38+'IDC-NSW'!F38+'IDC-VIC'!F38</f>
        <v/>
      </c>
      <c r="G38" s="35">
        <f>'NSW-1'!G38+'VIC-1'!G38+'QLD-1'!G38+'NSW-2'!G38+'VIC-2'!G38+'QLD-2'!G38+'SA-1'!G38+'WA-1'!G38+'IDC-NSW'!G38+'IDC-VIC'!G38</f>
        <v/>
      </c>
      <c r="H38" s="33">
        <f>'NSW-1'!H38+'VIC-1'!H38+'QLD-1'!H38+'NSW-2'!H38+'VIC-2'!H38+'QLD-2'!H38+'SA-1'!H38+'WA-1'!H38+'IDC-NSW'!H38+'IDC-VIC'!H38</f>
        <v/>
      </c>
      <c r="I38" s="33">
        <f>'NSW-1'!I38+'VIC-1'!I38+'QLD-1'!I38+'NSW-2'!I38+'VIC-2'!I38+'QLD-2'!I38+'SA-1'!I38+'WA-1'!I38+'IDC-NSW'!I38+'IDC-VIC'!I38</f>
        <v/>
      </c>
      <c r="J38" s="33">
        <f>'NSW-1'!J38+'VIC-1'!J38+'QLD-1'!J38+'NSW-2'!J38+'VIC-2'!J38+'QLD-2'!J38+'SA-1'!J38+'WA-1'!J38+'IDC-NSW'!J38+'IDC-VIC'!J38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t="inlineStr">
        <is>
          <t>VIC-2</t>
        </is>
      </c>
      <c r="S38" s="27">
        <f>IFERROR(SUMIFS('VIC-2'!$F$15:$F$62,'VIC-2'!$B$15:$B$62,2025)/SUMIFS('VIC-2'!$G$15:$G$62,'VIC-2'!$B$15:$B$62,2025),0)</f>
        <v/>
      </c>
      <c r="T38" s="27">
        <f>IFERROR(SUMIFS('VIC-2'!$F$15:$F$62,'VIC-2'!$B$15:$B$62,2026)/SUMIFS('VIC-2'!$G$15:$G$62,'VIC-2'!$B$15:$B$62,2026),0)</f>
        <v/>
      </c>
      <c r="U38" s="27">
        <f>IFERROR(SUMIFS('VIC-2'!$F$15:$F$62,'VIC-2'!$B$15:$B$62,2027)/SUMIFS('VIC-2'!$G$15:$G$62,'VIC-2'!$B$15:$B$62,2027),0)</f>
        <v/>
      </c>
      <c r="V38" s="27">
        <f>IFERROR(SUMIFS('VIC-2'!$F$15:$F$62,'VIC-2'!$B$15:$B$62,2028)/SUMIFS('VIC-2'!$G$15:$G$62,'VIC-2'!$B$15:$B$62,2028),0)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'NSW-1'!E39+'VIC-1'!E39+'QLD-1'!E39+'NSW-2'!E39+'VIC-2'!E39+'QLD-2'!E39+'SA-1'!E39+'WA-1'!E39</f>
        <v/>
      </c>
      <c r="F39" s="26">
        <f>'NSW-1'!F39+'VIC-1'!F39+'QLD-1'!F39+'NSW-2'!F39+'VIC-2'!F39+'QLD-2'!F39+'SA-1'!F39+'WA-1'!F39+'IDC-NSW'!F39+'IDC-VIC'!F39</f>
        <v/>
      </c>
      <c r="G39" s="10">
        <f>'NSW-1'!G39+'VIC-1'!G39+'QLD-1'!G39+'NSW-2'!G39+'VIC-2'!G39+'QLD-2'!G39+'SA-1'!G39+'WA-1'!G39+'IDC-NSW'!G39+'IDC-VIC'!G39</f>
        <v/>
      </c>
      <c r="H39" s="23">
        <f>'NSW-1'!H39+'VIC-1'!H39+'QLD-1'!H39+'NSW-2'!H39+'VIC-2'!H39+'QLD-2'!H39+'SA-1'!H39+'WA-1'!H39+'IDC-NSW'!H39+'IDC-VIC'!H39</f>
        <v/>
      </c>
      <c r="I39" s="23">
        <f>'NSW-1'!I39+'VIC-1'!I39+'QLD-1'!I39+'NSW-2'!I39+'VIC-2'!I39+'QLD-2'!I39+'SA-1'!I39+'WA-1'!I39+'IDC-NSW'!I39+'IDC-VIC'!I39</f>
        <v/>
      </c>
      <c r="J39" s="23">
        <f>'NSW-1'!J39+'VIC-1'!J39+'QLD-1'!J39+'NSW-2'!J39+'VIC-2'!J39+'QLD-2'!J39+'SA-1'!J39+'WA-1'!J39+'IDC-NSW'!J39+'IDC-VIC'!J39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t="inlineStr">
        <is>
          <t>QLD-2</t>
        </is>
      </c>
      <c r="S39" s="27">
        <f>IFERROR(SUMIFS('QLD-2'!$F$15:$F$62,'QLD-2'!$B$15:$B$62,2025)/SUMIFS('QLD-2'!$G$15:$G$62,'QLD-2'!$B$15:$B$62,2025),0)</f>
        <v/>
      </c>
      <c r="T39" s="27">
        <f>IFERROR(SUMIFS('QLD-2'!$F$15:$F$62,'QLD-2'!$B$15:$B$62,2026)/SUMIFS('QLD-2'!$G$15:$G$62,'QLD-2'!$B$15:$B$62,2026),0)</f>
        <v/>
      </c>
      <c r="U39" s="27">
        <f>IFERROR(SUMIFS('QLD-2'!$F$15:$F$62,'QLD-2'!$B$15:$B$62,2027)/SUMIFS('QLD-2'!$G$15:$G$62,'QLD-2'!$B$15:$B$62,2027),0)</f>
        <v/>
      </c>
      <c r="V39" s="27">
        <f>IFERROR(SUMIFS('QLD-2'!$F$15:$F$62,'QLD-2'!$B$15:$B$62,2028)/SUMIFS('QLD-2'!$G$15:$G$62,'QLD-2'!$B$15:$B$62,2028),0)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'NSW-1'!E40+'VIC-1'!E40+'QLD-1'!E40+'NSW-2'!E40+'VIC-2'!E40+'QLD-2'!E40+'SA-1'!E40+'WA-1'!E40</f>
        <v/>
      </c>
      <c r="F40" s="26">
        <f>'NSW-1'!F40+'VIC-1'!F40+'QLD-1'!F40+'NSW-2'!F40+'VIC-2'!F40+'QLD-2'!F40+'SA-1'!F40+'WA-1'!F40+'IDC-NSW'!F40+'IDC-VIC'!F40</f>
        <v/>
      </c>
      <c r="G40" s="10">
        <f>'NSW-1'!G40+'VIC-1'!G40+'QLD-1'!G40+'NSW-2'!G40+'VIC-2'!G40+'QLD-2'!G40+'SA-1'!G40+'WA-1'!G40+'IDC-NSW'!G40+'IDC-VIC'!G40</f>
        <v/>
      </c>
      <c r="H40" s="23">
        <f>'NSW-1'!H40+'VIC-1'!H40+'QLD-1'!H40+'NSW-2'!H40+'VIC-2'!H40+'QLD-2'!H40+'SA-1'!H40+'WA-1'!H40+'IDC-NSW'!H40+'IDC-VIC'!H40</f>
        <v/>
      </c>
      <c r="I40" s="23">
        <f>'NSW-1'!I40+'VIC-1'!I40+'QLD-1'!I40+'NSW-2'!I40+'VIC-2'!I40+'QLD-2'!I40+'SA-1'!I40+'WA-1'!I40+'IDC-NSW'!I40+'IDC-VIC'!I40</f>
        <v/>
      </c>
      <c r="J40" s="23">
        <f>'NSW-1'!J40+'VIC-1'!J40+'QLD-1'!J40+'NSW-2'!J40+'VIC-2'!J40+'QLD-2'!J40+'SA-1'!J40+'WA-1'!J40+'IDC-NSW'!J40+'IDC-VIC'!J40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t="inlineStr">
        <is>
          <t>SA-1</t>
        </is>
      </c>
      <c r="S40" s="27">
        <f>IFERROR(SUMIFS('SA-1'!$F$15:$F$62,'SA-1'!$B$15:$B$62,2025)/SUMIFS('SA-1'!$G$15:$G$62,'SA-1'!$B$15:$B$62,2025),0)</f>
        <v/>
      </c>
      <c r="T40" s="27">
        <f>IFERROR(SUMIFS('SA-1'!$F$15:$F$62,'SA-1'!$B$15:$B$62,2026)/SUMIFS('SA-1'!$G$15:$G$62,'SA-1'!$B$15:$B$62,2026),0)</f>
        <v/>
      </c>
      <c r="U40" s="27">
        <f>IFERROR(SUMIFS('SA-1'!$F$15:$F$62,'SA-1'!$B$15:$B$62,2027)/SUMIFS('SA-1'!$G$15:$G$62,'SA-1'!$B$15:$B$62,2027),0)</f>
        <v/>
      </c>
      <c r="V40" s="27">
        <f>IFERROR(SUMIFS('SA-1'!$F$15:$F$62,'SA-1'!$B$15:$B$62,2028)/SUMIFS('SA-1'!$G$15:$G$62,'SA-1'!$B$15:$B$62,2028),0)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'NSW-1'!E41+'VIC-1'!E41+'QLD-1'!E41+'NSW-2'!E41+'VIC-2'!E41+'QLD-2'!E41+'SA-1'!E41+'WA-1'!E41</f>
        <v/>
      </c>
      <c r="F41" s="26">
        <f>'NSW-1'!F41+'VIC-1'!F41+'QLD-1'!F41+'NSW-2'!F41+'VIC-2'!F41+'QLD-2'!F41+'SA-1'!F41+'WA-1'!F41+'IDC-NSW'!F41+'IDC-VIC'!F41</f>
        <v/>
      </c>
      <c r="G41" s="10">
        <f>'NSW-1'!G41+'VIC-1'!G41+'QLD-1'!G41+'NSW-2'!G41+'VIC-2'!G41+'QLD-2'!G41+'SA-1'!G41+'WA-1'!G41+'IDC-NSW'!G41+'IDC-VIC'!G41</f>
        <v/>
      </c>
      <c r="H41" s="23">
        <f>'NSW-1'!H41+'VIC-1'!H41+'QLD-1'!H41+'NSW-2'!H41+'VIC-2'!H41+'QLD-2'!H41+'SA-1'!H41+'WA-1'!H41+'IDC-NSW'!H41+'IDC-VIC'!H41</f>
        <v/>
      </c>
      <c r="I41" s="23">
        <f>'NSW-1'!I41+'VIC-1'!I41+'QLD-1'!I41+'NSW-2'!I41+'VIC-2'!I41+'QLD-2'!I41+'SA-1'!I41+'WA-1'!I41+'IDC-NSW'!I41+'IDC-VIC'!I41</f>
        <v/>
      </c>
      <c r="J41" s="23">
        <f>'NSW-1'!J41+'VIC-1'!J41+'QLD-1'!J41+'NSW-2'!J41+'VIC-2'!J41+'QLD-2'!J41+'SA-1'!J41+'WA-1'!J41+'IDC-NSW'!J41+'IDC-VIC'!J41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t="inlineStr">
        <is>
          <t>WA-1</t>
        </is>
      </c>
      <c r="S41" s="27">
        <f>IFERROR(SUMIFS('WA-1'!$F$15:$F$62,'WA-1'!$B$15:$B$62,2025)/SUMIFS('WA-1'!$G$15:$G$62,'WA-1'!$B$15:$B$62,2025),0)</f>
        <v/>
      </c>
      <c r="T41" s="27">
        <f>IFERROR(SUMIFS('WA-1'!$F$15:$F$62,'WA-1'!$B$15:$B$62,2026)/SUMIFS('WA-1'!$G$15:$G$62,'WA-1'!$B$15:$B$62,2026),0)</f>
        <v/>
      </c>
      <c r="U41" s="27">
        <f>IFERROR(SUMIFS('WA-1'!$F$15:$F$62,'WA-1'!$B$15:$B$62,2027)/SUMIFS('WA-1'!$G$15:$G$62,'WA-1'!$B$15:$B$62,2027),0)</f>
        <v/>
      </c>
      <c r="V41" s="27">
        <f>IFERROR(SUMIFS('WA-1'!$F$15:$F$62,'WA-1'!$B$15:$B$62,2028)/SUMIFS('WA-1'!$G$15:$G$62,'WA-1'!$B$15:$B$62,2028),0)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'NSW-1'!E42+'VIC-1'!E42+'QLD-1'!E42+'NSW-2'!E42+'VIC-2'!E42+'QLD-2'!E42+'SA-1'!E42+'WA-1'!E42</f>
        <v/>
      </c>
      <c r="F42" s="26">
        <f>'NSW-1'!F42+'VIC-1'!F42+'QLD-1'!F42+'NSW-2'!F42+'VIC-2'!F42+'QLD-2'!F42+'SA-1'!F42+'WA-1'!F42+'IDC-NSW'!F42+'IDC-VIC'!F42</f>
        <v/>
      </c>
      <c r="G42" s="10">
        <f>'NSW-1'!G42+'VIC-1'!G42+'QLD-1'!G42+'NSW-2'!G42+'VIC-2'!G42+'QLD-2'!G42+'SA-1'!G42+'WA-1'!G42+'IDC-NSW'!G42+'IDC-VIC'!G42</f>
        <v/>
      </c>
      <c r="H42" s="23">
        <f>'NSW-1'!H42+'VIC-1'!H42+'QLD-1'!H42+'NSW-2'!H42+'VIC-2'!H42+'QLD-2'!H42+'SA-1'!H42+'WA-1'!H42+'IDC-NSW'!H42+'IDC-VIC'!H42</f>
        <v/>
      </c>
      <c r="I42" s="23">
        <f>'NSW-1'!I42+'VIC-1'!I42+'QLD-1'!I42+'NSW-2'!I42+'VIC-2'!I42+'QLD-2'!I42+'SA-1'!I42+'WA-1'!I42+'IDC-NSW'!I42+'IDC-VIC'!I42</f>
        <v/>
      </c>
      <c r="J42" s="23">
        <f>'NSW-1'!J42+'VIC-1'!J42+'QLD-1'!J42+'NSW-2'!J42+'VIC-2'!J42+'QLD-2'!J42+'SA-1'!J42+'WA-1'!J42+'IDC-NSW'!J42+'IDC-VIC'!J42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t="inlineStr">
        <is>
          <t>IDC-NSW</t>
        </is>
      </c>
      <c r="S42" s="27">
        <f>IFERROR(SUMIFS('IDC-NSW'!$F$15:$F$62,'IDC-NSW'!$B$15:$B$62,2025)/SUMIFS('IDC-NSW'!$G$15:$G$62,'IDC-NSW'!$B$15:$B$62,2025),0)</f>
        <v/>
      </c>
      <c r="T42" s="27">
        <f>IFERROR(SUMIFS('IDC-NSW'!$F$15:$F$62,'IDC-NSW'!$B$15:$B$62,2026)/SUMIFS('IDC-NSW'!$G$15:$G$62,'IDC-NSW'!$B$15:$B$62,2026),0)</f>
        <v/>
      </c>
      <c r="U42" s="27">
        <f>IFERROR(SUMIFS('IDC-NSW'!$F$15:$F$62,'IDC-NSW'!$B$15:$B$62,2027)/SUMIFS('IDC-NSW'!$G$15:$G$62,'IDC-NSW'!$B$15:$B$62,2027),0)</f>
        <v/>
      </c>
      <c r="V42" s="27">
        <f>IFERROR(SUMIFS('IDC-NSW'!$F$15:$F$62,'IDC-NSW'!$B$15:$B$62,2028)/SUMIFS('IDC-NSW'!$G$15:$G$62,'IDC-NSW'!$B$15:$B$62,2028),0)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'NSW-1'!E43+'VIC-1'!E43+'QLD-1'!E43+'NSW-2'!E43+'VIC-2'!E43+'QLD-2'!E43+'SA-1'!E43+'WA-1'!E43</f>
        <v/>
      </c>
      <c r="F43" s="26">
        <f>'NSW-1'!F43+'VIC-1'!F43+'QLD-1'!F43+'NSW-2'!F43+'VIC-2'!F43+'QLD-2'!F43+'SA-1'!F43+'WA-1'!F43+'IDC-NSW'!F43+'IDC-VIC'!F43</f>
        <v/>
      </c>
      <c r="G43" s="10">
        <f>'NSW-1'!G43+'VIC-1'!G43+'QLD-1'!G43+'NSW-2'!G43+'VIC-2'!G43+'QLD-2'!G43+'SA-1'!G43+'WA-1'!G43+'IDC-NSW'!G43+'IDC-VIC'!G43</f>
        <v/>
      </c>
      <c r="H43" s="23">
        <f>'NSW-1'!H43+'VIC-1'!H43+'QLD-1'!H43+'NSW-2'!H43+'VIC-2'!H43+'QLD-2'!H43+'SA-1'!H43+'WA-1'!H43+'IDC-NSW'!H43+'IDC-VIC'!H43</f>
        <v/>
      </c>
      <c r="I43" s="23">
        <f>'NSW-1'!I43+'VIC-1'!I43+'QLD-1'!I43+'NSW-2'!I43+'VIC-2'!I43+'QLD-2'!I43+'SA-1'!I43+'WA-1'!I43+'IDC-NSW'!I43+'IDC-VIC'!I43</f>
        <v/>
      </c>
      <c r="J43" s="23">
        <f>'NSW-1'!J43+'VIC-1'!J43+'QLD-1'!J43+'NSW-2'!J43+'VIC-2'!J43+'QLD-2'!J43+'SA-1'!J43+'WA-1'!J43+'IDC-NSW'!J43+'IDC-VIC'!J43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t="inlineStr">
        <is>
          <t>IDC-VIC</t>
        </is>
      </c>
      <c r="S43" s="27">
        <f>IFERROR(SUMIFS('IDC-VIC'!$F$15:$F$62,'IDC-VIC'!$B$15:$B$62,2025)/SUMIFS('IDC-VIC'!$G$15:$G$62,'IDC-VIC'!$B$15:$B$62,2025),0)</f>
        <v/>
      </c>
      <c r="T43" s="27">
        <f>IFERROR(SUMIFS('IDC-VIC'!$F$15:$F$62,'IDC-VIC'!$B$15:$B$62,2026)/SUMIFS('IDC-VIC'!$G$15:$G$62,'IDC-VIC'!$B$15:$B$62,2026),0)</f>
        <v/>
      </c>
      <c r="U43" s="27">
        <f>IFERROR(SUMIFS('IDC-VIC'!$F$15:$F$62,'IDC-VIC'!$B$15:$B$62,2027)/SUMIFS('IDC-VIC'!$G$15:$G$62,'IDC-VIC'!$B$15:$B$62,2027),0)</f>
        <v/>
      </c>
      <c r="V43" s="27">
        <f>IFERROR(SUMIFS('IDC-VIC'!$F$15:$F$62,'IDC-VIC'!$B$15:$B$62,2028)/SUMIFS('IDC-VIC'!$G$15:$G$62,'IDC-VIC'!$B$15:$B$62,2028),0)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'NSW-1'!E44+'VIC-1'!E44+'QLD-1'!E44+'NSW-2'!E44+'VIC-2'!E44+'QLD-2'!E44+'SA-1'!E44+'WA-1'!E44</f>
        <v/>
      </c>
      <c r="F44" s="26">
        <f>'NSW-1'!F44+'VIC-1'!F44+'QLD-1'!F44+'NSW-2'!F44+'VIC-2'!F44+'QLD-2'!F44+'SA-1'!F44+'WA-1'!F44+'IDC-NSW'!F44+'IDC-VIC'!F44</f>
        <v/>
      </c>
      <c r="G44" s="10">
        <f>'NSW-1'!G44+'VIC-1'!G44+'QLD-1'!G44+'NSW-2'!G44+'VIC-2'!G44+'QLD-2'!G44+'SA-1'!G44+'WA-1'!G44+'IDC-NSW'!G44+'IDC-VIC'!G44</f>
        <v/>
      </c>
      <c r="H44" s="23">
        <f>'NSW-1'!H44+'VIC-1'!H44+'QLD-1'!H44+'NSW-2'!H44+'VIC-2'!H44+'QLD-2'!H44+'SA-1'!H44+'WA-1'!H44+'IDC-NSW'!H44+'IDC-VIC'!H44</f>
        <v/>
      </c>
      <c r="I44" s="23">
        <f>'NSW-1'!I44+'VIC-1'!I44+'QLD-1'!I44+'NSW-2'!I44+'VIC-2'!I44+'QLD-2'!I44+'SA-1'!I44+'WA-1'!I44+'IDC-NSW'!I44+'IDC-VIC'!I44</f>
        <v/>
      </c>
      <c r="J44" s="23">
        <f>'NSW-1'!J44+'VIC-1'!J44+'QLD-1'!J44+'NSW-2'!J44+'VIC-2'!J44+'QLD-2'!J44+'SA-1'!J44+'WA-1'!J44+'IDC-NSW'!J44+'IDC-VIC'!J44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'NSW-1'!E45+'VIC-1'!E45+'QLD-1'!E45+'NSW-2'!E45+'VIC-2'!E45+'QLD-2'!E45+'SA-1'!E45+'WA-1'!E45</f>
        <v/>
      </c>
      <c r="F45" s="26">
        <f>'NSW-1'!F45+'VIC-1'!F45+'QLD-1'!F45+'NSW-2'!F45+'VIC-2'!F45+'QLD-2'!F45+'SA-1'!F45+'WA-1'!F45+'IDC-NSW'!F45+'IDC-VIC'!F45</f>
        <v/>
      </c>
      <c r="G45" s="10">
        <f>'NSW-1'!G45+'VIC-1'!G45+'QLD-1'!G45+'NSW-2'!G45+'VIC-2'!G45+'QLD-2'!G45+'SA-1'!G45+'WA-1'!G45+'IDC-NSW'!G45+'IDC-VIC'!G45</f>
        <v/>
      </c>
      <c r="H45" s="23">
        <f>'NSW-1'!H45+'VIC-1'!H45+'QLD-1'!H45+'NSW-2'!H45+'VIC-2'!H45+'QLD-2'!H45+'SA-1'!H45+'WA-1'!H45+'IDC-NSW'!H45+'IDC-VIC'!H45</f>
        <v/>
      </c>
      <c r="I45" s="23">
        <f>'NSW-1'!I45+'VIC-1'!I45+'QLD-1'!I45+'NSW-2'!I45+'VIC-2'!I45+'QLD-2'!I45+'SA-1'!I45+'WA-1'!I45+'IDC-NSW'!I45+'IDC-VIC'!I45</f>
        <v/>
      </c>
      <c r="J45" s="23">
        <f>'NSW-1'!J45+'VIC-1'!J45+'QLD-1'!J45+'NSW-2'!J45+'VIC-2'!J45+'QLD-2'!J45+'SA-1'!J45+'WA-1'!J45+'IDC-NSW'!J45+'IDC-VIC'!J45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'NSW-1'!E46+'VIC-1'!E46+'QLD-1'!E46+'NSW-2'!E46+'VIC-2'!E46+'QLD-2'!E46+'SA-1'!E46+'WA-1'!E46</f>
        <v/>
      </c>
      <c r="F46" s="26">
        <f>'NSW-1'!F46+'VIC-1'!F46+'QLD-1'!F46+'NSW-2'!F46+'VIC-2'!F46+'QLD-2'!F46+'SA-1'!F46+'WA-1'!F46+'IDC-NSW'!F46+'IDC-VIC'!F46</f>
        <v/>
      </c>
      <c r="G46" s="10">
        <f>'NSW-1'!G46+'VIC-1'!G46+'QLD-1'!G46+'NSW-2'!G46+'VIC-2'!G46+'QLD-2'!G46+'SA-1'!G46+'WA-1'!G46+'IDC-NSW'!G46+'IDC-VIC'!G46</f>
        <v/>
      </c>
      <c r="H46" s="23">
        <f>'NSW-1'!H46+'VIC-1'!H46+'QLD-1'!H46+'NSW-2'!H46+'VIC-2'!H46+'QLD-2'!H46+'SA-1'!H46+'WA-1'!H46+'IDC-NSW'!H46+'IDC-VIC'!H46</f>
        <v/>
      </c>
      <c r="I46" s="23">
        <f>'NSW-1'!I46+'VIC-1'!I46+'QLD-1'!I46+'NSW-2'!I46+'VIC-2'!I46+'QLD-2'!I46+'SA-1'!I46+'WA-1'!I46+'IDC-NSW'!I46+'IDC-VIC'!I46</f>
        <v/>
      </c>
      <c r="J46" s="23">
        <f>'NSW-1'!J46+'VIC-1'!J46+'QLD-1'!J46+'NSW-2'!J46+'VIC-2'!J46+'QLD-2'!J46+'SA-1'!J46+'WA-1'!J46+'IDC-NSW'!J46+'IDC-VIC'!J46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1" t="inlineStr">
        <is>
          <t>Cost per case ($, staff only)</t>
        </is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'NSW-1'!E47+'VIC-1'!E47+'QLD-1'!E47+'NSW-2'!E47+'VIC-2'!E47+'QLD-2'!E47+'SA-1'!E47+'WA-1'!E47</f>
        <v/>
      </c>
      <c r="F47" s="26">
        <f>'NSW-1'!F47+'VIC-1'!F47+'QLD-1'!F47+'NSW-2'!F47+'VIC-2'!F47+'QLD-2'!F47+'SA-1'!F47+'WA-1'!F47+'IDC-NSW'!F47+'IDC-VIC'!F47</f>
        <v/>
      </c>
      <c r="G47" s="10">
        <f>'NSW-1'!G47+'VIC-1'!G47+'QLD-1'!G47+'NSW-2'!G47+'VIC-2'!G47+'QLD-2'!G47+'SA-1'!G47+'WA-1'!G47+'IDC-NSW'!G47+'IDC-VIC'!G47</f>
        <v/>
      </c>
      <c r="H47" s="23">
        <f>'NSW-1'!H47+'VIC-1'!H47+'QLD-1'!H47+'NSW-2'!H47+'VIC-2'!H47+'QLD-2'!H47+'SA-1'!H47+'WA-1'!H47+'IDC-NSW'!H47+'IDC-VIC'!H47</f>
        <v/>
      </c>
      <c r="I47" s="23">
        <f>'NSW-1'!I47+'VIC-1'!I47+'QLD-1'!I47+'NSW-2'!I47+'VIC-2'!I47+'QLD-2'!I47+'SA-1'!I47+'WA-1'!I47+'IDC-NSW'!I47+'IDC-VIC'!I47</f>
        <v/>
      </c>
      <c r="J47" s="23">
        <f>'NSW-1'!J47+'VIC-1'!J47+'QLD-1'!J47+'NSW-2'!J47+'VIC-2'!J47+'QLD-2'!J47+'SA-1'!J47+'WA-1'!J47+'IDC-NSW'!J47+'IDC-VIC'!J47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5" t="inlineStr">
        <is>
          <t>Site</t>
        </is>
      </c>
      <c r="S47" s="5" t="inlineStr">
        <is>
          <t>FY2025</t>
        </is>
      </c>
      <c r="T47" s="5" t="inlineStr">
        <is>
          <t>FY2026</t>
        </is>
      </c>
      <c r="U47" s="5" t="inlineStr">
        <is>
          <t>FY2027</t>
        </is>
      </c>
      <c r="V47" s="5" t="inlineStr">
        <is>
          <t>FY2028</t>
        </is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'NSW-1'!E48+'VIC-1'!E48+'QLD-1'!E48+'NSW-2'!E48+'VIC-2'!E48+'QLD-2'!E48+'SA-1'!E48+'WA-1'!E48</f>
        <v/>
      </c>
      <c r="F48" s="26">
        <f>'NSW-1'!F48+'VIC-1'!F48+'QLD-1'!F48+'NSW-2'!F48+'VIC-2'!F48+'QLD-2'!F48+'SA-1'!F48+'WA-1'!F48+'IDC-NSW'!F48+'IDC-VIC'!F48</f>
        <v/>
      </c>
      <c r="G48" s="10">
        <f>'NSW-1'!G48+'VIC-1'!G48+'QLD-1'!G48+'NSW-2'!G48+'VIC-2'!G48+'QLD-2'!G48+'SA-1'!G48+'WA-1'!G48+'IDC-NSW'!G48+'IDC-VIC'!G48</f>
        <v/>
      </c>
      <c r="H48" s="23">
        <f>'NSW-1'!H48+'VIC-1'!H48+'QLD-1'!H48+'NSW-2'!H48+'VIC-2'!H48+'QLD-2'!H48+'SA-1'!H48+'WA-1'!H48+'IDC-NSW'!H48+'IDC-VIC'!H48</f>
        <v/>
      </c>
      <c r="I48" s="23">
        <f>'NSW-1'!I48+'VIC-1'!I48+'QLD-1'!I48+'NSW-2'!I48+'VIC-2'!I48+'QLD-2'!I48+'SA-1'!I48+'WA-1'!I48+'IDC-NSW'!I48+'IDC-VIC'!I48</f>
        <v/>
      </c>
      <c r="J48" s="23">
        <f>'NSW-1'!J48+'VIC-1'!J48+'QLD-1'!J48+'NSW-2'!J48+'VIC-2'!J48+'QLD-2'!J48+'SA-1'!J48+'WA-1'!J48+'IDC-NSW'!J48+'IDC-VIC'!J48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t="inlineStr">
        <is>
          <t>NSW-1</t>
        </is>
      </c>
      <c r="S48" s="29">
        <f>IFERROR(SUMIFS('NSW-1'!$H$15:$H$62,'NSW-1'!$B$15:$B$62,2025)/SUMIFS('NSW-1'!$F$15:$F$62,'NSW-1'!$B$15:$B$62,2025),0)</f>
        <v/>
      </c>
      <c r="T48" s="29">
        <f>IFERROR(SUMIFS('NSW-1'!$H$15:$H$62,'NSW-1'!$B$15:$B$62,2026)/SUMIFS('NSW-1'!$F$15:$F$62,'NSW-1'!$B$15:$B$62,2026),0)</f>
        <v/>
      </c>
      <c r="U48" s="29">
        <f>IFERROR(SUMIFS('NSW-1'!$H$15:$H$62,'NSW-1'!$B$15:$B$62,2027)/SUMIFS('NSW-1'!$F$15:$F$62,'NSW-1'!$B$15:$B$62,2027),0)</f>
        <v/>
      </c>
      <c r="V48" s="29">
        <f>IFERROR(SUMIFS('NSW-1'!$H$15:$H$62,'NSW-1'!$B$15:$B$62,2028)/SUMIFS('NSW-1'!$F$15:$F$62,'NSW-1'!$B$15:$B$62,2028),0)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'NSW-1'!E49+'VIC-1'!E49+'QLD-1'!E49+'NSW-2'!E49+'VIC-2'!E49+'QLD-2'!E49+'SA-1'!E49+'WA-1'!E49</f>
        <v/>
      </c>
      <c r="F49" s="26">
        <f>'NSW-1'!F49+'VIC-1'!F49+'QLD-1'!F49+'NSW-2'!F49+'VIC-2'!F49+'QLD-2'!F49+'SA-1'!F49+'WA-1'!F49+'IDC-NSW'!F49+'IDC-VIC'!F49</f>
        <v/>
      </c>
      <c r="G49" s="10">
        <f>'NSW-1'!G49+'VIC-1'!G49+'QLD-1'!G49+'NSW-2'!G49+'VIC-2'!G49+'QLD-2'!G49+'SA-1'!G49+'WA-1'!G49+'IDC-NSW'!G49+'IDC-VIC'!G49</f>
        <v/>
      </c>
      <c r="H49" s="23">
        <f>'NSW-1'!H49+'VIC-1'!H49+'QLD-1'!H49+'NSW-2'!H49+'VIC-2'!H49+'QLD-2'!H49+'SA-1'!H49+'WA-1'!H49+'IDC-NSW'!H49+'IDC-VIC'!H49</f>
        <v/>
      </c>
      <c r="I49" s="23">
        <f>'NSW-1'!I49+'VIC-1'!I49+'QLD-1'!I49+'NSW-2'!I49+'VIC-2'!I49+'QLD-2'!I49+'SA-1'!I49+'WA-1'!I49+'IDC-NSW'!I49+'IDC-VIC'!I49</f>
        <v/>
      </c>
      <c r="J49" s="23">
        <f>'NSW-1'!J49+'VIC-1'!J49+'QLD-1'!J49+'NSW-2'!J49+'VIC-2'!J49+'QLD-2'!J49+'SA-1'!J49+'WA-1'!J49+'IDC-NSW'!J49+'IDC-VIC'!J49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t="inlineStr">
        <is>
          <t>VIC-1</t>
        </is>
      </c>
      <c r="S49" s="29">
        <f>IFERROR(SUMIFS('VIC-1'!$H$15:$H$62,'VIC-1'!$B$15:$B$62,2025)/SUMIFS('VIC-1'!$F$15:$F$62,'VIC-1'!$B$15:$B$62,2025),0)</f>
        <v/>
      </c>
      <c r="T49" s="29">
        <f>IFERROR(SUMIFS('VIC-1'!$H$15:$H$62,'VIC-1'!$B$15:$B$62,2026)/SUMIFS('VIC-1'!$F$15:$F$62,'VIC-1'!$B$15:$B$62,2026),0)</f>
        <v/>
      </c>
      <c r="U49" s="29">
        <f>IFERROR(SUMIFS('VIC-1'!$H$15:$H$62,'VIC-1'!$B$15:$B$62,2027)/SUMIFS('VIC-1'!$F$15:$F$62,'VIC-1'!$B$15:$B$62,2027),0)</f>
        <v/>
      </c>
      <c r="V49" s="29">
        <f>IFERROR(SUMIFS('VIC-1'!$H$15:$H$62,'VIC-1'!$B$15:$B$62,2028)/SUMIFS('VIC-1'!$F$15:$F$62,'VIC-1'!$B$15:$B$62,2028),0)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'NSW-1'!E50+'VIC-1'!E50+'QLD-1'!E50+'NSW-2'!E50+'VIC-2'!E50+'QLD-2'!E50+'SA-1'!E50+'WA-1'!E50</f>
        <v/>
      </c>
      <c r="F50" s="34">
        <f>'NSW-1'!F50+'VIC-1'!F50+'QLD-1'!F50+'NSW-2'!F50+'VIC-2'!F50+'QLD-2'!F50+'SA-1'!F50+'WA-1'!F50+'IDC-NSW'!F50+'IDC-VIC'!F50</f>
        <v/>
      </c>
      <c r="G50" s="35">
        <f>'NSW-1'!G50+'VIC-1'!G50+'QLD-1'!G50+'NSW-2'!G50+'VIC-2'!G50+'QLD-2'!G50+'SA-1'!G50+'WA-1'!G50+'IDC-NSW'!G50+'IDC-VIC'!G50</f>
        <v/>
      </c>
      <c r="H50" s="33">
        <f>'NSW-1'!H50+'VIC-1'!H50+'QLD-1'!H50+'NSW-2'!H50+'VIC-2'!H50+'QLD-2'!H50+'SA-1'!H50+'WA-1'!H50+'IDC-NSW'!H50+'IDC-VIC'!H50</f>
        <v/>
      </c>
      <c r="I50" s="33">
        <f>'NSW-1'!I50+'VIC-1'!I50+'QLD-1'!I50+'NSW-2'!I50+'VIC-2'!I50+'QLD-2'!I50+'SA-1'!I50+'WA-1'!I50+'IDC-NSW'!I50+'IDC-VIC'!I50</f>
        <v/>
      </c>
      <c r="J50" s="33">
        <f>'NSW-1'!J50+'VIC-1'!J50+'QLD-1'!J50+'NSW-2'!J50+'VIC-2'!J50+'QLD-2'!J50+'SA-1'!J50+'WA-1'!J50+'IDC-NSW'!J50+'IDC-VIC'!J50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t="inlineStr">
        <is>
          <t>QLD-1</t>
        </is>
      </c>
      <c r="S50" s="29">
        <f>IFERROR(SUMIFS('QLD-1'!$H$15:$H$62,'QLD-1'!$B$15:$B$62,2025)/SUMIFS('QLD-1'!$F$15:$F$62,'QLD-1'!$B$15:$B$62,2025),0)</f>
        <v/>
      </c>
      <c r="T50" s="29">
        <f>IFERROR(SUMIFS('QLD-1'!$H$15:$H$62,'QLD-1'!$B$15:$B$62,2026)/SUMIFS('QLD-1'!$F$15:$F$62,'QLD-1'!$B$15:$B$62,2026),0)</f>
        <v/>
      </c>
      <c r="U50" s="29">
        <f>IFERROR(SUMIFS('QLD-1'!$H$15:$H$62,'QLD-1'!$B$15:$B$62,2027)/SUMIFS('QLD-1'!$F$15:$F$62,'QLD-1'!$B$15:$B$62,2027),0)</f>
        <v/>
      </c>
      <c r="V50" s="29">
        <f>IFERROR(SUMIFS('QLD-1'!$H$15:$H$62,'QLD-1'!$B$15:$B$62,2028)/SUMIFS('QLD-1'!$F$15:$F$62,'QLD-1'!$B$15:$B$62,2028),0)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'NSW-1'!E51+'VIC-1'!E51+'QLD-1'!E51+'NSW-2'!E51+'VIC-2'!E51+'QLD-2'!E51+'SA-1'!E51+'WA-1'!E51</f>
        <v/>
      </c>
      <c r="F51" s="26">
        <f>'NSW-1'!F51+'VIC-1'!F51+'QLD-1'!F51+'NSW-2'!F51+'VIC-2'!F51+'QLD-2'!F51+'SA-1'!F51+'WA-1'!F51+'IDC-NSW'!F51+'IDC-VIC'!F51</f>
        <v/>
      </c>
      <c r="G51" s="10">
        <f>'NSW-1'!G51+'VIC-1'!G51+'QLD-1'!G51+'NSW-2'!G51+'VIC-2'!G51+'QLD-2'!G51+'SA-1'!G51+'WA-1'!G51+'IDC-NSW'!G51+'IDC-VIC'!G51</f>
        <v/>
      </c>
      <c r="H51" s="23">
        <f>'NSW-1'!H51+'VIC-1'!H51+'QLD-1'!H51+'NSW-2'!H51+'VIC-2'!H51+'QLD-2'!H51+'SA-1'!H51+'WA-1'!H51+'IDC-NSW'!H51+'IDC-VIC'!H51</f>
        <v/>
      </c>
      <c r="I51" s="23">
        <f>'NSW-1'!I51+'VIC-1'!I51+'QLD-1'!I51+'NSW-2'!I51+'VIC-2'!I51+'QLD-2'!I51+'SA-1'!I51+'WA-1'!I51+'IDC-NSW'!I51+'IDC-VIC'!I51</f>
        <v/>
      </c>
      <c r="J51" s="23">
        <f>'NSW-1'!J51+'VIC-1'!J51+'QLD-1'!J51+'NSW-2'!J51+'VIC-2'!J51+'QLD-2'!J51+'SA-1'!J51+'WA-1'!J51+'IDC-NSW'!J51+'IDC-VIC'!J51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t="inlineStr">
        <is>
          <t>NSW-2</t>
        </is>
      </c>
      <c r="S51" s="29">
        <f>IFERROR(SUMIFS('NSW-2'!$H$15:$H$62,'NSW-2'!$B$15:$B$62,2025)/SUMIFS('NSW-2'!$F$15:$F$62,'NSW-2'!$B$15:$B$62,2025),0)</f>
        <v/>
      </c>
      <c r="T51" s="29">
        <f>IFERROR(SUMIFS('NSW-2'!$H$15:$H$62,'NSW-2'!$B$15:$B$62,2026)/SUMIFS('NSW-2'!$F$15:$F$62,'NSW-2'!$B$15:$B$62,2026),0)</f>
        <v/>
      </c>
      <c r="U51" s="29">
        <f>IFERROR(SUMIFS('NSW-2'!$H$15:$H$62,'NSW-2'!$B$15:$B$62,2027)/SUMIFS('NSW-2'!$F$15:$F$62,'NSW-2'!$B$15:$B$62,2027),0)</f>
        <v/>
      </c>
      <c r="V51" s="29">
        <f>IFERROR(SUMIFS('NSW-2'!$H$15:$H$62,'NSW-2'!$B$15:$B$62,2028)/SUMIFS('NSW-2'!$F$15:$F$62,'NSW-2'!$B$15:$B$62,2028),0)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'NSW-1'!E52+'VIC-1'!E52+'QLD-1'!E52+'NSW-2'!E52+'VIC-2'!E52+'QLD-2'!E52+'SA-1'!E52+'WA-1'!E52</f>
        <v/>
      </c>
      <c r="F52" s="26">
        <f>'NSW-1'!F52+'VIC-1'!F52+'QLD-1'!F52+'NSW-2'!F52+'VIC-2'!F52+'QLD-2'!F52+'SA-1'!F52+'WA-1'!F52+'IDC-NSW'!F52+'IDC-VIC'!F52</f>
        <v/>
      </c>
      <c r="G52" s="10">
        <f>'NSW-1'!G52+'VIC-1'!G52+'QLD-1'!G52+'NSW-2'!G52+'VIC-2'!G52+'QLD-2'!G52+'SA-1'!G52+'WA-1'!G52+'IDC-NSW'!G52+'IDC-VIC'!G52</f>
        <v/>
      </c>
      <c r="H52" s="23">
        <f>'NSW-1'!H52+'VIC-1'!H52+'QLD-1'!H52+'NSW-2'!H52+'VIC-2'!H52+'QLD-2'!H52+'SA-1'!H52+'WA-1'!H52+'IDC-NSW'!H52+'IDC-VIC'!H52</f>
        <v/>
      </c>
      <c r="I52" s="23">
        <f>'NSW-1'!I52+'VIC-1'!I52+'QLD-1'!I52+'NSW-2'!I52+'VIC-2'!I52+'QLD-2'!I52+'SA-1'!I52+'WA-1'!I52+'IDC-NSW'!I52+'IDC-VIC'!I52</f>
        <v/>
      </c>
      <c r="J52" s="23">
        <f>'NSW-1'!J52+'VIC-1'!J52+'QLD-1'!J52+'NSW-2'!J52+'VIC-2'!J52+'QLD-2'!J52+'SA-1'!J52+'WA-1'!J52+'IDC-NSW'!J52+'IDC-VIC'!J52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t="inlineStr">
        <is>
          <t>VIC-2</t>
        </is>
      </c>
      <c r="S52" s="29">
        <f>IFERROR(SUMIFS('VIC-2'!$H$15:$H$62,'VIC-2'!$B$15:$B$62,2025)/SUMIFS('VIC-2'!$F$15:$F$62,'VIC-2'!$B$15:$B$62,2025),0)</f>
        <v/>
      </c>
      <c r="T52" s="29">
        <f>IFERROR(SUMIFS('VIC-2'!$H$15:$H$62,'VIC-2'!$B$15:$B$62,2026)/SUMIFS('VIC-2'!$F$15:$F$62,'VIC-2'!$B$15:$B$62,2026),0)</f>
        <v/>
      </c>
      <c r="U52" s="29">
        <f>IFERROR(SUMIFS('VIC-2'!$H$15:$H$62,'VIC-2'!$B$15:$B$62,2027)/SUMIFS('VIC-2'!$F$15:$F$62,'VIC-2'!$B$15:$B$62,2027),0)</f>
        <v/>
      </c>
      <c r="V52" s="29">
        <f>IFERROR(SUMIFS('VIC-2'!$H$15:$H$62,'VIC-2'!$B$15:$B$62,2028)/SUMIFS('VIC-2'!$F$15:$F$62,'VIC-2'!$B$15:$B$62,2028),0)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'NSW-1'!E53+'VIC-1'!E53+'QLD-1'!E53+'NSW-2'!E53+'VIC-2'!E53+'QLD-2'!E53+'SA-1'!E53+'WA-1'!E53</f>
        <v/>
      </c>
      <c r="F53" s="26">
        <f>'NSW-1'!F53+'VIC-1'!F53+'QLD-1'!F53+'NSW-2'!F53+'VIC-2'!F53+'QLD-2'!F53+'SA-1'!F53+'WA-1'!F53+'IDC-NSW'!F53+'IDC-VIC'!F53</f>
        <v/>
      </c>
      <c r="G53" s="10">
        <f>'NSW-1'!G53+'VIC-1'!G53+'QLD-1'!G53+'NSW-2'!G53+'VIC-2'!G53+'QLD-2'!G53+'SA-1'!G53+'WA-1'!G53+'IDC-NSW'!G53+'IDC-VIC'!G53</f>
        <v/>
      </c>
      <c r="H53" s="23">
        <f>'NSW-1'!H53+'VIC-1'!H53+'QLD-1'!H53+'NSW-2'!H53+'VIC-2'!H53+'QLD-2'!H53+'SA-1'!H53+'WA-1'!H53+'IDC-NSW'!H53+'IDC-VIC'!H53</f>
        <v/>
      </c>
      <c r="I53" s="23">
        <f>'NSW-1'!I53+'VIC-1'!I53+'QLD-1'!I53+'NSW-2'!I53+'VIC-2'!I53+'QLD-2'!I53+'SA-1'!I53+'WA-1'!I53+'IDC-NSW'!I53+'IDC-VIC'!I53</f>
        <v/>
      </c>
      <c r="J53" s="23">
        <f>'NSW-1'!J53+'VIC-1'!J53+'QLD-1'!J53+'NSW-2'!J53+'VIC-2'!J53+'QLD-2'!J53+'SA-1'!J53+'WA-1'!J53+'IDC-NSW'!J53+'IDC-VIC'!J53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t="inlineStr">
        <is>
          <t>QLD-2</t>
        </is>
      </c>
      <c r="S53" s="29">
        <f>IFERROR(SUMIFS('QLD-2'!$H$15:$H$62,'QLD-2'!$B$15:$B$62,2025)/SUMIFS('QLD-2'!$F$15:$F$62,'QLD-2'!$B$15:$B$62,2025),0)</f>
        <v/>
      </c>
      <c r="T53" s="29">
        <f>IFERROR(SUMIFS('QLD-2'!$H$15:$H$62,'QLD-2'!$B$15:$B$62,2026)/SUMIFS('QLD-2'!$F$15:$F$62,'QLD-2'!$B$15:$B$62,2026),0)</f>
        <v/>
      </c>
      <c r="U53" s="29">
        <f>IFERROR(SUMIFS('QLD-2'!$H$15:$H$62,'QLD-2'!$B$15:$B$62,2027)/SUMIFS('QLD-2'!$F$15:$F$62,'QLD-2'!$B$15:$B$62,2027),0)</f>
        <v/>
      </c>
      <c r="V53" s="29">
        <f>IFERROR(SUMIFS('QLD-2'!$H$15:$H$62,'QLD-2'!$B$15:$B$62,2028)/SUMIFS('QLD-2'!$F$15:$F$62,'QLD-2'!$B$15:$B$62,2028),0)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'NSW-1'!E54+'VIC-1'!E54+'QLD-1'!E54+'NSW-2'!E54+'VIC-2'!E54+'QLD-2'!E54+'SA-1'!E54+'WA-1'!E54</f>
        <v/>
      </c>
      <c r="F54" s="26">
        <f>'NSW-1'!F54+'VIC-1'!F54+'QLD-1'!F54+'NSW-2'!F54+'VIC-2'!F54+'QLD-2'!F54+'SA-1'!F54+'WA-1'!F54+'IDC-NSW'!F54+'IDC-VIC'!F54</f>
        <v/>
      </c>
      <c r="G54" s="10">
        <f>'NSW-1'!G54+'VIC-1'!G54+'QLD-1'!G54+'NSW-2'!G54+'VIC-2'!G54+'QLD-2'!G54+'SA-1'!G54+'WA-1'!G54+'IDC-NSW'!G54+'IDC-VIC'!G54</f>
        <v/>
      </c>
      <c r="H54" s="23">
        <f>'NSW-1'!H54+'VIC-1'!H54+'QLD-1'!H54+'NSW-2'!H54+'VIC-2'!H54+'QLD-2'!H54+'SA-1'!H54+'WA-1'!H54+'IDC-NSW'!H54+'IDC-VIC'!H54</f>
        <v/>
      </c>
      <c r="I54" s="23">
        <f>'NSW-1'!I54+'VIC-1'!I54+'QLD-1'!I54+'NSW-2'!I54+'VIC-2'!I54+'QLD-2'!I54+'SA-1'!I54+'WA-1'!I54+'IDC-NSW'!I54+'IDC-VIC'!I54</f>
        <v/>
      </c>
      <c r="J54" s="23">
        <f>'NSW-1'!J54+'VIC-1'!J54+'QLD-1'!J54+'NSW-2'!J54+'VIC-2'!J54+'QLD-2'!J54+'SA-1'!J54+'WA-1'!J54+'IDC-NSW'!J54+'IDC-VIC'!J54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t="inlineStr">
        <is>
          <t>SA-1</t>
        </is>
      </c>
      <c r="S54" s="29">
        <f>IFERROR(SUMIFS('SA-1'!$H$15:$H$62,'SA-1'!$B$15:$B$62,2025)/SUMIFS('SA-1'!$F$15:$F$62,'SA-1'!$B$15:$B$62,2025),0)</f>
        <v/>
      </c>
      <c r="T54" s="29">
        <f>IFERROR(SUMIFS('SA-1'!$H$15:$H$62,'SA-1'!$B$15:$B$62,2026)/SUMIFS('SA-1'!$F$15:$F$62,'SA-1'!$B$15:$B$62,2026),0)</f>
        <v/>
      </c>
      <c r="U54" s="29">
        <f>IFERROR(SUMIFS('SA-1'!$H$15:$H$62,'SA-1'!$B$15:$B$62,2027)/SUMIFS('SA-1'!$F$15:$F$62,'SA-1'!$B$15:$B$62,2027),0)</f>
        <v/>
      </c>
      <c r="V54" s="29">
        <f>IFERROR(SUMIFS('SA-1'!$H$15:$H$62,'SA-1'!$B$15:$B$62,2028)/SUMIFS('SA-1'!$F$15:$F$62,'SA-1'!$B$15:$B$62,2028),0)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'NSW-1'!E55+'VIC-1'!E55+'QLD-1'!E55+'NSW-2'!E55+'VIC-2'!E55+'QLD-2'!E55+'SA-1'!E55+'WA-1'!E55</f>
        <v/>
      </c>
      <c r="F55" s="26">
        <f>'NSW-1'!F55+'VIC-1'!F55+'QLD-1'!F55+'NSW-2'!F55+'VIC-2'!F55+'QLD-2'!F55+'SA-1'!F55+'WA-1'!F55+'IDC-NSW'!F55+'IDC-VIC'!F55</f>
        <v/>
      </c>
      <c r="G55" s="10">
        <f>'NSW-1'!G55+'VIC-1'!G55+'QLD-1'!G55+'NSW-2'!G55+'VIC-2'!G55+'QLD-2'!G55+'SA-1'!G55+'WA-1'!G55+'IDC-NSW'!G55+'IDC-VIC'!G55</f>
        <v/>
      </c>
      <c r="H55" s="23">
        <f>'NSW-1'!H55+'VIC-1'!H55+'QLD-1'!H55+'NSW-2'!H55+'VIC-2'!H55+'QLD-2'!H55+'SA-1'!H55+'WA-1'!H55+'IDC-NSW'!H55+'IDC-VIC'!H55</f>
        <v/>
      </c>
      <c r="I55" s="23">
        <f>'NSW-1'!I55+'VIC-1'!I55+'QLD-1'!I55+'NSW-2'!I55+'VIC-2'!I55+'QLD-2'!I55+'SA-1'!I55+'WA-1'!I55+'IDC-NSW'!I55+'IDC-VIC'!I55</f>
        <v/>
      </c>
      <c r="J55" s="23">
        <f>'NSW-1'!J55+'VIC-1'!J55+'QLD-1'!J55+'NSW-2'!J55+'VIC-2'!J55+'QLD-2'!J55+'SA-1'!J55+'WA-1'!J55+'IDC-NSW'!J55+'IDC-VIC'!J55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t="inlineStr">
        <is>
          <t>WA-1</t>
        </is>
      </c>
      <c r="S55" s="29">
        <f>IFERROR(SUMIFS('WA-1'!$H$15:$H$62,'WA-1'!$B$15:$B$62,2025)/SUMIFS('WA-1'!$F$15:$F$62,'WA-1'!$B$15:$B$62,2025),0)</f>
        <v/>
      </c>
      <c r="T55" s="29">
        <f>IFERROR(SUMIFS('WA-1'!$H$15:$H$62,'WA-1'!$B$15:$B$62,2026)/SUMIFS('WA-1'!$F$15:$F$62,'WA-1'!$B$15:$B$62,2026),0)</f>
        <v/>
      </c>
      <c r="U55" s="29">
        <f>IFERROR(SUMIFS('WA-1'!$H$15:$H$62,'WA-1'!$B$15:$B$62,2027)/SUMIFS('WA-1'!$F$15:$F$62,'WA-1'!$B$15:$B$62,2027),0)</f>
        <v/>
      </c>
      <c r="V55" s="29">
        <f>IFERROR(SUMIFS('WA-1'!$H$15:$H$62,'WA-1'!$B$15:$B$62,2028)/SUMIFS('WA-1'!$F$15:$F$62,'WA-1'!$B$15:$B$62,2028),0)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'NSW-1'!E56+'VIC-1'!E56+'QLD-1'!E56+'NSW-2'!E56+'VIC-2'!E56+'QLD-2'!E56+'SA-1'!E56+'WA-1'!E56</f>
        <v/>
      </c>
      <c r="F56" s="26">
        <f>'NSW-1'!F56+'VIC-1'!F56+'QLD-1'!F56+'NSW-2'!F56+'VIC-2'!F56+'QLD-2'!F56+'SA-1'!F56+'WA-1'!F56+'IDC-NSW'!F56+'IDC-VIC'!F56</f>
        <v/>
      </c>
      <c r="G56" s="10">
        <f>'NSW-1'!G56+'VIC-1'!G56+'QLD-1'!G56+'NSW-2'!G56+'VIC-2'!G56+'QLD-2'!G56+'SA-1'!G56+'WA-1'!G56+'IDC-NSW'!G56+'IDC-VIC'!G56</f>
        <v/>
      </c>
      <c r="H56" s="23">
        <f>'NSW-1'!H56+'VIC-1'!H56+'QLD-1'!H56+'NSW-2'!H56+'VIC-2'!H56+'QLD-2'!H56+'SA-1'!H56+'WA-1'!H56+'IDC-NSW'!H56+'IDC-VIC'!H56</f>
        <v/>
      </c>
      <c r="I56" s="23">
        <f>'NSW-1'!I56+'VIC-1'!I56+'QLD-1'!I56+'NSW-2'!I56+'VIC-2'!I56+'QLD-2'!I56+'SA-1'!I56+'WA-1'!I56+'IDC-NSW'!I56+'IDC-VIC'!I56</f>
        <v/>
      </c>
      <c r="J56" s="23">
        <f>'NSW-1'!J56+'VIC-1'!J56+'QLD-1'!J56+'NSW-2'!J56+'VIC-2'!J56+'QLD-2'!J56+'SA-1'!J56+'WA-1'!J56+'IDC-NSW'!J56+'IDC-VIC'!J56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t="inlineStr">
        <is>
          <t>IDC-NSW</t>
        </is>
      </c>
      <c r="S56" s="29">
        <f>IFERROR(SUMIFS('IDC-NSW'!$H$15:$H$62,'IDC-NSW'!$B$15:$B$62,2025)/SUMIFS('IDC-NSW'!$F$15:$F$62,'IDC-NSW'!$B$15:$B$62,2025),0)</f>
        <v/>
      </c>
      <c r="T56" s="29">
        <f>IFERROR(SUMIFS('IDC-NSW'!$H$15:$H$62,'IDC-NSW'!$B$15:$B$62,2026)/SUMIFS('IDC-NSW'!$F$15:$F$62,'IDC-NSW'!$B$15:$B$62,2026),0)</f>
        <v/>
      </c>
      <c r="U56" s="29">
        <f>IFERROR(SUMIFS('IDC-NSW'!$H$15:$H$62,'IDC-NSW'!$B$15:$B$62,2027)/SUMIFS('IDC-NSW'!$F$15:$F$62,'IDC-NSW'!$B$15:$B$62,2027),0)</f>
        <v/>
      </c>
      <c r="V56" s="29">
        <f>IFERROR(SUMIFS('IDC-NSW'!$H$15:$H$62,'IDC-NSW'!$B$15:$B$62,2028)/SUMIFS('IDC-NSW'!$F$15:$F$62,'IDC-NSW'!$B$15:$B$62,2028),0)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'NSW-1'!E57+'VIC-1'!E57+'QLD-1'!E57+'NSW-2'!E57+'VIC-2'!E57+'QLD-2'!E57+'SA-1'!E57+'WA-1'!E57</f>
        <v/>
      </c>
      <c r="F57" s="26">
        <f>'NSW-1'!F57+'VIC-1'!F57+'QLD-1'!F57+'NSW-2'!F57+'VIC-2'!F57+'QLD-2'!F57+'SA-1'!F57+'WA-1'!F57+'IDC-NSW'!F57+'IDC-VIC'!F57</f>
        <v/>
      </c>
      <c r="G57" s="10">
        <f>'NSW-1'!G57+'VIC-1'!G57+'QLD-1'!G57+'NSW-2'!G57+'VIC-2'!G57+'QLD-2'!G57+'SA-1'!G57+'WA-1'!G57+'IDC-NSW'!G57+'IDC-VIC'!G57</f>
        <v/>
      </c>
      <c r="H57" s="23">
        <f>'NSW-1'!H57+'VIC-1'!H57+'QLD-1'!H57+'NSW-2'!H57+'VIC-2'!H57+'QLD-2'!H57+'SA-1'!H57+'WA-1'!H57+'IDC-NSW'!H57+'IDC-VIC'!H57</f>
        <v/>
      </c>
      <c r="I57" s="23">
        <f>'NSW-1'!I57+'VIC-1'!I57+'QLD-1'!I57+'NSW-2'!I57+'VIC-2'!I57+'QLD-2'!I57+'SA-1'!I57+'WA-1'!I57+'IDC-NSW'!I57+'IDC-VIC'!I57</f>
        <v/>
      </c>
      <c r="J57" s="23">
        <f>'NSW-1'!J57+'VIC-1'!J57+'QLD-1'!J57+'NSW-2'!J57+'VIC-2'!J57+'QLD-2'!J57+'SA-1'!J57+'WA-1'!J57+'IDC-NSW'!J57+'IDC-VIC'!J57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t="inlineStr">
        <is>
          <t>IDC-VIC</t>
        </is>
      </c>
      <c r="S57" s="29">
        <f>IFERROR(SUMIFS('IDC-VIC'!$H$15:$H$62,'IDC-VIC'!$B$15:$B$62,2025)/SUMIFS('IDC-VIC'!$F$15:$F$62,'IDC-VIC'!$B$15:$B$62,2025),0)</f>
        <v/>
      </c>
      <c r="T57" s="29">
        <f>IFERROR(SUMIFS('IDC-VIC'!$H$15:$H$62,'IDC-VIC'!$B$15:$B$62,2026)/SUMIFS('IDC-VIC'!$F$15:$F$62,'IDC-VIC'!$B$15:$B$62,2026),0)</f>
        <v/>
      </c>
      <c r="U57" s="29">
        <f>IFERROR(SUMIFS('IDC-VIC'!$H$15:$H$62,'IDC-VIC'!$B$15:$B$62,2027)/SUMIFS('IDC-VIC'!$F$15:$F$62,'IDC-VIC'!$B$15:$B$62,2027),0)</f>
        <v/>
      </c>
      <c r="V57" s="29">
        <f>IFERROR(SUMIFS('IDC-VIC'!$H$15:$H$62,'IDC-VIC'!$B$15:$B$62,2028)/SUMIFS('IDC-VIC'!$F$15:$F$62,'IDC-VIC'!$B$15:$B$62,2028),0)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'NSW-1'!E58+'VIC-1'!E58+'QLD-1'!E58+'NSW-2'!E58+'VIC-2'!E58+'QLD-2'!E58+'SA-1'!E58+'WA-1'!E58</f>
        <v/>
      </c>
      <c r="F58" s="26">
        <f>'NSW-1'!F58+'VIC-1'!F58+'QLD-1'!F58+'NSW-2'!F58+'VIC-2'!F58+'QLD-2'!F58+'SA-1'!F58+'WA-1'!F58+'IDC-NSW'!F58+'IDC-VIC'!F58</f>
        <v/>
      </c>
      <c r="G58" s="10">
        <f>'NSW-1'!G58+'VIC-1'!G58+'QLD-1'!G58+'NSW-2'!G58+'VIC-2'!G58+'QLD-2'!G58+'SA-1'!G58+'WA-1'!G58+'IDC-NSW'!G58+'IDC-VIC'!G58</f>
        <v/>
      </c>
      <c r="H58" s="23">
        <f>'NSW-1'!H58+'VIC-1'!H58+'QLD-1'!H58+'NSW-2'!H58+'VIC-2'!H58+'QLD-2'!H58+'SA-1'!H58+'WA-1'!H58+'IDC-NSW'!H58+'IDC-VIC'!H58</f>
        <v/>
      </c>
      <c r="I58" s="23">
        <f>'NSW-1'!I58+'VIC-1'!I58+'QLD-1'!I58+'NSW-2'!I58+'VIC-2'!I58+'QLD-2'!I58+'SA-1'!I58+'WA-1'!I58+'IDC-NSW'!I58+'IDC-VIC'!I58</f>
        <v/>
      </c>
      <c r="J58" s="23">
        <f>'NSW-1'!J58+'VIC-1'!J58+'QLD-1'!J58+'NSW-2'!J58+'VIC-2'!J58+'QLD-2'!J58+'SA-1'!J58+'WA-1'!J58+'IDC-NSW'!J58+'IDC-VIC'!J58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'NSW-1'!E59+'VIC-1'!E59+'QLD-1'!E59+'NSW-2'!E59+'VIC-2'!E59+'QLD-2'!E59+'SA-1'!E59+'WA-1'!E59</f>
        <v/>
      </c>
      <c r="F59" s="26">
        <f>'NSW-1'!F59+'VIC-1'!F59+'QLD-1'!F59+'NSW-2'!F59+'VIC-2'!F59+'QLD-2'!F59+'SA-1'!F59+'WA-1'!F59+'IDC-NSW'!F59+'IDC-VIC'!F59</f>
        <v/>
      </c>
      <c r="G59" s="10">
        <f>'NSW-1'!G59+'VIC-1'!G59+'QLD-1'!G59+'NSW-2'!G59+'VIC-2'!G59+'QLD-2'!G59+'SA-1'!G59+'WA-1'!G59+'IDC-NSW'!G59+'IDC-VIC'!G59</f>
        <v/>
      </c>
      <c r="H59" s="23">
        <f>'NSW-1'!H59+'VIC-1'!H59+'QLD-1'!H59+'NSW-2'!H59+'VIC-2'!H59+'QLD-2'!H59+'SA-1'!H59+'WA-1'!H59+'IDC-NSW'!H59+'IDC-VIC'!H59</f>
        <v/>
      </c>
      <c r="I59" s="23">
        <f>'NSW-1'!I59+'VIC-1'!I59+'QLD-1'!I59+'NSW-2'!I59+'VIC-2'!I59+'QLD-2'!I59+'SA-1'!I59+'WA-1'!I59+'IDC-NSW'!I59+'IDC-VIC'!I59</f>
        <v/>
      </c>
      <c r="J59" s="23">
        <f>'NSW-1'!J59+'VIC-1'!J59+'QLD-1'!J59+'NSW-2'!J59+'VIC-2'!J59+'QLD-2'!J59+'SA-1'!J59+'WA-1'!J59+'IDC-NSW'!J59+'IDC-VIC'!J59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'NSW-1'!E60+'VIC-1'!E60+'QLD-1'!E60+'NSW-2'!E60+'VIC-2'!E60+'QLD-2'!E60+'SA-1'!E60+'WA-1'!E60</f>
        <v/>
      </c>
      <c r="F60" s="26">
        <f>'NSW-1'!F60+'VIC-1'!F60+'QLD-1'!F60+'NSW-2'!F60+'VIC-2'!F60+'QLD-2'!F60+'SA-1'!F60+'WA-1'!F60+'IDC-NSW'!F60+'IDC-VIC'!F60</f>
        <v/>
      </c>
      <c r="G60" s="10">
        <f>'NSW-1'!G60+'VIC-1'!G60+'QLD-1'!G60+'NSW-2'!G60+'VIC-2'!G60+'QLD-2'!G60+'SA-1'!G60+'WA-1'!G60+'IDC-NSW'!G60+'IDC-VIC'!G60</f>
        <v/>
      </c>
      <c r="H60" s="23">
        <f>'NSW-1'!H60+'VIC-1'!H60+'QLD-1'!H60+'NSW-2'!H60+'VIC-2'!H60+'QLD-2'!H60+'SA-1'!H60+'WA-1'!H60+'IDC-NSW'!H60+'IDC-VIC'!H60</f>
        <v/>
      </c>
      <c r="I60" s="23">
        <f>'NSW-1'!I60+'VIC-1'!I60+'QLD-1'!I60+'NSW-2'!I60+'VIC-2'!I60+'QLD-2'!I60+'SA-1'!I60+'WA-1'!I60+'IDC-NSW'!I60+'IDC-VIC'!I60</f>
        <v/>
      </c>
      <c r="J60" s="23">
        <f>'NSW-1'!J60+'VIC-1'!J60+'QLD-1'!J60+'NSW-2'!J60+'VIC-2'!J60+'QLD-2'!J60+'SA-1'!J60+'WA-1'!J60+'IDC-NSW'!J60+'IDC-VIC'!J60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'NSW-1'!E61+'VIC-1'!E61+'QLD-1'!E61+'NSW-2'!E61+'VIC-2'!E61+'QLD-2'!E61+'SA-1'!E61+'WA-1'!E61</f>
        <v/>
      </c>
      <c r="F61" s="26">
        <f>'NSW-1'!F61+'VIC-1'!F61+'QLD-1'!F61+'NSW-2'!F61+'VIC-2'!F61+'QLD-2'!F61+'SA-1'!F61+'WA-1'!F61+'IDC-NSW'!F61+'IDC-VIC'!F61</f>
        <v/>
      </c>
      <c r="G61" s="10">
        <f>'NSW-1'!G61+'VIC-1'!G61+'QLD-1'!G61+'NSW-2'!G61+'VIC-2'!G61+'QLD-2'!G61+'SA-1'!G61+'WA-1'!G61+'IDC-NSW'!G61+'IDC-VIC'!G61</f>
        <v/>
      </c>
      <c r="H61" s="23">
        <f>'NSW-1'!H61+'VIC-1'!H61+'QLD-1'!H61+'NSW-2'!H61+'VIC-2'!H61+'QLD-2'!H61+'SA-1'!H61+'WA-1'!H61+'IDC-NSW'!H61+'IDC-VIC'!H61</f>
        <v/>
      </c>
      <c r="I61" s="23">
        <f>'NSW-1'!I61+'VIC-1'!I61+'QLD-1'!I61+'NSW-2'!I61+'VIC-2'!I61+'QLD-2'!I61+'SA-1'!I61+'WA-1'!I61+'IDC-NSW'!I61+'IDC-VIC'!I61</f>
        <v/>
      </c>
      <c r="J61" s="23">
        <f>'NSW-1'!J61+'VIC-1'!J61+'QLD-1'!J61+'NSW-2'!J61+'VIC-2'!J61+'QLD-2'!J61+'SA-1'!J61+'WA-1'!J61+'IDC-NSW'!J61+'IDC-VIC'!J61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'NSW-1'!E62+'VIC-1'!E62+'QLD-1'!E62+'NSW-2'!E62+'VIC-2'!E62+'QLD-2'!E62+'SA-1'!E62+'WA-1'!E62</f>
        <v/>
      </c>
      <c r="F62" s="34">
        <f>'NSW-1'!F62+'VIC-1'!F62+'QLD-1'!F62+'NSW-2'!F62+'VIC-2'!F62+'QLD-2'!F62+'SA-1'!F62+'WA-1'!F62+'IDC-NSW'!F62+'IDC-VIC'!F62</f>
        <v/>
      </c>
      <c r="G62" s="35">
        <f>'NSW-1'!G62+'VIC-1'!G62+'QLD-1'!G62+'NSW-2'!G62+'VIC-2'!G62+'QLD-2'!G62+'SA-1'!G62+'WA-1'!G62+'IDC-NSW'!G62+'IDC-VIC'!G62</f>
        <v/>
      </c>
      <c r="H62" s="33">
        <f>'NSW-1'!H62+'VIC-1'!H62+'QLD-1'!H62+'NSW-2'!H62+'VIC-2'!H62+'QLD-2'!H62+'SA-1'!H62+'WA-1'!H62+'IDC-NSW'!H62+'IDC-VIC'!H62</f>
        <v/>
      </c>
      <c r="I62" s="33">
        <f>'NSW-1'!I62+'VIC-1'!I62+'QLD-1'!I62+'NSW-2'!I62+'VIC-2'!I62+'QLD-2'!I62+'SA-1'!I62+'WA-1'!I62+'IDC-NSW'!I62+'IDC-VIC'!I62</f>
        <v/>
      </c>
      <c r="J62" s="33">
        <f>'NSW-1'!J62+'VIC-1'!J62+'QLD-1'!J62+'NSW-2'!J62+'VIC-2'!J62+'QLD-2'!J62+'SA-1'!J62+'WA-1'!J62+'IDC-NSW'!J62+'IDC-VIC'!J62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</row>
  </sheetData>
  <mergeCells count="2">
    <mergeCell ref="K12:P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NSW-1  |  Region  |  NSW</t>
        </is>
      </c>
    </row>
    <row r="2">
      <c r="A2" t="inlineStr">
        <is>
          <t>Code</t>
        </is>
      </c>
      <c r="B2" s="1" t="inlineStr">
        <is>
          <t>NSW-1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VIC-1  |  Region  |  VIC</t>
        </is>
      </c>
    </row>
    <row r="2">
      <c r="A2" t="inlineStr">
        <is>
          <t>Code</t>
        </is>
      </c>
      <c r="B2" s="1" t="inlineStr">
        <is>
          <t>VIC-1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QLD-1  |  Region  |  QLD</t>
        </is>
      </c>
    </row>
    <row r="2">
      <c r="A2" t="inlineStr">
        <is>
          <t>Code</t>
        </is>
      </c>
      <c r="B2" s="1" t="inlineStr">
        <is>
          <t>QLD-1</t>
        </is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NSW-2  |  Region  |  NSW</t>
        </is>
      </c>
    </row>
    <row r="2">
      <c r="A2" t="inlineStr">
        <is>
          <t>Code</t>
        </is>
      </c>
      <c r="B2" s="1" t="inlineStr">
        <is>
          <t>NSW-2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VIC-2  |  Region  |  VIC</t>
        </is>
      </c>
    </row>
    <row r="2">
      <c r="A2" t="inlineStr">
        <is>
          <t>Code</t>
        </is>
      </c>
      <c r="B2" s="1" t="inlineStr">
        <is>
          <t>VIC-2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QLD-2  |  Region  |  QLD</t>
        </is>
      </c>
    </row>
    <row r="2">
      <c r="A2" t="inlineStr">
        <is>
          <t>Code</t>
        </is>
      </c>
      <c r="B2" s="1" t="inlineStr">
        <is>
          <t>QLD-2</t>
        </is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SA-1  |  Region  |  SA</t>
        </is>
      </c>
    </row>
    <row r="2">
      <c r="A2" t="inlineStr">
        <is>
          <t>Code</t>
        </is>
      </c>
      <c r="B2" s="1" t="inlineStr">
        <is>
          <t>SA-1</t>
        </is>
      </c>
      <c r="C2" t="inlineStr">
        <is>
          <t>State</t>
        </is>
      </c>
      <c r="D2" s="1" t="inlineStr">
        <is>
          <t>SA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WA-1  |  Region  |  WA</t>
        </is>
      </c>
    </row>
    <row r="2">
      <c r="A2" t="inlineStr">
        <is>
          <t>Code</t>
        </is>
      </c>
      <c r="B2" s="1" t="inlineStr">
        <is>
          <t>WA-1</t>
        </is>
      </c>
      <c r="C2" t="inlineStr">
        <is>
          <t>State</t>
        </is>
      </c>
      <c r="D2" s="1" t="inlineStr">
        <is>
          <t>WA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IDC-NSW  |  IDC  |  NSW  |  sales from NSW-1 (excluded from national sales)</t>
        </is>
      </c>
    </row>
    <row r="2">
      <c r="A2" t="inlineStr">
        <is>
          <t>Code</t>
        </is>
      </c>
      <c r="B2" s="1" t="inlineStr">
        <is>
          <t>IDC-NSW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'NSW-1'!E15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IF($D15="Actual",E15,"")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'NSW-1'!E16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IF($D16="Actual",E16,"")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'NSW-1'!E17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IF($D17="Actual",E17,"")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'NSW-1'!E18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IF($D18="Actual",E18,"")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'NSW-1'!E19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IF($D19="Actual",E19,"")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'NSW-1'!E20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IF($D20="Actual",E20,"")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'NSW-1'!E21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IF($D21="Actual",E21,"")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'NSW-1'!E22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IF($D22="Actual",E22,"")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'NSW-1'!E23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IF($D23="Actual",E23,"")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'NSW-1'!E24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IF($D24="Actual",E24,"")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'NSW-1'!E25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IF($D25="Actual",E25,"")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'NSW-1'!E26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IF($D26="Actual",E26,"")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'NSW-1'!E27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IF($D27="Actual",E27,"")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'NSW-1'!E28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IF($D28="Actual",E28,"")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'NSW-1'!E29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IF($D29="Actual",E29,"")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'NSW-1'!E30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IF($D30="Actual",E30,"")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'NSW-1'!E31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IF($D31="Actual",E31,"")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'NSW-1'!E32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IF($D32="Actual",E32,"")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'NSW-1'!E33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IF($D33="Actual",E33,"")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'NSW-1'!E34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IF($D34="Actual",E34,"")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'NSW-1'!E35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IF($D35="Actual",E35,"")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'NSW-1'!E36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IF($D36="Actual",E36,"")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'NSW-1'!E37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IF($D37="Actual",E37,"")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'NSW-1'!E38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IF($D38="Actual",E38,"")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'NSW-1'!E39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IF($D39="Actual",E39,"")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'NSW-1'!E40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IF($D40="Actual",E40,"")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'NSW-1'!E41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IF($D41="Actual",E41,"")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'NSW-1'!E42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IF($D42="Actual",E42,"")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'NSW-1'!E43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IF($D43="Actual",E43,"")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'NSW-1'!E44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IF($D44="Actual",E44,"")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'NSW-1'!E45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IF($D45="Actual",E45,"")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'NSW-1'!E46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IF($D46="Actual",E46,"")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'NSW-1'!E47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IF($D47="Actual",E47,"")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'NSW-1'!E48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IF($D48="Actual",E48,"")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'NSW-1'!E49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IF($D49="Actual",E49,"")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'NSW-1'!E50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IF($D50="Actual",E50,"")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'NSW-1'!E51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IF($D51="Actual",E51,"")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'NSW-1'!E52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IF($D52="Actual",E52,"")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'NSW-1'!E53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IF($D53="Actual",E53,"")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'NSW-1'!E54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IF($D54="Actual",E54,"")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'NSW-1'!E55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IF($D55="Actual",E55,"")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'NSW-1'!E56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IF($D56="Actual",E56,"")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'NSW-1'!E57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IF($D57="Actual",E57,"")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'NSW-1'!E58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IF($D58="Actual",E58,"")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'NSW-1'!E59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IF($D59="Actual",E59,"")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'NSW-1'!E60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IF($D60="Actual",E60,"")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'NSW-1'!E61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IF($D61="Actual",E61,"")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'NSW-1'!E62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IF($D62="Actual",E62,"")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AI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</cols>
  <sheetData>
    <row r="1">
      <c r="A1" s="2" t="inlineStr">
        <is>
          <t>IDC-VIC  |  IDC  |  VIC  |  sales from VIC-1 (excluded from national sales)</t>
        </is>
      </c>
    </row>
    <row r="2">
      <c r="A2" t="inlineStr">
        <is>
          <t>Code</t>
        </is>
      </c>
      <c r="B2" s="1" t="inlineStr">
        <is>
          <t>IDC-VIC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5" t="inlineStr">
        <is>
          <t>FY</t>
        </is>
      </c>
      <c r="D5" s="5" t="inlineStr">
        <is>
          <t>Status</t>
        </is>
      </c>
      <c r="E5" s="5" t="inlineStr">
        <is>
          <t>Sales</t>
        </is>
      </c>
      <c r="F5" s="5" t="inlineStr">
        <is>
          <t>Cases picked</t>
        </is>
      </c>
      <c r="G5" s="5" t="inlineStr">
        <is>
          <t>WH hours worked</t>
        </is>
      </c>
      <c r="H5" s="5" t="inlineStr">
        <is>
          <t>Staff payroll</t>
        </is>
      </c>
      <c r="I5" s="5" t="inlineStr">
        <is>
          <t>Leadership payroll</t>
        </is>
      </c>
      <c r="J5" s="5" t="inlineStr">
        <is>
          <t>Total payroll</t>
        </is>
      </c>
      <c r="K5" s="5" t="inlineStr">
        <is>
          <t>CPLH (cases / hr)</t>
        </is>
      </c>
      <c r="L5" s="5" t="inlineStr">
        <is>
          <t>Cost per hour</t>
        </is>
      </c>
      <c r="M5" s="5" t="inlineStr">
        <is>
          <t>Cost per case</t>
        </is>
      </c>
      <c r="N5" s="5" t="inlineStr">
        <is>
          <t>Staff payroll % sales</t>
        </is>
      </c>
      <c r="O5" s="5" t="inlineStr">
        <is>
          <t>Leadership % sales</t>
        </is>
      </c>
      <c r="P5" s="5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5" t="inlineStr">
        <is>
          <t>Drivers</t>
        </is>
      </c>
      <c r="K12" s="5" t="inlineStr">
        <is>
          <t>Metrics</t>
        </is>
      </c>
      <c r="R12" s="5" t="inlineStr">
        <is>
          <t>Helper calculations (actuals, run rates, plan)</t>
        </is>
      </c>
    </row>
    <row r="13" ht="45" customHeight="1">
      <c r="A13" s="5" t="inlineStr">
        <is>
          <t>Month</t>
        </is>
      </c>
      <c r="B13" s="5" t="inlineStr">
        <is>
          <t>Year</t>
        </is>
      </c>
      <c r="C13" s="5" t="inlineStr">
        <is>
          <t>Mth</t>
        </is>
      </c>
      <c r="D13" s="5" t="inlineStr">
        <is>
          <t>Status</t>
        </is>
      </c>
      <c r="E13" s="5" t="inlineStr">
        <is>
          <t>Sales</t>
        </is>
      </c>
      <c r="F13" s="5" t="inlineStr">
        <is>
          <t>Cases picked</t>
        </is>
      </c>
      <c r="G13" s="5" t="inlineStr">
        <is>
          <t>WH hours worked</t>
        </is>
      </c>
      <c r="H13" s="5" t="inlineStr">
        <is>
          <t>Staff payroll</t>
        </is>
      </c>
      <c r="I13" s="5" t="inlineStr">
        <is>
          <t>Leadership payroll</t>
        </is>
      </c>
      <c r="J13" s="5" t="inlineStr">
        <is>
          <t>Total payroll</t>
        </is>
      </c>
      <c r="K13" s="5" t="inlineStr">
        <is>
          <t>CPLH (cases / hr)</t>
        </is>
      </c>
      <c r="L13" s="5" t="inlineStr">
        <is>
          <t>Cost per hour</t>
        </is>
      </c>
      <c r="M13" s="5" t="inlineStr">
        <is>
          <t>Cost per case</t>
        </is>
      </c>
      <c r="N13" s="5" t="inlineStr">
        <is>
          <t>Staff payroll % sales</t>
        </is>
      </c>
      <c r="O13" s="5" t="inlineStr">
        <is>
          <t>Leadership % sales</t>
        </is>
      </c>
      <c r="P13" s="5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'VIC-1'!E15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IF($D15="Actual",E15,"")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IFERROR($AG$2*AD15,"")</f>
        <v/>
      </c>
      <c r="AH15" s="46">
        <f>IFERROR($AH$2*AE15*Z15*AA15,"")</f>
        <v/>
      </c>
      <c r="AI15" s="47">
        <f>IFERROR($AI$2*AF15,"")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'VIC-1'!E16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IF($D16="Actual",E16,"")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IFERROR($AG$2*AD16,"")</f>
        <v/>
      </c>
      <c r="AH16" s="46">
        <f>IFERROR($AH$2*AE16*Z16*AA16,"")</f>
        <v/>
      </c>
      <c r="AI16" s="47">
        <f>IFERROR($AI$2*AF16,"")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'VIC-1'!E17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IF($D17="Actual",E17,"")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IFERROR($AG$2*AD17,"")</f>
        <v/>
      </c>
      <c r="AH17" s="46">
        <f>IFERROR($AH$2*AE17*Z17*AA17,"")</f>
        <v/>
      </c>
      <c r="AI17" s="47">
        <f>IFERROR($AI$2*AF17,"")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'VIC-1'!E18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IF($D18="Actual",E18,"")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IFERROR($AG$2*AD18,"")</f>
        <v/>
      </c>
      <c r="AH18" s="46">
        <f>IFERROR($AH$2*AE18*Z18*AA18,"")</f>
        <v/>
      </c>
      <c r="AI18" s="47">
        <f>IFERROR($AI$2*AF18,"")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'VIC-1'!E19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IF($D19="Actual",E19,"")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IFERROR($AG$2*AD19,"")</f>
        <v/>
      </c>
      <c r="AH19" s="46">
        <f>IFERROR($AH$2*AE19*Z19*AA19,"")</f>
        <v/>
      </c>
      <c r="AI19" s="47">
        <f>IFERROR($AI$2*AF19,"")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'VIC-1'!E20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IF($D20="Actual",E20,"")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IFERROR($AG$2*AD20,"")</f>
        <v/>
      </c>
      <c r="AH20" s="46">
        <f>IFERROR($AH$2*AE20*Z20*AA20,"")</f>
        <v/>
      </c>
      <c r="AI20" s="47">
        <f>IFERROR($AI$2*AF20,"")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'VIC-1'!E21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IF($D21="Actual",E21,"")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IFERROR($AG$2*AD21,"")</f>
        <v/>
      </c>
      <c r="AH21" s="46">
        <f>IFERROR($AH$2*AE21*Z21*AA21,"")</f>
        <v/>
      </c>
      <c r="AI21" s="47">
        <f>IFERROR($AI$2*AF21,"")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'VIC-1'!E22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IF($D22="Actual",E22,"")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IFERROR($AG$2*AD22,"")</f>
        <v/>
      </c>
      <c r="AH22" s="46">
        <f>IFERROR($AH$2*AE22*Z22*AA22,"")</f>
        <v/>
      </c>
      <c r="AI22" s="47">
        <f>IFERROR($AI$2*AF22,"")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'VIC-1'!E23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IF($D23="Actual",E23,"")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IFERROR($AG$2*AD23,"")</f>
        <v/>
      </c>
      <c r="AH23" s="46">
        <f>IFERROR($AH$2*AE23*Z23*AA23,"")</f>
        <v/>
      </c>
      <c r="AI23" s="47">
        <f>IFERROR($AI$2*AF23,"")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'VIC-1'!E24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IF($D24="Actual",E24,"")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IFERROR($AG$2*AD24,"")</f>
        <v/>
      </c>
      <c r="AH24" s="46">
        <f>IFERROR($AH$2*AE24*Z24*AA24,"")</f>
        <v/>
      </c>
      <c r="AI24" s="47">
        <f>IFERROR($AI$2*AF24,"")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'VIC-1'!E25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IF($D25="Actual",E25,"")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IFERROR($AG$2*AD25,"")</f>
        <v/>
      </c>
      <c r="AH25" s="46">
        <f>IFERROR($AH$2*AE25*Z25*AA25,"")</f>
        <v/>
      </c>
      <c r="AI25" s="47">
        <f>IFERROR($AI$2*AF25,"")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'VIC-1'!E26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IF($D26="Actual",E26,"")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IFERROR($AG$2*AD26,"")</f>
        <v/>
      </c>
      <c r="AH26" s="46">
        <f>IFERROR($AH$2*AE26*Z26*AA26,"")</f>
        <v/>
      </c>
      <c r="AI26" s="47">
        <f>IFERROR($AI$2*AF26,"")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'VIC-1'!E27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IF($D27="Actual",E27,"")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IFERROR($AG$2*AD27,"")</f>
        <v/>
      </c>
      <c r="AH27" s="46">
        <f>IFERROR($AH$2*AE27*Z27*AA27,"")</f>
        <v/>
      </c>
      <c r="AI27" s="47">
        <f>IFERROR($AI$2*AF27,"")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'VIC-1'!E28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IF($D28="Actual",E28,"")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IFERROR($AG$2*AD28,"")</f>
        <v/>
      </c>
      <c r="AH28" s="46">
        <f>IFERROR($AH$2*AE28*Z28*AA28,"")</f>
        <v/>
      </c>
      <c r="AI28" s="47">
        <f>IFERROR($AI$2*AF28,"")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'VIC-1'!E29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IF($D29="Actual",E29,"")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IFERROR($AG$2*AD29,"")</f>
        <v/>
      </c>
      <c r="AH29" s="46">
        <f>IFERROR($AH$2*AE29*Z29*AA29,"")</f>
        <v/>
      </c>
      <c r="AI29" s="47">
        <f>IFERROR($AI$2*AF29,"")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'VIC-1'!E30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IF($D30="Actual",E30,"")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IFERROR($AG$2*AD30,"")</f>
        <v/>
      </c>
      <c r="AH30" s="46">
        <f>IFERROR($AH$2*AE30*Z30*AA30,"")</f>
        <v/>
      </c>
      <c r="AI30" s="47">
        <f>IFERROR($AI$2*AF30,"")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'VIC-1'!E31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IF($D31="Actual",E31,"")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IFERROR($AG$2*AD31,"")</f>
        <v/>
      </c>
      <c r="AH31" s="46">
        <f>IFERROR($AH$2*AE31*Z31*AA31,"")</f>
        <v/>
      </c>
      <c r="AI31" s="47">
        <f>IFERROR($AI$2*AF31,"")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'VIC-1'!E32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IF($D32="Actual",E32,"")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IFERROR($AG$2*AD32,"")</f>
        <v/>
      </c>
      <c r="AH32" s="46">
        <f>IFERROR($AH$2*AE32*Z32*AA32,"")</f>
        <v/>
      </c>
      <c r="AI32" s="47">
        <f>IFERROR($AI$2*AF32,"")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'VIC-1'!E33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IF($D33="Actual",E33,"")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IFERROR($AG$2*AD33,"")</f>
        <v/>
      </c>
      <c r="AH33" s="46">
        <f>IFERROR($AH$2*AE33*Z33*AA33,"")</f>
        <v/>
      </c>
      <c r="AI33" s="47">
        <f>IFERROR($AI$2*AF33,"")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'VIC-1'!E34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IF($D34="Actual",E34,"")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IFERROR($AG$2*AD34,"")</f>
        <v/>
      </c>
      <c r="AH34" s="46">
        <f>IFERROR($AH$2*AE34*Z34*AA34,"")</f>
        <v/>
      </c>
      <c r="AI34" s="47">
        <f>IFERROR($AI$2*AF34,"")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'VIC-1'!E35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IF($D35="Actual",E35,"")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IFERROR($AG$2*AD35,"")</f>
        <v/>
      </c>
      <c r="AH35" s="46">
        <f>IFERROR($AH$2*AE35*Z35*AA35,"")</f>
        <v/>
      </c>
      <c r="AI35" s="47">
        <f>IFERROR($AI$2*AF35,"")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'VIC-1'!E36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IF($D36="Actual",E36,"")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IFERROR($AG$2*AD36,"")</f>
        <v/>
      </c>
      <c r="AH36" s="46">
        <f>IFERROR($AH$2*AE36*Z36*AA36,"")</f>
        <v/>
      </c>
      <c r="AI36" s="47">
        <f>IFERROR($AI$2*AF36,"")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'VIC-1'!E37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IF($D37="Actual",E37,"")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IFERROR($AG$2*AD37,"")</f>
        <v/>
      </c>
      <c r="AH37" s="46">
        <f>IFERROR($AH$2*AE37*Z37*AA37,"")</f>
        <v/>
      </c>
      <c r="AI37" s="47">
        <f>IFERROR($AI$2*AF37,"")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'VIC-1'!E38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IF($D38="Actual",E38,"")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IFERROR($AG$2*AD38,"")</f>
        <v/>
      </c>
      <c r="AH38" s="46">
        <f>IFERROR($AH$2*AE38*Z38*AA38,"")</f>
        <v/>
      </c>
      <c r="AI38" s="47">
        <f>IFERROR($AI$2*AF38,"")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'VIC-1'!E39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IF($D39="Actual",E39,"")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IFERROR($AG$2*AD39,"")</f>
        <v/>
      </c>
      <c r="AH39" s="46">
        <f>IFERROR($AH$2*AE39*Z39*AA39,"")</f>
        <v/>
      </c>
      <c r="AI39" s="47">
        <f>IFERROR($AI$2*AF39,"")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'VIC-1'!E40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IF($D40="Actual",E40,"")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IFERROR($AG$2*AD40,"")</f>
        <v/>
      </c>
      <c r="AH40" s="46">
        <f>IFERROR($AH$2*AE40*Z40*AA40,"")</f>
        <v/>
      </c>
      <c r="AI40" s="47">
        <f>IFERROR($AI$2*AF40,"")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'VIC-1'!E41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IF($D41="Actual",E41,"")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IFERROR($AG$2*AD41,"")</f>
        <v/>
      </c>
      <c r="AH41" s="46">
        <f>IFERROR($AH$2*AE41*Z41*AA41,"")</f>
        <v/>
      </c>
      <c r="AI41" s="47">
        <f>IFERROR($AI$2*AF41,"")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'VIC-1'!E42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IF($D42="Actual",E42,"")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IFERROR($AG$2*AD42,"")</f>
        <v/>
      </c>
      <c r="AH42" s="46">
        <f>IFERROR($AH$2*AE42*Z42*AA42,"")</f>
        <v/>
      </c>
      <c r="AI42" s="47">
        <f>IFERROR($AI$2*AF42,"")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'VIC-1'!E43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IF($D43="Actual",E43,"")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IFERROR($AG$2*AD43,"")</f>
        <v/>
      </c>
      <c r="AH43" s="46">
        <f>IFERROR($AH$2*AE43*Z43*AA43,"")</f>
        <v/>
      </c>
      <c r="AI43" s="47">
        <f>IFERROR($AI$2*AF43,"")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'VIC-1'!E44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IF($D44="Actual",E44,"")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IFERROR($AG$2*AD44,"")</f>
        <v/>
      </c>
      <c r="AH44" s="46">
        <f>IFERROR($AH$2*AE44*Z44*AA44,"")</f>
        <v/>
      </c>
      <c r="AI44" s="47">
        <f>IFERROR($AI$2*AF44,"")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'VIC-1'!E45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IF($D45="Actual",E45,"")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IFERROR($AG$2*AD45,"")</f>
        <v/>
      </c>
      <c r="AH45" s="46">
        <f>IFERROR($AH$2*AE45*Z45*AA45,"")</f>
        <v/>
      </c>
      <c r="AI45" s="47">
        <f>IFERROR($AI$2*AF45,"")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'VIC-1'!E46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IF($D46="Actual",E46,"")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IFERROR($AG$2*AD46,"")</f>
        <v/>
      </c>
      <c r="AH46" s="46">
        <f>IFERROR($AH$2*AE46*Z46*AA46,"")</f>
        <v/>
      </c>
      <c r="AI46" s="47">
        <f>IFERROR($AI$2*AF46,"")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'VIC-1'!E47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IF($D47="Actual",E47,"")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IFERROR($AG$2*AD47,"")</f>
        <v/>
      </c>
      <c r="AH47" s="46">
        <f>IFERROR($AH$2*AE47*Z47*AA47,"")</f>
        <v/>
      </c>
      <c r="AI47" s="47">
        <f>IFERROR($AI$2*AF47,"")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'VIC-1'!E48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IF($D48="Actual",E48,"")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IFERROR($AG$2*AD48,"")</f>
        <v/>
      </c>
      <c r="AH48" s="46">
        <f>IFERROR($AH$2*AE48*Z48*AA48,"")</f>
        <v/>
      </c>
      <c r="AI48" s="47">
        <f>IFERROR($AI$2*AF48,"")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'VIC-1'!E49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IF($D49="Actual",E49,"")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IFERROR($AG$2*AD49,"")</f>
        <v/>
      </c>
      <c r="AH49" s="46">
        <f>IFERROR($AH$2*AE49*Z49*AA49,"")</f>
        <v/>
      </c>
      <c r="AI49" s="47">
        <f>IFERROR($AI$2*AF49,"")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'VIC-1'!E50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IF($D50="Actual",E50,"")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IFERROR($AG$2*AD50,"")</f>
        <v/>
      </c>
      <c r="AH50" s="46">
        <f>IFERROR($AH$2*AE50*Z50*AA50,"")</f>
        <v/>
      </c>
      <c r="AI50" s="47">
        <f>IFERROR($AI$2*AF50,"")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'VIC-1'!E51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IF($D51="Actual",E51,"")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IFERROR($AG$2*AD51,"")</f>
        <v/>
      </c>
      <c r="AH51" s="46">
        <f>IFERROR($AH$2*AE51*Z51*AA51,"")</f>
        <v/>
      </c>
      <c r="AI51" s="47">
        <f>IFERROR($AI$2*AF51,"")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'VIC-1'!E52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IF($D52="Actual",E52,"")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IFERROR($AG$2*AD52,"")</f>
        <v/>
      </c>
      <c r="AH52" s="46">
        <f>IFERROR($AH$2*AE52*Z52*AA52,"")</f>
        <v/>
      </c>
      <c r="AI52" s="47">
        <f>IFERROR($AI$2*AF52,"")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'VIC-1'!E53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IF($D53="Actual",E53,"")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IFERROR($AG$2*AD53,"")</f>
        <v/>
      </c>
      <c r="AH53" s="46">
        <f>IFERROR($AH$2*AE53*Z53*AA53,"")</f>
        <v/>
      </c>
      <c r="AI53" s="47">
        <f>IFERROR($AI$2*AF53,"")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'VIC-1'!E54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IF($D54="Actual",E54,"")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IFERROR($AG$2*AD54,"")</f>
        <v/>
      </c>
      <c r="AH54" s="46">
        <f>IFERROR($AH$2*AE54*Z54*AA54,"")</f>
        <v/>
      </c>
      <c r="AI54" s="47">
        <f>IFERROR($AI$2*AF54,"")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'VIC-1'!E55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IF($D55="Actual",E55,"")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IFERROR($AG$2*AD55,"")</f>
        <v/>
      </c>
      <c r="AH55" s="46">
        <f>IFERROR($AH$2*AE55*Z55*AA55,"")</f>
        <v/>
      </c>
      <c r="AI55" s="47">
        <f>IFERROR($AI$2*AF55,"")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'VIC-1'!E56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IF($D56="Actual",E56,"")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IFERROR($AG$2*AD56,"")</f>
        <v/>
      </c>
      <c r="AH56" s="46">
        <f>IFERROR($AH$2*AE56*Z56*AA56,"")</f>
        <v/>
      </c>
      <c r="AI56" s="47">
        <f>IFERROR($AI$2*AF56,"")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'VIC-1'!E57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IF($D57="Actual",E57,"")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IFERROR($AG$2*AD57,"")</f>
        <v/>
      </c>
      <c r="AH57" s="46">
        <f>IFERROR($AH$2*AE57*Z57*AA57,"")</f>
        <v/>
      </c>
      <c r="AI57" s="47">
        <f>IFERROR($AI$2*AF57,"")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'VIC-1'!E58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IF($D58="Actual",E58,"")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IFERROR($AG$2*AD58,"")</f>
        <v/>
      </c>
      <c r="AH58" s="46">
        <f>IFERROR($AH$2*AE58*Z58*AA58,"")</f>
        <v/>
      </c>
      <c r="AI58" s="47">
        <f>IFERROR($AI$2*AF58,"")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'VIC-1'!E59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IF($D59="Actual",E59,"")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IFERROR($AG$2*AD59,"")</f>
        <v/>
      </c>
      <c r="AH59" s="46">
        <f>IFERROR($AH$2*AE59*Z59*AA59,"")</f>
        <v/>
      </c>
      <c r="AI59" s="47">
        <f>IFERROR($AI$2*AF59,"")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'VIC-1'!E60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IF($D60="Actual",E60,"")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IFERROR($AG$2*AD60,"")</f>
        <v/>
      </c>
      <c r="AH60" s="46">
        <f>IFERROR($AH$2*AE60*Z60*AA60,"")</f>
        <v/>
      </c>
      <c r="AI60" s="47">
        <f>IFERROR($AI$2*AF60,"")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'VIC-1'!E61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IF($D61="Actual",E61,"")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IFERROR($AG$2*AD61,"")</f>
        <v/>
      </c>
      <c r="AH61" s="46">
        <f>IFERROR($AH$2*AE61*Z61*AA61,"")</f>
        <v/>
      </c>
      <c r="AI61" s="47">
        <f>IFERROR($AI$2*AF61,"")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'VIC-1'!E62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IF($D62="Actual",E62,"")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IFERROR($AG$2*AD62,"")</f>
        <v/>
      </c>
      <c r="AH62" s="46">
        <f>IFERROR($AH$2*AE62*Z62*AA62,"")</f>
        <v/>
      </c>
      <c r="AI62" s="47">
        <f>IFERROR($AI$2*AF62,"")</f>
        <v/>
      </c>
    </row>
  </sheetData>
  <mergeCells count="3">
    <mergeCell ref="K12:P12"/>
    <mergeCell ref="R12:AI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2026-10-14T04:18:07Z</dcterms:created>
  <dcterms:modified xsi:type="dcterms:W3CDTF">2026-10-14T04:18:08Z</dcterms:modified>
</cp:coreProperties>
</file>